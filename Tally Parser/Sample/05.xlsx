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57AA7AFD-FEB5-4977-985A-0E0EC2589EC7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xxxxxx" sheetId="1" state="veryHidden" r:id="rId1"/>
    <sheet name="7&quot; 26# Deck Tally" sheetId="2" r:id="rId2"/>
    <sheet name="NFQ 22-3 Run Tally (2)" sheetId="3" state="hidden" r:id="rId3"/>
    <sheet name="NFQ 22-3 Run Tally" sheetId="4" r:id="rId4"/>
    <sheet name="NFQ 22-3 Final Tally" sheetId="5" r:id="rId5"/>
    <sheet name="SPACE OUT Calculation" sheetId="6" r:id="rId6"/>
    <sheet name="SPACE OUT (BLANK)" sheetId="7" state="hidden" r:id="rId7"/>
  </sheets>
  <definedNames>
    <definedName name="EKIKO2" localSheetId="6">#REF!</definedName>
    <definedName name="EKIKO2" localSheetId="5">#REF!</definedName>
    <definedName name="EKIKO2">#N/A</definedName>
    <definedName name="tubing1">'7" 26# Deck Tally'!$A$2:$B$450</definedName>
    <definedName name="_xlnm.Print_Area" localSheetId="4">'NFQ 22-3 Final Tally'!$A$1:$N$414</definedName>
    <definedName name="_xlnm.Print_Area" localSheetId="3">'NFQ 22-3 Run Tally'!$A$1:$M$468</definedName>
    <definedName name="_xlnm.Print_Area" localSheetId="2">'NFQ 22-3 Run Tally (2)'!$A$1:$M$468</definedName>
    <definedName name="_xlnm.Print_Area" localSheetId="6">'SPACE OUT (BLANK)'!$A$1:$AK$57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7" l="1"/>
  <c r="C50" i="7" s="1"/>
  <c r="S49" i="7" s="1"/>
  <c r="AF37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C53" i="6"/>
  <c r="S49" i="6" s="1"/>
  <c r="C47" i="6"/>
  <c r="S48" i="6" s="1"/>
  <c r="S51" i="6" s="1"/>
  <c r="AE18" i="6"/>
  <c r="AF18" i="6" s="1"/>
  <c r="AI18" i="6" s="1"/>
  <c r="AI17" i="6"/>
  <c r="AF17" i="6"/>
  <c r="AI16" i="6"/>
  <c r="AF16" i="6"/>
  <c r="AI15" i="6"/>
  <c r="AF15" i="6"/>
  <c r="AI14" i="6"/>
  <c r="AF14" i="6"/>
  <c r="AI13" i="6"/>
  <c r="AF13" i="6"/>
  <c r="AI12" i="6"/>
  <c r="AF12" i="6"/>
  <c r="AI11" i="6"/>
  <c r="AF11" i="6"/>
  <c r="AF10" i="6"/>
  <c r="AI10" i="6" s="1"/>
  <c r="AI9" i="6"/>
  <c r="AF9" i="6"/>
  <c r="AI8" i="6"/>
  <c r="AF8" i="6"/>
  <c r="AI7" i="6"/>
  <c r="AF7" i="6"/>
  <c r="G384" i="5"/>
  <c r="F382" i="5"/>
  <c r="F380" i="5"/>
  <c r="B362" i="5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H347" i="5"/>
  <c r="G347" i="5"/>
  <c r="H346" i="5"/>
  <c r="G346" i="5"/>
  <c r="H345" i="5"/>
  <c r="G345" i="5"/>
  <c r="H344" i="5"/>
  <c r="G344" i="5"/>
  <c r="B104" i="5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T34" i="5"/>
  <c r="T26" i="5"/>
  <c r="B26" i="5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E25" i="5"/>
  <c r="H24" i="5"/>
  <c r="G24" i="5"/>
  <c r="H23" i="5"/>
  <c r="G23" i="5"/>
  <c r="H22" i="5"/>
  <c r="G22" i="5"/>
  <c r="H21" i="5"/>
  <c r="G21" i="5"/>
  <c r="H20" i="5"/>
  <c r="H19" i="5"/>
  <c r="H18" i="5"/>
  <c r="H17" i="5"/>
  <c r="G17" i="5"/>
  <c r="G16" i="5"/>
  <c r="I15" i="5"/>
  <c r="J15" i="5" s="1"/>
  <c r="G15" i="5"/>
  <c r="E12" i="5"/>
  <c r="H11" i="5"/>
  <c r="G438" i="4"/>
  <c r="H436" i="4"/>
  <c r="G436" i="4"/>
  <c r="H435" i="4"/>
  <c r="G435" i="4"/>
  <c r="H434" i="4"/>
  <c r="G434" i="4"/>
  <c r="H433" i="4"/>
  <c r="G433" i="4"/>
  <c r="H432" i="4"/>
  <c r="G432" i="4"/>
  <c r="H431" i="4"/>
  <c r="G431" i="4"/>
  <c r="H430" i="4"/>
  <c r="B361" i="4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H346" i="4"/>
  <c r="G346" i="4"/>
  <c r="H345" i="4"/>
  <c r="G345" i="4"/>
  <c r="H344" i="4"/>
  <c r="G344" i="4"/>
  <c r="H343" i="4"/>
  <c r="G343" i="4"/>
  <c r="B103" i="4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S33" i="4"/>
  <c r="S25" i="4"/>
  <c r="B25" i="4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E24" i="4"/>
  <c r="E25" i="4" s="1"/>
  <c r="H23" i="4"/>
  <c r="G23" i="4"/>
  <c r="H22" i="4"/>
  <c r="G22" i="4"/>
  <c r="H21" i="4"/>
  <c r="G21" i="4"/>
  <c r="H20" i="4"/>
  <c r="G20" i="4"/>
  <c r="H19" i="4"/>
  <c r="H18" i="4"/>
  <c r="H17" i="4"/>
  <c r="H16" i="4"/>
  <c r="G16" i="4"/>
  <c r="J15" i="4"/>
  <c r="L12" i="4" s="1"/>
  <c r="G15" i="4"/>
  <c r="E12" i="4"/>
  <c r="G342" i="4" s="1"/>
  <c r="H11" i="4"/>
  <c r="K15" i="4" s="1"/>
  <c r="G438" i="3"/>
  <c r="H436" i="3"/>
  <c r="G436" i="3"/>
  <c r="H435" i="3"/>
  <c r="G435" i="3"/>
  <c r="H434" i="3"/>
  <c r="G434" i="3"/>
  <c r="H433" i="3"/>
  <c r="G433" i="3"/>
  <c r="H432" i="3"/>
  <c r="G432" i="3"/>
  <c r="H431" i="3"/>
  <c r="G431" i="3"/>
  <c r="H430" i="3"/>
  <c r="B361" i="3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H345" i="3"/>
  <c r="G345" i="3"/>
  <c r="H344" i="3"/>
  <c r="G344" i="3"/>
  <c r="H343" i="3"/>
  <c r="G343" i="3"/>
  <c r="H342" i="3"/>
  <c r="G342" i="3"/>
  <c r="B103" i="3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S33" i="3"/>
  <c r="S25" i="3"/>
  <c r="B25" i="3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E24" i="3"/>
  <c r="F24" i="3" s="1"/>
  <c r="H23" i="3"/>
  <c r="G23" i="3"/>
  <c r="H22" i="3"/>
  <c r="G22" i="3"/>
  <c r="H21" i="3"/>
  <c r="G21" i="3"/>
  <c r="H20" i="3"/>
  <c r="G20" i="3"/>
  <c r="H19" i="3"/>
  <c r="H18" i="3"/>
  <c r="H17" i="3"/>
  <c r="H16" i="3"/>
  <c r="G16" i="3"/>
  <c r="J15" i="3"/>
  <c r="L12" i="3" s="1"/>
  <c r="G15" i="3"/>
  <c r="E12" i="3"/>
  <c r="G430" i="3" s="1"/>
  <c r="H11" i="3"/>
  <c r="K15" i="3" s="1"/>
  <c r="K28" i="2"/>
  <c r="K27" i="2"/>
  <c r="K18" i="2"/>
  <c r="K17" i="2"/>
  <c r="K16" i="2"/>
  <c r="K15" i="2"/>
  <c r="N14" i="2"/>
  <c r="M14" i="2"/>
  <c r="K14" i="2"/>
  <c r="K13" i="2"/>
  <c r="K12" i="2"/>
  <c r="M11" i="2"/>
  <c r="K11" i="2"/>
  <c r="M10" i="2"/>
  <c r="K6" i="2"/>
  <c r="K5" i="2"/>
  <c r="K4" i="2"/>
  <c r="N11" i="2" s="1"/>
  <c r="K3" i="2"/>
  <c r="N10" i="2" s="1"/>
  <c r="E25" i="3" l="1"/>
  <c r="F25" i="3" s="1"/>
  <c r="G25" i="3" s="1"/>
  <c r="G101" i="4"/>
  <c r="G19" i="4"/>
  <c r="E26" i="4"/>
  <c r="F25" i="4"/>
  <c r="G25" i="4" s="1"/>
  <c r="I16" i="3"/>
  <c r="I17" i="3" s="1"/>
  <c r="I18" i="3" s="1"/>
  <c r="I19" i="3" s="1"/>
  <c r="I20" i="3" s="1"/>
  <c r="H25" i="3"/>
  <c r="E26" i="3"/>
  <c r="G24" i="3"/>
  <c r="I16" i="4"/>
  <c r="K16" i="4" s="1"/>
  <c r="F24" i="4"/>
  <c r="K16" i="3"/>
  <c r="J16" i="3"/>
  <c r="H24" i="3"/>
  <c r="G101" i="3"/>
  <c r="G341" i="3"/>
  <c r="G437" i="3"/>
  <c r="G18" i="3"/>
  <c r="G19" i="3"/>
  <c r="N15" i="2"/>
  <c r="N16" i="2" s="1"/>
  <c r="E26" i="5"/>
  <c r="F25" i="5"/>
  <c r="G383" i="5"/>
  <c r="G102" i="5"/>
  <c r="G343" i="5"/>
  <c r="G381" i="5"/>
  <c r="G19" i="5"/>
  <c r="G20" i="5"/>
  <c r="AF30" i="6"/>
  <c r="S52" i="6" s="1"/>
  <c r="S53" i="6" s="1"/>
  <c r="I16" i="5"/>
  <c r="G437" i="4"/>
  <c r="G430" i="4"/>
  <c r="G380" i="5"/>
  <c r="G18" i="4"/>
  <c r="G382" i="5"/>
  <c r="H25" i="4" l="1"/>
  <c r="J16" i="4"/>
  <c r="G24" i="4"/>
  <c r="H24" i="4"/>
  <c r="F26" i="3"/>
  <c r="E27" i="3"/>
  <c r="I17" i="4"/>
  <c r="I18" i="4" s="1"/>
  <c r="E27" i="4"/>
  <c r="F26" i="4"/>
  <c r="J20" i="3"/>
  <c r="K20" i="3"/>
  <c r="I21" i="3"/>
  <c r="K17" i="3"/>
  <c r="J17" i="3"/>
  <c r="K16" i="5"/>
  <c r="J16" i="5"/>
  <c r="M12" i="5" s="1"/>
  <c r="I17" i="5"/>
  <c r="J19" i="3"/>
  <c r="K19" i="3"/>
  <c r="G25" i="5"/>
  <c r="H25" i="5"/>
  <c r="J18" i="3"/>
  <c r="K18" i="3"/>
  <c r="F26" i="5"/>
  <c r="E27" i="5"/>
  <c r="E28" i="3" l="1"/>
  <c r="F27" i="3"/>
  <c r="H26" i="4"/>
  <c r="G26" i="4"/>
  <c r="E28" i="4"/>
  <c r="F27" i="4"/>
  <c r="J17" i="4"/>
  <c r="K17" i="4"/>
  <c r="G26" i="3"/>
  <c r="H26" i="3"/>
  <c r="K21" i="3"/>
  <c r="J21" i="3"/>
  <c r="I22" i="3"/>
  <c r="K18" i="4"/>
  <c r="J18" i="4"/>
  <c r="I19" i="4"/>
  <c r="P26" i="3"/>
  <c r="O26" i="3"/>
  <c r="E28" i="5"/>
  <c r="F27" i="5"/>
  <c r="H26" i="5"/>
  <c r="G26" i="5"/>
  <c r="K17" i="5"/>
  <c r="I18" i="5"/>
  <c r="J17" i="5"/>
  <c r="G27" i="4" l="1"/>
  <c r="H27" i="4"/>
  <c r="E29" i="4"/>
  <c r="F28" i="4"/>
  <c r="H27" i="3"/>
  <c r="G27" i="3"/>
  <c r="F28" i="3"/>
  <c r="E29" i="3"/>
  <c r="K19" i="4"/>
  <c r="J19" i="4"/>
  <c r="I20" i="4"/>
  <c r="J22" i="3"/>
  <c r="K22" i="3"/>
  <c r="I23" i="3"/>
  <c r="H27" i="5"/>
  <c r="G27" i="5"/>
  <c r="F28" i="5"/>
  <c r="E29" i="5"/>
  <c r="K18" i="5"/>
  <c r="I19" i="5"/>
  <c r="J18" i="5"/>
  <c r="F29" i="3" l="1"/>
  <c r="E30" i="3"/>
  <c r="H28" i="3"/>
  <c r="G28" i="3"/>
  <c r="H28" i="4"/>
  <c r="G28" i="4"/>
  <c r="F29" i="4"/>
  <c r="E30" i="4"/>
  <c r="K23" i="3"/>
  <c r="J23" i="3"/>
  <c r="I24" i="3"/>
  <c r="M30" i="3"/>
  <c r="M28" i="3"/>
  <c r="M29" i="3"/>
  <c r="M27" i="3"/>
  <c r="K19" i="5"/>
  <c r="J19" i="5"/>
  <c r="I20" i="5"/>
  <c r="K20" i="4"/>
  <c r="J20" i="4"/>
  <c r="I21" i="4"/>
  <c r="E30" i="5"/>
  <c r="F29" i="5"/>
  <c r="H28" i="5"/>
  <c r="G28" i="5"/>
  <c r="G29" i="4" l="1"/>
  <c r="H29" i="4"/>
  <c r="F30" i="3"/>
  <c r="E31" i="3"/>
  <c r="F30" i="4"/>
  <c r="E31" i="4"/>
  <c r="G29" i="3"/>
  <c r="H29" i="3"/>
  <c r="J20" i="5"/>
  <c r="K20" i="5"/>
  <c r="I21" i="5"/>
  <c r="G29" i="5"/>
  <c r="H29" i="5"/>
  <c r="F30" i="5"/>
  <c r="E31" i="5"/>
  <c r="J21" i="4"/>
  <c r="K21" i="4"/>
  <c r="I22" i="4"/>
  <c r="P26" i="4"/>
  <c r="O26" i="4"/>
  <c r="J24" i="3"/>
  <c r="K24" i="3"/>
  <c r="I25" i="3"/>
  <c r="H30" i="3" l="1"/>
  <c r="G30" i="3"/>
  <c r="H30" i="4"/>
  <c r="G30" i="4"/>
  <c r="F31" i="4"/>
  <c r="E32" i="4"/>
  <c r="E32" i="3"/>
  <c r="F31" i="3"/>
  <c r="F31" i="5"/>
  <c r="E32" i="5"/>
  <c r="K21" i="5"/>
  <c r="J21" i="5"/>
  <c r="I22" i="5"/>
  <c r="J25" i="3"/>
  <c r="K25" i="3"/>
  <c r="I26" i="3"/>
  <c r="J22" i="4"/>
  <c r="K22" i="4"/>
  <c r="I23" i="4"/>
  <c r="H30" i="5"/>
  <c r="G30" i="5"/>
  <c r="H31" i="3" l="1"/>
  <c r="G31" i="3"/>
  <c r="E33" i="3"/>
  <c r="F32" i="3"/>
  <c r="G31" i="4"/>
  <c r="H31" i="4"/>
  <c r="E33" i="4"/>
  <c r="F32" i="4"/>
  <c r="P27" i="5"/>
  <c r="Q27" i="5"/>
  <c r="J23" i="4"/>
  <c r="K23" i="4"/>
  <c r="I24" i="4"/>
  <c r="K26" i="3"/>
  <c r="J26" i="3"/>
  <c r="I27" i="3"/>
  <c r="K22" i="5"/>
  <c r="J22" i="5"/>
  <c r="I23" i="5"/>
  <c r="F32" i="5"/>
  <c r="E33" i="5"/>
  <c r="G31" i="5"/>
  <c r="H31" i="5"/>
  <c r="M28" i="4"/>
  <c r="M27" i="4"/>
  <c r="M30" i="4"/>
  <c r="M29" i="4"/>
  <c r="F33" i="4" l="1"/>
  <c r="E34" i="4"/>
  <c r="G32" i="3"/>
  <c r="H32" i="3"/>
  <c r="G32" i="4"/>
  <c r="H32" i="4"/>
  <c r="F33" i="3"/>
  <c r="E34" i="3"/>
  <c r="E34" i="5"/>
  <c r="F33" i="5"/>
  <c r="G32" i="5"/>
  <c r="H32" i="5"/>
  <c r="K23" i="5"/>
  <c r="J23" i="5"/>
  <c r="I24" i="5"/>
  <c r="K27" i="3"/>
  <c r="J27" i="3"/>
  <c r="I28" i="3"/>
  <c r="K24" i="4"/>
  <c r="J24" i="4"/>
  <c r="I25" i="4"/>
  <c r="F34" i="3" l="1"/>
  <c r="E35" i="3"/>
  <c r="F34" i="4"/>
  <c r="E35" i="4"/>
  <c r="H33" i="3"/>
  <c r="G33" i="3"/>
  <c r="H33" i="4"/>
  <c r="G33" i="4"/>
  <c r="H33" i="5"/>
  <c r="G33" i="5"/>
  <c r="J24" i="5"/>
  <c r="K24" i="5"/>
  <c r="I25" i="5"/>
  <c r="N31" i="5"/>
  <c r="N29" i="5"/>
  <c r="N28" i="5"/>
  <c r="N30" i="5"/>
  <c r="J25" i="4"/>
  <c r="K25" i="4"/>
  <c r="I26" i="4"/>
  <c r="F34" i="5"/>
  <c r="E35" i="5"/>
  <c r="J28" i="3"/>
  <c r="K28" i="3"/>
  <c r="I29" i="3"/>
  <c r="G34" i="4" l="1"/>
  <c r="H34" i="4"/>
  <c r="E36" i="4"/>
  <c r="F35" i="4"/>
  <c r="F35" i="3"/>
  <c r="E36" i="3"/>
  <c r="G34" i="3"/>
  <c r="H34" i="3"/>
  <c r="K29" i="3"/>
  <c r="J29" i="3"/>
  <c r="I30" i="3"/>
  <c r="F35" i="5"/>
  <c r="E36" i="5"/>
  <c r="G34" i="5"/>
  <c r="H34" i="5"/>
  <c r="K26" i="4"/>
  <c r="J26" i="4"/>
  <c r="I27" i="4"/>
  <c r="K25" i="5"/>
  <c r="J25" i="5"/>
  <c r="I26" i="5"/>
  <c r="F36" i="3" l="1"/>
  <c r="E37" i="3"/>
  <c r="F36" i="4"/>
  <c r="E37" i="4"/>
  <c r="G35" i="3"/>
  <c r="H35" i="3"/>
  <c r="H35" i="4"/>
  <c r="G35" i="4"/>
  <c r="E37" i="5"/>
  <c r="F36" i="5"/>
  <c r="K26" i="5"/>
  <c r="J26" i="5"/>
  <c r="I27" i="5"/>
  <c r="H35" i="5"/>
  <c r="G35" i="5"/>
  <c r="K30" i="3"/>
  <c r="J30" i="3"/>
  <c r="I31" i="3"/>
  <c r="K27" i="4"/>
  <c r="J27" i="4"/>
  <c r="I28" i="4"/>
  <c r="H36" i="4" l="1"/>
  <c r="G36" i="4"/>
  <c r="E38" i="4"/>
  <c r="F37" i="4"/>
  <c r="E38" i="3"/>
  <c r="F37" i="3"/>
  <c r="G36" i="3"/>
  <c r="H36" i="3"/>
  <c r="K27" i="5"/>
  <c r="J27" i="5"/>
  <c r="I28" i="5"/>
  <c r="G36" i="5"/>
  <c r="H36" i="5"/>
  <c r="E38" i="5"/>
  <c r="F37" i="5"/>
  <c r="J28" i="4"/>
  <c r="K28" i="4"/>
  <c r="I29" i="4"/>
  <c r="K31" i="3"/>
  <c r="J31" i="3"/>
  <c r="I32" i="3"/>
  <c r="F38" i="4" l="1"/>
  <c r="E39" i="4"/>
  <c r="F38" i="3"/>
  <c r="E39" i="3"/>
  <c r="H37" i="3"/>
  <c r="G37" i="3"/>
  <c r="G37" i="4"/>
  <c r="H37" i="4"/>
  <c r="K29" i="4"/>
  <c r="J29" i="4"/>
  <c r="I30" i="4"/>
  <c r="H37" i="5"/>
  <c r="G37" i="5"/>
  <c r="E39" i="5"/>
  <c r="F38" i="5"/>
  <c r="K28" i="5"/>
  <c r="J28" i="5"/>
  <c r="I29" i="5"/>
  <c r="J32" i="3"/>
  <c r="K32" i="3"/>
  <c r="I33" i="3"/>
  <c r="H38" i="3" l="1"/>
  <c r="G38" i="3"/>
  <c r="E40" i="4"/>
  <c r="F39" i="4"/>
  <c r="E40" i="3"/>
  <c r="F39" i="3"/>
  <c r="H38" i="4"/>
  <c r="G38" i="4"/>
  <c r="G38" i="5"/>
  <c r="H38" i="5"/>
  <c r="J30" i="4"/>
  <c r="K30" i="4"/>
  <c r="I31" i="4"/>
  <c r="E40" i="5"/>
  <c r="F39" i="5"/>
  <c r="K33" i="3"/>
  <c r="J33" i="3"/>
  <c r="I34" i="3"/>
  <c r="K29" i="5"/>
  <c r="J29" i="5"/>
  <c r="I30" i="5"/>
  <c r="E41" i="4" l="1"/>
  <c r="F40" i="4"/>
  <c r="H39" i="4"/>
  <c r="G39" i="4"/>
  <c r="H39" i="3"/>
  <c r="G39" i="3"/>
  <c r="F40" i="3"/>
  <c r="E41" i="3"/>
  <c r="H39" i="5"/>
  <c r="G39" i="5"/>
  <c r="J30" i="5"/>
  <c r="K30" i="5"/>
  <c r="I31" i="5"/>
  <c r="J34" i="3"/>
  <c r="K34" i="3"/>
  <c r="I35" i="3"/>
  <c r="E41" i="5"/>
  <c r="F40" i="5"/>
  <c r="J31" i="4"/>
  <c r="K31" i="4"/>
  <c r="I32" i="4"/>
  <c r="E42" i="3" l="1"/>
  <c r="F41" i="3"/>
  <c r="G40" i="4"/>
  <c r="H40" i="4"/>
  <c r="H40" i="3"/>
  <c r="G40" i="3"/>
  <c r="E42" i="4"/>
  <c r="F41" i="4"/>
  <c r="K31" i="5"/>
  <c r="J31" i="5"/>
  <c r="I32" i="5"/>
  <c r="J32" i="4"/>
  <c r="K32" i="4"/>
  <c r="I33" i="4"/>
  <c r="G40" i="5"/>
  <c r="H40" i="5"/>
  <c r="F41" i="5"/>
  <c r="E42" i="5"/>
  <c r="J35" i="3"/>
  <c r="K35" i="3"/>
  <c r="I36" i="3"/>
  <c r="F42" i="4" l="1"/>
  <c r="E43" i="4"/>
  <c r="H41" i="3"/>
  <c r="G41" i="3"/>
  <c r="H41" i="4"/>
  <c r="G41" i="4"/>
  <c r="F42" i="3"/>
  <c r="E43" i="3"/>
  <c r="K33" i="4"/>
  <c r="J33" i="4"/>
  <c r="I34" i="4"/>
  <c r="K36" i="3"/>
  <c r="J36" i="3"/>
  <c r="I37" i="3"/>
  <c r="K32" i="5"/>
  <c r="J32" i="5"/>
  <c r="I33" i="5"/>
  <c r="F42" i="5"/>
  <c r="E43" i="5"/>
  <c r="H41" i="5"/>
  <c r="G41" i="5"/>
  <c r="E44" i="4" l="1"/>
  <c r="F43" i="4"/>
  <c r="E44" i="3"/>
  <c r="F43" i="3"/>
  <c r="G42" i="3"/>
  <c r="H42" i="3"/>
  <c r="H42" i="4"/>
  <c r="G42" i="4"/>
  <c r="J37" i="3"/>
  <c r="K37" i="3"/>
  <c r="I38" i="3"/>
  <c r="E44" i="5"/>
  <c r="F43" i="5"/>
  <c r="H42" i="5"/>
  <c r="G42" i="5"/>
  <c r="K33" i="5"/>
  <c r="J33" i="5"/>
  <c r="I34" i="5"/>
  <c r="J34" i="4"/>
  <c r="K34" i="4"/>
  <c r="I35" i="4"/>
  <c r="G43" i="3" l="1"/>
  <c r="H43" i="3"/>
  <c r="E45" i="3"/>
  <c r="F44" i="3"/>
  <c r="G43" i="4"/>
  <c r="H43" i="4"/>
  <c r="F44" i="4"/>
  <c r="E45" i="4"/>
  <c r="H43" i="5"/>
  <c r="G43" i="5"/>
  <c r="K35" i="4"/>
  <c r="J35" i="4"/>
  <c r="I36" i="4"/>
  <c r="K34" i="5"/>
  <c r="J34" i="5"/>
  <c r="I35" i="5"/>
  <c r="E45" i="5"/>
  <c r="F44" i="5"/>
  <c r="K38" i="3"/>
  <c r="J38" i="3"/>
  <c r="I39" i="3"/>
  <c r="F45" i="4" l="1"/>
  <c r="E46" i="4"/>
  <c r="H44" i="4"/>
  <c r="G44" i="4"/>
  <c r="G44" i="3"/>
  <c r="H44" i="3"/>
  <c r="E46" i="3"/>
  <c r="F45" i="3"/>
  <c r="K35" i="5"/>
  <c r="J35" i="5"/>
  <c r="I36" i="5"/>
  <c r="H44" i="5"/>
  <c r="G44" i="5"/>
  <c r="F45" i="5"/>
  <c r="E46" i="5"/>
  <c r="J36" i="4"/>
  <c r="K36" i="4"/>
  <c r="I37" i="4"/>
  <c r="J39" i="3"/>
  <c r="K39" i="3"/>
  <c r="I40" i="3"/>
  <c r="F46" i="3" l="1"/>
  <c r="E47" i="3"/>
  <c r="H45" i="3"/>
  <c r="G45" i="3"/>
  <c r="E47" i="4"/>
  <c r="F46" i="4"/>
  <c r="H45" i="4"/>
  <c r="G45" i="4"/>
  <c r="K37" i="4"/>
  <c r="J37" i="4"/>
  <c r="I38" i="4"/>
  <c r="K40" i="3"/>
  <c r="J40" i="3"/>
  <c r="I41" i="3"/>
  <c r="E47" i="5"/>
  <c r="F46" i="5"/>
  <c r="H45" i="5"/>
  <c r="G45" i="5"/>
  <c r="J36" i="5"/>
  <c r="K36" i="5"/>
  <c r="I37" i="5"/>
  <c r="H46" i="4" l="1"/>
  <c r="G46" i="4"/>
  <c r="E48" i="4"/>
  <c r="F47" i="4"/>
  <c r="F47" i="3"/>
  <c r="E48" i="3"/>
  <c r="H46" i="3"/>
  <c r="G46" i="3"/>
  <c r="E48" i="5"/>
  <c r="F47" i="5"/>
  <c r="K38" i="4"/>
  <c r="J38" i="4"/>
  <c r="I39" i="4"/>
  <c r="H46" i="5"/>
  <c r="G46" i="5"/>
  <c r="J41" i="3"/>
  <c r="K41" i="3"/>
  <c r="I42" i="3"/>
  <c r="K37" i="5"/>
  <c r="J37" i="5"/>
  <c r="I38" i="5"/>
  <c r="H47" i="3" l="1"/>
  <c r="G47" i="3"/>
  <c r="F48" i="3"/>
  <c r="E49" i="3"/>
  <c r="G47" i="4"/>
  <c r="H47" i="4"/>
  <c r="E49" i="4"/>
  <c r="F48" i="4"/>
  <c r="K38" i="5"/>
  <c r="J38" i="5"/>
  <c r="I39" i="5"/>
  <c r="K42" i="3"/>
  <c r="J42" i="3"/>
  <c r="I43" i="3"/>
  <c r="K39" i="4"/>
  <c r="J39" i="4"/>
  <c r="I40" i="4"/>
  <c r="H47" i="5"/>
  <c r="G47" i="5"/>
  <c r="E49" i="5"/>
  <c r="F48" i="5"/>
  <c r="H48" i="3" l="1"/>
  <c r="G48" i="3"/>
  <c r="H48" i="4"/>
  <c r="G48" i="4"/>
  <c r="E50" i="4"/>
  <c r="F49" i="4"/>
  <c r="E50" i="3"/>
  <c r="F49" i="3"/>
  <c r="J43" i="3"/>
  <c r="K43" i="3"/>
  <c r="I44" i="3"/>
  <c r="G48" i="5"/>
  <c r="H48" i="5"/>
  <c r="F49" i="5"/>
  <c r="E50" i="5"/>
  <c r="K39" i="5"/>
  <c r="J39" i="5"/>
  <c r="I40" i="5"/>
  <c r="J40" i="4"/>
  <c r="K40" i="4"/>
  <c r="I41" i="4"/>
  <c r="G49" i="3" l="1"/>
  <c r="H49" i="3"/>
  <c r="E51" i="3"/>
  <c r="F50" i="3"/>
  <c r="H49" i="4"/>
  <c r="G49" i="4"/>
  <c r="E51" i="4"/>
  <c r="F50" i="4"/>
  <c r="F50" i="5"/>
  <c r="E51" i="5"/>
  <c r="J41" i="4"/>
  <c r="K41" i="4"/>
  <c r="I42" i="4"/>
  <c r="G49" i="5"/>
  <c r="H49" i="5"/>
  <c r="J40" i="5"/>
  <c r="K40" i="5"/>
  <c r="I41" i="5"/>
  <c r="J44" i="3"/>
  <c r="K44" i="3"/>
  <c r="I45" i="3"/>
  <c r="E52" i="4" l="1"/>
  <c r="F51" i="4"/>
  <c r="H50" i="3"/>
  <c r="G50" i="3"/>
  <c r="H50" i="4"/>
  <c r="G50" i="4"/>
  <c r="F51" i="3"/>
  <c r="E52" i="3"/>
  <c r="K42" i="4"/>
  <c r="J42" i="4"/>
  <c r="I43" i="4"/>
  <c r="E52" i="5"/>
  <c r="F51" i="5"/>
  <c r="K41" i="5"/>
  <c r="J41" i="5"/>
  <c r="I42" i="5"/>
  <c r="J45" i="3"/>
  <c r="K45" i="3"/>
  <c r="I46" i="3"/>
  <c r="G50" i="5"/>
  <c r="H50" i="5"/>
  <c r="G51" i="3" l="1"/>
  <c r="H51" i="3"/>
  <c r="G51" i="4"/>
  <c r="H51" i="4"/>
  <c r="F52" i="3"/>
  <c r="E53" i="3"/>
  <c r="E53" i="4"/>
  <c r="F52" i="4"/>
  <c r="H51" i="5"/>
  <c r="G51" i="5"/>
  <c r="E53" i="5"/>
  <c r="F52" i="5"/>
  <c r="J46" i="3"/>
  <c r="K46" i="3"/>
  <c r="I47" i="3"/>
  <c r="K43" i="4"/>
  <c r="J43" i="4"/>
  <c r="I44" i="4"/>
  <c r="K42" i="5"/>
  <c r="J42" i="5"/>
  <c r="I43" i="5"/>
  <c r="E54" i="4" l="1"/>
  <c r="F53" i="4"/>
  <c r="G53" i="4" s="1"/>
  <c r="E54" i="3"/>
  <c r="F53" i="3"/>
  <c r="G53" i="3" s="1"/>
  <c r="G52" i="4"/>
  <c r="H52" i="4"/>
  <c r="G52" i="3"/>
  <c r="H52" i="3"/>
  <c r="K44" i="4"/>
  <c r="J44" i="4"/>
  <c r="I45" i="4"/>
  <c r="J47" i="3"/>
  <c r="K47" i="3"/>
  <c r="I48" i="3"/>
  <c r="H52" i="5"/>
  <c r="G52" i="5"/>
  <c r="K43" i="5"/>
  <c r="J43" i="5"/>
  <c r="I44" i="5"/>
  <c r="E54" i="5"/>
  <c r="F53" i="5"/>
  <c r="E55" i="3" l="1"/>
  <c r="F54" i="3"/>
  <c r="F54" i="4"/>
  <c r="E55" i="4"/>
  <c r="J45" i="4"/>
  <c r="K45" i="4"/>
  <c r="I46" i="4"/>
  <c r="F54" i="5"/>
  <c r="G54" i="5" s="1"/>
  <c r="E55" i="5"/>
  <c r="K44" i="5"/>
  <c r="J44" i="5"/>
  <c r="I45" i="5"/>
  <c r="J48" i="3"/>
  <c r="K48" i="3"/>
  <c r="I49" i="3"/>
  <c r="G53" i="5"/>
  <c r="H53" i="5"/>
  <c r="E56" i="4" l="1"/>
  <c r="F55" i="4"/>
  <c r="H54" i="3"/>
  <c r="G54" i="3"/>
  <c r="H54" i="4"/>
  <c r="G54" i="4"/>
  <c r="E56" i="3"/>
  <c r="F55" i="3"/>
  <c r="K45" i="5"/>
  <c r="J45" i="5"/>
  <c r="I46" i="5"/>
  <c r="F55" i="5"/>
  <c r="E56" i="5"/>
  <c r="J46" i="4"/>
  <c r="K46" i="4"/>
  <c r="I47" i="4"/>
  <c r="J49" i="3"/>
  <c r="K49" i="3"/>
  <c r="I50" i="3"/>
  <c r="H55" i="4" l="1"/>
  <c r="G55" i="4"/>
  <c r="G55" i="3"/>
  <c r="H55" i="3"/>
  <c r="F56" i="3"/>
  <c r="E57" i="3"/>
  <c r="E57" i="4"/>
  <c r="F56" i="4"/>
  <c r="F56" i="5"/>
  <c r="E57" i="5"/>
  <c r="K46" i="5"/>
  <c r="J46" i="5"/>
  <c r="I47" i="5"/>
  <c r="J47" i="4"/>
  <c r="K47" i="4"/>
  <c r="I48" i="4"/>
  <c r="H55" i="5"/>
  <c r="G55" i="5"/>
  <c r="J50" i="3"/>
  <c r="K50" i="3"/>
  <c r="I51" i="3"/>
  <c r="F57" i="3" l="1"/>
  <c r="E58" i="3"/>
  <c r="F57" i="4"/>
  <c r="E58" i="4"/>
  <c r="H56" i="4"/>
  <c r="G56" i="4"/>
  <c r="G56" i="3"/>
  <c r="H56" i="3"/>
  <c r="J48" i="4"/>
  <c r="K48" i="4"/>
  <c r="I49" i="4"/>
  <c r="J51" i="3"/>
  <c r="K51" i="3"/>
  <c r="I52" i="3"/>
  <c r="H56" i="5"/>
  <c r="G56" i="5"/>
  <c r="K47" i="5"/>
  <c r="J47" i="5"/>
  <c r="I48" i="5"/>
  <c r="E58" i="5"/>
  <c r="F57" i="5"/>
  <c r="G57" i="4" l="1"/>
  <c r="H57" i="4"/>
  <c r="F58" i="3"/>
  <c r="E59" i="3"/>
  <c r="E59" i="4"/>
  <c r="F58" i="4"/>
  <c r="H57" i="3"/>
  <c r="G57" i="3"/>
  <c r="F58" i="5"/>
  <c r="E59" i="5"/>
  <c r="H57" i="5"/>
  <c r="G57" i="5"/>
  <c r="K52" i="3"/>
  <c r="I53" i="3"/>
  <c r="J52" i="3"/>
  <c r="K49" i="4"/>
  <c r="J49" i="4"/>
  <c r="I50" i="4"/>
  <c r="J48" i="5"/>
  <c r="K48" i="5"/>
  <c r="I49" i="5"/>
  <c r="G58" i="4" l="1"/>
  <c r="H58" i="4"/>
  <c r="E60" i="4"/>
  <c r="F59" i="4"/>
  <c r="E60" i="3"/>
  <c r="F59" i="3"/>
  <c r="H58" i="3"/>
  <c r="G58" i="3"/>
  <c r="K49" i="5"/>
  <c r="J49" i="5"/>
  <c r="I50" i="5"/>
  <c r="F59" i="5"/>
  <c r="E60" i="5"/>
  <c r="H58" i="5"/>
  <c r="G58" i="5"/>
  <c r="K53" i="3"/>
  <c r="J53" i="3"/>
  <c r="I54" i="3"/>
  <c r="K50" i="4"/>
  <c r="J50" i="4"/>
  <c r="I51" i="4"/>
  <c r="F60" i="3" l="1"/>
  <c r="E61" i="3"/>
  <c r="G59" i="3"/>
  <c r="H59" i="3"/>
  <c r="H59" i="4"/>
  <c r="G59" i="4"/>
  <c r="F60" i="4"/>
  <c r="E61" i="4"/>
  <c r="E61" i="5"/>
  <c r="F60" i="5"/>
  <c r="K54" i="3"/>
  <c r="J54" i="3"/>
  <c r="I55" i="3"/>
  <c r="K51" i="4"/>
  <c r="J51" i="4"/>
  <c r="I52" i="4"/>
  <c r="G59" i="5"/>
  <c r="H59" i="5"/>
  <c r="K50" i="5"/>
  <c r="J50" i="5"/>
  <c r="I51" i="5"/>
  <c r="E62" i="4" l="1"/>
  <c r="F61" i="4"/>
  <c r="F61" i="3"/>
  <c r="E62" i="3"/>
  <c r="G60" i="4"/>
  <c r="H60" i="4"/>
  <c r="G60" i="3"/>
  <c r="H60" i="3"/>
  <c r="H60" i="5"/>
  <c r="G60" i="5"/>
  <c r="F61" i="5"/>
  <c r="E62" i="5"/>
  <c r="I53" i="4"/>
  <c r="K52" i="4"/>
  <c r="J52" i="4"/>
  <c r="K55" i="3"/>
  <c r="J55" i="3"/>
  <c r="I56" i="3"/>
  <c r="K51" i="5"/>
  <c r="J51" i="5"/>
  <c r="I52" i="5"/>
  <c r="H61" i="4" l="1"/>
  <c r="G61" i="4"/>
  <c r="F62" i="3"/>
  <c r="E63" i="3"/>
  <c r="H61" i="3"/>
  <c r="G61" i="3"/>
  <c r="E63" i="4"/>
  <c r="F62" i="4"/>
  <c r="K53" i="4"/>
  <c r="J53" i="4"/>
  <c r="I54" i="4"/>
  <c r="K52" i="5"/>
  <c r="J52" i="5"/>
  <c r="I53" i="5"/>
  <c r="F62" i="5"/>
  <c r="E63" i="5"/>
  <c r="G61" i="5"/>
  <c r="H61" i="5"/>
  <c r="K56" i="3"/>
  <c r="J56" i="3"/>
  <c r="I57" i="3"/>
  <c r="G62" i="4" l="1"/>
  <c r="H62" i="4"/>
  <c r="F63" i="4"/>
  <c r="E64" i="4"/>
  <c r="F63" i="3"/>
  <c r="E64" i="3"/>
  <c r="H62" i="3"/>
  <c r="G62" i="3"/>
  <c r="F63" i="5"/>
  <c r="E64" i="5"/>
  <c r="H62" i="5"/>
  <c r="G62" i="5"/>
  <c r="K53" i="5"/>
  <c r="J53" i="5"/>
  <c r="I54" i="5"/>
  <c r="K57" i="3"/>
  <c r="J57" i="3"/>
  <c r="I58" i="3"/>
  <c r="K54" i="4"/>
  <c r="J54" i="4"/>
  <c r="I55" i="4"/>
  <c r="F64" i="4" l="1"/>
  <c r="E65" i="4"/>
  <c r="F64" i="3"/>
  <c r="E65" i="3"/>
  <c r="H63" i="3"/>
  <c r="G63" i="3"/>
  <c r="H63" i="4"/>
  <c r="G63" i="4"/>
  <c r="J55" i="4"/>
  <c r="K55" i="4"/>
  <c r="I56" i="4"/>
  <c r="E65" i="5"/>
  <c r="F64" i="5"/>
  <c r="K58" i="3"/>
  <c r="J58" i="3"/>
  <c r="I59" i="3"/>
  <c r="K54" i="5"/>
  <c r="J54" i="5"/>
  <c r="I55" i="5"/>
  <c r="G63" i="5"/>
  <c r="H63" i="5"/>
  <c r="G64" i="3" l="1"/>
  <c r="H64" i="3"/>
  <c r="F65" i="4"/>
  <c r="E66" i="4"/>
  <c r="E66" i="3"/>
  <c r="F65" i="3"/>
  <c r="G64" i="4"/>
  <c r="H64" i="4"/>
  <c r="G64" i="5"/>
  <c r="H64" i="5"/>
  <c r="K56" i="4"/>
  <c r="J56" i="4"/>
  <c r="I57" i="4"/>
  <c r="K59" i="3"/>
  <c r="J59" i="3"/>
  <c r="I60" i="3"/>
  <c r="E66" i="5"/>
  <c r="F65" i="5"/>
  <c r="K55" i="5"/>
  <c r="J55" i="5"/>
  <c r="I56" i="5"/>
  <c r="E67" i="3" l="1"/>
  <c r="F66" i="3"/>
  <c r="F66" i="4"/>
  <c r="E67" i="4"/>
  <c r="H65" i="3"/>
  <c r="G65" i="3"/>
  <c r="G65" i="4"/>
  <c r="H65" i="4"/>
  <c r="K56" i="5"/>
  <c r="J56" i="5"/>
  <c r="I57" i="5"/>
  <c r="H65" i="5"/>
  <c r="G65" i="5"/>
  <c r="E67" i="5"/>
  <c r="F66" i="5"/>
  <c r="K57" i="4"/>
  <c r="J57" i="4"/>
  <c r="I58" i="4"/>
  <c r="K60" i="3"/>
  <c r="J60" i="3"/>
  <c r="I61" i="3"/>
  <c r="F67" i="4" l="1"/>
  <c r="E68" i="4"/>
  <c r="G66" i="3"/>
  <c r="H66" i="3"/>
  <c r="H66" i="4"/>
  <c r="G66" i="4"/>
  <c r="F67" i="3"/>
  <c r="E68" i="3"/>
  <c r="F67" i="5"/>
  <c r="E68" i="5"/>
  <c r="K61" i="3"/>
  <c r="J61" i="3"/>
  <c r="I62" i="3"/>
  <c r="K57" i="5"/>
  <c r="J57" i="5"/>
  <c r="I58" i="5"/>
  <c r="H66" i="5"/>
  <c r="G66" i="5"/>
  <c r="J58" i="4"/>
  <c r="K58" i="4"/>
  <c r="I59" i="4"/>
  <c r="G67" i="3" l="1"/>
  <c r="H67" i="3"/>
  <c r="E69" i="3"/>
  <c r="F68" i="3"/>
  <c r="F68" i="4"/>
  <c r="E69" i="4"/>
  <c r="H67" i="4"/>
  <c r="G67" i="4"/>
  <c r="J58" i="5"/>
  <c r="K58" i="5"/>
  <c r="I59" i="5"/>
  <c r="K62" i="3"/>
  <c r="J62" i="3"/>
  <c r="I63" i="3"/>
  <c r="J59" i="4"/>
  <c r="K59" i="4"/>
  <c r="I60" i="4"/>
  <c r="E69" i="5"/>
  <c r="F68" i="5"/>
  <c r="G67" i="5"/>
  <c r="H67" i="5"/>
  <c r="G68" i="4" l="1"/>
  <c r="H68" i="4"/>
  <c r="E70" i="4"/>
  <c r="F69" i="4"/>
  <c r="H68" i="3"/>
  <c r="G68" i="3"/>
  <c r="E70" i="3"/>
  <c r="F69" i="3"/>
  <c r="K63" i="3"/>
  <c r="J63" i="3"/>
  <c r="I64" i="3"/>
  <c r="F69" i="5"/>
  <c r="E70" i="5"/>
  <c r="H68" i="5"/>
  <c r="G68" i="5"/>
  <c r="K59" i="5"/>
  <c r="J59" i="5"/>
  <c r="I60" i="5"/>
  <c r="J60" i="4"/>
  <c r="K60" i="4"/>
  <c r="I61" i="4"/>
  <c r="G69" i="3" l="1"/>
  <c r="H69" i="3"/>
  <c r="F70" i="3"/>
  <c r="E71" i="3"/>
  <c r="H69" i="4"/>
  <c r="G69" i="4"/>
  <c r="F70" i="4"/>
  <c r="E71" i="4"/>
  <c r="H69" i="5"/>
  <c r="G69" i="5"/>
  <c r="K64" i="3"/>
  <c r="J64" i="3"/>
  <c r="I65" i="3"/>
  <c r="F70" i="5"/>
  <c r="E71" i="5"/>
  <c r="K61" i="4"/>
  <c r="J61" i="4"/>
  <c r="I62" i="4"/>
  <c r="J60" i="5"/>
  <c r="K60" i="5"/>
  <c r="I61" i="5"/>
  <c r="E72" i="4" l="1"/>
  <c r="F71" i="4"/>
  <c r="G70" i="4"/>
  <c r="H70" i="4"/>
  <c r="F71" i="3"/>
  <c r="E72" i="3"/>
  <c r="H70" i="3"/>
  <c r="G70" i="3"/>
  <c r="H70" i="5"/>
  <c r="G70" i="5"/>
  <c r="K65" i="3"/>
  <c r="J65" i="3"/>
  <c r="I66" i="3"/>
  <c r="K61" i="5"/>
  <c r="J61" i="5"/>
  <c r="I62" i="5"/>
  <c r="J62" i="4"/>
  <c r="K62" i="4"/>
  <c r="I63" i="4"/>
  <c r="E72" i="5"/>
  <c r="F71" i="5"/>
  <c r="E73" i="3" l="1"/>
  <c r="F72" i="3"/>
  <c r="G71" i="3"/>
  <c r="H71" i="3"/>
  <c r="H71" i="4"/>
  <c r="G71" i="4"/>
  <c r="F72" i="4"/>
  <c r="E73" i="4"/>
  <c r="K66" i="3"/>
  <c r="J66" i="3"/>
  <c r="I67" i="3"/>
  <c r="H71" i="5"/>
  <c r="G71" i="5"/>
  <c r="E73" i="5"/>
  <c r="F72" i="5"/>
  <c r="J63" i="4"/>
  <c r="K63" i="4"/>
  <c r="I64" i="4"/>
  <c r="K62" i="5"/>
  <c r="J62" i="5"/>
  <c r="I63" i="5"/>
  <c r="F73" i="4" l="1"/>
  <c r="E74" i="4"/>
  <c r="H72" i="4"/>
  <c r="G72" i="4"/>
  <c r="H72" i="3"/>
  <c r="G72" i="3"/>
  <c r="E74" i="3"/>
  <c r="F73" i="3"/>
  <c r="K63" i="5"/>
  <c r="J63" i="5"/>
  <c r="I64" i="5"/>
  <c r="K64" i="4"/>
  <c r="J64" i="4"/>
  <c r="I65" i="4"/>
  <c r="E74" i="5"/>
  <c r="F73" i="5"/>
  <c r="K67" i="3"/>
  <c r="J67" i="3"/>
  <c r="I68" i="3"/>
  <c r="H72" i="5"/>
  <c r="G72" i="5"/>
  <c r="G73" i="3" l="1"/>
  <c r="H73" i="3"/>
  <c r="F74" i="3"/>
  <c r="E75" i="3"/>
  <c r="F74" i="4"/>
  <c r="E75" i="4"/>
  <c r="H73" i="4"/>
  <c r="G73" i="4"/>
  <c r="J64" i="5"/>
  <c r="K64" i="5"/>
  <c r="I65" i="5"/>
  <c r="G73" i="5"/>
  <c r="H73" i="5"/>
  <c r="E75" i="5"/>
  <c r="F74" i="5"/>
  <c r="K65" i="4"/>
  <c r="J65" i="4"/>
  <c r="I66" i="4"/>
  <c r="J68" i="3"/>
  <c r="K68" i="3"/>
  <c r="I69" i="3"/>
  <c r="F75" i="4" l="1"/>
  <c r="E76" i="4"/>
  <c r="G74" i="4"/>
  <c r="H74" i="4"/>
  <c r="E76" i="3"/>
  <c r="F75" i="3"/>
  <c r="G74" i="3"/>
  <c r="H74" i="3"/>
  <c r="H74" i="5"/>
  <c r="G74" i="5"/>
  <c r="K65" i="5"/>
  <c r="J65" i="5"/>
  <c r="I66" i="5"/>
  <c r="E76" i="5"/>
  <c r="F75" i="5"/>
  <c r="K69" i="3"/>
  <c r="J69" i="3"/>
  <c r="I70" i="3"/>
  <c r="K66" i="4"/>
  <c r="J66" i="4"/>
  <c r="I67" i="4"/>
  <c r="H75" i="3" l="1"/>
  <c r="G75" i="3"/>
  <c r="E77" i="3"/>
  <c r="F76" i="3"/>
  <c r="E77" i="4"/>
  <c r="F76" i="4"/>
  <c r="H75" i="4"/>
  <c r="G75" i="4"/>
  <c r="E77" i="5"/>
  <c r="F76" i="5"/>
  <c r="J66" i="5"/>
  <c r="K66" i="5"/>
  <c r="I67" i="5"/>
  <c r="J67" i="4"/>
  <c r="K67" i="4"/>
  <c r="I68" i="4"/>
  <c r="K70" i="3"/>
  <c r="J70" i="3"/>
  <c r="I71" i="3"/>
  <c r="H75" i="5"/>
  <c r="G75" i="5"/>
  <c r="H76" i="4" l="1"/>
  <c r="G76" i="4"/>
  <c r="E78" i="4"/>
  <c r="F77" i="4"/>
  <c r="G76" i="3"/>
  <c r="H76" i="3"/>
  <c r="E78" i="3"/>
  <c r="F77" i="3"/>
  <c r="K71" i="3"/>
  <c r="J71" i="3"/>
  <c r="I72" i="3"/>
  <c r="J68" i="4"/>
  <c r="K68" i="4"/>
  <c r="I69" i="4"/>
  <c r="K67" i="5"/>
  <c r="J67" i="5"/>
  <c r="I68" i="5"/>
  <c r="H76" i="5"/>
  <c r="G76" i="5"/>
  <c r="F77" i="5"/>
  <c r="E78" i="5"/>
  <c r="H77" i="3" l="1"/>
  <c r="G77" i="3"/>
  <c r="F78" i="3"/>
  <c r="E79" i="3"/>
  <c r="H77" i="4"/>
  <c r="G77" i="4"/>
  <c r="E79" i="4"/>
  <c r="F78" i="4"/>
  <c r="K69" i="4"/>
  <c r="J69" i="4"/>
  <c r="I70" i="4"/>
  <c r="E79" i="5"/>
  <c r="F78" i="5"/>
  <c r="G77" i="5"/>
  <c r="H77" i="5"/>
  <c r="K72" i="3"/>
  <c r="J72" i="3"/>
  <c r="I73" i="3"/>
  <c r="K68" i="5"/>
  <c r="J68" i="5"/>
  <c r="I69" i="5"/>
  <c r="H78" i="4" l="1"/>
  <c r="G78" i="4"/>
  <c r="F79" i="4"/>
  <c r="E80" i="4"/>
  <c r="E80" i="3"/>
  <c r="F79" i="3"/>
  <c r="G78" i="3"/>
  <c r="H78" i="3"/>
  <c r="H78" i="5"/>
  <c r="G78" i="5"/>
  <c r="F79" i="5"/>
  <c r="E80" i="5"/>
  <c r="K69" i="5"/>
  <c r="J69" i="5"/>
  <c r="I70" i="5"/>
  <c r="J70" i="4"/>
  <c r="K70" i="4"/>
  <c r="I71" i="4"/>
  <c r="K73" i="3"/>
  <c r="J73" i="3"/>
  <c r="I74" i="3"/>
  <c r="F80" i="4" l="1"/>
  <c r="E81" i="4"/>
  <c r="H79" i="3"/>
  <c r="G79" i="3"/>
  <c r="E81" i="3"/>
  <c r="F80" i="3"/>
  <c r="G79" i="4"/>
  <c r="H79" i="4"/>
  <c r="K71" i="4"/>
  <c r="J71" i="4"/>
  <c r="I72" i="4"/>
  <c r="K70" i="5"/>
  <c r="J70" i="5"/>
  <c r="I71" i="5"/>
  <c r="E81" i="5"/>
  <c r="F80" i="5"/>
  <c r="G79" i="5"/>
  <c r="H79" i="5"/>
  <c r="K74" i="3"/>
  <c r="J74" i="3"/>
  <c r="I75" i="3"/>
  <c r="G80" i="3" l="1"/>
  <c r="H80" i="3"/>
  <c r="F81" i="3"/>
  <c r="E82" i="3"/>
  <c r="E82" i="4"/>
  <c r="F81" i="4"/>
  <c r="H80" i="4"/>
  <c r="G80" i="4"/>
  <c r="H80" i="5"/>
  <c r="G80" i="5"/>
  <c r="F81" i="5"/>
  <c r="E82" i="5"/>
  <c r="K71" i="5"/>
  <c r="J71" i="5"/>
  <c r="I72" i="5"/>
  <c r="K75" i="3"/>
  <c r="J75" i="3"/>
  <c r="I76" i="3"/>
  <c r="K72" i="4"/>
  <c r="J72" i="4"/>
  <c r="I73" i="4"/>
  <c r="G81" i="4" l="1"/>
  <c r="H81" i="4"/>
  <c r="E83" i="4"/>
  <c r="F82" i="4"/>
  <c r="F82" i="3"/>
  <c r="E83" i="3"/>
  <c r="G81" i="3"/>
  <c r="H81" i="3"/>
  <c r="J73" i="4"/>
  <c r="K73" i="4"/>
  <c r="I74" i="4"/>
  <c r="F82" i="5"/>
  <c r="E83" i="5"/>
  <c r="H81" i="5"/>
  <c r="G81" i="5"/>
  <c r="K76" i="3"/>
  <c r="J76" i="3"/>
  <c r="I77" i="3"/>
  <c r="J72" i="5"/>
  <c r="K72" i="5"/>
  <c r="I73" i="5"/>
  <c r="G82" i="3" l="1"/>
  <c r="H82" i="3"/>
  <c r="F83" i="3"/>
  <c r="E84" i="3"/>
  <c r="G82" i="4"/>
  <c r="H82" i="4"/>
  <c r="E84" i="4"/>
  <c r="F83" i="4"/>
  <c r="F83" i="5"/>
  <c r="E84" i="5"/>
  <c r="G82" i="5"/>
  <c r="H82" i="5"/>
  <c r="K73" i="5"/>
  <c r="J73" i="5"/>
  <c r="I74" i="5"/>
  <c r="K74" i="4"/>
  <c r="J74" i="4"/>
  <c r="I75" i="4"/>
  <c r="K77" i="3"/>
  <c r="J77" i="3"/>
  <c r="I78" i="3"/>
  <c r="E85" i="4" l="1"/>
  <c r="F84" i="4"/>
  <c r="F84" i="3"/>
  <c r="E85" i="3"/>
  <c r="H83" i="4"/>
  <c r="G83" i="4"/>
  <c r="G83" i="3"/>
  <c r="H83" i="3"/>
  <c r="K78" i="3"/>
  <c r="J78" i="3"/>
  <c r="I79" i="3"/>
  <c r="E85" i="5"/>
  <c r="F84" i="5"/>
  <c r="H83" i="5"/>
  <c r="G83" i="5"/>
  <c r="J75" i="4"/>
  <c r="K75" i="4"/>
  <c r="I76" i="4"/>
  <c r="J74" i="5"/>
  <c r="K74" i="5"/>
  <c r="I75" i="5"/>
  <c r="G84" i="3" l="1"/>
  <c r="H84" i="3"/>
  <c r="H84" i="4"/>
  <c r="G84" i="4"/>
  <c r="F85" i="3"/>
  <c r="E86" i="3"/>
  <c r="E86" i="4"/>
  <c r="F85" i="4"/>
  <c r="K76" i="4"/>
  <c r="J76" i="4"/>
  <c r="I77" i="4"/>
  <c r="G84" i="5"/>
  <c r="H84" i="5"/>
  <c r="F85" i="5"/>
  <c r="E86" i="5"/>
  <c r="K79" i="3"/>
  <c r="J79" i="3"/>
  <c r="I80" i="3"/>
  <c r="K75" i="5"/>
  <c r="J75" i="5"/>
  <c r="I76" i="5"/>
  <c r="G85" i="3" l="1"/>
  <c r="H85" i="3"/>
  <c r="H85" i="4"/>
  <c r="G85" i="4"/>
  <c r="F86" i="4"/>
  <c r="E87" i="4"/>
  <c r="F86" i="3"/>
  <c r="E87" i="3"/>
  <c r="J80" i="3"/>
  <c r="K80" i="3"/>
  <c r="I81" i="3"/>
  <c r="F86" i="5"/>
  <c r="E87" i="5"/>
  <c r="G85" i="5"/>
  <c r="H85" i="5"/>
  <c r="J77" i="4"/>
  <c r="K77" i="4"/>
  <c r="I78" i="4"/>
  <c r="K76" i="5"/>
  <c r="J76" i="5"/>
  <c r="I77" i="5"/>
  <c r="F87" i="3" l="1"/>
  <c r="E88" i="3"/>
  <c r="G86" i="4"/>
  <c r="H86" i="4"/>
  <c r="G86" i="3"/>
  <c r="H86" i="3"/>
  <c r="E88" i="4"/>
  <c r="F87" i="4"/>
  <c r="F87" i="5"/>
  <c r="E88" i="5"/>
  <c r="G86" i="5"/>
  <c r="H86" i="5"/>
  <c r="K77" i="5"/>
  <c r="J77" i="5"/>
  <c r="I78" i="5"/>
  <c r="K81" i="3"/>
  <c r="J81" i="3"/>
  <c r="I82" i="3"/>
  <c r="J78" i="4"/>
  <c r="K78" i="4"/>
  <c r="I79" i="4"/>
  <c r="F88" i="4" l="1"/>
  <c r="E89" i="4"/>
  <c r="F88" i="3"/>
  <c r="E89" i="3"/>
  <c r="G87" i="4"/>
  <c r="H87" i="4"/>
  <c r="G87" i="3"/>
  <c r="H87" i="3"/>
  <c r="K79" i="4"/>
  <c r="J79" i="4"/>
  <c r="I80" i="4"/>
  <c r="K78" i="5"/>
  <c r="J78" i="5"/>
  <c r="I79" i="5"/>
  <c r="F88" i="5"/>
  <c r="E89" i="5"/>
  <c r="K82" i="3"/>
  <c r="J82" i="3"/>
  <c r="I83" i="3"/>
  <c r="G87" i="5"/>
  <c r="H87" i="5"/>
  <c r="F89" i="3" l="1"/>
  <c r="E90" i="3"/>
  <c r="G88" i="3"/>
  <c r="H88" i="3"/>
  <c r="E90" i="4"/>
  <c r="F89" i="4"/>
  <c r="H88" i="4"/>
  <c r="G88" i="4"/>
  <c r="K83" i="3"/>
  <c r="J83" i="3"/>
  <c r="I84" i="3"/>
  <c r="E90" i="5"/>
  <c r="F89" i="5"/>
  <c r="H88" i="5"/>
  <c r="G88" i="5"/>
  <c r="K79" i="5"/>
  <c r="J79" i="5"/>
  <c r="I80" i="5"/>
  <c r="K80" i="4"/>
  <c r="J80" i="4"/>
  <c r="I81" i="4"/>
  <c r="F90" i="3" l="1"/>
  <c r="E91" i="3"/>
  <c r="H89" i="4"/>
  <c r="G89" i="4"/>
  <c r="F90" i="4"/>
  <c r="E91" i="4"/>
  <c r="H89" i="3"/>
  <c r="G89" i="3"/>
  <c r="G89" i="5"/>
  <c r="H89" i="5"/>
  <c r="K81" i="4"/>
  <c r="J81" i="4"/>
  <c r="I82" i="4"/>
  <c r="E91" i="5"/>
  <c r="F90" i="5"/>
  <c r="J80" i="5"/>
  <c r="K80" i="5"/>
  <c r="I81" i="5"/>
  <c r="K84" i="3"/>
  <c r="J84" i="3"/>
  <c r="I85" i="3"/>
  <c r="F91" i="3" l="1"/>
  <c r="E92" i="3"/>
  <c r="F91" i="4"/>
  <c r="E92" i="4"/>
  <c r="G90" i="4"/>
  <c r="H90" i="4"/>
  <c r="G90" i="3"/>
  <c r="H90" i="3"/>
  <c r="H90" i="5"/>
  <c r="G90" i="5"/>
  <c r="E92" i="5"/>
  <c r="F91" i="5"/>
  <c r="J82" i="4"/>
  <c r="K82" i="4"/>
  <c r="I83" i="4"/>
  <c r="K85" i="3"/>
  <c r="J85" i="3"/>
  <c r="I86" i="3"/>
  <c r="K81" i="5"/>
  <c r="J81" i="5"/>
  <c r="I82" i="5"/>
  <c r="H91" i="4" l="1"/>
  <c r="G91" i="4"/>
  <c r="E93" i="3"/>
  <c r="F92" i="3"/>
  <c r="E93" i="4"/>
  <c r="F92" i="4"/>
  <c r="H91" i="3"/>
  <c r="G91" i="3"/>
  <c r="K83" i="4"/>
  <c r="J83" i="4"/>
  <c r="I84" i="4"/>
  <c r="H91" i="5"/>
  <c r="G91" i="5"/>
  <c r="F92" i="5"/>
  <c r="E93" i="5"/>
  <c r="K82" i="5"/>
  <c r="J82" i="5"/>
  <c r="I83" i="5"/>
  <c r="K86" i="3"/>
  <c r="J86" i="3"/>
  <c r="I87" i="3"/>
  <c r="E94" i="4" l="1"/>
  <c r="F93" i="4"/>
  <c r="G92" i="4"/>
  <c r="H92" i="4"/>
  <c r="G92" i="3"/>
  <c r="H92" i="3"/>
  <c r="E94" i="3"/>
  <c r="F93" i="3"/>
  <c r="K87" i="3"/>
  <c r="J87" i="3"/>
  <c r="I88" i="3"/>
  <c r="F93" i="5"/>
  <c r="E94" i="5"/>
  <c r="H92" i="5"/>
  <c r="G92" i="5"/>
  <c r="K83" i="5"/>
  <c r="J83" i="5"/>
  <c r="I84" i="5"/>
  <c r="K84" i="4"/>
  <c r="J84" i="4"/>
  <c r="I85" i="4"/>
  <c r="H93" i="4" l="1"/>
  <c r="G93" i="4"/>
  <c r="H93" i="3"/>
  <c r="G93" i="3"/>
  <c r="F94" i="3"/>
  <c r="E95" i="3"/>
  <c r="E95" i="4"/>
  <c r="F94" i="4"/>
  <c r="E95" i="5"/>
  <c r="F94" i="5"/>
  <c r="H93" i="5"/>
  <c r="G93" i="5"/>
  <c r="K88" i="3"/>
  <c r="J88" i="3"/>
  <c r="I89" i="3"/>
  <c r="J85" i="4"/>
  <c r="K85" i="4"/>
  <c r="I86" i="4"/>
  <c r="K84" i="5"/>
  <c r="J84" i="5"/>
  <c r="I85" i="5"/>
  <c r="G94" i="3" l="1"/>
  <c r="H94" i="3"/>
  <c r="H94" i="4"/>
  <c r="G94" i="4"/>
  <c r="E96" i="4"/>
  <c r="F95" i="4"/>
  <c r="F95" i="3"/>
  <c r="E96" i="3"/>
  <c r="K86" i="4"/>
  <c r="J86" i="4"/>
  <c r="I87" i="4"/>
  <c r="K89" i="3"/>
  <c r="J89" i="3"/>
  <c r="I90" i="3"/>
  <c r="K85" i="5"/>
  <c r="J85" i="5"/>
  <c r="I86" i="5"/>
  <c r="H94" i="5"/>
  <c r="G94" i="5"/>
  <c r="F95" i="5"/>
  <c r="E96" i="5"/>
  <c r="F96" i="3" l="1"/>
  <c r="E97" i="3"/>
  <c r="G95" i="3"/>
  <c r="H95" i="3"/>
  <c r="G95" i="4"/>
  <c r="H95" i="4"/>
  <c r="F96" i="4"/>
  <c r="E97" i="4"/>
  <c r="K86" i="5"/>
  <c r="J86" i="5"/>
  <c r="I87" i="5"/>
  <c r="K90" i="3"/>
  <c r="J90" i="3"/>
  <c r="I91" i="3"/>
  <c r="E97" i="5"/>
  <c r="F96" i="5"/>
  <c r="J87" i="4"/>
  <c r="K87" i="4"/>
  <c r="I88" i="4"/>
  <c r="G95" i="5"/>
  <c r="H95" i="5"/>
  <c r="E98" i="4" l="1"/>
  <c r="F97" i="4"/>
  <c r="G97" i="4" s="1"/>
  <c r="H96" i="4"/>
  <c r="G96" i="4"/>
  <c r="E98" i="3"/>
  <c r="F97" i="3"/>
  <c r="G97" i="3" s="1"/>
  <c r="H96" i="3"/>
  <c r="G96" i="3"/>
  <c r="H96" i="5"/>
  <c r="G96" i="5"/>
  <c r="F97" i="5"/>
  <c r="E98" i="5"/>
  <c r="K91" i="3"/>
  <c r="J91" i="3"/>
  <c r="I92" i="3"/>
  <c r="K87" i="5"/>
  <c r="J87" i="5"/>
  <c r="I88" i="5"/>
  <c r="J88" i="4"/>
  <c r="K88" i="4"/>
  <c r="I89" i="4"/>
  <c r="E99" i="3" l="1"/>
  <c r="F98" i="3"/>
  <c r="E99" i="4"/>
  <c r="F98" i="4"/>
  <c r="K92" i="3"/>
  <c r="J92" i="3"/>
  <c r="I93" i="3"/>
  <c r="K89" i="4"/>
  <c r="J89" i="4"/>
  <c r="I90" i="4"/>
  <c r="E99" i="5"/>
  <c r="F98" i="5"/>
  <c r="G98" i="5" s="1"/>
  <c r="H97" i="5"/>
  <c r="G97" i="5"/>
  <c r="J88" i="5"/>
  <c r="K88" i="5"/>
  <c r="I89" i="5"/>
  <c r="H98" i="4" l="1"/>
  <c r="G98" i="4"/>
  <c r="E100" i="4"/>
  <c r="F99" i="4"/>
  <c r="H98" i="3"/>
  <c r="G98" i="3"/>
  <c r="F99" i="3"/>
  <c r="E100" i="3"/>
  <c r="E100" i="5"/>
  <c r="F99" i="5"/>
  <c r="K90" i="4"/>
  <c r="J90" i="4"/>
  <c r="I91" i="4"/>
  <c r="K93" i="3"/>
  <c r="J93" i="3"/>
  <c r="I94" i="3"/>
  <c r="K89" i="5"/>
  <c r="J89" i="5"/>
  <c r="I90" i="5"/>
  <c r="F100" i="3" l="1"/>
  <c r="E101" i="3"/>
  <c r="E102" i="3" s="1"/>
  <c r="H99" i="3"/>
  <c r="G99" i="3"/>
  <c r="H99" i="4"/>
  <c r="G99" i="4"/>
  <c r="F100" i="4"/>
  <c r="E101" i="4"/>
  <c r="E102" i="4" s="1"/>
  <c r="J90" i="5"/>
  <c r="K90" i="5"/>
  <c r="I91" i="5"/>
  <c r="K94" i="3"/>
  <c r="J94" i="3"/>
  <c r="I95" i="3"/>
  <c r="K91" i="4"/>
  <c r="J91" i="4"/>
  <c r="I92" i="4"/>
  <c r="G99" i="5"/>
  <c r="H99" i="5"/>
  <c r="F100" i="5"/>
  <c r="E101" i="5"/>
  <c r="E103" i="4" l="1"/>
  <c r="F102" i="4"/>
  <c r="H100" i="4"/>
  <c r="G100" i="4"/>
  <c r="F102" i="3"/>
  <c r="E103" i="3"/>
  <c r="H100" i="3"/>
  <c r="G100" i="3"/>
  <c r="K95" i="3"/>
  <c r="J95" i="3"/>
  <c r="I96" i="3"/>
  <c r="K91" i="5"/>
  <c r="J91" i="5"/>
  <c r="I92" i="5"/>
  <c r="E102" i="5"/>
  <c r="E103" i="5" s="1"/>
  <c r="F101" i="5"/>
  <c r="G100" i="5"/>
  <c r="H100" i="5"/>
  <c r="K92" i="4"/>
  <c r="J92" i="4"/>
  <c r="I93" i="4"/>
  <c r="E104" i="3" l="1"/>
  <c r="F103" i="3"/>
  <c r="H102" i="3"/>
  <c r="G102" i="3"/>
  <c r="H102" i="4"/>
  <c r="G102" i="4"/>
  <c r="F103" i="4"/>
  <c r="E104" i="4"/>
  <c r="G101" i="5"/>
  <c r="H101" i="5"/>
  <c r="E104" i="5"/>
  <c r="F103" i="5"/>
  <c r="J92" i="5"/>
  <c r="K92" i="5"/>
  <c r="I93" i="5"/>
  <c r="K93" i="4"/>
  <c r="J93" i="4"/>
  <c r="I94" i="4"/>
  <c r="J96" i="3"/>
  <c r="I97" i="3"/>
  <c r="K96" i="3"/>
  <c r="E105" i="4" l="1"/>
  <c r="F104" i="4"/>
  <c r="G103" i="4"/>
  <c r="H103" i="4"/>
  <c r="G103" i="3"/>
  <c r="H103" i="3"/>
  <c r="E105" i="3"/>
  <c r="F104" i="3"/>
  <c r="K93" i="5"/>
  <c r="J93" i="5"/>
  <c r="I94" i="5"/>
  <c r="H103" i="5"/>
  <c r="G103" i="5"/>
  <c r="E105" i="5"/>
  <c r="F104" i="5"/>
  <c r="K97" i="3"/>
  <c r="J97" i="3"/>
  <c r="I98" i="3"/>
  <c r="J94" i="4"/>
  <c r="K94" i="4"/>
  <c r="I95" i="4"/>
  <c r="H104" i="3" l="1"/>
  <c r="G104" i="3"/>
  <c r="E106" i="3"/>
  <c r="F105" i="3"/>
  <c r="G104" i="4"/>
  <c r="H104" i="4"/>
  <c r="F105" i="4"/>
  <c r="E106" i="4"/>
  <c r="H104" i="5"/>
  <c r="G104" i="5"/>
  <c r="E106" i="5"/>
  <c r="F105" i="5"/>
  <c r="K94" i="5"/>
  <c r="J94" i="5"/>
  <c r="I95" i="5"/>
  <c r="J95" i="4"/>
  <c r="K95" i="4"/>
  <c r="I96" i="4"/>
  <c r="K98" i="3"/>
  <c r="J98" i="3"/>
  <c r="I99" i="3"/>
  <c r="F106" i="4" l="1"/>
  <c r="E107" i="4"/>
  <c r="G105" i="4"/>
  <c r="H105" i="4"/>
  <c r="H105" i="3"/>
  <c r="G105" i="3"/>
  <c r="F106" i="3"/>
  <c r="E107" i="3"/>
  <c r="J96" i="4"/>
  <c r="K96" i="4"/>
  <c r="I97" i="4"/>
  <c r="K95" i="5"/>
  <c r="J95" i="5"/>
  <c r="I96" i="5"/>
  <c r="J99" i="3"/>
  <c r="K99" i="3"/>
  <c r="I100" i="3"/>
  <c r="H105" i="5"/>
  <c r="G105" i="5"/>
  <c r="F106" i="5"/>
  <c r="E107" i="5"/>
  <c r="E108" i="3" l="1"/>
  <c r="F107" i="3"/>
  <c r="H106" i="3"/>
  <c r="G106" i="3"/>
  <c r="F107" i="4"/>
  <c r="E108" i="4"/>
  <c r="G106" i="4"/>
  <c r="H106" i="4"/>
  <c r="I101" i="3"/>
  <c r="J100" i="3"/>
  <c r="K100" i="3"/>
  <c r="E108" i="5"/>
  <c r="F107" i="5"/>
  <c r="K96" i="5"/>
  <c r="J96" i="5"/>
  <c r="I97" i="5"/>
  <c r="J97" i="4"/>
  <c r="K97" i="4"/>
  <c r="I98" i="4"/>
  <c r="H106" i="5"/>
  <c r="G106" i="5"/>
  <c r="E109" i="4" l="1"/>
  <c r="F108" i="4"/>
  <c r="H107" i="4"/>
  <c r="G107" i="4"/>
  <c r="G107" i="3"/>
  <c r="H107" i="3"/>
  <c r="F108" i="3"/>
  <c r="E109" i="3"/>
  <c r="G107" i="5"/>
  <c r="H107" i="5"/>
  <c r="J101" i="3"/>
  <c r="K101" i="3"/>
  <c r="I102" i="3"/>
  <c r="K97" i="5"/>
  <c r="I98" i="5"/>
  <c r="J97" i="5"/>
  <c r="E109" i="5"/>
  <c r="F108" i="5"/>
  <c r="J98" i="4"/>
  <c r="K98" i="4"/>
  <c r="I99" i="4"/>
  <c r="F109" i="3" l="1"/>
  <c r="E110" i="3"/>
  <c r="H108" i="3"/>
  <c r="G108" i="3"/>
  <c r="H108" i="4"/>
  <c r="G108" i="4"/>
  <c r="F109" i="4"/>
  <c r="E110" i="4"/>
  <c r="K102" i="3"/>
  <c r="J102" i="3"/>
  <c r="I103" i="3"/>
  <c r="H108" i="5"/>
  <c r="G108" i="5"/>
  <c r="F109" i="5"/>
  <c r="E110" i="5"/>
  <c r="K98" i="5"/>
  <c r="J98" i="5"/>
  <c r="I99" i="5"/>
  <c r="K99" i="4"/>
  <c r="J99" i="4"/>
  <c r="I100" i="4"/>
  <c r="H109" i="4" l="1"/>
  <c r="G109" i="4"/>
  <c r="E111" i="3"/>
  <c r="F110" i="3"/>
  <c r="F110" i="4"/>
  <c r="E111" i="4"/>
  <c r="H109" i="3"/>
  <c r="G109" i="3"/>
  <c r="K99" i="5"/>
  <c r="J99" i="5"/>
  <c r="I100" i="5"/>
  <c r="F110" i="5"/>
  <c r="E111" i="5"/>
  <c r="H109" i="5"/>
  <c r="G109" i="5"/>
  <c r="K103" i="3"/>
  <c r="J103" i="3"/>
  <c r="I104" i="3"/>
  <c r="J100" i="4"/>
  <c r="K100" i="4"/>
  <c r="I101" i="4"/>
  <c r="F111" i="4" l="1"/>
  <c r="E112" i="4"/>
  <c r="H110" i="4"/>
  <c r="G110" i="4"/>
  <c r="H110" i="3"/>
  <c r="G110" i="3"/>
  <c r="F111" i="3"/>
  <c r="E112" i="3"/>
  <c r="F111" i="5"/>
  <c r="E112" i="5"/>
  <c r="H110" i="5"/>
  <c r="G110" i="5"/>
  <c r="K101" i="4"/>
  <c r="J101" i="4"/>
  <c r="I102" i="4"/>
  <c r="K100" i="5"/>
  <c r="J100" i="5"/>
  <c r="I101" i="5"/>
  <c r="K104" i="3"/>
  <c r="J104" i="3"/>
  <c r="I105" i="3"/>
  <c r="E113" i="3" l="1"/>
  <c r="F112" i="3"/>
  <c r="G111" i="3"/>
  <c r="H111" i="3"/>
  <c r="F112" i="4"/>
  <c r="E113" i="4"/>
  <c r="G111" i="4"/>
  <c r="H111" i="4"/>
  <c r="K105" i="3"/>
  <c r="J105" i="3"/>
  <c r="I106" i="3"/>
  <c r="I102" i="5"/>
  <c r="J101" i="5"/>
  <c r="K101" i="5"/>
  <c r="J102" i="4"/>
  <c r="K102" i="4"/>
  <c r="I103" i="4"/>
  <c r="E113" i="5"/>
  <c r="F112" i="5"/>
  <c r="H111" i="5"/>
  <c r="G111" i="5"/>
  <c r="F113" i="4" l="1"/>
  <c r="E114" i="4"/>
  <c r="G112" i="4"/>
  <c r="H112" i="4"/>
  <c r="H112" i="3"/>
  <c r="G112" i="3"/>
  <c r="F113" i="3"/>
  <c r="E114" i="3"/>
  <c r="H112" i="5"/>
  <c r="G112" i="5"/>
  <c r="E114" i="5"/>
  <c r="F113" i="5"/>
  <c r="J103" i="4"/>
  <c r="K103" i="4"/>
  <c r="I104" i="4"/>
  <c r="J102" i="5"/>
  <c r="K102" i="5"/>
  <c r="I103" i="5"/>
  <c r="J106" i="3"/>
  <c r="K106" i="3"/>
  <c r="I107" i="3"/>
  <c r="E115" i="3" l="1"/>
  <c r="F114" i="3"/>
  <c r="H113" i="3"/>
  <c r="G113" i="3"/>
  <c r="F114" i="4"/>
  <c r="E115" i="4"/>
  <c r="G113" i="4"/>
  <c r="H113" i="4"/>
  <c r="K103" i="5"/>
  <c r="J103" i="5"/>
  <c r="I104" i="5"/>
  <c r="K104" i="4"/>
  <c r="J104" i="4"/>
  <c r="I105" i="4"/>
  <c r="K107" i="3"/>
  <c r="J107" i="3"/>
  <c r="I108" i="3"/>
  <c r="G113" i="5"/>
  <c r="H113" i="5"/>
  <c r="E115" i="5"/>
  <c r="F114" i="5"/>
  <c r="F115" i="4" l="1"/>
  <c r="G115" i="4" s="1"/>
  <c r="E116" i="4"/>
  <c r="G114" i="4"/>
  <c r="H114" i="4"/>
  <c r="H114" i="3"/>
  <c r="G114" i="3"/>
  <c r="F115" i="3"/>
  <c r="G115" i="3" s="1"/>
  <c r="E116" i="3"/>
  <c r="J108" i="3"/>
  <c r="K108" i="3"/>
  <c r="I109" i="3"/>
  <c r="J105" i="4"/>
  <c r="K105" i="4"/>
  <c r="I106" i="4"/>
  <c r="H114" i="5"/>
  <c r="G114" i="5"/>
  <c r="J104" i="5"/>
  <c r="K104" i="5"/>
  <c r="I105" i="5"/>
  <c r="F115" i="5"/>
  <c r="E116" i="5"/>
  <c r="E117" i="3" l="1"/>
  <c r="F116" i="3"/>
  <c r="F116" i="4"/>
  <c r="E117" i="4"/>
  <c r="K106" i="4"/>
  <c r="J106" i="4"/>
  <c r="I107" i="4"/>
  <c r="E117" i="5"/>
  <c r="F116" i="5"/>
  <c r="G116" i="5" s="1"/>
  <c r="H115" i="5"/>
  <c r="G115" i="5"/>
  <c r="K105" i="5"/>
  <c r="J105" i="5"/>
  <c r="I106" i="5"/>
  <c r="J109" i="3"/>
  <c r="K109" i="3"/>
  <c r="I110" i="3"/>
  <c r="F117" i="4" l="1"/>
  <c r="E118" i="4"/>
  <c r="H116" i="4"/>
  <c r="G116" i="4"/>
  <c r="G116" i="3"/>
  <c r="H116" i="3"/>
  <c r="E118" i="3"/>
  <c r="F117" i="3"/>
  <c r="F117" i="5"/>
  <c r="E118" i="5"/>
  <c r="K107" i="4"/>
  <c r="J107" i="4"/>
  <c r="I108" i="4"/>
  <c r="J110" i="3"/>
  <c r="K110" i="3"/>
  <c r="I111" i="3"/>
  <c r="K106" i="5"/>
  <c r="J106" i="5"/>
  <c r="I107" i="5"/>
  <c r="H117" i="3" l="1"/>
  <c r="G117" i="3"/>
  <c r="E119" i="3"/>
  <c r="F118" i="3"/>
  <c r="F118" i="4"/>
  <c r="E119" i="4"/>
  <c r="G117" i="4"/>
  <c r="H117" i="4"/>
  <c r="K107" i="5"/>
  <c r="J107" i="5"/>
  <c r="I108" i="5"/>
  <c r="K111" i="3"/>
  <c r="J111" i="3"/>
  <c r="I112" i="3"/>
  <c r="J108" i="4"/>
  <c r="K108" i="4"/>
  <c r="I109" i="4"/>
  <c r="F118" i="5"/>
  <c r="E119" i="5"/>
  <c r="G117" i="5"/>
  <c r="H117" i="5"/>
  <c r="E120" i="4" l="1"/>
  <c r="F119" i="4"/>
  <c r="G118" i="4"/>
  <c r="H118" i="4"/>
  <c r="H118" i="3"/>
  <c r="G118" i="3"/>
  <c r="E120" i="3"/>
  <c r="F119" i="3"/>
  <c r="J109" i="4"/>
  <c r="K109" i="4"/>
  <c r="I110" i="4"/>
  <c r="K112" i="3"/>
  <c r="J112" i="3"/>
  <c r="I113" i="3"/>
  <c r="K108" i="5"/>
  <c r="J108" i="5"/>
  <c r="I109" i="5"/>
  <c r="F119" i="5"/>
  <c r="E120" i="5"/>
  <c r="H118" i="5"/>
  <c r="G118" i="5"/>
  <c r="H119" i="3" l="1"/>
  <c r="G119" i="3"/>
  <c r="E121" i="3"/>
  <c r="F120" i="3"/>
  <c r="G119" i="4"/>
  <c r="H119" i="4"/>
  <c r="F120" i="4"/>
  <c r="E121" i="4"/>
  <c r="K113" i="3"/>
  <c r="J113" i="3"/>
  <c r="I114" i="3"/>
  <c r="J110" i="4"/>
  <c r="K110" i="4"/>
  <c r="I111" i="4"/>
  <c r="E121" i="5"/>
  <c r="F120" i="5"/>
  <c r="H119" i="5"/>
  <c r="G119" i="5"/>
  <c r="J109" i="5"/>
  <c r="K109" i="5"/>
  <c r="I110" i="5"/>
  <c r="E122" i="4" l="1"/>
  <c r="F121" i="4"/>
  <c r="H120" i="4"/>
  <c r="G120" i="4"/>
  <c r="H120" i="3"/>
  <c r="G120" i="3"/>
  <c r="E122" i="3"/>
  <c r="F121" i="3"/>
  <c r="K111" i="4"/>
  <c r="J111" i="4"/>
  <c r="I112" i="4"/>
  <c r="J114" i="3"/>
  <c r="I115" i="3"/>
  <c r="K114" i="3"/>
  <c r="K110" i="5"/>
  <c r="J110" i="5"/>
  <c r="I111" i="5"/>
  <c r="H120" i="5"/>
  <c r="G120" i="5"/>
  <c r="F121" i="5"/>
  <c r="E122" i="5"/>
  <c r="H121" i="3" l="1"/>
  <c r="G121" i="3"/>
  <c r="E123" i="3"/>
  <c r="F122" i="3"/>
  <c r="G121" i="4"/>
  <c r="H121" i="4"/>
  <c r="F122" i="4"/>
  <c r="E123" i="4"/>
  <c r="K111" i="5"/>
  <c r="J111" i="5"/>
  <c r="I112" i="5"/>
  <c r="E123" i="5"/>
  <c r="F122" i="5"/>
  <c r="H121" i="5"/>
  <c r="G121" i="5"/>
  <c r="J115" i="3"/>
  <c r="K115" i="3"/>
  <c r="I116" i="3"/>
  <c r="K112" i="4"/>
  <c r="J112" i="4"/>
  <c r="I113" i="4"/>
  <c r="F123" i="4" l="1"/>
  <c r="E124" i="4"/>
  <c r="H122" i="4"/>
  <c r="G122" i="4"/>
  <c r="H122" i="3"/>
  <c r="G122" i="3"/>
  <c r="F123" i="3"/>
  <c r="E124" i="3"/>
  <c r="K116" i="3"/>
  <c r="J116" i="3"/>
  <c r="I117" i="3"/>
  <c r="H122" i="5"/>
  <c r="G122" i="5"/>
  <c r="E124" i="5"/>
  <c r="F123" i="5"/>
  <c r="J112" i="5"/>
  <c r="K112" i="5"/>
  <c r="I113" i="5"/>
  <c r="J113" i="4"/>
  <c r="K113" i="4"/>
  <c r="I114" i="4"/>
  <c r="E125" i="3" l="1"/>
  <c r="F124" i="3"/>
  <c r="G123" i="3"/>
  <c r="H123" i="3"/>
  <c r="F124" i="4"/>
  <c r="E125" i="4"/>
  <c r="G123" i="4"/>
  <c r="H123" i="4"/>
  <c r="E125" i="5"/>
  <c r="F124" i="5"/>
  <c r="J114" i="4"/>
  <c r="I115" i="4"/>
  <c r="K114" i="4"/>
  <c r="J117" i="3"/>
  <c r="K117" i="3"/>
  <c r="I118" i="3"/>
  <c r="K113" i="5"/>
  <c r="J113" i="5"/>
  <c r="I114" i="5"/>
  <c r="H123" i="5"/>
  <c r="G123" i="5"/>
  <c r="F125" i="4" l="1"/>
  <c r="E126" i="4"/>
  <c r="H124" i="4"/>
  <c r="G124" i="4"/>
  <c r="H124" i="3"/>
  <c r="G124" i="3"/>
  <c r="F125" i="3"/>
  <c r="E126" i="3"/>
  <c r="K114" i="5"/>
  <c r="J114" i="5"/>
  <c r="I115" i="5"/>
  <c r="J115" i="4"/>
  <c r="K115" i="4"/>
  <c r="I116" i="4"/>
  <c r="K118" i="3"/>
  <c r="J118" i="3"/>
  <c r="I119" i="3"/>
  <c r="H124" i="5"/>
  <c r="G124" i="5"/>
  <c r="F125" i="5"/>
  <c r="E126" i="5"/>
  <c r="E127" i="3" l="1"/>
  <c r="F126" i="3"/>
  <c r="H125" i="3"/>
  <c r="G125" i="3"/>
  <c r="E127" i="4"/>
  <c r="F126" i="4"/>
  <c r="G125" i="4"/>
  <c r="H125" i="4"/>
  <c r="I116" i="5"/>
  <c r="K115" i="5"/>
  <c r="J115" i="5"/>
  <c r="E127" i="5"/>
  <c r="F126" i="5"/>
  <c r="G125" i="5"/>
  <c r="H125" i="5"/>
  <c r="K119" i="3"/>
  <c r="J119" i="3"/>
  <c r="I120" i="3"/>
  <c r="J116" i="4"/>
  <c r="K116" i="4"/>
  <c r="I117" i="4"/>
  <c r="G126" i="4" l="1"/>
  <c r="H126" i="4"/>
  <c r="F127" i="4"/>
  <c r="E128" i="4"/>
  <c r="H126" i="3"/>
  <c r="G126" i="3"/>
  <c r="E128" i="3"/>
  <c r="F127" i="3"/>
  <c r="K117" i="4"/>
  <c r="J117" i="4"/>
  <c r="I118" i="4"/>
  <c r="H126" i="5"/>
  <c r="G126" i="5"/>
  <c r="E128" i="5"/>
  <c r="F127" i="5"/>
  <c r="K120" i="3"/>
  <c r="J120" i="3"/>
  <c r="I121" i="3"/>
  <c r="J116" i="5"/>
  <c r="K116" i="5"/>
  <c r="I117" i="5"/>
  <c r="H127" i="3" l="1"/>
  <c r="G127" i="3"/>
  <c r="E129" i="3"/>
  <c r="F128" i="3"/>
  <c r="F128" i="4"/>
  <c r="E129" i="4"/>
  <c r="G127" i="4"/>
  <c r="H127" i="4"/>
  <c r="G127" i="5"/>
  <c r="H127" i="5"/>
  <c r="E129" i="5"/>
  <c r="F128" i="5"/>
  <c r="K118" i="4"/>
  <c r="J118" i="4"/>
  <c r="I119" i="4"/>
  <c r="K117" i="5"/>
  <c r="J117" i="5"/>
  <c r="I118" i="5"/>
  <c r="K121" i="3"/>
  <c r="J121" i="3"/>
  <c r="I122" i="3"/>
  <c r="F129" i="4" l="1"/>
  <c r="E130" i="4"/>
  <c r="H128" i="4"/>
  <c r="G128" i="4"/>
  <c r="H128" i="3"/>
  <c r="G128" i="3"/>
  <c r="F129" i="3"/>
  <c r="E130" i="3"/>
  <c r="J119" i="4"/>
  <c r="K119" i="4"/>
  <c r="I120" i="4"/>
  <c r="K122" i="3"/>
  <c r="J122" i="3"/>
  <c r="I123" i="3"/>
  <c r="H128" i="5"/>
  <c r="G128" i="5"/>
  <c r="E130" i="5"/>
  <c r="F129" i="5"/>
  <c r="J118" i="5"/>
  <c r="K118" i="5"/>
  <c r="I119" i="5"/>
  <c r="E131" i="3" l="1"/>
  <c r="F130" i="3"/>
  <c r="H129" i="3"/>
  <c r="G129" i="3"/>
  <c r="E131" i="4"/>
  <c r="F130" i="4"/>
  <c r="G129" i="4"/>
  <c r="H129" i="4"/>
  <c r="J123" i="3"/>
  <c r="K123" i="3"/>
  <c r="I124" i="3"/>
  <c r="J119" i="5"/>
  <c r="K119" i="5"/>
  <c r="I120" i="5"/>
  <c r="K120" i="4"/>
  <c r="J120" i="4"/>
  <c r="I121" i="4"/>
  <c r="H129" i="5"/>
  <c r="G129" i="5"/>
  <c r="E131" i="5"/>
  <c r="F130" i="5"/>
  <c r="G130" i="4" l="1"/>
  <c r="H130" i="4"/>
  <c r="E132" i="4"/>
  <c r="F131" i="4"/>
  <c r="H130" i="3"/>
  <c r="G130" i="3"/>
  <c r="E132" i="3"/>
  <c r="F131" i="3"/>
  <c r="K121" i="4"/>
  <c r="J121" i="4"/>
  <c r="I122" i="4"/>
  <c r="J120" i="5"/>
  <c r="K120" i="5"/>
  <c r="I121" i="5"/>
  <c r="K124" i="3"/>
  <c r="J124" i="3"/>
  <c r="I125" i="3"/>
  <c r="H130" i="5"/>
  <c r="G130" i="5"/>
  <c r="E132" i="5"/>
  <c r="F131" i="5"/>
  <c r="H131" i="3" l="1"/>
  <c r="G131" i="3"/>
  <c r="E133" i="3"/>
  <c r="F132" i="3"/>
  <c r="G131" i="4"/>
  <c r="H131" i="4"/>
  <c r="E133" i="4"/>
  <c r="F132" i="4"/>
  <c r="J121" i="5"/>
  <c r="K121" i="5"/>
  <c r="I122" i="5"/>
  <c r="K122" i="4"/>
  <c r="J122" i="4"/>
  <c r="I123" i="4"/>
  <c r="G131" i="5"/>
  <c r="H131" i="5"/>
  <c r="E133" i="5"/>
  <c r="F132" i="5"/>
  <c r="J125" i="3"/>
  <c r="K125" i="3"/>
  <c r="I126" i="3"/>
  <c r="H132" i="4" l="1"/>
  <c r="G132" i="4"/>
  <c r="F133" i="4"/>
  <c r="E134" i="4"/>
  <c r="G132" i="3"/>
  <c r="H132" i="3"/>
  <c r="F133" i="3"/>
  <c r="E134" i="3"/>
  <c r="K123" i="4"/>
  <c r="J123" i="4"/>
  <c r="I124" i="4"/>
  <c r="K126" i="3"/>
  <c r="J126" i="3"/>
  <c r="I127" i="3"/>
  <c r="J122" i="5"/>
  <c r="K122" i="5"/>
  <c r="I123" i="5"/>
  <c r="H132" i="5"/>
  <c r="G132" i="5"/>
  <c r="F133" i="5"/>
  <c r="E134" i="5"/>
  <c r="E135" i="3" l="1"/>
  <c r="F134" i="3"/>
  <c r="H133" i="3"/>
  <c r="G133" i="3"/>
  <c r="F134" i="4"/>
  <c r="E135" i="4"/>
  <c r="G133" i="4"/>
  <c r="H133" i="4"/>
  <c r="E135" i="5"/>
  <c r="F134" i="5"/>
  <c r="J127" i="3"/>
  <c r="K127" i="3"/>
  <c r="I128" i="3"/>
  <c r="H133" i="5"/>
  <c r="G133" i="5"/>
  <c r="J124" i="4"/>
  <c r="K124" i="4"/>
  <c r="I125" i="4"/>
  <c r="K123" i="5"/>
  <c r="J123" i="5"/>
  <c r="I124" i="5"/>
  <c r="F135" i="4" l="1"/>
  <c r="E136" i="4"/>
  <c r="G134" i="4"/>
  <c r="H134" i="4"/>
  <c r="H134" i="3"/>
  <c r="G134" i="3"/>
  <c r="E136" i="3"/>
  <c r="F135" i="3"/>
  <c r="J128" i="3"/>
  <c r="K128" i="3"/>
  <c r="I129" i="3"/>
  <c r="J124" i="5"/>
  <c r="K124" i="5"/>
  <c r="I125" i="5"/>
  <c r="G134" i="5"/>
  <c r="H134" i="5"/>
  <c r="F135" i="5"/>
  <c r="E136" i="5"/>
  <c r="K125" i="4"/>
  <c r="J125" i="4"/>
  <c r="I126" i="4"/>
  <c r="H135" i="3" l="1"/>
  <c r="G135" i="3"/>
  <c r="E137" i="3"/>
  <c r="F136" i="3"/>
  <c r="F136" i="4"/>
  <c r="E137" i="4"/>
  <c r="G135" i="4"/>
  <c r="H135" i="4"/>
  <c r="E137" i="5"/>
  <c r="F136" i="5"/>
  <c r="G135" i="5"/>
  <c r="H135" i="5"/>
  <c r="K126" i="4"/>
  <c r="J126" i="4"/>
  <c r="I127" i="4"/>
  <c r="J125" i="5"/>
  <c r="K125" i="5"/>
  <c r="I126" i="5"/>
  <c r="J129" i="3"/>
  <c r="K129" i="3"/>
  <c r="I130" i="3"/>
  <c r="F137" i="4" l="1"/>
  <c r="E138" i="4"/>
  <c r="G136" i="4"/>
  <c r="H136" i="4"/>
  <c r="H136" i="3"/>
  <c r="G136" i="3"/>
  <c r="E138" i="3"/>
  <c r="F137" i="3"/>
  <c r="J127" i="4"/>
  <c r="K127" i="4"/>
  <c r="I128" i="4"/>
  <c r="H136" i="5"/>
  <c r="G136" i="5"/>
  <c r="E138" i="5"/>
  <c r="F137" i="5"/>
  <c r="K130" i="3"/>
  <c r="J130" i="3"/>
  <c r="I131" i="3"/>
  <c r="J126" i="5"/>
  <c r="K126" i="5"/>
  <c r="I127" i="5"/>
  <c r="G137" i="3" l="1"/>
  <c r="H137" i="3"/>
  <c r="E139" i="3"/>
  <c r="F138" i="3"/>
  <c r="E139" i="4"/>
  <c r="F138" i="4"/>
  <c r="G137" i="4"/>
  <c r="H137" i="4"/>
  <c r="H137" i="5"/>
  <c r="G137" i="5"/>
  <c r="E139" i="5"/>
  <c r="F138" i="5"/>
  <c r="J127" i="5"/>
  <c r="K127" i="5"/>
  <c r="I128" i="5"/>
  <c r="J128" i="4"/>
  <c r="K128" i="4"/>
  <c r="I129" i="4"/>
  <c r="J131" i="3"/>
  <c r="K131" i="3"/>
  <c r="I132" i="3"/>
  <c r="H138" i="4" l="1"/>
  <c r="G138" i="4"/>
  <c r="F139" i="4"/>
  <c r="E140" i="4"/>
  <c r="H138" i="3"/>
  <c r="G138" i="3"/>
  <c r="F139" i="3"/>
  <c r="E140" i="3"/>
  <c r="H138" i="5"/>
  <c r="G138" i="5"/>
  <c r="F139" i="5"/>
  <c r="E140" i="5"/>
  <c r="K132" i="3"/>
  <c r="J132" i="3"/>
  <c r="I133" i="3"/>
  <c r="J129" i="4"/>
  <c r="K129" i="4"/>
  <c r="I130" i="4"/>
  <c r="K128" i="5"/>
  <c r="J128" i="5"/>
  <c r="I129" i="5"/>
  <c r="F140" i="3" l="1"/>
  <c r="G140" i="3" s="1"/>
  <c r="E141" i="3"/>
  <c r="H139" i="3"/>
  <c r="G139" i="3"/>
  <c r="E141" i="4"/>
  <c r="F140" i="4"/>
  <c r="G140" i="4" s="1"/>
  <c r="G139" i="4"/>
  <c r="H139" i="4"/>
  <c r="K129" i="5"/>
  <c r="J129" i="5"/>
  <c r="I130" i="5"/>
  <c r="K130" i="4"/>
  <c r="J130" i="4"/>
  <c r="I131" i="4"/>
  <c r="E141" i="5"/>
  <c r="F140" i="5"/>
  <c r="H139" i="5"/>
  <c r="G139" i="5"/>
  <c r="J133" i="3"/>
  <c r="K133" i="3"/>
  <c r="I134" i="3"/>
  <c r="F141" i="4" l="1"/>
  <c r="E142" i="4"/>
  <c r="E142" i="3"/>
  <c r="F141" i="3"/>
  <c r="F141" i="5"/>
  <c r="G141" i="5" s="1"/>
  <c r="E142" i="5"/>
  <c r="K131" i="4"/>
  <c r="J131" i="4"/>
  <c r="I132" i="4"/>
  <c r="K134" i="3"/>
  <c r="J134" i="3"/>
  <c r="I135" i="3"/>
  <c r="K130" i="5"/>
  <c r="J130" i="5"/>
  <c r="I131" i="5"/>
  <c r="H140" i="5"/>
  <c r="G140" i="5"/>
  <c r="G141" i="3" l="1"/>
  <c r="H141" i="3"/>
  <c r="F142" i="3"/>
  <c r="E143" i="3"/>
  <c r="F142" i="4"/>
  <c r="E143" i="4"/>
  <c r="H141" i="4"/>
  <c r="G141" i="4"/>
  <c r="J132" i="4"/>
  <c r="K132" i="4"/>
  <c r="I133" i="4"/>
  <c r="K131" i="5"/>
  <c r="J131" i="5"/>
  <c r="I132" i="5"/>
  <c r="K135" i="3"/>
  <c r="J135" i="3"/>
  <c r="I136" i="3"/>
  <c r="F142" i="5"/>
  <c r="E143" i="5"/>
  <c r="E144" i="4" l="1"/>
  <c r="F143" i="4"/>
  <c r="H142" i="4"/>
  <c r="G142" i="4"/>
  <c r="F143" i="3"/>
  <c r="E144" i="3"/>
  <c r="H142" i="3"/>
  <c r="G142" i="3"/>
  <c r="K132" i="5"/>
  <c r="J132" i="5"/>
  <c r="I133" i="5"/>
  <c r="J133" i="4"/>
  <c r="K133" i="4"/>
  <c r="I134" i="4"/>
  <c r="J136" i="3"/>
  <c r="K136" i="3"/>
  <c r="I137" i="3"/>
  <c r="F143" i="5"/>
  <c r="E144" i="5"/>
  <c r="H142" i="5"/>
  <c r="G142" i="5"/>
  <c r="E145" i="3" l="1"/>
  <c r="F144" i="3"/>
  <c r="H143" i="3"/>
  <c r="G143" i="3"/>
  <c r="H143" i="4"/>
  <c r="G143" i="4"/>
  <c r="F144" i="4"/>
  <c r="E145" i="4"/>
  <c r="K134" i="4"/>
  <c r="J134" i="4"/>
  <c r="I135" i="4"/>
  <c r="F144" i="5"/>
  <c r="E145" i="5"/>
  <c r="G143" i="5"/>
  <c r="H143" i="5"/>
  <c r="K137" i="3"/>
  <c r="J137" i="3"/>
  <c r="I138" i="3"/>
  <c r="K133" i="5"/>
  <c r="J133" i="5"/>
  <c r="I134" i="5"/>
  <c r="F145" i="4" l="1"/>
  <c r="E146" i="4"/>
  <c r="G144" i="4"/>
  <c r="H144" i="4"/>
  <c r="G144" i="3"/>
  <c r="H144" i="3"/>
  <c r="F145" i="3"/>
  <c r="E146" i="3"/>
  <c r="F145" i="5"/>
  <c r="E146" i="5"/>
  <c r="G144" i="5"/>
  <c r="H144" i="5"/>
  <c r="J134" i="5"/>
  <c r="K134" i="5"/>
  <c r="I135" i="5"/>
  <c r="K135" i="4"/>
  <c r="J135" i="4"/>
  <c r="I136" i="4"/>
  <c r="K138" i="3"/>
  <c r="J138" i="3"/>
  <c r="I139" i="3"/>
  <c r="G145" i="3" l="1"/>
  <c r="H145" i="3"/>
  <c r="F146" i="3"/>
  <c r="E147" i="3"/>
  <c r="F146" i="4"/>
  <c r="E147" i="4"/>
  <c r="H145" i="4"/>
  <c r="G145" i="4"/>
  <c r="I140" i="3"/>
  <c r="K139" i="3"/>
  <c r="J139" i="3"/>
  <c r="J136" i="4"/>
  <c r="K136" i="4"/>
  <c r="I137" i="4"/>
  <c r="F146" i="5"/>
  <c r="E147" i="5"/>
  <c r="G145" i="5"/>
  <c r="H145" i="5"/>
  <c r="J135" i="5"/>
  <c r="K135" i="5"/>
  <c r="I136" i="5"/>
  <c r="H146" i="3" l="1"/>
  <c r="G146" i="3"/>
  <c r="H146" i="4"/>
  <c r="G146" i="4"/>
  <c r="F147" i="4"/>
  <c r="E148" i="4"/>
  <c r="F147" i="3"/>
  <c r="E148" i="3"/>
  <c r="F147" i="5"/>
  <c r="E148" i="5"/>
  <c r="H146" i="5"/>
  <c r="G146" i="5"/>
  <c r="K136" i="5"/>
  <c r="J136" i="5"/>
  <c r="I137" i="5"/>
  <c r="J137" i="4"/>
  <c r="K137" i="4"/>
  <c r="I138" i="4"/>
  <c r="J140" i="3"/>
  <c r="K140" i="3"/>
  <c r="I141" i="3"/>
  <c r="E149" i="4" l="1"/>
  <c r="F148" i="4"/>
  <c r="G147" i="3"/>
  <c r="H147" i="3"/>
  <c r="E149" i="3"/>
  <c r="F148" i="3"/>
  <c r="H147" i="4"/>
  <c r="G147" i="4"/>
  <c r="K137" i="5"/>
  <c r="J137" i="5"/>
  <c r="I138" i="5"/>
  <c r="K138" i="4"/>
  <c r="J138" i="4"/>
  <c r="I139" i="4"/>
  <c r="K141" i="3"/>
  <c r="J141" i="3"/>
  <c r="I142" i="3"/>
  <c r="F148" i="5"/>
  <c r="E149" i="5"/>
  <c r="H147" i="5"/>
  <c r="G147" i="5"/>
  <c r="G148" i="4" l="1"/>
  <c r="H148" i="4"/>
  <c r="G148" i="3"/>
  <c r="H148" i="3"/>
  <c r="F149" i="3"/>
  <c r="E150" i="3"/>
  <c r="F149" i="4"/>
  <c r="E150" i="4"/>
  <c r="J139" i="4"/>
  <c r="K139" i="4"/>
  <c r="I140" i="4"/>
  <c r="F149" i="5"/>
  <c r="E150" i="5"/>
  <c r="G148" i="5"/>
  <c r="H148" i="5"/>
  <c r="J142" i="3"/>
  <c r="K142" i="3"/>
  <c r="I143" i="3"/>
  <c r="K138" i="5"/>
  <c r="J138" i="5"/>
  <c r="I139" i="5"/>
  <c r="E151" i="4" l="1"/>
  <c r="F150" i="4"/>
  <c r="H149" i="3"/>
  <c r="G149" i="3"/>
  <c r="G149" i="4"/>
  <c r="H149" i="4"/>
  <c r="F150" i="3"/>
  <c r="E151" i="3"/>
  <c r="F150" i="5"/>
  <c r="E151" i="5"/>
  <c r="K139" i="5"/>
  <c r="J139" i="5"/>
  <c r="I140" i="5"/>
  <c r="H149" i="5"/>
  <c r="G149" i="5"/>
  <c r="J140" i="4"/>
  <c r="K140" i="4"/>
  <c r="I141" i="4"/>
  <c r="J143" i="3"/>
  <c r="K143" i="3"/>
  <c r="I144" i="3"/>
  <c r="F151" i="3" l="1"/>
  <c r="E152" i="3"/>
  <c r="H150" i="4"/>
  <c r="G150" i="4"/>
  <c r="G150" i="3"/>
  <c r="H150" i="3"/>
  <c r="E152" i="4"/>
  <c r="F151" i="4"/>
  <c r="K141" i="4"/>
  <c r="J141" i="4"/>
  <c r="I142" i="4"/>
  <c r="J140" i="5"/>
  <c r="I141" i="5"/>
  <c r="K140" i="5"/>
  <c r="F151" i="5"/>
  <c r="E152" i="5"/>
  <c r="J144" i="3"/>
  <c r="K144" i="3"/>
  <c r="I145" i="3"/>
  <c r="G150" i="5"/>
  <c r="H150" i="5"/>
  <c r="F152" i="4" l="1"/>
  <c r="E153" i="4"/>
  <c r="E153" i="3"/>
  <c r="F152" i="3"/>
  <c r="G151" i="4"/>
  <c r="H151" i="4"/>
  <c r="H151" i="3"/>
  <c r="G151" i="3"/>
  <c r="K141" i="5"/>
  <c r="J141" i="5"/>
  <c r="I142" i="5"/>
  <c r="K145" i="3"/>
  <c r="J145" i="3"/>
  <c r="I146" i="3"/>
  <c r="K142" i="4"/>
  <c r="J142" i="4"/>
  <c r="I143" i="4"/>
  <c r="E153" i="5"/>
  <c r="F152" i="5"/>
  <c r="G151" i="5"/>
  <c r="H151" i="5"/>
  <c r="F153" i="3" l="1"/>
  <c r="E154" i="3"/>
  <c r="H152" i="3"/>
  <c r="G152" i="3"/>
  <c r="E154" i="4"/>
  <c r="F153" i="4"/>
  <c r="H152" i="4"/>
  <c r="G152" i="4"/>
  <c r="J142" i="5"/>
  <c r="K142" i="5"/>
  <c r="I143" i="5"/>
  <c r="K143" i="4"/>
  <c r="J143" i="4"/>
  <c r="I144" i="4"/>
  <c r="J146" i="3"/>
  <c r="K146" i="3"/>
  <c r="I147" i="3"/>
  <c r="H152" i="5"/>
  <c r="G152" i="5"/>
  <c r="F153" i="5"/>
  <c r="E154" i="5"/>
  <c r="E155" i="3" l="1"/>
  <c r="F154" i="3"/>
  <c r="H153" i="4"/>
  <c r="G153" i="4"/>
  <c r="F154" i="4"/>
  <c r="E155" i="4"/>
  <c r="H153" i="3"/>
  <c r="G153" i="3"/>
  <c r="K144" i="4"/>
  <c r="J144" i="4"/>
  <c r="I145" i="4"/>
  <c r="F154" i="5"/>
  <c r="E155" i="5"/>
  <c r="K143" i="5"/>
  <c r="J143" i="5"/>
  <c r="I144" i="5"/>
  <c r="K147" i="3"/>
  <c r="J147" i="3"/>
  <c r="I148" i="3"/>
  <c r="H153" i="5"/>
  <c r="G153" i="5"/>
  <c r="F155" i="4" l="1"/>
  <c r="E156" i="4"/>
  <c r="H154" i="4"/>
  <c r="G154" i="4"/>
  <c r="G154" i="3"/>
  <c r="H154" i="3"/>
  <c r="E156" i="3"/>
  <c r="F155" i="3"/>
  <c r="J148" i="3"/>
  <c r="K148" i="3"/>
  <c r="I149" i="3"/>
  <c r="K144" i="5"/>
  <c r="J144" i="5"/>
  <c r="I145" i="5"/>
  <c r="F155" i="5"/>
  <c r="E156" i="5"/>
  <c r="H154" i="5"/>
  <c r="G154" i="5"/>
  <c r="J145" i="4"/>
  <c r="K145" i="4"/>
  <c r="I146" i="4"/>
  <c r="H155" i="3" l="1"/>
  <c r="G155" i="3"/>
  <c r="F156" i="3"/>
  <c r="E157" i="3"/>
  <c r="E157" i="4"/>
  <c r="F156" i="4"/>
  <c r="H155" i="4"/>
  <c r="G155" i="4"/>
  <c r="H155" i="5"/>
  <c r="G155" i="5"/>
  <c r="K145" i="5"/>
  <c r="J145" i="5"/>
  <c r="I146" i="5"/>
  <c r="K149" i="3"/>
  <c r="J149" i="3"/>
  <c r="I150" i="3"/>
  <c r="J146" i="4"/>
  <c r="K146" i="4"/>
  <c r="I147" i="4"/>
  <c r="E157" i="5"/>
  <c r="F156" i="5"/>
  <c r="E158" i="4" l="1"/>
  <c r="F157" i="4"/>
  <c r="H156" i="3"/>
  <c r="G156" i="3"/>
  <c r="H156" i="4"/>
  <c r="G156" i="4"/>
  <c r="F157" i="3"/>
  <c r="E158" i="3"/>
  <c r="J150" i="3"/>
  <c r="K150" i="3"/>
  <c r="I151" i="3"/>
  <c r="K147" i="4"/>
  <c r="J147" i="4"/>
  <c r="I148" i="4"/>
  <c r="K146" i="5"/>
  <c r="J146" i="5"/>
  <c r="I147" i="5"/>
  <c r="G156" i="5"/>
  <c r="H156" i="5"/>
  <c r="F157" i="5"/>
  <c r="E158" i="5"/>
  <c r="H157" i="3" l="1"/>
  <c r="G157" i="3"/>
  <c r="F158" i="3"/>
  <c r="E159" i="3"/>
  <c r="H157" i="4"/>
  <c r="G157" i="4"/>
  <c r="E159" i="4"/>
  <c r="F158" i="4"/>
  <c r="F158" i="5"/>
  <c r="E159" i="5"/>
  <c r="H157" i="5"/>
  <c r="G157" i="5"/>
  <c r="J147" i="5"/>
  <c r="K147" i="5"/>
  <c r="I148" i="5"/>
  <c r="J148" i="4"/>
  <c r="K148" i="4"/>
  <c r="I149" i="4"/>
  <c r="K151" i="3"/>
  <c r="J151" i="3"/>
  <c r="I152" i="3"/>
  <c r="F159" i="4" l="1"/>
  <c r="E160" i="4"/>
  <c r="E160" i="3"/>
  <c r="F159" i="3"/>
  <c r="G158" i="4"/>
  <c r="H158" i="4"/>
  <c r="G158" i="3"/>
  <c r="H158" i="3"/>
  <c r="J149" i="4"/>
  <c r="K149" i="4"/>
  <c r="I150" i="4"/>
  <c r="J148" i="5"/>
  <c r="K148" i="5"/>
  <c r="I149" i="5"/>
  <c r="J152" i="3"/>
  <c r="K152" i="3"/>
  <c r="I153" i="3"/>
  <c r="F159" i="5"/>
  <c r="E160" i="5"/>
  <c r="H158" i="5"/>
  <c r="G158" i="5"/>
  <c r="G159" i="3" l="1"/>
  <c r="H159" i="3"/>
  <c r="F160" i="3"/>
  <c r="E161" i="3"/>
  <c r="E161" i="4"/>
  <c r="F160" i="4"/>
  <c r="H159" i="4"/>
  <c r="G159" i="4"/>
  <c r="K150" i="4"/>
  <c r="J150" i="4"/>
  <c r="I151" i="4"/>
  <c r="J149" i="5"/>
  <c r="K149" i="5"/>
  <c r="I150" i="5"/>
  <c r="F160" i="5"/>
  <c r="E161" i="5"/>
  <c r="H159" i="5"/>
  <c r="G159" i="5"/>
  <c r="K153" i="3"/>
  <c r="J153" i="3"/>
  <c r="I154" i="3"/>
  <c r="G160" i="3" l="1"/>
  <c r="H160" i="3"/>
  <c r="F161" i="3"/>
  <c r="E162" i="3"/>
  <c r="G160" i="4"/>
  <c r="H160" i="4"/>
  <c r="E162" i="4"/>
  <c r="F161" i="4"/>
  <c r="J151" i="4"/>
  <c r="K151" i="4"/>
  <c r="I152" i="4"/>
  <c r="F161" i="5"/>
  <c r="E162" i="5"/>
  <c r="K150" i="5"/>
  <c r="J150" i="5"/>
  <c r="I151" i="5"/>
  <c r="J154" i="3"/>
  <c r="K154" i="3"/>
  <c r="I155" i="3"/>
  <c r="H160" i="5"/>
  <c r="G160" i="5"/>
  <c r="H161" i="4" l="1"/>
  <c r="G161" i="4"/>
  <c r="F162" i="4"/>
  <c r="E163" i="4"/>
  <c r="F162" i="3"/>
  <c r="E163" i="3"/>
  <c r="G161" i="3"/>
  <c r="H161" i="3"/>
  <c r="K151" i="5"/>
  <c r="J151" i="5"/>
  <c r="I152" i="5"/>
  <c r="E163" i="5"/>
  <c r="F162" i="5"/>
  <c r="H161" i="5"/>
  <c r="G161" i="5"/>
  <c r="J152" i="4"/>
  <c r="K152" i="4"/>
  <c r="I153" i="4"/>
  <c r="K155" i="3"/>
  <c r="J155" i="3"/>
  <c r="I156" i="3"/>
  <c r="H162" i="4" l="1"/>
  <c r="G162" i="4"/>
  <c r="H162" i="3"/>
  <c r="G162" i="3"/>
  <c r="F163" i="4"/>
  <c r="E164" i="4"/>
  <c r="E164" i="3"/>
  <c r="F163" i="3"/>
  <c r="K153" i="4"/>
  <c r="J153" i="4"/>
  <c r="I154" i="4"/>
  <c r="G162" i="5"/>
  <c r="H162" i="5"/>
  <c r="F163" i="5"/>
  <c r="E164" i="5"/>
  <c r="J156" i="3"/>
  <c r="K156" i="3"/>
  <c r="I157" i="3"/>
  <c r="J152" i="5"/>
  <c r="K152" i="5"/>
  <c r="I153" i="5"/>
  <c r="E165" i="3" l="1"/>
  <c r="F164" i="3"/>
  <c r="H163" i="3"/>
  <c r="G163" i="3"/>
  <c r="F164" i="4"/>
  <c r="E165" i="4"/>
  <c r="H163" i="4"/>
  <c r="G163" i="4"/>
  <c r="K153" i="5"/>
  <c r="J153" i="5"/>
  <c r="I154" i="5"/>
  <c r="E165" i="5"/>
  <c r="F164" i="5"/>
  <c r="G163" i="5"/>
  <c r="H163" i="5"/>
  <c r="K157" i="3"/>
  <c r="J157" i="3"/>
  <c r="I158" i="3"/>
  <c r="J154" i="4"/>
  <c r="K154" i="4"/>
  <c r="I155" i="4"/>
  <c r="E166" i="4" l="1"/>
  <c r="F165" i="4"/>
  <c r="H164" i="4"/>
  <c r="G164" i="4"/>
  <c r="G164" i="3"/>
  <c r="H164" i="3"/>
  <c r="E166" i="3"/>
  <c r="F165" i="3"/>
  <c r="G164" i="5"/>
  <c r="H164" i="5"/>
  <c r="F165" i="5"/>
  <c r="E166" i="5"/>
  <c r="J154" i="5"/>
  <c r="K154" i="5"/>
  <c r="I155" i="5"/>
  <c r="K155" i="4"/>
  <c r="J155" i="4"/>
  <c r="I156" i="4"/>
  <c r="J158" i="3"/>
  <c r="K158" i="3"/>
  <c r="I159" i="3"/>
  <c r="H165" i="3" l="1"/>
  <c r="G165" i="3"/>
  <c r="F166" i="3"/>
  <c r="E167" i="3"/>
  <c r="H165" i="4"/>
  <c r="G165" i="4"/>
  <c r="F166" i="4"/>
  <c r="E167" i="4"/>
  <c r="K155" i="5"/>
  <c r="J155" i="5"/>
  <c r="I156" i="5"/>
  <c r="E167" i="5"/>
  <c r="F166" i="5"/>
  <c r="K156" i="4"/>
  <c r="J156" i="4"/>
  <c r="I157" i="4"/>
  <c r="K159" i="3"/>
  <c r="J159" i="3"/>
  <c r="I160" i="3"/>
  <c r="G165" i="5"/>
  <c r="H165" i="5"/>
  <c r="F167" i="3" l="1"/>
  <c r="E168" i="3"/>
  <c r="E168" i="4"/>
  <c r="F167" i="4"/>
  <c r="G166" i="3"/>
  <c r="H166" i="3"/>
  <c r="H166" i="4"/>
  <c r="G166" i="4"/>
  <c r="H166" i="5"/>
  <c r="G166" i="5"/>
  <c r="F167" i="5"/>
  <c r="E168" i="5"/>
  <c r="J156" i="5"/>
  <c r="K156" i="5"/>
  <c r="I157" i="5"/>
  <c r="J160" i="3"/>
  <c r="K160" i="3"/>
  <c r="I161" i="3"/>
  <c r="K157" i="4"/>
  <c r="J157" i="4"/>
  <c r="I158" i="4"/>
  <c r="F168" i="4" l="1"/>
  <c r="E169" i="4"/>
  <c r="H167" i="4"/>
  <c r="G167" i="4"/>
  <c r="E169" i="3"/>
  <c r="F168" i="3"/>
  <c r="H167" i="3"/>
  <c r="G167" i="3"/>
  <c r="K161" i="3"/>
  <c r="J161" i="3"/>
  <c r="I162" i="3"/>
  <c r="K158" i="4"/>
  <c r="J158" i="4"/>
  <c r="I159" i="4"/>
  <c r="J157" i="5"/>
  <c r="K157" i="5"/>
  <c r="I158" i="5"/>
  <c r="E169" i="5"/>
  <c r="F168" i="5"/>
  <c r="H167" i="5"/>
  <c r="G167" i="5"/>
  <c r="G168" i="3" l="1"/>
  <c r="H168" i="3"/>
  <c r="F169" i="4"/>
  <c r="E170" i="4"/>
  <c r="E170" i="3"/>
  <c r="F169" i="3"/>
  <c r="G168" i="4"/>
  <c r="H168" i="4"/>
  <c r="K159" i="4"/>
  <c r="J159" i="4"/>
  <c r="I160" i="4"/>
  <c r="K158" i="5"/>
  <c r="J158" i="5"/>
  <c r="I159" i="5"/>
  <c r="J162" i="3"/>
  <c r="K162" i="3"/>
  <c r="I163" i="3"/>
  <c r="G168" i="5"/>
  <c r="H168" i="5"/>
  <c r="F169" i="5"/>
  <c r="E170" i="5"/>
  <c r="E171" i="4" l="1"/>
  <c r="F170" i="4"/>
  <c r="H169" i="3"/>
  <c r="G169" i="3"/>
  <c r="F170" i="3"/>
  <c r="E171" i="3"/>
  <c r="H169" i="4"/>
  <c r="G169" i="4"/>
  <c r="E171" i="5"/>
  <c r="F170" i="5"/>
  <c r="H169" i="5"/>
  <c r="G169" i="5"/>
  <c r="J163" i="3"/>
  <c r="K163" i="3"/>
  <c r="I164" i="3"/>
  <c r="K159" i="5"/>
  <c r="J159" i="5"/>
  <c r="I160" i="5"/>
  <c r="K160" i="4"/>
  <c r="J160" i="4"/>
  <c r="I161" i="4"/>
  <c r="H170" i="3" l="1"/>
  <c r="G170" i="3"/>
  <c r="H170" i="4"/>
  <c r="G170" i="4"/>
  <c r="E172" i="3"/>
  <c r="F171" i="3"/>
  <c r="E172" i="4"/>
  <c r="F171" i="4"/>
  <c r="J164" i="3"/>
  <c r="K164" i="3"/>
  <c r="I165" i="3"/>
  <c r="K160" i="5"/>
  <c r="J160" i="5"/>
  <c r="I161" i="5"/>
  <c r="K161" i="4"/>
  <c r="J161" i="4"/>
  <c r="I162" i="4"/>
  <c r="H170" i="5"/>
  <c r="G170" i="5"/>
  <c r="F171" i="5"/>
  <c r="E172" i="5"/>
  <c r="H171" i="4" l="1"/>
  <c r="G171" i="4"/>
  <c r="G171" i="3"/>
  <c r="H171" i="3"/>
  <c r="E173" i="4"/>
  <c r="F172" i="4"/>
  <c r="E173" i="3"/>
  <c r="F172" i="3"/>
  <c r="J162" i="4"/>
  <c r="K162" i="4"/>
  <c r="I163" i="4"/>
  <c r="J161" i="5"/>
  <c r="K161" i="5"/>
  <c r="I162" i="5"/>
  <c r="E173" i="5"/>
  <c r="F172" i="5"/>
  <c r="G171" i="5"/>
  <c r="H171" i="5"/>
  <c r="K165" i="3"/>
  <c r="J165" i="3"/>
  <c r="I166" i="3"/>
  <c r="E174" i="4" l="1"/>
  <c r="F173" i="4"/>
  <c r="H172" i="3"/>
  <c r="G172" i="3"/>
  <c r="F173" i="3"/>
  <c r="E174" i="3"/>
  <c r="H172" i="4"/>
  <c r="G172" i="4"/>
  <c r="K162" i="5"/>
  <c r="J162" i="5"/>
  <c r="I163" i="5"/>
  <c r="J166" i="3"/>
  <c r="K166" i="3"/>
  <c r="I167" i="3"/>
  <c r="K163" i="4"/>
  <c r="J163" i="4"/>
  <c r="I164" i="4"/>
  <c r="H172" i="5"/>
  <c r="G172" i="5"/>
  <c r="F173" i="5"/>
  <c r="E174" i="5"/>
  <c r="G173" i="3" l="1"/>
  <c r="H173" i="3"/>
  <c r="F174" i="3"/>
  <c r="E175" i="3"/>
  <c r="G173" i="4"/>
  <c r="H173" i="4"/>
  <c r="E175" i="4"/>
  <c r="F174" i="4"/>
  <c r="K164" i="4"/>
  <c r="J164" i="4"/>
  <c r="I165" i="4"/>
  <c r="J167" i="3"/>
  <c r="K167" i="3"/>
  <c r="I168" i="3"/>
  <c r="F174" i="5"/>
  <c r="E175" i="5"/>
  <c r="H173" i="5"/>
  <c r="G173" i="5"/>
  <c r="J163" i="5"/>
  <c r="K163" i="5"/>
  <c r="I164" i="5"/>
  <c r="F175" i="4" l="1"/>
  <c r="E176" i="4"/>
  <c r="H174" i="3"/>
  <c r="G174" i="3"/>
  <c r="G174" i="4"/>
  <c r="H174" i="4"/>
  <c r="E176" i="3"/>
  <c r="F175" i="3"/>
  <c r="F175" i="5"/>
  <c r="E176" i="5"/>
  <c r="J168" i="3"/>
  <c r="K168" i="3"/>
  <c r="I169" i="3"/>
  <c r="K165" i="4"/>
  <c r="J165" i="4"/>
  <c r="I166" i="4"/>
  <c r="J164" i="5"/>
  <c r="K164" i="5"/>
  <c r="I165" i="5"/>
  <c r="H174" i="5"/>
  <c r="G174" i="5"/>
  <c r="E177" i="3" l="1"/>
  <c r="F176" i="3"/>
  <c r="E177" i="4"/>
  <c r="F176" i="4"/>
  <c r="H175" i="3"/>
  <c r="G175" i="3"/>
  <c r="H175" i="4"/>
  <c r="G175" i="4"/>
  <c r="J166" i="4"/>
  <c r="K166" i="4"/>
  <c r="I167" i="4"/>
  <c r="K169" i="3"/>
  <c r="J169" i="3"/>
  <c r="I170" i="3"/>
  <c r="E177" i="5"/>
  <c r="F176" i="5"/>
  <c r="G175" i="5"/>
  <c r="H175" i="5"/>
  <c r="J165" i="5"/>
  <c r="K165" i="5"/>
  <c r="I166" i="5"/>
  <c r="G176" i="3" l="1"/>
  <c r="H176" i="3"/>
  <c r="G176" i="4"/>
  <c r="H176" i="4"/>
  <c r="F177" i="4"/>
  <c r="E178" i="4"/>
  <c r="F177" i="3"/>
  <c r="E178" i="3"/>
  <c r="J170" i="3"/>
  <c r="K170" i="3"/>
  <c r="I171" i="3"/>
  <c r="J166" i="5"/>
  <c r="K166" i="5"/>
  <c r="I167" i="5"/>
  <c r="H176" i="5"/>
  <c r="G176" i="5"/>
  <c r="J167" i="4"/>
  <c r="K167" i="4"/>
  <c r="I168" i="4"/>
  <c r="F177" i="5"/>
  <c r="E178" i="5"/>
  <c r="E179" i="3" l="1"/>
  <c r="F178" i="3"/>
  <c r="F178" i="4"/>
  <c r="E179" i="4"/>
  <c r="H177" i="4"/>
  <c r="G177" i="4"/>
  <c r="G177" i="3"/>
  <c r="H177" i="3"/>
  <c r="K171" i="3"/>
  <c r="J171" i="3"/>
  <c r="I172" i="3"/>
  <c r="J167" i="5"/>
  <c r="K167" i="5"/>
  <c r="I168" i="5"/>
  <c r="F178" i="5"/>
  <c r="E179" i="5"/>
  <c r="G177" i="5"/>
  <c r="H177" i="5"/>
  <c r="K168" i="4"/>
  <c r="J168" i="4"/>
  <c r="I169" i="4"/>
  <c r="G178" i="3" l="1"/>
  <c r="H178" i="3"/>
  <c r="F179" i="4"/>
  <c r="E180" i="4"/>
  <c r="H178" i="4"/>
  <c r="G178" i="4"/>
  <c r="E180" i="3"/>
  <c r="F179" i="3"/>
  <c r="F179" i="5"/>
  <c r="E180" i="5"/>
  <c r="G178" i="5"/>
  <c r="H178" i="5"/>
  <c r="K168" i="5"/>
  <c r="J168" i="5"/>
  <c r="I169" i="5"/>
  <c r="J172" i="3"/>
  <c r="K172" i="3"/>
  <c r="I173" i="3"/>
  <c r="J169" i="4"/>
  <c r="K169" i="4"/>
  <c r="I170" i="4"/>
  <c r="H179" i="3" l="1"/>
  <c r="G179" i="3"/>
  <c r="E181" i="4"/>
  <c r="F180" i="4"/>
  <c r="E181" i="3"/>
  <c r="F180" i="3"/>
  <c r="G179" i="4"/>
  <c r="H179" i="4"/>
  <c r="K173" i="3"/>
  <c r="J173" i="3"/>
  <c r="I174" i="3"/>
  <c r="J169" i="5"/>
  <c r="K169" i="5"/>
  <c r="I170" i="5"/>
  <c r="K170" i="4"/>
  <c r="J170" i="4"/>
  <c r="I171" i="4"/>
  <c r="F180" i="5"/>
  <c r="E181" i="5"/>
  <c r="G179" i="5"/>
  <c r="H179" i="5"/>
  <c r="E182" i="3" l="1"/>
  <c r="F181" i="3"/>
  <c r="H180" i="3"/>
  <c r="G180" i="3"/>
  <c r="G180" i="4"/>
  <c r="H180" i="4"/>
  <c r="F181" i="4"/>
  <c r="E182" i="4"/>
  <c r="G180" i="5"/>
  <c r="H180" i="5"/>
  <c r="K171" i="4"/>
  <c r="J171" i="4"/>
  <c r="I172" i="4"/>
  <c r="K170" i="5"/>
  <c r="J170" i="5"/>
  <c r="I171" i="5"/>
  <c r="J174" i="3"/>
  <c r="K174" i="3"/>
  <c r="I175" i="3"/>
  <c r="F181" i="5"/>
  <c r="E182" i="5"/>
  <c r="E183" i="4" l="1"/>
  <c r="F182" i="4"/>
  <c r="H181" i="4"/>
  <c r="G181" i="4"/>
  <c r="H181" i="3"/>
  <c r="G181" i="3"/>
  <c r="F182" i="3"/>
  <c r="E183" i="3"/>
  <c r="E183" i="5"/>
  <c r="F182" i="5"/>
  <c r="J171" i="5"/>
  <c r="K171" i="5"/>
  <c r="I172" i="5"/>
  <c r="K172" i="4"/>
  <c r="J172" i="4"/>
  <c r="I173" i="4"/>
  <c r="H181" i="5"/>
  <c r="G181" i="5"/>
  <c r="K175" i="3"/>
  <c r="J175" i="3"/>
  <c r="I176" i="3"/>
  <c r="F183" i="3" l="1"/>
  <c r="E184" i="3"/>
  <c r="G182" i="4"/>
  <c r="H182" i="4"/>
  <c r="H182" i="3"/>
  <c r="G182" i="3"/>
  <c r="E184" i="4"/>
  <c r="F183" i="4"/>
  <c r="K173" i="4"/>
  <c r="J173" i="4"/>
  <c r="I174" i="4"/>
  <c r="K172" i="5"/>
  <c r="J172" i="5"/>
  <c r="I173" i="5"/>
  <c r="J176" i="3"/>
  <c r="K176" i="3"/>
  <c r="I177" i="3"/>
  <c r="G182" i="5"/>
  <c r="H182" i="5"/>
  <c r="F183" i="5"/>
  <c r="E184" i="5"/>
  <c r="E185" i="4" l="1"/>
  <c r="F184" i="4"/>
  <c r="E185" i="3"/>
  <c r="F184" i="3"/>
  <c r="G183" i="4"/>
  <c r="H183" i="4"/>
  <c r="G183" i="3"/>
  <c r="H183" i="3"/>
  <c r="G183" i="5"/>
  <c r="H183" i="5"/>
  <c r="K174" i="4"/>
  <c r="J174" i="4"/>
  <c r="I175" i="4"/>
  <c r="E185" i="5"/>
  <c r="F184" i="5"/>
  <c r="K177" i="3"/>
  <c r="J177" i="3"/>
  <c r="I178" i="3"/>
  <c r="K173" i="5"/>
  <c r="J173" i="5"/>
  <c r="I174" i="5"/>
  <c r="G184" i="4" l="1"/>
  <c r="H184" i="4"/>
  <c r="H184" i="3"/>
  <c r="G184" i="3"/>
  <c r="F185" i="3"/>
  <c r="E186" i="3"/>
  <c r="E186" i="4"/>
  <c r="F185" i="4"/>
  <c r="J174" i="5"/>
  <c r="K174" i="5"/>
  <c r="I175" i="5"/>
  <c r="H184" i="5"/>
  <c r="G184" i="5"/>
  <c r="F185" i="5"/>
  <c r="E186" i="5"/>
  <c r="K175" i="4"/>
  <c r="J175" i="4"/>
  <c r="I176" i="4"/>
  <c r="J178" i="3"/>
  <c r="K178" i="3"/>
  <c r="I179" i="3"/>
  <c r="H185" i="3" l="1"/>
  <c r="G185" i="3"/>
  <c r="G185" i="4"/>
  <c r="H185" i="4"/>
  <c r="F186" i="4"/>
  <c r="E187" i="4"/>
  <c r="F186" i="3"/>
  <c r="E187" i="3"/>
  <c r="E187" i="5"/>
  <c r="F186" i="5"/>
  <c r="J179" i="3"/>
  <c r="K179" i="3"/>
  <c r="I180" i="3"/>
  <c r="H185" i="5"/>
  <c r="G185" i="5"/>
  <c r="K175" i="5"/>
  <c r="J175" i="5"/>
  <c r="I176" i="5"/>
  <c r="K176" i="4"/>
  <c r="J176" i="4"/>
  <c r="I177" i="4"/>
  <c r="F187" i="3" l="1"/>
  <c r="E188" i="3"/>
  <c r="H186" i="4"/>
  <c r="G186" i="4"/>
  <c r="G186" i="3"/>
  <c r="H186" i="3"/>
  <c r="F187" i="4"/>
  <c r="E188" i="4"/>
  <c r="J180" i="3"/>
  <c r="K180" i="3"/>
  <c r="I181" i="3"/>
  <c r="H186" i="5"/>
  <c r="G186" i="5"/>
  <c r="J177" i="4"/>
  <c r="K177" i="4"/>
  <c r="I178" i="4"/>
  <c r="F187" i="5"/>
  <c r="E188" i="5"/>
  <c r="K176" i="5"/>
  <c r="J176" i="5"/>
  <c r="I177" i="5"/>
  <c r="E189" i="4" l="1"/>
  <c r="F188" i="4"/>
  <c r="H187" i="4"/>
  <c r="G187" i="4"/>
  <c r="F188" i="3"/>
  <c r="E189" i="3"/>
  <c r="G187" i="3"/>
  <c r="H187" i="3"/>
  <c r="J177" i="5"/>
  <c r="K177" i="5"/>
  <c r="I178" i="5"/>
  <c r="G187" i="5"/>
  <c r="H187" i="5"/>
  <c r="K178" i="4"/>
  <c r="J178" i="4"/>
  <c r="I179" i="4"/>
  <c r="K181" i="3"/>
  <c r="J181" i="3"/>
  <c r="I182" i="3"/>
  <c r="E189" i="5"/>
  <c r="F188" i="5"/>
  <c r="F189" i="3" l="1"/>
  <c r="E190" i="3"/>
  <c r="G188" i="4"/>
  <c r="H188" i="4"/>
  <c r="G188" i="3"/>
  <c r="H188" i="3"/>
  <c r="E190" i="4"/>
  <c r="F189" i="4"/>
  <c r="H188" i="5"/>
  <c r="G188" i="5"/>
  <c r="F189" i="5"/>
  <c r="E190" i="5"/>
  <c r="K179" i="4"/>
  <c r="J179" i="4"/>
  <c r="I180" i="4"/>
  <c r="J182" i="3"/>
  <c r="K182" i="3"/>
  <c r="I183" i="3"/>
  <c r="K178" i="5"/>
  <c r="J178" i="5"/>
  <c r="I179" i="5"/>
  <c r="H189" i="4" l="1"/>
  <c r="G189" i="4"/>
  <c r="E191" i="4"/>
  <c r="F190" i="4"/>
  <c r="F190" i="3"/>
  <c r="E191" i="3"/>
  <c r="H189" i="3"/>
  <c r="G189" i="3"/>
  <c r="G189" i="5"/>
  <c r="H189" i="5"/>
  <c r="E191" i="5"/>
  <c r="F190" i="5"/>
  <c r="K180" i="4"/>
  <c r="J180" i="4"/>
  <c r="I181" i="4"/>
  <c r="J179" i="5"/>
  <c r="K179" i="5"/>
  <c r="I180" i="5"/>
  <c r="K183" i="3"/>
  <c r="J183" i="3"/>
  <c r="I184" i="3"/>
  <c r="G190" i="3" l="1"/>
  <c r="H190" i="3"/>
  <c r="F191" i="3"/>
  <c r="E192" i="3"/>
  <c r="H190" i="4"/>
  <c r="G190" i="4"/>
  <c r="F191" i="4"/>
  <c r="E192" i="4"/>
  <c r="K181" i="4"/>
  <c r="J181" i="4"/>
  <c r="I182" i="4"/>
  <c r="J184" i="3"/>
  <c r="K184" i="3"/>
  <c r="I185" i="3"/>
  <c r="J180" i="5"/>
  <c r="K180" i="5"/>
  <c r="I181" i="5"/>
  <c r="H190" i="5"/>
  <c r="G190" i="5"/>
  <c r="F191" i="5"/>
  <c r="E192" i="5"/>
  <c r="F192" i="4" l="1"/>
  <c r="E193" i="4"/>
  <c r="H191" i="4"/>
  <c r="G191" i="4"/>
  <c r="E193" i="3"/>
  <c r="F192" i="3"/>
  <c r="H191" i="3"/>
  <c r="G191" i="3"/>
  <c r="J181" i="5"/>
  <c r="K181" i="5"/>
  <c r="I182" i="5"/>
  <c r="E193" i="5"/>
  <c r="F192" i="5"/>
  <c r="K185" i="3"/>
  <c r="J185" i="3"/>
  <c r="I186" i="3"/>
  <c r="J182" i="4"/>
  <c r="K182" i="4"/>
  <c r="I183" i="4"/>
  <c r="H191" i="5"/>
  <c r="G191" i="5"/>
  <c r="F193" i="3" l="1"/>
  <c r="E194" i="3"/>
  <c r="G192" i="3"/>
  <c r="H192" i="3"/>
  <c r="F193" i="4"/>
  <c r="E194" i="4"/>
  <c r="H192" i="4"/>
  <c r="G192" i="4"/>
  <c r="H192" i="5"/>
  <c r="G192" i="5"/>
  <c r="F193" i="5"/>
  <c r="E194" i="5"/>
  <c r="J182" i="5"/>
  <c r="K182" i="5"/>
  <c r="I183" i="5"/>
  <c r="K183" i="4"/>
  <c r="J183" i="4"/>
  <c r="I184" i="4"/>
  <c r="J186" i="3"/>
  <c r="K186" i="3"/>
  <c r="I187" i="3"/>
  <c r="F194" i="4" l="1"/>
  <c r="E195" i="4"/>
  <c r="H193" i="4"/>
  <c r="G193" i="4"/>
  <c r="E195" i="3"/>
  <c r="F194" i="3"/>
  <c r="G193" i="3"/>
  <c r="H193" i="3"/>
  <c r="E195" i="5"/>
  <c r="F194" i="5"/>
  <c r="K183" i="5"/>
  <c r="J183" i="5"/>
  <c r="I184" i="5"/>
  <c r="G193" i="5"/>
  <c r="H193" i="5"/>
  <c r="K187" i="3"/>
  <c r="J187" i="3"/>
  <c r="I188" i="3"/>
  <c r="K184" i="4"/>
  <c r="J184" i="4"/>
  <c r="I185" i="4"/>
  <c r="H194" i="3" l="1"/>
  <c r="G194" i="3"/>
  <c r="F195" i="4"/>
  <c r="E196" i="4"/>
  <c r="F195" i="3"/>
  <c r="E196" i="3"/>
  <c r="G194" i="4"/>
  <c r="H194" i="4"/>
  <c r="J185" i="4"/>
  <c r="K185" i="4"/>
  <c r="I186" i="4"/>
  <c r="K184" i="5"/>
  <c r="J184" i="5"/>
  <c r="I185" i="5"/>
  <c r="J188" i="3"/>
  <c r="K188" i="3"/>
  <c r="I189" i="3"/>
  <c r="H194" i="5"/>
  <c r="G194" i="5"/>
  <c r="F195" i="5"/>
  <c r="E196" i="5"/>
  <c r="E197" i="3" l="1"/>
  <c r="F196" i="3"/>
  <c r="H195" i="4"/>
  <c r="G195" i="4"/>
  <c r="H195" i="3"/>
  <c r="G195" i="3"/>
  <c r="F196" i="4"/>
  <c r="E197" i="4"/>
  <c r="F196" i="5"/>
  <c r="E197" i="5"/>
  <c r="K189" i="3"/>
  <c r="J189" i="3"/>
  <c r="I190" i="3"/>
  <c r="J185" i="5"/>
  <c r="K185" i="5"/>
  <c r="I186" i="5"/>
  <c r="J186" i="4"/>
  <c r="K186" i="4"/>
  <c r="I187" i="4"/>
  <c r="G195" i="5"/>
  <c r="H195" i="5"/>
  <c r="E198" i="4" l="1"/>
  <c r="F197" i="4"/>
  <c r="H196" i="3"/>
  <c r="G196" i="3"/>
  <c r="H196" i="4"/>
  <c r="G196" i="4"/>
  <c r="F197" i="3"/>
  <c r="E198" i="3"/>
  <c r="J190" i="3"/>
  <c r="K190" i="3"/>
  <c r="I191" i="3"/>
  <c r="K186" i="5"/>
  <c r="J186" i="5"/>
  <c r="I187" i="5"/>
  <c r="F197" i="5"/>
  <c r="E198" i="5"/>
  <c r="G196" i="5"/>
  <c r="H196" i="5"/>
  <c r="J187" i="4"/>
  <c r="K187" i="4"/>
  <c r="I188" i="4"/>
  <c r="F198" i="3" l="1"/>
  <c r="E199" i="3"/>
  <c r="H197" i="4"/>
  <c r="G197" i="4"/>
  <c r="G197" i="3"/>
  <c r="H197" i="3"/>
  <c r="F198" i="4"/>
  <c r="E199" i="4"/>
  <c r="E199" i="5"/>
  <c r="F198" i="5"/>
  <c r="J187" i="5"/>
  <c r="K187" i="5"/>
  <c r="I188" i="5"/>
  <c r="H197" i="5"/>
  <c r="G197" i="5"/>
  <c r="K188" i="4"/>
  <c r="J188" i="4"/>
  <c r="I189" i="4"/>
  <c r="K191" i="3"/>
  <c r="J191" i="3"/>
  <c r="I192" i="3"/>
  <c r="H198" i="4" l="1"/>
  <c r="G198" i="4"/>
  <c r="F199" i="3"/>
  <c r="E200" i="3"/>
  <c r="E200" i="4"/>
  <c r="F199" i="4"/>
  <c r="H198" i="3"/>
  <c r="G198" i="3"/>
  <c r="J192" i="3"/>
  <c r="K192" i="3"/>
  <c r="I193" i="3"/>
  <c r="J189" i="4"/>
  <c r="K189" i="4"/>
  <c r="I190" i="4"/>
  <c r="J188" i="5"/>
  <c r="K188" i="5"/>
  <c r="I189" i="5"/>
  <c r="G198" i="5"/>
  <c r="H198" i="5"/>
  <c r="E200" i="5"/>
  <c r="F199" i="5"/>
  <c r="H199" i="4" l="1"/>
  <c r="G199" i="4"/>
  <c r="F200" i="4"/>
  <c r="E201" i="4"/>
  <c r="E201" i="3"/>
  <c r="F200" i="3"/>
  <c r="G199" i="3"/>
  <c r="H199" i="3"/>
  <c r="H199" i="5"/>
  <c r="G199" i="5"/>
  <c r="E201" i="5"/>
  <c r="F200" i="5"/>
  <c r="K190" i="4"/>
  <c r="J190" i="4"/>
  <c r="I191" i="4"/>
  <c r="K193" i="3"/>
  <c r="J193" i="3"/>
  <c r="I194" i="3"/>
  <c r="K189" i="5"/>
  <c r="J189" i="5"/>
  <c r="I190" i="5"/>
  <c r="F201" i="3" l="1"/>
  <c r="E202" i="3"/>
  <c r="E202" i="4"/>
  <c r="F201" i="4"/>
  <c r="G200" i="3"/>
  <c r="H200" i="3"/>
  <c r="G200" i="4"/>
  <c r="H200" i="4"/>
  <c r="K191" i="4"/>
  <c r="J191" i="4"/>
  <c r="I192" i="4"/>
  <c r="J190" i="5"/>
  <c r="K190" i="5"/>
  <c r="I191" i="5"/>
  <c r="J194" i="3"/>
  <c r="K194" i="3"/>
  <c r="I195" i="3"/>
  <c r="G200" i="5"/>
  <c r="H200" i="5"/>
  <c r="E202" i="5"/>
  <c r="F201" i="5"/>
  <c r="F202" i="4" l="1"/>
  <c r="E203" i="4"/>
  <c r="H201" i="4"/>
  <c r="G201" i="4"/>
  <c r="F202" i="3"/>
  <c r="E203" i="3"/>
  <c r="G201" i="3"/>
  <c r="H201" i="3"/>
  <c r="H201" i="5"/>
  <c r="G201" i="5"/>
  <c r="E203" i="5"/>
  <c r="F202" i="5"/>
  <c r="K192" i="4"/>
  <c r="J192" i="4"/>
  <c r="I193" i="4"/>
  <c r="K195" i="3"/>
  <c r="J195" i="3"/>
  <c r="I196" i="3"/>
  <c r="K191" i="5"/>
  <c r="J191" i="5"/>
  <c r="I192" i="5"/>
  <c r="H202" i="3" l="1"/>
  <c r="G202" i="3"/>
  <c r="F203" i="4"/>
  <c r="E204" i="4"/>
  <c r="E204" i="3"/>
  <c r="F203" i="3"/>
  <c r="H202" i="4"/>
  <c r="G202" i="4"/>
  <c r="J193" i="4"/>
  <c r="K193" i="4"/>
  <c r="I194" i="4"/>
  <c r="E204" i="5"/>
  <c r="F203" i="5"/>
  <c r="J196" i="3"/>
  <c r="K196" i="3"/>
  <c r="I197" i="3"/>
  <c r="G202" i="5"/>
  <c r="H202" i="5"/>
  <c r="K192" i="5"/>
  <c r="J192" i="5"/>
  <c r="I193" i="5"/>
  <c r="G203" i="3" l="1"/>
  <c r="H203" i="3"/>
  <c r="E205" i="3"/>
  <c r="F204" i="3"/>
  <c r="F204" i="4"/>
  <c r="E205" i="4"/>
  <c r="H203" i="4"/>
  <c r="G203" i="4"/>
  <c r="K197" i="3"/>
  <c r="J197" i="3"/>
  <c r="I198" i="3"/>
  <c r="H203" i="5"/>
  <c r="G203" i="5"/>
  <c r="E205" i="5"/>
  <c r="F204" i="5"/>
  <c r="J194" i="4"/>
  <c r="K194" i="4"/>
  <c r="I195" i="4"/>
  <c r="K193" i="5"/>
  <c r="J193" i="5"/>
  <c r="I194" i="5"/>
  <c r="G204" i="4" l="1"/>
  <c r="H204" i="4"/>
  <c r="F205" i="4"/>
  <c r="E206" i="4"/>
  <c r="H204" i="3"/>
  <c r="G204" i="3"/>
  <c r="E206" i="3"/>
  <c r="F205" i="3"/>
  <c r="H204" i="5"/>
  <c r="G204" i="5"/>
  <c r="E206" i="5"/>
  <c r="F205" i="5"/>
  <c r="K194" i="5"/>
  <c r="J194" i="5"/>
  <c r="I195" i="5"/>
  <c r="K195" i="4"/>
  <c r="J195" i="4"/>
  <c r="I196" i="4"/>
  <c r="J198" i="3"/>
  <c r="K198" i="3"/>
  <c r="I199" i="3"/>
  <c r="F206" i="3" l="1"/>
  <c r="E207" i="3"/>
  <c r="E207" i="4"/>
  <c r="F206" i="4"/>
  <c r="G205" i="3"/>
  <c r="H205" i="3"/>
  <c r="H205" i="4"/>
  <c r="G205" i="4"/>
  <c r="K195" i="5"/>
  <c r="J195" i="5"/>
  <c r="I196" i="5"/>
  <c r="J199" i="3"/>
  <c r="K199" i="3"/>
  <c r="I200" i="3"/>
  <c r="G205" i="5"/>
  <c r="H205" i="5"/>
  <c r="F206" i="5"/>
  <c r="E207" i="5"/>
  <c r="K196" i="4"/>
  <c r="J196" i="4"/>
  <c r="I197" i="4"/>
  <c r="H206" i="4" l="1"/>
  <c r="G206" i="4"/>
  <c r="E208" i="4"/>
  <c r="F207" i="4"/>
  <c r="F207" i="3"/>
  <c r="E208" i="3"/>
  <c r="H206" i="3"/>
  <c r="G206" i="3"/>
  <c r="J200" i="3"/>
  <c r="K200" i="3"/>
  <c r="I201" i="3"/>
  <c r="K197" i="4"/>
  <c r="J197" i="4"/>
  <c r="I198" i="4"/>
  <c r="J196" i="5"/>
  <c r="K196" i="5"/>
  <c r="I197" i="5"/>
  <c r="E208" i="5"/>
  <c r="F207" i="5"/>
  <c r="H206" i="5"/>
  <c r="G206" i="5"/>
  <c r="E209" i="3" l="1"/>
  <c r="F208" i="3"/>
  <c r="G207" i="4"/>
  <c r="H207" i="4"/>
  <c r="H207" i="3"/>
  <c r="G207" i="3"/>
  <c r="F208" i="4"/>
  <c r="E209" i="4"/>
  <c r="K198" i="4"/>
  <c r="J198" i="4"/>
  <c r="I199" i="4"/>
  <c r="K201" i="3"/>
  <c r="J201" i="3"/>
  <c r="I202" i="3"/>
  <c r="H207" i="5"/>
  <c r="G207" i="5"/>
  <c r="F208" i="5"/>
  <c r="E209" i="5"/>
  <c r="K197" i="5"/>
  <c r="J197" i="5"/>
  <c r="I198" i="5"/>
  <c r="G208" i="4" l="1"/>
  <c r="H208" i="4"/>
  <c r="E210" i="4"/>
  <c r="F209" i="4"/>
  <c r="H208" i="3"/>
  <c r="G208" i="3"/>
  <c r="E210" i="3"/>
  <c r="F209" i="3"/>
  <c r="K199" i="4"/>
  <c r="J199" i="4"/>
  <c r="I200" i="4"/>
  <c r="H208" i="5"/>
  <c r="G208" i="5"/>
  <c r="J202" i="3"/>
  <c r="K202" i="3"/>
  <c r="I203" i="3"/>
  <c r="J198" i="5"/>
  <c r="K198" i="5"/>
  <c r="I199" i="5"/>
  <c r="E210" i="5"/>
  <c r="F209" i="5"/>
  <c r="H209" i="3" l="1"/>
  <c r="G209" i="3"/>
  <c r="F210" i="3"/>
  <c r="E211" i="3"/>
  <c r="H209" i="4"/>
  <c r="G209" i="4"/>
  <c r="E211" i="4"/>
  <c r="F210" i="4"/>
  <c r="H209" i="5"/>
  <c r="G209" i="5"/>
  <c r="F210" i="5"/>
  <c r="E211" i="5"/>
  <c r="K203" i="3"/>
  <c r="J203" i="3"/>
  <c r="I204" i="3"/>
  <c r="K200" i="4"/>
  <c r="J200" i="4"/>
  <c r="I201" i="4"/>
  <c r="K199" i="5"/>
  <c r="J199" i="5"/>
  <c r="I200" i="5"/>
  <c r="F211" i="4" l="1"/>
  <c r="E212" i="4"/>
  <c r="E212" i="3"/>
  <c r="F211" i="3"/>
  <c r="G210" i="4"/>
  <c r="H210" i="4"/>
  <c r="H210" i="3"/>
  <c r="G210" i="3"/>
  <c r="J204" i="3"/>
  <c r="K204" i="3"/>
  <c r="I205" i="3"/>
  <c r="G210" i="5"/>
  <c r="H210" i="5"/>
  <c r="K200" i="5"/>
  <c r="J200" i="5"/>
  <c r="I201" i="5"/>
  <c r="J201" i="4"/>
  <c r="K201" i="4"/>
  <c r="I202" i="4"/>
  <c r="E212" i="5"/>
  <c r="F211" i="5"/>
  <c r="E213" i="3" l="1"/>
  <c r="F212" i="3"/>
  <c r="H211" i="3"/>
  <c r="G211" i="3"/>
  <c r="E213" i="4"/>
  <c r="F212" i="4"/>
  <c r="H211" i="4"/>
  <c r="G211" i="4"/>
  <c r="H211" i="5"/>
  <c r="G211" i="5"/>
  <c r="K201" i="5"/>
  <c r="J201" i="5"/>
  <c r="I202" i="5"/>
  <c r="J202" i="4"/>
  <c r="K202" i="4"/>
  <c r="I203" i="4"/>
  <c r="F212" i="5"/>
  <c r="E213" i="5"/>
  <c r="K205" i="3"/>
  <c r="J205" i="3"/>
  <c r="I206" i="3"/>
  <c r="G212" i="4" l="1"/>
  <c r="H212" i="4"/>
  <c r="G212" i="3"/>
  <c r="H212" i="3"/>
  <c r="F213" i="4"/>
  <c r="E214" i="4"/>
  <c r="E214" i="3"/>
  <c r="F213" i="3"/>
  <c r="F213" i="5"/>
  <c r="E214" i="5"/>
  <c r="K203" i="4"/>
  <c r="J203" i="4"/>
  <c r="I204" i="4"/>
  <c r="J206" i="3"/>
  <c r="K206" i="3"/>
  <c r="I207" i="3"/>
  <c r="K202" i="5"/>
  <c r="J202" i="5"/>
  <c r="I203" i="5"/>
  <c r="H212" i="5"/>
  <c r="G212" i="5"/>
  <c r="H213" i="4" l="1"/>
  <c r="G213" i="4"/>
  <c r="G213" i="3"/>
  <c r="H213" i="3"/>
  <c r="E215" i="3"/>
  <c r="F214" i="3"/>
  <c r="F214" i="4"/>
  <c r="E215" i="4"/>
  <c r="K207" i="3"/>
  <c r="J207" i="3"/>
  <c r="I208" i="3"/>
  <c r="K203" i="5"/>
  <c r="J203" i="5"/>
  <c r="I204" i="5"/>
  <c r="K204" i="4"/>
  <c r="J204" i="4"/>
  <c r="I205" i="4"/>
  <c r="E215" i="5"/>
  <c r="F214" i="5"/>
  <c r="H213" i="5"/>
  <c r="G213" i="5"/>
  <c r="G214" i="3" l="1"/>
  <c r="H214" i="3"/>
  <c r="E216" i="4"/>
  <c r="F215" i="4"/>
  <c r="H214" i="4"/>
  <c r="G214" i="4"/>
  <c r="E216" i="3"/>
  <c r="F215" i="3"/>
  <c r="K204" i="5"/>
  <c r="J204" i="5"/>
  <c r="I205" i="5"/>
  <c r="J208" i="3"/>
  <c r="K208" i="3"/>
  <c r="I209" i="3"/>
  <c r="H214" i="5"/>
  <c r="G214" i="5"/>
  <c r="F215" i="5"/>
  <c r="E216" i="5"/>
  <c r="K205" i="4"/>
  <c r="J205" i="4"/>
  <c r="I206" i="4"/>
  <c r="H215" i="3" l="1"/>
  <c r="G215" i="3"/>
  <c r="E217" i="3"/>
  <c r="F216" i="3"/>
  <c r="H215" i="4"/>
  <c r="G215" i="4"/>
  <c r="F216" i="4"/>
  <c r="E217" i="4"/>
  <c r="F216" i="5"/>
  <c r="E217" i="5"/>
  <c r="H215" i="5"/>
  <c r="G215" i="5"/>
  <c r="K209" i="3"/>
  <c r="J209" i="3"/>
  <c r="I210" i="3"/>
  <c r="J206" i="4"/>
  <c r="K206" i="4"/>
  <c r="I207" i="4"/>
  <c r="K205" i="5"/>
  <c r="J205" i="5"/>
  <c r="I206" i="5"/>
  <c r="E218" i="4" l="1"/>
  <c r="F217" i="4"/>
  <c r="H216" i="3"/>
  <c r="G216" i="3"/>
  <c r="G216" i="4"/>
  <c r="H216" i="4"/>
  <c r="E218" i="3"/>
  <c r="F217" i="3"/>
  <c r="F217" i="5"/>
  <c r="E218" i="5"/>
  <c r="K206" i="5"/>
  <c r="J206" i="5"/>
  <c r="I207" i="5"/>
  <c r="J210" i="3"/>
  <c r="K210" i="3"/>
  <c r="I211" i="3"/>
  <c r="J207" i="4"/>
  <c r="K207" i="4"/>
  <c r="I208" i="4"/>
  <c r="H216" i="5"/>
  <c r="G216" i="5"/>
  <c r="H217" i="4" l="1"/>
  <c r="G217" i="4"/>
  <c r="H217" i="3"/>
  <c r="G217" i="3"/>
  <c r="E219" i="3"/>
  <c r="F218" i="3"/>
  <c r="E219" i="4"/>
  <c r="F218" i="4"/>
  <c r="K211" i="3"/>
  <c r="J211" i="3"/>
  <c r="I212" i="3"/>
  <c r="K207" i="5"/>
  <c r="J207" i="5"/>
  <c r="I208" i="5"/>
  <c r="F218" i="5"/>
  <c r="E219" i="5"/>
  <c r="H217" i="5"/>
  <c r="G217" i="5"/>
  <c r="K208" i="4"/>
  <c r="J208" i="4"/>
  <c r="I209" i="4"/>
  <c r="E220" i="4" l="1"/>
  <c r="F219" i="4"/>
  <c r="H218" i="4"/>
  <c r="G218" i="4"/>
  <c r="H218" i="3"/>
  <c r="G218" i="3"/>
  <c r="F219" i="3"/>
  <c r="E220" i="3"/>
  <c r="H218" i="5"/>
  <c r="G218" i="5"/>
  <c r="J208" i="5"/>
  <c r="K208" i="5"/>
  <c r="I209" i="5"/>
  <c r="J209" i="4"/>
  <c r="K209" i="4"/>
  <c r="I210" i="4"/>
  <c r="J212" i="3"/>
  <c r="K212" i="3"/>
  <c r="I213" i="3"/>
  <c r="F219" i="5"/>
  <c r="E220" i="5"/>
  <c r="H219" i="3" l="1"/>
  <c r="G219" i="3"/>
  <c r="F220" i="3"/>
  <c r="E221" i="3"/>
  <c r="H219" i="4"/>
  <c r="G219" i="4"/>
  <c r="F220" i="4"/>
  <c r="E221" i="4"/>
  <c r="J210" i="4"/>
  <c r="K210" i="4"/>
  <c r="I211" i="4"/>
  <c r="K213" i="3"/>
  <c r="J213" i="3"/>
  <c r="I214" i="3"/>
  <c r="K209" i="5"/>
  <c r="J209" i="5"/>
  <c r="I210" i="5"/>
  <c r="E221" i="5"/>
  <c r="F220" i="5"/>
  <c r="G219" i="5"/>
  <c r="H219" i="5"/>
  <c r="E222" i="4" l="1"/>
  <c r="F221" i="4"/>
  <c r="G220" i="4"/>
  <c r="H220" i="4"/>
  <c r="F221" i="3"/>
  <c r="E222" i="3"/>
  <c r="H220" i="3"/>
  <c r="G220" i="3"/>
  <c r="G220" i="5"/>
  <c r="H220" i="5"/>
  <c r="F221" i="5"/>
  <c r="E222" i="5"/>
  <c r="K210" i="5"/>
  <c r="J210" i="5"/>
  <c r="I211" i="5"/>
  <c r="J214" i="3"/>
  <c r="K214" i="3"/>
  <c r="I215" i="3"/>
  <c r="K211" i="4"/>
  <c r="J211" i="4"/>
  <c r="I212" i="4"/>
  <c r="E223" i="3" l="1"/>
  <c r="F222" i="3"/>
  <c r="G221" i="3"/>
  <c r="H221" i="3"/>
  <c r="G221" i="4"/>
  <c r="H221" i="4"/>
  <c r="E223" i="4"/>
  <c r="F222" i="4"/>
  <c r="F222" i="5"/>
  <c r="E223" i="5"/>
  <c r="K211" i="5"/>
  <c r="J211" i="5"/>
  <c r="I212" i="5"/>
  <c r="H221" i="5"/>
  <c r="G221" i="5"/>
  <c r="K212" i="4"/>
  <c r="J212" i="4"/>
  <c r="I213" i="4"/>
  <c r="J215" i="3"/>
  <c r="K215" i="3"/>
  <c r="I216" i="3"/>
  <c r="G222" i="3" l="1"/>
  <c r="H222" i="3"/>
  <c r="H222" i="4"/>
  <c r="G222" i="4"/>
  <c r="F223" i="4"/>
  <c r="E224" i="4"/>
  <c r="F223" i="3"/>
  <c r="E224" i="3"/>
  <c r="J212" i="5"/>
  <c r="K212" i="5"/>
  <c r="I213" i="5"/>
  <c r="J213" i="4"/>
  <c r="K213" i="4"/>
  <c r="I214" i="4"/>
  <c r="F223" i="5"/>
  <c r="E224" i="5"/>
  <c r="H222" i="5"/>
  <c r="G222" i="5"/>
  <c r="J216" i="3"/>
  <c r="K216" i="3"/>
  <c r="I217" i="3"/>
  <c r="F224" i="3" l="1"/>
  <c r="E225" i="3"/>
  <c r="H223" i="3"/>
  <c r="G223" i="3"/>
  <c r="E225" i="4"/>
  <c r="F224" i="4"/>
  <c r="H223" i="4"/>
  <c r="G223" i="4"/>
  <c r="K214" i="4"/>
  <c r="J214" i="4"/>
  <c r="I215" i="4"/>
  <c r="K217" i="3"/>
  <c r="J217" i="3"/>
  <c r="I218" i="3"/>
  <c r="J213" i="5"/>
  <c r="K213" i="5"/>
  <c r="I214" i="5"/>
  <c r="F224" i="5"/>
  <c r="E225" i="5"/>
  <c r="H223" i="5"/>
  <c r="G223" i="5"/>
  <c r="F225" i="3" l="1"/>
  <c r="E226" i="3"/>
  <c r="H224" i="4"/>
  <c r="G224" i="4"/>
  <c r="F225" i="4"/>
  <c r="E226" i="4"/>
  <c r="H224" i="3"/>
  <c r="G224" i="3"/>
  <c r="J214" i="5"/>
  <c r="K214" i="5"/>
  <c r="I215" i="5"/>
  <c r="F225" i="5"/>
  <c r="E226" i="5"/>
  <c r="J215" i="4"/>
  <c r="K215" i="4"/>
  <c r="I216" i="4"/>
  <c r="J218" i="3"/>
  <c r="K218" i="3"/>
  <c r="I219" i="3"/>
  <c r="H224" i="5"/>
  <c r="G224" i="5"/>
  <c r="E227" i="4" l="1"/>
  <c r="F226" i="4"/>
  <c r="H225" i="4"/>
  <c r="G225" i="4"/>
  <c r="F226" i="3"/>
  <c r="E227" i="3"/>
  <c r="H225" i="3"/>
  <c r="G225" i="3"/>
  <c r="K216" i="4"/>
  <c r="J216" i="4"/>
  <c r="I217" i="4"/>
  <c r="E227" i="5"/>
  <c r="F226" i="5"/>
  <c r="J219" i="3"/>
  <c r="K219" i="3"/>
  <c r="I220" i="3"/>
  <c r="K215" i="5"/>
  <c r="J215" i="5"/>
  <c r="I216" i="5"/>
  <c r="G225" i="5"/>
  <c r="H225" i="5"/>
  <c r="H226" i="3" l="1"/>
  <c r="G226" i="3"/>
  <c r="E228" i="3"/>
  <c r="F227" i="3"/>
  <c r="G226" i="4"/>
  <c r="H226" i="4"/>
  <c r="F227" i="4"/>
  <c r="E228" i="4"/>
  <c r="H226" i="5"/>
  <c r="G226" i="5"/>
  <c r="J220" i="3"/>
  <c r="K220" i="3"/>
  <c r="I221" i="3"/>
  <c r="F227" i="5"/>
  <c r="E228" i="5"/>
  <c r="K216" i="5"/>
  <c r="J216" i="5"/>
  <c r="I217" i="5"/>
  <c r="K217" i="4"/>
  <c r="J217" i="4"/>
  <c r="I218" i="4"/>
  <c r="G227" i="4" l="1"/>
  <c r="H227" i="4"/>
  <c r="E229" i="4"/>
  <c r="F228" i="4"/>
  <c r="H227" i="3"/>
  <c r="G227" i="3"/>
  <c r="F228" i="3"/>
  <c r="E229" i="3"/>
  <c r="J218" i="4"/>
  <c r="K218" i="4"/>
  <c r="I219" i="4"/>
  <c r="G227" i="5"/>
  <c r="H227" i="5"/>
  <c r="K221" i="3"/>
  <c r="J221" i="3"/>
  <c r="I222" i="3"/>
  <c r="J217" i="5"/>
  <c r="K217" i="5"/>
  <c r="I218" i="5"/>
  <c r="F228" i="5"/>
  <c r="E229" i="5"/>
  <c r="H228" i="3" l="1"/>
  <c r="G228" i="3"/>
  <c r="F229" i="3"/>
  <c r="E230" i="3"/>
  <c r="G228" i="4"/>
  <c r="H228" i="4"/>
  <c r="E230" i="4"/>
  <c r="F229" i="4"/>
  <c r="J218" i="5"/>
  <c r="K218" i="5"/>
  <c r="I219" i="5"/>
  <c r="F229" i="5"/>
  <c r="E230" i="5"/>
  <c r="J222" i="3"/>
  <c r="K222" i="3"/>
  <c r="I223" i="3"/>
  <c r="K219" i="4"/>
  <c r="J219" i="4"/>
  <c r="I220" i="4"/>
  <c r="G228" i="5"/>
  <c r="H228" i="5"/>
  <c r="H229" i="4" l="1"/>
  <c r="G229" i="4"/>
  <c r="F230" i="4"/>
  <c r="E231" i="4"/>
  <c r="F230" i="3"/>
  <c r="E231" i="3"/>
  <c r="H229" i="3"/>
  <c r="G229" i="3"/>
  <c r="K223" i="3"/>
  <c r="J223" i="3"/>
  <c r="I224" i="3"/>
  <c r="H229" i="5"/>
  <c r="G229" i="5"/>
  <c r="K219" i="5"/>
  <c r="J219" i="5"/>
  <c r="I220" i="5"/>
  <c r="F230" i="5"/>
  <c r="E231" i="5"/>
  <c r="K220" i="4"/>
  <c r="J220" i="4"/>
  <c r="I221" i="4"/>
  <c r="F231" i="3" l="1"/>
  <c r="E232" i="3"/>
  <c r="G230" i="3"/>
  <c r="H230" i="3"/>
  <c r="E232" i="4"/>
  <c r="F231" i="4"/>
  <c r="H230" i="4"/>
  <c r="G230" i="4"/>
  <c r="K221" i="4"/>
  <c r="J221" i="4"/>
  <c r="I222" i="4"/>
  <c r="H230" i="5"/>
  <c r="G230" i="5"/>
  <c r="J224" i="3"/>
  <c r="K224" i="3"/>
  <c r="I225" i="3"/>
  <c r="F231" i="5"/>
  <c r="E232" i="5"/>
  <c r="J220" i="5"/>
  <c r="K220" i="5"/>
  <c r="I221" i="5"/>
  <c r="F232" i="4" l="1"/>
  <c r="E233" i="4"/>
  <c r="F232" i="3"/>
  <c r="E233" i="3"/>
  <c r="G231" i="4"/>
  <c r="H231" i="4"/>
  <c r="H231" i="3"/>
  <c r="G231" i="3"/>
  <c r="G231" i="5"/>
  <c r="H231" i="5"/>
  <c r="K221" i="5"/>
  <c r="J221" i="5"/>
  <c r="I222" i="5"/>
  <c r="E233" i="5"/>
  <c r="F232" i="5"/>
  <c r="K225" i="3"/>
  <c r="J225" i="3"/>
  <c r="I226" i="3"/>
  <c r="K222" i="4"/>
  <c r="J222" i="4"/>
  <c r="I223" i="4"/>
  <c r="G232" i="3" l="1"/>
  <c r="H232" i="3"/>
  <c r="F233" i="3"/>
  <c r="E234" i="3"/>
  <c r="F233" i="4"/>
  <c r="E234" i="4"/>
  <c r="H232" i="4"/>
  <c r="G232" i="4"/>
  <c r="K222" i="5"/>
  <c r="J222" i="5"/>
  <c r="I223" i="5"/>
  <c r="K223" i="4"/>
  <c r="J223" i="4"/>
  <c r="I224" i="4"/>
  <c r="J226" i="3"/>
  <c r="K226" i="3"/>
  <c r="I227" i="3"/>
  <c r="G232" i="5"/>
  <c r="H232" i="5"/>
  <c r="F233" i="5"/>
  <c r="E234" i="5"/>
  <c r="F234" i="4" l="1"/>
  <c r="E235" i="4"/>
  <c r="H233" i="3"/>
  <c r="G233" i="3"/>
  <c r="G233" i="4"/>
  <c r="H233" i="4"/>
  <c r="F234" i="3"/>
  <c r="E235" i="3"/>
  <c r="G233" i="5"/>
  <c r="H233" i="5"/>
  <c r="J227" i="3"/>
  <c r="K227" i="3"/>
  <c r="I228" i="3"/>
  <c r="J224" i="4"/>
  <c r="K224" i="4"/>
  <c r="I225" i="4"/>
  <c r="K223" i="5"/>
  <c r="J223" i="5"/>
  <c r="I224" i="5"/>
  <c r="E235" i="5"/>
  <c r="F234" i="5"/>
  <c r="H234" i="3" l="1"/>
  <c r="G234" i="3"/>
  <c r="F235" i="4"/>
  <c r="E236" i="4"/>
  <c r="F235" i="3"/>
  <c r="E236" i="3"/>
  <c r="G234" i="4"/>
  <c r="H234" i="4"/>
  <c r="K225" i="4"/>
  <c r="J225" i="4"/>
  <c r="I226" i="4"/>
  <c r="J228" i="3"/>
  <c r="K228" i="3"/>
  <c r="I229" i="3"/>
  <c r="H234" i="5"/>
  <c r="G234" i="5"/>
  <c r="F235" i="5"/>
  <c r="E236" i="5"/>
  <c r="J224" i="5"/>
  <c r="K224" i="5"/>
  <c r="I225" i="5"/>
  <c r="E237" i="3" l="1"/>
  <c r="F236" i="3"/>
  <c r="G235" i="4"/>
  <c r="H235" i="4"/>
  <c r="G235" i="3"/>
  <c r="H235" i="3"/>
  <c r="F236" i="4"/>
  <c r="E237" i="4"/>
  <c r="K225" i="5"/>
  <c r="J225" i="5"/>
  <c r="I226" i="5"/>
  <c r="F236" i="5"/>
  <c r="E237" i="5"/>
  <c r="J226" i="4"/>
  <c r="K226" i="4"/>
  <c r="I227" i="4"/>
  <c r="K229" i="3"/>
  <c r="J229" i="3"/>
  <c r="I230" i="3"/>
  <c r="G235" i="5"/>
  <c r="H235" i="5"/>
  <c r="G236" i="4" l="1"/>
  <c r="H236" i="4"/>
  <c r="H236" i="3"/>
  <c r="G236" i="3"/>
  <c r="F237" i="4"/>
  <c r="E238" i="4"/>
  <c r="F237" i="3"/>
  <c r="E238" i="3"/>
  <c r="F237" i="5"/>
  <c r="E238" i="5"/>
  <c r="J230" i="3"/>
  <c r="K230" i="3"/>
  <c r="I231" i="3"/>
  <c r="K227" i="4"/>
  <c r="J227" i="4"/>
  <c r="I228" i="4"/>
  <c r="G236" i="5"/>
  <c r="H236" i="5"/>
  <c r="J226" i="5"/>
  <c r="K226" i="5"/>
  <c r="I227" i="5"/>
  <c r="E239" i="3" l="1"/>
  <c r="F238" i="3"/>
  <c r="G237" i="3"/>
  <c r="H237" i="3"/>
  <c r="E239" i="4"/>
  <c r="F238" i="4"/>
  <c r="H237" i="4"/>
  <c r="G237" i="4"/>
  <c r="K231" i="3"/>
  <c r="J231" i="3"/>
  <c r="I232" i="3"/>
  <c r="K227" i="5"/>
  <c r="J227" i="5"/>
  <c r="I228" i="5"/>
  <c r="K228" i="4"/>
  <c r="J228" i="4"/>
  <c r="I229" i="4"/>
  <c r="H237" i="5"/>
  <c r="G237" i="5"/>
  <c r="E239" i="5"/>
  <c r="F238" i="5"/>
  <c r="H238" i="4" l="1"/>
  <c r="G238" i="4"/>
  <c r="E240" i="4"/>
  <c r="F239" i="4"/>
  <c r="H238" i="3"/>
  <c r="G238" i="3"/>
  <c r="E240" i="3"/>
  <c r="F239" i="3"/>
  <c r="J229" i="4"/>
  <c r="K229" i="4"/>
  <c r="I230" i="4"/>
  <c r="K228" i="5"/>
  <c r="J228" i="5"/>
  <c r="I229" i="5"/>
  <c r="H238" i="5"/>
  <c r="G238" i="5"/>
  <c r="J232" i="3"/>
  <c r="K232" i="3"/>
  <c r="I233" i="3"/>
  <c r="F239" i="5"/>
  <c r="E240" i="5"/>
  <c r="H239" i="3" l="1"/>
  <c r="G239" i="3"/>
  <c r="E241" i="3"/>
  <c r="F240" i="3"/>
  <c r="E241" i="4"/>
  <c r="F240" i="4"/>
  <c r="H239" i="4"/>
  <c r="G239" i="4"/>
  <c r="K233" i="3"/>
  <c r="J233" i="3"/>
  <c r="I234" i="3"/>
  <c r="K229" i="5"/>
  <c r="J229" i="5"/>
  <c r="I230" i="5"/>
  <c r="K230" i="4"/>
  <c r="J230" i="4"/>
  <c r="I231" i="4"/>
  <c r="F240" i="5"/>
  <c r="E241" i="5"/>
  <c r="G239" i="5"/>
  <c r="H239" i="5"/>
  <c r="G240" i="4" l="1"/>
  <c r="H240" i="4"/>
  <c r="H240" i="3"/>
  <c r="G240" i="3"/>
  <c r="E242" i="3"/>
  <c r="F241" i="3"/>
  <c r="E242" i="4"/>
  <c r="F241" i="4"/>
  <c r="G241" i="4" s="1"/>
  <c r="F241" i="5"/>
  <c r="E242" i="5"/>
  <c r="K230" i="5"/>
  <c r="J230" i="5"/>
  <c r="I231" i="5"/>
  <c r="J234" i="3"/>
  <c r="K234" i="3"/>
  <c r="I235" i="3"/>
  <c r="H240" i="5"/>
  <c r="G240" i="5"/>
  <c r="J231" i="4"/>
  <c r="K231" i="4"/>
  <c r="I232" i="4"/>
  <c r="E243" i="4" l="1"/>
  <c r="F242" i="4"/>
  <c r="G242" i="4" s="1"/>
  <c r="G241" i="3"/>
  <c r="H241" i="3"/>
  <c r="E243" i="3"/>
  <c r="F242" i="3"/>
  <c r="J231" i="5"/>
  <c r="K231" i="5"/>
  <c r="I232" i="5"/>
  <c r="J232" i="4"/>
  <c r="K232" i="4"/>
  <c r="I233" i="4"/>
  <c r="F242" i="5"/>
  <c r="G242" i="5" s="1"/>
  <c r="E243" i="5"/>
  <c r="K235" i="3"/>
  <c r="J235" i="3"/>
  <c r="I236" i="3"/>
  <c r="H241" i="5"/>
  <c r="G241" i="5"/>
  <c r="H242" i="3" l="1"/>
  <c r="G242" i="3"/>
  <c r="F243" i="3"/>
  <c r="E244" i="3"/>
  <c r="E244" i="4"/>
  <c r="F243" i="4"/>
  <c r="E244" i="5"/>
  <c r="F243" i="5"/>
  <c r="G243" i="5" s="1"/>
  <c r="J233" i="4"/>
  <c r="K233" i="4"/>
  <c r="I234" i="4"/>
  <c r="J236" i="3"/>
  <c r="K236" i="3"/>
  <c r="I237" i="3"/>
  <c r="K232" i="5"/>
  <c r="J232" i="5"/>
  <c r="I233" i="5"/>
  <c r="H243" i="4" l="1"/>
  <c r="G243" i="4"/>
  <c r="E245" i="4"/>
  <c r="F244" i="4"/>
  <c r="F244" i="3"/>
  <c r="E245" i="3"/>
  <c r="G243" i="3"/>
  <c r="H243" i="3"/>
  <c r="K234" i="4"/>
  <c r="J234" i="4"/>
  <c r="I235" i="4"/>
  <c r="J233" i="5"/>
  <c r="K233" i="5"/>
  <c r="I234" i="5"/>
  <c r="K237" i="3"/>
  <c r="J237" i="3"/>
  <c r="I238" i="3"/>
  <c r="F244" i="5"/>
  <c r="E245" i="5"/>
  <c r="F245" i="3" l="1"/>
  <c r="E246" i="3"/>
  <c r="G244" i="3"/>
  <c r="H244" i="3"/>
  <c r="H244" i="4"/>
  <c r="G244" i="4"/>
  <c r="F245" i="4"/>
  <c r="E246" i="4"/>
  <c r="J238" i="3"/>
  <c r="K238" i="3"/>
  <c r="I239" i="3"/>
  <c r="F245" i="5"/>
  <c r="E246" i="5"/>
  <c r="K235" i="4"/>
  <c r="J235" i="4"/>
  <c r="I236" i="4"/>
  <c r="K234" i="5"/>
  <c r="J234" i="5"/>
  <c r="I235" i="5"/>
  <c r="H244" i="5"/>
  <c r="G244" i="5"/>
  <c r="H245" i="4" l="1"/>
  <c r="G245" i="4"/>
  <c r="E247" i="4"/>
  <c r="F246" i="4"/>
  <c r="F246" i="3"/>
  <c r="E247" i="3"/>
  <c r="H245" i="3"/>
  <c r="G245" i="3"/>
  <c r="K235" i="5"/>
  <c r="J235" i="5"/>
  <c r="I236" i="5"/>
  <c r="H245" i="5"/>
  <c r="G245" i="5"/>
  <c r="K239" i="3"/>
  <c r="J239" i="3"/>
  <c r="I240" i="3"/>
  <c r="K236" i="4"/>
  <c r="J236" i="4"/>
  <c r="I237" i="4"/>
  <c r="E247" i="5"/>
  <c r="F246" i="5"/>
  <c r="E248" i="3" l="1"/>
  <c r="F247" i="3"/>
  <c r="G246" i="3"/>
  <c r="H246" i="3"/>
  <c r="H246" i="4"/>
  <c r="G246" i="4"/>
  <c r="F247" i="4"/>
  <c r="E248" i="4"/>
  <c r="J236" i="5"/>
  <c r="K236" i="5"/>
  <c r="I237" i="5"/>
  <c r="E248" i="5"/>
  <c r="F247" i="5"/>
  <c r="J237" i="4"/>
  <c r="K237" i="4"/>
  <c r="I238" i="4"/>
  <c r="J240" i="3"/>
  <c r="K240" i="3"/>
  <c r="I241" i="3"/>
  <c r="G246" i="5"/>
  <c r="H246" i="5"/>
  <c r="H247" i="4" l="1"/>
  <c r="G247" i="4"/>
  <c r="H247" i="3"/>
  <c r="G247" i="3"/>
  <c r="E249" i="4"/>
  <c r="F248" i="4"/>
  <c r="E249" i="3"/>
  <c r="F248" i="3"/>
  <c r="K238" i="4"/>
  <c r="J238" i="4"/>
  <c r="I239" i="4"/>
  <c r="E249" i="5"/>
  <c r="F248" i="5"/>
  <c r="J237" i="5"/>
  <c r="K237" i="5"/>
  <c r="I238" i="5"/>
  <c r="K241" i="3"/>
  <c r="J241" i="3"/>
  <c r="I242" i="3"/>
  <c r="H247" i="5"/>
  <c r="G247" i="5"/>
  <c r="G248" i="4" l="1"/>
  <c r="H248" i="4"/>
  <c r="G248" i="3"/>
  <c r="H248" i="3"/>
  <c r="F249" i="3"/>
  <c r="E250" i="3"/>
  <c r="F249" i="4"/>
  <c r="E250" i="4"/>
  <c r="H248" i="5"/>
  <c r="G248" i="5"/>
  <c r="K238" i="5"/>
  <c r="J238" i="5"/>
  <c r="I239" i="5"/>
  <c r="F249" i="5"/>
  <c r="E250" i="5"/>
  <c r="K239" i="4"/>
  <c r="J239" i="4"/>
  <c r="I240" i="4"/>
  <c r="J242" i="3"/>
  <c r="K242" i="3"/>
  <c r="I243" i="3"/>
  <c r="H249" i="4" l="1"/>
  <c r="G249" i="4"/>
  <c r="F250" i="3"/>
  <c r="E251" i="3"/>
  <c r="G249" i="3"/>
  <c r="H249" i="3"/>
  <c r="E251" i="4"/>
  <c r="F250" i="4"/>
  <c r="F250" i="5"/>
  <c r="E251" i="5"/>
  <c r="G249" i="5"/>
  <c r="H249" i="5"/>
  <c r="K239" i="5"/>
  <c r="J239" i="5"/>
  <c r="I240" i="5"/>
  <c r="J243" i="3"/>
  <c r="K243" i="3"/>
  <c r="I244" i="3"/>
  <c r="J240" i="4"/>
  <c r="K240" i="4"/>
  <c r="I241" i="4"/>
  <c r="G250" i="4" l="1"/>
  <c r="H250" i="4"/>
  <c r="F251" i="4"/>
  <c r="E252" i="4"/>
  <c r="F251" i="3"/>
  <c r="E252" i="3"/>
  <c r="H250" i="3"/>
  <c r="G250" i="3"/>
  <c r="K240" i="5"/>
  <c r="J240" i="5"/>
  <c r="I241" i="5"/>
  <c r="J244" i="3"/>
  <c r="K244" i="3"/>
  <c r="I245" i="3"/>
  <c r="E252" i="5"/>
  <c r="F251" i="5"/>
  <c r="J241" i="4"/>
  <c r="I242" i="4"/>
  <c r="K241" i="4"/>
  <c r="G250" i="5"/>
  <c r="H250" i="5"/>
  <c r="E253" i="3" l="1"/>
  <c r="F252" i="3"/>
  <c r="H251" i="3"/>
  <c r="G251" i="3"/>
  <c r="F252" i="4"/>
  <c r="E253" i="4"/>
  <c r="G251" i="4"/>
  <c r="H251" i="4"/>
  <c r="K242" i="4"/>
  <c r="J242" i="4"/>
  <c r="I243" i="4"/>
  <c r="J241" i="5"/>
  <c r="K241" i="5"/>
  <c r="I242" i="5"/>
  <c r="E253" i="5"/>
  <c r="F252" i="5"/>
  <c r="K245" i="3"/>
  <c r="J245" i="3"/>
  <c r="I246" i="3"/>
  <c r="H251" i="5"/>
  <c r="G251" i="5"/>
  <c r="F253" i="4" l="1"/>
  <c r="E254" i="4"/>
  <c r="H252" i="3"/>
  <c r="G252" i="3"/>
  <c r="H252" i="4"/>
  <c r="G252" i="4"/>
  <c r="F253" i="3"/>
  <c r="E254" i="3"/>
  <c r="H252" i="5"/>
  <c r="G252" i="5"/>
  <c r="F253" i="5"/>
  <c r="E254" i="5"/>
  <c r="I243" i="5"/>
  <c r="K242" i="5"/>
  <c r="J242" i="5"/>
  <c r="K243" i="4"/>
  <c r="J243" i="4"/>
  <c r="I244" i="4"/>
  <c r="J246" i="3"/>
  <c r="K246" i="3"/>
  <c r="I247" i="3"/>
  <c r="E255" i="3" l="1"/>
  <c r="F254" i="3"/>
  <c r="G253" i="3"/>
  <c r="H253" i="3"/>
  <c r="E255" i="4"/>
  <c r="F254" i="4"/>
  <c r="G253" i="4"/>
  <c r="H253" i="4"/>
  <c r="F254" i="5"/>
  <c r="E255" i="5"/>
  <c r="J244" i="4"/>
  <c r="K244" i="4"/>
  <c r="I245" i="4"/>
  <c r="G253" i="5"/>
  <c r="H253" i="5"/>
  <c r="K243" i="5"/>
  <c r="J243" i="5"/>
  <c r="I244" i="5"/>
  <c r="K247" i="3"/>
  <c r="J247" i="3"/>
  <c r="I248" i="3"/>
  <c r="E256" i="4" l="1"/>
  <c r="F255" i="4"/>
  <c r="G254" i="3"/>
  <c r="H254" i="3"/>
  <c r="G254" i="4"/>
  <c r="H254" i="4"/>
  <c r="E256" i="3"/>
  <c r="F255" i="3"/>
  <c r="J244" i="5"/>
  <c r="K244" i="5"/>
  <c r="I245" i="5"/>
  <c r="K245" i="4"/>
  <c r="J245" i="4"/>
  <c r="I246" i="4"/>
  <c r="E256" i="5"/>
  <c r="F255" i="5"/>
  <c r="H254" i="5"/>
  <c r="G254" i="5"/>
  <c r="J248" i="3"/>
  <c r="K248" i="3"/>
  <c r="I249" i="3"/>
  <c r="G255" i="3" l="1"/>
  <c r="H255" i="3"/>
  <c r="H255" i="4"/>
  <c r="G255" i="4"/>
  <c r="E257" i="3"/>
  <c r="F256" i="3"/>
  <c r="E257" i="4"/>
  <c r="F256" i="4"/>
  <c r="K245" i="5"/>
  <c r="J245" i="5"/>
  <c r="I246" i="5"/>
  <c r="K249" i="3"/>
  <c r="J249" i="3"/>
  <c r="I250" i="3"/>
  <c r="K246" i="4"/>
  <c r="J246" i="4"/>
  <c r="I247" i="4"/>
  <c r="G255" i="5"/>
  <c r="H255" i="5"/>
  <c r="F256" i="5"/>
  <c r="E257" i="5"/>
  <c r="G256" i="4" l="1"/>
  <c r="H256" i="4"/>
  <c r="F257" i="4"/>
  <c r="E258" i="4"/>
  <c r="E258" i="3"/>
  <c r="F257" i="3"/>
  <c r="H256" i="3"/>
  <c r="G256" i="3"/>
  <c r="G256" i="5"/>
  <c r="H256" i="5"/>
  <c r="K247" i="4"/>
  <c r="J247" i="4"/>
  <c r="I248" i="4"/>
  <c r="J250" i="3"/>
  <c r="K250" i="3"/>
  <c r="I251" i="3"/>
  <c r="F257" i="5"/>
  <c r="E258" i="5"/>
  <c r="K246" i="5"/>
  <c r="J246" i="5"/>
  <c r="I247" i="5"/>
  <c r="G257" i="3" l="1"/>
  <c r="H257" i="3"/>
  <c r="F258" i="3"/>
  <c r="E259" i="3"/>
  <c r="E259" i="4"/>
  <c r="F258" i="4"/>
  <c r="H257" i="4"/>
  <c r="G257" i="4"/>
  <c r="K248" i="4"/>
  <c r="J248" i="4"/>
  <c r="I249" i="4"/>
  <c r="H257" i="5"/>
  <c r="G257" i="5"/>
  <c r="K251" i="3"/>
  <c r="J251" i="3"/>
  <c r="I252" i="3"/>
  <c r="J247" i="5"/>
  <c r="K247" i="5"/>
  <c r="I248" i="5"/>
  <c r="E259" i="5"/>
  <c r="F258" i="5"/>
  <c r="G258" i="3" l="1"/>
  <c r="H258" i="3"/>
  <c r="G258" i="4"/>
  <c r="H258" i="4"/>
  <c r="F259" i="4"/>
  <c r="E260" i="4"/>
  <c r="F259" i="3"/>
  <c r="E260" i="3"/>
  <c r="J252" i="3"/>
  <c r="K252" i="3"/>
  <c r="I253" i="3"/>
  <c r="G258" i="5"/>
  <c r="H258" i="5"/>
  <c r="F259" i="5"/>
  <c r="E260" i="5"/>
  <c r="J248" i="5"/>
  <c r="K248" i="5"/>
  <c r="I249" i="5"/>
  <c r="K249" i="4"/>
  <c r="J249" i="4"/>
  <c r="I250" i="4"/>
  <c r="E261" i="3" l="1"/>
  <c r="F260" i="3"/>
  <c r="F260" i="4"/>
  <c r="E261" i="4"/>
  <c r="H259" i="3"/>
  <c r="G259" i="3"/>
  <c r="H259" i="4"/>
  <c r="G259" i="4"/>
  <c r="F260" i="5"/>
  <c r="E261" i="5"/>
  <c r="G259" i="5"/>
  <c r="H259" i="5"/>
  <c r="J250" i="4"/>
  <c r="K250" i="4"/>
  <c r="I251" i="4"/>
  <c r="K249" i="5"/>
  <c r="J249" i="5"/>
  <c r="I250" i="5"/>
  <c r="J253" i="3"/>
  <c r="K253" i="3"/>
  <c r="I254" i="3"/>
  <c r="F261" i="4" l="1"/>
  <c r="E262" i="4"/>
  <c r="G260" i="4"/>
  <c r="H260" i="4"/>
  <c r="H260" i="3"/>
  <c r="G260" i="3"/>
  <c r="F261" i="3"/>
  <c r="E262" i="3"/>
  <c r="K251" i="4"/>
  <c r="J251" i="4"/>
  <c r="I252" i="4"/>
  <c r="J254" i="3"/>
  <c r="K254" i="3"/>
  <c r="I255" i="3"/>
  <c r="K250" i="5"/>
  <c r="J250" i="5"/>
  <c r="I251" i="5"/>
  <c r="F261" i="5"/>
  <c r="E262" i="5"/>
  <c r="H260" i="5"/>
  <c r="G260" i="5"/>
  <c r="G261" i="3" l="1"/>
  <c r="H261" i="3"/>
  <c r="E263" i="3"/>
  <c r="F262" i="3"/>
  <c r="F262" i="4"/>
  <c r="E263" i="4"/>
  <c r="H261" i="4"/>
  <c r="G261" i="4"/>
  <c r="J255" i="3"/>
  <c r="K255" i="3"/>
  <c r="I256" i="3"/>
  <c r="J252" i="4"/>
  <c r="K252" i="4"/>
  <c r="I253" i="4"/>
  <c r="E263" i="5"/>
  <c r="F262" i="5"/>
  <c r="H261" i="5"/>
  <c r="G261" i="5"/>
  <c r="K251" i="5"/>
  <c r="J251" i="5"/>
  <c r="I252" i="5"/>
  <c r="H262" i="4" l="1"/>
  <c r="G262" i="4"/>
  <c r="E264" i="4"/>
  <c r="F263" i="4"/>
  <c r="G262" i="3"/>
  <c r="H262" i="3"/>
  <c r="F263" i="3"/>
  <c r="E264" i="3"/>
  <c r="G262" i="5"/>
  <c r="H262" i="5"/>
  <c r="F263" i="5"/>
  <c r="E264" i="5"/>
  <c r="K253" i="4"/>
  <c r="J253" i="4"/>
  <c r="I254" i="4"/>
  <c r="J252" i="5"/>
  <c r="K252" i="5"/>
  <c r="I253" i="5"/>
  <c r="J256" i="3"/>
  <c r="K256" i="3"/>
  <c r="I257" i="3"/>
  <c r="H263" i="3" l="1"/>
  <c r="G263" i="3"/>
  <c r="E265" i="3"/>
  <c r="F264" i="3"/>
  <c r="H263" i="4"/>
  <c r="G263" i="4"/>
  <c r="F264" i="4"/>
  <c r="E265" i="4"/>
  <c r="K253" i="5"/>
  <c r="J253" i="5"/>
  <c r="I254" i="5"/>
  <c r="K254" i="4"/>
  <c r="J254" i="4"/>
  <c r="I255" i="4"/>
  <c r="E265" i="5"/>
  <c r="F264" i="5"/>
  <c r="G263" i="5"/>
  <c r="H263" i="5"/>
  <c r="K257" i="3"/>
  <c r="J257" i="3"/>
  <c r="I258" i="3"/>
  <c r="G264" i="3" l="1"/>
  <c r="H264" i="3"/>
  <c r="F265" i="4"/>
  <c r="E266" i="4"/>
  <c r="H264" i="4"/>
  <c r="G264" i="4"/>
  <c r="F265" i="3"/>
  <c r="E266" i="3"/>
  <c r="H264" i="5"/>
  <c r="G264" i="5"/>
  <c r="F265" i="5"/>
  <c r="E266" i="5"/>
  <c r="J258" i="3"/>
  <c r="K258" i="3"/>
  <c r="I259" i="3"/>
  <c r="K255" i="4"/>
  <c r="J255" i="4"/>
  <c r="I256" i="4"/>
  <c r="K254" i="5"/>
  <c r="J254" i="5"/>
  <c r="I255" i="5"/>
  <c r="F266" i="3" l="1"/>
  <c r="E267" i="3"/>
  <c r="G265" i="3"/>
  <c r="H265" i="3"/>
  <c r="E267" i="4"/>
  <c r="F266" i="4"/>
  <c r="H265" i="4"/>
  <c r="G265" i="4"/>
  <c r="K259" i="3"/>
  <c r="J259" i="3"/>
  <c r="I260" i="3"/>
  <c r="E267" i="5"/>
  <c r="F266" i="5"/>
  <c r="H265" i="5"/>
  <c r="G265" i="5"/>
  <c r="J255" i="5"/>
  <c r="K255" i="5"/>
  <c r="I256" i="5"/>
  <c r="J256" i="4"/>
  <c r="K256" i="4"/>
  <c r="I257" i="4"/>
  <c r="F267" i="4" l="1"/>
  <c r="E268" i="4"/>
  <c r="F267" i="3"/>
  <c r="E268" i="3"/>
  <c r="H266" i="4"/>
  <c r="G266" i="4"/>
  <c r="H266" i="3"/>
  <c r="G266" i="3"/>
  <c r="J256" i="5"/>
  <c r="K256" i="5"/>
  <c r="I257" i="5"/>
  <c r="K257" i="4"/>
  <c r="J257" i="4"/>
  <c r="I258" i="4"/>
  <c r="G266" i="5"/>
  <c r="H266" i="5"/>
  <c r="F267" i="5"/>
  <c r="E268" i="5"/>
  <c r="J260" i="3"/>
  <c r="K260" i="3"/>
  <c r="I261" i="3"/>
  <c r="H267" i="3" l="1"/>
  <c r="G267" i="3"/>
  <c r="E269" i="3"/>
  <c r="F268" i="3"/>
  <c r="F268" i="4"/>
  <c r="E269" i="4"/>
  <c r="G267" i="4"/>
  <c r="H267" i="4"/>
  <c r="J258" i="4"/>
  <c r="K258" i="4"/>
  <c r="I259" i="4"/>
  <c r="K261" i="3"/>
  <c r="J261" i="3"/>
  <c r="I262" i="3"/>
  <c r="K257" i="5"/>
  <c r="J257" i="5"/>
  <c r="I258" i="5"/>
  <c r="F268" i="5"/>
  <c r="E269" i="5"/>
  <c r="G267" i="5"/>
  <c r="H267" i="5"/>
  <c r="E270" i="4" l="1"/>
  <c r="F269" i="4"/>
  <c r="H268" i="4"/>
  <c r="G268" i="4"/>
  <c r="G268" i="3"/>
  <c r="H268" i="3"/>
  <c r="F269" i="3"/>
  <c r="E270" i="3"/>
  <c r="F269" i="5"/>
  <c r="E270" i="5"/>
  <c r="J262" i="3"/>
  <c r="K262" i="3"/>
  <c r="I263" i="3"/>
  <c r="K259" i="4"/>
  <c r="J259" i="4"/>
  <c r="I260" i="4"/>
  <c r="H268" i="5"/>
  <c r="G268" i="5"/>
  <c r="K258" i="5"/>
  <c r="J258" i="5"/>
  <c r="I259" i="5"/>
  <c r="G269" i="3" l="1"/>
  <c r="H269" i="3"/>
  <c r="F270" i="3"/>
  <c r="E271" i="3"/>
  <c r="G269" i="4"/>
  <c r="H269" i="4"/>
  <c r="F270" i="4"/>
  <c r="E271" i="4"/>
  <c r="H269" i="5"/>
  <c r="G269" i="5"/>
  <c r="E271" i="5"/>
  <c r="F270" i="5"/>
  <c r="K259" i="5"/>
  <c r="J259" i="5"/>
  <c r="I260" i="5"/>
  <c r="J260" i="4"/>
  <c r="K260" i="4"/>
  <c r="I261" i="4"/>
  <c r="K263" i="3"/>
  <c r="J263" i="3"/>
  <c r="I264" i="3"/>
  <c r="H270" i="4" l="1"/>
  <c r="G270" i="4"/>
  <c r="F271" i="3"/>
  <c r="E272" i="3"/>
  <c r="F271" i="4"/>
  <c r="E272" i="4"/>
  <c r="H270" i="3"/>
  <c r="G270" i="3"/>
  <c r="K261" i="4"/>
  <c r="J261" i="4"/>
  <c r="I262" i="4"/>
  <c r="J260" i="5"/>
  <c r="K260" i="5"/>
  <c r="I261" i="5"/>
  <c r="J264" i="3"/>
  <c r="K264" i="3"/>
  <c r="I265" i="3"/>
  <c r="G270" i="5"/>
  <c r="H270" i="5"/>
  <c r="E272" i="5"/>
  <c r="F271" i="5"/>
  <c r="F272" i="4" l="1"/>
  <c r="E273" i="4"/>
  <c r="G271" i="4"/>
  <c r="H271" i="4"/>
  <c r="E273" i="3"/>
  <c r="F272" i="3"/>
  <c r="H271" i="3"/>
  <c r="G271" i="3"/>
  <c r="J261" i="5"/>
  <c r="K261" i="5"/>
  <c r="I262" i="5"/>
  <c r="G271" i="5"/>
  <c r="H271" i="5"/>
  <c r="K262" i="4"/>
  <c r="J262" i="4"/>
  <c r="I263" i="4"/>
  <c r="F272" i="5"/>
  <c r="E273" i="5"/>
  <c r="K265" i="3"/>
  <c r="J265" i="3"/>
  <c r="I266" i="3"/>
  <c r="G272" i="3" l="1"/>
  <c r="H272" i="3"/>
  <c r="F273" i="4"/>
  <c r="E274" i="4"/>
  <c r="F273" i="3"/>
  <c r="E274" i="3"/>
  <c r="G272" i="4"/>
  <c r="H272" i="4"/>
  <c r="J266" i="3"/>
  <c r="K266" i="3"/>
  <c r="I267" i="3"/>
  <c r="F273" i="5"/>
  <c r="E274" i="5"/>
  <c r="H272" i="5"/>
  <c r="G272" i="5"/>
  <c r="K263" i="4"/>
  <c r="J263" i="4"/>
  <c r="I264" i="4"/>
  <c r="K262" i="5"/>
  <c r="J262" i="5"/>
  <c r="I263" i="5"/>
  <c r="G273" i="4" l="1"/>
  <c r="H273" i="4"/>
  <c r="E275" i="3"/>
  <c r="F274" i="3"/>
  <c r="G273" i="3"/>
  <c r="H273" i="3"/>
  <c r="E275" i="4"/>
  <c r="F274" i="4"/>
  <c r="F274" i="5"/>
  <c r="E275" i="5"/>
  <c r="J264" i="4"/>
  <c r="K264" i="4"/>
  <c r="I265" i="4"/>
  <c r="G273" i="5"/>
  <c r="H273" i="5"/>
  <c r="K267" i="3"/>
  <c r="J267" i="3"/>
  <c r="I268" i="3"/>
  <c r="K263" i="5"/>
  <c r="J263" i="5"/>
  <c r="I264" i="5"/>
  <c r="H274" i="4" l="1"/>
  <c r="G274" i="4"/>
  <c r="E276" i="4"/>
  <c r="F275" i="4"/>
  <c r="H274" i="3"/>
  <c r="G274" i="3"/>
  <c r="E276" i="3"/>
  <c r="F275" i="3"/>
  <c r="K265" i="4"/>
  <c r="J265" i="4"/>
  <c r="I266" i="4"/>
  <c r="K264" i="5"/>
  <c r="J264" i="5"/>
  <c r="I265" i="5"/>
  <c r="J268" i="3"/>
  <c r="K268" i="3"/>
  <c r="I269" i="3"/>
  <c r="H274" i="5"/>
  <c r="G274" i="5"/>
  <c r="F275" i="5"/>
  <c r="E276" i="5"/>
  <c r="H275" i="3" l="1"/>
  <c r="G275" i="3"/>
  <c r="E277" i="3"/>
  <c r="F276" i="3"/>
  <c r="G275" i="4"/>
  <c r="H275" i="4"/>
  <c r="F276" i="4"/>
  <c r="E277" i="4"/>
  <c r="J269" i="3"/>
  <c r="K269" i="3"/>
  <c r="I270" i="3"/>
  <c r="K265" i="5"/>
  <c r="J265" i="5"/>
  <c r="I266" i="5"/>
  <c r="K266" i="4"/>
  <c r="J266" i="4"/>
  <c r="I267" i="4"/>
  <c r="F276" i="5"/>
  <c r="E277" i="5"/>
  <c r="G275" i="5"/>
  <c r="H275" i="5"/>
  <c r="E278" i="4" l="1"/>
  <c r="F277" i="4"/>
  <c r="G276" i="3"/>
  <c r="H276" i="3"/>
  <c r="F277" i="3"/>
  <c r="E278" i="3"/>
  <c r="H276" i="4"/>
  <c r="G276" i="4"/>
  <c r="J270" i="3"/>
  <c r="K270" i="3"/>
  <c r="I271" i="3"/>
  <c r="H276" i="5"/>
  <c r="G276" i="5"/>
  <c r="K267" i="4"/>
  <c r="J267" i="4"/>
  <c r="I268" i="4"/>
  <c r="J266" i="5"/>
  <c r="K266" i="5"/>
  <c r="I267" i="5"/>
  <c r="F277" i="5"/>
  <c r="E278" i="5"/>
  <c r="H277" i="3" l="1"/>
  <c r="G277" i="3"/>
  <c r="F278" i="3"/>
  <c r="E279" i="3"/>
  <c r="H277" i="4"/>
  <c r="G277" i="4"/>
  <c r="E279" i="4"/>
  <c r="F278" i="4"/>
  <c r="K271" i="3"/>
  <c r="J271" i="3"/>
  <c r="I272" i="3"/>
  <c r="G277" i="5"/>
  <c r="H277" i="5"/>
  <c r="J267" i="5"/>
  <c r="K267" i="5"/>
  <c r="I268" i="5"/>
  <c r="K268" i="4"/>
  <c r="J268" i="4"/>
  <c r="I269" i="4"/>
  <c r="E279" i="5"/>
  <c r="F278" i="5"/>
  <c r="G278" i="4" l="1"/>
  <c r="H278" i="4"/>
  <c r="E280" i="4"/>
  <c r="F279" i="4"/>
  <c r="F279" i="3"/>
  <c r="E280" i="3"/>
  <c r="G278" i="3"/>
  <c r="H278" i="3"/>
  <c r="K268" i="5"/>
  <c r="J268" i="5"/>
  <c r="I269" i="5"/>
  <c r="K269" i="4"/>
  <c r="J269" i="4"/>
  <c r="I270" i="4"/>
  <c r="H278" i="5"/>
  <c r="G278" i="5"/>
  <c r="F279" i="5"/>
  <c r="E280" i="5"/>
  <c r="J272" i="3"/>
  <c r="K272" i="3"/>
  <c r="I273" i="3"/>
  <c r="F280" i="3" l="1"/>
  <c r="E281" i="3"/>
  <c r="G279" i="3"/>
  <c r="H279" i="3"/>
  <c r="G279" i="4"/>
  <c r="H279" i="4"/>
  <c r="E281" i="4"/>
  <c r="F280" i="4"/>
  <c r="K269" i="5"/>
  <c r="J269" i="5"/>
  <c r="I270" i="5"/>
  <c r="K273" i="3"/>
  <c r="J273" i="3"/>
  <c r="I274" i="3"/>
  <c r="G279" i="5"/>
  <c r="H279" i="5"/>
  <c r="J270" i="4"/>
  <c r="K270" i="4"/>
  <c r="I271" i="4"/>
  <c r="E281" i="5"/>
  <c r="F280" i="5"/>
  <c r="E282" i="4" l="1"/>
  <c r="F281" i="4"/>
  <c r="F281" i="3"/>
  <c r="E282" i="3"/>
  <c r="G280" i="4"/>
  <c r="H280" i="4"/>
  <c r="H280" i="3"/>
  <c r="G280" i="3"/>
  <c r="J274" i="3"/>
  <c r="K274" i="3"/>
  <c r="I275" i="3"/>
  <c r="K270" i="5"/>
  <c r="J270" i="5"/>
  <c r="I271" i="5"/>
  <c r="K271" i="4"/>
  <c r="J271" i="4"/>
  <c r="I272" i="4"/>
  <c r="G280" i="5"/>
  <c r="H280" i="5"/>
  <c r="E282" i="5"/>
  <c r="F281" i="5"/>
  <c r="H281" i="3" l="1"/>
  <c r="G281" i="3"/>
  <c r="F282" i="3"/>
  <c r="E283" i="3"/>
  <c r="G281" i="4"/>
  <c r="H281" i="4"/>
  <c r="F282" i="4"/>
  <c r="E283" i="4"/>
  <c r="K275" i="3"/>
  <c r="J275" i="3"/>
  <c r="I276" i="3"/>
  <c r="K271" i="5"/>
  <c r="J271" i="5"/>
  <c r="I272" i="5"/>
  <c r="G281" i="5"/>
  <c r="H281" i="5"/>
  <c r="F282" i="5"/>
  <c r="E283" i="5"/>
  <c r="K272" i="4"/>
  <c r="J272" i="4"/>
  <c r="I273" i="4"/>
  <c r="E284" i="4" l="1"/>
  <c r="F283" i="4"/>
  <c r="F283" i="3"/>
  <c r="E284" i="3"/>
  <c r="H282" i="4"/>
  <c r="G282" i="4"/>
  <c r="G282" i="3"/>
  <c r="H282" i="3"/>
  <c r="J276" i="3"/>
  <c r="K276" i="3"/>
  <c r="I277" i="3"/>
  <c r="K273" i="4"/>
  <c r="J273" i="4"/>
  <c r="I274" i="4"/>
  <c r="G282" i="5"/>
  <c r="H282" i="5"/>
  <c r="J272" i="5"/>
  <c r="K272" i="5"/>
  <c r="I273" i="5"/>
  <c r="F283" i="5"/>
  <c r="E284" i="5"/>
  <c r="H283" i="3" l="1"/>
  <c r="G283" i="3"/>
  <c r="E285" i="3"/>
  <c r="F284" i="3"/>
  <c r="H283" i="4"/>
  <c r="G283" i="4"/>
  <c r="F284" i="4"/>
  <c r="E285" i="4"/>
  <c r="G283" i="5"/>
  <c r="H283" i="5"/>
  <c r="J273" i="5"/>
  <c r="K273" i="5"/>
  <c r="I274" i="5"/>
  <c r="J274" i="4"/>
  <c r="K274" i="4"/>
  <c r="I275" i="4"/>
  <c r="F284" i="5"/>
  <c r="E285" i="5"/>
  <c r="K277" i="3"/>
  <c r="J277" i="3"/>
  <c r="I278" i="3"/>
  <c r="H284" i="4" l="1"/>
  <c r="G284" i="4"/>
  <c r="F285" i="4"/>
  <c r="E286" i="4"/>
  <c r="H284" i="3"/>
  <c r="G284" i="3"/>
  <c r="F285" i="3"/>
  <c r="E286" i="3"/>
  <c r="H284" i="5"/>
  <c r="G284" i="5"/>
  <c r="J278" i="3"/>
  <c r="K278" i="3"/>
  <c r="I279" i="3"/>
  <c r="K274" i="5"/>
  <c r="J274" i="5"/>
  <c r="I275" i="5"/>
  <c r="K275" i="4"/>
  <c r="J275" i="4"/>
  <c r="I276" i="4"/>
  <c r="F285" i="5"/>
  <c r="E286" i="5"/>
  <c r="G285" i="3" l="1"/>
  <c r="H285" i="3"/>
  <c r="E287" i="4"/>
  <c r="F286" i="4"/>
  <c r="E287" i="3"/>
  <c r="F286" i="3"/>
  <c r="H285" i="4"/>
  <c r="G285" i="4"/>
  <c r="F286" i="5"/>
  <c r="E287" i="5"/>
  <c r="J275" i="5"/>
  <c r="K275" i="5"/>
  <c r="I276" i="5"/>
  <c r="K279" i="3"/>
  <c r="J279" i="3"/>
  <c r="I280" i="3"/>
  <c r="G285" i="5"/>
  <c r="H285" i="5"/>
  <c r="J276" i="4"/>
  <c r="K276" i="4"/>
  <c r="I277" i="4"/>
  <c r="H286" i="4" l="1"/>
  <c r="G286" i="4"/>
  <c r="F287" i="4"/>
  <c r="E288" i="4"/>
  <c r="G286" i="3"/>
  <c r="H286" i="3"/>
  <c r="F287" i="3"/>
  <c r="E288" i="3"/>
  <c r="K277" i="4"/>
  <c r="J277" i="4"/>
  <c r="I278" i="4"/>
  <c r="F287" i="5"/>
  <c r="E288" i="5"/>
  <c r="J280" i="3"/>
  <c r="K280" i="3"/>
  <c r="I281" i="3"/>
  <c r="H286" i="5"/>
  <c r="G286" i="5"/>
  <c r="K276" i="5"/>
  <c r="J276" i="5"/>
  <c r="I277" i="5"/>
  <c r="E289" i="3" l="1"/>
  <c r="F288" i="3"/>
  <c r="H287" i="3"/>
  <c r="G287" i="3"/>
  <c r="E289" i="4"/>
  <c r="F288" i="4"/>
  <c r="G287" i="4"/>
  <c r="H287" i="4"/>
  <c r="K277" i="5"/>
  <c r="J277" i="5"/>
  <c r="I278" i="5"/>
  <c r="K278" i="4"/>
  <c r="J278" i="4"/>
  <c r="I279" i="4"/>
  <c r="K281" i="3"/>
  <c r="J281" i="3"/>
  <c r="I282" i="3"/>
  <c r="E289" i="5"/>
  <c r="F288" i="5"/>
  <c r="G287" i="5"/>
  <c r="H287" i="5"/>
  <c r="H288" i="4" l="1"/>
  <c r="G288" i="4"/>
  <c r="H288" i="3"/>
  <c r="G288" i="3"/>
  <c r="E290" i="4"/>
  <c r="F289" i="4"/>
  <c r="E290" i="3"/>
  <c r="F289" i="3"/>
  <c r="K279" i="4"/>
  <c r="J279" i="4"/>
  <c r="I280" i="4"/>
  <c r="H288" i="5"/>
  <c r="G288" i="5"/>
  <c r="E290" i="5"/>
  <c r="F289" i="5"/>
  <c r="J278" i="5"/>
  <c r="K278" i="5"/>
  <c r="I279" i="5"/>
  <c r="J282" i="3"/>
  <c r="K282" i="3"/>
  <c r="I283" i="3"/>
  <c r="H289" i="3" l="1"/>
  <c r="G289" i="3"/>
  <c r="F290" i="3"/>
  <c r="E291" i="3"/>
  <c r="G289" i="4"/>
  <c r="H289" i="4"/>
  <c r="E291" i="4"/>
  <c r="F290" i="4"/>
  <c r="G289" i="5"/>
  <c r="H289" i="5"/>
  <c r="F290" i="5"/>
  <c r="E291" i="5"/>
  <c r="J283" i="3"/>
  <c r="K283" i="3"/>
  <c r="I284" i="3"/>
  <c r="K280" i="4"/>
  <c r="J280" i="4"/>
  <c r="I281" i="4"/>
  <c r="J279" i="5"/>
  <c r="K279" i="5"/>
  <c r="I280" i="5"/>
  <c r="G290" i="4" l="1"/>
  <c r="H290" i="4"/>
  <c r="F291" i="3"/>
  <c r="E292" i="3"/>
  <c r="F291" i="4"/>
  <c r="E292" i="4"/>
  <c r="H290" i="3"/>
  <c r="G290" i="3"/>
  <c r="J284" i="3"/>
  <c r="K284" i="3"/>
  <c r="I285" i="3"/>
  <c r="K280" i="5"/>
  <c r="J280" i="5"/>
  <c r="I281" i="5"/>
  <c r="F291" i="5"/>
  <c r="E292" i="5"/>
  <c r="H290" i="5"/>
  <c r="G290" i="5"/>
  <c r="K281" i="4"/>
  <c r="J281" i="4"/>
  <c r="I282" i="4"/>
  <c r="F292" i="4" l="1"/>
  <c r="E293" i="4"/>
  <c r="H291" i="3"/>
  <c r="G291" i="3"/>
  <c r="H291" i="4"/>
  <c r="G291" i="4"/>
  <c r="F292" i="3"/>
  <c r="E293" i="3"/>
  <c r="K282" i="4"/>
  <c r="J282" i="4"/>
  <c r="I283" i="4"/>
  <c r="K285" i="3"/>
  <c r="J285" i="3"/>
  <c r="I286" i="3"/>
  <c r="E293" i="5"/>
  <c r="F292" i="5"/>
  <c r="G291" i="5"/>
  <c r="H291" i="5"/>
  <c r="K281" i="5"/>
  <c r="J281" i="5"/>
  <c r="I282" i="5"/>
  <c r="G292" i="3" l="1"/>
  <c r="H292" i="3"/>
  <c r="F293" i="4"/>
  <c r="E294" i="4"/>
  <c r="F293" i="3"/>
  <c r="E294" i="3"/>
  <c r="H292" i="4"/>
  <c r="G292" i="4"/>
  <c r="J282" i="5"/>
  <c r="K282" i="5"/>
  <c r="I283" i="5"/>
  <c r="K283" i="4"/>
  <c r="J283" i="4"/>
  <c r="I284" i="4"/>
  <c r="F293" i="5"/>
  <c r="E294" i="5"/>
  <c r="J286" i="3"/>
  <c r="K286" i="3"/>
  <c r="I287" i="3"/>
  <c r="H292" i="5"/>
  <c r="G292" i="5"/>
  <c r="F294" i="3" l="1"/>
  <c r="E295" i="3"/>
  <c r="G293" i="4"/>
  <c r="H293" i="4"/>
  <c r="G293" i="3"/>
  <c r="H293" i="3"/>
  <c r="F294" i="4"/>
  <c r="E295" i="4"/>
  <c r="J284" i="4"/>
  <c r="K284" i="4"/>
  <c r="I285" i="4"/>
  <c r="F294" i="5"/>
  <c r="E295" i="5"/>
  <c r="G293" i="5"/>
  <c r="H293" i="5"/>
  <c r="K283" i="5"/>
  <c r="J283" i="5"/>
  <c r="I284" i="5"/>
  <c r="K287" i="3"/>
  <c r="J287" i="3"/>
  <c r="I288" i="3"/>
  <c r="F295" i="4" l="1"/>
  <c r="E296" i="4"/>
  <c r="E296" i="3"/>
  <c r="F295" i="3"/>
  <c r="G294" i="4"/>
  <c r="H294" i="4"/>
  <c r="G294" i="3"/>
  <c r="H294" i="3"/>
  <c r="H294" i="5"/>
  <c r="G294" i="5"/>
  <c r="J288" i="3"/>
  <c r="K288" i="3"/>
  <c r="I289" i="3"/>
  <c r="E296" i="5"/>
  <c r="F295" i="5"/>
  <c r="K284" i="5"/>
  <c r="J284" i="5"/>
  <c r="I285" i="5"/>
  <c r="K285" i="4"/>
  <c r="J285" i="4"/>
  <c r="I286" i="4"/>
  <c r="H295" i="3" l="1"/>
  <c r="G295" i="3"/>
  <c r="E297" i="3"/>
  <c r="F296" i="3"/>
  <c r="F296" i="4"/>
  <c r="E297" i="4"/>
  <c r="G295" i="4"/>
  <c r="H295" i="4"/>
  <c r="F296" i="5"/>
  <c r="E297" i="5"/>
  <c r="K289" i="3"/>
  <c r="J289" i="3"/>
  <c r="I290" i="3"/>
  <c r="G295" i="5"/>
  <c r="H295" i="5"/>
  <c r="K286" i="4"/>
  <c r="J286" i="4"/>
  <c r="I287" i="4"/>
  <c r="J285" i="5"/>
  <c r="K285" i="5"/>
  <c r="I286" i="5"/>
  <c r="H296" i="4" l="1"/>
  <c r="G296" i="4"/>
  <c r="H296" i="3"/>
  <c r="G296" i="3"/>
  <c r="E298" i="4"/>
  <c r="F297" i="4"/>
  <c r="F297" i="3"/>
  <c r="E298" i="3"/>
  <c r="G296" i="5"/>
  <c r="H296" i="5"/>
  <c r="J290" i="3"/>
  <c r="K290" i="3"/>
  <c r="I291" i="3"/>
  <c r="K286" i="5"/>
  <c r="J286" i="5"/>
  <c r="I287" i="5"/>
  <c r="K287" i="4"/>
  <c r="J287" i="4"/>
  <c r="I288" i="4"/>
  <c r="E298" i="5"/>
  <c r="F297" i="5"/>
  <c r="F298" i="3" l="1"/>
  <c r="E299" i="3"/>
  <c r="H297" i="4"/>
  <c r="G297" i="4"/>
  <c r="F298" i="4"/>
  <c r="E299" i="4"/>
  <c r="H297" i="3"/>
  <c r="G297" i="3"/>
  <c r="J287" i="5"/>
  <c r="K287" i="5"/>
  <c r="I288" i="5"/>
  <c r="J291" i="3"/>
  <c r="K291" i="3"/>
  <c r="I292" i="3"/>
  <c r="G297" i="5"/>
  <c r="H297" i="5"/>
  <c r="F298" i="5"/>
  <c r="E299" i="5"/>
  <c r="K288" i="4"/>
  <c r="J288" i="4"/>
  <c r="I289" i="4"/>
  <c r="H298" i="4" l="1"/>
  <c r="G298" i="4"/>
  <c r="F299" i="3"/>
  <c r="E300" i="3"/>
  <c r="E300" i="4"/>
  <c r="F299" i="4"/>
  <c r="H298" i="3"/>
  <c r="G298" i="3"/>
  <c r="K288" i="5"/>
  <c r="J288" i="5"/>
  <c r="I289" i="5"/>
  <c r="K289" i="4"/>
  <c r="J289" i="4"/>
  <c r="I290" i="4"/>
  <c r="F299" i="5"/>
  <c r="E300" i="5"/>
  <c r="H298" i="5"/>
  <c r="G298" i="5"/>
  <c r="J292" i="3"/>
  <c r="K292" i="3"/>
  <c r="I293" i="3"/>
  <c r="F300" i="4" l="1"/>
  <c r="E301" i="4"/>
  <c r="F300" i="3"/>
  <c r="E301" i="3"/>
  <c r="H299" i="4"/>
  <c r="G299" i="4"/>
  <c r="H299" i="3"/>
  <c r="G299" i="3"/>
  <c r="E301" i="5"/>
  <c r="F300" i="5"/>
  <c r="G299" i="5"/>
  <c r="H299" i="5"/>
  <c r="K293" i="3"/>
  <c r="J293" i="3"/>
  <c r="I294" i="3"/>
  <c r="K290" i="4"/>
  <c r="J290" i="4"/>
  <c r="I291" i="4"/>
  <c r="J289" i="5"/>
  <c r="K289" i="5"/>
  <c r="I290" i="5"/>
  <c r="H300" i="3" l="1"/>
  <c r="G300" i="3"/>
  <c r="F301" i="3"/>
  <c r="E302" i="3"/>
  <c r="E302" i="4"/>
  <c r="F301" i="4"/>
  <c r="H300" i="4"/>
  <c r="G300" i="4"/>
  <c r="J294" i="3"/>
  <c r="K294" i="3"/>
  <c r="I295" i="3"/>
  <c r="G300" i="5"/>
  <c r="H300" i="5"/>
  <c r="E302" i="5"/>
  <c r="F301" i="5"/>
  <c r="K291" i="4"/>
  <c r="J291" i="4"/>
  <c r="I292" i="4"/>
  <c r="K290" i="5"/>
  <c r="J290" i="5"/>
  <c r="I291" i="5"/>
  <c r="H301" i="4" l="1"/>
  <c r="G301" i="4"/>
  <c r="G301" i="3"/>
  <c r="H301" i="3"/>
  <c r="E303" i="4"/>
  <c r="F302" i="4"/>
  <c r="F302" i="3"/>
  <c r="E303" i="3"/>
  <c r="K291" i="5"/>
  <c r="J291" i="5"/>
  <c r="I292" i="5"/>
  <c r="G301" i="5"/>
  <c r="H301" i="5"/>
  <c r="E303" i="5"/>
  <c r="F302" i="5"/>
  <c r="J295" i="3"/>
  <c r="K295" i="3"/>
  <c r="I296" i="3"/>
  <c r="K292" i="4"/>
  <c r="J292" i="4"/>
  <c r="I293" i="4"/>
  <c r="F303" i="3" l="1"/>
  <c r="E304" i="3"/>
  <c r="G302" i="4"/>
  <c r="H302" i="4"/>
  <c r="E304" i="4"/>
  <c r="F303" i="4"/>
  <c r="G302" i="3"/>
  <c r="H302" i="3"/>
  <c r="H302" i="5"/>
  <c r="G302" i="5"/>
  <c r="K293" i="4"/>
  <c r="J293" i="4"/>
  <c r="I294" i="4"/>
  <c r="E304" i="5"/>
  <c r="F303" i="5"/>
  <c r="J296" i="3"/>
  <c r="K296" i="3"/>
  <c r="I297" i="3"/>
  <c r="K292" i="5"/>
  <c r="J292" i="5"/>
  <c r="I293" i="5"/>
  <c r="H303" i="4" l="1"/>
  <c r="G303" i="4"/>
  <c r="F304" i="4"/>
  <c r="E305" i="4"/>
  <c r="E305" i="3"/>
  <c r="F304" i="3"/>
  <c r="H303" i="3"/>
  <c r="G303" i="3"/>
  <c r="J297" i="3"/>
  <c r="K297" i="3"/>
  <c r="I298" i="3"/>
  <c r="G303" i="5"/>
  <c r="H303" i="5"/>
  <c r="E305" i="5"/>
  <c r="F304" i="5"/>
  <c r="J294" i="4"/>
  <c r="K294" i="4"/>
  <c r="I295" i="4"/>
  <c r="K293" i="5"/>
  <c r="J293" i="5"/>
  <c r="I294" i="5"/>
  <c r="G304" i="4" l="1"/>
  <c r="H304" i="4"/>
  <c r="H304" i="3"/>
  <c r="G304" i="3"/>
  <c r="F305" i="3"/>
  <c r="E306" i="3"/>
  <c r="E306" i="4"/>
  <c r="F305" i="4"/>
  <c r="J298" i="3"/>
  <c r="K298" i="3"/>
  <c r="I299" i="3"/>
  <c r="K295" i="4"/>
  <c r="J295" i="4"/>
  <c r="I296" i="4"/>
  <c r="H304" i="5"/>
  <c r="G304" i="5"/>
  <c r="E306" i="5"/>
  <c r="F305" i="5"/>
  <c r="J294" i="5"/>
  <c r="K294" i="5"/>
  <c r="I295" i="5"/>
  <c r="E307" i="4" l="1"/>
  <c r="F306" i="4"/>
  <c r="H305" i="4"/>
  <c r="G305" i="4"/>
  <c r="F306" i="3"/>
  <c r="E307" i="3"/>
  <c r="G305" i="3"/>
  <c r="H305" i="3"/>
  <c r="K299" i="3"/>
  <c r="J299" i="3"/>
  <c r="I300" i="3"/>
  <c r="K295" i="5"/>
  <c r="J295" i="5"/>
  <c r="I296" i="5"/>
  <c r="G305" i="5"/>
  <c r="H305" i="5"/>
  <c r="F306" i="5"/>
  <c r="E307" i="5"/>
  <c r="K296" i="4"/>
  <c r="J296" i="4"/>
  <c r="I297" i="4"/>
  <c r="F307" i="3" l="1"/>
  <c r="E308" i="3"/>
  <c r="G306" i="4"/>
  <c r="H306" i="4"/>
  <c r="G306" i="3"/>
  <c r="H306" i="3"/>
  <c r="F307" i="4"/>
  <c r="E308" i="4"/>
  <c r="K297" i="4"/>
  <c r="J297" i="4"/>
  <c r="I298" i="4"/>
  <c r="E308" i="5"/>
  <c r="F307" i="5"/>
  <c r="H306" i="5"/>
  <c r="G306" i="5"/>
  <c r="J296" i="5"/>
  <c r="K296" i="5"/>
  <c r="I297" i="5"/>
  <c r="J300" i="3"/>
  <c r="K300" i="3"/>
  <c r="I301" i="3"/>
  <c r="F308" i="4" l="1"/>
  <c r="E309" i="4"/>
  <c r="H307" i="4"/>
  <c r="G307" i="4"/>
  <c r="F308" i="3"/>
  <c r="E309" i="3"/>
  <c r="H307" i="3"/>
  <c r="G307" i="3"/>
  <c r="G307" i="5"/>
  <c r="H307" i="5"/>
  <c r="K298" i="4"/>
  <c r="J298" i="4"/>
  <c r="I299" i="4"/>
  <c r="K301" i="3"/>
  <c r="J301" i="3"/>
  <c r="I302" i="3"/>
  <c r="K297" i="5"/>
  <c r="J297" i="5"/>
  <c r="I298" i="5"/>
  <c r="F308" i="5"/>
  <c r="E309" i="5"/>
  <c r="F309" i="3" l="1"/>
  <c r="E310" i="3"/>
  <c r="G308" i="3"/>
  <c r="H308" i="3"/>
  <c r="E310" i="4"/>
  <c r="F309" i="4"/>
  <c r="H308" i="4"/>
  <c r="G308" i="4"/>
  <c r="H308" i="5"/>
  <c r="G308" i="5"/>
  <c r="J298" i="5"/>
  <c r="K298" i="5"/>
  <c r="I299" i="5"/>
  <c r="J302" i="3"/>
  <c r="K302" i="3"/>
  <c r="I303" i="3"/>
  <c r="F309" i="5"/>
  <c r="E310" i="5"/>
  <c r="K299" i="4"/>
  <c r="J299" i="4"/>
  <c r="I300" i="4"/>
  <c r="H309" i="4" l="1"/>
  <c r="G309" i="4"/>
  <c r="E311" i="4"/>
  <c r="F310" i="4"/>
  <c r="F310" i="3"/>
  <c r="E311" i="3"/>
  <c r="G309" i="3"/>
  <c r="H309" i="3"/>
  <c r="K299" i="5"/>
  <c r="J299" i="5"/>
  <c r="I300" i="5"/>
  <c r="G309" i="5"/>
  <c r="H309" i="5"/>
  <c r="K303" i="3"/>
  <c r="J303" i="3"/>
  <c r="I304" i="3"/>
  <c r="J300" i="4"/>
  <c r="K300" i="4"/>
  <c r="I301" i="4"/>
  <c r="F310" i="5"/>
  <c r="E311" i="5"/>
  <c r="F311" i="3" l="1"/>
  <c r="E312" i="3"/>
  <c r="E312" i="4"/>
  <c r="F311" i="4"/>
  <c r="H310" i="4"/>
  <c r="G310" i="4"/>
  <c r="G310" i="3"/>
  <c r="H310" i="3"/>
  <c r="J304" i="3"/>
  <c r="K304" i="3"/>
  <c r="I305" i="3"/>
  <c r="F311" i="5"/>
  <c r="E312" i="5"/>
  <c r="K300" i="5"/>
  <c r="J300" i="5"/>
  <c r="I301" i="5"/>
  <c r="H310" i="5"/>
  <c r="G310" i="5"/>
  <c r="K301" i="4"/>
  <c r="J301" i="4"/>
  <c r="I302" i="4"/>
  <c r="E313" i="4" l="1"/>
  <c r="F312" i="4"/>
  <c r="H311" i="4"/>
  <c r="G311" i="4"/>
  <c r="F312" i="3"/>
  <c r="E313" i="3"/>
  <c r="H311" i="3"/>
  <c r="G311" i="3"/>
  <c r="J301" i="5"/>
  <c r="K301" i="5"/>
  <c r="I302" i="5"/>
  <c r="E313" i="5"/>
  <c r="F312" i="5"/>
  <c r="G311" i="5"/>
  <c r="H311" i="5"/>
  <c r="K305" i="3"/>
  <c r="J305" i="3"/>
  <c r="I306" i="3"/>
  <c r="J302" i="4"/>
  <c r="K302" i="4"/>
  <c r="I303" i="4"/>
  <c r="F313" i="3" l="1"/>
  <c r="E314" i="3"/>
  <c r="H312" i="4"/>
  <c r="G312" i="4"/>
  <c r="G312" i="3"/>
  <c r="H312" i="3"/>
  <c r="E314" i="4"/>
  <c r="F313" i="4"/>
  <c r="H312" i="5"/>
  <c r="G312" i="5"/>
  <c r="F313" i="5"/>
  <c r="E314" i="5"/>
  <c r="K302" i="5"/>
  <c r="J302" i="5"/>
  <c r="I303" i="5"/>
  <c r="K303" i="4"/>
  <c r="J303" i="4"/>
  <c r="I304" i="4"/>
  <c r="J306" i="3"/>
  <c r="K306" i="3"/>
  <c r="I307" i="3"/>
  <c r="F314" i="4" l="1"/>
  <c r="E315" i="4"/>
  <c r="H313" i="4"/>
  <c r="G313" i="4"/>
  <c r="F314" i="3"/>
  <c r="E315" i="3"/>
  <c r="G313" i="3"/>
  <c r="H313" i="3"/>
  <c r="K307" i="3"/>
  <c r="J307" i="3"/>
  <c r="I308" i="3"/>
  <c r="K304" i="4"/>
  <c r="J304" i="4"/>
  <c r="I305" i="4"/>
  <c r="J303" i="5"/>
  <c r="K303" i="5"/>
  <c r="I304" i="5"/>
  <c r="E315" i="5"/>
  <c r="F314" i="5"/>
  <c r="G313" i="5"/>
  <c r="H313" i="5"/>
  <c r="F315" i="3" l="1"/>
  <c r="G315" i="3" s="1"/>
  <c r="E316" i="3"/>
  <c r="G314" i="3"/>
  <c r="H314" i="3"/>
  <c r="F315" i="4"/>
  <c r="G315" i="4" s="1"/>
  <c r="E316" i="4"/>
  <c r="H314" i="4"/>
  <c r="G314" i="4"/>
  <c r="K305" i="4"/>
  <c r="J305" i="4"/>
  <c r="I306" i="4"/>
  <c r="J308" i="3"/>
  <c r="K308" i="3"/>
  <c r="I309" i="3"/>
  <c r="H314" i="5"/>
  <c r="G314" i="5"/>
  <c r="F315" i="5"/>
  <c r="E316" i="5"/>
  <c r="K304" i="5"/>
  <c r="J304" i="5"/>
  <c r="I305" i="5"/>
  <c r="F316" i="4" l="1"/>
  <c r="E317" i="4"/>
  <c r="F316" i="3"/>
  <c r="E317" i="3"/>
  <c r="G315" i="5"/>
  <c r="H315" i="5"/>
  <c r="K309" i="3"/>
  <c r="J309" i="3"/>
  <c r="I310" i="3"/>
  <c r="K305" i="5"/>
  <c r="J305" i="5"/>
  <c r="I306" i="5"/>
  <c r="K306" i="4"/>
  <c r="J306" i="4"/>
  <c r="I307" i="4"/>
  <c r="E317" i="5"/>
  <c r="F316" i="5"/>
  <c r="G316" i="5" s="1"/>
  <c r="H316" i="3" l="1"/>
  <c r="G316" i="3"/>
  <c r="F317" i="3"/>
  <c r="E318" i="3"/>
  <c r="F317" i="4"/>
  <c r="E318" i="4"/>
  <c r="H316" i="4"/>
  <c r="G316" i="4"/>
  <c r="K306" i="5"/>
  <c r="J306" i="5"/>
  <c r="I307" i="5"/>
  <c r="J310" i="3"/>
  <c r="K310" i="3"/>
  <c r="I311" i="3"/>
  <c r="E318" i="5"/>
  <c r="F317" i="5"/>
  <c r="K307" i="4"/>
  <c r="J307" i="4"/>
  <c r="I308" i="4"/>
  <c r="F318" i="4" l="1"/>
  <c r="E319" i="4"/>
  <c r="H317" i="3"/>
  <c r="G317" i="3"/>
  <c r="H317" i="4"/>
  <c r="G317" i="4"/>
  <c r="E319" i="3"/>
  <c r="F318" i="3"/>
  <c r="J307" i="5"/>
  <c r="K307" i="5"/>
  <c r="I308" i="5"/>
  <c r="H317" i="5"/>
  <c r="G317" i="5"/>
  <c r="F318" i="5"/>
  <c r="E319" i="5"/>
  <c r="J311" i="3"/>
  <c r="K311" i="3"/>
  <c r="I312" i="3"/>
  <c r="J308" i="4"/>
  <c r="K308" i="4"/>
  <c r="I309" i="4"/>
  <c r="G318" i="3" l="1"/>
  <c r="H318" i="3"/>
  <c r="E320" i="3"/>
  <c r="F319" i="3"/>
  <c r="E320" i="4"/>
  <c r="F319" i="4"/>
  <c r="H318" i="4"/>
  <c r="G318" i="4"/>
  <c r="J312" i="3"/>
  <c r="K312" i="3"/>
  <c r="I313" i="3"/>
  <c r="E320" i="5"/>
  <c r="F319" i="5"/>
  <c r="K309" i="4"/>
  <c r="J309" i="4"/>
  <c r="I310" i="4"/>
  <c r="H318" i="5"/>
  <c r="G318" i="5"/>
  <c r="J308" i="5"/>
  <c r="K308" i="5"/>
  <c r="I309" i="5"/>
  <c r="F320" i="4" l="1"/>
  <c r="E321" i="4"/>
  <c r="F320" i="3"/>
  <c r="E321" i="3"/>
  <c r="G319" i="3"/>
  <c r="H319" i="3"/>
  <c r="H319" i="4"/>
  <c r="G319" i="4"/>
  <c r="K310" i="4"/>
  <c r="J310" i="4"/>
  <c r="I311" i="4"/>
  <c r="H319" i="5"/>
  <c r="G319" i="5"/>
  <c r="E321" i="5"/>
  <c r="F320" i="5"/>
  <c r="K313" i="3"/>
  <c r="J313" i="3"/>
  <c r="I314" i="3"/>
  <c r="K309" i="5"/>
  <c r="J309" i="5"/>
  <c r="I310" i="5"/>
  <c r="H320" i="3" l="1"/>
  <c r="G320" i="3"/>
  <c r="E322" i="3"/>
  <c r="F321" i="3"/>
  <c r="F321" i="4"/>
  <c r="E322" i="4"/>
  <c r="G320" i="4"/>
  <c r="H320" i="4"/>
  <c r="G320" i="5"/>
  <c r="H320" i="5"/>
  <c r="F321" i="5"/>
  <c r="E322" i="5"/>
  <c r="J314" i="3"/>
  <c r="I315" i="3"/>
  <c r="K314" i="3"/>
  <c r="J310" i="5"/>
  <c r="K310" i="5"/>
  <c r="I311" i="5"/>
  <c r="K311" i="4"/>
  <c r="J311" i="4"/>
  <c r="I312" i="4"/>
  <c r="F322" i="4" l="1"/>
  <c r="E323" i="4"/>
  <c r="G321" i="3"/>
  <c r="H321" i="3"/>
  <c r="G321" i="4"/>
  <c r="H321" i="4"/>
  <c r="F322" i="3"/>
  <c r="E323" i="3"/>
  <c r="J311" i="5"/>
  <c r="K311" i="5"/>
  <c r="I312" i="5"/>
  <c r="H321" i="5"/>
  <c r="G321" i="5"/>
  <c r="K315" i="3"/>
  <c r="J315" i="3"/>
  <c r="I316" i="3"/>
  <c r="K312" i="4"/>
  <c r="J312" i="4"/>
  <c r="I313" i="4"/>
  <c r="E323" i="5"/>
  <c r="F322" i="5"/>
  <c r="H322" i="3" l="1"/>
  <c r="G322" i="3"/>
  <c r="F323" i="4"/>
  <c r="E324" i="4"/>
  <c r="F323" i="3"/>
  <c r="E324" i="3"/>
  <c r="G322" i="4"/>
  <c r="H322" i="4"/>
  <c r="G322" i="5"/>
  <c r="H322" i="5"/>
  <c r="F323" i="5"/>
  <c r="E324" i="5"/>
  <c r="J312" i="5"/>
  <c r="K312" i="5"/>
  <c r="I313" i="5"/>
  <c r="K313" i="4"/>
  <c r="J313" i="4"/>
  <c r="I314" i="4"/>
  <c r="K316" i="3"/>
  <c r="J316" i="3"/>
  <c r="I317" i="3"/>
  <c r="F324" i="3" l="1"/>
  <c r="E325" i="3"/>
  <c r="G323" i="3"/>
  <c r="H323" i="3"/>
  <c r="E325" i="4"/>
  <c r="F324" i="4"/>
  <c r="G323" i="4"/>
  <c r="H323" i="4"/>
  <c r="K313" i="5"/>
  <c r="J313" i="5"/>
  <c r="I314" i="5"/>
  <c r="J317" i="3"/>
  <c r="K317" i="3"/>
  <c r="I318" i="3"/>
  <c r="F324" i="5"/>
  <c r="E325" i="5"/>
  <c r="H323" i="5"/>
  <c r="G323" i="5"/>
  <c r="I315" i="4"/>
  <c r="K314" i="4"/>
  <c r="J314" i="4"/>
  <c r="F325" i="4" l="1"/>
  <c r="E326" i="4"/>
  <c r="F325" i="3"/>
  <c r="E326" i="3"/>
  <c r="G324" i="4"/>
  <c r="H324" i="4"/>
  <c r="H324" i="3"/>
  <c r="G324" i="3"/>
  <c r="E326" i="5"/>
  <c r="F325" i="5"/>
  <c r="K318" i="3"/>
  <c r="J318" i="3"/>
  <c r="I319" i="3"/>
  <c r="K315" i="4"/>
  <c r="J315" i="4"/>
  <c r="I316" i="4"/>
  <c r="J314" i="5"/>
  <c r="K314" i="5"/>
  <c r="I315" i="5"/>
  <c r="H324" i="5"/>
  <c r="G324" i="5"/>
  <c r="E327" i="3" l="1"/>
  <c r="F326" i="3"/>
  <c r="G325" i="3"/>
  <c r="H325" i="3"/>
  <c r="E327" i="4"/>
  <c r="F326" i="4"/>
  <c r="G325" i="4"/>
  <c r="H325" i="4"/>
  <c r="K316" i="4"/>
  <c r="J316" i="4"/>
  <c r="I317" i="4"/>
  <c r="J319" i="3"/>
  <c r="K319" i="3"/>
  <c r="I320" i="3"/>
  <c r="H325" i="5"/>
  <c r="G325" i="5"/>
  <c r="F326" i="5"/>
  <c r="E327" i="5"/>
  <c r="K315" i="5"/>
  <c r="J315" i="5"/>
  <c r="I316" i="5"/>
  <c r="H326" i="3" l="1"/>
  <c r="G326" i="3"/>
  <c r="H326" i="4"/>
  <c r="G326" i="4"/>
  <c r="F327" i="4"/>
  <c r="E328" i="4"/>
  <c r="E328" i="3"/>
  <c r="F327" i="3"/>
  <c r="K320" i="3"/>
  <c r="J320" i="3"/>
  <c r="I321" i="3"/>
  <c r="G326" i="5"/>
  <c r="H326" i="5"/>
  <c r="K316" i="5"/>
  <c r="J316" i="5"/>
  <c r="I317" i="5"/>
  <c r="E328" i="5"/>
  <c r="F327" i="5"/>
  <c r="K317" i="4"/>
  <c r="J317" i="4"/>
  <c r="I318" i="4"/>
  <c r="H327" i="3" l="1"/>
  <c r="G327" i="3"/>
  <c r="F328" i="4"/>
  <c r="E329" i="4"/>
  <c r="H327" i="4"/>
  <c r="G327" i="4"/>
  <c r="E329" i="3"/>
  <c r="F328" i="3"/>
  <c r="K318" i="4"/>
  <c r="J318" i="4"/>
  <c r="I319" i="4"/>
  <c r="H327" i="5"/>
  <c r="G327" i="5"/>
  <c r="E329" i="5"/>
  <c r="F328" i="5"/>
  <c r="J317" i="5"/>
  <c r="K317" i="5"/>
  <c r="I318" i="5"/>
  <c r="K321" i="3"/>
  <c r="J321" i="3"/>
  <c r="I322" i="3"/>
  <c r="G328" i="4" l="1"/>
  <c r="H328" i="4"/>
  <c r="H328" i="3"/>
  <c r="G328" i="3"/>
  <c r="F329" i="3"/>
  <c r="E330" i="3"/>
  <c r="E330" i="4"/>
  <c r="F329" i="4"/>
  <c r="E330" i="5"/>
  <c r="F329" i="5"/>
  <c r="K319" i="4"/>
  <c r="J319" i="4"/>
  <c r="I320" i="4"/>
  <c r="J318" i="5"/>
  <c r="K318" i="5"/>
  <c r="I319" i="5"/>
  <c r="H328" i="5"/>
  <c r="G328" i="5"/>
  <c r="K322" i="3"/>
  <c r="J322" i="3"/>
  <c r="I323" i="3"/>
  <c r="H329" i="4" l="1"/>
  <c r="G329" i="4"/>
  <c r="F330" i="4"/>
  <c r="E331" i="4"/>
  <c r="E331" i="3"/>
  <c r="F330" i="3"/>
  <c r="G329" i="3"/>
  <c r="H329" i="3"/>
  <c r="J323" i="3"/>
  <c r="K323" i="3"/>
  <c r="I324" i="3"/>
  <c r="H329" i="5"/>
  <c r="G329" i="5"/>
  <c r="F330" i="5"/>
  <c r="E331" i="5"/>
  <c r="J319" i="5"/>
  <c r="K319" i="5"/>
  <c r="I320" i="5"/>
  <c r="K320" i="4"/>
  <c r="J320" i="4"/>
  <c r="I321" i="4"/>
  <c r="G330" i="3" l="1"/>
  <c r="H330" i="3"/>
  <c r="F331" i="3"/>
  <c r="E332" i="3"/>
  <c r="F331" i="4"/>
  <c r="E332" i="4"/>
  <c r="H330" i="4"/>
  <c r="G330" i="4"/>
  <c r="H330" i="5"/>
  <c r="G330" i="5"/>
  <c r="K324" i="3"/>
  <c r="J324" i="3"/>
  <c r="I325" i="3"/>
  <c r="K321" i="4"/>
  <c r="J321" i="4"/>
  <c r="I322" i="4"/>
  <c r="K320" i="5"/>
  <c r="J320" i="5"/>
  <c r="I321" i="5"/>
  <c r="F331" i="5"/>
  <c r="E332" i="5"/>
  <c r="E333" i="4" l="1"/>
  <c r="F332" i="4"/>
  <c r="G331" i="4"/>
  <c r="H331" i="4"/>
  <c r="F332" i="3"/>
  <c r="E333" i="3"/>
  <c r="H331" i="3"/>
  <c r="G331" i="3"/>
  <c r="F332" i="5"/>
  <c r="E333" i="5"/>
  <c r="H331" i="5"/>
  <c r="G331" i="5"/>
  <c r="J321" i="5"/>
  <c r="K321" i="5"/>
  <c r="I322" i="5"/>
  <c r="K325" i="3"/>
  <c r="J325" i="3"/>
  <c r="I326" i="3"/>
  <c r="J322" i="4"/>
  <c r="K322" i="4"/>
  <c r="I323" i="4"/>
  <c r="E334" i="3" l="1"/>
  <c r="F333" i="3"/>
  <c r="G332" i="4"/>
  <c r="H332" i="4"/>
  <c r="G332" i="3"/>
  <c r="H332" i="3"/>
  <c r="F333" i="4"/>
  <c r="E334" i="4"/>
  <c r="K326" i="3"/>
  <c r="J326" i="3"/>
  <c r="I327" i="3"/>
  <c r="K322" i="5"/>
  <c r="J322" i="5"/>
  <c r="I323" i="5"/>
  <c r="J323" i="4"/>
  <c r="K323" i="4"/>
  <c r="I324" i="4"/>
  <c r="F333" i="5"/>
  <c r="E334" i="5"/>
  <c r="G332" i="5"/>
  <c r="H332" i="5"/>
  <c r="G333" i="4" l="1"/>
  <c r="H333" i="4"/>
  <c r="F334" i="4"/>
  <c r="E335" i="4"/>
  <c r="H333" i="3"/>
  <c r="G333" i="3"/>
  <c r="F334" i="3"/>
  <c r="E335" i="3"/>
  <c r="H333" i="5"/>
  <c r="G333" i="5"/>
  <c r="J324" i="4"/>
  <c r="K324" i="4"/>
  <c r="I325" i="4"/>
  <c r="J323" i="5"/>
  <c r="K323" i="5"/>
  <c r="I324" i="5"/>
  <c r="K327" i="3"/>
  <c r="J327" i="3"/>
  <c r="I328" i="3"/>
  <c r="F334" i="5"/>
  <c r="E335" i="5"/>
  <c r="E336" i="3" l="1"/>
  <c r="F335" i="3"/>
  <c r="G334" i="3"/>
  <c r="H334" i="3"/>
  <c r="E336" i="4"/>
  <c r="F335" i="4"/>
  <c r="G334" i="4"/>
  <c r="H334" i="4"/>
  <c r="K324" i="5"/>
  <c r="J324" i="5"/>
  <c r="I325" i="5"/>
  <c r="E336" i="5"/>
  <c r="F335" i="5"/>
  <c r="J328" i="3"/>
  <c r="K328" i="3"/>
  <c r="I329" i="3"/>
  <c r="H334" i="5"/>
  <c r="G334" i="5"/>
  <c r="K325" i="4"/>
  <c r="J325" i="4"/>
  <c r="I326" i="4"/>
  <c r="F336" i="4" l="1"/>
  <c r="E337" i="4"/>
  <c r="G335" i="3"/>
  <c r="H335" i="3"/>
  <c r="H335" i="4"/>
  <c r="G335" i="4"/>
  <c r="E337" i="3"/>
  <c r="F336" i="3"/>
  <c r="H335" i="5"/>
  <c r="G335" i="5"/>
  <c r="E337" i="5"/>
  <c r="F336" i="5"/>
  <c r="J325" i="5"/>
  <c r="K325" i="5"/>
  <c r="I326" i="5"/>
  <c r="K326" i="4"/>
  <c r="J326" i="4"/>
  <c r="I327" i="4"/>
  <c r="K329" i="3"/>
  <c r="J329" i="3"/>
  <c r="I330" i="3"/>
  <c r="E338" i="3" l="1"/>
  <c r="F337" i="3"/>
  <c r="F337" i="4"/>
  <c r="E338" i="4"/>
  <c r="H336" i="3"/>
  <c r="G336" i="3"/>
  <c r="G336" i="4"/>
  <c r="H336" i="4"/>
  <c r="K330" i="3"/>
  <c r="J330" i="3"/>
  <c r="I331" i="3"/>
  <c r="K326" i="5"/>
  <c r="J326" i="5"/>
  <c r="I327" i="5"/>
  <c r="H336" i="5"/>
  <c r="G336" i="5"/>
  <c r="E338" i="5"/>
  <c r="F337" i="5"/>
  <c r="J327" i="4"/>
  <c r="K327" i="4"/>
  <c r="I328" i="4"/>
  <c r="F338" i="4" l="1"/>
  <c r="E339" i="4"/>
  <c r="G337" i="4"/>
  <c r="H337" i="4"/>
  <c r="G337" i="3"/>
  <c r="H337" i="3"/>
  <c r="F338" i="3"/>
  <c r="E339" i="3"/>
  <c r="J327" i="5"/>
  <c r="K327" i="5"/>
  <c r="I328" i="5"/>
  <c r="K331" i="3"/>
  <c r="J331" i="3"/>
  <c r="I332" i="3"/>
  <c r="J328" i="4"/>
  <c r="K328" i="4"/>
  <c r="I329" i="4"/>
  <c r="H337" i="5"/>
  <c r="G337" i="5"/>
  <c r="E339" i="5"/>
  <c r="F338" i="5"/>
  <c r="G338" i="3" l="1"/>
  <c r="H338" i="3"/>
  <c r="E340" i="4"/>
  <c r="F339" i="4"/>
  <c r="E340" i="3"/>
  <c r="F339" i="3"/>
  <c r="G338" i="4"/>
  <c r="H338" i="4"/>
  <c r="G338" i="5"/>
  <c r="H338" i="5"/>
  <c r="F339" i="5"/>
  <c r="E340" i="5"/>
  <c r="K328" i="5"/>
  <c r="J328" i="5"/>
  <c r="I329" i="5"/>
  <c r="K329" i="4"/>
  <c r="J329" i="4"/>
  <c r="I330" i="4"/>
  <c r="K332" i="3"/>
  <c r="J332" i="3"/>
  <c r="I333" i="3"/>
  <c r="H339" i="3" l="1"/>
  <c r="G339" i="3"/>
  <c r="F340" i="3"/>
  <c r="E346" i="3"/>
  <c r="G339" i="4"/>
  <c r="H339" i="4"/>
  <c r="F340" i="4"/>
  <c r="E341" i="4"/>
  <c r="J330" i="4"/>
  <c r="K330" i="4"/>
  <c r="I331" i="4"/>
  <c r="J329" i="5"/>
  <c r="K329" i="5"/>
  <c r="I330" i="5"/>
  <c r="F340" i="5"/>
  <c r="E341" i="5"/>
  <c r="K333" i="3"/>
  <c r="J333" i="3"/>
  <c r="I334" i="3"/>
  <c r="H339" i="5"/>
  <c r="G339" i="5"/>
  <c r="F341" i="4" l="1"/>
  <c r="E347" i="4"/>
  <c r="H340" i="3"/>
  <c r="G340" i="3"/>
  <c r="H340" i="4"/>
  <c r="G340" i="4"/>
  <c r="F346" i="3"/>
  <c r="E347" i="3"/>
  <c r="G340" i="5"/>
  <c r="H340" i="5"/>
  <c r="J330" i="5"/>
  <c r="K330" i="5"/>
  <c r="I331" i="5"/>
  <c r="J331" i="4"/>
  <c r="K331" i="4"/>
  <c r="I332" i="4"/>
  <c r="K334" i="3"/>
  <c r="J334" i="3"/>
  <c r="I335" i="3"/>
  <c r="E342" i="5"/>
  <c r="F341" i="5"/>
  <c r="F347" i="3" l="1"/>
  <c r="E348" i="3"/>
  <c r="G346" i="3"/>
  <c r="H346" i="3"/>
  <c r="F347" i="4"/>
  <c r="E348" i="4"/>
  <c r="H341" i="4"/>
  <c r="G341" i="4"/>
  <c r="J331" i="5"/>
  <c r="K331" i="5"/>
  <c r="I332" i="5"/>
  <c r="H341" i="5"/>
  <c r="G341" i="5"/>
  <c r="F342" i="5"/>
  <c r="E348" i="5"/>
  <c r="K335" i="3"/>
  <c r="J335" i="3"/>
  <c r="I336" i="3"/>
  <c r="K332" i="4"/>
  <c r="J332" i="4"/>
  <c r="I333" i="4"/>
  <c r="E349" i="4" l="1"/>
  <c r="F348" i="4"/>
  <c r="H347" i="4"/>
  <c r="G347" i="4"/>
  <c r="F348" i="3"/>
  <c r="E349" i="3"/>
  <c r="H347" i="3"/>
  <c r="G347" i="3"/>
  <c r="E349" i="5"/>
  <c r="F348" i="5"/>
  <c r="K332" i="5"/>
  <c r="J332" i="5"/>
  <c r="I333" i="5"/>
  <c r="K336" i="3"/>
  <c r="J336" i="3"/>
  <c r="I337" i="3"/>
  <c r="H342" i="5"/>
  <c r="G342" i="5"/>
  <c r="K333" i="4"/>
  <c r="J333" i="4"/>
  <c r="I334" i="4"/>
  <c r="E350" i="3" l="1"/>
  <c r="F349" i="3"/>
  <c r="G348" i="4"/>
  <c r="H348" i="4"/>
  <c r="G348" i="3"/>
  <c r="H348" i="3"/>
  <c r="F349" i="4"/>
  <c r="E350" i="4"/>
  <c r="J333" i="5"/>
  <c r="K333" i="5"/>
  <c r="I334" i="5"/>
  <c r="K334" i="4"/>
  <c r="J334" i="4"/>
  <c r="I335" i="4"/>
  <c r="H348" i="5"/>
  <c r="G348" i="5"/>
  <c r="F349" i="5"/>
  <c r="E350" i="5"/>
  <c r="J337" i="3"/>
  <c r="K337" i="3"/>
  <c r="I338" i="3"/>
  <c r="F350" i="4" l="1"/>
  <c r="E351" i="4"/>
  <c r="G349" i="4"/>
  <c r="H349" i="4"/>
  <c r="H349" i="3"/>
  <c r="G349" i="3"/>
  <c r="E351" i="3"/>
  <c r="F350" i="3"/>
  <c r="H349" i="5"/>
  <c r="G349" i="5"/>
  <c r="E351" i="5"/>
  <c r="F350" i="5"/>
  <c r="K338" i="3"/>
  <c r="J338" i="3"/>
  <c r="I339" i="3"/>
  <c r="J335" i="4"/>
  <c r="K335" i="4"/>
  <c r="I336" i="4"/>
  <c r="K334" i="5"/>
  <c r="J334" i="5"/>
  <c r="I335" i="5"/>
  <c r="E352" i="3" l="1"/>
  <c r="F351" i="3"/>
  <c r="E352" i="4"/>
  <c r="F351" i="4"/>
  <c r="H350" i="3"/>
  <c r="G350" i="3"/>
  <c r="H350" i="4"/>
  <c r="G350" i="4"/>
  <c r="H350" i="5"/>
  <c r="G350" i="5"/>
  <c r="F351" i="5"/>
  <c r="E352" i="5"/>
  <c r="K336" i="4"/>
  <c r="J336" i="4"/>
  <c r="I337" i="4"/>
  <c r="K339" i="3"/>
  <c r="J339" i="3"/>
  <c r="I340" i="3"/>
  <c r="J335" i="5"/>
  <c r="K335" i="5"/>
  <c r="I336" i="5"/>
  <c r="H351" i="4" l="1"/>
  <c r="G351" i="4"/>
  <c r="F352" i="4"/>
  <c r="E353" i="4"/>
  <c r="H351" i="3"/>
  <c r="G351" i="3"/>
  <c r="F352" i="3"/>
  <c r="E353" i="3"/>
  <c r="I341" i="3"/>
  <c r="K340" i="3"/>
  <c r="J340" i="3"/>
  <c r="K337" i="4"/>
  <c r="J337" i="4"/>
  <c r="I338" i="4"/>
  <c r="E353" i="5"/>
  <c r="F352" i="5"/>
  <c r="J336" i="5"/>
  <c r="K336" i="5"/>
  <c r="I337" i="5"/>
  <c r="H351" i="5"/>
  <c r="G351" i="5"/>
  <c r="E354" i="3" l="1"/>
  <c r="F353" i="3"/>
  <c r="H352" i="3"/>
  <c r="G352" i="3"/>
  <c r="E354" i="4"/>
  <c r="F353" i="4"/>
  <c r="H352" i="4"/>
  <c r="G352" i="4"/>
  <c r="H352" i="5"/>
  <c r="G352" i="5"/>
  <c r="F353" i="5"/>
  <c r="E354" i="5"/>
  <c r="J338" i="4"/>
  <c r="K338" i="4"/>
  <c r="I339" i="4"/>
  <c r="K341" i="3"/>
  <c r="J341" i="3"/>
  <c r="I342" i="3"/>
  <c r="J337" i="5"/>
  <c r="K337" i="5"/>
  <c r="I338" i="5"/>
  <c r="G353" i="4" l="1"/>
  <c r="H353" i="4"/>
  <c r="F354" i="4"/>
  <c r="E355" i="4"/>
  <c r="H353" i="3"/>
  <c r="G353" i="3"/>
  <c r="F354" i="3"/>
  <c r="E355" i="3"/>
  <c r="H353" i="5"/>
  <c r="G353" i="5"/>
  <c r="K342" i="3"/>
  <c r="J342" i="3"/>
  <c r="I343" i="3"/>
  <c r="J339" i="4"/>
  <c r="K339" i="4"/>
  <c r="I340" i="4"/>
  <c r="F354" i="5"/>
  <c r="E355" i="5"/>
  <c r="J338" i="5"/>
  <c r="K338" i="5"/>
  <c r="I339" i="5"/>
  <c r="E356" i="3" l="1"/>
  <c r="F355" i="3"/>
  <c r="G354" i="3"/>
  <c r="H354" i="3"/>
  <c r="F355" i="4"/>
  <c r="E356" i="4"/>
  <c r="G354" i="4"/>
  <c r="H354" i="4"/>
  <c r="K343" i="3"/>
  <c r="J343" i="3"/>
  <c r="I344" i="3"/>
  <c r="J339" i="5"/>
  <c r="K339" i="5"/>
  <c r="I340" i="5"/>
  <c r="E356" i="5"/>
  <c r="F355" i="5"/>
  <c r="G354" i="5"/>
  <c r="H354" i="5"/>
  <c r="J340" i="4"/>
  <c r="K340" i="4"/>
  <c r="I341" i="4"/>
  <c r="H355" i="4" l="1"/>
  <c r="G355" i="4"/>
  <c r="G355" i="3"/>
  <c r="H355" i="3"/>
  <c r="E357" i="4"/>
  <c r="F356" i="4"/>
  <c r="F356" i="3"/>
  <c r="E357" i="3"/>
  <c r="H355" i="5"/>
  <c r="G355" i="5"/>
  <c r="F356" i="5"/>
  <c r="E357" i="5"/>
  <c r="K340" i="5"/>
  <c r="J340" i="5"/>
  <c r="I341" i="5"/>
  <c r="I342" i="4"/>
  <c r="K341" i="4"/>
  <c r="J341" i="4"/>
  <c r="K344" i="3"/>
  <c r="J344" i="3"/>
  <c r="I345" i="3"/>
  <c r="G356" i="3" l="1"/>
  <c r="H356" i="3"/>
  <c r="E358" i="3"/>
  <c r="F357" i="3"/>
  <c r="H356" i="4"/>
  <c r="G356" i="4"/>
  <c r="F357" i="4"/>
  <c r="E358" i="4"/>
  <c r="J341" i="5"/>
  <c r="K341" i="5"/>
  <c r="I342" i="5"/>
  <c r="J345" i="3"/>
  <c r="K345" i="3"/>
  <c r="I346" i="3"/>
  <c r="H356" i="5"/>
  <c r="G356" i="5"/>
  <c r="K342" i="4"/>
  <c r="J342" i="4"/>
  <c r="I343" i="4"/>
  <c r="E358" i="5"/>
  <c r="F357" i="5"/>
  <c r="F358" i="4" l="1"/>
  <c r="E359" i="4"/>
  <c r="H357" i="4"/>
  <c r="G357" i="4"/>
  <c r="H357" i="3"/>
  <c r="G357" i="3"/>
  <c r="E359" i="3"/>
  <c r="F358" i="3"/>
  <c r="J346" i="3"/>
  <c r="K346" i="3"/>
  <c r="I347" i="3"/>
  <c r="H357" i="5"/>
  <c r="G357" i="5"/>
  <c r="K342" i="5"/>
  <c r="J342" i="5"/>
  <c r="I343" i="5"/>
  <c r="E359" i="5"/>
  <c r="F358" i="5"/>
  <c r="K343" i="4"/>
  <c r="J343" i="4"/>
  <c r="I344" i="4"/>
  <c r="E360" i="3" l="1"/>
  <c r="F359" i="3"/>
  <c r="G359" i="3" s="1"/>
  <c r="F359" i="4"/>
  <c r="G359" i="4" s="1"/>
  <c r="E360" i="4"/>
  <c r="G358" i="3"/>
  <c r="H358" i="3"/>
  <c r="H358" i="4"/>
  <c r="G358" i="4"/>
  <c r="G358" i="5"/>
  <c r="H358" i="5"/>
  <c r="E360" i="5"/>
  <c r="F359" i="5"/>
  <c r="K343" i="5"/>
  <c r="J343" i="5"/>
  <c r="I344" i="5"/>
  <c r="K344" i="4"/>
  <c r="J344" i="4"/>
  <c r="I345" i="4"/>
  <c r="K347" i="3"/>
  <c r="J347" i="3"/>
  <c r="I348" i="3"/>
  <c r="E361" i="4" l="1"/>
  <c r="F360" i="4"/>
  <c r="F360" i="3"/>
  <c r="E361" i="3"/>
  <c r="J344" i="5"/>
  <c r="K344" i="5"/>
  <c r="I345" i="5"/>
  <c r="H359" i="5"/>
  <c r="G359" i="5"/>
  <c r="F360" i="5"/>
  <c r="G360" i="5" s="1"/>
  <c r="E361" i="5"/>
  <c r="K348" i="3"/>
  <c r="J348" i="3"/>
  <c r="I349" i="3"/>
  <c r="K345" i="4"/>
  <c r="J345" i="4"/>
  <c r="I346" i="4"/>
  <c r="G360" i="3" l="1"/>
  <c r="H360" i="3"/>
  <c r="H360" i="4"/>
  <c r="G360" i="4"/>
  <c r="F361" i="3"/>
  <c r="E362" i="3"/>
  <c r="E362" i="4"/>
  <c r="F361" i="4"/>
  <c r="J345" i="5"/>
  <c r="K345" i="5"/>
  <c r="I346" i="5"/>
  <c r="J346" i="4"/>
  <c r="K346" i="4"/>
  <c r="I347" i="4"/>
  <c r="J349" i="3"/>
  <c r="K349" i="3"/>
  <c r="I350" i="3"/>
  <c r="E362" i="5"/>
  <c r="F361" i="5"/>
  <c r="E363" i="4" l="1"/>
  <c r="F362" i="4"/>
  <c r="F362" i="3"/>
  <c r="E363" i="3"/>
  <c r="H361" i="3"/>
  <c r="G361" i="3"/>
  <c r="G361" i="4"/>
  <c r="H361" i="4"/>
  <c r="K350" i="3"/>
  <c r="J350" i="3"/>
  <c r="I351" i="3"/>
  <c r="K347" i="4"/>
  <c r="J347" i="4"/>
  <c r="I348" i="4"/>
  <c r="J346" i="5"/>
  <c r="I347" i="5"/>
  <c r="K346" i="5"/>
  <c r="H361" i="5"/>
  <c r="G361" i="5"/>
  <c r="F362" i="5"/>
  <c r="E363" i="5"/>
  <c r="E364" i="3" l="1"/>
  <c r="F363" i="3"/>
  <c r="G362" i="4"/>
  <c r="H362" i="4"/>
  <c r="H362" i="3"/>
  <c r="G362" i="3"/>
  <c r="E364" i="4"/>
  <c r="F363" i="4"/>
  <c r="J347" i="5"/>
  <c r="K347" i="5"/>
  <c r="I348" i="5"/>
  <c r="J348" i="4"/>
  <c r="K348" i="4"/>
  <c r="I349" i="4"/>
  <c r="K351" i="3"/>
  <c r="J351" i="3"/>
  <c r="I352" i="3"/>
  <c r="E364" i="5"/>
  <c r="F363" i="5"/>
  <c r="H362" i="5"/>
  <c r="G362" i="5"/>
  <c r="H363" i="3" l="1"/>
  <c r="G363" i="3"/>
  <c r="H363" i="4"/>
  <c r="G363" i="4"/>
  <c r="E365" i="4"/>
  <c r="F364" i="4"/>
  <c r="E365" i="3"/>
  <c r="F364" i="3"/>
  <c r="J349" i="4"/>
  <c r="K349" i="4"/>
  <c r="I350" i="4"/>
  <c r="G363" i="5"/>
  <c r="H363" i="5"/>
  <c r="E365" i="5"/>
  <c r="F364" i="5"/>
  <c r="K348" i="5"/>
  <c r="J348" i="5"/>
  <c r="I349" i="5"/>
  <c r="K352" i="3"/>
  <c r="J352" i="3"/>
  <c r="I353" i="3"/>
  <c r="G364" i="4" l="1"/>
  <c r="H364" i="4"/>
  <c r="H364" i="3"/>
  <c r="G364" i="3"/>
  <c r="E366" i="3"/>
  <c r="F365" i="3"/>
  <c r="E366" i="4"/>
  <c r="F365" i="4"/>
  <c r="E366" i="5"/>
  <c r="F365" i="5"/>
  <c r="J350" i="4"/>
  <c r="K350" i="4"/>
  <c r="I351" i="4"/>
  <c r="J353" i="3"/>
  <c r="K353" i="3"/>
  <c r="I354" i="3"/>
  <c r="J349" i="5"/>
  <c r="K349" i="5"/>
  <c r="I350" i="5"/>
  <c r="H364" i="5"/>
  <c r="G364" i="5"/>
  <c r="H365" i="4" l="1"/>
  <c r="G365" i="4"/>
  <c r="E367" i="4"/>
  <c r="F366" i="4"/>
  <c r="F366" i="3"/>
  <c r="E367" i="3"/>
  <c r="H365" i="3"/>
  <c r="G365" i="3"/>
  <c r="K354" i="3"/>
  <c r="J354" i="3"/>
  <c r="I355" i="3"/>
  <c r="K351" i="4"/>
  <c r="J351" i="4"/>
  <c r="I352" i="4"/>
  <c r="H365" i="5"/>
  <c r="G365" i="5"/>
  <c r="J350" i="5"/>
  <c r="K350" i="5"/>
  <c r="I351" i="5"/>
  <c r="F366" i="5"/>
  <c r="E367" i="5"/>
  <c r="E368" i="3" l="1"/>
  <c r="F367" i="3"/>
  <c r="G366" i="3"/>
  <c r="H366" i="3"/>
  <c r="H366" i="4"/>
  <c r="G366" i="4"/>
  <c r="E368" i="4"/>
  <c r="F367" i="4"/>
  <c r="E368" i="5"/>
  <c r="F367" i="5"/>
  <c r="J352" i="4"/>
  <c r="K352" i="4"/>
  <c r="I353" i="4"/>
  <c r="J351" i="5"/>
  <c r="K351" i="5"/>
  <c r="I352" i="5"/>
  <c r="G366" i="5"/>
  <c r="H366" i="5"/>
  <c r="K355" i="3"/>
  <c r="J355" i="3"/>
  <c r="I356" i="3"/>
  <c r="G367" i="3" l="1"/>
  <c r="H367" i="3"/>
  <c r="H367" i="4"/>
  <c r="G367" i="4"/>
  <c r="E369" i="4"/>
  <c r="F368" i="4"/>
  <c r="F368" i="3"/>
  <c r="E369" i="3"/>
  <c r="J353" i="4"/>
  <c r="K353" i="4"/>
  <c r="I354" i="4"/>
  <c r="H367" i="5"/>
  <c r="G367" i="5"/>
  <c r="E369" i="5"/>
  <c r="F368" i="5"/>
  <c r="K352" i="5"/>
  <c r="J352" i="5"/>
  <c r="I353" i="5"/>
  <c r="J356" i="3"/>
  <c r="K356" i="3"/>
  <c r="I357" i="3"/>
  <c r="F369" i="3" l="1"/>
  <c r="E370" i="3"/>
  <c r="G368" i="3"/>
  <c r="H368" i="3"/>
  <c r="G368" i="4"/>
  <c r="H368" i="4"/>
  <c r="F369" i="4"/>
  <c r="E370" i="4"/>
  <c r="K357" i="3"/>
  <c r="J357" i="3"/>
  <c r="I358" i="3"/>
  <c r="H368" i="5"/>
  <c r="G368" i="5"/>
  <c r="E370" i="5"/>
  <c r="F369" i="5"/>
  <c r="J353" i="5"/>
  <c r="K353" i="5"/>
  <c r="I354" i="5"/>
  <c r="J354" i="4"/>
  <c r="K354" i="4"/>
  <c r="I355" i="4"/>
  <c r="E371" i="4" l="1"/>
  <c r="F370" i="4"/>
  <c r="F370" i="3"/>
  <c r="E371" i="3"/>
  <c r="H369" i="4"/>
  <c r="G369" i="4"/>
  <c r="G369" i="3"/>
  <c r="H369" i="3"/>
  <c r="J355" i="4"/>
  <c r="K355" i="4"/>
  <c r="I356" i="4"/>
  <c r="F370" i="5"/>
  <c r="E371" i="5"/>
  <c r="K358" i="3"/>
  <c r="J358" i="3"/>
  <c r="I359" i="3"/>
  <c r="K354" i="5"/>
  <c r="J354" i="5"/>
  <c r="I355" i="5"/>
  <c r="H369" i="5"/>
  <c r="G369" i="5"/>
  <c r="F371" i="3" l="1"/>
  <c r="E372" i="3"/>
  <c r="H370" i="3"/>
  <c r="G370" i="3"/>
  <c r="H370" i="4"/>
  <c r="G370" i="4"/>
  <c r="E372" i="4"/>
  <c r="F371" i="4"/>
  <c r="E372" i="5"/>
  <c r="F371" i="5"/>
  <c r="H370" i="5"/>
  <c r="G370" i="5"/>
  <c r="J356" i="4"/>
  <c r="K356" i="4"/>
  <c r="I357" i="4"/>
  <c r="J355" i="5"/>
  <c r="K355" i="5"/>
  <c r="I356" i="5"/>
  <c r="J359" i="3"/>
  <c r="K359" i="3"/>
  <c r="I360" i="3"/>
  <c r="G371" i="4" l="1"/>
  <c r="H371" i="4"/>
  <c r="E373" i="4"/>
  <c r="F372" i="4"/>
  <c r="F372" i="3"/>
  <c r="E373" i="3"/>
  <c r="H371" i="3"/>
  <c r="G371" i="3"/>
  <c r="J360" i="3"/>
  <c r="K360" i="3"/>
  <c r="I361" i="3"/>
  <c r="E373" i="5"/>
  <c r="F372" i="5"/>
  <c r="J356" i="5"/>
  <c r="K356" i="5"/>
  <c r="I357" i="5"/>
  <c r="J357" i="4"/>
  <c r="K357" i="4"/>
  <c r="I358" i="4"/>
  <c r="H371" i="5"/>
  <c r="G371" i="5"/>
  <c r="F373" i="3" l="1"/>
  <c r="E374" i="3"/>
  <c r="G372" i="3"/>
  <c r="H372" i="3"/>
  <c r="H372" i="4"/>
  <c r="G372" i="4"/>
  <c r="F373" i="4"/>
  <c r="E374" i="4"/>
  <c r="H372" i="5"/>
  <c r="G372" i="5"/>
  <c r="E374" i="5"/>
  <c r="F373" i="5"/>
  <c r="K361" i="3"/>
  <c r="J361" i="3"/>
  <c r="I362" i="3"/>
  <c r="J358" i="4"/>
  <c r="K358" i="4"/>
  <c r="I359" i="4"/>
  <c r="J357" i="5"/>
  <c r="K357" i="5"/>
  <c r="I358" i="5"/>
  <c r="E375" i="4" l="1"/>
  <c r="F374" i="4"/>
  <c r="H373" i="4"/>
  <c r="G373" i="4"/>
  <c r="E375" i="3"/>
  <c r="F374" i="3"/>
  <c r="G373" i="3"/>
  <c r="H373" i="3"/>
  <c r="K359" i="4"/>
  <c r="J359" i="4"/>
  <c r="I360" i="4"/>
  <c r="K358" i="5"/>
  <c r="J358" i="5"/>
  <c r="I359" i="5"/>
  <c r="J362" i="3"/>
  <c r="K362" i="3"/>
  <c r="I363" i="3"/>
  <c r="H373" i="5"/>
  <c r="G373" i="5"/>
  <c r="F374" i="5"/>
  <c r="E375" i="5"/>
  <c r="H374" i="3" l="1"/>
  <c r="G374" i="3"/>
  <c r="G374" i="4"/>
  <c r="H374" i="4"/>
  <c r="F375" i="3"/>
  <c r="E376" i="3"/>
  <c r="E376" i="4"/>
  <c r="F375" i="4"/>
  <c r="J359" i="5"/>
  <c r="I360" i="5"/>
  <c r="K359" i="5"/>
  <c r="H374" i="5"/>
  <c r="G374" i="5"/>
  <c r="J363" i="3"/>
  <c r="K363" i="3"/>
  <c r="I364" i="3"/>
  <c r="K360" i="4"/>
  <c r="J360" i="4"/>
  <c r="I361" i="4"/>
  <c r="E376" i="5"/>
  <c r="F375" i="5"/>
  <c r="G375" i="4" l="1"/>
  <c r="H375" i="4"/>
  <c r="F376" i="3"/>
  <c r="E377" i="3"/>
  <c r="G375" i="3"/>
  <c r="H375" i="3"/>
  <c r="E377" i="4"/>
  <c r="F376" i="4"/>
  <c r="J361" i="4"/>
  <c r="K361" i="4"/>
  <c r="I362" i="4"/>
  <c r="J364" i="3"/>
  <c r="K364" i="3"/>
  <c r="I365" i="3"/>
  <c r="G375" i="5"/>
  <c r="H375" i="5"/>
  <c r="K360" i="5"/>
  <c r="J360" i="5"/>
  <c r="I361" i="5"/>
  <c r="E377" i="5"/>
  <c r="F376" i="5"/>
  <c r="F377" i="4" l="1"/>
  <c r="E378" i="4"/>
  <c r="E378" i="3"/>
  <c r="F377" i="3"/>
  <c r="H376" i="4"/>
  <c r="G376" i="4"/>
  <c r="H376" i="3"/>
  <c r="G376" i="3"/>
  <c r="K361" i="5"/>
  <c r="J361" i="5"/>
  <c r="I362" i="5"/>
  <c r="K365" i="3"/>
  <c r="J365" i="3"/>
  <c r="I366" i="3"/>
  <c r="H376" i="5"/>
  <c r="G376" i="5"/>
  <c r="K362" i="4"/>
  <c r="J362" i="4"/>
  <c r="I363" i="4"/>
  <c r="E378" i="5"/>
  <c r="F377" i="5"/>
  <c r="H377" i="3" l="1"/>
  <c r="G377" i="3"/>
  <c r="E379" i="3"/>
  <c r="F378" i="3"/>
  <c r="G378" i="3" s="1"/>
  <c r="F378" i="4"/>
  <c r="G378" i="4" s="1"/>
  <c r="E379" i="4"/>
  <c r="G377" i="4"/>
  <c r="H377" i="4"/>
  <c r="J366" i="3"/>
  <c r="K366" i="3"/>
  <c r="I367" i="3"/>
  <c r="J362" i="5"/>
  <c r="K362" i="5"/>
  <c r="I363" i="5"/>
  <c r="E379" i="5"/>
  <c r="F379" i="5" s="1"/>
  <c r="G379" i="5" s="1"/>
  <c r="F378" i="5"/>
  <c r="J363" i="4"/>
  <c r="K363" i="4"/>
  <c r="I364" i="4"/>
  <c r="H377" i="5"/>
  <c r="G377" i="5"/>
  <c r="E380" i="3" l="1"/>
  <c r="F379" i="3"/>
  <c r="G379" i="3" s="1"/>
  <c r="F379" i="4"/>
  <c r="G379" i="4" s="1"/>
  <c r="E380" i="4"/>
  <c r="K363" i="5"/>
  <c r="J363" i="5"/>
  <c r="I364" i="5"/>
  <c r="J367" i="3"/>
  <c r="K367" i="3"/>
  <c r="I368" i="3"/>
  <c r="K364" i="4"/>
  <c r="J364" i="4"/>
  <c r="I365" i="4"/>
  <c r="H378" i="5"/>
  <c r="G378" i="5"/>
  <c r="E381" i="4" l="1"/>
  <c r="F380" i="4"/>
  <c r="G380" i="4" s="1"/>
  <c r="F380" i="3"/>
  <c r="G380" i="3" s="1"/>
  <c r="E381" i="3"/>
  <c r="K368" i="3"/>
  <c r="J368" i="3"/>
  <c r="I369" i="3"/>
  <c r="K364" i="5"/>
  <c r="J364" i="5"/>
  <c r="I365" i="5"/>
  <c r="K365" i="4"/>
  <c r="J365" i="4"/>
  <c r="I366" i="4"/>
  <c r="E382" i="3" l="1"/>
  <c r="F381" i="3"/>
  <c r="G381" i="3" s="1"/>
  <c r="F381" i="4"/>
  <c r="G381" i="4" s="1"/>
  <c r="E382" i="4"/>
  <c r="K365" i="5"/>
  <c r="J365" i="5"/>
  <c r="I366" i="5"/>
  <c r="K369" i="3"/>
  <c r="J369" i="3"/>
  <c r="I370" i="3"/>
  <c r="K366" i="4"/>
  <c r="J366" i="4"/>
  <c r="I367" i="4"/>
  <c r="F382" i="4" l="1"/>
  <c r="G382" i="4" s="1"/>
  <c r="E383" i="4"/>
  <c r="F382" i="3"/>
  <c r="G382" i="3" s="1"/>
  <c r="E383" i="3"/>
  <c r="J367" i="4"/>
  <c r="K367" i="4"/>
  <c r="I368" i="4"/>
  <c r="J370" i="3"/>
  <c r="K370" i="3"/>
  <c r="I371" i="3"/>
  <c r="K366" i="5"/>
  <c r="J366" i="5"/>
  <c r="I367" i="5"/>
  <c r="F383" i="3" l="1"/>
  <c r="G383" i="3" s="1"/>
  <c r="E384" i="3"/>
  <c r="E384" i="4"/>
  <c r="F383" i="4"/>
  <c r="G383" i="4" s="1"/>
  <c r="K371" i="3"/>
  <c r="J371" i="3"/>
  <c r="I372" i="3"/>
  <c r="J368" i="4"/>
  <c r="K368" i="4"/>
  <c r="I369" i="4"/>
  <c r="K367" i="5"/>
  <c r="J367" i="5"/>
  <c r="I368" i="5"/>
  <c r="E385" i="4" l="1"/>
  <c r="F384" i="4"/>
  <c r="G384" i="4" s="1"/>
  <c r="F384" i="3"/>
  <c r="G384" i="3" s="1"/>
  <c r="E385" i="3"/>
  <c r="J369" i="4"/>
  <c r="K369" i="4"/>
  <c r="I370" i="4"/>
  <c r="K372" i="3"/>
  <c r="J372" i="3"/>
  <c r="I373" i="3"/>
  <c r="K368" i="5"/>
  <c r="J368" i="5"/>
  <c r="I369" i="5"/>
  <c r="E386" i="3" l="1"/>
  <c r="F385" i="3"/>
  <c r="G385" i="3" s="1"/>
  <c r="E386" i="4"/>
  <c r="F385" i="4"/>
  <c r="G385" i="4" s="1"/>
  <c r="K369" i="5"/>
  <c r="J369" i="5"/>
  <c r="I370" i="5"/>
  <c r="K373" i="3"/>
  <c r="J373" i="3"/>
  <c r="I374" i="3"/>
  <c r="J370" i="4"/>
  <c r="K370" i="4"/>
  <c r="I371" i="4"/>
  <c r="F386" i="4" l="1"/>
  <c r="G386" i="4" s="1"/>
  <c r="E387" i="4"/>
  <c r="F386" i="3"/>
  <c r="G386" i="3" s="1"/>
  <c r="E387" i="3"/>
  <c r="K371" i="4"/>
  <c r="J371" i="4"/>
  <c r="I372" i="4"/>
  <c r="K374" i="3"/>
  <c r="J374" i="3"/>
  <c r="I375" i="3"/>
  <c r="K370" i="5"/>
  <c r="J370" i="5"/>
  <c r="I371" i="5"/>
  <c r="E388" i="3" l="1"/>
  <c r="F387" i="3"/>
  <c r="G387" i="3" s="1"/>
  <c r="F387" i="4"/>
  <c r="G387" i="4" s="1"/>
  <c r="E388" i="4"/>
  <c r="K371" i="5"/>
  <c r="J371" i="5"/>
  <c r="I372" i="5"/>
  <c r="J375" i="3"/>
  <c r="K375" i="3"/>
  <c r="I376" i="3"/>
  <c r="K372" i="4"/>
  <c r="J372" i="4"/>
  <c r="I373" i="4"/>
  <c r="F388" i="4" l="1"/>
  <c r="G388" i="4" s="1"/>
  <c r="E389" i="4"/>
  <c r="E389" i="3"/>
  <c r="F388" i="3"/>
  <c r="G388" i="3" s="1"/>
  <c r="J373" i="4"/>
  <c r="K373" i="4"/>
  <c r="I374" i="4"/>
  <c r="K376" i="3"/>
  <c r="J376" i="3"/>
  <c r="I377" i="3"/>
  <c r="J372" i="5"/>
  <c r="K372" i="5"/>
  <c r="I373" i="5"/>
  <c r="F389" i="3" l="1"/>
  <c r="G389" i="3" s="1"/>
  <c r="E390" i="3"/>
  <c r="F389" i="4"/>
  <c r="G389" i="4" s="1"/>
  <c r="E390" i="4"/>
  <c r="K373" i="5"/>
  <c r="J373" i="5"/>
  <c r="I374" i="5"/>
  <c r="I378" i="3"/>
  <c r="K377" i="3"/>
  <c r="J377" i="3"/>
  <c r="K374" i="4"/>
  <c r="J374" i="4"/>
  <c r="I375" i="4"/>
  <c r="E391" i="4" l="1"/>
  <c r="F390" i="4"/>
  <c r="G390" i="4" s="1"/>
  <c r="F390" i="3"/>
  <c r="G390" i="3" s="1"/>
  <c r="E391" i="3"/>
  <c r="J375" i="4"/>
  <c r="K375" i="4"/>
  <c r="I376" i="4"/>
  <c r="K378" i="3"/>
  <c r="I379" i="3"/>
  <c r="J378" i="3"/>
  <c r="J374" i="5"/>
  <c r="K374" i="5"/>
  <c r="I375" i="5"/>
  <c r="F391" i="3" l="1"/>
  <c r="G391" i="3" s="1"/>
  <c r="E392" i="3"/>
  <c r="E392" i="4"/>
  <c r="F391" i="4"/>
  <c r="G391" i="4" s="1"/>
  <c r="K375" i="5"/>
  <c r="J375" i="5"/>
  <c r="I376" i="5"/>
  <c r="K379" i="3"/>
  <c r="I380" i="3"/>
  <c r="J379" i="3"/>
  <c r="K376" i="4"/>
  <c r="J376" i="4"/>
  <c r="I377" i="4"/>
  <c r="E393" i="4" l="1"/>
  <c r="F392" i="4"/>
  <c r="G392" i="4" s="1"/>
  <c r="E393" i="3"/>
  <c r="F392" i="3"/>
  <c r="G392" i="3" s="1"/>
  <c r="K377" i="4"/>
  <c r="J377" i="4"/>
  <c r="I378" i="4"/>
  <c r="I381" i="3"/>
  <c r="K380" i="3"/>
  <c r="J380" i="3"/>
  <c r="J376" i="5"/>
  <c r="K376" i="5"/>
  <c r="I377" i="5"/>
  <c r="E394" i="3" l="1"/>
  <c r="F393" i="3"/>
  <c r="G393" i="3" s="1"/>
  <c r="E394" i="4"/>
  <c r="F393" i="4"/>
  <c r="G393" i="4" s="1"/>
  <c r="K377" i="5"/>
  <c r="J377" i="5"/>
  <c r="I378" i="5"/>
  <c r="K381" i="3"/>
  <c r="J381" i="3"/>
  <c r="I382" i="3"/>
  <c r="J378" i="4"/>
  <c r="K378" i="4"/>
  <c r="I379" i="4"/>
  <c r="F394" i="4" l="1"/>
  <c r="G394" i="4" s="1"/>
  <c r="E395" i="4"/>
  <c r="F394" i="3"/>
  <c r="G394" i="3" s="1"/>
  <c r="E395" i="3"/>
  <c r="I380" i="4"/>
  <c r="K379" i="4"/>
  <c r="J379" i="4"/>
  <c r="J382" i="3"/>
  <c r="I383" i="3"/>
  <c r="K382" i="3"/>
  <c r="K378" i="5"/>
  <c r="I379" i="5"/>
  <c r="J378" i="5"/>
  <c r="E396" i="3" l="1"/>
  <c r="F395" i="3"/>
  <c r="G395" i="3" s="1"/>
  <c r="E396" i="4"/>
  <c r="F395" i="4"/>
  <c r="G395" i="4" s="1"/>
  <c r="I380" i="5"/>
  <c r="K379" i="5"/>
  <c r="J379" i="5"/>
  <c r="K383" i="3"/>
  <c r="I384" i="3"/>
  <c r="J383" i="3"/>
  <c r="I381" i="4"/>
  <c r="J380" i="4"/>
  <c r="K380" i="4"/>
  <c r="E397" i="4" l="1"/>
  <c r="F396" i="4"/>
  <c r="G396" i="4" s="1"/>
  <c r="E397" i="3"/>
  <c r="F396" i="3"/>
  <c r="G396" i="3" s="1"/>
  <c r="I382" i="4"/>
  <c r="K381" i="4"/>
  <c r="J381" i="4"/>
  <c r="K384" i="3"/>
  <c r="I385" i="3"/>
  <c r="J384" i="3"/>
  <c r="I381" i="5"/>
  <c r="K380" i="5"/>
  <c r="J380" i="5"/>
  <c r="E398" i="3" l="1"/>
  <c r="F397" i="3"/>
  <c r="G397" i="3" s="1"/>
  <c r="E398" i="4"/>
  <c r="F397" i="4"/>
  <c r="G397" i="4" s="1"/>
  <c r="I383" i="4"/>
  <c r="K382" i="4"/>
  <c r="J382" i="4"/>
  <c r="J385" i="3"/>
  <c r="I386" i="3"/>
  <c r="K385" i="3"/>
  <c r="K381" i="5"/>
  <c r="I382" i="5"/>
  <c r="J381" i="5"/>
  <c r="E399" i="4" l="1"/>
  <c r="F398" i="4"/>
  <c r="G398" i="4" s="1"/>
  <c r="E399" i="3"/>
  <c r="F398" i="3"/>
  <c r="G398" i="3" s="1"/>
  <c r="I383" i="5"/>
  <c r="K382" i="5"/>
  <c r="J382" i="5"/>
  <c r="I387" i="3"/>
  <c r="K386" i="3"/>
  <c r="J386" i="3"/>
  <c r="K383" i="4"/>
  <c r="I384" i="4"/>
  <c r="J383" i="4"/>
  <c r="F399" i="3" l="1"/>
  <c r="G399" i="3" s="1"/>
  <c r="E400" i="3"/>
  <c r="F399" i="4"/>
  <c r="G399" i="4" s="1"/>
  <c r="E400" i="4"/>
  <c r="K384" i="4"/>
  <c r="J384" i="4"/>
  <c r="I385" i="4"/>
  <c r="I388" i="3"/>
  <c r="K387" i="3"/>
  <c r="J387" i="3"/>
  <c r="K383" i="5"/>
  <c r="J383" i="5"/>
  <c r="I384" i="5"/>
  <c r="E401" i="4" l="1"/>
  <c r="F400" i="4"/>
  <c r="G400" i="4" s="1"/>
  <c r="E401" i="3"/>
  <c r="F400" i="3"/>
  <c r="G400" i="3" s="1"/>
  <c r="K384" i="5"/>
  <c r="J384" i="5"/>
  <c r="I385" i="5"/>
  <c r="J385" i="5" s="1"/>
  <c r="K388" i="3"/>
  <c r="I389" i="3"/>
  <c r="J388" i="3"/>
  <c r="J385" i="4"/>
  <c r="I386" i="4"/>
  <c r="K385" i="4"/>
  <c r="E402" i="3" l="1"/>
  <c r="F401" i="3"/>
  <c r="G401" i="3" s="1"/>
  <c r="F401" i="4"/>
  <c r="G401" i="4" s="1"/>
  <c r="E402" i="4"/>
  <c r="I387" i="4"/>
  <c r="K386" i="4"/>
  <c r="J386" i="4"/>
  <c r="I390" i="3"/>
  <c r="J389" i="3"/>
  <c r="K389" i="3"/>
  <c r="F402" i="4" l="1"/>
  <c r="G402" i="4" s="1"/>
  <c r="E403" i="4"/>
  <c r="F402" i="3"/>
  <c r="G402" i="3" s="1"/>
  <c r="E403" i="3"/>
  <c r="J390" i="3"/>
  <c r="K390" i="3"/>
  <c r="I391" i="3"/>
  <c r="I388" i="4"/>
  <c r="J387" i="4"/>
  <c r="K387" i="4"/>
  <c r="F403" i="3" l="1"/>
  <c r="G403" i="3" s="1"/>
  <c r="E404" i="3"/>
  <c r="E404" i="4"/>
  <c r="F403" i="4"/>
  <c r="G403" i="4" s="1"/>
  <c r="K388" i="4"/>
  <c r="J388" i="4"/>
  <c r="I389" i="4"/>
  <c r="I392" i="3"/>
  <c r="K391" i="3"/>
  <c r="J391" i="3"/>
  <c r="F404" i="4" l="1"/>
  <c r="G404" i="4" s="1"/>
  <c r="E405" i="4"/>
  <c r="F404" i="3"/>
  <c r="G404" i="3" s="1"/>
  <c r="E405" i="3"/>
  <c r="I393" i="3"/>
  <c r="K392" i="3"/>
  <c r="J392" i="3"/>
  <c r="K389" i="4"/>
  <c r="J389" i="4"/>
  <c r="I390" i="4"/>
  <c r="F405" i="3" l="1"/>
  <c r="G405" i="3" s="1"/>
  <c r="E406" i="3"/>
  <c r="E406" i="4"/>
  <c r="F405" i="4"/>
  <c r="G405" i="4" s="1"/>
  <c r="K390" i="4"/>
  <c r="I391" i="4"/>
  <c r="J390" i="4"/>
  <c r="J393" i="3"/>
  <c r="K393" i="3"/>
  <c r="I394" i="3"/>
  <c r="E407" i="4" l="1"/>
  <c r="F406" i="4"/>
  <c r="G406" i="4" s="1"/>
  <c r="E407" i="3"/>
  <c r="F406" i="3"/>
  <c r="G406" i="3" s="1"/>
  <c r="I395" i="3"/>
  <c r="J394" i="3"/>
  <c r="K394" i="3"/>
  <c r="J391" i="4"/>
  <c r="I392" i="4"/>
  <c r="K391" i="4"/>
  <c r="E408" i="3" l="1"/>
  <c r="F407" i="3"/>
  <c r="G407" i="3" s="1"/>
  <c r="F407" i="4"/>
  <c r="G407" i="4" s="1"/>
  <c r="E408" i="4"/>
  <c r="I393" i="4"/>
  <c r="J392" i="4"/>
  <c r="K392" i="4"/>
  <c r="K395" i="3"/>
  <c r="J395" i="3"/>
  <c r="I396" i="3"/>
  <c r="E409" i="4" l="1"/>
  <c r="F408" i="4"/>
  <c r="G408" i="4" s="1"/>
  <c r="E409" i="3"/>
  <c r="F408" i="3"/>
  <c r="G408" i="3" s="1"/>
  <c r="I397" i="3"/>
  <c r="J396" i="3"/>
  <c r="K396" i="3"/>
  <c r="J393" i="4"/>
  <c r="I394" i="4"/>
  <c r="K393" i="4"/>
  <c r="E410" i="3" l="1"/>
  <c r="F409" i="3"/>
  <c r="G409" i="3" s="1"/>
  <c r="E410" i="4"/>
  <c r="F409" i="4"/>
  <c r="G409" i="4" s="1"/>
  <c r="J394" i="4"/>
  <c r="K394" i="4"/>
  <c r="I395" i="4"/>
  <c r="I398" i="3"/>
  <c r="K397" i="3"/>
  <c r="J397" i="3"/>
  <c r="E411" i="4" l="1"/>
  <c r="F410" i="4"/>
  <c r="G410" i="4" s="1"/>
  <c r="F410" i="3"/>
  <c r="G410" i="3" s="1"/>
  <c r="E411" i="3"/>
  <c r="K398" i="3"/>
  <c r="I399" i="3"/>
  <c r="J398" i="3"/>
  <c r="J395" i="4"/>
  <c r="K395" i="4"/>
  <c r="I396" i="4"/>
  <c r="F411" i="3" l="1"/>
  <c r="G411" i="3" s="1"/>
  <c r="E412" i="3"/>
  <c r="E412" i="4"/>
  <c r="F411" i="4"/>
  <c r="G411" i="4" s="1"/>
  <c r="K396" i="4"/>
  <c r="J396" i="4"/>
  <c r="I397" i="4"/>
  <c r="K399" i="3"/>
  <c r="J399" i="3"/>
  <c r="I400" i="3"/>
  <c r="F412" i="4" l="1"/>
  <c r="G412" i="4" s="1"/>
  <c r="E413" i="4"/>
  <c r="E413" i="3"/>
  <c r="F412" i="3"/>
  <c r="G412" i="3" s="1"/>
  <c r="I401" i="3"/>
  <c r="K400" i="3"/>
  <c r="J400" i="3"/>
  <c r="I398" i="4"/>
  <c r="K397" i="4"/>
  <c r="J397" i="4"/>
  <c r="F413" i="3" l="1"/>
  <c r="G413" i="3" s="1"/>
  <c r="E414" i="3"/>
  <c r="F413" i="4"/>
  <c r="G413" i="4" s="1"/>
  <c r="E414" i="4"/>
  <c r="K398" i="4"/>
  <c r="J398" i="4"/>
  <c r="I399" i="4"/>
  <c r="I402" i="3"/>
  <c r="J401" i="3"/>
  <c r="K401" i="3"/>
  <c r="F414" i="4" l="1"/>
  <c r="G414" i="4" s="1"/>
  <c r="E415" i="4"/>
  <c r="E415" i="3"/>
  <c r="F414" i="3"/>
  <c r="G414" i="3" s="1"/>
  <c r="K402" i="3"/>
  <c r="I403" i="3"/>
  <c r="J402" i="3"/>
  <c r="I400" i="4"/>
  <c r="K399" i="4"/>
  <c r="J399" i="4"/>
  <c r="F415" i="3" l="1"/>
  <c r="G415" i="3" s="1"/>
  <c r="E416" i="3"/>
  <c r="E416" i="4"/>
  <c r="F415" i="4"/>
  <c r="G415" i="4" s="1"/>
  <c r="K400" i="4"/>
  <c r="I401" i="4"/>
  <c r="J400" i="4"/>
  <c r="I404" i="3"/>
  <c r="K403" i="3"/>
  <c r="J403" i="3"/>
  <c r="E417" i="4" l="1"/>
  <c r="F416" i="4"/>
  <c r="G416" i="4" s="1"/>
  <c r="E417" i="3"/>
  <c r="F416" i="3"/>
  <c r="G416" i="3" s="1"/>
  <c r="I405" i="3"/>
  <c r="K404" i="3"/>
  <c r="J404" i="3"/>
  <c r="J401" i="4"/>
  <c r="I402" i="4"/>
  <c r="K401" i="4"/>
  <c r="E418" i="3" l="1"/>
  <c r="F417" i="3"/>
  <c r="G417" i="3" s="1"/>
  <c r="F417" i="4"/>
  <c r="G417" i="4" s="1"/>
  <c r="E418" i="4"/>
  <c r="K402" i="4"/>
  <c r="J402" i="4"/>
  <c r="I403" i="4"/>
  <c r="K405" i="3"/>
  <c r="J405" i="3"/>
  <c r="I406" i="3"/>
  <c r="E419" i="4" l="1"/>
  <c r="F418" i="4"/>
  <c r="G418" i="4" s="1"/>
  <c r="F418" i="3"/>
  <c r="G418" i="3" s="1"/>
  <c r="E419" i="3"/>
  <c r="J406" i="3"/>
  <c r="K406" i="3"/>
  <c r="I407" i="3"/>
  <c r="J403" i="4"/>
  <c r="K403" i="4"/>
  <c r="I404" i="4"/>
  <c r="F419" i="3" l="1"/>
  <c r="G419" i="3" s="1"/>
  <c r="E420" i="3"/>
  <c r="F419" i="4"/>
  <c r="G419" i="4" s="1"/>
  <c r="E420" i="4"/>
  <c r="I405" i="4"/>
  <c r="K404" i="4"/>
  <c r="J404" i="4"/>
  <c r="J407" i="3"/>
  <c r="K407" i="3"/>
  <c r="I408" i="3"/>
  <c r="E421" i="4" l="1"/>
  <c r="F420" i="4"/>
  <c r="G420" i="4" s="1"/>
  <c r="E421" i="3"/>
  <c r="F420" i="3"/>
  <c r="G420" i="3" s="1"/>
  <c r="J408" i="3"/>
  <c r="K408" i="3"/>
  <c r="I409" i="3"/>
  <c r="I406" i="4"/>
  <c r="K405" i="4"/>
  <c r="J405" i="4"/>
  <c r="F421" i="3" l="1"/>
  <c r="G421" i="3" s="1"/>
  <c r="E422" i="3"/>
  <c r="E422" i="4"/>
  <c r="F421" i="4"/>
  <c r="G421" i="4" s="1"/>
  <c r="J406" i="4"/>
  <c r="K406" i="4"/>
  <c r="I407" i="4"/>
  <c r="K409" i="3"/>
  <c r="I410" i="3"/>
  <c r="J409" i="3"/>
  <c r="F422" i="4" l="1"/>
  <c r="G422" i="4" s="1"/>
  <c r="E423" i="4"/>
  <c r="F422" i="3"/>
  <c r="G422" i="3" s="1"/>
  <c r="E423" i="3"/>
  <c r="J407" i="4"/>
  <c r="K407" i="4"/>
  <c r="I408" i="4"/>
  <c r="J410" i="3"/>
  <c r="K410" i="3"/>
  <c r="I411" i="3"/>
  <c r="E424" i="3" l="1"/>
  <c r="F423" i="3"/>
  <c r="G423" i="3" s="1"/>
  <c r="E424" i="4"/>
  <c r="F423" i="4"/>
  <c r="G423" i="4" s="1"/>
  <c r="I412" i="3"/>
  <c r="K411" i="3"/>
  <c r="J411" i="3"/>
  <c r="I409" i="4"/>
  <c r="J408" i="4"/>
  <c r="K408" i="4"/>
  <c r="E425" i="4" l="1"/>
  <c r="F424" i="4"/>
  <c r="G424" i="4" s="1"/>
  <c r="E425" i="3"/>
  <c r="F424" i="3"/>
  <c r="G424" i="3" s="1"/>
  <c r="K409" i="4"/>
  <c r="J409" i="4"/>
  <c r="I410" i="4"/>
  <c r="I413" i="3"/>
  <c r="J412" i="3"/>
  <c r="K412" i="3"/>
  <c r="E426" i="3" l="1"/>
  <c r="F425" i="3"/>
  <c r="G425" i="3" s="1"/>
  <c r="F425" i="4"/>
  <c r="G425" i="4" s="1"/>
  <c r="E426" i="4"/>
  <c r="I414" i="3"/>
  <c r="K413" i="3"/>
  <c r="J413" i="3"/>
  <c r="I411" i="4"/>
  <c r="K410" i="4"/>
  <c r="J410" i="4"/>
  <c r="E427" i="4" l="1"/>
  <c r="F426" i="4"/>
  <c r="G426" i="4" s="1"/>
  <c r="E427" i="3"/>
  <c r="F426" i="3"/>
  <c r="G426" i="3" s="1"/>
  <c r="K411" i="4"/>
  <c r="I412" i="4"/>
  <c r="J411" i="4"/>
  <c r="I415" i="3"/>
  <c r="K414" i="3"/>
  <c r="J414" i="3"/>
  <c r="F427" i="3" l="1"/>
  <c r="G427" i="3" s="1"/>
  <c r="E428" i="3"/>
  <c r="E428" i="4"/>
  <c r="F427" i="4"/>
  <c r="G427" i="4" s="1"/>
  <c r="K415" i="3"/>
  <c r="J415" i="3"/>
  <c r="I416" i="3"/>
  <c r="K412" i="4"/>
  <c r="J412" i="4"/>
  <c r="I413" i="4"/>
  <c r="F428" i="4" l="1"/>
  <c r="G428" i="4" s="1"/>
  <c r="E429" i="4"/>
  <c r="F429" i="4" s="1"/>
  <c r="G429" i="4" s="1"/>
  <c r="F428" i="3"/>
  <c r="G428" i="3" s="1"/>
  <c r="E429" i="3"/>
  <c r="F429" i="3" s="1"/>
  <c r="G429" i="3" s="1"/>
  <c r="I414" i="4"/>
  <c r="K413" i="4"/>
  <c r="J413" i="4"/>
  <c r="K416" i="3"/>
  <c r="J416" i="3"/>
  <c r="I417" i="3"/>
  <c r="K417" i="3" l="1"/>
  <c r="J417" i="3"/>
  <c r="I418" i="3"/>
  <c r="K414" i="4"/>
  <c r="I415" i="4"/>
  <c r="J414" i="4"/>
  <c r="K415" i="4" l="1"/>
  <c r="J415" i="4"/>
  <c r="I416" i="4"/>
  <c r="I419" i="3"/>
  <c r="K418" i="3"/>
  <c r="J418" i="3"/>
  <c r="K419" i="3" l="1"/>
  <c r="I420" i="3"/>
  <c r="J419" i="3"/>
  <c r="K416" i="4"/>
  <c r="I417" i="4"/>
  <c r="J416" i="4"/>
  <c r="J417" i="4" l="1"/>
  <c r="I418" i="4"/>
  <c r="K417" i="4"/>
  <c r="K420" i="3"/>
  <c r="J420" i="3"/>
  <c r="I421" i="3"/>
  <c r="J421" i="3" l="1"/>
  <c r="I422" i="3"/>
  <c r="K421" i="3"/>
  <c r="K418" i="4"/>
  <c r="J418" i="4"/>
  <c r="I419" i="4"/>
  <c r="J419" i="4" l="1"/>
  <c r="I420" i="4"/>
  <c r="K419" i="4"/>
  <c r="J422" i="3"/>
  <c r="K422" i="3"/>
  <c r="I423" i="3"/>
  <c r="K423" i="3" l="1"/>
  <c r="I424" i="3"/>
  <c r="J423" i="3"/>
  <c r="I421" i="4"/>
  <c r="K420" i="4"/>
  <c r="J420" i="4"/>
  <c r="I422" i="4" l="1"/>
  <c r="K421" i="4"/>
  <c r="J421" i="4"/>
  <c r="J424" i="3"/>
  <c r="I425" i="3"/>
  <c r="K424" i="3"/>
  <c r="I426" i="3" l="1"/>
  <c r="K425" i="3"/>
  <c r="J425" i="3"/>
  <c r="K422" i="4"/>
  <c r="J422" i="4"/>
  <c r="I423" i="4"/>
  <c r="J423" i="4" l="1"/>
  <c r="K423" i="4"/>
  <c r="I424" i="4"/>
  <c r="I427" i="3"/>
  <c r="K426" i="3"/>
  <c r="J426" i="3"/>
  <c r="K427" i="3" l="1"/>
  <c r="J427" i="3"/>
  <c r="I428" i="3"/>
  <c r="K424" i="4"/>
  <c r="J424" i="4"/>
  <c r="I425" i="4"/>
  <c r="K425" i="4" l="1"/>
  <c r="I426" i="4"/>
  <c r="J425" i="4"/>
  <c r="I429" i="3"/>
  <c r="K428" i="3"/>
  <c r="J428" i="3"/>
  <c r="J429" i="3" l="1"/>
  <c r="K429" i="3"/>
  <c r="I430" i="3"/>
  <c r="I427" i="4"/>
  <c r="K426" i="4"/>
  <c r="J426" i="4"/>
  <c r="I428" i="4" l="1"/>
  <c r="K427" i="4"/>
  <c r="J427" i="4"/>
  <c r="I431" i="3"/>
  <c r="J430" i="3"/>
  <c r="K430" i="3"/>
  <c r="K431" i="3" l="1"/>
  <c r="J431" i="3"/>
  <c r="I432" i="3"/>
  <c r="K428" i="4"/>
  <c r="J428" i="4"/>
  <c r="I429" i="4"/>
  <c r="J429" i="4" l="1"/>
  <c r="K429" i="4"/>
  <c r="I430" i="4"/>
  <c r="J432" i="3"/>
  <c r="K432" i="3"/>
  <c r="I433" i="3"/>
  <c r="K433" i="3" l="1"/>
  <c r="J433" i="3"/>
  <c r="I434" i="3"/>
  <c r="K430" i="4"/>
  <c r="J430" i="4"/>
  <c r="I431" i="4"/>
  <c r="J431" i="4" l="1"/>
  <c r="K431" i="4"/>
  <c r="I432" i="4"/>
  <c r="K434" i="3"/>
  <c r="J434" i="3"/>
  <c r="I435" i="3"/>
  <c r="K435" i="3" l="1"/>
  <c r="J435" i="3"/>
  <c r="I436" i="3"/>
  <c r="J432" i="4"/>
  <c r="I433" i="4"/>
  <c r="K432" i="4"/>
  <c r="K433" i="4" l="1"/>
  <c r="J433" i="4"/>
  <c r="I434" i="4"/>
  <c r="K436" i="3"/>
  <c r="J436" i="3"/>
  <c r="K434" i="4" l="1"/>
  <c r="J434" i="4"/>
  <c r="I435" i="4"/>
  <c r="I436" i="4" l="1"/>
  <c r="K435" i="4"/>
  <c r="J435" i="4"/>
  <c r="J436" i="4" l="1"/>
  <c r="K436" i="4"/>
</calcChain>
</file>

<file path=xl/sharedStrings.xml><?xml version="1.0" encoding="utf-8"?>
<sst xmlns="http://schemas.openxmlformats.org/spreadsheetml/2006/main" count="704" uniqueCount="232">
  <si>
    <t xml:space="preserve">                    7" 26# Deck Tally</t>
  </si>
  <si>
    <t xml:space="preserve">          7" 26# Pup Jnt'S</t>
  </si>
  <si>
    <t>7-5/8" 33.7# Csg Jnt'S</t>
  </si>
  <si>
    <t>PJ E</t>
  </si>
  <si>
    <t>Deck #</t>
  </si>
  <si>
    <t>Length (ft)</t>
  </si>
  <si>
    <t>Threads Off (ft)</t>
  </si>
  <si>
    <t>PJ H</t>
  </si>
  <si>
    <t>LJ1</t>
  </si>
  <si>
    <t>Tubing Hanger +THRT:</t>
  </si>
  <si>
    <t>As Per Cameron Drawing</t>
  </si>
  <si>
    <t>PJ F</t>
  </si>
  <si>
    <t>LJ2</t>
  </si>
  <si>
    <t>Load Shoulder to Pin:</t>
  </si>
  <si>
    <t>PJ J</t>
  </si>
  <si>
    <t>LJ3</t>
  </si>
  <si>
    <t>RKB - Load Shoulder:</t>
  </si>
  <si>
    <t xml:space="preserve">PJ N </t>
  </si>
  <si>
    <t>LJ4</t>
  </si>
  <si>
    <t>PJ M</t>
  </si>
  <si>
    <t>PJ C</t>
  </si>
  <si>
    <t>Threads OFF</t>
  </si>
  <si>
    <t>PJ B</t>
  </si>
  <si>
    <t>7-5/8" 33.7# Pup Jnt'S</t>
  </si>
  <si>
    <t>PJ D</t>
  </si>
  <si>
    <t>Threads Off</t>
  </si>
  <si>
    <t>PJ A</t>
  </si>
  <si>
    <t>L J P 1</t>
  </si>
  <si>
    <t>L J P 2</t>
  </si>
  <si>
    <t>L J P 3</t>
  </si>
  <si>
    <t>L J P 4</t>
  </si>
  <si>
    <t>L J P 5</t>
  </si>
  <si>
    <t>Total length to shoulder</t>
  </si>
  <si>
    <t>L J P 6</t>
  </si>
  <si>
    <t>Stickup above R.Table</t>
  </si>
  <si>
    <t>L J P 7</t>
  </si>
  <si>
    <t>L J P 8</t>
  </si>
  <si>
    <t>7" VTHC 26# x 5.5" DP Crossover</t>
  </si>
  <si>
    <t>XO 1</t>
  </si>
  <si>
    <t>SO String</t>
  </si>
  <si>
    <t>XO 2</t>
  </si>
  <si>
    <t>TIW</t>
  </si>
  <si>
    <t>N/A</t>
  </si>
  <si>
    <t>OUT: THREAD PROTECTOR</t>
  </si>
  <si>
    <t xml:space="preserve">     </t>
  </si>
  <si>
    <t>DRAFT REV. 1</t>
  </si>
  <si>
    <t>Rev. 0</t>
  </si>
  <si>
    <t xml:space="preserve">COMPLETION TALLY </t>
  </si>
  <si>
    <t>DATE:</t>
  </si>
  <si>
    <t>29-8-2025</t>
  </si>
  <si>
    <t>TBG SIZE:</t>
  </si>
  <si>
    <t>7.000"</t>
  </si>
  <si>
    <t>WELL:</t>
  </si>
  <si>
    <t>NFQ 22-3</t>
  </si>
  <si>
    <t>QE LNG PERSONNEL:</t>
  </si>
  <si>
    <t>Logan Townsend, Farrukh Saleem, Faouzi</t>
  </si>
  <si>
    <t>CONN:</t>
  </si>
  <si>
    <t>Vam Top HC</t>
  </si>
  <si>
    <t>RIG:</t>
  </si>
  <si>
    <t>Lovanda</t>
  </si>
  <si>
    <t>WEATHERFORD:</t>
  </si>
  <si>
    <t>Abdul Al Hatto, Vladimir Ryabkov</t>
  </si>
  <si>
    <t>ID:</t>
  </si>
  <si>
    <t>6.276"</t>
  </si>
  <si>
    <t>10-3/4" x 9-5/8" XO</t>
  </si>
  <si>
    <t>FT</t>
  </si>
  <si>
    <t>DRIFT:</t>
  </si>
  <si>
    <t>6.151"</t>
  </si>
  <si>
    <t>BLK WT:</t>
  </si>
  <si>
    <t>7" TOL:</t>
  </si>
  <si>
    <t>WEIGHT:</t>
  </si>
  <si>
    <t>MW:</t>
  </si>
  <si>
    <t>TOTAL DEPTH:</t>
  </si>
  <si>
    <t>GRADE:</t>
  </si>
  <si>
    <t>SM2535-110</t>
  </si>
  <si>
    <t>BF:</t>
  </si>
  <si>
    <t>7" CASING SHOE:</t>
  </si>
  <si>
    <t>MAKE UP LOSS:</t>
  </si>
  <si>
    <t>M/SHOE BOTTOM</t>
  </si>
  <si>
    <t>JOINTS</t>
  </si>
  <si>
    <t>JOINT</t>
  </si>
  <si>
    <t>EFFECTIVE</t>
  </si>
  <si>
    <t>TOTAL</t>
  </si>
  <si>
    <t>DEPTH OF</t>
  </si>
  <si>
    <t xml:space="preserve">EST STRG </t>
  </si>
  <si>
    <t xml:space="preserve">        COMMENTS</t>
  </si>
  <si>
    <t>RUN</t>
  </si>
  <si>
    <t>No.</t>
  </si>
  <si>
    <t>Type</t>
  </si>
  <si>
    <t>NUM.</t>
  </si>
  <si>
    <t>LENGTH</t>
  </si>
  <si>
    <t>IN/OUT</t>
  </si>
  <si>
    <t>TOP OF JT</t>
  </si>
  <si>
    <t>WEIGHT</t>
  </si>
  <si>
    <t xml:space="preserve">WFT SHEAR LOCATOR ASSY. </t>
  </si>
  <si>
    <t>201222-0024</t>
  </si>
  <si>
    <t>LOCATOR MANDREL</t>
  </si>
  <si>
    <t>OUT</t>
  </si>
  <si>
    <t>LOCATOR PN: 2986925</t>
  </si>
  <si>
    <t>LOCATOR COUPLING</t>
  </si>
  <si>
    <t>LOCATOR SN: 201222-0024</t>
  </si>
  <si>
    <t>PUP JOINT</t>
  </si>
  <si>
    <t xml:space="preserve">WFT OPTIPKR-DB  ASSY. </t>
  </si>
  <si>
    <t>PACKER PN: 3121227</t>
  </si>
  <si>
    <t>MID ELEMENT-PKR BTM</t>
  </si>
  <si>
    <t>PACKER SN: 11958736</t>
  </si>
  <si>
    <t>COUPLING-MID ELEMENT</t>
  </si>
  <si>
    <t>DISTANCE BW PIP TAGS: 11.99 FT</t>
  </si>
  <si>
    <t>PACKER COUPLING</t>
  </si>
  <si>
    <t>PKR TOP- Top CUT ZONE: 6.86 FT</t>
  </si>
  <si>
    <t>CUT ZONE LENGTH: 2.00 FT</t>
  </si>
  <si>
    <t>Packing Element Distance from 9-5/8" Casing Collar (ft)</t>
  </si>
  <si>
    <t>9-5/8" Couplings at:</t>
  </si>
  <si>
    <t>Top Packer to Top Pip Tag Pocket</t>
  </si>
  <si>
    <t xml:space="preserve">Top Collar </t>
  </si>
  <si>
    <t>Bottom Collar</t>
  </si>
  <si>
    <t>Top Packer to Top Cut Zone</t>
  </si>
  <si>
    <t>Top Packer to Bottom Cut Zone</t>
  </si>
  <si>
    <t>TOP PIP TAG:</t>
  </si>
  <si>
    <t>Top Packer to Bottom Pip Tag Pocket</t>
  </si>
  <si>
    <t>BTTM PIP TAG:</t>
  </si>
  <si>
    <t>TOP CUT ZONE:</t>
  </si>
  <si>
    <t>BTTM CUT ZONE:</t>
  </si>
  <si>
    <t>SHEAR LOCATOR</t>
  </si>
  <si>
    <t>Length ( ft )</t>
  </si>
  <si>
    <t>Bottom Mule Shoe to Shear sleeve /ring</t>
  </si>
  <si>
    <r>
      <t>Shear sleeve /ring</t>
    </r>
    <r>
      <rPr>
        <sz val="9"/>
        <color rgb="FFFF0000"/>
        <rFont val="Calibri"/>
      </rPr>
      <t xml:space="preserve"> </t>
    </r>
    <r>
      <rPr>
        <sz val="9"/>
        <color rgb="FF000000"/>
        <rFont val="Calibri"/>
      </rPr>
      <t>to  Coupling</t>
    </r>
  </si>
  <si>
    <t>Note: Packer Final Setting Depth will be approx. 11551.95 ft after spacing out and landing TH</t>
  </si>
  <si>
    <t>Shear Locator Top to Middle</t>
  </si>
  <si>
    <t>TORQUE 7" 26# VTHC</t>
  </si>
  <si>
    <t>13,700, 15,200, 16,700 ft-lbs</t>
  </si>
  <si>
    <t>IN</t>
  </si>
  <si>
    <t>10-3/4" X 9-5/8" XO @1312.32 ft</t>
  </si>
  <si>
    <t>Slow Down RIH Speed to max. 60 ft/min until string has passed through restriction.</t>
  </si>
  <si>
    <t>OUT: COULD NOT OPEN THREAD PROTECTOR</t>
  </si>
  <si>
    <t>Weatherford TRSCSSV</t>
  </si>
  <si>
    <t>7.000" PUP JT</t>
  </si>
  <si>
    <t>TRSV PN: 2521432</t>
  </si>
  <si>
    <t>7.000" FC</t>
  </si>
  <si>
    <t>TRSV SN: 11880127</t>
  </si>
  <si>
    <t>TRSSSV</t>
  </si>
  <si>
    <t xml:space="preserve">RETURN VOL F/8,500psi: 245 ml </t>
  </si>
  <si>
    <t>FSSD: 2,000 ft</t>
  </si>
  <si>
    <t>OUT: Swap to next joint</t>
  </si>
  <si>
    <t>Last Joint Run before PU Space Out String</t>
  </si>
  <si>
    <t>X-over 7'' VT to Delta 576</t>
  </si>
  <si>
    <t>X-Over</t>
  </si>
  <si>
    <t>576 Delta Stand #1</t>
  </si>
  <si>
    <t>5 1/2 DP 1 SINGLE</t>
  </si>
  <si>
    <t xml:space="preserve">5 1/2 DP 2 SINGLE </t>
  </si>
  <si>
    <t>5 1/2 DP 3 SINGLE</t>
  </si>
  <si>
    <t>576 Delta Stand #2</t>
  </si>
  <si>
    <t>5 1/2 DP1 SINGLE</t>
  </si>
  <si>
    <t>Effective Length of last joint below RKB: 18.89 ft</t>
  </si>
  <si>
    <t>5 1/2 DP2 SINGLE</t>
  </si>
  <si>
    <t>5 1/2 DP3 SINGLE</t>
  </si>
  <si>
    <t>Stickup above RKB: 43.05 ft</t>
  </si>
  <si>
    <t>CAMERON PRIMARY TH</t>
  </si>
  <si>
    <t>TH + PUP JT.</t>
  </si>
  <si>
    <t>PN: 2201888-6000062                                                                                   SN: 122047330001</t>
  </si>
  <si>
    <t>RKB - TH LOAD SHOULDER</t>
  </si>
  <si>
    <t>CASING CORRECTION FACTOR</t>
  </si>
  <si>
    <t>As Run REV. 2</t>
  </si>
  <si>
    <t>Reject</t>
  </si>
  <si>
    <t>TR-SCSSV</t>
  </si>
  <si>
    <t>Effective Length of last joint below RKB: 18.75 ft</t>
  </si>
  <si>
    <t>Stickup above RKB: 43.19 ft</t>
  </si>
  <si>
    <t xml:space="preserve">Final Tally </t>
  </si>
  <si>
    <t>Logan Townsend, Farrukh Saleem, Faouzi Belhadj</t>
  </si>
  <si>
    <r>
      <t>Vam Top HC</t>
    </r>
    <r>
      <rPr>
        <b/>
        <sz val="9"/>
        <color rgb="FFFF0000"/>
        <rFont val="Geneva"/>
      </rPr>
      <t xml:space="preserve"> DPLS</t>
    </r>
  </si>
  <si>
    <t>CTRL. LINE
CLAMP</t>
  </si>
  <si>
    <t>Space Out Factor</t>
  </si>
  <si>
    <t>Weatherford 
TR-SCSSV</t>
  </si>
  <si>
    <t>CL WRAPS BELOW TH # 10</t>
  </si>
  <si>
    <t>TOTAL CL PROTECTORS INSTALLED: #35</t>
  </si>
  <si>
    <t>All measurements in feet (ft)</t>
  </si>
  <si>
    <t>Mechanical Completion Space Out Calculations</t>
  </si>
  <si>
    <t>7" Tubing and Pup Joints</t>
  </si>
  <si>
    <t>Landing</t>
  </si>
  <si>
    <t>Length</t>
  </si>
  <si>
    <t>Eff Length</t>
  </si>
  <si>
    <t>JOINT #</t>
  </si>
  <si>
    <t>Length IN</t>
  </si>
  <si>
    <t>String</t>
  </si>
  <si>
    <t>RKB</t>
  </si>
  <si>
    <t>Space</t>
  </si>
  <si>
    <t>THRT</t>
  </si>
  <si>
    <t>out</t>
  </si>
  <si>
    <t>above</t>
  </si>
  <si>
    <t>Hgr Load Shldr</t>
  </si>
  <si>
    <t>below</t>
  </si>
  <si>
    <t>pups</t>
  </si>
  <si>
    <t>Prod Pkr Element</t>
  </si>
  <si>
    <t>JT#332</t>
  </si>
  <si>
    <t>JT#397</t>
  </si>
  <si>
    <t>pup</t>
  </si>
  <si>
    <t>Locator NoGo</t>
  </si>
  <si>
    <t>PBR Top</t>
  </si>
  <si>
    <t>EOT Muleshoe</t>
  </si>
  <si>
    <t>Top Liner Pkr</t>
  </si>
  <si>
    <t>Actual Pup Length</t>
  </si>
  <si>
    <t xml:space="preserve"> </t>
  </si>
  <si>
    <t>LANDED POSITION</t>
  </si>
  <si>
    <t>LOCATE POSITION</t>
  </si>
  <si>
    <t>ft</t>
  </si>
  <si>
    <t>Effective Length of Stand 2 DP 2 below RKB</t>
  </si>
  <si>
    <t>Stand 2 DP 1</t>
  </si>
  <si>
    <t>Stand 1 (Total)</t>
  </si>
  <si>
    <t xml:space="preserve">Effective Length 7" X-over </t>
  </si>
  <si>
    <t xml:space="preserve">Total Length Out </t>
  </si>
  <si>
    <t>Required Pup Length Calculations</t>
  </si>
  <si>
    <t>Length Out</t>
  </si>
  <si>
    <t>Length In</t>
  </si>
  <si>
    <t>Locator NoGo from Locate to Landed Position</t>
  </si>
  <si>
    <t>Elevation = RKB to Hanger Load Shoulder</t>
  </si>
  <si>
    <t>Ideal Pups Req'd to Land w/ Neutral Wgt</t>
  </si>
  <si>
    <t>Hanger load shoulder to hanger assembly bottom</t>
  </si>
  <si>
    <t>Actual Pup Length Used</t>
  </si>
  <si>
    <t>Length  In = Elevation + Hanger Assembly</t>
  </si>
  <si>
    <t>Difference (- short, + long)</t>
  </si>
  <si>
    <t>Tolerance (-1, +1) ft</t>
  </si>
  <si>
    <t>P1</t>
  </si>
  <si>
    <t>P2</t>
  </si>
  <si>
    <t>P3</t>
  </si>
  <si>
    <t>P4</t>
  </si>
  <si>
    <t>P5</t>
  </si>
  <si>
    <t>P6</t>
  </si>
  <si>
    <t>P7</t>
  </si>
  <si>
    <t>Effective Length of Stand 1 DP3 below RKB</t>
  </si>
  <si>
    <t>Stand 1 DP2</t>
  </si>
  <si>
    <t>Stand 1 DP1</t>
  </si>
  <si>
    <t>DP 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</si>
</sst>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\-mmm\-yy;@"/>
    <numFmt numFmtId="165" formatCode="0.000"/>
    <numFmt numFmtId="166" formatCode="0\ &quot;K&quot;"/>
    <numFmt numFmtId="167" formatCode="0.000\ &quot;IN&quot;"/>
    <numFmt numFmtId="168" formatCode="0.00\ &quot;ft&quot;"/>
    <numFmt numFmtId="169" formatCode="0.0"/>
    <numFmt numFmtId="170" formatCode="0.0\ &quot;PPG&quot;"/>
    <numFmt numFmtId="171" formatCode="0.0\ &quot;PPF&quot;"/>
    <numFmt numFmtId="172" formatCode="&quot;Note: Packer final setting depth will be approx &quot;0.00"/>
  </numFmts>
  <fonts count="49">
    <font>
      <sz val="10"/>
      <color rgb="FF000000"/>
      <name val="Geneva"/>
    </font>
    <font>
      <b/>
      <sz val="9"/>
      <color rgb="FF000000"/>
      <name val="Geneva"/>
    </font>
    <font>
      <sz val="9"/>
      <color rgb="FF000000"/>
      <name val="Geneva"/>
    </font>
    <font>
      <b/>
      <sz val="14"/>
      <color rgb="FF0000FF"/>
      <name val="Geneva"/>
    </font>
    <font>
      <sz val="9"/>
      <color rgb="FFFF0000"/>
      <name val="Geneva"/>
    </font>
    <font>
      <sz val="8"/>
      <color rgb="FF000000"/>
      <name val="Arial"/>
    </font>
    <font>
      <b/>
      <sz val="16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12"/>
      <color rgb="FF000000"/>
      <name val="Geneva"/>
    </font>
    <font>
      <b/>
      <sz val="9"/>
      <color rgb="FF000000"/>
      <name val="Arial"/>
    </font>
    <font>
      <sz val="11"/>
      <color rgb="FFFF0000"/>
      <name val="Arial"/>
    </font>
    <font>
      <b/>
      <sz val="8"/>
      <color rgb="FF000000"/>
      <name val="Arial"/>
    </font>
    <font>
      <sz val="9"/>
      <color rgb="FF000000"/>
      <name val="Arial"/>
    </font>
    <font>
      <i/>
      <sz val="8"/>
      <color rgb="FF000000"/>
      <name val="Arial"/>
    </font>
    <font>
      <sz val="10"/>
      <color rgb="FF000000"/>
      <name val="Times New Roman"/>
    </font>
    <font>
      <b/>
      <sz val="9"/>
      <color rgb="FFFF0000"/>
      <name val="Geneva"/>
    </font>
    <font>
      <b/>
      <sz val="10"/>
      <color rgb="FF000000"/>
      <name val="Geneva"/>
    </font>
    <font>
      <b/>
      <sz val="9"/>
      <color rgb="FF000000"/>
      <name val="Agency FB"/>
    </font>
    <font>
      <b/>
      <sz val="10"/>
      <color theme="0"/>
      <name val="Geneva"/>
    </font>
    <font>
      <b/>
      <sz val="9"/>
      <color theme="0"/>
      <name val="Geneva"/>
    </font>
    <font>
      <sz val="8"/>
      <color rgb="FF000000"/>
      <name val="Geneva"/>
    </font>
    <font>
      <b/>
      <sz val="8"/>
      <color rgb="FF000000"/>
      <name val="Geneva"/>
    </font>
    <font>
      <b/>
      <sz val="12"/>
      <color rgb="FFFF0000"/>
      <name val="Agency FB"/>
    </font>
    <font>
      <b/>
      <sz val="14"/>
      <color rgb="FFFF0000"/>
      <name val="Agency FB"/>
    </font>
    <font>
      <b/>
      <sz val="14"/>
      <color rgb="FF000000"/>
      <name val="Geneva"/>
    </font>
    <font>
      <b/>
      <sz val="9"/>
      <color theme="0"/>
      <name val="Calibri"/>
    </font>
    <font>
      <sz val="9"/>
      <color rgb="FF000000"/>
      <name val="Calibri"/>
    </font>
    <font>
      <b/>
      <sz val="9"/>
      <color rgb="FF000000"/>
      <name val="Calibri"/>
    </font>
    <font>
      <b/>
      <sz val="12"/>
      <color rgb="FFFF0000"/>
      <name val="Geneva"/>
    </font>
    <font>
      <sz val="10"/>
      <color rgb="FFFF0000"/>
      <name val="Geneva"/>
    </font>
    <font>
      <b/>
      <sz val="10"/>
      <color theme="1"/>
      <name val="Geneva"/>
    </font>
    <font>
      <sz val="10"/>
      <color theme="0"/>
      <name val="Geneva"/>
    </font>
    <font>
      <b/>
      <sz val="9"/>
      <color rgb="FFFF0000"/>
      <name val="Geneva"/>
    </font>
    <font>
      <b/>
      <sz val="11"/>
      <color theme="1"/>
      <name val="Calibri"/>
      <scheme val="minor"/>
    </font>
    <font>
      <sz val="10"/>
      <color theme="1"/>
      <name val="Geneva"/>
    </font>
    <font>
      <b/>
      <sz val="10"/>
      <color rgb="FFFF0000"/>
      <name val="Geneva"/>
    </font>
    <font>
      <b/>
      <sz val="8"/>
      <color rgb="FFFF0000"/>
      <name val="Geneva"/>
    </font>
    <font>
      <b/>
      <sz val="11"/>
      <color rgb="FF000000"/>
      <name val="Calibri"/>
      <scheme val="minor"/>
    </font>
    <font>
      <b/>
      <sz val="10"/>
      <color rgb="FFFF0000"/>
      <name val="Arial"/>
    </font>
    <font>
      <b/>
      <sz val="10"/>
      <color rgb="FF000000"/>
      <name val="Arial"/>
    </font>
    <font>
      <b/>
      <sz val="9"/>
      <color rgb="FFFF0000"/>
      <name val="Arial"/>
    </font>
    <font>
      <b/>
      <sz val="8.5"/>
      <color rgb="FF000000"/>
      <name val="Geneva"/>
    </font>
    <font>
      <sz val="9"/>
      <color theme="0"/>
      <name val="Geneva"/>
    </font>
    <font>
      <b/>
      <sz val="10"/>
      <color rgb="FFFF0000"/>
      <name val="Calibri"/>
      <scheme val="minor"/>
    </font>
    <font>
      <sz val="12"/>
      <color rgb="FF000000"/>
      <name val="Geneva"/>
    </font>
    <font>
      <b/>
      <sz val="9"/>
      <color theme="1"/>
      <name val="Geneva"/>
    </font>
    <font>
      <sz val="9"/>
      <color rgb="FFFF0000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000000"/>
        <bgColor rgb="FFFFFFFF"/>
      </patternFill>
    </fill>
    <fill>
      <patternFill patternType="darkDown">
        <bgColor rgb="FF000000"/>
      </patternFill>
    </fill>
    <fill>
      <patternFill patternType="darkUp"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BDBDB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404040"/>
        <bgColor rgb="FFFFFFFF"/>
      </patternFill>
    </fill>
    <fill>
      <patternFill patternType="solid">
        <fgColor rgb="FF3B3838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A9D18E"/>
        <bgColor rgb="FFFFFFFF"/>
      </patternFill>
    </fill>
    <fill>
      <patternFill patternType="solid">
        <fgColor rgb="FFFFE699"/>
        <bgColor rgb="FFFFFFFF"/>
      </patternFill>
    </fill>
    <fill>
      <patternFill patternType="solid">
        <fgColor rgb="FFD0CECE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F46868"/>
        <bgColor rgb="FFFFFFFF"/>
      </patternFill>
    </fill>
    <fill>
      <patternFill patternType="solid">
        <fgColor rgb="FFFBE5D6"/>
        <bgColor rgb="FFFFFFFF"/>
      </patternFill>
    </fill>
  </fills>
  <borders count="11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70AD47"/>
      </right>
      <top/>
      <bottom/>
      <diagonal/>
    </border>
    <border>
      <left style="thick">
        <color rgb="FF70AD47"/>
      </left>
      <right style="thick">
        <color rgb="FF70AD47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/>
      <bottom style="dashed">
        <color rgb="FF000000"/>
      </bottom>
      <diagonal/>
    </border>
    <border>
      <left/>
      <right style="thick">
        <color rgb="FF000000"/>
      </right>
      <top/>
      <bottom style="dashed">
        <color rgb="FF000000"/>
      </bottom>
      <diagonal/>
    </border>
    <border>
      <left style="thick">
        <color rgb="FF000000"/>
      </left>
      <right style="thick">
        <color rgb="FF000000"/>
      </right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ashed">
        <color rgb="FF000000"/>
      </top>
      <bottom/>
      <diagonal/>
    </border>
    <border>
      <left style="thick">
        <color rgb="FF000000"/>
      </left>
      <right/>
      <top style="dashed">
        <color rgb="FF000000"/>
      </top>
      <bottom/>
      <diagonal/>
    </border>
    <border>
      <left/>
      <right style="thick">
        <color rgb="FF70AD47"/>
      </right>
      <top style="dashed">
        <color rgb="FF000000"/>
      </top>
      <bottom/>
      <diagonal/>
    </border>
    <border>
      <left style="thick">
        <color rgb="FF70AD47"/>
      </left>
      <right style="thick">
        <color rgb="FF70AD47"/>
      </right>
      <top/>
      <bottom style="thick">
        <color rgb="FF70AD47"/>
      </bottom>
      <diagonal/>
    </border>
    <border>
      <left/>
      <right style="thick">
        <color rgb="FF000000"/>
      </right>
      <top style="dashed">
        <color rgb="FF000000"/>
      </top>
      <bottom/>
      <diagonal/>
    </border>
    <border>
      <left style="thick">
        <color rgb="FF000000"/>
      </left>
      <right style="thick">
        <color rgb="FF000000"/>
      </right>
      <top style="dashed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70AD47"/>
      </bottom>
      <diagonal/>
    </border>
    <border>
      <left/>
      <right style="thick">
        <color rgb="FF70AD47"/>
      </right>
      <top/>
      <bottom style="thick">
        <color rgb="FF70AD47"/>
      </bottom>
      <diagonal/>
    </border>
    <border>
      <left style="thick">
        <color rgb="FF000000"/>
      </left>
      <right style="thick">
        <color rgb="FF70AD47"/>
      </right>
      <top/>
      <bottom style="thick">
        <color rgb="FF000000"/>
      </bottom>
      <diagonal/>
    </border>
    <border>
      <left style="thick">
        <color rgb="FF70AD47"/>
      </left>
      <right/>
      <top style="thick">
        <color rgb="FF70AD47"/>
      </top>
      <bottom style="thick">
        <color rgb="FF70AD47"/>
      </bottom>
      <diagonal/>
    </border>
    <border>
      <left/>
      <right/>
      <top style="thick">
        <color rgb="FF70AD47"/>
      </top>
      <bottom style="thick">
        <color rgb="FF70AD47"/>
      </bottom>
      <diagonal/>
    </border>
    <border>
      <left/>
      <right/>
      <top/>
      <bottom style="dashed">
        <color rgb="FFFF00FF"/>
      </bottom>
      <diagonal/>
    </border>
    <border>
      <left/>
      <right style="thick">
        <color rgb="FF70AD47"/>
      </right>
      <top style="thick">
        <color rgb="FF70AD47"/>
      </top>
      <bottom style="thick">
        <color rgb="FF70AD47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70AD47"/>
      </right>
      <top style="thick">
        <color rgb="FF70AD47"/>
      </top>
      <bottom/>
      <diagonal/>
    </border>
    <border>
      <left style="thick">
        <color rgb="FF70AD47"/>
      </left>
      <right style="thick">
        <color rgb="FF70AD47"/>
      </right>
      <top style="dashed">
        <color rgb="FFFF00FF"/>
      </top>
      <bottom/>
      <diagonal/>
    </border>
    <border>
      <left style="thick">
        <color rgb="FFED7D31"/>
      </left>
      <right style="thick">
        <color rgb="FFED7D31"/>
      </right>
      <top style="thick">
        <color rgb="FFED7D31"/>
      </top>
      <bottom/>
      <diagonal/>
    </border>
    <border>
      <left style="thick">
        <color rgb="FFED7D31"/>
      </left>
      <right style="thick">
        <color rgb="FFED7D31"/>
      </right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ED7D31"/>
      </left>
      <right style="thick">
        <color rgb="FFED7D31"/>
      </right>
      <top/>
      <bottom style="thick">
        <color rgb="FFED7D31"/>
      </bottom>
      <diagonal/>
    </border>
    <border>
      <left style="thick">
        <color rgb="FF0070C0"/>
      </left>
      <right style="thick">
        <color rgb="FF0070C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ED7D31"/>
      </left>
      <right style="thick">
        <color rgb="FFED7D31"/>
      </right>
      <top style="thick">
        <color rgb="FFED7D31"/>
      </top>
      <bottom style="thick">
        <color rgb="FFED7D31"/>
      </bottom>
      <diagonal/>
    </border>
    <border>
      <left/>
      <right/>
      <top/>
      <bottom style="thick">
        <color rgb="FF0070C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ashed">
        <color rgb="FF000000"/>
      </bottom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9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/>
    <xf numFmtId="1" fontId="1" fillId="0" borderId="3" xfId="0" applyNumberFormat="1" applyFont="1" applyBorder="1" applyAlignment="1">
      <alignment horizontal="right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2" fontId="0" fillId="0" borderId="0" xfId="0" applyNumberFormat="1"/>
    <xf numFmtId="1" fontId="1" fillId="0" borderId="0" xfId="0" applyNumberFormat="1" applyFont="1" applyAlignment="1">
      <alignment horizontal="left"/>
    </xf>
    <xf numFmtId="1" fontId="0" fillId="0" borderId="3" xfId="0" applyNumberFormat="1" applyBorder="1" applyAlignment="1">
      <alignment horizontal="center"/>
    </xf>
    <xf numFmtId="1" fontId="0" fillId="0" borderId="0" xfId="0" applyNumberFormat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4" fillId="0" borderId="2" xfId="0" applyFont="1" applyBorder="1"/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2" borderId="0" xfId="0" applyFont="1" applyFill="1"/>
    <xf numFmtId="0" fontId="5" fillId="0" borderId="5" xfId="0" applyFont="1" applyBorder="1"/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6" fillId="0" borderId="0" xfId="0" applyFont="1" applyAlignment="1">
      <alignment horizontal="center"/>
    </xf>
    <xf numFmtId="0" fontId="5" fillId="0" borderId="9" xfId="0" applyFont="1" applyBorder="1"/>
    <xf numFmtId="0" fontId="7" fillId="0" borderId="8" xfId="0" applyFont="1" applyBorder="1"/>
    <xf numFmtId="0" fontId="8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7" fillId="2" borderId="10" xfId="0" applyFont="1" applyFill="1" applyBorder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/>
    <xf numFmtId="0" fontId="7" fillId="2" borderId="13" xfId="0" applyFont="1" applyFill="1" applyBorder="1" applyAlignment="1">
      <alignment horizontal="center"/>
    </xf>
    <xf numFmtId="0" fontId="7" fillId="0" borderId="9" xfId="0" applyFont="1" applyBorder="1"/>
    <xf numFmtId="0" fontId="7" fillId="0" borderId="0" xfId="0" applyFont="1"/>
    <xf numFmtId="0" fontId="7" fillId="2" borderId="14" xfId="0" applyFont="1" applyFill="1" applyBorder="1"/>
    <xf numFmtId="0" fontId="7" fillId="2" borderId="14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7" fillId="2" borderId="15" xfId="0" applyFont="1" applyFill="1" applyBorder="1"/>
    <xf numFmtId="0" fontId="7" fillId="2" borderId="16" xfId="0" applyFont="1" applyFill="1" applyBorder="1" applyAlignment="1">
      <alignment horizontal="center"/>
    </xf>
    <xf numFmtId="2" fontId="10" fillId="0" borderId="17" xfId="0" applyNumberFormat="1" applyFont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19" xfId="0" applyFont="1" applyFill="1" applyBorder="1"/>
    <xf numFmtId="0" fontId="7" fillId="2" borderId="18" xfId="0" applyFont="1" applyFill="1" applyBorder="1"/>
    <xf numFmtId="0" fontId="7" fillId="2" borderId="20" xfId="0" applyFont="1" applyFill="1" applyBorder="1"/>
    <xf numFmtId="0" fontId="9" fillId="2" borderId="21" xfId="0" applyFont="1" applyFill="1" applyBorder="1" applyAlignment="1">
      <alignment horizontal="center"/>
    </xf>
    <xf numFmtId="0" fontId="7" fillId="2" borderId="22" xfId="0" applyFont="1" applyFill="1" applyBorder="1"/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/>
    <xf numFmtId="0" fontId="7" fillId="2" borderId="25" xfId="0" applyFont="1" applyFill="1" applyBorder="1"/>
    <xf numFmtId="0" fontId="7" fillId="2" borderId="26" xfId="0" applyFont="1" applyFill="1" applyBorder="1"/>
    <xf numFmtId="0" fontId="7" fillId="2" borderId="27" xfId="0" applyFont="1" applyFill="1" applyBorder="1"/>
    <xf numFmtId="0" fontId="7" fillId="2" borderId="28" xfId="0" applyFont="1" applyFill="1" applyBorder="1"/>
    <xf numFmtId="0" fontId="7" fillId="2" borderId="29" xfId="0" applyFont="1" applyFill="1" applyBorder="1"/>
    <xf numFmtId="0" fontId="9" fillId="2" borderId="30" xfId="0" applyFont="1" applyFill="1" applyBorder="1" applyAlignment="1">
      <alignment horizontal="center"/>
    </xf>
    <xf numFmtId="0" fontId="7" fillId="2" borderId="31" xfId="0" applyFont="1" applyFill="1" applyBorder="1"/>
    <xf numFmtId="0" fontId="7" fillId="2" borderId="32" xfId="0" applyFont="1" applyFill="1" applyBorder="1"/>
    <xf numFmtId="0" fontId="7" fillId="2" borderId="33" xfId="0" applyFont="1" applyFill="1" applyBorder="1"/>
    <xf numFmtId="0" fontId="7" fillId="2" borderId="34" xfId="0" applyFont="1" applyFill="1" applyBorder="1"/>
    <xf numFmtId="0" fontId="9" fillId="2" borderId="3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7" fillId="2" borderId="38" xfId="0" applyFont="1" applyFill="1" applyBorder="1"/>
    <xf numFmtId="0" fontId="11" fillId="0" borderId="39" xfId="0" applyFont="1" applyBorder="1" applyAlignment="1">
      <alignment horizontal="center"/>
    </xf>
    <xf numFmtId="0" fontId="8" fillId="2" borderId="40" xfId="0" applyFont="1" applyFill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7" fillId="3" borderId="38" xfId="0" applyFont="1" applyFill="1" applyBorder="1"/>
    <xf numFmtId="0" fontId="7" fillId="3" borderId="40" xfId="0" applyFont="1" applyFill="1" applyBorder="1"/>
    <xf numFmtId="0" fontId="7" fillId="2" borderId="40" xfId="0" applyFont="1" applyFill="1" applyBorder="1" applyAlignment="1">
      <alignment horizontal="center"/>
    </xf>
    <xf numFmtId="0" fontId="7" fillId="3" borderId="42" xfId="0" applyFont="1" applyFill="1" applyBorder="1"/>
    <xf numFmtId="0" fontId="7" fillId="3" borderId="43" xfId="0" applyFont="1" applyFill="1" applyBorder="1"/>
    <xf numFmtId="0" fontId="8" fillId="2" borderId="14" xfId="0" applyFont="1" applyFill="1" applyBorder="1" applyAlignment="1">
      <alignment horizontal="left"/>
    </xf>
    <xf numFmtId="0" fontId="8" fillId="2" borderId="15" xfId="0" applyFont="1" applyFill="1" applyBorder="1"/>
    <xf numFmtId="0" fontId="7" fillId="3" borderId="44" xfId="0" applyFont="1" applyFill="1" applyBorder="1"/>
    <xf numFmtId="0" fontId="7" fillId="3" borderId="45" xfId="0" applyFont="1" applyFill="1" applyBorder="1"/>
    <xf numFmtId="0" fontId="7" fillId="3" borderId="46" xfId="0" applyFont="1" applyFill="1" applyBorder="1"/>
    <xf numFmtId="0" fontId="7" fillId="3" borderId="0" xfId="0" applyFont="1" applyFill="1"/>
    <xf numFmtId="0" fontId="12" fillId="3" borderId="42" xfId="0" applyFont="1" applyFill="1" applyBorder="1"/>
    <xf numFmtId="0" fontId="8" fillId="2" borderId="18" xfId="0" applyFont="1" applyFill="1" applyBorder="1" applyAlignment="1">
      <alignment horizontal="left"/>
    </xf>
    <xf numFmtId="0" fontId="8" fillId="2" borderId="22" xfId="0" applyFont="1" applyFill="1" applyBorder="1"/>
    <xf numFmtId="0" fontId="7" fillId="3" borderId="47" xfId="0" applyFont="1" applyFill="1" applyBorder="1"/>
    <xf numFmtId="0" fontId="7" fillId="3" borderId="48" xfId="0" applyFont="1" applyFill="1" applyBorder="1"/>
    <xf numFmtId="0" fontId="7" fillId="3" borderId="49" xfId="0" applyFont="1" applyFill="1" applyBorder="1"/>
    <xf numFmtId="2" fontId="9" fillId="0" borderId="50" xfId="0" applyNumberFormat="1" applyFont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7" fillId="2" borderId="51" xfId="0" applyFont="1" applyFill="1" applyBorder="1"/>
    <xf numFmtId="0" fontId="7" fillId="2" borderId="52" xfId="0" applyFont="1" applyFill="1" applyBorder="1"/>
    <xf numFmtId="0" fontId="7" fillId="2" borderId="46" xfId="0" applyFont="1" applyFill="1" applyBorder="1"/>
    <xf numFmtId="0" fontId="9" fillId="2" borderId="53" xfId="0" applyFont="1" applyFill="1" applyBorder="1" applyAlignment="1">
      <alignment horizontal="center"/>
    </xf>
    <xf numFmtId="0" fontId="7" fillId="2" borderId="54" xfId="0" applyFont="1" applyFill="1" applyBorder="1"/>
    <xf numFmtId="0" fontId="7" fillId="2" borderId="47" xfId="0" applyFont="1" applyFill="1" applyBorder="1"/>
    <xf numFmtId="0" fontId="7" fillId="2" borderId="49" xfId="0" applyFont="1" applyFill="1" applyBorder="1"/>
    <xf numFmtId="0" fontId="8" fillId="2" borderId="12" xfId="0" applyFont="1" applyFill="1" applyBorder="1"/>
    <xf numFmtId="0" fontId="7" fillId="0" borderId="47" xfId="0" applyFont="1" applyBorder="1"/>
    <xf numFmtId="0" fontId="7" fillId="0" borderId="49" xfId="0" applyFont="1" applyBorder="1"/>
    <xf numFmtId="0" fontId="7" fillId="4" borderId="0" xfId="0" applyFont="1" applyFill="1"/>
    <xf numFmtId="0" fontId="7" fillId="0" borderId="38" xfId="0" applyFont="1" applyBorder="1"/>
    <xf numFmtId="0" fontId="7" fillId="4" borderId="55" xfId="0" applyFont="1" applyFill="1" applyBorder="1"/>
    <xf numFmtId="0" fontId="7" fillId="0" borderId="55" xfId="0" applyFont="1" applyBorder="1"/>
    <xf numFmtId="0" fontId="7" fillId="5" borderId="56" xfId="0" applyFont="1" applyFill="1" applyBorder="1"/>
    <xf numFmtId="0" fontId="7" fillId="0" borderId="57" xfId="0" applyFont="1" applyBorder="1"/>
    <xf numFmtId="0" fontId="7" fillId="6" borderId="58" xfId="0" applyFont="1" applyFill="1" applyBorder="1"/>
    <xf numFmtId="0" fontId="7" fillId="7" borderId="0" xfId="0" applyFont="1" applyFill="1"/>
    <xf numFmtId="0" fontId="7" fillId="5" borderId="59" xfId="0" applyFont="1" applyFill="1" applyBorder="1"/>
    <xf numFmtId="0" fontId="7" fillId="0" borderId="58" xfId="0" applyFont="1" applyBorder="1"/>
    <xf numFmtId="0" fontId="8" fillId="8" borderId="17" xfId="0" applyFont="1" applyFill="1" applyBorder="1" applyAlignment="1">
      <alignment horizontal="center" vertical="center"/>
    </xf>
    <xf numFmtId="0" fontId="7" fillId="2" borderId="60" xfId="0" applyFont="1" applyFill="1" applyBorder="1"/>
    <xf numFmtId="0" fontId="7" fillId="2" borderId="61" xfId="0" applyFont="1" applyFill="1" applyBorder="1"/>
    <xf numFmtId="0" fontId="8" fillId="2" borderId="61" xfId="0" applyFont="1" applyFill="1" applyBorder="1" applyAlignment="1">
      <alignment horizontal="center"/>
    </xf>
    <xf numFmtId="0" fontId="7" fillId="2" borderId="62" xfId="0" applyFont="1" applyFill="1" applyBorder="1"/>
    <xf numFmtId="0" fontId="7" fillId="2" borderId="17" xfId="0" applyFont="1" applyFill="1" applyBorder="1" applyAlignment="1">
      <alignment horizontal="left"/>
    </xf>
    <xf numFmtId="2" fontId="5" fillId="2" borderId="17" xfId="0" applyNumberFormat="1" applyFont="1" applyFill="1" applyBorder="1"/>
    <xf numFmtId="0" fontId="5" fillId="0" borderId="4" xfId="0" applyFont="1" applyBorder="1"/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5" fillId="2" borderId="3" xfId="0" applyFont="1" applyFill="1" applyBorder="1"/>
    <xf numFmtId="0" fontId="5" fillId="0" borderId="63" xfId="0" applyFont="1" applyBorder="1"/>
    <xf numFmtId="0" fontId="5" fillId="2" borderId="0" xfId="0" applyFont="1" applyFill="1" applyAlignment="1">
      <alignment horizontal="center"/>
    </xf>
    <xf numFmtId="0" fontId="5" fillId="0" borderId="2" xfId="0" applyFont="1" applyBorder="1"/>
    <xf numFmtId="0" fontId="9" fillId="0" borderId="0" xfId="0" applyFont="1"/>
    <xf numFmtId="0" fontId="5" fillId="0" borderId="64" xfId="0" applyFont="1" applyBorder="1"/>
    <xf numFmtId="0" fontId="5" fillId="0" borderId="64" xfId="0" applyFont="1" applyBorder="1" applyAlignment="1">
      <alignment horizontal="center"/>
    </xf>
    <xf numFmtId="0" fontId="5" fillId="2" borderId="64" xfId="0" applyFont="1" applyFill="1" applyBorder="1"/>
    <xf numFmtId="0" fontId="5" fillId="0" borderId="65" xfId="0" applyFont="1" applyBorder="1"/>
    <xf numFmtId="0" fontId="13" fillId="0" borderId="0" xfId="0" applyFont="1"/>
    <xf numFmtId="0" fontId="13" fillId="9" borderId="66" xfId="0" applyFont="1" applyFill="1" applyBorder="1"/>
    <xf numFmtId="0" fontId="13" fillId="9" borderId="67" xfId="0" applyFont="1" applyFill="1" applyBorder="1"/>
    <xf numFmtId="0" fontId="13" fillId="9" borderId="67" xfId="0" applyFont="1" applyFill="1" applyBorder="1" applyAlignment="1">
      <alignment horizontal="center"/>
    </xf>
    <xf numFmtId="0" fontId="5" fillId="9" borderId="68" xfId="0" applyFont="1" applyFill="1" applyBorder="1"/>
    <xf numFmtId="0" fontId="5" fillId="0" borderId="69" xfId="0" applyFont="1" applyBorder="1"/>
    <xf numFmtId="0" fontId="14" fillId="0" borderId="0" xfId="0" applyFont="1"/>
    <xf numFmtId="0" fontId="15" fillId="0" borderId="0" xfId="0" applyFont="1"/>
    <xf numFmtId="0" fontId="5" fillId="0" borderId="70" xfId="0" applyFont="1" applyBorder="1"/>
    <xf numFmtId="0" fontId="14" fillId="0" borderId="71" xfId="0" applyFont="1" applyBorder="1"/>
    <xf numFmtId="0" fontId="5" fillId="0" borderId="71" xfId="0" applyFont="1" applyBorder="1"/>
    <xf numFmtId="0" fontId="5" fillId="0" borderId="71" xfId="0" applyFont="1" applyBorder="1" applyAlignment="1">
      <alignment horizontal="center"/>
    </xf>
    <xf numFmtId="0" fontId="5" fillId="2" borderId="71" xfId="0" applyFont="1" applyFill="1" applyBorder="1"/>
    <xf numFmtId="0" fontId="9" fillId="0" borderId="71" xfId="0" applyFont="1" applyBorder="1"/>
    <xf numFmtId="0" fontId="5" fillId="0" borderId="72" xfId="0" applyFont="1" applyBorder="1"/>
    <xf numFmtId="0" fontId="16" fillId="0" borderId="0" xfId="0" applyFont="1"/>
    <xf numFmtId="0" fontId="17" fillId="0" borderId="2" xfId="0" applyFont="1" applyBorder="1"/>
    <xf numFmtId="4" fontId="0" fillId="0" borderId="0" xfId="0" applyNumberFormat="1" applyAlignment="1">
      <alignment horizontal="center"/>
    </xf>
    <xf numFmtId="2" fontId="18" fillId="0" borderId="0" xfId="0" applyNumberFormat="1" applyFont="1" applyAlignment="1">
      <alignment horizontal="right"/>
    </xf>
    <xf numFmtId="2" fontId="0" fillId="0" borderId="0" xfId="0" applyNumberFormat="1" applyAlignment="1">
      <alignment horizontal="center"/>
    </xf>
    <xf numFmtId="2" fontId="18" fillId="0" borderId="0" xfId="0" applyNumberFormat="1" applyFont="1" applyAlignment="1">
      <alignment horizontal="center"/>
    </xf>
    <xf numFmtId="2" fontId="18" fillId="0" borderId="64" xfId="0" applyNumberFormat="1" applyFont="1" applyBorder="1" applyAlignment="1">
      <alignment horizontal="center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right"/>
    </xf>
    <xf numFmtId="0" fontId="0" fillId="0" borderId="0" xfId="0" applyAlignment="1">
      <alignment horizontal="left"/>
    </xf>
    <xf numFmtId="2" fontId="0" fillId="8" borderId="0" xfId="0" applyNumberFormat="1" applyFill="1" applyAlignment="1">
      <alignment horizontal="right"/>
    </xf>
    <xf numFmtId="1" fontId="19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4" fontId="10" fillId="10" borderId="0" xfId="0" applyNumberFormat="1" applyFont="1" applyFill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8" fillId="8" borderId="17" xfId="0" applyFont="1" applyFill="1" applyBorder="1" applyAlignment="1">
      <alignment horizontal="center"/>
    </xf>
    <xf numFmtId="2" fontId="18" fillId="10" borderId="17" xfId="0" applyNumberFormat="1" applyFont="1" applyFill="1" applyBorder="1" applyAlignment="1">
      <alignment horizontal="center"/>
    </xf>
    <xf numFmtId="2" fontId="20" fillId="11" borderId="17" xfId="0" applyNumberFormat="1" applyFont="1" applyFill="1" applyBorder="1" applyAlignment="1">
      <alignment horizontal="center"/>
    </xf>
    <xf numFmtId="166" fontId="18" fillId="10" borderId="17" xfId="0" applyNumberFormat="1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2" fontId="0" fillId="8" borderId="17" xfId="0" applyNumberFormat="1" applyFill="1" applyBorder="1" applyAlignment="1">
      <alignment horizontal="center"/>
    </xf>
    <xf numFmtId="0" fontId="18" fillId="0" borderId="0" xfId="0" applyFont="1"/>
    <xf numFmtId="4" fontId="0" fillId="0" borderId="0" xfId="0" applyNumberFormat="1"/>
    <xf numFmtId="0" fontId="8" fillId="0" borderId="17" xfId="0" applyFont="1" applyBorder="1" applyAlignment="1">
      <alignment horizontal="center"/>
    </xf>
    <xf numFmtId="1" fontId="1" fillId="0" borderId="17" xfId="0" applyNumberFormat="1" applyFont="1" applyBorder="1" applyAlignment="1">
      <alignment horizontal="right"/>
    </xf>
    <xf numFmtId="165" fontId="2" fillId="0" borderId="0" xfId="0" applyNumberFormat="1" applyFont="1" applyAlignment="1">
      <alignment horizontal="center"/>
    </xf>
    <xf numFmtId="167" fontId="1" fillId="12" borderId="17" xfId="0" applyNumberFormat="1" applyFont="1" applyFill="1" applyBorder="1" applyAlignment="1">
      <alignment horizontal="center" vertical="center"/>
    </xf>
    <xf numFmtId="168" fontId="21" fillId="13" borderId="17" xfId="0" applyNumberFormat="1" applyFont="1" applyFill="1" applyBorder="1" applyAlignment="1">
      <alignment horizontal="center" vertical="center"/>
    </xf>
    <xf numFmtId="2" fontId="22" fillId="0" borderId="73" xfId="0" applyNumberFormat="1" applyFont="1" applyBorder="1" applyAlignment="1">
      <alignment horizontal="center" vertical="center"/>
    </xf>
    <xf numFmtId="2" fontId="22" fillId="0" borderId="74" xfId="0" applyNumberFormat="1" applyFont="1" applyBorder="1" applyAlignment="1">
      <alignment horizontal="center" vertical="center"/>
    </xf>
    <xf numFmtId="2" fontId="22" fillId="0" borderId="75" xfId="0" applyNumberFormat="1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 vertical="center" wrapText="1"/>
    </xf>
    <xf numFmtId="0" fontId="23" fillId="14" borderId="0" xfId="0" applyFont="1" applyFill="1" applyAlignment="1">
      <alignment vertical="center"/>
    </xf>
    <xf numFmtId="2" fontId="22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right"/>
    </xf>
    <xf numFmtId="2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right"/>
    </xf>
    <xf numFmtId="2" fontId="10" fillId="0" borderId="3" xfId="0" applyNumberFormat="1" applyFont="1" applyBorder="1" applyAlignment="1">
      <alignment horizontal="right"/>
    </xf>
    <xf numFmtId="2" fontId="10" fillId="0" borderId="3" xfId="0" applyNumberFormat="1" applyFont="1" applyBorder="1" applyAlignment="1">
      <alignment horizontal="center"/>
    </xf>
    <xf numFmtId="2" fontId="26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7" fillId="14" borderId="60" xfId="0" applyFont="1" applyFill="1" applyBorder="1" applyAlignment="1">
      <alignment horizontal="center" vertical="center" wrapText="1"/>
    </xf>
    <xf numFmtId="0" fontId="28" fillId="0" borderId="77" xfId="0" applyFont="1" applyBorder="1" applyAlignment="1">
      <alignment vertical="center" wrapText="1"/>
    </xf>
    <xf numFmtId="2" fontId="29" fillId="0" borderId="72" xfId="0" applyNumberFormat="1" applyFont="1" applyBorder="1" applyAlignment="1">
      <alignment horizontal="center" vertical="center" wrapText="1"/>
    </xf>
    <xf numFmtId="0" fontId="29" fillId="0" borderId="72" xfId="0" applyFont="1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15" fontId="30" fillId="0" borderId="3" xfId="0" applyNumberFormat="1" applyFont="1" applyBorder="1" applyAlignment="1">
      <alignment horizontal="center"/>
    </xf>
    <xf numFmtId="15" fontId="30" fillId="0" borderId="0" xfId="0" applyNumberFormat="1" applyFont="1" applyAlignment="1">
      <alignment horizontal="center"/>
    </xf>
    <xf numFmtId="168" fontId="20" fillId="11" borderId="69" xfId="0" applyNumberFormat="1" applyFont="1" applyFill="1" applyBorder="1" applyAlignment="1">
      <alignment horizontal="center" vertical="center"/>
    </xf>
    <xf numFmtId="0" fontId="29" fillId="14" borderId="78" xfId="0" applyFont="1" applyFill="1" applyBorder="1" applyAlignment="1">
      <alignment horizontal="center" vertical="center" wrapText="1"/>
    </xf>
    <xf numFmtId="2" fontId="29" fillId="0" borderId="6" xfId="0" applyNumberFormat="1" applyFont="1" applyBorder="1" applyAlignment="1">
      <alignment horizontal="center" vertical="center" wrapText="1"/>
    </xf>
    <xf numFmtId="0" fontId="28" fillId="0" borderId="6" xfId="0" applyFont="1" applyBorder="1" applyAlignment="1">
      <alignment vertical="center" wrapText="1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left"/>
    </xf>
    <xf numFmtId="2" fontId="2" fillId="8" borderId="0" xfId="0" applyNumberFormat="1" applyFont="1" applyFill="1" applyAlignment="1">
      <alignment horizontal="left"/>
    </xf>
    <xf numFmtId="165" fontId="2" fillId="0" borderId="0" xfId="0" applyNumberFormat="1" applyFont="1" applyAlignment="1">
      <alignment horizontal="left"/>
    </xf>
    <xf numFmtId="168" fontId="22" fillId="0" borderId="79" xfId="0" applyNumberFormat="1" applyFont="1" applyBorder="1" applyAlignment="1">
      <alignment horizontal="center" vertical="center"/>
    </xf>
    <xf numFmtId="168" fontId="22" fillId="0" borderId="74" xfId="0" applyNumberFormat="1" applyFont="1" applyBorder="1" applyAlignment="1">
      <alignment horizontal="center" vertical="center"/>
    </xf>
    <xf numFmtId="0" fontId="22" fillId="0" borderId="0" xfId="0" applyFont="1"/>
    <xf numFmtId="168" fontId="22" fillId="14" borderId="72" xfId="0" applyNumberFormat="1" applyFont="1" applyFill="1" applyBorder="1"/>
    <xf numFmtId="0" fontId="18" fillId="10" borderId="0" xfId="0" applyFont="1" applyFill="1" applyAlignment="1">
      <alignment horizontal="center"/>
    </xf>
    <xf numFmtId="1" fontId="1" fillId="0" borderId="0" xfId="0" applyNumberFormat="1" applyFont="1" applyAlignment="1">
      <alignment horizontal="right"/>
    </xf>
    <xf numFmtId="2" fontId="3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1" fillId="8" borderId="66" xfId="0" applyFont="1" applyFill="1" applyBorder="1" applyAlignment="1">
      <alignment horizontal="left"/>
    </xf>
    <xf numFmtId="0" fontId="1" fillId="8" borderId="68" xfId="0" applyFont="1" applyFill="1" applyBorder="1" applyAlignment="1">
      <alignment horizontal="left"/>
    </xf>
    <xf numFmtId="0" fontId="32" fillId="0" borderId="17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4" fontId="1" fillId="8" borderId="17" xfId="0" applyNumberFormat="1" applyFont="1" applyFill="1" applyBorder="1" applyAlignment="1">
      <alignment horizontal="center"/>
    </xf>
    <xf numFmtId="4" fontId="21" fillId="11" borderId="17" xfId="0" applyNumberFormat="1" applyFont="1" applyFill="1" applyBorder="1" applyAlignment="1">
      <alignment horizontal="center"/>
    </xf>
    <xf numFmtId="0" fontId="0" fillId="8" borderId="0" xfId="0" applyFill="1"/>
    <xf numFmtId="165" fontId="0" fillId="8" borderId="17" xfId="0" applyNumberFormat="1" applyFill="1" applyBorder="1" applyAlignment="1">
      <alignment horizontal="center"/>
    </xf>
    <xf numFmtId="2" fontId="0" fillId="10" borderId="17" xfId="0" applyNumberFormat="1" applyFill="1" applyBorder="1" applyAlignment="1">
      <alignment horizontal="center"/>
    </xf>
    <xf numFmtId="166" fontId="0" fillId="10" borderId="17" xfId="0" applyNumberFormat="1" applyFill="1" applyBorder="1" applyAlignment="1">
      <alignment horizontal="center"/>
    </xf>
    <xf numFmtId="166" fontId="0" fillId="8" borderId="17" xfId="0" applyNumberFormat="1" applyFill="1" applyBorder="1" applyAlignment="1">
      <alignment horizontal="center"/>
    </xf>
    <xf numFmtId="0" fontId="10" fillId="8" borderId="0" xfId="0" applyFont="1" applyFill="1"/>
    <xf numFmtId="0" fontId="18" fillId="8" borderId="17" xfId="0" applyFont="1" applyFill="1" applyBorder="1" applyAlignment="1">
      <alignment horizontal="center" vertical="center"/>
    </xf>
    <xf numFmtId="2" fontId="0" fillId="0" borderId="79" xfId="0" applyNumberFormat="1" applyBorder="1" applyAlignment="1">
      <alignment horizontal="center" vertical="center"/>
    </xf>
    <xf numFmtId="0" fontId="0" fillId="0" borderId="17" xfId="0" applyBorder="1" applyAlignment="1">
      <alignment horizontal="center"/>
    </xf>
    <xf numFmtId="4" fontId="0" fillId="0" borderId="17" xfId="0" applyNumberFormat="1" applyBorder="1" applyAlignment="1">
      <alignment horizontal="center"/>
    </xf>
    <xf numFmtId="165" fontId="0" fillId="10" borderId="17" xfId="0" applyNumberFormat="1" applyFill="1" applyBorder="1" applyAlignment="1">
      <alignment horizontal="center"/>
    </xf>
    <xf numFmtId="0" fontId="18" fillId="8" borderId="17" xfId="0" applyFont="1" applyFill="1" applyBorder="1" applyAlignment="1">
      <alignment horizontal="center"/>
    </xf>
    <xf numFmtId="4" fontId="18" fillId="0" borderId="17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/>
    </xf>
    <xf numFmtId="2" fontId="0" fillId="8" borderId="59" xfId="0" applyNumberFormat="1" applyFill="1" applyBorder="1" applyAlignment="1">
      <alignment horizontal="center"/>
    </xf>
    <xf numFmtId="0" fontId="0" fillId="10" borderId="0" xfId="0" applyFill="1"/>
    <xf numFmtId="0" fontId="23" fillId="0" borderId="4" xfId="0" applyFont="1" applyBorder="1" applyAlignment="1">
      <alignment horizontal="center"/>
    </xf>
    <xf numFmtId="1" fontId="23" fillId="0" borderId="4" xfId="0" applyNumberFormat="1" applyFont="1" applyBorder="1" applyAlignment="1">
      <alignment horizontal="center"/>
    </xf>
    <xf numFmtId="2" fontId="23" fillId="0" borderId="80" xfId="0" applyNumberFormat="1" applyFont="1" applyBorder="1" applyAlignment="1">
      <alignment horizontal="center"/>
    </xf>
    <xf numFmtId="2" fontId="23" fillId="0" borderId="63" xfId="0" applyNumberFormat="1" applyFont="1" applyBorder="1" applyAlignment="1">
      <alignment horizontal="center"/>
    </xf>
    <xf numFmtId="2" fontId="23" fillId="0" borderId="3" xfId="0" applyNumberFormat="1" applyFont="1" applyBorder="1" applyAlignment="1">
      <alignment horizontal="center"/>
    </xf>
    <xf numFmtId="0" fontId="23" fillId="0" borderId="63" xfId="0" applyFont="1" applyBorder="1" applyAlignment="1">
      <alignment horizontal="center"/>
    </xf>
    <xf numFmtId="0" fontId="23" fillId="0" borderId="69" xfId="0" applyFont="1" applyBorder="1" applyAlignment="1">
      <alignment horizontal="center"/>
    </xf>
    <xf numFmtId="1" fontId="23" fillId="0" borderId="69" xfId="0" applyNumberFormat="1" applyFont="1" applyBorder="1" applyAlignment="1">
      <alignment horizontal="center"/>
    </xf>
    <xf numFmtId="2" fontId="23" fillId="0" borderId="59" xfId="0" applyNumberFormat="1" applyFont="1" applyBorder="1" applyAlignment="1">
      <alignment horizontal="center"/>
    </xf>
    <xf numFmtId="2" fontId="23" fillId="0" borderId="65" xfId="0" applyNumberFormat="1" applyFont="1" applyBorder="1" applyAlignment="1">
      <alignment horizontal="center"/>
    </xf>
    <xf numFmtId="2" fontId="23" fillId="0" borderId="64" xfId="0" applyNumberFormat="1" applyFont="1" applyBorder="1" applyAlignment="1">
      <alignment horizontal="center"/>
    </xf>
    <xf numFmtId="0" fontId="23" fillId="0" borderId="65" xfId="0" applyFont="1" applyBorder="1" applyAlignment="1">
      <alignment horizontal="center"/>
    </xf>
    <xf numFmtId="165" fontId="14" fillId="0" borderId="0" xfId="0" applyNumberFormat="1" applyFont="1"/>
    <xf numFmtId="2" fontId="0" fillId="8" borderId="0" xfId="0" applyNumberFormat="1" applyFill="1"/>
    <xf numFmtId="166" fontId="0" fillId="8" borderId="66" xfId="0" applyNumberFormat="1" applyFill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8" fillId="10" borderId="17" xfId="0" applyFont="1" applyFill="1" applyBorder="1" applyAlignment="1">
      <alignment horizontal="center"/>
    </xf>
    <xf numFmtId="0" fontId="20" fillId="15" borderId="17" xfId="0" applyFont="1" applyFill="1" applyBorder="1" applyAlignment="1">
      <alignment horizontal="center" vertical="center"/>
    </xf>
    <xf numFmtId="2" fontId="33" fillId="15" borderId="17" xfId="0" applyNumberFormat="1" applyFont="1" applyFill="1" applyBorder="1" applyAlignment="1">
      <alignment horizontal="center" vertical="center"/>
    </xf>
    <xf numFmtId="0" fontId="34" fillId="0" borderId="66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right"/>
    </xf>
    <xf numFmtId="0" fontId="20" fillId="15" borderId="80" xfId="0" applyFont="1" applyFill="1" applyBorder="1" applyAlignment="1">
      <alignment horizontal="center" vertical="center"/>
    </xf>
    <xf numFmtId="2" fontId="33" fillId="15" borderId="80" xfId="0" applyNumberFormat="1" applyFont="1" applyFill="1" applyBorder="1" applyAlignment="1">
      <alignment horizontal="center" vertical="center"/>
    </xf>
    <xf numFmtId="2" fontId="0" fillId="10" borderId="0" xfId="0" applyNumberFormat="1" applyFill="1"/>
    <xf numFmtId="166" fontId="33" fillId="16" borderId="17" xfId="0" applyNumberFormat="1" applyFont="1" applyFill="1" applyBorder="1" applyAlignment="1">
      <alignment horizontal="center"/>
    </xf>
    <xf numFmtId="165" fontId="0" fillId="0" borderId="0" xfId="0" applyNumberFormat="1"/>
    <xf numFmtId="0" fontId="1" fillId="0" borderId="0" xfId="0" applyFont="1"/>
    <xf numFmtId="4" fontId="0" fillId="0" borderId="17" xfId="0" applyNumberFormat="1" applyBorder="1" applyAlignment="1">
      <alignment horizontal="left"/>
    </xf>
    <xf numFmtId="2" fontId="7" fillId="0" borderId="17" xfId="0" applyNumberFormat="1" applyFont="1" applyBorder="1" applyAlignment="1">
      <alignment horizontal="center" vertical="center"/>
    </xf>
    <xf numFmtId="2" fontId="8" fillId="0" borderId="17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65" fontId="0" fillId="0" borderId="0" xfId="0" applyNumberFormat="1" applyAlignment="1">
      <alignment vertical="center"/>
    </xf>
    <xf numFmtId="169" fontId="0" fillId="0" borderId="0" xfId="0" applyNumberFormat="1"/>
    <xf numFmtId="2" fontId="35" fillId="0" borderId="76" xfId="0" applyNumberFormat="1" applyFont="1" applyBorder="1" applyAlignment="1">
      <alignment horizontal="center"/>
    </xf>
    <xf numFmtId="2" fontId="35" fillId="0" borderId="79" xfId="0" applyNumberFormat="1" applyFont="1" applyBorder="1" applyAlignment="1">
      <alignment horizontal="center"/>
    </xf>
    <xf numFmtId="2" fontId="35" fillId="10" borderId="79" xfId="0" applyNumberFormat="1" applyFont="1" applyFill="1" applyBorder="1" applyAlignment="1">
      <alignment horizontal="center"/>
    </xf>
    <xf numFmtId="2" fontId="35" fillId="10" borderId="17" xfId="0" applyNumberFormat="1" applyFont="1" applyFill="1" applyBorder="1" applyAlignment="1">
      <alignment horizontal="center"/>
    </xf>
    <xf numFmtId="2" fontId="35" fillId="0" borderId="17" xfId="0" applyNumberFormat="1" applyFont="1" applyBorder="1" applyAlignment="1">
      <alignment horizontal="center"/>
    </xf>
    <xf numFmtId="2" fontId="9" fillId="0" borderId="9" xfId="0" applyNumberFormat="1" applyFont="1" applyBorder="1" applyAlignment="1">
      <alignment horizontal="center"/>
    </xf>
    <xf numFmtId="2" fontId="36" fillId="0" borderId="17" xfId="0" applyNumberFormat="1" applyFont="1" applyBorder="1" applyAlignment="1">
      <alignment horizontal="center"/>
    </xf>
    <xf numFmtId="2" fontId="18" fillId="10" borderId="17" xfId="0" applyNumberFormat="1" applyFont="1" applyFill="1" applyBorder="1" applyAlignment="1">
      <alignment horizontal="center" vertical="center"/>
    </xf>
    <xf numFmtId="2" fontId="33" fillId="16" borderId="17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37" fillId="0" borderId="0" xfId="0" applyNumberFormat="1" applyFont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168" fontId="22" fillId="0" borderId="0" xfId="0" applyNumberFormat="1" applyFont="1" applyAlignment="1">
      <alignment horizontal="center" vertical="center"/>
    </xf>
    <xf numFmtId="0" fontId="1" fillId="17" borderId="17" xfId="0" applyFont="1" applyFill="1" applyBorder="1" applyAlignment="1">
      <alignment vertical="center"/>
    </xf>
    <xf numFmtId="0" fontId="1" fillId="18" borderId="17" xfId="0" applyFont="1" applyFill="1" applyBorder="1" applyAlignment="1">
      <alignment vertical="center"/>
    </xf>
    <xf numFmtId="0" fontId="1" fillId="12" borderId="17" xfId="0" applyFont="1" applyFill="1" applyBorder="1" applyAlignment="1">
      <alignment vertical="center"/>
    </xf>
    <xf numFmtId="168" fontId="38" fillId="14" borderId="7" xfId="0" applyNumberFormat="1" applyFont="1" applyFill="1" applyBorder="1"/>
    <xf numFmtId="168" fontId="38" fillId="14" borderId="9" xfId="0" applyNumberFormat="1" applyFont="1" applyFill="1" applyBorder="1"/>
    <xf numFmtId="165" fontId="23" fillId="14" borderId="9" xfId="0" applyNumberFormat="1" applyFont="1" applyFill="1" applyBorder="1"/>
    <xf numFmtId="168" fontId="22" fillId="14" borderId="62" xfId="0" applyNumberFormat="1" applyFont="1" applyFill="1" applyBorder="1"/>
    <xf numFmtId="0" fontId="23" fillId="14" borderId="80" xfId="0" applyFont="1" applyFill="1" applyBorder="1"/>
    <xf numFmtId="0" fontId="23" fillId="14" borderId="56" xfId="0" applyFont="1" applyFill="1" applyBorder="1"/>
    <xf numFmtId="0" fontId="22" fillId="14" borderId="81" xfId="0" applyFont="1" applyFill="1" applyBorder="1"/>
    <xf numFmtId="0" fontId="22" fillId="14" borderId="59" xfId="0" applyFont="1" applyFill="1" applyBorder="1"/>
    <xf numFmtId="0" fontId="1" fillId="19" borderId="82" xfId="0" applyFont="1" applyFill="1" applyBorder="1" applyAlignment="1">
      <alignment horizontal="center"/>
    </xf>
    <xf numFmtId="4" fontId="1" fillId="19" borderId="56" xfId="0" applyNumberFormat="1" applyFont="1" applyFill="1" applyBorder="1" applyAlignment="1">
      <alignment horizontal="center"/>
    </xf>
    <xf numFmtId="4" fontId="1" fillId="19" borderId="50" xfId="0" applyNumberFormat="1" applyFont="1" applyFill="1" applyBorder="1" applyAlignment="1">
      <alignment horizontal="center"/>
    </xf>
    <xf numFmtId="0" fontId="18" fillId="19" borderId="62" xfId="0" applyFont="1" applyFill="1" applyBorder="1" applyAlignment="1">
      <alignment horizontal="center"/>
    </xf>
    <xf numFmtId="0" fontId="1" fillId="19" borderId="83" xfId="0" applyFont="1" applyFill="1" applyBorder="1" applyAlignment="1">
      <alignment horizontal="center"/>
    </xf>
    <xf numFmtId="4" fontId="1" fillId="19" borderId="1" xfId="0" applyNumberFormat="1" applyFont="1" applyFill="1" applyBorder="1" applyAlignment="1">
      <alignment horizontal="center"/>
    </xf>
    <xf numFmtId="2" fontId="33" fillId="15" borderId="17" xfId="0" applyNumberFormat="1" applyFont="1" applyFill="1" applyBorder="1" applyAlignment="1">
      <alignment horizontal="center"/>
    </xf>
    <xf numFmtId="0" fontId="34" fillId="0" borderId="67" xfId="0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18" fillId="0" borderId="17" xfId="0" applyNumberFormat="1" applyFont="1" applyBorder="1" applyAlignment="1">
      <alignment horizontal="center"/>
    </xf>
    <xf numFmtId="2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" fillId="8" borderId="68" xfId="0" applyFont="1" applyFill="1" applyBorder="1"/>
    <xf numFmtId="0" fontId="2" fillId="8" borderId="66" xfId="0" applyFont="1" applyFill="1" applyBorder="1" applyAlignment="1">
      <alignment horizontal="center"/>
    </xf>
    <xf numFmtId="0" fontId="8" fillId="0" borderId="17" xfId="0" applyFont="1" applyBorder="1" applyAlignment="1">
      <alignment horizontal="left"/>
    </xf>
    <xf numFmtId="0" fontId="8" fillId="0" borderId="59" xfId="0" applyFont="1" applyBorder="1" applyAlignment="1">
      <alignment horizontal="left"/>
    </xf>
    <xf numFmtId="2" fontId="11" fillId="8" borderId="59" xfId="0" applyNumberFormat="1" applyFont="1" applyFill="1" applyBorder="1" applyProtection="1">
      <protection locked="0"/>
    </xf>
    <xf numFmtId="2" fontId="11" fillId="8" borderId="80" xfId="0" applyNumberFormat="1" applyFont="1" applyFill="1" applyBorder="1" applyProtection="1">
      <protection locked="0"/>
    </xf>
    <xf numFmtId="2" fontId="11" fillId="9" borderId="17" xfId="0" applyNumberFormat="1" applyFont="1" applyFill="1" applyBorder="1"/>
    <xf numFmtId="2" fontId="7" fillId="0" borderId="17" xfId="0" applyNumberFormat="1" applyFont="1" applyBorder="1" applyAlignment="1">
      <alignment horizontal="left" vertical="center"/>
    </xf>
    <xf numFmtId="2" fontId="39" fillId="0" borderId="59" xfId="0" applyNumberFormat="1" applyFont="1" applyBorder="1" applyAlignment="1">
      <alignment horizontal="center"/>
    </xf>
    <xf numFmtId="2" fontId="7" fillId="0" borderId="59" xfId="0" applyNumberFormat="1" applyFont="1" applyBorder="1" applyAlignment="1">
      <alignment horizontal="left" vertical="center"/>
    </xf>
    <xf numFmtId="2" fontId="10" fillId="0" borderId="59" xfId="0" applyNumberFormat="1" applyFont="1" applyBorder="1" applyAlignment="1">
      <alignment horizontal="left"/>
    </xf>
    <xf numFmtId="2" fontId="39" fillId="0" borderId="17" xfId="0" applyNumberFormat="1" applyFont="1" applyBorder="1" applyAlignment="1">
      <alignment horizontal="center"/>
    </xf>
    <xf numFmtId="2" fontId="10" fillId="0" borderId="17" xfId="0" applyNumberFormat="1" applyFont="1" applyBorder="1" applyAlignment="1">
      <alignment horizontal="left"/>
    </xf>
    <xf numFmtId="2" fontId="40" fillId="0" borderId="17" xfId="0" applyNumberFormat="1" applyFont="1" applyBorder="1" applyAlignment="1">
      <alignment horizontal="center"/>
    </xf>
    <xf numFmtId="0" fontId="7" fillId="3" borderId="44" xfId="0" applyFont="1" applyFill="1" applyBorder="1" applyAlignment="1">
      <alignment horizontal="center"/>
    </xf>
    <xf numFmtId="2" fontId="35" fillId="20" borderId="84" xfId="0" applyNumberFormat="1" applyFont="1" applyFill="1" applyBorder="1" applyAlignment="1">
      <alignment horizontal="center"/>
    </xf>
    <xf numFmtId="2" fontId="7" fillId="20" borderId="85" xfId="0" applyNumberFormat="1" applyFont="1" applyFill="1" applyBorder="1" applyAlignment="1">
      <alignment horizontal="left" vertical="center"/>
    </xf>
    <xf numFmtId="0" fontId="8" fillId="20" borderId="85" xfId="0" applyFont="1" applyFill="1" applyBorder="1" applyAlignment="1">
      <alignment horizontal="left"/>
    </xf>
    <xf numFmtId="2" fontId="10" fillId="20" borderId="76" xfId="0" applyNumberFormat="1" applyFont="1" applyFill="1" applyBorder="1" applyAlignment="1">
      <alignment horizontal="left"/>
    </xf>
    <xf numFmtId="2" fontId="35" fillId="20" borderId="86" xfId="0" applyNumberFormat="1" applyFont="1" applyFill="1" applyBorder="1" applyAlignment="1">
      <alignment horizontal="center"/>
    </xf>
    <xf numFmtId="2" fontId="7" fillId="20" borderId="17" xfId="0" applyNumberFormat="1" applyFont="1" applyFill="1" applyBorder="1" applyAlignment="1">
      <alignment horizontal="left" vertical="center"/>
    </xf>
    <xf numFmtId="0" fontId="8" fillId="20" borderId="17" xfId="0" applyFont="1" applyFill="1" applyBorder="1" applyAlignment="1">
      <alignment horizontal="left"/>
    </xf>
    <xf numFmtId="2" fontId="10" fillId="20" borderId="79" xfId="0" applyNumberFormat="1" applyFont="1" applyFill="1" applyBorder="1" applyAlignment="1">
      <alignment horizontal="left"/>
    </xf>
    <xf numFmtId="2" fontId="35" fillId="20" borderId="87" xfId="0" applyNumberFormat="1" applyFont="1" applyFill="1" applyBorder="1" applyAlignment="1">
      <alignment horizontal="center"/>
    </xf>
    <xf numFmtId="2" fontId="7" fillId="20" borderId="88" xfId="0" applyNumberFormat="1" applyFont="1" applyFill="1" applyBorder="1" applyAlignment="1">
      <alignment horizontal="left" vertical="center"/>
    </xf>
    <xf numFmtId="0" fontId="8" fillId="20" borderId="88" xfId="0" applyFont="1" applyFill="1" applyBorder="1" applyAlignment="1">
      <alignment horizontal="left"/>
    </xf>
    <xf numFmtId="2" fontId="10" fillId="20" borderId="74" xfId="0" applyNumberFormat="1" applyFont="1" applyFill="1" applyBorder="1" applyAlignment="1">
      <alignment horizontal="left"/>
    </xf>
    <xf numFmtId="0" fontId="41" fillId="21" borderId="80" xfId="0" applyFont="1" applyFill="1" applyBorder="1" applyAlignment="1">
      <alignment horizontal="center" vertical="center"/>
    </xf>
    <xf numFmtId="0" fontId="41" fillId="21" borderId="80" xfId="0" applyFont="1" applyFill="1" applyBorder="1" applyAlignment="1">
      <alignment horizontal="left" vertical="center"/>
    </xf>
    <xf numFmtId="0" fontId="7" fillId="21" borderId="80" xfId="0" applyFont="1" applyFill="1" applyBorder="1"/>
    <xf numFmtId="0" fontId="18" fillId="20" borderId="17" xfId="0" applyFont="1" applyFill="1" applyBorder="1" applyAlignment="1">
      <alignment horizontal="center"/>
    </xf>
    <xf numFmtId="0" fontId="18" fillId="20" borderId="88" xfId="0" applyFont="1" applyFill="1" applyBorder="1" applyAlignment="1">
      <alignment horizontal="center"/>
    </xf>
    <xf numFmtId="0" fontId="18" fillId="20" borderId="85" xfId="0" applyFont="1" applyFill="1" applyBorder="1" applyAlignment="1">
      <alignment horizontal="center"/>
    </xf>
    <xf numFmtId="2" fontId="42" fillId="10" borderId="17" xfId="0" applyNumberFormat="1" applyFont="1" applyFill="1" applyBorder="1" applyProtection="1">
      <protection locked="0"/>
    </xf>
    <xf numFmtId="2" fontId="11" fillId="10" borderId="17" xfId="0" applyNumberFormat="1" applyFont="1" applyFill="1" applyBorder="1" applyProtection="1">
      <protection locked="0"/>
    </xf>
    <xf numFmtId="2" fontId="42" fillId="0" borderId="17" xfId="0" applyNumberFormat="1" applyFont="1" applyBorder="1" applyProtection="1">
      <protection locked="0"/>
    </xf>
    <xf numFmtId="2" fontId="11" fillId="0" borderId="17" xfId="0" applyNumberFormat="1" applyFont="1" applyBorder="1" applyProtection="1">
      <protection locked="0"/>
    </xf>
    <xf numFmtId="2" fontId="11" fillId="9" borderId="59" xfId="0" applyNumberFormat="1" applyFont="1" applyFill="1" applyBorder="1"/>
    <xf numFmtId="2" fontId="11" fillId="8" borderId="17" xfId="0" applyNumberFormat="1" applyFont="1" applyFill="1" applyBorder="1" applyProtection="1">
      <protection locked="0"/>
    </xf>
    <xf numFmtId="0" fontId="13" fillId="0" borderId="1" xfId="0" applyFont="1" applyBorder="1"/>
    <xf numFmtId="0" fontId="13" fillId="10" borderId="66" xfId="0" applyFont="1" applyFill="1" applyBorder="1"/>
    <xf numFmtId="0" fontId="5" fillId="10" borderId="67" xfId="0" applyFont="1" applyFill="1" applyBorder="1"/>
    <xf numFmtId="0" fontId="5" fillId="10" borderId="3" xfId="0" applyFont="1" applyFill="1" applyBorder="1"/>
    <xf numFmtId="0" fontId="5" fillId="10" borderId="3" xfId="0" applyFont="1" applyFill="1" applyBorder="1" applyAlignment="1">
      <alignment horizontal="center"/>
    </xf>
    <xf numFmtId="2" fontId="11" fillId="10" borderId="89" xfId="0" applyNumberFormat="1" applyFont="1" applyFill="1" applyBorder="1"/>
    <xf numFmtId="0" fontId="9" fillId="21" borderId="80" xfId="0" applyFont="1" applyFill="1" applyBorder="1" applyAlignment="1">
      <alignment horizontal="center" vertical="center"/>
    </xf>
    <xf numFmtId="0" fontId="5" fillId="0" borderId="17" xfId="0" applyFont="1" applyBorder="1"/>
    <xf numFmtId="0" fontId="34" fillId="0" borderId="66" xfId="0" applyFont="1" applyBorder="1" applyAlignment="1">
      <alignment horizontal="left" vertical="center"/>
    </xf>
    <xf numFmtId="0" fontId="34" fillId="0" borderId="67" xfId="0" applyFont="1" applyBorder="1" applyAlignment="1">
      <alignment horizontal="left" vertical="center"/>
    </xf>
    <xf numFmtId="0" fontId="43" fillId="22" borderId="17" xfId="0" applyFont="1" applyFill="1" applyBorder="1"/>
    <xf numFmtId="168" fontId="43" fillId="22" borderId="17" xfId="0" applyNumberFormat="1" applyFont="1" applyFill="1" applyBorder="1" applyAlignment="1">
      <alignment horizontal="center"/>
    </xf>
    <xf numFmtId="0" fontId="5" fillId="0" borderId="66" xfId="0" applyFont="1" applyBorder="1" applyAlignment="1">
      <alignment horizontal="left"/>
    </xf>
    <xf numFmtId="0" fontId="5" fillId="0" borderId="67" xfId="0" applyFont="1" applyBorder="1" applyAlignment="1">
      <alignment horizontal="left"/>
    </xf>
    <xf numFmtId="0" fontId="5" fillId="0" borderId="68" xfId="0" applyFont="1" applyBorder="1" applyAlignment="1">
      <alignment horizontal="left"/>
    </xf>
    <xf numFmtId="2" fontId="18" fillId="23" borderId="17" xfId="0" applyNumberFormat="1" applyFont="1" applyFill="1" applyBorder="1" applyAlignment="1">
      <alignment horizontal="center"/>
    </xf>
    <xf numFmtId="2" fontId="32" fillId="23" borderId="17" xfId="0" applyNumberFormat="1" applyFont="1" applyFill="1" applyBorder="1" applyAlignment="1">
      <alignment horizontal="center"/>
    </xf>
    <xf numFmtId="166" fontId="18" fillId="23" borderId="17" xfId="0" applyNumberFormat="1" applyFont="1" applyFill="1" applyBorder="1" applyAlignment="1">
      <alignment horizontal="center"/>
    </xf>
    <xf numFmtId="1" fontId="23" fillId="23" borderId="17" xfId="0" applyNumberFormat="1" applyFont="1" applyFill="1" applyBorder="1" applyAlignment="1">
      <alignment horizontal="left"/>
    </xf>
    <xf numFmtId="2" fontId="18" fillId="23" borderId="80" xfId="0" applyNumberFormat="1" applyFont="1" applyFill="1" applyBorder="1" applyAlignment="1">
      <alignment horizontal="center"/>
    </xf>
    <xf numFmtId="0" fontId="28" fillId="0" borderId="17" xfId="0" applyFont="1" applyBorder="1" applyAlignment="1">
      <alignment vertical="center" wrapText="1"/>
    </xf>
    <xf numFmtId="2" fontId="29" fillId="0" borderId="17" xfId="0" applyNumberFormat="1" applyFont="1" applyBorder="1" applyAlignment="1">
      <alignment horizontal="center" vertical="center" wrapText="1"/>
    </xf>
    <xf numFmtId="0" fontId="34" fillId="10" borderId="66" xfId="0" applyFont="1" applyFill="1" applyBorder="1" applyAlignment="1">
      <alignment horizontal="left"/>
    </xf>
    <xf numFmtId="0" fontId="34" fillId="10" borderId="68" xfId="0" applyFont="1" applyFill="1" applyBorder="1" applyAlignment="1">
      <alignment horizontal="left"/>
    </xf>
    <xf numFmtId="0" fontId="44" fillId="15" borderId="17" xfId="0" applyFont="1" applyFill="1" applyBorder="1" applyAlignment="1">
      <alignment horizontal="center" vertical="center" wrapText="1"/>
    </xf>
    <xf numFmtId="2" fontId="33" fillId="15" borderId="59" xfId="0" applyNumberFormat="1" applyFont="1" applyFill="1" applyBorder="1" applyAlignment="1">
      <alignment horizontal="center"/>
    </xf>
    <xf numFmtId="0" fontId="20" fillId="15" borderId="17" xfId="0" applyFont="1" applyFill="1" applyBorder="1" applyAlignment="1">
      <alignment horizontal="center"/>
    </xf>
    <xf numFmtId="2" fontId="0" fillId="23" borderId="17" xfId="0" applyNumberFormat="1" applyFill="1" applyBorder="1" applyAlignment="1">
      <alignment horizontal="center" vertical="center"/>
    </xf>
    <xf numFmtId="0" fontId="20" fillId="23" borderId="77" xfId="0" applyFont="1" applyFill="1" applyBorder="1" applyAlignment="1">
      <alignment vertical="center" wrapText="1"/>
    </xf>
    <xf numFmtId="2" fontId="18" fillId="23" borderId="90" xfId="0" applyNumberFormat="1" applyFont="1" applyFill="1" applyBorder="1" applyAlignment="1">
      <alignment horizontal="center"/>
    </xf>
    <xf numFmtId="2" fontId="0" fillId="23" borderId="90" xfId="0" applyNumberFormat="1" applyFill="1" applyBorder="1" applyAlignment="1">
      <alignment horizontal="center"/>
    </xf>
    <xf numFmtId="2" fontId="0" fillId="23" borderId="91" xfId="0" applyNumberFormat="1" applyFill="1" applyBorder="1" applyAlignment="1">
      <alignment horizontal="center"/>
    </xf>
    <xf numFmtId="166" fontId="18" fillId="23" borderId="70" xfId="0" applyNumberFormat="1" applyFont="1" applyFill="1" applyBorder="1" applyAlignment="1">
      <alignment horizontal="center"/>
    </xf>
    <xf numFmtId="166" fontId="18" fillId="23" borderId="71" xfId="0" applyNumberFormat="1" applyFont="1" applyFill="1" applyBorder="1" applyAlignment="1">
      <alignment horizontal="center"/>
    </xf>
    <xf numFmtId="166" fontId="18" fillId="23" borderId="72" xfId="0" applyNumberFormat="1" applyFont="1" applyFill="1" applyBorder="1" applyAlignment="1">
      <alignment horizontal="center"/>
    </xf>
    <xf numFmtId="0" fontId="15" fillId="0" borderId="66" xfId="0" applyFont="1" applyBorder="1"/>
    <xf numFmtId="0" fontId="15" fillId="0" borderId="67" xfId="0" applyFont="1" applyBorder="1"/>
    <xf numFmtId="0" fontId="15" fillId="0" borderId="68" xfId="0" applyFont="1" applyBorder="1"/>
    <xf numFmtId="0" fontId="5" fillId="0" borderId="66" xfId="0" applyFont="1" applyBorder="1"/>
    <xf numFmtId="0" fontId="5" fillId="0" borderId="67" xfId="0" applyFont="1" applyBorder="1"/>
    <xf numFmtId="0" fontId="5" fillId="0" borderId="92" xfId="0" applyFont="1" applyBorder="1"/>
    <xf numFmtId="0" fontId="13" fillId="0" borderId="93" xfId="0" applyFont="1" applyBorder="1"/>
    <xf numFmtId="0" fontId="13" fillId="0" borderId="94" xfId="0" applyFont="1" applyBorder="1"/>
    <xf numFmtId="0" fontId="15" fillId="0" borderId="95" xfId="0" applyFont="1" applyBorder="1"/>
    <xf numFmtId="0" fontId="15" fillId="0" borderId="96" xfId="0" applyFont="1" applyBorder="1"/>
    <xf numFmtId="2" fontId="35" fillId="0" borderId="9" xfId="0" applyNumberFormat="1" applyFont="1" applyBorder="1" applyAlignment="1">
      <alignment horizontal="center"/>
    </xf>
    <xf numFmtId="0" fontId="9" fillId="24" borderId="17" xfId="0" applyFont="1" applyFill="1" applyBorder="1" applyAlignment="1">
      <alignment horizontal="center"/>
    </xf>
    <xf numFmtId="4" fontId="0" fillId="0" borderId="79" xfId="0" applyNumberFormat="1" applyBorder="1" applyAlignment="1">
      <alignment horizontal="center"/>
    </xf>
    <xf numFmtId="0" fontId="2" fillId="0" borderId="80" xfId="0" applyFont="1" applyBorder="1" applyAlignment="1">
      <alignment horizontal="center"/>
    </xf>
    <xf numFmtId="165" fontId="0" fillId="0" borderId="80" xfId="0" applyNumberFormat="1" applyBorder="1" applyAlignment="1">
      <alignment horizontal="center"/>
    </xf>
    <xf numFmtId="2" fontId="35" fillId="0" borderId="80" xfId="0" applyNumberFormat="1" applyFont="1" applyBorder="1" applyAlignment="1">
      <alignment horizontal="center"/>
    </xf>
    <xf numFmtId="2" fontId="0" fillId="0" borderId="80" xfId="0" applyNumberFormat="1" applyBorder="1" applyAlignment="1">
      <alignment horizontal="center"/>
    </xf>
    <xf numFmtId="2" fontId="0" fillId="8" borderId="80" xfId="0" applyNumberFormat="1" applyFill="1" applyBorder="1" applyAlignment="1">
      <alignment horizontal="center"/>
    </xf>
    <xf numFmtId="166" fontId="0" fillId="8" borderId="80" xfId="0" applyNumberFormat="1" applyFill="1" applyBorder="1" applyAlignment="1">
      <alignment horizontal="center"/>
    </xf>
    <xf numFmtId="0" fontId="2" fillId="0" borderId="59" xfId="0" applyFont="1" applyBorder="1" applyAlignment="1">
      <alignment horizontal="center"/>
    </xf>
    <xf numFmtId="165" fontId="0" fillId="0" borderId="59" xfId="0" applyNumberFormat="1" applyBorder="1" applyAlignment="1">
      <alignment horizontal="center"/>
    </xf>
    <xf numFmtId="2" fontId="35" fillId="0" borderId="59" xfId="0" applyNumberFormat="1" applyFont="1" applyBorder="1" applyAlignment="1">
      <alignment horizontal="center"/>
    </xf>
    <xf numFmtId="2" fontId="0" fillId="0" borderId="59" xfId="0" applyNumberFormat="1" applyBorder="1" applyAlignment="1">
      <alignment horizontal="center"/>
    </xf>
    <xf numFmtId="166" fontId="0" fillId="8" borderId="59" xfId="0" applyNumberFormat="1" applyFill="1" applyBorder="1" applyAlignment="1">
      <alignment horizontal="center"/>
    </xf>
    <xf numFmtId="0" fontId="0" fillId="0" borderId="17" xfId="0" applyBorder="1"/>
    <xf numFmtId="4" fontId="0" fillId="0" borderId="59" xfId="0" applyNumberFormat="1" applyBorder="1" applyAlignment="1">
      <alignment horizontal="left"/>
    </xf>
    <xf numFmtId="2" fontId="7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/>
    </xf>
    <xf numFmtId="2" fontId="10" fillId="0" borderId="59" xfId="0" applyNumberFormat="1" applyFont="1" applyBorder="1" applyAlignment="1">
      <alignment horizontal="center"/>
    </xf>
    <xf numFmtId="0" fontId="7" fillId="2" borderId="97" xfId="0" applyFont="1" applyFill="1" applyBorder="1"/>
    <xf numFmtId="0" fontId="7" fillId="2" borderId="98" xfId="0" applyFont="1" applyFill="1" applyBorder="1"/>
    <xf numFmtId="0" fontId="7" fillId="2" borderId="2" xfId="0" applyFont="1" applyFill="1" applyBorder="1"/>
    <xf numFmtId="0" fontId="1" fillId="10" borderId="66" xfId="0" applyFont="1" applyFill="1" applyBorder="1" applyAlignment="1">
      <alignment horizontal="left"/>
    </xf>
    <xf numFmtId="2" fontId="20" fillId="11" borderId="17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/>
    </xf>
    <xf numFmtId="0" fontId="9" fillId="10" borderId="17" xfId="0" applyFont="1" applyFill="1" applyBorder="1" applyAlignment="1">
      <alignment horizontal="center"/>
    </xf>
    <xf numFmtId="4" fontId="45" fillId="0" borderId="0" xfId="0" applyNumberFormat="1" applyFont="1"/>
    <xf numFmtId="0" fontId="1" fillId="0" borderId="66" xfId="0" applyFont="1" applyBorder="1" applyAlignment="1">
      <alignment horizontal="left"/>
    </xf>
    <xf numFmtId="0" fontId="1" fillId="0" borderId="68" xfId="0" applyFont="1" applyBorder="1" applyAlignment="1">
      <alignment horizontal="left"/>
    </xf>
    <xf numFmtId="0" fontId="9" fillId="0" borderId="17" xfId="0" applyFont="1" applyBorder="1" applyAlignment="1">
      <alignment horizontal="center"/>
    </xf>
    <xf numFmtId="0" fontId="9" fillId="22" borderId="17" xfId="0" applyFont="1" applyFill="1" applyBorder="1" applyAlignment="1">
      <alignment horizontal="center"/>
    </xf>
    <xf numFmtId="2" fontId="35" fillId="22" borderId="79" xfId="0" applyNumberFormat="1" applyFont="1" applyFill="1" applyBorder="1" applyAlignment="1">
      <alignment horizontal="center"/>
    </xf>
    <xf numFmtId="0" fontId="0" fillId="22" borderId="0" xfId="0" applyFill="1"/>
    <xf numFmtId="4" fontId="0" fillId="10" borderId="79" xfId="0" applyNumberForma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0" borderId="79" xfId="0" applyBorder="1"/>
    <xf numFmtId="2" fontId="18" fillId="0" borderId="17" xfId="0" applyNumberFormat="1" applyFont="1" applyBorder="1" applyAlignment="1">
      <alignment horizontal="center" vertical="center"/>
    </xf>
    <xf numFmtId="0" fontId="34" fillId="0" borderId="66" xfId="0" applyFont="1" applyBorder="1" applyAlignment="1">
      <alignment horizontal="left"/>
    </xf>
    <xf numFmtId="0" fontId="34" fillId="0" borderId="68" xfId="0" applyFont="1" applyBorder="1" applyAlignment="1">
      <alignment horizontal="left"/>
    </xf>
    <xf numFmtId="0" fontId="30" fillId="0" borderId="63" xfId="0" applyFont="1" applyBorder="1"/>
    <xf numFmtId="170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4" fontId="1" fillId="0" borderId="17" xfId="0" applyNumberFormat="1" applyFont="1" applyBorder="1" applyAlignment="1">
      <alignment horizontal="center"/>
    </xf>
    <xf numFmtId="0" fontId="18" fillId="25" borderId="17" xfId="0" applyFont="1" applyFill="1" applyBorder="1" applyAlignment="1">
      <alignment horizontal="center" vertical="center"/>
    </xf>
    <xf numFmtId="2" fontId="0" fillId="25" borderId="17" xfId="0" applyNumberFormat="1" applyFill="1" applyBorder="1"/>
    <xf numFmtId="4" fontId="18" fillId="25" borderId="17" xfId="0" applyNumberFormat="1" applyFont="1" applyFill="1" applyBorder="1" applyAlignment="1">
      <alignment horizontal="center" vertical="center"/>
    </xf>
    <xf numFmtId="0" fontId="0" fillId="25" borderId="17" xfId="0" applyFill="1" applyBorder="1"/>
    <xf numFmtId="2" fontId="22" fillId="0" borderId="76" xfId="0" applyNumberFormat="1" applyFont="1" applyBorder="1" applyAlignment="1">
      <alignment horizontal="center" vertical="center"/>
    </xf>
    <xf numFmtId="2" fontId="35" fillId="0" borderId="17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2" fontId="46" fillId="0" borderId="17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7" fillId="0" borderId="99" xfId="0" applyNumberFormat="1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2" fontId="10" fillId="0" borderId="99" xfId="0" applyNumberFormat="1" applyFont="1" applyBorder="1" applyAlignment="1">
      <alignment horizontal="center" vertical="center"/>
    </xf>
    <xf numFmtId="0" fontId="2" fillId="26" borderId="17" xfId="0" applyFont="1" applyFill="1" applyBorder="1" applyAlignment="1">
      <alignment horizontal="center"/>
    </xf>
    <xf numFmtId="165" fontId="0" fillId="26" borderId="17" xfId="0" applyNumberFormat="1" applyFill="1" applyBorder="1" applyAlignment="1">
      <alignment horizontal="center"/>
    </xf>
    <xf numFmtId="0" fontId="18" fillId="26" borderId="17" xfId="0" applyFont="1" applyFill="1" applyBorder="1" applyAlignment="1">
      <alignment horizontal="center"/>
    </xf>
    <xf numFmtId="2" fontId="35" fillId="26" borderId="17" xfId="0" applyNumberFormat="1" applyFont="1" applyFill="1" applyBorder="1" applyAlignment="1">
      <alignment horizontal="center"/>
    </xf>
    <xf numFmtId="2" fontId="0" fillId="26" borderId="17" xfId="0" applyNumberFormat="1" applyFill="1" applyBorder="1" applyAlignment="1">
      <alignment horizontal="center"/>
    </xf>
    <xf numFmtId="166" fontId="0" fillId="26" borderId="17" xfId="0" applyNumberFormat="1" applyFill="1" applyBorder="1" applyAlignment="1">
      <alignment horizontal="center"/>
    </xf>
    <xf numFmtId="0" fontId="34" fillId="0" borderId="0" xfId="0" applyFont="1" applyAlignment="1">
      <alignment horizontal="left"/>
    </xf>
    <xf numFmtId="2" fontId="35" fillId="8" borderId="17" xfId="0" applyNumberFormat="1" applyFont="1" applyFill="1" applyBorder="1" applyAlignment="1">
      <alignment horizontal="center"/>
    </xf>
    <xf numFmtId="166" fontId="33" fillId="15" borderId="17" xfId="0" applyNumberFormat="1" applyFont="1" applyFill="1" applyBorder="1" applyAlignment="1">
      <alignment horizontal="center"/>
    </xf>
    <xf numFmtId="2" fontId="33" fillId="15" borderId="59" xfId="0" applyNumberFormat="1" applyFont="1" applyFill="1" applyBorder="1" applyAlignment="1">
      <alignment horizontal="center" vertical="center"/>
    </xf>
    <xf numFmtId="166" fontId="33" fillId="15" borderId="17" xfId="0" applyNumberFormat="1" applyFont="1" applyFill="1" applyBorder="1" applyAlignment="1">
      <alignment horizontal="center" vertical="center"/>
    </xf>
    <xf numFmtId="2" fontId="8" fillId="0" borderId="17" xfId="0" applyNumberFormat="1" applyFont="1" applyBorder="1" applyAlignment="1">
      <alignment horizontal="center" vertical="center"/>
    </xf>
    <xf numFmtId="2" fontId="8" fillId="0" borderId="99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/>
    </xf>
    <xf numFmtId="2" fontId="18" fillId="0" borderId="59" xfId="0" applyNumberFormat="1" applyFont="1" applyBorder="1" applyAlignment="1">
      <alignment horizontal="center"/>
    </xf>
    <xf numFmtId="2" fontId="18" fillId="0" borderId="65" xfId="0" applyNumberFormat="1" applyFont="1" applyBorder="1" applyAlignment="1">
      <alignment horizontal="center"/>
    </xf>
    <xf numFmtId="0" fontId="0" fillId="8" borderId="66" xfId="0" applyFill="1" applyBorder="1" applyAlignment="1">
      <alignment horizontal="center"/>
    </xf>
    <xf numFmtId="0" fontId="0" fillId="8" borderId="66" xfId="0" applyFill="1" applyBorder="1" applyAlignment="1">
      <alignment horizontal="center" vertical="center"/>
    </xf>
    <xf numFmtId="0" fontId="0" fillId="26" borderId="66" xfId="0" applyFill="1" applyBorder="1" applyAlignment="1">
      <alignment horizontal="center" vertical="center"/>
    </xf>
    <xf numFmtId="0" fontId="0" fillId="10" borderId="66" xfId="0" applyFill="1" applyBorder="1" applyAlignment="1">
      <alignment horizontal="center" vertical="center"/>
    </xf>
    <xf numFmtId="0" fontId="0" fillId="10" borderId="66" xfId="0" applyFill="1" applyBorder="1" applyAlignment="1">
      <alignment horizontal="center"/>
    </xf>
    <xf numFmtId="2" fontId="18" fillId="27" borderId="90" xfId="0" applyNumberFormat="1" applyFont="1" applyFill="1" applyBorder="1" applyAlignment="1">
      <alignment horizontal="center"/>
    </xf>
    <xf numFmtId="2" fontId="0" fillId="27" borderId="17" xfId="0" applyNumberFormat="1" applyFill="1" applyBorder="1" applyAlignment="1">
      <alignment horizontal="center"/>
    </xf>
    <xf numFmtId="2" fontId="0" fillId="23" borderId="17" xfId="0" applyNumberFormat="1" applyFill="1" applyBorder="1" applyAlignment="1">
      <alignment horizontal="center"/>
    </xf>
    <xf numFmtId="166" fontId="0" fillId="23" borderId="17" xfId="0" applyNumberFormat="1" applyFill="1" applyBorder="1" applyAlignment="1">
      <alignment horizontal="center"/>
    </xf>
    <xf numFmtId="0" fontId="0" fillId="23" borderId="66" xfId="0" applyFill="1" applyBorder="1" applyAlignment="1">
      <alignment horizontal="center" vertical="center"/>
    </xf>
    <xf numFmtId="2" fontId="18" fillId="23" borderId="17" xfId="0" applyNumberFormat="1" applyFont="1" applyFill="1" applyBorder="1" applyAlignment="1">
      <alignment horizontal="center" vertical="center"/>
    </xf>
    <xf numFmtId="0" fontId="20" fillId="11" borderId="66" xfId="0" applyFont="1" applyFill="1" applyBorder="1" applyAlignment="1">
      <alignment horizontal="center" vertical="center"/>
    </xf>
    <xf numFmtId="0" fontId="5" fillId="0" borderId="100" xfId="0" applyFont="1" applyBorder="1"/>
    <xf numFmtId="0" fontId="5" fillId="0" borderId="60" xfId="0" applyFont="1" applyBorder="1"/>
    <xf numFmtId="0" fontId="7" fillId="2" borderId="61" xfId="0" applyFont="1" applyFill="1" applyBorder="1" applyAlignment="1">
      <alignment horizontal="center"/>
    </xf>
    <xf numFmtId="0" fontId="5" fillId="0" borderId="61" xfId="0" applyFont="1" applyBorder="1"/>
    <xf numFmtId="0" fontId="13" fillId="0" borderId="61" xfId="0" applyFont="1" applyBorder="1"/>
    <xf numFmtId="0" fontId="5" fillId="0" borderId="62" xfId="0" applyFont="1" applyBorder="1"/>
    <xf numFmtId="2" fontId="18" fillId="26" borderId="17" xfId="0" applyNumberFormat="1" applyFont="1" applyFill="1" applyBorder="1" applyAlignment="1">
      <alignment horizontal="center"/>
    </xf>
    <xf numFmtId="2" fontId="35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2" fontId="10" fillId="0" borderId="59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left"/>
    </xf>
    <xf numFmtId="0" fontId="13" fillId="0" borderId="101" xfId="0" applyFont="1" applyBorder="1"/>
    <xf numFmtId="0" fontId="15" fillId="0" borderId="64" xfId="0" applyFont="1" applyBorder="1"/>
    <xf numFmtId="0" fontId="15" fillId="0" borderId="65" xfId="0" applyFont="1" applyBorder="1"/>
    <xf numFmtId="0" fontId="13" fillId="0" borderId="17" xfId="0" applyFont="1" applyBorder="1"/>
    <xf numFmtId="2" fontId="11" fillId="0" borderId="0" xfId="0" applyNumberFormat="1" applyFont="1"/>
    <xf numFmtId="0" fontId="13" fillId="0" borderId="0" xfId="0" applyFont="1" applyAlignment="1">
      <alignment horizontal="center"/>
    </xf>
    <xf numFmtId="0" fontId="0" fillId="0" borderId="66" xfId="0" applyBorder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0" borderId="66" xfId="0" applyBorder="1"/>
    <xf numFmtId="0" fontId="0" fillId="0" borderId="68" xfId="0" applyBorder="1"/>
    <xf numFmtId="166" fontId="23" fillId="8" borderId="66" xfId="0" applyNumberFormat="1" applyFont="1" applyFill="1" applyBorder="1" applyAlignment="1">
      <alignment horizontal="center"/>
    </xf>
    <xf numFmtId="0" fontId="18" fillId="19" borderId="60" xfId="0" applyFont="1" applyFill="1" applyBorder="1" applyAlignment="1">
      <alignment horizontal="center"/>
    </xf>
    <xf numFmtId="0" fontId="18" fillId="19" borderId="6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8" fillId="19" borderId="62" xfId="0" applyFont="1" applyFill="1" applyBorder="1" applyAlignment="1">
      <alignment horizontal="center"/>
    </xf>
    <xf numFmtId="0" fontId="1" fillId="14" borderId="102" xfId="0" applyFont="1" applyFill="1" applyBorder="1" applyAlignment="1">
      <alignment horizontal="center" vertical="center" wrapText="1"/>
    </xf>
    <xf numFmtId="0" fontId="1" fillId="14" borderId="77" xfId="0" applyFont="1" applyFill="1" applyBorder="1" applyAlignment="1">
      <alignment horizontal="center" vertical="center" wrapText="1"/>
    </xf>
    <xf numFmtId="0" fontId="18" fillId="23" borderId="70" xfId="0" applyFont="1" applyFill="1" applyBorder="1" applyAlignment="1">
      <alignment horizontal="left" vertical="center" wrapText="1"/>
    </xf>
    <xf numFmtId="0" fontId="18" fillId="23" borderId="71" xfId="0" applyFont="1" applyFill="1" applyBorder="1" applyAlignment="1">
      <alignment horizontal="left" vertical="center" wrapText="1"/>
    </xf>
    <xf numFmtId="0" fontId="18" fillId="23" borderId="105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0" fontId="1" fillId="0" borderId="66" xfId="0" applyFont="1" applyBorder="1" applyAlignment="1">
      <alignment horizontal="left" vertical="center"/>
    </xf>
    <xf numFmtId="0" fontId="1" fillId="0" borderId="67" xfId="0" applyFont="1" applyBorder="1" applyAlignment="1">
      <alignment horizontal="left" vertical="center"/>
    </xf>
    <xf numFmtId="0" fontId="44" fillId="15" borderId="66" xfId="0" applyFont="1" applyFill="1" applyBorder="1" applyAlignment="1">
      <alignment horizontal="center" vertical="center"/>
    </xf>
    <xf numFmtId="0" fontId="44" fillId="15" borderId="68" xfId="0" applyFont="1" applyFill="1" applyBorder="1" applyAlignment="1">
      <alignment horizontal="center" vertical="center"/>
    </xf>
    <xf numFmtId="2" fontId="23" fillId="0" borderId="66" xfId="0" applyNumberFormat="1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44" fillId="15" borderId="4" xfId="0" applyFont="1" applyFill="1" applyBorder="1" applyAlignment="1">
      <alignment horizontal="center" vertical="center"/>
    </xf>
    <xf numFmtId="0" fontId="44" fillId="15" borderId="6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4" fillId="15" borderId="66" xfId="0" applyFont="1" applyFill="1" applyBorder="1" applyAlignment="1">
      <alignment horizontal="center"/>
    </xf>
    <xf numFmtId="0" fontId="44" fillId="15" borderId="68" xfId="0" applyFont="1" applyFill="1" applyBorder="1" applyAlignment="1">
      <alignment horizontal="center"/>
    </xf>
    <xf numFmtId="0" fontId="34" fillId="0" borderId="66" xfId="0" applyFont="1" applyBorder="1" applyAlignment="1">
      <alignment horizontal="left" vertical="center"/>
    </xf>
    <xf numFmtId="0" fontId="34" fillId="0" borderId="68" xfId="0" applyFont="1" applyBorder="1" applyAlignment="1">
      <alignment horizontal="left" vertical="center"/>
    </xf>
    <xf numFmtId="0" fontId="18" fillId="23" borderId="17" xfId="0" applyFont="1" applyFill="1" applyBorder="1" applyAlignment="1">
      <alignment horizontal="center" vertical="center" wrapText="1"/>
    </xf>
    <xf numFmtId="165" fontId="0" fillId="23" borderId="17" xfId="0" applyNumberFormat="1" applyFill="1" applyBorder="1" applyAlignment="1">
      <alignment horizontal="left" vertical="center"/>
    </xf>
    <xf numFmtId="166" fontId="18" fillId="23" borderId="17" xfId="0" applyNumberFormat="1" applyFont="1" applyFill="1" applyBorder="1" applyAlignment="1">
      <alignment horizontal="center" vertical="center" wrapText="1"/>
    </xf>
    <xf numFmtId="166" fontId="18" fillId="23" borderId="66" xfId="0" applyNumberFormat="1" applyFont="1" applyFill="1" applyBorder="1" applyAlignment="1">
      <alignment horizontal="center" vertical="center" wrapText="1"/>
    </xf>
    <xf numFmtId="0" fontId="44" fillId="15" borderId="80" xfId="0" applyFont="1" applyFill="1" applyBorder="1" applyAlignment="1">
      <alignment horizontal="center" vertical="center" wrapText="1"/>
    </xf>
    <xf numFmtId="0" fontId="44" fillId="15" borderId="56" xfId="0" applyFont="1" applyFill="1" applyBorder="1" applyAlignment="1">
      <alignment horizontal="center" vertical="center" wrapText="1"/>
    </xf>
    <xf numFmtId="0" fontId="44" fillId="15" borderId="59" xfId="0" applyFont="1" applyFill="1" applyBorder="1" applyAlignment="1">
      <alignment horizontal="center" vertical="center" wrapText="1"/>
    </xf>
    <xf numFmtId="0" fontId="44" fillId="15" borderId="4" xfId="0" applyFont="1" applyFill="1" applyBorder="1" applyAlignment="1">
      <alignment horizontal="center" vertical="center" wrapText="1"/>
    </xf>
    <xf numFmtId="0" fontId="44" fillId="15" borderId="1" xfId="0" applyFont="1" applyFill="1" applyBorder="1" applyAlignment="1">
      <alignment horizontal="center" vertical="center" wrapText="1"/>
    </xf>
    <xf numFmtId="0" fontId="1" fillId="0" borderId="66" xfId="0" applyFont="1" applyBorder="1" applyAlignment="1">
      <alignment horizontal="left"/>
    </xf>
    <xf numFmtId="0" fontId="1" fillId="0" borderId="68" xfId="0" applyFont="1" applyBorder="1" applyAlignment="1">
      <alignment horizontal="left"/>
    </xf>
    <xf numFmtId="0" fontId="1" fillId="26" borderId="4" xfId="0" applyFont="1" applyFill="1" applyBorder="1" applyAlignment="1">
      <alignment horizontal="center" vertical="center"/>
    </xf>
    <xf numFmtId="0" fontId="1" fillId="26" borderId="3" xfId="0" applyFont="1" applyFill="1" applyBorder="1" applyAlignment="1">
      <alignment horizontal="center" vertical="center"/>
    </xf>
    <xf numFmtId="0" fontId="1" fillId="10" borderId="80" xfId="0" applyFont="1" applyFill="1" applyBorder="1" applyAlignment="1">
      <alignment horizontal="center" vertical="center" wrapText="1"/>
    </xf>
    <xf numFmtId="0" fontId="1" fillId="10" borderId="56" xfId="0" applyFont="1" applyFill="1" applyBorder="1" applyAlignment="1">
      <alignment horizontal="center" vertical="center" wrapText="1"/>
    </xf>
    <xf numFmtId="0" fontId="1" fillId="10" borderId="59" xfId="0" applyFont="1" applyFill="1" applyBorder="1" applyAlignment="1">
      <alignment horizontal="center" vertical="center" wrapText="1"/>
    </xf>
    <xf numFmtId="0" fontId="1" fillId="10" borderId="80" xfId="0" applyFont="1" applyFill="1" applyBorder="1" applyAlignment="1">
      <alignment horizontal="center" vertical="center" textRotation="90" wrapText="1"/>
    </xf>
    <xf numFmtId="0" fontId="1" fillId="10" borderId="56" xfId="0" applyFont="1" applyFill="1" applyBorder="1" applyAlignment="1">
      <alignment horizontal="center" vertical="center" textRotation="90" wrapText="1"/>
    </xf>
    <xf numFmtId="0" fontId="1" fillId="10" borderId="59" xfId="0" applyFont="1" applyFill="1" applyBorder="1" applyAlignment="1">
      <alignment horizontal="center" vertical="center" textRotation="90" wrapText="1"/>
    </xf>
    <xf numFmtId="165" fontId="18" fillId="10" borderId="17" xfId="0" applyNumberFormat="1" applyFont="1" applyFill="1" applyBorder="1" applyAlignment="1">
      <alignment horizontal="left"/>
    </xf>
    <xf numFmtId="0" fontId="47" fillId="10" borderId="8" xfId="0" applyFont="1" applyFill="1" applyBorder="1" applyAlignment="1">
      <alignment horizontal="center" vertical="center" wrapText="1"/>
    </xf>
    <xf numFmtId="0" fontId="47" fillId="10" borderId="9" xfId="0" applyFont="1" applyFill="1" applyBorder="1" applyAlignment="1">
      <alignment horizontal="center" vertical="center" wrapText="1"/>
    </xf>
    <xf numFmtId="165" fontId="20" fillId="11" borderId="17" xfId="0" applyNumberFormat="1" applyFont="1" applyFill="1" applyBorder="1" applyAlignment="1">
      <alignment horizontal="left"/>
    </xf>
    <xf numFmtId="0" fontId="34" fillId="10" borderId="8" xfId="0" applyFont="1" applyFill="1" applyBorder="1" applyAlignment="1">
      <alignment horizontal="center" vertical="center" wrapText="1"/>
    </xf>
    <xf numFmtId="0" fontId="34" fillId="10" borderId="9" xfId="0" applyFont="1" applyFill="1" applyBorder="1" applyAlignment="1">
      <alignment horizontal="center" vertical="center" wrapText="1"/>
    </xf>
    <xf numFmtId="0" fontId="47" fillId="10" borderId="8" xfId="0" applyFont="1" applyFill="1" applyBorder="1" applyAlignment="1">
      <alignment horizontal="center" vertical="center"/>
    </xf>
    <xf numFmtId="0" fontId="47" fillId="10" borderId="9" xfId="0" applyFont="1" applyFill="1" applyBorder="1" applyAlignment="1">
      <alignment horizontal="center" vertical="center"/>
    </xf>
    <xf numFmtId="0" fontId="47" fillId="10" borderId="70" xfId="0" applyFont="1" applyFill="1" applyBorder="1" applyAlignment="1">
      <alignment horizontal="center" vertical="center" wrapText="1"/>
    </xf>
    <xf numFmtId="0" fontId="47" fillId="10" borderId="72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7" xfId="0" applyFont="1" applyBorder="1" applyAlignment="1">
      <alignment horizontal="center" wrapText="1"/>
    </xf>
    <xf numFmtId="0" fontId="1" fillId="8" borderId="66" xfId="0" applyFont="1" applyFill="1" applyBorder="1" applyAlignment="1">
      <alignment horizontal="left"/>
    </xf>
    <xf numFmtId="0" fontId="1" fillId="8" borderId="68" xfId="0" applyFont="1" applyFill="1" applyBorder="1" applyAlignment="1">
      <alignment horizontal="left"/>
    </xf>
    <xf numFmtId="0" fontId="1" fillId="0" borderId="66" xfId="0" applyFont="1" applyBorder="1" applyAlignment="1">
      <alignment horizontal="center" wrapText="1"/>
    </xf>
    <xf numFmtId="0" fontId="1" fillId="0" borderId="68" xfId="0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1" fillId="8" borderId="80" xfId="0" applyFont="1" applyFill="1" applyBorder="1" applyAlignment="1">
      <alignment horizontal="left"/>
    </xf>
    <xf numFmtId="0" fontId="1" fillId="8" borderId="59" xfId="0" applyFont="1" applyFill="1" applyBorder="1" applyAlignment="1">
      <alignment horizontal="left"/>
    </xf>
    <xf numFmtId="0" fontId="1" fillId="8" borderId="66" xfId="0" applyFont="1" applyFill="1" applyBorder="1" applyAlignment="1">
      <alignment horizontal="center" wrapText="1"/>
    </xf>
    <xf numFmtId="0" fontId="1" fillId="8" borderId="68" xfId="0" applyFont="1" applyFill="1" applyBorder="1" applyAlignment="1">
      <alignment horizontal="center" wrapText="1"/>
    </xf>
    <xf numFmtId="0" fontId="1" fillId="8" borderId="66" xfId="0" applyFont="1" applyFill="1" applyBorder="1" applyAlignment="1">
      <alignment horizontal="center"/>
    </xf>
    <xf numFmtId="0" fontId="1" fillId="8" borderId="68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left"/>
    </xf>
    <xf numFmtId="0" fontId="1" fillId="0" borderId="17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28" borderId="4" xfId="0" applyFont="1" applyFill="1" applyBorder="1" applyAlignment="1">
      <alignment horizontal="center" vertical="center"/>
    </xf>
    <xf numFmtId="0" fontId="1" fillId="28" borderId="3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wrapText="1"/>
    </xf>
    <xf numFmtId="0" fontId="1" fillId="28" borderId="0" xfId="0" applyFont="1" applyFill="1" applyAlignment="1">
      <alignment horizontal="center" wrapText="1"/>
    </xf>
    <xf numFmtId="0" fontId="0" fillId="0" borderId="66" xfId="0" applyBorder="1" applyAlignment="1">
      <alignment horizontal="center"/>
    </xf>
    <xf numFmtId="0" fontId="0" fillId="0" borderId="68" xfId="0" applyBorder="1" applyAlignment="1">
      <alignment horizontal="center"/>
    </xf>
    <xf numFmtId="0" fontId="1" fillId="0" borderId="59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172" fontId="23" fillId="23" borderId="103" xfId="0" applyNumberFormat="1" applyFont="1" applyFill="1" applyBorder="1" applyAlignment="1">
      <alignment horizontal="center" vertical="center" wrapText="1"/>
    </xf>
    <xf numFmtId="172" fontId="23" fillId="23" borderId="6" xfId="0" applyNumberFormat="1" applyFont="1" applyFill="1" applyBorder="1" applyAlignment="1">
      <alignment horizontal="center" vertical="center" wrapText="1"/>
    </xf>
    <xf numFmtId="172" fontId="23" fillId="23" borderId="1" xfId="0" applyNumberFormat="1" applyFont="1" applyFill="1" applyBorder="1" applyAlignment="1">
      <alignment horizontal="center" vertical="center" wrapText="1"/>
    </xf>
    <xf numFmtId="172" fontId="23" fillId="23" borderId="0" xfId="0" applyNumberFormat="1" applyFont="1" applyFill="1" applyAlignment="1">
      <alignment horizontal="center" vertical="center" wrapText="1"/>
    </xf>
    <xf numFmtId="172" fontId="23" fillId="23" borderId="104" xfId="0" applyNumberFormat="1" applyFont="1" applyFill="1" applyBorder="1" applyAlignment="1">
      <alignment horizontal="center" vertical="center" wrapText="1"/>
    </xf>
    <xf numFmtId="172" fontId="23" fillId="23" borderId="71" xfId="0" applyNumberFormat="1" applyFont="1" applyFill="1" applyBorder="1" applyAlignment="1">
      <alignment horizontal="center" vertical="center" wrapText="1"/>
    </xf>
    <xf numFmtId="2" fontId="0" fillId="8" borderId="0" xfId="0" applyNumberFormat="1" applyFill="1" applyAlignment="1">
      <alignment horizontal="center"/>
    </xf>
    <xf numFmtId="2" fontId="0" fillId="8" borderId="8" xfId="0" applyNumberFormat="1" applyFill="1" applyBorder="1" applyAlignment="1">
      <alignment horizontal="center"/>
    </xf>
    <xf numFmtId="0" fontId="47" fillId="10" borderId="5" xfId="0" applyFont="1" applyFill="1" applyBorder="1" applyAlignment="1">
      <alignment horizontal="center"/>
    </xf>
    <xf numFmtId="0" fontId="47" fillId="10" borderId="7" xfId="0" applyFont="1" applyFill="1" applyBorder="1" applyAlignment="1">
      <alignment horizontal="center"/>
    </xf>
    <xf numFmtId="0" fontId="47" fillId="10" borderId="70" xfId="0" applyFont="1" applyFill="1" applyBorder="1" applyAlignment="1">
      <alignment horizontal="center"/>
    </xf>
    <xf numFmtId="0" fontId="47" fillId="10" borderId="72" xfId="0" applyFont="1" applyFill="1" applyBorder="1" applyAlignment="1">
      <alignment horizontal="center"/>
    </xf>
    <xf numFmtId="0" fontId="23" fillId="0" borderId="0" xfId="0" applyFont="1" applyAlignment="1">
      <alignment horizontal="center" wrapText="1"/>
    </xf>
    <xf numFmtId="1" fontId="38" fillId="23" borderId="17" xfId="0" applyNumberFormat="1" applyFont="1" applyFill="1" applyBorder="1" applyAlignment="1">
      <alignment horizontal="left"/>
    </xf>
    <xf numFmtId="0" fontId="23" fillId="23" borderId="56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23" fillId="23" borderId="2" xfId="0" applyFont="1" applyFill="1" applyBorder="1" applyAlignment="1">
      <alignment horizontal="center" vertical="center"/>
    </xf>
    <xf numFmtId="170" fontId="1" fillId="0" borderId="66" xfId="0" applyNumberFormat="1" applyFont="1" applyBorder="1" applyAlignment="1">
      <alignment horizontal="center"/>
    </xf>
    <xf numFmtId="170" fontId="1" fillId="0" borderId="68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3" fillId="23" borderId="17" xfId="0" applyFont="1" applyFill="1" applyBorder="1" applyAlignment="1">
      <alignment horizontal="center" vertical="center" wrapText="1"/>
    </xf>
    <xf numFmtId="0" fontId="23" fillId="23" borderId="17" xfId="0" applyFont="1" applyFill="1" applyBorder="1" applyAlignment="1">
      <alignment horizontal="center" vertical="center" textRotation="90" wrapText="1"/>
    </xf>
    <xf numFmtId="1" fontId="23" fillId="23" borderId="17" xfId="0" applyNumberFormat="1" applyFont="1" applyFill="1" applyBorder="1" applyAlignment="1">
      <alignment horizontal="left"/>
    </xf>
    <xf numFmtId="0" fontId="23" fillId="23" borderId="80" xfId="0" applyFont="1" applyFill="1" applyBorder="1" applyAlignment="1">
      <alignment horizontal="center" vertical="center"/>
    </xf>
    <xf numFmtId="1" fontId="23" fillId="23" borderId="80" xfId="0" applyNumberFormat="1" applyFont="1" applyFill="1" applyBorder="1" applyAlignment="1">
      <alignment horizontal="left"/>
    </xf>
    <xf numFmtId="0" fontId="23" fillId="23" borderId="69" xfId="0" applyFont="1" applyFill="1" applyBorder="1" applyAlignment="1">
      <alignment horizontal="center" vertical="center"/>
    </xf>
    <xf numFmtId="0" fontId="23" fillId="23" borderId="65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 wrapText="1"/>
    </xf>
    <xf numFmtId="0" fontId="23" fillId="0" borderId="7" xfId="0" applyFont="1" applyBorder="1" applyAlignment="1">
      <alignment horizontal="center" wrapText="1"/>
    </xf>
    <xf numFmtId="0" fontId="23" fillId="0" borderId="70" xfId="0" applyFont="1" applyBorder="1" applyAlignment="1">
      <alignment horizontal="center" wrapText="1"/>
    </xf>
    <xf numFmtId="0" fontId="23" fillId="0" borderId="72" xfId="0" applyFont="1" applyBorder="1" applyAlignment="1">
      <alignment horizontal="center" wrapText="1"/>
    </xf>
    <xf numFmtId="0" fontId="20" fillId="11" borderId="4" xfId="0" applyFont="1" applyFill="1" applyBorder="1" applyAlignment="1">
      <alignment horizontal="center" vertical="center"/>
    </xf>
    <xf numFmtId="0" fontId="20" fillId="11" borderId="63" xfId="0" applyFont="1" applyFill="1" applyBorder="1" applyAlignment="1">
      <alignment horizontal="center" vertical="center"/>
    </xf>
    <xf numFmtId="0" fontId="23" fillId="10" borderId="17" xfId="0" applyFont="1" applyFill="1" applyBorder="1" applyAlignment="1">
      <alignment horizontal="center" vertical="center" wrapText="1"/>
    </xf>
    <xf numFmtId="0" fontId="23" fillId="10" borderId="17" xfId="0" applyFont="1" applyFill="1" applyBorder="1" applyAlignment="1">
      <alignment horizontal="center" vertical="center" textRotation="90" wrapText="1"/>
    </xf>
    <xf numFmtId="1" fontId="23" fillId="10" borderId="17" xfId="0" applyNumberFormat="1" applyFont="1" applyFill="1" applyBorder="1" applyAlignment="1">
      <alignment horizontal="left"/>
    </xf>
    <xf numFmtId="0" fontId="1" fillId="10" borderId="80" xfId="0" applyFont="1" applyFill="1" applyBorder="1" applyAlignment="1">
      <alignment horizontal="center"/>
    </xf>
    <xf numFmtId="1" fontId="23" fillId="10" borderId="66" xfId="0" applyNumberFormat="1" applyFont="1" applyFill="1" applyBorder="1" applyAlignment="1">
      <alignment horizontal="left"/>
    </xf>
    <xf numFmtId="1" fontId="23" fillId="10" borderId="68" xfId="0" applyNumberFormat="1" applyFont="1" applyFill="1" applyBorder="1" applyAlignment="1">
      <alignment horizontal="left"/>
    </xf>
    <xf numFmtId="0" fontId="1" fillId="10" borderId="56" xfId="0" applyFont="1" applyFill="1" applyBorder="1" applyAlignment="1">
      <alignment horizontal="center"/>
    </xf>
    <xf numFmtId="0" fontId="1" fillId="10" borderId="59" xfId="0" applyFont="1" applyFill="1" applyBorder="1" applyAlignment="1">
      <alignment horizontal="center"/>
    </xf>
    <xf numFmtId="2" fontId="1" fillId="0" borderId="66" xfId="0" applyNumberFormat="1" applyFont="1" applyBorder="1" applyAlignment="1">
      <alignment horizontal="center"/>
    </xf>
    <xf numFmtId="2" fontId="1" fillId="0" borderId="68" xfId="0" applyNumberFormat="1" applyFont="1" applyBorder="1" applyAlignment="1">
      <alignment horizontal="center"/>
    </xf>
    <xf numFmtId="1" fontId="1" fillId="0" borderId="66" xfId="0" applyNumberFormat="1" applyFont="1" applyBorder="1" applyAlignment="1">
      <alignment horizontal="center"/>
    </xf>
    <xf numFmtId="1" fontId="1" fillId="0" borderId="68" xfId="0" applyNumberFormat="1" applyFont="1" applyBorder="1" applyAlignment="1">
      <alignment horizontal="center"/>
    </xf>
    <xf numFmtId="171" fontId="1" fillId="0" borderId="66" xfId="0" applyNumberFormat="1" applyFont="1" applyBorder="1" applyAlignment="1">
      <alignment horizontal="center"/>
    </xf>
    <xf numFmtId="171" fontId="1" fillId="0" borderId="68" xfId="0" applyNumberFormat="1" applyFont="1" applyBorder="1" applyAlignment="1">
      <alignment horizontal="center"/>
    </xf>
    <xf numFmtId="0" fontId="18" fillId="8" borderId="17" xfId="0" applyFont="1" applyFill="1" applyBorder="1" applyAlignment="1">
      <alignment horizontal="center" vertical="center"/>
    </xf>
    <xf numFmtId="0" fontId="18" fillId="26" borderId="17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23" fillId="0" borderId="80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/>
    </xf>
    <xf numFmtId="0" fontId="1" fillId="19" borderId="66" xfId="0" applyFont="1" applyFill="1" applyBorder="1" applyAlignment="1">
      <alignment horizontal="center" vertical="center"/>
    </xf>
    <xf numFmtId="0" fontId="1" fillId="19" borderId="67" xfId="0" applyFont="1" applyFill="1" applyBorder="1" applyAlignment="1">
      <alignment horizontal="center" vertical="center"/>
    </xf>
    <xf numFmtId="0" fontId="1" fillId="19" borderId="68" xfId="0" applyFont="1" applyFill="1" applyBorder="1" applyAlignment="1">
      <alignment horizontal="center" vertical="center"/>
    </xf>
    <xf numFmtId="0" fontId="34" fillId="0" borderId="66" xfId="0" applyFont="1" applyBorder="1" applyAlignment="1">
      <alignment horizontal="center"/>
    </xf>
    <xf numFmtId="0" fontId="34" fillId="0" borderId="68" xfId="0" applyFont="1" applyBorder="1" applyAlignment="1">
      <alignment horizontal="center"/>
    </xf>
    <xf numFmtId="0" fontId="1" fillId="10" borderId="66" xfId="0" applyFont="1" applyFill="1" applyBorder="1" applyAlignment="1">
      <alignment horizontal="center"/>
    </xf>
    <xf numFmtId="0" fontId="1" fillId="10" borderId="68" xfId="0" applyFont="1" applyFill="1" applyBorder="1" applyAlignment="1">
      <alignment horizontal="center"/>
    </xf>
    <xf numFmtId="166" fontId="18" fillId="27" borderId="106" xfId="0" applyNumberFormat="1" applyFont="1" applyFill="1" applyBorder="1" applyAlignment="1">
      <alignment horizontal="center"/>
    </xf>
    <xf numFmtId="166" fontId="18" fillId="27" borderId="94" xfId="0" applyNumberFormat="1" applyFont="1" applyFill="1" applyBorder="1" applyAlignment="1">
      <alignment horizontal="center"/>
    </xf>
    <xf numFmtId="166" fontId="18" fillId="27" borderId="107" xfId="0" applyNumberFormat="1" applyFont="1" applyFill="1" applyBorder="1" applyAlignment="1">
      <alignment horizontal="center"/>
    </xf>
    <xf numFmtId="166" fontId="18" fillId="23" borderId="4" xfId="0" applyNumberFormat="1" applyFont="1" applyFill="1" applyBorder="1" applyAlignment="1">
      <alignment horizontal="center" vertical="center" wrapText="1"/>
    </xf>
    <xf numFmtId="166" fontId="18" fillId="23" borderId="63" xfId="0" applyNumberFormat="1" applyFont="1" applyFill="1" applyBorder="1" applyAlignment="1">
      <alignment horizontal="center" vertical="center" wrapText="1"/>
    </xf>
    <xf numFmtId="166" fontId="18" fillId="23" borderId="69" xfId="0" applyNumberFormat="1" applyFont="1" applyFill="1" applyBorder="1" applyAlignment="1">
      <alignment horizontal="center" vertical="center" wrapText="1"/>
    </xf>
    <xf numFmtId="166" fontId="18" fillId="23" borderId="65" xfId="0" applyNumberFormat="1" applyFont="1" applyFill="1" applyBorder="1" applyAlignment="1">
      <alignment horizontal="center" vertical="center" wrapText="1"/>
    </xf>
    <xf numFmtId="165" fontId="0" fillId="23" borderId="68" xfId="0" applyNumberFormat="1" applyFill="1" applyBorder="1" applyAlignment="1">
      <alignment horizontal="left" vertical="center"/>
    </xf>
    <xf numFmtId="0" fontId="18" fillId="23" borderId="80" xfId="0" applyFont="1" applyFill="1" applyBorder="1" applyAlignment="1">
      <alignment horizontal="center" vertical="center" wrapText="1"/>
    </xf>
    <xf numFmtId="0" fontId="18" fillId="23" borderId="56" xfId="0" applyFont="1" applyFill="1" applyBorder="1" applyAlignment="1">
      <alignment horizontal="center" vertical="center" wrapText="1"/>
    </xf>
    <xf numFmtId="0" fontId="18" fillId="23" borderId="59" xfId="0" applyFont="1" applyFill="1" applyBorder="1" applyAlignment="1">
      <alignment horizontal="center" vertical="center" wrapText="1"/>
    </xf>
    <xf numFmtId="0" fontId="1" fillId="29" borderId="4" xfId="0" applyFont="1" applyFill="1" applyBorder="1" applyAlignment="1">
      <alignment horizontal="center" vertical="center"/>
    </xf>
    <xf numFmtId="0" fontId="1" fillId="29" borderId="3" xfId="0" applyFont="1" applyFill="1" applyBorder="1" applyAlignment="1">
      <alignment horizontal="center" vertical="center"/>
    </xf>
    <xf numFmtId="0" fontId="18" fillId="27" borderId="71" xfId="0" applyFont="1" applyFill="1" applyBorder="1" applyAlignment="1">
      <alignment horizontal="left" vertical="center" wrapText="1"/>
    </xf>
    <xf numFmtId="0" fontId="18" fillId="27" borderId="105" xfId="0" applyFont="1" applyFill="1" applyBorder="1" applyAlignment="1">
      <alignment horizontal="left" vertical="center" wrapText="1"/>
    </xf>
    <xf numFmtId="0" fontId="1" fillId="10" borderId="17" xfId="0" applyFont="1" applyFill="1" applyBorder="1" applyAlignment="1">
      <alignment horizontal="center" vertical="center"/>
    </xf>
    <xf numFmtId="0" fontId="41" fillId="4" borderId="66" xfId="0" applyFont="1" applyFill="1" applyBorder="1" applyAlignment="1">
      <alignment horizontal="center" vertical="center"/>
    </xf>
    <xf numFmtId="0" fontId="41" fillId="4" borderId="67" xfId="0" applyFont="1" applyFill="1" applyBorder="1" applyAlignment="1">
      <alignment horizontal="center" vertical="center"/>
    </xf>
    <xf numFmtId="0" fontId="41" fillId="4" borderId="68" xfId="0" applyFont="1" applyFill="1" applyBorder="1" applyAlignment="1">
      <alignment horizontal="center" vertical="center"/>
    </xf>
    <xf numFmtId="2" fontId="11" fillId="0" borderId="106" xfId="0" applyNumberFormat="1" applyFont="1" applyBorder="1" applyAlignment="1">
      <alignment horizontal="center"/>
    </xf>
    <xf numFmtId="2" fontId="11" fillId="0" borderId="94" xfId="0" applyNumberFormat="1" applyFont="1" applyBorder="1" applyAlignment="1">
      <alignment horizontal="center"/>
    </xf>
    <xf numFmtId="2" fontId="11" fillId="0" borderId="110" xfId="0" applyNumberFormat="1" applyFont="1" applyBorder="1" applyAlignment="1">
      <alignment horizontal="center"/>
    </xf>
    <xf numFmtId="2" fontId="14" fillId="0" borderId="95" xfId="0" applyNumberFormat="1" applyFont="1" applyBorder="1" applyAlignment="1" applyProtection="1">
      <alignment horizontal="center"/>
      <protection locked="0"/>
    </xf>
    <xf numFmtId="2" fontId="14" fillId="0" borderId="96" xfId="0" applyNumberFormat="1" applyFont="1" applyBorder="1" applyAlignment="1" applyProtection="1">
      <alignment horizontal="center"/>
      <protection locked="0"/>
    </xf>
    <xf numFmtId="2" fontId="14" fillId="0" borderId="111" xfId="0" applyNumberFormat="1" applyFont="1" applyBorder="1" applyAlignment="1" applyProtection="1">
      <alignment horizontal="center"/>
      <protection locked="0"/>
    </xf>
    <xf numFmtId="0" fontId="5" fillId="0" borderId="66" xfId="0" applyFont="1" applyBorder="1" applyAlignment="1">
      <alignment horizontal="left"/>
    </xf>
    <xf numFmtId="0" fontId="5" fillId="0" borderId="67" xfId="0" applyFont="1" applyBorder="1" applyAlignment="1">
      <alignment horizontal="left"/>
    </xf>
    <xf numFmtId="0" fontId="5" fillId="0" borderId="68" xfId="0" applyFont="1" applyBorder="1" applyAlignment="1">
      <alignment horizontal="left"/>
    </xf>
    <xf numFmtId="2" fontId="14" fillId="0" borderId="66" xfId="0" applyNumberFormat="1" applyFont="1" applyBorder="1" applyAlignment="1">
      <alignment horizontal="center"/>
    </xf>
    <xf numFmtId="2" fontId="14" fillId="0" borderId="67" xfId="0" applyNumberFormat="1" applyFont="1" applyBorder="1" applyAlignment="1">
      <alignment horizontal="center"/>
    </xf>
    <xf numFmtId="2" fontId="14" fillId="0" borderId="68" xfId="0" applyNumberFormat="1" applyFont="1" applyBorder="1" applyAlignment="1">
      <alignment horizontal="center"/>
    </xf>
    <xf numFmtId="2" fontId="14" fillId="0" borderId="108" xfId="0" applyNumberFormat="1" applyFont="1" applyBorder="1" applyAlignment="1">
      <alignment horizontal="center"/>
    </xf>
    <xf numFmtId="2" fontId="14" fillId="0" borderId="64" xfId="0" applyNumberFormat="1" applyFont="1" applyBorder="1" applyAlignment="1">
      <alignment horizontal="center"/>
    </xf>
    <xf numFmtId="2" fontId="14" fillId="0" borderId="65" xfId="0" applyNumberFormat="1" applyFont="1" applyBorder="1" applyAlignment="1">
      <alignment horizontal="center"/>
    </xf>
    <xf numFmtId="2" fontId="14" fillId="0" borderId="109" xfId="0" applyNumberFormat="1" applyFont="1" applyBorder="1" applyAlignment="1">
      <alignment horizontal="center"/>
    </xf>
    <xf numFmtId="0" fontId="5" fillId="0" borderId="66" xfId="0" applyFont="1" applyBorder="1"/>
    <xf numFmtId="0" fontId="5" fillId="0" borderId="67" xfId="0" applyFont="1" applyBorder="1"/>
    <xf numFmtId="0" fontId="5" fillId="0" borderId="92" xfId="0" applyFont="1" applyBorder="1"/>
    <xf numFmtId="2" fontId="14" fillId="0" borderId="112" xfId="0" applyNumberFormat="1" applyFont="1" applyBorder="1" applyAlignment="1">
      <alignment horizontal="center"/>
    </xf>
    <xf numFmtId="2" fontId="14" fillId="0" borderId="96" xfId="0" applyNumberFormat="1" applyFont="1" applyBorder="1" applyAlignment="1">
      <alignment horizontal="center"/>
    </xf>
    <xf numFmtId="2" fontId="14" fillId="0" borderId="111" xfId="0" applyNumberFormat="1" applyFont="1" applyBorder="1" applyAlignment="1">
      <alignment horizontal="center"/>
    </xf>
    <xf numFmtId="0" fontId="5" fillId="0" borderId="95" xfId="0" applyFont="1" applyBorder="1"/>
    <xf numFmtId="0" fontId="5" fillId="0" borderId="96" xfId="0" applyFont="1" applyBorder="1"/>
    <xf numFmtId="0" fontId="5" fillId="0" borderId="113" xfId="0" applyFont="1" applyBorder="1"/>
    <xf numFmtId="0" fontId="13" fillId="0" borderId="93" xfId="0" applyFont="1" applyBorder="1"/>
    <xf numFmtId="0" fontId="13" fillId="0" borderId="94" xfId="0" applyFont="1" applyBorder="1"/>
    <xf numFmtId="0" fontId="13" fillId="0" borderId="107" xfId="0" applyFont="1" applyBorder="1"/>
    <xf numFmtId="0" fontId="15" fillId="0" borderId="95" xfId="0" applyFont="1" applyBorder="1"/>
    <xf numFmtId="0" fontId="15" fillId="0" borderId="96" xfId="0" applyFont="1" applyBorder="1"/>
    <xf numFmtId="0" fontId="15" fillId="0" borderId="111" xfId="0" applyFont="1" applyBorder="1"/>
    <xf numFmtId="0" fontId="15" fillId="0" borderId="66" xfId="0" applyFont="1" applyBorder="1"/>
    <xf numFmtId="0" fontId="15" fillId="0" borderId="67" xfId="0" applyFont="1" applyBorder="1"/>
    <xf numFmtId="0" fontId="15" fillId="0" borderId="68" xfId="0" applyFont="1" applyBorder="1"/>
  </cellXfs>
  <cellStyles count="1">
    <cellStyle name="Обычный" xfId="0" builtinId="0"/>
  </cellStyles>
  <dxfs count="7"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29</xdr:row>
      <xdr:rowOff>142875</xdr:rowOff>
    </xdr:from>
    <xdr:to>
      <xdr:col>19</xdr:col>
      <xdr:colOff>57150</xdr:colOff>
      <xdr:row>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10850" cy="1247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6</xdr:row>
      <xdr:rowOff>142875</xdr:rowOff>
    </xdr:from>
    <xdr:to>
      <xdr:col>1</xdr:col>
      <xdr:colOff>847725</xdr:colOff>
      <xdr:row>11</xdr:row>
      <xdr:rowOff>161925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2000" cy="8096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</xdr:row>
      <xdr:rowOff>57150</xdr:rowOff>
    </xdr:from>
    <xdr:to>
      <xdr:col>2</xdr:col>
      <xdr:colOff>142875</xdr:colOff>
      <xdr:row>4</xdr:row>
      <xdr:rowOff>152400</xdr:rowOff>
    </xdr:to>
    <xdr:pic>
      <xdr:nvPicPr>
        <xdr:cNvPr id="3" name="Picture 2" descr="Greenvile, TX Jobs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311" b="30083"/>
        <a:stretch/>
      </xdr:blipFill>
      <xdr:spPr>
        <a:xfrm>
          <a:off x="0" y="0"/>
          <a:ext cx="990600" cy="533400"/>
        </a:xfrm>
        <a:prstGeom prst="rect">
          <a:avLst/>
        </a:prstGeom>
      </xdr:spPr>
    </xdr:pic>
    <xdr:clientData/>
  </xdr:twoCellAnchor>
  <xdr:twoCellAnchor editAs="oneCell">
    <xdr:from>
      <xdr:col>13</xdr:col>
      <xdr:colOff>342900</xdr:colOff>
      <xdr:row>34</xdr:row>
      <xdr:rowOff>57150</xdr:rowOff>
    </xdr:from>
    <xdr:to>
      <xdr:col>25</xdr:col>
      <xdr:colOff>95250</xdr:colOff>
      <xdr:row>48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239500" cy="2352675"/>
        </a:xfrm>
        <a:prstGeom prst="rect">
          <a:avLst/>
        </a:prstGeom>
      </xdr:spPr>
    </xdr:pic>
    <xdr:clientData/>
  </xdr:twoCellAnchor>
  <xdr:twoCellAnchor editAs="oneCell">
    <xdr:from>
      <xdr:col>13</xdr:col>
      <xdr:colOff>276225</xdr:colOff>
      <xdr:row>48</xdr:row>
      <xdr:rowOff>47625</xdr:rowOff>
    </xdr:from>
    <xdr:to>
      <xdr:col>24</xdr:col>
      <xdr:colOff>619125</xdr:colOff>
      <xdr:row>62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1039475" cy="2333625"/>
        </a:xfrm>
        <a:prstGeom prst="rect">
          <a:avLst/>
        </a:prstGeom>
      </xdr:spPr>
    </xdr:pic>
    <xdr:clientData/>
  </xdr:twoCellAnchor>
  <xdr:twoCellAnchor editAs="oneCell">
    <xdr:from>
      <xdr:col>26</xdr:col>
      <xdr:colOff>523875</xdr:colOff>
      <xdr:row>14</xdr:row>
      <xdr:rowOff>85725</xdr:rowOff>
    </xdr:from>
    <xdr:to>
      <xdr:col>45</xdr:col>
      <xdr:colOff>476250</xdr:colOff>
      <xdr:row>17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r="6723" b="-4356"/>
        <a:stretch/>
      </xdr:blipFill>
      <xdr:spPr>
        <a:xfrm>
          <a:off x="0" y="0"/>
          <a:ext cx="15163800" cy="581025"/>
        </a:xfrm>
        <a:prstGeom prst="rect">
          <a:avLst/>
        </a:prstGeom>
      </xdr:spPr>
    </xdr:pic>
    <xdr:clientData/>
  </xdr:twoCellAnchor>
  <xdr:twoCellAnchor editAs="oneCell">
    <xdr:from>
      <xdr:col>26</xdr:col>
      <xdr:colOff>504825</xdr:colOff>
      <xdr:row>0</xdr:row>
      <xdr:rowOff>0</xdr:rowOff>
    </xdr:from>
    <xdr:to>
      <xdr:col>45</xdr:col>
      <xdr:colOff>438150</xdr:colOff>
      <xdr:row>14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5135225" cy="2495550"/>
        </a:xfrm>
        <a:prstGeom prst="rect">
          <a:avLst/>
        </a:prstGeom>
      </xdr:spPr>
    </xdr:pic>
    <xdr:clientData/>
  </xdr:twoCellAnchor>
  <xdr:twoCellAnchor editAs="oneCell">
    <xdr:from>
      <xdr:col>13</xdr:col>
      <xdr:colOff>514350</xdr:colOff>
      <xdr:row>66</xdr:row>
      <xdr:rowOff>161925</xdr:rowOff>
    </xdr:from>
    <xdr:to>
      <xdr:col>26</xdr:col>
      <xdr:colOff>704850</xdr:colOff>
      <xdr:row>70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477750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6</xdr:row>
      <xdr:rowOff>142875</xdr:rowOff>
    </xdr:from>
    <xdr:to>
      <xdr:col>1</xdr:col>
      <xdr:colOff>847725</xdr:colOff>
      <xdr:row>11</xdr:row>
      <xdr:rowOff>161925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2000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</xdr:row>
      <xdr:rowOff>57150</xdr:rowOff>
    </xdr:from>
    <xdr:to>
      <xdr:col>2</xdr:col>
      <xdr:colOff>142875</xdr:colOff>
      <xdr:row>4</xdr:row>
      <xdr:rowOff>152400</xdr:rowOff>
    </xdr:to>
    <xdr:pic>
      <xdr:nvPicPr>
        <xdr:cNvPr id="3" name="Picture 6" descr="Greenvile, TX Jobs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311" b="30083"/>
        <a:stretch/>
      </xdr:blipFill>
      <xdr:spPr>
        <a:xfrm>
          <a:off x="0" y="0"/>
          <a:ext cx="981075" cy="533400"/>
        </a:xfrm>
        <a:prstGeom prst="rect">
          <a:avLst/>
        </a:prstGeom>
      </xdr:spPr>
    </xdr:pic>
    <xdr:clientData/>
  </xdr:twoCellAnchor>
  <xdr:twoCellAnchor editAs="oneCell">
    <xdr:from>
      <xdr:col>13</xdr:col>
      <xdr:colOff>342900</xdr:colOff>
      <xdr:row>34</xdr:row>
      <xdr:rowOff>57150</xdr:rowOff>
    </xdr:from>
    <xdr:to>
      <xdr:col>25</xdr:col>
      <xdr:colOff>95250</xdr:colOff>
      <xdr:row>48</xdr:row>
      <xdr:rowOff>95250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0982325" cy="2276475"/>
        </a:xfrm>
        <a:prstGeom prst="rect">
          <a:avLst/>
        </a:prstGeom>
      </xdr:spPr>
    </xdr:pic>
    <xdr:clientData/>
  </xdr:twoCellAnchor>
  <xdr:twoCellAnchor editAs="oneCell">
    <xdr:from>
      <xdr:col>13</xdr:col>
      <xdr:colOff>276225</xdr:colOff>
      <xdr:row>48</xdr:row>
      <xdr:rowOff>47625</xdr:rowOff>
    </xdr:from>
    <xdr:to>
      <xdr:col>24</xdr:col>
      <xdr:colOff>619125</xdr:colOff>
      <xdr:row>62</xdr:row>
      <xdr:rowOff>76200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0801350" cy="2257425"/>
        </a:xfrm>
        <a:prstGeom prst="rect">
          <a:avLst/>
        </a:prstGeom>
      </xdr:spPr>
    </xdr:pic>
    <xdr:clientData/>
  </xdr:twoCellAnchor>
  <xdr:twoCellAnchor editAs="oneCell">
    <xdr:from>
      <xdr:col>26</xdr:col>
      <xdr:colOff>523875</xdr:colOff>
      <xdr:row>14</xdr:row>
      <xdr:rowOff>85725</xdr:rowOff>
    </xdr:from>
    <xdr:to>
      <xdr:col>45</xdr:col>
      <xdr:colOff>476250</xdr:colOff>
      <xdr:row>17</xdr:row>
      <xdr:rowOff>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r="6723" b="-4356"/>
        <a:stretch/>
      </xdr:blipFill>
      <xdr:spPr>
        <a:xfrm>
          <a:off x="0" y="0"/>
          <a:ext cx="14973300" cy="581025"/>
        </a:xfrm>
        <a:prstGeom prst="rect">
          <a:avLst/>
        </a:prstGeom>
      </xdr:spPr>
    </xdr:pic>
    <xdr:clientData/>
  </xdr:twoCellAnchor>
  <xdr:twoCellAnchor editAs="oneCell">
    <xdr:from>
      <xdr:col>26</xdr:col>
      <xdr:colOff>504825</xdr:colOff>
      <xdr:row>0</xdr:row>
      <xdr:rowOff>0</xdr:rowOff>
    </xdr:from>
    <xdr:to>
      <xdr:col>45</xdr:col>
      <xdr:colOff>438150</xdr:colOff>
      <xdr:row>14</xdr:row>
      <xdr:rowOff>95250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4944725" cy="2552700"/>
        </a:xfrm>
        <a:prstGeom prst="rect">
          <a:avLst/>
        </a:prstGeom>
      </xdr:spPr>
    </xdr:pic>
    <xdr:clientData/>
  </xdr:twoCellAnchor>
  <xdr:twoCellAnchor editAs="oneCell">
    <xdr:from>
      <xdr:col>13</xdr:col>
      <xdr:colOff>514350</xdr:colOff>
      <xdr:row>66</xdr:row>
      <xdr:rowOff>161925</xdr:rowOff>
    </xdr:from>
    <xdr:to>
      <xdr:col>26</xdr:col>
      <xdr:colOff>704850</xdr:colOff>
      <xdr:row>70</xdr:row>
      <xdr:rowOff>57150</xdr:rowOff>
    </xdr:to>
    <xdr:pic>
      <xdr:nvPicPr>
        <xdr:cNvPr id="8" name="Picture 1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201525" cy="571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6</xdr:row>
      <xdr:rowOff>142875</xdr:rowOff>
    </xdr:from>
    <xdr:to>
      <xdr:col>1</xdr:col>
      <xdr:colOff>847725</xdr:colOff>
      <xdr:row>11</xdr:row>
      <xdr:rowOff>161925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2000" cy="8096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</xdr:row>
      <xdr:rowOff>57150</xdr:rowOff>
    </xdr:from>
    <xdr:to>
      <xdr:col>2</xdr:col>
      <xdr:colOff>142875</xdr:colOff>
      <xdr:row>4</xdr:row>
      <xdr:rowOff>152400</xdr:rowOff>
    </xdr:to>
    <xdr:pic>
      <xdr:nvPicPr>
        <xdr:cNvPr id="3" name="Picture 2" descr="Greenvile, TX Jobs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311" b="30083"/>
        <a:stretch/>
      </xdr:blipFill>
      <xdr:spPr>
        <a:xfrm>
          <a:off x="0" y="0"/>
          <a:ext cx="990600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342900</xdr:colOff>
      <xdr:row>35</xdr:row>
      <xdr:rowOff>57150</xdr:rowOff>
    </xdr:from>
    <xdr:to>
      <xdr:col>26</xdr:col>
      <xdr:colOff>95250</xdr:colOff>
      <xdr:row>49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239500" cy="2352675"/>
        </a:xfrm>
        <a:prstGeom prst="rect">
          <a:avLst/>
        </a:prstGeom>
      </xdr:spPr>
    </xdr:pic>
    <xdr:clientData/>
  </xdr:twoCellAnchor>
  <xdr:twoCellAnchor editAs="oneCell">
    <xdr:from>
      <xdr:col>14</xdr:col>
      <xdr:colOff>276225</xdr:colOff>
      <xdr:row>49</xdr:row>
      <xdr:rowOff>47625</xdr:rowOff>
    </xdr:from>
    <xdr:to>
      <xdr:col>25</xdr:col>
      <xdr:colOff>619125</xdr:colOff>
      <xdr:row>63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1039475" cy="2333625"/>
        </a:xfrm>
        <a:prstGeom prst="rect">
          <a:avLst/>
        </a:prstGeom>
      </xdr:spPr>
    </xdr:pic>
    <xdr:clientData/>
  </xdr:twoCellAnchor>
  <xdr:twoCellAnchor editAs="oneCell">
    <xdr:from>
      <xdr:col>27</xdr:col>
      <xdr:colOff>523875</xdr:colOff>
      <xdr:row>15</xdr:row>
      <xdr:rowOff>85725</xdr:rowOff>
    </xdr:from>
    <xdr:to>
      <xdr:col>46</xdr:col>
      <xdr:colOff>476250</xdr:colOff>
      <xdr:row>18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r="6723" b="-4356"/>
        <a:stretch/>
      </xdr:blipFill>
      <xdr:spPr>
        <a:xfrm>
          <a:off x="0" y="0"/>
          <a:ext cx="15163800" cy="581025"/>
        </a:xfrm>
        <a:prstGeom prst="rect">
          <a:avLst/>
        </a:prstGeom>
      </xdr:spPr>
    </xdr:pic>
    <xdr:clientData/>
  </xdr:twoCellAnchor>
  <xdr:twoCellAnchor editAs="oneCell">
    <xdr:from>
      <xdr:col>27</xdr:col>
      <xdr:colOff>504825</xdr:colOff>
      <xdr:row>0</xdr:row>
      <xdr:rowOff>0</xdr:rowOff>
    </xdr:from>
    <xdr:to>
      <xdr:col>46</xdr:col>
      <xdr:colOff>438150</xdr:colOff>
      <xdr:row>14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5135225" cy="2495550"/>
        </a:xfrm>
        <a:prstGeom prst="rect">
          <a:avLst/>
        </a:prstGeom>
      </xdr:spPr>
    </xdr:pic>
    <xdr:clientData/>
  </xdr:twoCellAnchor>
  <xdr:twoCellAnchor editAs="oneCell">
    <xdr:from>
      <xdr:col>14</xdr:col>
      <xdr:colOff>514350</xdr:colOff>
      <xdr:row>67</xdr:row>
      <xdr:rowOff>161925</xdr:rowOff>
    </xdr:from>
    <xdr:to>
      <xdr:col>27</xdr:col>
      <xdr:colOff>704850</xdr:colOff>
      <xdr:row>71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477750" cy="552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238125</xdr:colOff>
      <xdr:row>2</xdr:row>
      <xdr:rowOff>266700</xdr:rowOff>
    </xdr:from>
    <xdr:to>
      <xdr:col>3</xdr:col>
      <xdr:colOff>523875</xdr:colOff>
      <xdr:row>6</xdr:row>
      <xdr:rowOff>142875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3235" t="33461" r="19444" b="30046"/>
        <a:stretch/>
      </xdr:blipFill>
      <xdr:spPr>
        <a:xfrm>
          <a:off x="0" y="0"/>
          <a:ext cx="857250" cy="619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238125</xdr:colOff>
      <xdr:row>2</xdr:row>
      <xdr:rowOff>266700</xdr:rowOff>
    </xdr:from>
    <xdr:to>
      <xdr:col>3</xdr:col>
      <xdr:colOff>523875</xdr:colOff>
      <xdr:row>6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3235" t="33461" r="19444" b="30046"/>
        <a:stretch/>
      </xdr:blipFill>
      <xdr:spPr>
        <a:xfrm>
          <a:off x="0" y="0"/>
          <a:ext cx="876300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/>
  <sheetData/>
  <pageMargins left="0.75" right="0.75" top="1" bottom="1" header="0.5" footer="0.5"/>
  <pageSetup orientation="portrait" r:id="rId1"/>
  <headerFooter alignWithMargins="0">
    <oddHeader>&amp;A&amp;L&amp;"Calibri"&amp;9&amp;K000000Classification: Internal&amp;1#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O434"/>
  <sheetViews>
    <sheetView topLeftCell="A7" zoomScale="85" zoomScaleNormal="85" workbookViewId="0">
      <selection activeCell="I25" sqref="I25:K25"/>
    </sheetView>
  </sheetViews>
  <sheetFormatPr defaultRowHeight="15.75"/>
  <cols>
    <col min="1" max="1" width="8.5703125" style="164" customWidth="1"/>
    <col min="2" max="2" width="11.85546875" style="151" customWidth="1"/>
    <col min="3" max="3" width="8.7109375" style="236" customWidth="1"/>
    <col min="5" max="5" width="8.5703125" style="17" customWidth="1"/>
    <col min="6" max="6" width="9.28515625" style="151" customWidth="1"/>
    <col min="8" max="8" width="8.7109375" customWidth="1"/>
    <col min="9" max="9" width="9.28515625" customWidth="1"/>
    <col min="10" max="10" width="11.42578125" customWidth="1"/>
    <col min="11" max="11" width="12" customWidth="1"/>
    <col min="12" max="12" width="19.28515625" customWidth="1"/>
    <col min="13" max="13" width="20.42578125" customWidth="1"/>
    <col min="14" max="16" width="8.7109375" customWidth="1"/>
  </cols>
  <sheetData>
    <row r="1" spans="1:15" ht="16.5" customHeight="1">
      <c r="A1" s="165" t="s">
        <v>0</v>
      </c>
      <c r="B1" s="166"/>
      <c r="F1" s="221" t="s">
        <v>1</v>
      </c>
      <c r="G1" s="246"/>
      <c r="I1" s="512" t="s">
        <v>2</v>
      </c>
      <c r="J1" s="513"/>
      <c r="K1" s="310"/>
      <c r="L1" s="291"/>
    </row>
    <row r="2" spans="1:15" ht="13.15" customHeight="1">
      <c r="A2" s="405">
        <v>1</v>
      </c>
      <c r="B2" s="286">
        <v>33.409999999999997</v>
      </c>
      <c r="C2" s="179"/>
      <c r="F2" s="239" t="s">
        <v>3</v>
      </c>
      <c r="G2" s="286">
        <v>3.21</v>
      </c>
      <c r="I2" s="311" t="s">
        <v>4</v>
      </c>
      <c r="J2" s="308" t="s">
        <v>5</v>
      </c>
      <c r="K2" s="312" t="s">
        <v>6</v>
      </c>
      <c r="L2" s="292"/>
      <c r="M2" s="295"/>
    </row>
    <row r="3" spans="1:15" ht="13.15" customHeight="1">
      <c r="A3" s="405">
        <v>2</v>
      </c>
      <c r="B3" s="282">
        <v>33.22</v>
      </c>
      <c r="C3" s="430"/>
      <c r="D3" s="178"/>
      <c r="E3" s="178"/>
      <c r="F3" s="239" t="s">
        <v>7</v>
      </c>
      <c r="G3" s="286">
        <v>3.25</v>
      </c>
      <c r="H3" s="178"/>
      <c r="I3" s="447" t="s">
        <v>8</v>
      </c>
      <c r="J3" s="448">
        <v>41.99</v>
      </c>
      <c r="K3" s="449">
        <f>J3-(3.783/12)</f>
        <v>41.674750000000003</v>
      </c>
      <c r="L3" s="293"/>
      <c r="M3" s="296" t="s">
        <v>9</v>
      </c>
      <c r="N3" s="451">
        <v>12.78</v>
      </c>
      <c r="O3" s="515" t="s">
        <v>10</v>
      </c>
    </row>
    <row r="4" spans="1:15" ht="13.15" customHeight="1">
      <c r="A4" s="405">
        <v>3</v>
      </c>
      <c r="B4" s="283">
        <v>33.24</v>
      </c>
      <c r="C4" s="179"/>
      <c r="F4" s="239" t="s">
        <v>11</v>
      </c>
      <c r="G4" s="286">
        <v>6.22</v>
      </c>
      <c r="I4" s="447" t="s">
        <v>12</v>
      </c>
      <c r="J4" s="450">
        <v>49.27</v>
      </c>
      <c r="K4" s="449">
        <f>J4-(3.783/12)</f>
        <v>48.954750000000004</v>
      </c>
      <c r="L4" s="293"/>
      <c r="M4" s="297" t="s">
        <v>13</v>
      </c>
      <c r="N4" s="217">
        <v>7.25</v>
      </c>
      <c r="O4" s="515"/>
    </row>
    <row r="5" spans="1:15" ht="13.5" customHeight="1">
      <c r="A5" s="405">
        <v>4</v>
      </c>
      <c r="B5" s="283">
        <v>33.4</v>
      </c>
      <c r="C5" s="179"/>
      <c r="F5" s="239" t="s">
        <v>14</v>
      </c>
      <c r="G5" s="286">
        <v>6.23</v>
      </c>
      <c r="I5" s="237" t="s">
        <v>15</v>
      </c>
      <c r="J5" s="418">
        <v>35.409999999999997</v>
      </c>
      <c r="K5" s="243">
        <f>J5-(3.783/12)</f>
        <v>35.094749999999998</v>
      </c>
      <c r="L5" s="293"/>
      <c r="M5" s="298" t="s">
        <v>16</v>
      </c>
      <c r="N5" s="218">
        <v>99.7</v>
      </c>
      <c r="O5" s="515"/>
    </row>
    <row r="6" spans="1:15" ht="13.5" customHeight="1">
      <c r="A6" s="405">
        <v>5</v>
      </c>
      <c r="B6" s="283">
        <v>32.909999999999997</v>
      </c>
      <c r="F6" s="239" t="s">
        <v>17</v>
      </c>
      <c r="G6" s="440">
        <v>10.220000000000001</v>
      </c>
      <c r="H6" s="178"/>
      <c r="I6" s="237" t="s">
        <v>18</v>
      </c>
      <c r="J6" s="418">
        <v>40.96</v>
      </c>
      <c r="K6" s="243">
        <f>J6-(3.783/12)</f>
        <v>40.644750000000002</v>
      </c>
      <c r="L6" s="293"/>
    </row>
    <row r="7" spans="1:15" ht="13.5" customHeight="1">
      <c r="A7" s="405">
        <v>6</v>
      </c>
      <c r="B7" s="404">
        <v>33.340000000000003</v>
      </c>
      <c r="F7" s="239" t="s">
        <v>19</v>
      </c>
      <c r="G7" s="440">
        <v>10.25</v>
      </c>
      <c r="H7" s="178"/>
    </row>
    <row r="8" spans="1:15" ht="13.5" customHeight="1">
      <c r="A8" s="405">
        <v>7</v>
      </c>
      <c r="B8" s="283">
        <v>33.21</v>
      </c>
      <c r="F8" s="239" t="s">
        <v>20</v>
      </c>
      <c r="G8" s="286">
        <v>15.19</v>
      </c>
      <c r="H8" s="178"/>
      <c r="N8" s="517" t="s">
        <v>21</v>
      </c>
    </row>
    <row r="9" spans="1:15" ht="13.5" customHeight="1">
      <c r="A9" s="405">
        <v>8</v>
      </c>
      <c r="B9" s="283">
        <v>33.58</v>
      </c>
      <c r="F9" s="239" t="s">
        <v>22</v>
      </c>
      <c r="G9" s="286">
        <v>15.2</v>
      </c>
      <c r="H9" s="178"/>
      <c r="I9" s="512" t="s">
        <v>23</v>
      </c>
      <c r="J9" s="513"/>
      <c r="K9" s="516"/>
      <c r="L9" s="291"/>
      <c r="M9" s="219"/>
      <c r="N9" s="518"/>
    </row>
    <row r="10" spans="1:15" ht="13.15" customHeight="1">
      <c r="A10" s="405">
        <v>9</v>
      </c>
      <c r="B10" s="283">
        <v>33.200000000000003</v>
      </c>
      <c r="F10" s="239" t="s">
        <v>24</v>
      </c>
      <c r="G10" s="286">
        <v>20.2</v>
      </c>
      <c r="I10" s="307" t="s">
        <v>4</v>
      </c>
      <c r="J10" s="308" t="s">
        <v>5</v>
      </c>
      <c r="K10" s="309" t="s">
        <v>25</v>
      </c>
      <c r="L10" s="292"/>
      <c r="M10" s="303" t="str">
        <f>I3</f>
        <v>LJ1</v>
      </c>
      <c r="N10" s="299">
        <f>K3</f>
        <v>41.674750000000003</v>
      </c>
    </row>
    <row r="11" spans="1:15" ht="13.15" customHeight="1">
      <c r="A11" s="405">
        <v>10</v>
      </c>
      <c r="B11" s="283">
        <v>33.6</v>
      </c>
      <c r="F11" s="239" t="s">
        <v>26</v>
      </c>
      <c r="G11" s="167">
        <v>20.21</v>
      </c>
      <c r="I11" s="242" t="s">
        <v>27</v>
      </c>
      <c r="J11" s="240">
        <v>9.35</v>
      </c>
      <c r="K11" s="243">
        <f t="shared" ref="K11:K18" si="0">J11-(3.783/12)</f>
        <v>9.0347499999999989</v>
      </c>
      <c r="L11" s="293"/>
      <c r="M11" s="304" t="str">
        <f>I4</f>
        <v>LJ2</v>
      </c>
      <c r="N11" s="300">
        <f>K4</f>
        <v>48.954750000000004</v>
      </c>
    </row>
    <row r="12" spans="1:15" ht="13.15" customHeight="1">
      <c r="A12" s="405">
        <v>11</v>
      </c>
      <c r="B12" s="283">
        <v>33.46</v>
      </c>
      <c r="F12" s="240"/>
      <c r="G12" s="439"/>
      <c r="I12" s="168" t="s">
        <v>28</v>
      </c>
      <c r="J12" s="240">
        <v>9.69</v>
      </c>
      <c r="K12" s="243">
        <f t="shared" si="0"/>
        <v>9.3747499999999988</v>
      </c>
      <c r="L12" s="293"/>
      <c r="M12" s="304"/>
      <c r="N12" s="300"/>
    </row>
    <row r="13" spans="1:15" ht="13.15" customHeight="1">
      <c r="A13" s="405">
        <v>12</v>
      </c>
      <c r="B13" s="283">
        <v>32.89</v>
      </c>
      <c r="F13" s="239"/>
      <c r="G13" s="238"/>
      <c r="H13" s="178"/>
      <c r="I13" s="242" t="s">
        <v>29</v>
      </c>
      <c r="J13" s="240">
        <v>6.18</v>
      </c>
      <c r="K13" s="243">
        <f t="shared" si="0"/>
        <v>5.8647499999999999</v>
      </c>
      <c r="L13" s="293"/>
      <c r="M13" s="304"/>
      <c r="N13" s="300"/>
    </row>
    <row r="14" spans="1:15" ht="13.5" customHeight="1">
      <c r="A14" s="405">
        <v>13</v>
      </c>
      <c r="B14" s="283">
        <v>33.11</v>
      </c>
      <c r="F14" s="168"/>
      <c r="G14" s="167"/>
      <c r="I14" s="242" t="s">
        <v>30</v>
      </c>
      <c r="J14" s="240">
        <v>6.63</v>
      </c>
      <c r="K14" s="243">
        <f t="shared" si="0"/>
        <v>6.3147500000000001</v>
      </c>
      <c r="L14" s="293"/>
      <c r="M14" s="304" t="str">
        <f>M3</f>
        <v>Tubing Hanger +THRT:</v>
      </c>
      <c r="N14" s="301">
        <f>N3</f>
        <v>12.78</v>
      </c>
    </row>
    <row r="15" spans="1:15" ht="13.5" customHeight="1">
      <c r="A15" s="405">
        <v>14</v>
      </c>
      <c r="B15" s="283">
        <v>33.200000000000003</v>
      </c>
      <c r="F15" s="168"/>
      <c r="G15" s="167"/>
      <c r="I15" s="242" t="s">
        <v>31</v>
      </c>
      <c r="J15" s="240">
        <v>5.49</v>
      </c>
      <c r="K15" s="243">
        <f t="shared" si="0"/>
        <v>5.1747500000000004</v>
      </c>
      <c r="L15" s="293"/>
      <c r="M15" s="305" t="s">
        <v>32</v>
      </c>
      <c r="N15" s="302">
        <f>SUM(N10:N14)</f>
        <v>103.40950000000001</v>
      </c>
    </row>
    <row r="16" spans="1:15" ht="13.5" customHeight="1">
      <c r="A16" s="405">
        <v>15</v>
      </c>
      <c r="B16" s="283">
        <v>33.18</v>
      </c>
      <c r="F16" s="168"/>
      <c r="G16" s="167"/>
      <c r="I16" s="168" t="s">
        <v>33</v>
      </c>
      <c r="J16" s="240">
        <v>5.49</v>
      </c>
      <c r="K16" s="243">
        <f t="shared" si="0"/>
        <v>5.1747500000000004</v>
      </c>
      <c r="L16" s="293"/>
      <c r="M16" s="306" t="s">
        <v>34</v>
      </c>
      <c r="N16" s="220">
        <f>N15-N5</f>
        <v>3.7095000000000056</v>
      </c>
    </row>
    <row r="17" spans="1:12" ht="13.15" customHeight="1">
      <c r="A17" s="405">
        <v>16</v>
      </c>
      <c r="B17" s="283">
        <v>33.520000000000003</v>
      </c>
      <c r="F17" s="168"/>
      <c r="G17" s="167"/>
      <c r="I17" s="168" t="s">
        <v>35</v>
      </c>
      <c r="J17" s="240">
        <v>3.92</v>
      </c>
      <c r="K17" s="243">
        <f t="shared" si="0"/>
        <v>3.6047500000000001</v>
      </c>
      <c r="L17" s="293"/>
    </row>
    <row r="18" spans="1:12" ht="13.5" customHeight="1">
      <c r="A18" s="405">
        <v>17</v>
      </c>
      <c r="B18" s="283">
        <v>33.229999999999997</v>
      </c>
      <c r="F18" s="168"/>
      <c r="G18" s="167"/>
      <c r="I18" s="168" t="s">
        <v>36</v>
      </c>
      <c r="J18" s="240">
        <v>3.5</v>
      </c>
      <c r="K18" s="243">
        <f t="shared" si="0"/>
        <v>3.1847500000000002</v>
      </c>
      <c r="L18" s="293"/>
    </row>
    <row r="19" spans="1:12" ht="13.15" customHeight="1">
      <c r="A19" s="429">
        <v>18</v>
      </c>
      <c r="B19" s="284">
        <v>31.57</v>
      </c>
      <c r="C19" s="246"/>
      <c r="F19" s="168"/>
      <c r="G19" s="167"/>
      <c r="I19" s="244"/>
      <c r="J19" s="245"/>
      <c r="K19" s="243"/>
      <c r="L19" s="294"/>
    </row>
    <row r="20" spans="1:12" ht="13.15" customHeight="1">
      <c r="A20" s="405">
        <v>19</v>
      </c>
      <c r="B20" s="283">
        <v>33.42</v>
      </c>
      <c r="F20" s="168"/>
      <c r="G20" s="167"/>
      <c r="I20" s="168"/>
      <c r="J20" s="177"/>
      <c r="K20" s="243"/>
      <c r="L20" s="294"/>
    </row>
    <row r="21" spans="1:12" ht="13.15" customHeight="1">
      <c r="A21" s="405">
        <v>20</v>
      </c>
      <c r="B21" s="283">
        <v>33.28</v>
      </c>
      <c r="F21" s="168"/>
      <c r="G21" s="167"/>
      <c r="I21" s="168"/>
      <c r="J21" s="177"/>
      <c r="K21" s="243"/>
      <c r="L21" s="294"/>
    </row>
    <row r="22" spans="1:12" ht="13.15" customHeight="1">
      <c r="A22" s="405">
        <v>21</v>
      </c>
      <c r="B22" s="283">
        <v>32.47</v>
      </c>
      <c r="F22" s="17"/>
      <c r="G22" s="151"/>
      <c r="I22" s="168"/>
      <c r="J22" s="177"/>
      <c r="K22" s="243"/>
      <c r="L22" s="294"/>
    </row>
    <row r="23" spans="1:12" ht="13.15" customHeight="1">
      <c r="A23" s="405">
        <v>22</v>
      </c>
      <c r="B23" s="283">
        <v>33.409999999999997</v>
      </c>
      <c r="D23" s="514"/>
      <c r="E23" s="514"/>
      <c r="F23" s="514"/>
      <c r="G23" s="151"/>
      <c r="I23" s="168"/>
      <c r="J23" s="177"/>
      <c r="K23" s="243"/>
      <c r="L23" s="294"/>
    </row>
    <row r="24" spans="1:12" ht="13.15" customHeight="1">
      <c r="A24" s="405">
        <v>23</v>
      </c>
      <c r="B24" s="283">
        <v>33.020000000000003</v>
      </c>
      <c r="F24" s="17"/>
      <c r="G24" s="151"/>
    </row>
    <row r="25" spans="1:12" ht="13.15" customHeight="1">
      <c r="A25" s="405">
        <v>24</v>
      </c>
      <c r="B25" s="283">
        <v>32.479999999999997</v>
      </c>
      <c r="F25" s="17"/>
      <c r="G25" s="151"/>
      <c r="I25" s="512" t="s">
        <v>37</v>
      </c>
      <c r="J25" s="513"/>
      <c r="K25" s="516"/>
    </row>
    <row r="26" spans="1:12" ht="13.15" customHeight="1">
      <c r="A26" s="405">
        <v>25</v>
      </c>
      <c r="B26" s="283">
        <v>33.549999999999997</v>
      </c>
      <c r="F26" s="17"/>
      <c r="G26" s="151"/>
      <c r="I26" s="307" t="s">
        <v>4</v>
      </c>
      <c r="J26" s="308" t="s">
        <v>5</v>
      </c>
      <c r="K26" s="309" t="s">
        <v>25</v>
      </c>
    </row>
    <row r="27" spans="1:12" ht="13.15" customHeight="1">
      <c r="A27" s="405">
        <v>26</v>
      </c>
      <c r="B27" s="283">
        <v>33.21</v>
      </c>
      <c r="F27" s="17"/>
      <c r="G27" s="151"/>
      <c r="I27" s="242" t="s">
        <v>38</v>
      </c>
      <c r="J27" s="240">
        <v>2.95</v>
      </c>
      <c r="K27" s="243">
        <f>J27-(4.776/12)</f>
        <v>2.552</v>
      </c>
      <c r="L27" t="s">
        <v>39</v>
      </c>
    </row>
    <row r="28" spans="1:12" ht="13.15" customHeight="1">
      <c r="A28" s="405">
        <v>27</v>
      </c>
      <c r="B28" s="283">
        <v>32.71</v>
      </c>
      <c r="F28" s="17"/>
      <c r="G28" s="151"/>
      <c r="I28" s="242" t="s">
        <v>40</v>
      </c>
      <c r="J28" s="240">
        <v>2.85</v>
      </c>
      <c r="K28" s="243">
        <f>J28-(4.776/12)</f>
        <v>2.452</v>
      </c>
      <c r="L28" t="s">
        <v>41</v>
      </c>
    </row>
    <row r="29" spans="1:12" ht="13.15" customHeight="1">
      <c r="A29" s="405">
        <v>28</v>
      </c>
      <c r="B29" s="283">
        <v>33.51</v>
      </c>
      <c r="F29" s="17"/>
      <c r="G29" s="151"/>
    </row>
    <row r="30" spans="1:12" ht="13.15" customHeight="1">
      <c r="A30" s="405">
        <v>29</v>
      </c>
      <c r="B30" s="282">
        <v>33.409999999999997</v>
      </c>
      <c r="F30" s="17"/>
      <c r="G30" s="151"/>
    </row>
    <row r="31" spans="1:12" ht="13.15" customHeight="1">
      <c r="A31" s="405">
        <v>30</v>
      </c>
      <c r="B31" s="283">
        <v>33.14</v>
      </c>
      <c r="F31" s="17"/>
      <c r="G31" s="151"/>
    </row>
    <row r="32" spans="1:12" ht="13.15" customHeight="1">
      <c r="A32" s="405">
        <v>31</v>
      </c>
      <c r="B32" s="283">
        <v>33.130000000000003</v>
      </c>
      <c r="F32" s="17"/>
      <c r="G32" s="151"/>
    </row>
    <row r="33" spans="1:7" ht="13.15" customHeight="1">
      <c r="A33" s="405">
        <v>32</v>
      </c>
      <c r="B33" s="283">
        <v>33.43</v>
      </c>
      <c r="F33" s="17"/>
      <c r="G33" s="151"/>
    </row>
    <row r="34" spans="1:7" ht="13.15" customHeight="1">
      <c r="A34" s="429">
        <v>33</v>
      </c>
      <c r="B34" s="284">
        <v>31.04</v>
      </c>
      <c r="C34" s="246"/>
      <c r="F34" s="17"/>
      <c r="G34" s="151"/>
    </row>
    <row r="35" spans="1:7" ht="13.15" customHeight="1">
      <c r="A35" s="405">
        <v>34</v>
      </c>
      <c r="B35" s="283">
        <v>33.64</v>
      </c>
      <c r="F35" s="17"/>
      <c r="G35" s="151"/>
    </row>
    <row r="36" spans="1:7" ht="13.15" customHeight="1">
      <c r="A36" s="405">
        <v>35</v>
      </c>
      <c r="B36" s="283">
        <v>33.340000000000003</v>
      </c>
      <c r="F36" s="17"/>
      <c r="G36" s="151"/>
    </row>
    <row r="37" spans="1:7" ht="13.15" customHeight="1">
      <c r="A37" s="429">
        <v>36</v>
      </c>
      <c r="B37" s="284">
        <v>31.62</v>
      </c>
      <c r="C37" s="246"/>
      <c r="F37" s="17"/>
      <c r="G37" s="151"/>
    </row>
    <row r="38" spans="1:7" ht="13.15" customHeight="1">
      <c r="A38" s="405">
        <v>37</v>
      </c>
      <c r="B38" s="283">
        <v>32.619999999999997</v>
      </c>
      <c r="F38" s="17"/>
      <c r="G38" s="151"/>
    </row>
    <row r="39" spans="1:7" ht="13.15" customHeight="1">
      <c r="A39" s="405">
        <v>38</v>
      </c>
      <c r="B39" s="283">
        <v>33.01</v>
      </c>
      <c r="F39" s="17"/>
      <c r="G39" s="151"/>
    </row>
    <row r="40" spans="1:7" ht="13.15" customHeight="1">
      <c r="A40" s="405">
        <v>39</v>
      </c>
      <c r="B40" s="283">
        <v>33.450000000000003</v>
      </c>
      <c r="F40" s="17"/>
      <c r="G40" s="151"/>
    </row>
    <row r="41" spans="1:7" ht="13.15" customHeight="1">
      <c r="A41" s="405">
        <v>40</v>
      </c>
      <c r="B41" s="283">
        <v>33.21</v>
      </c>
      <c r="F41" s="17"/>
      <c r="G41" s="151"/>
    </row>
    <row r="42" spans="1:7" ht="13.15" customHeight="1">
      <c r="A42" s="405">
        <v>41</v>
      </c>
      <c r="B42" s="283">
        <v>33.06</v>
      </c>
      <c r="F42" s="17"/>
      <c r="G42" s="151"/>
    </row>
    <row r="43" spans="1:7" ht="13.15" customHeight="1">
      <c r="A43" s="405">
        <v>42</v>
      </c>
      <c r="B43" s="283">
        <v>33.549999999999997</v>
      </c>
      <c r="F43" s="17"/>
      <c r="G43" s="151"/>
    </row>
    <row r="44" spans="1:7" ht="13.15" customHeight="1">
      <c r="A44" s="405">
        <v>43</v>
      </c>
      <c r="B44" s="283">
        <v>33.76</v>
      </c>
      <c r="F44" s="17"/>
      <c r="G44" s="151"/>
    </row>
    <row r="45" spans="1:7" ht="13.15" customHeight="1">
      <c r="A45" s="405">
        <v>44</v>
      </c>
      <c r="B45" s="283">
        <v>32.950000000000003</v>
      </c>
      <c r="F45" s="17"/>
      <c r="G45" s="151"/>
    </row>
    <row r="46" spans="1:7" ht="13.15" customHeight="1">
      <c r="A46" s="429">
        <v>45</v>
      </c>
      <c r="B46" s="284">
        <v>31.58</v>
      </c>
      <c r="C46" s="246"/>
      <c r="F46" s="17"/>
      <c r="G46" s="151"/>
    </row>
    <row r="47" spans="1:7" ht="13.15" customHeight="1">
      <c r="A47" s="405">
        <v>46</v>
      </c>
      <c r="B47" s="283">
        <v>33.15</v>
      </c>
      <c r="F47" s="17"/>
      <c r="G47" s="151"/>
    </row>
    <row r="48" spans="1:7" ht="13.15" customHeight="1">
      <c r="A48" s="405">
        <v>47</v>
      </c>
      <c r="B48" s="283">
        <v>33.33</v>
      </c>
      <c r="F48" s="17"/>
      <c r="G48" s="151"/>
    </row>
    <row r="49" spans="1:7" ht="13.15" customHeight="1">
      <c r="A49" s="405">
        <v>48</v>
      </c>
      <c r="B49" s="283">
        <v>33.36</v>
      </c>
      <c r="F49" s="17"/>
      <c r="G49" s="151"/>
    </row>
    <row r="50" spans="1:7" ht="13.15" customHeight="1">
      <c r="A50" s="405">
        <v>49</v>
      </c>
      <c r="B50" s="283">
        <v>32.32</v>
      </c>
      <c r="F50" s="17"/>
      <c r="G50" s="151"/>
    </row>
    <row r="51" spans="1:7" ht="13.15" customHeight="1">
      <c r="A51" s="405">
        <v>50</v>
      </c>
      <c r="B51" s="283">
        <v>33.21</v>
      </c>
      <c r="F51" s="17"/>
      <c r="G51" s="151"/>
    </row>
    <row r="52" spans="1:7" ht="13.15" customHeight="1">
      <c r="A52" s="429">
        <v>51</v>
      </c>
      <c r="B52" s="284">
        <v>31.08</v>
      </c>
      <c r="C52" s="246"/>
      <c r="F52" s="17"/>
      <c r="G52" s="151"/>
    </row>
    <row r="53" spans="1:7" ht="13.15" customHeight="1">
      <c r="A53" s="405">
        <v>52</v>
      </c>
      <c r="B53" s="283">
        <v>33.19</v>
      </c>
      <c r="F53" s="17"/>
      <c r="G53" s="151"/>
    </row>
    <row r="54" spans="1:7" ht="13.15" customHeight="1">
      <c r="A54" s="405">
        <v>53</v>
      </c>
      <c r="B54" s="283">
        <v>33.26</v>
      </c>
      <c r="F54" s="17"/>
      <c r="G54" s="151"/>
    </row>
    <row r="55" spans="1:7" ht="13.15" customHeight="1">
      <c r="A55" s="405">
        <v>54</v>
      </c>
      <c r="B55" s="283">
        <v>33.46</v>
      </c>
      <c r="F55" s="17"/>
      <c r="G55" s="151"/>
    </row>
    <row r="56" spans="1:7" ht="13.15" customHeight="1">
      <c r="A56" s="405">
        <v>55</v>
      </c>
      <c r="B56" s="283">
        <v>33.28</v>
      </c>
      <c r="F56" s="17"/>
      <c r="G56" s="151"/>
    </row>
    <row r="57" spans="1:7" ht="13.15" customHeight="1">
      <c r="A57" s="433">
        <v>56</v>
      </c>
      <c r="B57" s="282">
        <v>33.18</v>
      </c>
      <c r="F57" s="17"/>
      <c r="G57" s="151"/>
    </row>
    <row r="58" spans="1:7" ht="13.15" customHeight="1">
      <c r="A58" s="405">
        <v>57</v>
      </c>
      <c r="B58" s="283">
        <v>33.33</v>
      </c>
      <c r="F58" s="17"/>
      <c r="G58" s="151"/>
    </row>
    <row r="59" spans="1:7" ht="13.15" customHeight="1">
      <c r="A59" s="405">
        <v>58</v>
      </c>
      <c r="B59" s="283">
        <v>33.36</v>
      </c>
      <c r="F59" s="17"/>
      <c r="G59" s="151"/>
    </row>
    <row r="60" spans="1:7" ht="13.15" customHeight="1">
      <c r="A60" s="405">
        <v>59</v>
      </c>
      <c r="B60" s="283">
        <v>33.21</v>
      </c>
      <c r="F60" s="17"/>
      <c r="G60" s="151"/>
    </row>
    <row r="61" spans="1:7" ht="13.15" customHeight="1">
      <c r="A61" s="429">
        <v>60</v>
      </c>
      <c r="B61" s="284">
        <v>31.38</v>
      </c>
      <c r="C61" s="246"/>
      <c r="F61" s="17"/>
      <c r="G61" s="151"/>
    </row>
    <row r="62" spans="1:7" ht="13.15" customHeight="1">
      <c r="A62" s="405">
        <v>61</v>
      </c>
      <c r="B62" s="283">
        <v>33.51</v>
      </c>
      <c r="F62" s="17"/>
      <c r="G62" s="151"/>
    </row>
    <row r="63" spans="1:7" ht="13.15" customHeight="1">
      <c r="A63" s="405">
        <v>62</v>
      </c>
      <c r="B63" s="283">
        <v>33.06</v>
      </c>
      <c r="F63" s="17"/>
      <c r="G63" s="151"/>
    </row>
    <row r="64" spans="1:7" ht="13.15" customHeight="1">
      <c r="A64" s="405">
        <v>63</v>
      </c>
      <c r="B64" s="283">
        <v>32.880000000000003</v>
      </c>
      <c r="F64" s="17"/>
      <c r="G64" s="151"/>
    </row>
    <row r="65" spans="1:7" ht="13.15" customHeight="1">
      <c r="A65" s="405">
        <v>64</v>
      </c>
      <c r="B65" s="283">
        <v>33.08</v>
      </c>
      <c r="F65" s="17"/>
      <c r="G65" s="151"/>
    </row>
    <row r="66" spans="1:7" ht="13.15" customHeight="1">
      <c r="A66" s="433">
        <v>65</v>
      </c>
      <c r="B66" s="283">
        <v>33</v>
      </c>
      <c r="F66" s="17"/>
      <c r="G66" s="151"/>
    </row>
    <row r="67" spans="1:7" ht="13.15" customHeight="1">
      <c r="A67" s="405">
        <v>66</v>
      </c>
      <c r="B67" s="283">
        <v>32.729999999999997</v>
      </c>
      <c r="F67" s="17"/>
      <c r="G67" s="151"/>
    </row>
    <row r="68" spans="1:7" ht="13.15" customHeight="1">
      <c r="A68" s="405">
        <v>67</v>
      </c>
      <c r="B68" s="283">
        <v>33.049999999999997</v>
      </c>
      <c r="F68" s="17"/>
      <c r="G68" s="151"/>
    </row>
    <row r="69" spans="1:7" ht="13.15" customHeight="1">
      <c r="A69" s="405">
        <v>68</v>
      </c>
      <c r="B69" s="283">
        <v>32.89</v>
      </c>
      <c r="F69" s="17"/>
      <c r="G69" s="151"/>
    </row>
    <row r="70" spans="1:7" ht="13.15" customHeight="1">
      <c r="A70" s="405">
        <v>69</v>
      </c>
      <c r="B70" s="283">
        <v>32.93</v>
      </c>
      <c r="F70" s="17"/>
      <c r="G70" s="151"/>
    </row>
    <row r="71" spans="1:7" ht="13.15" customHeight="1">
      <c r="A71" s="405">
        <v>70</v>
      </c>
      <c r="B71" s="283">
        <v>32.89</v>
      </c>
      <c r="F71" s="17"/>
      <c r="G71" s="151"/>
    </row>
    <row r="72" spans="1:7" ht="13.15" customHeight="1">
      <c r="A72" s="405">
        <v>71</v>
      </c>
      <c r="B72" s="283">
        <v>33.08</v>
      </c>
      <c r="F72" s="17"/>
      <c r="G72" s="151"/>
    </row>
    <row r="73" spans="1:7" ht="13.15" customHeight="1">
      <c r="A73" s="405">
        <v>72</v>
      </c>
      <c r="B73" s="283">
        <v>33.33</v>
      </c>
      <c r="F73" s="17"/>
      <c r="G73" s="151"/>
    </row>
    <row r="74" spans="1:7" ht="13.15" customHeight="1">
      <c r="A74" s="405">
        <v>73</v>
      </c>
      <c r="B74" s="283">
        <v>32.49</v>
      </c>
      <c r="F74" s="17"/>
      <c r="G74" s="151"/>
    </row>
    <row r="75" spans="1:7" ht="13.15" customHeight="1">
      <c r="A75" s="429">
        <v>74</v>
      </c>
      <c r="B75" s="284">
        <v>31.46</v>
      </c>
      <c r="C75" s="246"/>
      <c r="F75" s="17"/>
      <c r="G75" s="151"/>
    </row>
    <row r="76" spans="1:7" ht="13.15" customHeight="1">
      <c r="A76" s="405">
        <v>75</v>
      </c>
      <c r="B76" s="283">
        <v>33.21</v>
      </c>
      <c r="F76" s="17"/>
      <c r="G76" s="151"/>
    </row>
    <row r="77" spans="1:7" ht="13.15" customHeight="1">
      <c r="A77" s="405">
        <v>76</v>
      </c>
      <c r="B77" s="283">
        <v>32.659999999999997</v>
      </c>
      <c r="F77" s="17"/>
      <c r="G77" s="151"/>
    </row>
    <row r="78" spans="1:7" ht="13.15" customHeight="1">
      <c r="A78" s="429">
        <v>77</v>
      </c>
      <c r="B78" s="284">
        <v>31.41</v>
      </c>
      <c r="C78" s="246"/>
      <c r="F78" s="17"/>
      <c r="G78" s="151"/>
    </row>
    <row r="79" spans="1:7" ht="13.15" customHeight="1">
      <c r="A79" s="405">
        <v>78</v>
      </c>
      <c r="B79" s="283">
        <v>33.46</v>
      </c>
      <c r="F79" s="17"/>
      <c r="G79" s="151"/>
    </row>
    <row r="80" spans="1:7" ht="13.15" customHeight="1">
      <c r="A80" s="434">
        <v>79</v>
      </c>
      <c r="B80" s="435" t="s">
        <v>42</v>
      </c>
      <c r="C80" s="436" t="s">
        <v>43</v>
      </c>
      <c r="F80" s="17"/>
      <c r="G80" s="151"/>
    </row>
    <row r="81" spans="1:7" ht="13.15" customHeight="1">
      <c r="A81" s="405">
        <v>80</v>
      </c>
      <c r="B81" s="283">
        <v>33.049999999999997</v>
      </c>
      <c r="F81" s="17"/>
      <c r="G81" s="151"/>
    </row>
    <row r="82" spans="1:7" ht="13.15" customHeight="1">
      <c r="A82" s="405">
        <v>81</v>
      </c>
      <c r="B82" s="283">
        <v>32.700000000000003</v>
      </c>
      <c r="F82" s="17"/>
      <c r="G82" s="151"/>
    </row>
    <row r="83" spans="1:7" ht="13.15" customHeight="1">
      <c r="A83" s="405">
        <v>82</v>
      </c>
      <c r="B83" s="283">
        <v>33</v>
      </c>
      <c r="F83" s="17"/>
      <c r="G83" s="151"/>
    </row>
    <row r="84" spans="1:7" ht="13.15" customHeight="1">
      <c r="A84" s="405">
        <v>83</v>
      </c>
      <c r="B84" s="282">
        <v>33.049999999999997</v>
      </c>
      <c r="F84" s="17"/>
      <c r="G84" s="151"/>
    </row>
    <row r="85" spans="1:7" ht="13.15" customHeight="1">
      <c r="A85" s="429">
        <v>84</v>
      </c>
      <c r="B85" s="284">
        <v>31.19</v>
      </c>
      <c r="C85" s="246"/>
      <c r="F85" s="17"/>
      <c r="G85" s="151"/>
    </row>
    <row r="86" spans="1:7" ht="13.15" customHeight="1">
      <c r="A86" s="405">
        <v>85</v>
      </c>
      <c r="B86" s="283">
        <v>33</v>
      </c>
      <c r="F86" s="17"/>
      <c r="G86" s="151"/>
    </row>
    <row r="87" spans="1:7" ht="13.15" customHeight="1">
      <c r="A87" s="405">
        <v>86</v>
      </c>
      <c r="B87" s="283">
        <v>33.07</v>
      </c>
      <c r="F87" s="17"/>
      <c r="G87" s="151"/>
    </row>
    <row r="88" spans="1:7" ht="13.15" customHeight="1">
      <c r="A88" s="405">
        <v>87</v>
      </c>
      <c r="B88" s="283">
        <v>32.700000000000003</v>
      </c>
      <c r="F88" s="17"/>
      <c r="G88" s="151"/>
    </row>
    <row r="89" spans="1:7" ht="13.15" customHeight="1">
      <c r="A89" s="405">
        <v>88</v>
      </c>
      <c r="B89" s="283">
        <v>32.909999999999997</v>
      </c>
      <c r="F89" s="17"/>
      <c r="G89" s="151"/>
    </row>
    <row r="90" spans="1:7" ht="13.15" customHeight="1">
      <c r="A90" s="405">
        <v>89</v>
      </c>
      <c r="B90" s="283">
        <v>33.47</v>
      </c>
      <c r="F90" s="17"/>
      <c r="G90" s="151"/>
    </row>
    <row r="91" spans="1:7" ht="13.15" customHeight="1">
      <c r="A91" s="405">
        <v>90</v>
      </c>
      <c r="B91" s="283">
        <v>32.97</v>
      </c>
      <c r="F91" s="17"/>
      <c r="G91" s="151"/>
    </row>
    <row r="92" spans="1:7" ht="13.15" customHeight="1">
      <c r="A92" s="405">
        <v>91</v>
      </c>
      <c r="B92" s="283">
        <v>33.479999999999997</v>
      </c>
      <c r="F92" s="17"/>
      <c r="G92" s="151"/>
    </row>
    <row r="93" spans="1:7" ht="13.15" customHeight="1">
      <c r="A93" s="405">
        <v>92</v>
      </c>
      <c r="B93" s="283">
        <v>33.270000000000003</v>
      </c>
      <c r="F93" s="17"/>
      <c r="G93" s="151"/>
    </row>
    <row r="94" spans="1:7" ht="13.15" customHeight="1">
      <c r="A94" s="405">
        <v>93</v>
      </c>
      <c r="B94" s="283">
        <v>33.39</v>
      </c>
      <c r="F94" s="17"/>
      <c r="G94" s="151"/>
    </row>
    <row r="95" spans="1:7" ht="13.15" customHeight="1">
      <c r="A95" s="405">
        <v>94</v>
      </c>
      <c r="B95" s="283">
        <v>33.42</v>
      </c>
      <c r="F95" s="17"/>
      <c r="G95" s="151"/>
    </row>
    <row r="96" spans="1:7" ht="13.15" customHeight="1">
      <c r="A96" s="433">
        <v>95</v>
      </c>
      <c r="B96" s="283">
        <v>33.57</v>
      </c>
      <c r="F96" s="17"/>
      <c r="G96" s="151"/>
    </row>
    <row r="97" spans="1:7" ht="13.15" customHeight="1">
      <c r="A97" s="405">
        <v>96</v>
      </c>
      <c r="B97" s="283">
        <v>33.39</v>
      </c>
      <c r="F97" s="17"/>
      <c r="G97" s="151"/>
    </row>
    <row r="98" spans="1:7" ht="13.15" customHeight="1">
      <c r="A98" s="405">
        <v>97</v>
      </c>
      <c r="B98" s="283">
        <v>33.39</v>
      </c>
      <c r="F98" s="17"/>
      <c r="G98" s="151"/>
    </row>
    <row r="99" spans="1:7" ht="13.15" customHeight="1">
      <c r="A99" s="405">
        <v>98</v>
      </c>
      <c r="B99" s="283">
        <v>33.32</v>
      </c>
      <c r="F99" s="17"/>
      <c r="G99" s="151"/>
    </row>
    <row r="100" spans="1:7" ht="13.15" customHeight="1">
      <c r="A100" s="405">
        <v>99</v>
      </c>
      <c r="B100" s="283">
        <v>32.700000000000003</v>
      </c>
      <c r="F100" s="17"/>
      <c r="G100" s="151"/>
    </row>
    <row r="101" spans="1:7" ht="13.15" customHeight="1">
      <c r="A101" s="405">
        <v>100</v>
      </c>
      <c r="B101" s="283">
        <v>33.409999999999997</v>
      </c>
      <c r="F101" s="17"/>
      <c r="G101" s="151"/>
    </row>
    <row r="102" spans="1:7" ht="13.15" customHeight="1">
      <c r="A102" s="405">
        <v>101</v>
      </c>
      <c r="B102" s="283">
        <v>33.409999999999997</v>
      </c>
      <c r="F102" s="17"/>
      <c r="G102" s="151"/>
    </row>
    <row r="103" spans="1:7" ht="13.15" customHeight="1">
      <c r="A103" s="405">
        <v>102</v>
      </c>
      <c r="B103" s="283">
        <v>33.07</v>
      </c>
      <c r="F103" s="17"/>
      <c r="G103" s="151"/>
    </row>
    <row r="104" spans="1:7" ht="13.15" customHeight="1">
      <c r="A104" s="405">
        <v>103</v>
      </c>
      <c r="B104" s="283">
        <v>33.72</v>
      </c>
      <c r="F104" s="17"/>
      <c r="G104" s="151"/>
    </row>
    <row r="105" spans="1:7" ht="13.15" customHeight="1">
      <c r="A105" s="405">
        <v>104</v>
      </c>
      <c r="B105" s="283">
        <v>33.26</v>
      </c>
      <c r="F105" s="17"/>
      <c r="G105" s="151"/>
    </row>
    <row r="106" spans="1:7" ht="13.15" customHeight="1">
      <c r="A106" s="405">
        <v>105</v>
      </c>
      <c r="B106" s="283">
        <v>33.090000000000003</v>
      </c>
      <c r="F106" s="17"/>
      <c r="G106" s="151"/>
    </row>
    <row r="107" spans="1:7" ht="13.15" customHeight="1">
      <c r="A107" s="405">
        <v>106</v>
      </c>
      <c r="B107" s="283">
        <v>33.21</v>
      </c>
      <c r="F107" s="17"/>
      <c r="G107" s="151"/>
    </row>
    <row r="108" spans="1:7" ht="13.15" customHeight="1">
      <c r="A108" s="405">
        <v>107</v>
      </c>
      <c r="B108" s="283">
        <v>33.049999999999997</v>
      </c>
      <c r="F108" s="17"/>
      <c r="G108" s="151"/>
    </row>
    <row r="109" spans="1:7" ht="13.15" customHeight="1">
      <c r="A109" s="405">
        <v>108</v>
      </c>
      <c r="B109" s="283">
        <v>32.700000000000003</v>
      </c>
      <c r="F109" s="17"/>
      <c r="G109" s="151"/>
    </row>
    <row r="110" spans="1:7" ht="13.15" customHeight="1">
      <c r="A110" s="405">
        <v>109</v>
      </c>
      <c r="B110" s="283">
        <v>32.880000000000003</v>
      </c>
      <c r="F110" s="17"/>
      <c r="G110" s="151"/>
    </row>
    <row r="111" spans="1:7" ht="13.15" customHeight="1">
      <c r="A111" s="433">
        <v>110</v>
      </c>
      <c r="B111" s="282">
        <v>32.909999999999997</v>
      </c>
      <c r="F111" s="17"/>
      <c r="G111" s="151"/>
    </row>
    <row r="112" spans="1:7" ht="13.15" customHeight="1">
      <c r="A112" s="405">
        <v>111</v>
      </c>
      <c r="B112" s="283">
        <v>32.909999999999997</v>
      </c>
      <c r="F112" s="17"/>
      <c r="G112" s="151"/>
    </row>
    <row r="113" spans="1:7" ht="13.15" customHeight="1">
      <c r="A113" s="405">
        <v>112</v>
      </c>
      <c r="B113" s="283">
        <v>32.99</v>
      </c>
      <c r="F113" s="17"/>
      <c r="G113" s="151"/>
    </row>
    <row r="114" spans="1:7" ht="13.15" customHeight="1">
      <c r="A114" s="405">
        <v>113</v>
      </c>
      <c r="B114" s="283">
        <v>33.17</v>
      </c>
      <c r="F114" s="17"/>
      <c r="G114" s="151"/>
    </row>
    <row r="115" spans="1:7" ht="13.15" customHeight="1">
      <c r="A115" s="405">
        <v>114</v>
      </c>
      <c r="B115" s="283">
        <v>32.92</v>
      </c>
      <c r="F115" s="17"/>
      <c r="G115" s="151"/>
    </row>
    <row r="116" spans="1:7" ht="13.15" customHeight="1">
      <c r="A116" s="405">
        <v>115</v>
      </c>
      <c r="B116" s="283">
        <v>33.08</v>
      </c>
      <c r="F116" s="17"/>
      <c r="G116" s="151"/>
    </row>
    <row r="117" spans="1:7" ht="13.15" customHeight="1">
      <c r="A117" s="405">
        <v>116</v>
      </c>
      <c r="B117" s="283">
        <v>33.39</v>
      </c>
      <c r="F117" s="17"/>
      <c r="G117" s="151"/>
    </row>
    <row r="118" spans="1:7" ht="13.15" customHeight="1">
      <c r="A118" s="405">
        <v>117</v>
      </c>
      <c r="B118" s="283">
        <v>32.880000000000003</v>
      </c>
      <c r="F118" s="17"/>
      <c r="G118" s="151"/>
    </row>
    <row r="119" spans="1:7" ht="13.15" customHeight="1">
      <c r="A119" s="405">
        <v>118</v>
      </c>
      <c r="B119" s="283">
        <v>33.24</v>
      </c>
      <c r="F119" s="17"/>
      <c r="G119" s="151"/>
    </row>
    <row r="120" spans="1:7" ht="13.15" customHeight="1">
      <c r="A120" s="405">
        <v>119</v>
      </c>
      <c r="B120" s="283">
        <v>33.22</v>
      </c>
      <c r="F120" s="17"/>
      <c r="G120" s="151"/>
    </row>
    <row r="121" spans="1:7" ht="13.15" customHeight="1">
      <c r="A121" s="405">
        <v>120</v>
      </c>
      <c r="B121" s="283">
        <v>33.130000000000003</v>
      </c>
      <c r="F121" s="17"/>
      <c r="G121" s="151"/>
    </row>
    <row r="122" spans="1:7" ht="13.15" customHeight="1">
      <c r="A122" s="405">
        <v>121</v>
      </c>
      <c r="B122" s="283">
        <v>32.71</v>
      </c>
      <c r="F122" s="17"/>
      <c r="G122" s="151"/>
    </row>
    <row r="123" spans="1:7" ht="13.15" customHeight="1">
      <c r="A123" s="405">
        <v>122</v>
      </c>
      <c r="B123" s="283">
        <v>33.54</v>
      </c>
      <c r="F123" s="17"/>
      <c r="G123" s="151"/>
    </row>
    <row r="124" spans="1:7" ht="13.15" customHeight="1">
      <c r="A124" s="429">
        <v>123</v>
      </c>
      <c r="B124" s="284">
        <v>31.15</v>
      </c>
      <c r="C124" s="246"/>
      <c r="F124" s="17"/>
      <c r="G124" s="151"/>
    </row>
    <row r="125" spans="1:7" ht="13.15" customHeight="1">
      <c r="A125" s="405">
        <v>124</v>
      </c>
      <c r="B125" s="283">
        <v>33.299999999999997</v>
      </c>
      <c r="F125" s="17"/>
      <c r="G125" s="151"/>
    </row>
    <row r="126" spans="1:7" ht="13.15" customHeight="1">
      <c r="A126" s="405">
        <v>125</v>
      </c>
      <c r="B126" s="283">
        <v>33.5</v>
      </c>
      <c r="F126" s="17"/>
      <c r="G126" s="151"/>
    </row>
    <row r="127" spans="1:7" ht="13.15" customHeight="1">
      <c r="A127" s="405">
        <v>126</v>
      </c>
      <c r="B127" s="283">
        <v>33.03</v>
      </c>
      <c r="F127" s="17"/>
      <c r="G127" s="151"/>
    </row>
    <row r="128" spans="1:7" ht="13.15" customHeight="1">
      <c r="A128" s="405">
        <v>127</v>
      </c>
      <c r="B128" s="283">
        <v>33.44</v>
      </c>
      <c r="F128" s="17"/>
      <c r="G128" s="151"/>
    </row>
    <row r="129" spans="1:7" ht="13.15" customHeight="1">
      <c r="A129" s="405">
        <v>128</v>
      </c>
      <c r="B129" s="283">
        <v>33.33</v>
      </c>
      <c r="F129" s="17"/>
      <c r="G129" s="151"/>
    </row>
    <row r="130" spans="1:7" ht="13.15" customHeight="1">
      <c r="A130" s="405">
        <v>129</v>
      </c>
      <c r="B130" s="283">
        <v>33.369999999999997</v>
      </c>
      <c r="F130" s="17"/>
      <c r="G130" s="151"/>
    </row>
    <row r="131" spans="1:7" ht="13.15" customHeight="1">
      <c r="A131" s="405">
        <v>130</v>
      </c>
      <c r="B131" s="283">
        <v>33.22</v>
      </c>
      <c r="F131" s="17"/>
      <c r="G131" s="151"/>
    </row>
    <row r="132" spans="1:7" ht="13.15" customHeight="1">
      <c r="A132" s="405">
        <v>131</v>
      </c>
      <c r="B132" s="283">
        <v>33.299999999999997</v>
      </c>
      <c r="F132" s="17"/>
      <c r="G132" s="151"/>
    </row>
    <row r="133" spans="1:7" ht="13.15" customHeight="1">
      <c r="A133" s="405">
        <v>132</v>
      </c>
      <c r="B133" s="283">
        <v>33.159999999999997</v>
      </c>
      <c r="F133" s="17"/>
      <c r="G133" s="151"/>
    </row>
    <row r="134" spans="1:7" ht="13.15" customHeight="1">
      <c r="A134" s="405">
        <v>133</v>
      </c>
      <c r="B134" s="283">
        <v>33.5</v>
      </c>
      <c r="F134" s="17"/>
      <c r="G134" s="151"/>
    </row>
    <row r="135" spans="1:7" ht="13.15" customHeight="1">
      <c r="A135" s="405">
        <v>134</v>
      </c>
      <c r="B135" s="283">
        <v>33.08</v>
      </c>
      <c r="F135" s="17"/>
      <c r="G135" s="151"/>
    </row>
    <row r="136" spans="1:7" ht="13.15" customHeight="1">
      <c r="A136" s="405">
        <v>135</v>
      </c>
      <c r="B136" s="283">
        <v>32.57</v>
      </c>
      <c r="F136" s="17"/>
      <c r="G136" s="151"/>
    </row>
    <row r="137" spans="1:7" ht="13.15" customHeight="1">
      <c r="A137" s="405">
        <v>136</v>
      </c>
      <c r="B137" s="283">
        <v>33.11</v>
      </c>
      <c r="F137" s="17"/>
      <c r="G137" s="151"/>
    </row>
    <row r="138" spans="1:7" ht="13.15" customHeight="1">
      <c r="A138" s="405">
        <v>137</v>
      </c>
      <c r="B138" s="282">
        <v>33.18</v>
      </c>
      <c r="F138" s="17"/>
      <c r="G138" s="151"/>
    </row>
    <row r="139" spans="1:7" ht="13.15" customHeight="1">
      <c r="A139" s="405">
        <v>138</v>
      </c>
      <c r="B139" s="283">
        <v>32.57</v>
      </c>
      <c r="F139" s="17"/>
      <c r="G139" s="151"/>
    </row>
    <row r="140" spans="1:7" ht="13.15" customHeight="1">
      <c r="A140" s="405">
        <v>139</v>
      </c>
      <c r="B140" s="283">
        <v>33.11</v>
      </c>
      <c r="F140" s="17"/>
      <c r="G140" s="151"/>
    </row>
    <row r="141" spans="1:7" ht="13.15" customHeight="1">
      <c r="A141" s="405">
        <v>140</v>
      </c>
      <c r="B141" s="283">
        <v>33.130000000000003</v>
      </c>
      <c r="F141" s="17"/>
      <c r="G141" s="151"/>
    </row>
    <row r="142" spans="1:7" ht="13.15" customHeight="1">
      <c r="A142" s="405">
        <v>141</v>
      </c>
      <c r="B142" s="283">
        <v>32.520000000000003</v>
      </c>
      <c r="F142" s="17"/>
      <c r="G142" s="151"/>
    </row>
    <row r="143" spans="1:7" ht="13.15" customHeight="1">
      <c r="A143" s="405">
        <v>142</v>
      </c>
      <c r="B143" s="283">
        <v>33.17</v>
      </c>
      <c r="F143" s="17"/>
      <c r="G143" s="151"/>
    </row>
    <row r="144" spans="1:7" ht="13.15" customHeight="1">
      <c r="A144" s="405">
        <v>143</v>
      </c>
      <c r="B144" s="283">
        <v>33.5</v>
      </c>
      <c r="F144" s="17"/>
      <c r="G144" s="151"/>
    </row>
    <row r="145" spans="1:7" ht="13.15" customHeight="1">
      <c r="A145" s="405">
        <v>144</v>
      </c>
      <c r="B145" s="283">
        <v>33.299999999999997</v>
      </c>
      <c r="F145" s="17"/>
      <c r="G145" s="151"/>
    </row>
    <row r="146" spans="1:7" ht="13.15" customHeight="1">
      <c r="A146" s="405">
        <v>145</v>
      </c>
      <c r="B146" s="283">
        <v>33.380000000000003</v>
      </c>
      <c r="F146" s="17"/>
      <c r="G146" s="151"/>
    </row>
    <row r="147" spans="1:7" ht="13.15" customHeight="1">
      <c r="A147" s="405">
        <v>146</v>
      </c>
      <c r="B147" s="283">
        <v>33.450000000000003</v>
      </c>
      <c r="F147" s="17"/>
      <c r="G147" s="151"/>
    </row>
    <row r="148" spans="1:7" ht="13.15" customHeight="1">
      <c r="A148" s="405">
        <v>147</v>
      </c>
      <c r="B148" s="283">
        <v>33.35</v>
      </c>
      <c r="F148" s="17"/>
      <c r="G148" s="151"/>
    </row>
    <row r="149" spans="1:7" ht="13.15" customHeight="1">
      <c r="A149" s="405">
        <v>148</v>
      </c>
      <c r="B149" s="283">
        <v>33.700000000000003</v>
      </c>
      <c r="F149" s="17"/>
      <c r="G149" s="151"/>
    </row>
    <row r="150" spans="1:7" ht="13.15" customHeight="1">
      <c r="A150" s="433">
        <v>149</v>
      </c>
      <c r="B150" s="283">
        <v>33.43</v>
      </c>
      <c r="F150" s="17"/>
      <c r="G150" s="151"/>
    </row>
    <row r="151" spans="1:7" ht="13.15" customHeight="1">
      <c r="A151" s="405">
        <v>150</v>
      </c>
      <c r="B151" s="283">
        <v>32.99</v>
      </c>
      <c r="F151" s="17"/>
      <c r="G151" s="151"/>
    </row>
    <row r="152" spans="1:7" ht="13.15" customHeight="1">
      <c r="A152" s="405">
        <v>151</v>
      </c>
      <c r="B152" s="283">
        <v>33.520000000000003</v>
      </c>
      <c r="F152" s="17"/>
      <c r="G152" s="151"/>
    </row>
    <row r="153" spans="1:7" ht="13.15" customHeight="1">
      <c r="A153" s="405">
        <v>152</v>
      </c>
      <c r="B153" s="283">
        <v>33.42</v>
      </c>
      <c r="F153" s="17"/>
      <c r="G153" s="151"/>
    </row>
    <row r="154" spans="1:7" ht="13.15" customHeight="1">
      <c r="A154" s="405">
        <v>153</v>
      </c>
      <c r="B154" s="283">
        <v>33.299999999999997</v>
      </c>
      <c r="F154" s="17"/>
      <c r="G154" s="151"/>
    </row>
    <row r="155" spans="1:7" ht="13.15" customHeight="1">
      <c r="A155" s="405">
        <v>154</v>
      </c>
      <c r="B155" s="283">
        <v>33.549999999999997</v>
      </c>
      <c r="F155" s="17"/>
      <c r="G155" s="151"/>
    </row>
    <row r="156" spans="1:7" ht="13.15" customHeight="1">
      <c r="A156" s="405">
        <v>155</v>
      </c>
      <c r="B156" s="283">
        <v>32.17</v>
      </c>
      <c r="F156" s="17"/>
      <c r="G156" s="151"/>
    </row>
    <row r="157" spans="1:7" ht="13.15" customHeight="1">
      <c r="A157" s="429">
        <v>156</v>
      </c>
      <c r="B157" s="284">
        <v>31.33</v>
      </c>
      <c r="C157" s="246"/>
      <c r="F157" s="17"/>
      <c r="G157" s="151"/>
    </row>
    <row r="158" spans="1:7" ht="13.15" customHeight="1">
      <c r="A158" s="405">
        <v>157</v>
      </c>
      <c r="B158" s="283">
        <v>33.03</v>
      </c>
      <c r="F158" s="17"/>
      <c r="G158" s="151"/>
    </row>
    <row r="159" spans="1:7" ht="13.15" customHeight="1">
      <c r="A159" s="405">
        <v>158</v>
      </c>
      <c r="B159" s="283">
        <v>33.43</v>
      </c>
      <c r="F159" s="17"/>
      <c r="G159" s="151"/>
    </row>
    <row r="160" spans="1:7" ht="13.15" customHeight="1">
      <c r="A160" s="405">
        <v>159</v>
      </c>
      <c r="B160" s="283">
        <v>33</v>
      </c>
      <c r="F160" s="17"/>
      <c r="G160" s="151"/>
    </row>
    <row r="161" spans="1:7" ht="13.15" customHeight="1">
      <c r="A161" s="405">
        <v>160</v>
      </c>
      <c r="B161" s="283">
        <v>33.33</v>
      </c>
      <c r="F161" s="17"/>
      <c r="G161" s="151"/>
    </row>
    <row r="162" spans="1:7" ht="13.15" customHeight="1">
      <c r="A162" s="405">
        <v>161</v>
      </c>
      <c r="B162" s="283">
        <v>32.69</v>
      </c>
      <c r="F162" s="17"/>
      <c r="G162" s="151"/>
    </row>
    <row r="163" spans="1:7" ht="13.15" customHeight="1">
      <c r="A163" s="405">
        <v>162</v>
      </c>
      <c r="B163" s="283">
        <v>32.44</v>
      </c>
      <c r="F163" s="17"/>
      <c r="G163" s="151"/>
    </row>
    <row r="164" spans="1:7" ht="13.15" customHeight="1">
      <c r="A164" s="405">
        <v>163</v>
      </c>
      <c r="B164" s="283">
        <v>33.17</v>
      </c>
      <c r="F164" s="17"/>
      <c r="G164" s="151"/>
    </row>
    <row r="165" spans="1:7" ht="13.15" customHeight="1">
      <c r="A165" s="405">
        <v>164</v>
      </c>
      <c r="B165" s="282">
        <v>33.340000000000003</v>
      </c>
      <c r="F165" s="17"/>
      <c r="G165" s="151"/>
    </row>
    <row r="166" spans="1:7" ht="13.15" customHeight="1">
      <c r="A166" s="429">
        <v>165</v>
      </c>
      <c r="B166" s="284">
        <v>31.17</v>
      </c>
      <c r="C166" s="246"/>
      <c r="F166" s="17"/>
      <c r="G166" s="151"/>
    </row>
    <row r="167" spans="1:7" ht="13.15" customHeight="1">
      <c r="A167" s="405">
        <v>166</v>
      </c>
      <c r="B167" s="283">
        <v>33</v>
      </c>
      <c r="F167" s="17"/>
      <c r="G167" s="151"/>
    </row>
    <row r="168" spans="1:7" ht="13.15" customHeight="1">
      <c r="A168" s="433">
        <v>167</v>
      </c>
      <c r="B168" s="283">
        <v>32.68</v>
      </c>
      <c r="F168" s="17"/>
      <c r="G168" s="151"/>
    </row>
    <row r="169" spans="1:7" ht="13.15" customHeight="1">
      <c r="A169" s="405">
        <v>168</v>
      </c>
      <c r="B169" s="283">
        <v>32.729999999999997</v>
      </c>
      <c r="F169" s="17"/>
      <c r="G169" s="151"/>
    </row>
    <row r="170" spans="1:7" ht="13.15" customHeight="1">
      <c r="A170" s="405">
        <v>169</v>
      </c>
      <c r="B170" s="283">
        <v>33.42</v>
      </c>
      <c r="F170" s="17"/>
      <c r="G170" s="151"/>
    </row>
    <row r="171" spans="1:7" ht="13.15" customHeight="1">
      <c r="A171" s="405">
        <v>170</v>
      </c>
      <c r="B171" s="283">
        <v>32.94</v>
      </c>
      <c r="F171" s="17"/>
      <c r="G171" s="151"/>
    </row>
    <row r="172" spans="1:7" ht="13.15" customHeight="1">
      <c r="A172" s="405">
        <v>171</v>
      </c>
      <c r="B172" s="283">
        <v>32.81</v>
      </c>
      <c r="F172" s="17"/>
      <c r="G172" s="151"/>
    </row>
    <row r="173" spans="1:7" ht="13.15" customHeight="1">
      <c r="A173" s="429">
        <v>172</v>
      </c>
      <c r="B173" s="284">
        <v>31.28</v>
      </c>
      <c r="C173" s="246"/>
      <c r="F173" s="17"/>
      <c r="G173" s="151"/>
    </row>
    <row r="174" spans="1:7" ht="13.15" customHeight="1">
      <c r="A174" s="405">
        <v>173</v>
      </c>
      <c r="B174" s="283">
        <v>33.659999999999997</v>
      </c>
      <c r="F174" s="17"/>
      <c r="G174" s="151"/>
    </row>
    <row r="175" spans="1:7" ht="13.15" customHeight="1">
      <c r="A175" s="405">
        <v>174</v>
      </c>
      <c r="B175" s="283">
        <v>33.21</v>
      </c>
      <c r="F175" s="17"/>
      <c r="G175" s="151"/>
    </row>
    <row r="176" spans="1:7" ht="13.15" customHeight="1">
      <c r="A176" s="405">
        <v>175</v>
      </c>
      <c r="B176" s="283">
        <v>33.33</v>
      </c>
      <c r="F176" s="17"/>
      <c r="G176" s="151"/>
    </row>
    <row r="177" spans="1:7" ht="13.15" customHeight="1">
      <c r="A177" s="405">
        <v>176</v>
      </c>
      <c r="B177" s="283">
        <v>32.950000000000003</v>
      </c>
      <c r="F177" s="17"/>
      <c r="G177" s="151"/>
    </row>
    <row r="178" spans="1:7" ht="13.15" customHeight="1">
      <c r="A178" s="405">
        <v>177</v>
      </c>
      <c r="B178" s="283">
        <v>33.29</v>
      </c>
      <c r="F178" s="17"/>
      <c r="G178" s="151"/>
    </row>
    <row r="179" spans="1:7" ht="13.15" customHeight="1">
      <c r="A179" s="405">
        <v>178</v>
      </c>
      <c r="B179" s="283">
        <v>32.92</v>
      </c>
      <c r="F179" s="17"/>
      <c r="G179" s="151"/>
    </row>
    <row r="180" spans="1:7" ht="13.15" customHeight="1">
      <c r="A180" s="405">
        <v>179</v>
      </c>
      <c r="B180" s="283">
        <v>32.75</v>
      </c>
      <c r="F180" s="17"/>
      <c r="G180" s="151"/>
    </row>
    <row r="181" spans="1:7" ht="13.15" customHeight="1">
      <c r="A181" s="405">
        <v>180</v>
      </c>
      <c r="B181" s="283">
        <v>33.229999999999997</v>
      </c>
      <c r="F181" s="17"/>
      <c r="G181" s="151"/>
    </row>
    <row r="182" spans="1:7" ht="13.15" customHeight="1">
      <c r="A182" s="405">
        <v>181</v>
      </c>
      <c r="B182" s="283">
        <v>32.69</v>
      </c>
      <c r="F182" s="17"/>
      <c r="G182" s="151"/>
    </row>
    <row r="183" spans="1:7" ht="13.15" customHeight="1">
      <c r="A183" s="433">
        <v>182</v>
      </c>
      <c r="B183" s="283">
        <v>33.130000000000003</v>
      </c>
      <c r="F183" s="17"/>
      <c r="G183" s="151"/>
    </row>
    <row r="184" spans="1:7" ht="13.15" customHeight="1">
      <c r="A184" s="405">
        <v>183</v>
      </c>
      <c r="B184" s="283">
        <v>32.68</v>
      </c>
      <c r="F184" s="17"/>
      <c r="G184" s="151"/>
    </row>
    <row r="185" spans="1:7" ht="13.15" customHeight="1">
      <c r="A185" s="405">
        <v>184</v>
      </c>
      <c r="B185" s="283">
        <v>32.86</v>
      </c>
      <c r="F185" s="17"/>
      <c r="G185" s="151"/>
    </row>
    <row r="186" spans="1:7" ht="13.15" customHeight="1">
      <c r="A186" s="405">
        <v>185</v>
      </c>
      <c r="B186" s="283">
        <v>32.57</v>
      </c>
      <c r="F186" s="17"/>
      <c r="G186" s="151"/>
    </row>
    <row r="187" spans="1:7" ht="13.15" customHeight="1">
      <c r="A187" s="405">
        <v>186</v>
      </c>
      <c r="B187" s="283">
        <v>33.409999999999997</v>
      </c>
      <c r="F187" s="17"/>
      <c r="G187" s="151"/>
    </row>
    <row r="188" spans="1:7" ht="13.15" customHeight="1">
      <c r="A188" s="405">
        <v>187</v>
      </c>
      <c r="B188" s="283">
        <v>33.25</v>
      </c>
      <c r="F188" s="17"/>
      <c r="G188" s="151"/>
    </row>
    <row r="189" spans="1:7" ht="13.15" customHeight="1">
      <c r="A189" s="433">
        <v>188</v>
      </c>
      <c r="B189" s="283">
        <v>32.9</v>
      </c>
      <c r="F189" s="17"/>
      <c r="G189" s="151"/>
    </row>
    <row r="190" spans="1:7" ht="13.15" customHeight="1">
      <c r="A190" s="405">
        <v>189</v>
      </c>
      <c r="B190" s="283">
        <v>33.270000000000003</v>
      </c>
      <c r="F190" s="17"/>
      <c r="G190" s="151"/>
    </row>
    <row r="191" spans="1:7" ht="13.15" customHeight="1">
      <c r="A191" s="405">
        <v>190</v>
      </c>
      <c r="B191" s="283">
        <v>33.58</v>
      </c>
      <c r="F191" s="17"/>
      <c r="G191" s="151"/>
    </row>
    <row r="192" spans="1:7" ht="13.15" customHeight="1">
      <c r="A192" s="405">
        <v>191</v>
      </c>
      <c r="B192" s="282">
        <v>33.03</v>
      </c>
      <c r="F192" s="17"/>
      <c r="G192" s="151"/>
    </row>
    <row r="193" spans="1:7" ht="13.15" customHeight="1">
      <c r="A193" s="405">
        <v>192</v>
      </c>
      <c r="B193" s="283">
        <v>33.21</v>
      </c>
      <c r="F193" s="17"/>
      <c r="G193" s="151"/>
    </row>
    <row r="194" spans="1:7" ht="13.15" customHeight="1">
      <c r="A194" s="405">
        <v>193</v>
      </c>
      <c r="B194" s="283">
        <v>33.479999999999997</v>
      </c>
      <c r="F194" s="17"/>
      <c r="G194" s="151"/>
    </row>
    <row r="195" spans="1:7" ht="13.15" customHeight="1">
      <c r="A195" s="429">
        <v>194</v>
      </c>
      <c r="B195" s="284">
        <v>31.49</v>
      </c>
      <c r="C195" s="246"/>
      <c r="F195" s="17"/>
      <c r="G195" s="151"/>
    </row>
    <row r="196" spans="1:7" ht="13.15" customHeight="1">
      <c r="A196" s="405">
        <v>195</v>
      </c>
      <c r="B196" s="283">
        <v>33.409999999999997</v>
      </c>
      <c r="F196" s="17"/>
      <c r="G196" s="151"/>
    </row>
    <row r="197" spans="1:7" ht="13.15" customHeight="1">
      <c r="A197" s="405">
        <v>196</v>
      </c>
      <c r="B197" s="283">
        <v>33.54</v>
      </c>
      <c r="F197" s="17"/>
      <c r="G197" s="151"/>
    </row>
    <row r="198" spans="1:7" ht="13.15" customHeight="1">
      <c r="A198" s="433">
        <v>197</v>
      </c>
      <c r="B198" s="283">
        <v>33.33</v>
      </c>
      <c r="F198" s="17"/>
      <c r="G198" s="151"/>
    </row>
    <row r="199" spans="1:7" ht="13.15" customHeight="1">
      <c r="A199" s="405">
        <v>198</v>
      </c>
      <c r="B199" s="283">
        <v>33.369999999999997</v>
      </c>
      <c r="F199" s="17"/>
      <c r="G199" s="151"/>
    </row>
    <row r="200" spans="1:7" ht="13.15" customHeight="1">
      <c r="A200" s="405">
        <v>199</v>
      </c>
      <c r="B200" s="283">
        <v>33.479999999999997</v>
      </c>
      <c r="F200" s="17"/>
      <c r="G200" s="151"/>
    </row>
    <row r="201" spans="1:7" ht="13.15" customHeight="1">
      <c r="A201" s="405">
        <v>200</v>
      </c>
      <c r="B201" s="283">
        <v>33.32</v>
      </c>
      <c r="F201" s="17"/>
      <c r="G201" s="151"/>
    </row>
    <row r="202" spans="1:7" ht="13.15" customHeight="1">
      <c r="A202" s="405">
        <v>201</v>
      </c>
      <c r="B202" s="283">
        <v>33.020000000000003</v>
      </c>
      <c r="F202" s="17"/>
      <c r="G202" s="151"/>
    </row>
    <row r="203" spans="1:7" ht="13.15" customHeight="1">
      <c r="A203" s="405">
        <v>202</v>
      </c>
      <c r="B203" s="283">
        <v>33.43</v>
      </c>
      <c r="F203" s="17"/>
      <c r="G203" s="151"/>
    </row>
    <row r="204" spans="1:7" ht="13.15" customHeight="1">
      <c r="A204" s="405">
        <v>203</v>
      </c>
      <c r="B204" s="283">
        <v>31.93</v>
      </c>
      <c r="F204" s="17"/>
      <c r="G204" s="151"/>
    </row>
    <row r="205" spans="1:7" ht="13.15" customHeight="1">
      <c r="A205" s="405">
        <v>204</v>
      </c>
      <c r="B205" s="283">
        <v>33.36</v>
      </c>
      <c r="F205" s="17"/>
      <c r="G205" s="151"/>
    </row>
    <row r="206" spans="1:7" ht="13.15" customHeight="1">
      <c r="A206" s="405">
        <v>205</v>
      </c>
      <c r="B206" s="283">
        <v>33.409999999999997</v>
      </c>
      <c r="F206" s="17"/>
      <c r="G206" s="151"/>
    </row>
    <row r="207" spans="1:7" ht="13.15" customHeight="1">
      <c r="A207" s="405">
        <v>206</v>
      </c>
      <c r="B207" s="283">
        <v>32.65</v>
      </c>
      <c r="F207" s="17"/>
      <c r="G207" s="151"/>
    </row>
    <row r="208" spans="1:7" ht="13.15" customHeight="1">
      <c r="A208" s="405">
        <v>207</v>
      </c>
      <c r="B208" s="283">
        <v>33.159999999999997</v>
      </c>
      <c r="F208" s="17"/>
      <c r="G208" s="151"/>
    </row>
    <row r="209" spans="1:7" ht="13.15" customHeight="1">
      <c r="A209" s="405">
        <v>208</v>
      </c>
      <c r="B209" s="283">
        <v>33.19</v>
      </c>
      <c r="F209" s="17"/>
      <c r="G209" s="151"/>
    </row>
    <row r="210" spans="1:7" ht="13.15" customHeight="1">
      <c r="A210" s="405">
        <v>209</v>
      </c>
      <c r="B210" s="283">
        <v>32.58</v>
      </c>
      <c r="F210" s="17"/>
      <c r="G210" s="151"/>
    </row>
    <row r="211" spans="1:7" ht="13.15" customHeight="1">
      <c r="A211" s="405">
        <v>210</v>
      </c>
      <c r="B211" s="283">
        <v>33.4</v>
      </c>
      <c r="F211" s="17"/>
      <c r="G211" s="151"/>
    </row>
    <row r="212" spans="1:7" ht="13.15" customHeight="1">
      <c r="A212" s="405">
        <v>211</v>
      </c>
      <c r="B212" s="283">
        <v>33.270000000000003</v>
      </c>
      <c r="F212" s="17"/>
      <c r="G212" s="151"/>
    </row>
    <row r="213" spans="1:7" ht="13.15" customHeight="1">
      <c r="A213" s="405">
        <v>212</v>
      </c>
      <c r="B213" s="283">
        <v>32.69</v>
      </c>
      <c r="F213" s="17"/>
      <c r="G213" s="151"/>
    </row>
    <row r="214" spans="1:7" ht="13.15" customHeight="1">
      <c r="A214" s="405">
        <v>213</v>
      </c>
      <c r="B214" s="283">
        <v>33.479999999999997</v>
      </c>
      <c r="F214" s="17"/>
      <c r="G214" s="151"/>
    </row>
    <row r="215" spans="1:7" ht="13.15" customHeight="1">
      <c r="A215" s="405">
        <v>214</v>
      </c>
      <c r="B215" s="283">
        <v>33.33</v>
      </c>
      <c r="F215" s="17"/>
      <c r="G215" s="151"/>
    </row>
    <row r="216" spans="1:7" ht="13.15" customHeight="1">
      <c r="A216" s="405">
        <v>215</v>
      </c>
      <c r="B216" s="283">
        <v>32.68</v>
      </c>
      <c r="F216" s="17"/>
      <c r="G216" s="151"/>
    </row>
    <row r="217" spans="1:7" ht="13.15" customHeight="1">
      <c r="A217" s="405">
        <v>216</v>
      </c>
      <c r="B217" s="283">
        <v>33</v>
      </c>
      <c r="F217" s="17"/>
      <c r="G217" s="151"/>
    </row>
    <row r="218" spans="1:7" ht="13.15" customHeight="1">
      <c r="A218" s="405">
        <v>217</v>
      </c>
      <c r="B218" s="283">
        <v>32.44</v>
      </c>
      <c r="F218" s="17"/>
      <c r="G218" s="151"/>
    </row>
    <row r="219" spans="1:7" ht="13.15" customHeight="1">
      <c r="A219" s="405">
        <v>218</v>
      </c>
      <c r="B219" s="282">
        <v>33.11</v>
      </c>
      <c r="F219" s="17"/>
      <c r="G219" s="151"/>
    </row>
    <row r="220" spans="1:7" ht="13.15" customHeight="1">
      <c r="A220" s="405">
        <v>219</v>
      </c>
      <c r="B220" s="283">
        <v>32.590000000000003</v>
      </c>
      <c r="F220" s="17"/>
      <c r="G220" s="151"/>
    </row>
    <row r="221" spans="1:7" ht="13.15" customHeight="1">
      <c r="A221" s="405">
        <v>220</v>
      </c>
      <c r="B221" s="283">
        <v>32.72</v>
      </c>
      <c r="F221" s="17"/>
      <c r="G221" s="151"/>
    </row>
    <row r="222" spans="1:7" ht="13.15" customHeight="1">
      <c r="A222" s="433">
        <v>221</v>
      </c>
      <c r="B222" s="283">
        <v>32.25</v>
      </c>
      <c r="F222" s="17"/>
      <c r="G222" s="151"/>
    </row>
    <row r="223" spans="1:7" ht="13.15" customHeight="1">
      <c r="A223" s="433">
        <v>222</v>
      </c>
      <c r="B223" s="283">
        <v>32.68</v>
      </c>
      <c r="F223" s="17"/>
      <c r="G223" s="151"/>
    </row>
    <row r="224" spans="1:7" ht="13.15" customHeight="1">
      <c r="A224" s="405">
        <v>223</v>
      </c>
      <c r="B224" s="283">
        <v>32.86</v>
      </c>
      <c r="F224" s="17"/>
      <c r="G224" s="151"/>
    </row>
    <row r="225" spans="1:7" ht="13.15" customHeight="1">
      <c r="A225" s="405">
        <v>224</v>
      </c>
      <c r="B225" s="283">
        <v>32.58</v>
      </c>
      <c r="F225" s="17"/>
      <c r="G225" s="151"/>
    </row>
    <row r="226" spans="1:7" ht="13.15" customHeight="1">
      <c r="A226" s="405">
        <v>225</v>
      </c>
      <c r="B226" s="283">
        <v>33.29</v>
      </c>
      <c r="F226" s="17"/>
      <c r="G226" s="151"/>
    </row>
    <row r="227" spans="1:7" ht="13.15" customHeight="1">
      <c r="A227" s="405">
        <v>226</v>
      </c>
      <c r="B227" s="283">
        <v>33.04</v>
      </c>
      <c r="F227" s="17"/>
      <c r="G227" s="151"/>
    </row>
    <row r="228" spans="1:7" ht="13.15" customHeight="1">
      <c r="A228" s="405">
        <v>227</v>
      </c>
      <c r="B228" s="283">
        <v>33.11</v>
      </c>
      <c r="F228" s="17"/>
      <c r="G228" s="151"/>
    </row>
    <row r="229" spans="1:7" ht="13.15" customHeight="1">
      <c r="A229" s="405">
        <v>228</v>
      </c>
      <c r="B229" s="283">
        <v>32.76</v>
      </c>
      <c r="F229" s="17"/>
      <c r="G229" s="151"/>
    </row>
    <row r="230" spans="1:7" ht="13.15" customHeight="1">
      <c r="A230" s="405">
        <v>229</v>
      </c>
      <c r="B230" s="283">
        <v>33.32</v>
      </c>
      <c r="F230" s="17"/>
      <c r="G230" s="151"/>
    </row>
    <row r="231" spans="1:7" ht="13.15" customHeight="1">
      <c r="A231" s="405">
        <v>230</v>
      </c>
      <c r="B231" s="283">
        <v>33.090000000000003</v>
      </c>
      <c r="F231" s="17"/>
      <c r="G231" s="151"/>
    </row>
    <row r="232" spans="1:7" ht="13.15" customHeight="1">
      <c r="A232" s="433">
        <v>231</v>
      </c>
      <c r="B232" s="283">
        <v>33.08</v>
      </c>
      <c r="F232" s="17"/>
      <c r="G232" s="151"/>
    </row>
    <row r="233" spans="1:7" ht="13.15" customHeight="1">
      <c r="A233" s="405">
        <v>232</v>
      </c>
      <c r="B233" s="283">
        <v>33.340000000000003</v>
      </c>
      <c r="E233" s="178"/>
      <c r="F233" s="17"/>
      <c r="G233" s="151"/>
    </row>
    <row r="234" spans="1:7" ht="13.15" customHeight="1">
      <c r="A234" s="405">
        <v>233</v>
      </c>
      <c r="B234" s="283">
        <v>32.57</v>
      </c>
      <c r="E234" s="178"/>
      <c r="F234" s="17"/>
      <c r="G234" s="151"/>
    </row>
    <row r="235" spans="1:7" ht="13.15" customHeight="1">
      <c r="A235" s="405">
        <v>234</v>
      </c>
      <c r="B235" s="283">
        <v>33.24</v>
      </c>
      <c r="F235" s="17"/>
      <c r="G235" s="151"/>
    </row>
    <row r="236" spans="1:7" ht="13.15" customHeight="1">
      <c r="A236" s="405">
        <v>235</v>
      </c>
      <c r="B236" s="283">
        <v>33.31</v>
      </c>
      <c r="F236" s="17"/>
      <c r="G236" s="151"/>
    </row>
    <row r="237" spans="1:7" ht="13.15" customHeight="1">
      <c r="A237" s="405">
        <v>236</v>
      </c>
      <c r="B237" s="283">
        <v>33.380000000000003</v>
      </c>
      <c r="E237" s="178"/>
      <c r="F237" s="17"/>
      <c r="G237" s="151"/>
    </row>
    <row r="238" spans="1:7" ht="13.15" customHeight="1">
      <c r="A238" s="405">
        <v>237</v>
      </c>
      <c r="B238" s="283">
        <v>33.01</v>
      </c>
      <c r="E238" s="178"/>
      <c r="F238" s="17"/>
      <c r="G238" s="151"/>
    </row>
    <row r="239" spans="1:7" ht="13.15" customHeight="1">
      <c r="A239" s="405">
        <v>238</v>
      </c>
      <c r="B239" s="283">
        <v>33.17</v>
      </c>
      <c r="F239" s="17"/>
      <c r="G239" s="151"/>
    </row>
    <row r="240" spans="1:7" ht="13.15" customHeight="1">
      <c r="A240" s="405">
        <v>239</v>
      </c>
      <c r="B240" s="283">
        <v>33.18</v>
      </c>
      <c r="F240" s="17"/>
      <c r="G240" s="151"/>
    </row>
    <row r="241" spans="1:7" ht="13.15" customHeight="1">
      <c r="A241" s="405">
        <v>240</v>
      </c>
      <c r="B241" s="283">
        <v>33.380000000000003</v>
      </c>
      <c r="F241" s="17"/>
      <c r="G241" s="151"/>
    </row>
    <row r="242" spans="1:7" ht="13.15" customHeight="1">
      <c r="A242" s="405">
        <v>241</v>
      </c>
      <c r="B242" s="283">
        <v>33.07</v>
      </c>
      <c r="F242" s="17"/>
      <c r="G242" s="151"/>
    </row>
    <row r="243" spans="1:7" ht="13.15" customHeight="1">
      <c r="A243" s="405">
        <v>242</v>
      </c>
      <c r="B243" s="283">
        <v>32.869999999999997</v>
      </c>
      <c r="F243" s="17"/>
      <c r="G243" s="151"/>
    </row>
    <row r="244" spans="1:7" ht="13.15" customHeight="1">
      <c r="A244" s="405">
        <v>243</v>
      </c>
      <c r="B244" s="283">
        <v>33.18</v>
      </c>
      <c r="F244" s="17"/>
      <c r="G244" s="151"/>
    </row>
    <row r="245" spans="1:7" ht="13.15" customHeight="1">
      <c r="A245" s="405">
        <v>244</v>
      </c>
      <c r="B245" s="283">
        <v>32.86</v>
      </c>
      <c r="F245" s="17"/>
      <c r="G245" s="151"/>
    </row>
    <row r="246" spans="1:7" ht="13.15" customHeight="1">
      <c r="A246" s="405">
        <v>245</v>
      </c>
      <c r="B246" s="282">
        <v>32.9</v>
      </c>
      <c r="F246" s="17"/>
      <c r="G246" s="151"/>
    </row>
    <row r="247" spans="1:7" ht="13.15" customHeight="1">
      <c r="A247" s="405">
        <v>246</v>
      </c>
      <c r="B247" s="283">
        <v>32.659999999999997</v>
      </c>
      <c r="F247" s="17"/>
      <c r="G247" s="151"/>
    </row>
    <row r="248" spans="1:7" ht="13.15" customHeight="1">
      <c r="A248" s="405">
        <v>247</v>
      </c>
      <c r="B248" s="283">
        <v>32.92</v>
      </c>
      <c r="F248" s="17"/>
      <c r="G248" s="151"/>
    </row>
    <row r="249" spans="1:7" ht="13.15" customHeight="1">
      <c r="A249" s="429">
        <v>248</v>
      </c>
      <c r="B249" s="284">
        <v>30.98</v>
      </c>
      <c r="C249" s="246"/>
      <c r="F249" s="17"/>
      <c r="G249" s="151"/>
    </row>
    <row r="250" spans="1:7" ht="13.15" customHeight="1">
      <c r="A250" s="405">
        <v>249</v>
      </c>
      <c r="B250" s="283">
        <v>32.99</v>
      </c>
      <c r="F250" s="17"/>
      <c r="G250" s="151"/>
    </row>
    <row r="251" spans="1:7" ht="13.15" customHeight="1">
      <c r="A251" s="405">
        <v>250</v>
      </c>
      <c r="B251" s="283">
        <v>33.07</v>
      </c>
      <c r="F251" s="17"/>
      <c r="G251" s="151"/>
    </row>
    <row r="252" spans="1:7" ht="13.15" customHeight="1">
      <c r="A252" s="429">
        <v>251</v>
      </c>
      <c r="B252" s="284">
        <v>31.29</v>
      </c>
      <c r="C252" s="246"/>
      <c r="F252" s="17"/>
      <c r="G252" s="151"/>
    </row>
    <row r="253" spans="1:7" ht="13.15" customHeight="1">
      <c r="A253" s="405">
        <v>252</v>
      </c>
      <c r="B253" s="283">
        <v>33.44</v>
      </c>
      <c r="F253" s="17"/>
      <c r="G253" s="151"/>
    </row>
    <row r="254" spans="1:7" ht="13.15" customHeight="1">
      <c r="A254" s="405">
        <v>253</v>
      </c>
      <c r="B254" s="283">
        <v>32.68</v>
      </c>
      <c r="F254" s="17"/>
      <c r="G254" s="151"/>
    </row>
    <row r="255" spans="1:7" ht="13.15" customHeight="1">
      <c r="A255" s="405">
        <v>254</v>
      </c>
      <c r="B255" s="283">
        <v>33.17</v>
      </c>
      <c r="F255" s="17"/>
      <c r="G255" s="151"/>
    </row>
    <row r="256" spans="1:7" ht="13.15" customHeight="1">
      <c r="A256" s="405">
        <v>255</v>
      </c>
      <c r="B256" s="283">
        <v>33.07</v>
      </c>
      <c r="F256" s="17"/>
      <c r="G256" s="151"/>
    </row>
    <row r="257" spans="1:7" ht="13.15" customHeight="1">
      <c r="A257" s="405">
        <v>256</v>
      </c>
      <c r="B257" s="283">
        <v>33.229999999999997</v>
      </c>
      <c r="F257" s="17"/>
      <c r="G257" s="151"/>
    </row>
    <row r="258" spans="1:7" ht="13.15" customHeight="1">
      <c r="A258" s="405">
        <v>257</v>
      </c>
      <c r="B258" s="283">
        <v>33</v>
      </c>
      <c r="F258" s="17"/>
      <c r="G258" s="151"/>
    </row>
    <row r="259" spans="1:7" ht="13.15" customHeight="1">
      <c r="A259" s="405">
        <v>258</v>
      </c>
      <c r="B259" s="283">
        <v>33.04</v>
      </c>
      <c r="F259" s="17"/>
      <c r="G259" s="151"/>
    </row>
    <row r="260" spans="1:7" ht="13.15" customHeight="1">
      <c r="A260" s="405">
        <v>259</v>
      </c>
      <c r="B260" s="283">
        <v>33.270000000000003</v>
      </c>
      <c r="F260" s="17"/>
      <c r="G260" s="151"/>
    </row>
    <row r="261" spans="1:7" ht="13.15" customHeight="1">
      <c r="A261" s="405">
        <v>260</v>
      </c>
      <c r="B261" s="283">
        <v>33.270000000000003</v>
      </c>
      <c r="F261" s="17"/>
      <c r="G261" s="151"/>
    </row>
    <row r="262" spans="1:7" ht="13.15" customHeight="1">
      <c r="A262" s="405">
        <v>261</v>
      </c>
      <c r="B262" s="283">
        <v>33.409999999999997</v>
      </c>
      <c r="F262" s="17"/>
      <c r="G262" s="151"/>
    </row>
    <row r="263" spans="1:7" ht="13.15" customHeight="1">
      <c r="A263" s="405">
        <v>262</v>
      </c>
      <c r="B263" s="283">
        <v>32.9</v>
      </c>
      <c r="F263" s="17"/>
      <c r="G263" s="151"/>
    </row>
    <row r="264" spans="1:7" ht="13.15" customHeight="1">
      <c r="A264" s="405">
        <v>263</v>
      </c>
      <c r="B264" s="283">
        <v>32.659999999999997</v>
      </c>
      <c r="F264" s="17"/>
      <c r="G264" s="151"/>
    </row>
    <row r="265" spans="1:7" ht="13.15" customHeight="1">
      <c r="A265" s="405">
        <v>264</v>
      </c>
      <c r="B265" s="283">
        <v>33.159999999999997</v>
      </c>
      <c r="F265" s="17"/>
      <c r="G265" s="151"/>
    </row>
    <row r="266" spans="1:7" ht="13.15" customHeight="1">
      <c r="A266" s="405">
        <v>265</v>
      </c>
      <c r="B266" s="283">
        <v>33.409999999999997</v>
      </c>
      <c r="F266" s="17"/>
      <c r="G266" s="151"/>
    </row>
    <row r="267" spans="1:7" ht="13.15" customHeight="1">
      <c r="A267" s="405">
        <v>266</v>
      </c>
      <c r="B267" s="283">
        <v>33.229999999999997</v>
      </c>
      <c r="F267" s="17"/>
      <c r="G267" s="151"/>
    </row>
    <row r="268" spans="1:7" ht="13.15" customHeight="1">
      <c r="A268" s="405">
        <v>267</v>
      </c>
      <c r="B268" s="283">
        <v>33.409999999999997</v>
      </c>
      <c r="F268" s="17"/>
      <c r="G268" s="151"/>
    </row>
    <row r="269" spans="1:7" ht="13.15" customHeight="1">
      <c r="A269" s="405">
        <v>268</v>
      </c>
      <c r="B269" s="283">
        <v>33.39</v>
      </c>
      <c r="F269" s="17"/>
      <c r="G269" s="151"/>
    </row>
    <row r="270" spans="1:7" ht="13.15" customHeight="1">
      <c r="A270" s="405">
        <v>269</v>
      </c>
      <c r="B270" s="283">
        <v>33.39</v>
      </c>
      <c r="F270" s="17"/>
      <c r="G270" s="151"/>
    </row>
    <row r="271" spans="1:7" ht="13.15" customHeight="1">
      <c r="A271" s="405">
        <v>270</v>
      </c>
      <c r="B271" s="283">
        <v>33.22</v>
      </c>
      <c r="F271" s="17"/>
      <c r="G271" s="151"/>
    </row>
    <row r="272" spans="1:7" ht="13.15" customHeight="1">
      <c r="A272" s="405">
        <v>271</v>
      </c>
      <c r="B272" s="283">
        <v>33.090000000000003</v>
      </c>
      <c r="F272" s="17"/>
      <c r="G272" s="151"/>
    </row>
    <row r="273" spans="1:7" ht="13.15" customHeight="1">
      <c r="A273" s="405">
        <v>272</v>
      </c>
      <c r="B273" s="282">
        <v>33.21</v>
      </c>
      <c r="F273" s="17"/>
      <c r="G273" s="151"/>
    </row>
    <row r="274" spans="1:7" ht="13.15" customHeight="1">
      <c r="A274" s="405">
        <v>273</v>
      </c>
      <c r="B274" s="283">
        <v>32.9</v>
      </c>
      <c r="F274" s="17"/>
      <c r="G274" s="151"/>
    </row>
    <row r="275" spans="1:7" ht="13.15" customHeight="1">
      <c r="A275" s="405">
        <v>274</v>
      </c>
      <c r="B275" s="283">
        <v>33.159999999999997</v>
      </c>
      <c r="F275" s="17"/>
      <c r="G275" s="151"/>
    </row>
    <row r="276" spans="1:7" ht="13.15" customHeight="1">
      <c r="A276" s="405">
        <v>275</v>
      </c>
      <c r="B276" s="283">
        <v>33.08</v>
      </c>
      <c r="F276" s="17"/>
      <c r="G276" s="151"/>
    </row>
    <row r="277" spans="1:7" ht="13.15" customHeight="1">
      <c r="A277" s="405">
        <v>276</v>
      </c>
      <c r="B277" s="283">
        <v>33.31</v>
      </c>
      <c r="F277" s="17"/>
      <c r="G277" s="151"/>
    </row>
    <row r="278" spans="1:7" ht="13.15" customHeight="1">
      <c r="A278" s="405">
        <v>277</v>
      </c>
      <c r="B278" s="283">
        <v>32.71</v>
      </c>
      <c r="F278" s="17"/>
      <c r="G278" s="151"/>
    </row>
    <row r="279" spans="1:7" ht="13.15" customHeight="1">
      <c r="A279" s="405">
        <v>278</v>
      </c>
      <c r="B279" s="283">
        <v>32.44</v>
      </c>
      <c r="F279" s="17"/>
      <c r="G279" s="151"/>
    </row>
    <row r="280" spans="1:7" ht="13.15" customHeight="1">
      <c r="A280" s="405">
        <v>279</v>
      </c>
      <c r="B280" s="283">
        <v>32.479999999999997</v>
      </c>
      <c r="F280" s="17"/>
      <c r="G280" s="151"/>
    </row>
    <row r="281" spans="1:7" ht="13.15" customHeight="1">
      <c r="A281" s="405">
        <v>280</v>
      </c>
      <c r="B281" s="283">
        <v>32.72</v>
      </c>
      <c r="F281" s="17"/>
      <c r="G281" s="151"/>
    </row>
    <row r="282" spans="1:7" ht="13.15" customHeight="1">
      <c r="A282" s="405">
        <v>281</v>
      </c>
      <c r="B282" s="283">
        <v>32.78</v>
      </c>
      <c r="F282" s="17"/>
      <c r="G282" s="151"/>
    </row>
    <row r="283" spans="1:7" ht="13.15" customHeight="1">
      <c r="A283" s="405">
        <v>282</v>
      </c>
      <c r="B283" s="283">
        <v>32.97</v>
      </c>
      <c r="F283" s="17"/>
      <c r="G283" s="151"/>
    </row>
    <row r="284" spans="1:7" ht="13.15" customHeight="1">
      <c r="A284" s="405">
        <v>283</v>
      </c>
      <c r="B284" s="283">
        <v>33.33</v>
      </c>
      <c r="F284" s="17"/>
      <c r="G284" s="151"/>
    </row>
    <row r="285" spans="1:7" ht="13.15" customHeight="1">
      <c r="A285" s="405">
        <v>284</v>
      </c>
      <c r="B285" s="283">
        <v>32.869999999999997</v>
      </c>
      <c r="F285" s="17"/>
      <c r="G285" s="151"/>
    </row>
    <row r="286" spans="1:7" ht="13.15" customHeight="1">
      <c r="A286" s="405">
        <v>285</v>
      </c>
      <c r="B286" s="283">
        <v>33.020000000000003</v>
      </c>
      <c r="F286" s="17"/>
      <c r="G286" s="151"/>
    </row>
    <row r="287" spans="1:7" ht="13.15" customHeight="1">
      <c r="A287" s="405">
        <v>286</v>
      </c>
      <c r="B287" s="283">
        <v>33.229999999999997</v>
      </c>
      <c r="F287" s="17"/>
      <c r="G287" s="151"/>
    </row>
    <row r="288" spans="1:7" ht="13.15" customHeight="1">
      <c r="A288" s="405">
        <v>287</v>
      </c>
      <c r="B288" s="283">
        <v>33.26</v>
      </c>
      <c r="F288" s="17"/>
      <c r="G288" s="151"/>
    </row>
    <row r="289" spans="1:7" ht="13.15" customHeight="1">
      <c r="A289" s="405">
        <v>288</v>
      </c>
      <c r="B289" s="283">
        <v>33.26</v>
      </c>
      <c r="F289" s="17"/>
      <c r="G289" s="151"/>
    </row>
    <row r="290" spans="1:7" ht="13.15" customHeight="1">
      <c r="A290" s="429">
        <v>289</v>
      </c>
      <c r="B290" s="284">
        <v>31.78</v>
      </c>
      <c r="C290" s="246"/>
      <c r="F290" s="17"/>
      <c r="G290" s="151"/>
    </row>
    <row r="291" spans="1:7" ht="13.15" customHeight="1">
      <c r="A291" s="405">
        <v>290</v>
      </c>
      <c r="B291" s="283">
        <v>33.47</v>
      </c>
      <c r="F291" s="17"/>
      <c r="G291" s="151"/>
    </row>
    <row r="292" spans="1:7" ht="13.15" customHeight="1">
      <c r="A292" s="405">
        <v>291</v>
      </c>
      <c r="B292" s="283">
        <v>33.229999999999997</v>
      </c>
      <c r="F292" s="17"/>
      <c r="G292" s="151"/>
    </row>
    <row r="293" spans="1:7" ht="13.15" customHeight="1">
      <c r="A293" s="405">
        <v>292</v>
      </c>
      <c r="B293" s="283">
        <v>33.25</v>
      </c>
      <c r="F293" s="17"/>
      <c r="G293" s="151"/>
    </row>
    <row r="294" spans="1:7" ht="13.15" customHeight="1">
      <c r="A294" s="405">
        <v>293</v>
      </c>
      <c r="B294" s="283">
        <v>33.25</v>
      </c>
      <c r="F294" s="17"/>
      <c r="G294" s="151"/>
    </row>
    <row r="295" spans="1:7" ht="13.15" customHeight="1">
      <c r="A295" s="405">
        <v>294</v>
      </c>
      <c r="B295" s="283">
        <v>33.340000000000003</v>
      </c>
      <c r="F295" s="17"/>
      <c r="G295" s="151"/>
    </row>
    <row r="296" spans="1:7" ht="13.15" customHeight="1">
      <c r="A296" s="405">
        <v>295</v>
      </c>
      <c r="B296" s="283">
        <v>33.51</v>
      </c>
      <c r="F296" s="17"/>
      <c r="G296" s="151"/>
    </row>
    <row r="297" spans="1:7" ht="13.15" customHeight="1">
      <c r="A297" s="405">
        <v>296</v>
      </c>
      <c r="B297" s="283">
        <v>32.61</v>
      </c>
      <c r="F297" s="17"/>
      <c r="G297" s="151"/>
    </row>
    <row r="298" spans="1:7" ht="13.15" customHeight="1">
      <c r="A298" s="405">
        <v>297</v>
      </c>
      <c r="B298" s="283">
        <v>33.57</v>
      </c>
      <c r="F298" s="17"/>
      <c r="G298" s="151"/>
    </row>
    <row r="299" spans="1:7" ht="13.15" customHeight="1">
      <c r="A299" s="405">
        <v>298</v>
      </c>
      <c r="B299" s="283">
        <v>32.68</v>
      </c>
      <c r="F299" s="17"/>
      <c r="G299" s="151"/>
    </row>
    <row r="300" spans="1:7" ht="13.15" customHeight="1">
      <c r="A300" s="405">
        <v>299</v>
      </c>
      <c r="B300" s="282">
        <v>33.06</v>
      </c>
      <c r="F300" s="17"/>
      <c r="G300" s="151"/>
    </row>
    <row r="301" spans="1:7" ht="13.15" customHeight="1">
      <c r="A301" s="405">
        <v>300</v>
      </c>
      <c r="B301" s="283">
        <v>33.04</v>
      </c>
      <c r="F301" s="17"/>
      <c r="G301" s="151"/>
    </row>
    <row r="302" spans="1:7" ht="13.15" customHeight="1">
      <c r="A302" s="405">
        <v>301</v>
      </c>
      <c r="B302" s="283">
        <v>33.229999999999997</v>
      </c>
      <c r="F302" s="17"/>
      <c r="G302" s="151"/>
    </row>
    <row r="303" spans="1:7" ht="13.15" customHeight="1">
      <c r="A303" s="405">
        <v>302</v>
      </c>
      <c r="B303" s="283">
        <v>33.03</v>
      </c>
      <c r="F303" s="17"/>
      <c r="G303" s="151"/>
    </row>
    <row r="304" spans="1:7" ht="13.15" customHeight="1">
      <c r="A304" s="405">
        <v>303</v>
      </c>
      <c r="B304" s="283">
        <v>33.270000000000003</v>
      </c>
      <c r="F304" s="17"/>
      <c r="G304" s="151"/>
    </row>
    <row r="305" spans="1:7" ht="13.15" customHeight="1">
      <c r="A305" s="405">
        <v>304</v>
      </c>
      <c r="B305" s="283">
        <v>32.56</v>
      </c>
      <c r="F305" s="17"/>
      <c r="G305" s="151"/>
    </row>
    <row r="306" spans="1:7" ht="13.15" customHeight="1">
      <c r="A306" s="429">
        <v>305</v>
      </c>
      <c r="B306" s="284">
        <v>31.48</v>
      </c>
      <c r="C306" s="246"/>
      <c r="F306" s="17"/>
      <c r="G306" s="151"/>
    </row>
    <row r="307" spans="1:7" ht="13.15" customHeight="1">
      <c r="A307" s="405">
        <v>306</v>
      </c>
      <c r="B307" s="283">
        <v>33.24</v>
      </c>
      <c r="F307" s="17"/>
      <c r="G307" s="151"/>
    </row>
    <row r="308" spans="1:7" ht="13.15" customHeight="1">
      <c r="A308" s="405">
        <v>307</v>
      </c>
      <c r="B308" s="283">
        <v>33.479999999999997</v>
      </c>
      <c r="F308" s="17"/>
      <c r="G308" s="151"/>
    </row>
    <row r="309" spans="1:7" ht="13.15" customHeight="1">
      <c r="A309" s="405">
        <v>308</v>
      </c>
      <c r="B309" s="283">
        <v>33.270000000000003</v>
      </c>
      <c r="F309" s="17"/>
      <c r="G309" s="151"/>
    </row>
    <row r="310" spans="1:7" ht="13.15" customHeight="1">
      <c r="A310" s="405">
        <v>309</v>
      </c>
      <c r="B310" s="283">
        <v>33.03</v>
      </c>
      <c r="F310" s="17"/>
      <c r="G310" s="151"/>
    </row>
    <row r="311" spans="1:7" ht="13.15" customHeight="1">
      <c r="A311" s="405">
        <v>310</v>
      </c>
      <c r="B311" s="283">
        <v>33.340000000000003</v>
      </c>
      <c r="F311" s="17"/>
      <c r="G311" s="17"/>
    </row>
    <row r="312" spans="1:7" ht="13.15" customHeight="1">
      <c r="A312" s="405">
        <v>311</v>
      </c>
      <c r="B312" s="283">
        <v>33.28</v>
      </c>
      <c r="F312" s="17"/>
      <c r="G312" s="17"/>
    </row>
    <row r="313" spans="1:7" ht="13.15" customHeight="1">
      <c r="A313" s="405">
        <v>312</v>
      </c>
      <c r="B313" s="283">
        <v>33.36</v>
      </c>
      <c r="F313" s="17"/>
      <c r="G313" s="17"/>
    </row>
    <row r="314" spans="1:7" ht="13.15" customHeight="1">
      <c r="A314" s="405">
        <v>313</v>
      </c>
      <c r="B314" s="283">
        <v>33.200000000000003</v>
      </c>
      <c r="F314" s="17"/>
      <c r="G314" s="17"/>
    </row>
    <row r="315" spans="1:7" ht="13.15" customHeight="1">
      <c r="A315" s="405">
        <v>314</v>
      </c>
      <c r="B315" s="283">
        <v>33.17</v>
      </c>
      <c r="F315" s="17"/>
      <c r="G315" s="17"/>
    </row>
    <row r="316" spans="1:7" ht="13.15" customHeight="1">
      <c r="A316" s="405">
        <v>315</v>
      </c>
      <c r="B316" s="283">
        <v>33.380000000000003</v>
      </c>
      <c r="F316" s="17"/>
      <c r="G316" s="17"/>
    </row>
    <row r="317" spans="1:7" ht="13.15" customHeight="1">
      <c r="A317" s="405">
        <v>316</v>
      </c>
      <c r="B317" s="283">
        <v>33.25</v>
      </c>
      <c r="F317" s="17"/>
      <c r="G317" s="17"/>
    </row>
    <row r="318" spans="1:7" ht="13.15" customHeight="1">
      <c r="A318" s="405">
        <v>317</v>
      </c>
      <c r="B318" s="283">
        <v>33.58</v>
      </c>
      <c r="F318" s="17"/>
      <c r="G318" s="17"/>
    </row>
    <row r="319" spans="1:7" ht="13.15" customHeight="1">
      <c r="A319" s="405">
        <v>318</v>
      </c>
      <c r="B319" s="283">
        <v>32.93</v>
      </c>
      <c r="F319" s="17"/>
      <c r="G319" s="17"/>
    </row>
    <row r="320" spans="1:7" ht="13.15" customHeight="1">
      <c r="A320" s="405">
        <v>319</v>
      </c>
      <c r="B320" s="283">
        <v>33.42</v>
      </c>
      <c r="F320" s="17"/>
      <c r="G320" s="17"/>
    </row>
    <row r="321" spans="1:7" ht="13.15" customHeight="1">
      <c r="A321" s="405">
        <v>320</v>
      </c>
      <c r="B321" s="283">
        <v>32.93</v>
      </c>
      <c r="F321" s="17"/>
      <c r="G321" s="17"/>
    </row>
    <row r="322" spans="1:7" ht="13.15" customHeight="1">
      <c r="A322" s="405">
        <v>321</v>
      </c>
      <c r="B322" s="283">
        <v>33.36</v>
      </c>
      <c r="F322" s="17"/>
      <c r="G322" s="17"/>
    </row>
    <row r="323" spans="1:7" ht="13.15" customHeight="1">
      <c r="A323" s="405">
        <v>322</v>
      </c>
      <c r="B323" s="283">
        <v>32.57</v>
      </c>
      <c r="F323" s="17"/>
      <c r="G323" s="17"/>
    </row>
    <row r="324" spans="1:7" ht="13.15" customHeight="1">
      <c r="A324" s="405">
        <v>323</v>
      </c>
      <c r="B324" s="283">
        <v>31.38</v>
      </c>
      <c r="F324" s="17"/>
      <c r="G324" s="17"/>
    </row>
    <row r="325" spans="1:7" ht="13.15" customHeight="1">
      <c r="A325" s="405">
        <v>324</v>
      </c>
      <c r="B325" s="283">
        <v>32.44</v>
      </c>
      <c r="F325" s="17"/>
      <c r="G325" s="17"/>
    </row>
    <row r="326" spans="1:7" ht="13.15" customHeight="1">
      <c r="A326" s="405">
        <v>325</v>
      </c>
      <c r="B326" s="283">
        <v>33.4</v>
      </c>
      <c r="F326" s="17"/>
      <c r="G326" s="17"/>
    </row>
    <row r="327" spans="1:7" ht="13.15" customHeight="1">
      <c r="A327" s="405">
        <v>326</v>
      </c>
      <c r="B327" s="282">
        <v>33.090000000000003</v>
      </c>
      <c r="F327" s="17"/>
      <c r="G327" s="17"/>
    </row>
    <row r="328" spans="1:7" ht="13.15" customHeight="1">
      <c r="A328" s="405">
        <v>327</v>
      </c>
      <c r="B328" s="283">
        <v>32.74</v>
      </c>
      <c r="F328" s="17"/>
      <c r="G328" s="17"/>
    </row>
    <row r="329" spans="1:7" ht="13.15" customHeight="1">
      <c r="A329" s="405">
        <v>328</v>
      </c>
      <c r="B329" s="283">
        <v>32.68</v>
      </c>
      <c r="F329" s="17"/>
      <c r="G329" s="17"/>
    </row>
    <row r="330" spans="1:7" ht="13.15" customHeight="1">
      <c r="A330" s="405">
        <v>329</v>
      </c>
      <c r="B330" s="283">
        <v>32.26</v>
      </c>
      <c r="F330" s="17"/>
      <c r="G330" s="17"/>
    </row>
    <row r="331" spans="1:7" ht="13.15" customHeight="1">
      <c r="A331" s="405">
        <v>330</v>
      </c>
      <c r="B331" s="283">
        <v>33.03</v>
      </c>
      <c r="F331" s="17"/>
      <c r="G331" s="17"/>
    </row>
    <row r="332" spans="1:7" ht="13.15" customHeight="1">
      <c r="A332" s="405">
        <v>331</v>
      </c>
      <c r="B332" s="283">
        <v>33.22</v>
      </c>
      <c r="F332" s="17"/>
      <c r="G332" s="17"/>
    </row>
    <row r="333" spans="1:7" ht="13.15" customHeight="1">
      <c r="A333" s="429">
        <v>332</v>
      </c>
      <c r="B333" s="284">
        <v>30.96</v>
      </c>
      <c r="C333" s="246"/>
      <c r="F333" s="17"/>
      <c r="G333" s="17"/>
    </row>
    <row r="334" spans="1:7" ht="13.15" customHeight="1">
      <c r="A334" s="405">
        <v>333</v>
      </c>
      <c r="B334" s="283">
        <v>33.35</v>
      </c>
      <c r="F334" s="17"/>
      <c r="G334" s="17"/>
    </row>
    <row r="335" spans="1:7" ht="13.15" customHeight="1">
      <c r="A335" s="405">
        <v>334</v>
      </c>
      <c r="B335" s="283">
        <v>33.1</v>
      </c>
      <c r="F335" s="17"/>
      <c r="G335" s="17"/>
    </row>
    <row r="336" spans="1:7" ht="13.15" customHeight="1">
      <c r="A336" s="405">
        <v>335</v>
      </c>
      <c r="B336" s="283">
        <v>33.33</v>
      </c>
      <c r="F336" s="17"/>
      <c r="G336" s="17"/>
    </row>
    <row r="337" spans="1:7" ht="13.15" customHeight="1">
      <c r="A337" s="405">
        <v>336</v>
      </c>
      <c r="B337" s="283">
        <v>33.35</v>
      </c>
      <c r="F337" s="17"/>
      <c r="G337" s="17"/>
    </row>
    <row r="338" spans="1:7" ht="13.15" customHeight="1">
      <c r="A338" s="405">
        <v>337</v>
      </c>
      <c r="B338" s="283">
        <v>33.65</v>
      </c>
      <c r="F338" s="17"/>
      <c r="G338" s="17"/>
    </row>
    <row r="339" spans="1:7" ht="13.15" customHeight="1">
      <c r="A339" s="405">
        <v>338</v>
      </c>
      <c r="B339" s="283">
        <v>33.340000000000003</v>
      </c>
      <c r="F339" s="17"/>
      <c r="G339" s="17"/>
    </row>
    <row r="340" spans="1:7" ht="13.15" customHeight="1">
      <c r="A340" s="405">
        <v>339</v>
      </c>
      <c r="B340" s="283">
        <v>33.36</v>
      </c>
      <c r="F340" s="17"/>
      <c r="G340" s="17"/>
    </row>
    <row r="341" spans="1:7" ht="13.15" customHeight="1">
      <c r="A341" s="405">
        <v>340</v>
      </c>
      <c r="B341" s="283">
        <v>33.43</v>
      </c>
      <c r="F341" s="17"/>
      <c r="G341" s="17"/>
    </row>
    <row r="342" spans="1:7" ht="13.15" customHeight="1">
      <c r="A342" s="405">
        <v>341</v>
      </c>
      <c r="B342" s="283">
        <v>31.25</v>
      </c>
      <c r="F342" s="17"/>
      <c r="G342" s="17"/>
    </row>
    <row r="343" spans="1:7" ht="13.15" customHeight="1">
      <c r="A343" s="405">
        <v>342</v>
      </c>
      <c r="B343" s="283">
        <v>33.1</v>
      </c>
      <c r="F343" s="17"/>
      <c r="G343" s="17"/>
    </row>
    <row r="344" spans="1:7" ht="13.15" customHeight="1">
      <c r="A344" s="405">
        <v>343</v>
      </c>
      <c r="B344" s="283">
        <v>33.130000000000003</v>
      </c>
      <c r="F344" s="17"/>
      <c r="G344" s="17"/>
    </row>
    <row r="345" spans="1:7" ht="13.15" customHeight="1">
      <c r="A345" s="405">
        <v>344</v>
      </c>
      <c r="B345" s="283">
        <v>33.380000000000003</v>
      </c>
      <c r="F345" s="17"/>
      <c r="G345" s="17"/>
    </row>
    <row r="346" spans="1:7" ht="13.15" customHeight="1">
      <c r="A346" s="405">
        <v>345</v>
      </c>
      <c r="B346" s="283">
        <v>32.92</v>
      </c>
      <c r="F346" s="17"/>
      <c r="G346" s="17"/>
    </row>
    <row r="347" spans="1:7" ht="13.15" customHeight="1">
      <c r="A347" s="405">
        <v>346</v>
      </c>
      <c r="B347" s="283">
        <v>33.04</v>
      </c>
      <c r="F347" s="17"/>
      <c r="G347" s="17"/>
    </row>
    <row r="348" spans="1:7" ht="13.15" customHeight="1">
      <c r="A348" s="405">
        <v>347</v>
      </c>
      <c r="B348" s="283">
        <v>32.99</v>
      </c>
      <c r="F348" s="17"/>
      <c r="G348" s="17"/>
    </row>
    <row r="349" spans="1:7" ht="13.15" customHeight="1">
      <c r="A349" s="405">
        <v>348</v>
      </c>
      <c r="B349" s="283">
        <v>33.28</v>
      </c>
      <c r="F349" s="17"/>
      <c r="G349" s="17"/>
    </row>
    <row r="350" spans="1:7" ht="13.15" customHeight="1">
      <c r="A350" s="405">
        <v>349</v>
      </c>
      <c r="B350" s="283">
        <v>33.6</v>
      </c>
      <c r="F350" s="17"/>
      <c r="G350" s="17"/>
    </row>
    <row r="351" spans="1:7" ht="13.15" customHeight="1">
      <c r="A351" s="405">
        <v>350</v>
      </c>
      <c r="B351" s="283">
        <v>33.65</v>
      </c>
      <c r="F351" s="17"/>
      <c r="G351" s="17"/>
    </row>
    <row r="352" spans="1:7" ht="13.15" customHeight="1">
      <c r="A352" s="405">
        <v>351</v>
      </c>
      <c r="B352" s="283">
        <v>33.33</v>
      </c>
      <c r="F352" s="17"/>
      <c r="G352" s="17"/>
    </row>
    <row r="353" spans="1:7" ht="13.15" customHeight="1">
      <c r="A353" s="405">
        <v>352</v>
      </c>
      <c r="B353" s="283">
        <v>32.729999999999997</v>
      </c>
      <c r="F353" s="17"/>
      <c r="G353" s="17"/>
    </row>
    <row r="354" spans="1:7" ht="13.15" customHeight="1">
      <c r="A354" s="405">
        <v>353</v>
      </c>
      <c r="B354" s="282">
        <v>33.130000000000003</v>
      </c>
      <c r="F354" s="17"/>
      <c r="G354" s="17"/>
    </row>
    <row r="355" spans="1:7" ht="13.15" customHeight="1">
      <c r="A355" s="405">
        <v>354</v>
      </c>
      <c r="B355" s="283">
        <v>33.69</v>
      </c>
      <c r="F355" s="17"/>
      <c r="G355" s="17"/>
    </row>
    <row r="356" spans="1:7" ht="13.15" customHeight="1">
      <c r="A356" s="405">
        <v>355</v>
      </c>
      <c r="B356" s="283">
        <v>33.76</v>
      </c>
      <c r="F356" s="17"/>
      <c r="G356" s="17"/>
    </row>
    <row r="357" spans="1:7" ht="13.15" customHeight="1">
      <c r="A357" s="405">
        <v>356</v>
      </c>
      <c r="B357" s="283">
        <v>33.36</v>
      </c>
      <c r="F357" s="17"/>
      <c r="G357" s="17"/>
    </row>
    <row r="358" spans="1:7" ht="13.15" customHeight="1">
      <c r="A358" s="405">
        <v>357</v>
      </c>
      <c r="B358" s="283">
        <v>33.619999999999997</v>
      </c>
      <c r="F358" s="17"/>
      <c r="G358" s="17"/>
    </row>
    <row r="359" spans="1:7" ht="13.15" customHeight="1">
      <c r="A359" s="405">
        <v>358</v>
      </c>
      <c r="B359" s="283">
        <v>33.57</v>
      </c>
      <c r="F359" s="17"/>
      <c r="G359" s="17"/>
    </row>
    <row r="360" spans="1:7" ht="13.15" customHeight="1">
      <c r="A360" s="405">
        <v>359</v>
      </c>
      <c r="B360" s="283">
        <v>33.54</v>
      </c>
      <c r="F360" s="17"/>
      <c r="G360" s="17"/>
    </row>
    <row r="361" spans="1:7" ht="13.15" customHeight="1">
      <c r="A361" s="405">
        <v>360</v>
      </c>
      <c r="B361" s="283">
        <v>33.549999999999997</v>
      </c>
      <c r="F361" s="17"/>
      <c r="G361" s="17"/>
    </row>
    <row r="362" spans="1:7" ht="13.15" customHeight="1">
      <c r="A362" s="405">
        <v>361</v>
      </c>
      <c r="B362" s="283">
        <v>33.380000000000003</v>
      </c>
      <c r="F362" s="17"/>
      <c r="G362" s="17"/>
    </row>
    <row r="363" spans="1:7" ht="13.15" customHeight="1">
      <c r="A363" s="405">
        <v>362</v>
      </c>
      <c r="B363" s="283">
        <v>33.29</v>
      </c>
      <c r="F363" s="17"/>
      <c r="G363" s="17"/>
    </row>
    <row r="364" spans="1:7" ht="13.15" customHeight="1">
      <c r="A364" s="405">
        <v>363</v>
      </c>
      <c r="B364" s="283">
        <v>33.31</v>
      </c>
      <c r="F364" s="17"/>
      <c r="G364" s="17"/>
    </row>
    <row r="365" spans="1:7" ht="13.15" customHeight="1">
      <c r="A365" s="405">
        <v>364</v>
      </c>
      <c r="B365" s="283">
        <v>32.96</v>
      </c>
      <c r="F365" s="17"/>
      <c r="G365" s="17"/>
    </row>
    <row r="366" spans="1:7" ht="13.15" customHeight="1">
      <c r="A366" s="405">
        <v>365</v>
      </c>
      <c r="B366" s="283">
        <v>32.909999999999997</v>
      </c>
      <c r="F366" s="17"/>
      <c r="G366" s="17"/>
    </row>
    <row r="367" spans="1:7" ht="13.15" customHeight="1">
      <c r="A367" s="405">
        <v>366</v>
      </c>
      <c r="B367" s="283">
        <v>33.29</v>
      </c>
      <c r="F367" s="17"/>
      <c r="G367" s="17"/>
    </row>
    <row r="368" spans="1:7" ht="13.15" customHeight="1">
      <c r="A368" s="405">
        <v>367</v>
      </c>
      <c r="B368" s="283">
        <v>33.19</v>
      </c>
      <c r="F368" s="17"/>
      <c r="G368" s="17"/>
    </row>
    <row r="369" spans="1:7" ht="13.15" customHeight="1">
      <c r="A369" s="405">
        <v>368</v>
      </c>
      <c r="B369" s="283">
        <v>33.08</v>
      </c>
      <c r="F369" s="17"/>
      <c r="G369" s="17"/>
    </row>
    <row r="370" spans="1:7" ht="13.15" customHeight="1">
      <c r="A370" s="405">
        <v>369</v>
      </c>
      <c r="B370" s="283">
        <v>33.32</v>
      </c>
      <c r="F370" s="17"/>
      <c r="G370" s="17"/>
    </row>
    <row r="371" spans="1:7" ht="13.15" customHeight="1">
      <c r="A371" s="429">
        <v>370</v>
      </c>
      <c r="B371" s="284">
        <v>31.02</v>
      </c>
      <c r="C371" s="246"/>
      <c r="F371" s="17"/>
      <c r="G371" s="17"/>
    </row>
    <row r="372" spans="1:7" ht="13.15" customHeight="1">
      <c r="A372" s="429">
        <v>371</v>
      </c>
      <c r="B372" s="284">
        <v>31.08</v>
      </c>
      <c r="C372" s="246"/>
      <c r="F372" s="17"/>
      <c r="G372" s="17"/>
    </row>
    <row r="373" spans="1:7" ht="13.15" customHeight="1">
      <c r="A373" s="429">
        <v>372</v>
      </c>
      <c r="B373" s="284">
        <v>31.33</v>
      </c>
      <c r="C373" s="246"/>
      <c r="F373" s="17"/>
      <c r="G373" s="17"/>
    </row>
    <row r="374" spans="1:7" ht="13.15" customHeight="1">
      <c r="A374" s="405">
        <v>373</v>
      </c>
      <c r="B374" s="283">
        <v>33.19</v>
      </c>
      <c r="F374" s="17"/>
      <c r="G374" s="17"/>
    </row>
    <row r="375" spans="1:7" ht="13.15" customHeight="1">
      <c r="A375" s="429">
        <v>374</v>
      </c>
      <c r="B375" s="284">
        <v>31.22</v>
      </c>
      <c r="C375" s="246"/>
      <c r="F375" s="17"/>
      <c r="G375" s="17"/>
    </row>
    <row r="376" spans="1:7" ht="13.15" customHeight="1">
      <c r="A376" s="429">
        <v>375</v>
      </c>
      <c r="B376" s="284">
        <v>31.51</v>
      </c>
      <c r="C376" s="246"/>
      <c r="F376" s="17"/>
      <c r="G376" s="17"/>
    </row>
    <row r="377" spans="1:7" ht="13.15" customHeight="1">
      <c r="A377" s="405">
        <v>376</v>
      </c>
      <c r="B377" s="283">
        <v>33</v>
      </c>
      <c r="F377" s="17"/>
      <c r="G377" s="17"/>
    </row>
    <row r="378" spans="1:7" ht="13.15" customHeight="1">
      <c r="A378" s="429">
        <v>377</v>
      </c>
      <c r="B378" s="284">
        <v>31.31</v>
      </c>
      <c r="C378" s="246"/>
      <c r="F378" s="17"/>
      <c r="G378" s="17"/>
    </row>
    <row r="379" spans="1:7" ht="13.15" customHeight="1">
      <c r="A379" s="405">
        <v>378</v>
      </c>
      <c r="B379" s="283">
        <v>33.43</v>
      </c>
      <c r="F379" s="17"/>
      <c r="G379" s="17"/>
    </row>
    <row r="380" spans="1:7" ht="13.15" customHeight="1">
      <c r="A380" s="405">
        <v>379</v>
      </c>
      <c r="B380" s="283">
        <v>33.340000000000003</v>
      </c>
      <c r="F380" s="17"/>
      <c r="G380" s="17"/>
    </row>
    <row r="381" spans="1:7" ht="13.15" customHeight="1">
      <c r="A381" s="405">
        <v>380</v>
      </c>
      <c r="B381" s="282">
        <v>33.54</v>
      </c>
      <c r="F381" s="17"/>
      <c r="G381" s="17"/>
    </row>
    <row r="382" spans="1:7" ht="13.15" customHeight="1">
      <c r="A382" s="405">
        <v>381</v>
      </c>
      <c r="B382" s="283">
        <v>33.14</v>
      </c>
      <c r="F382" s="17"/>
      <c r="G382" s="17"/>
    </row>
    <row r="383" spans="1:7" ht="13.15" customHeight="1">
      <c r="A383" s="405">
        <v>382</v>
      </c>
      <c r="B383" s="283">
        <v>33.36</v>
      </c>
      <c r="F383" s="17"/>
      <c r="G383" s="17"/>
    </row>
    <row r="384" spans="1:7" ht="13.15" customHeight="1">
      <c r="A384" s="405">
        <v>383</v>
      </c>
      <c r="B384" s="283">
        <v>33.47</v>
      </c>
      <c r="F384" s="17"/>
      <c r="G384" s="17"/>
    </row>
    <row r="385" spans="1:7" ht="13.15" customHeight="1">
      <c r="A385" s="405">
        <v>384</v>
      </c>
      <c r="B385" s="283">
        <v>33.5</v>
      </c>
      <c r="F385" s="17"/>
      <c r="G385" s="17"/>
    </row>
    <row r="386" spans="1:7" ht="13.15" customHeight="1">
      <c r="A386" s="405">
        <v>385</v>
      </c>
      <c r="B386" s="283">
        <v>33.44</v>
      </c>
      <c r="F386" s="17"/>
      <c r="G386" s="17"/>
    </row>
    <row r="387" spans="1:7" ht="13.15" customHeight="1">
      <c r="A387" s="405">
        <v>386</v>
      </c>
      <c r="B387" s="283">
        <v>31.67</v>
      </c>
      <c r="F387" s="17"/>
      <c r="G387" s="17"/>
    </row>
    <row r="388" spans="1:7" ht="13.15" customHeight="1">
      <c r="A388" s="405">
        <v>387</v>
      </c>
      <c r="B388" s="283">
        <v>33.39</v>
      </c>
      <c r="F388" s="17"/>
      <c r="G388" s="17"/>
    </row>
    <row r="389" spans="1:7" ht="13.15" customHeight="1">
      <c r="A389" s="405">
        <v>388</v>
      </c>
      <c r="B389" s="283">
        <v>33.22</v>
      </c>
    </row>
    <row r="390" spans="1:7" ht="12.75" customHeight="1">
      <c r="A390" s="405">
        <v>389</v>
      </c>
      <c r="B390" s="406">
        <v>33.200000000000003</v>
      </c>
    </row>
    <row r="391" spans="1:7" ht="12.75" customHeight="1">
      <c r="A391" s="405">
        <v>390</v>
      </c>
      <c r="B391" s="406">
        <v>32.950000000000003</v>
      </c>
      <c r="C391" s="17"/>
      <c r="D391" s="151"/>
    </row>
    <row r="392" spans="1:7" ht="12.75" customHeight="1">
      <c r="A392" s="405">
        <v>391</v>
      </c>
      <c r="B392" s="406">
        <v>33.590000000000003</v>
      </c>
      <c r="C392" s="17"/>
      <c r="D392" s="151"/>
    </row>
    <row r="393" spans="1:7" ht="12.75" customHeight="1">
      <c r="A393" s="405">
        <v>392</v>
      </c>
      <c r="B393" s="406">
        <v>33.090000000000003</v>
      </c>
      <c r="C393" s="17"/>
      <c r="D393" s="151"/>
    </row>
    <row r="394" spans="1:7" ht="12.75" customHeight="1">
      <c r="A394" s="405">
        <v>393</v>
      </c>
      <c r="B394" s="406">
        <v>33.39</v>
      </c>
      <c r="C394" s="17"/>
      <c r="D394" s="151"/>
    </row>
    <row r="395" spans="1:7" ht="12.75" customHeight="1">
      <c r="A395" s="405">
        <v>394</v>
      </c>
      <c r="B395" s="406">
        <v>33.11</v>
      </c>
      <c r="C395" s="17"/>
      <c r="D395" s="151"/>
    </row>
    <row r="396" spans="1:7" ht="12.75" customHeight="1">
      <c r="A396" s="429">
        <v>395</v>
      </c>
      <c r="B396" s="437">
        <v>31.28</v>
      </c>
      <c r="C396" s="438"/>
      <c r="D396" s="151"/>
    </row>
    <row r="397" spans="1:7" ht="12.75" customHeight="1">
      <c r="A397" s="405">
        <v>396</v>
      </c>
      <c r="B397" s="406">
        <v>33.18</v>
      </c>
      <c r="C397" s="17"/>
      <c r="D397" s="151"/>
    </row>
    <row r="398" spans="1:7" ht="12.75" customHeight="1">
      <c r="A398" s="405">
        <v>397</v>
      </c>
      <c r="B398" s="406">
        <v>32</v>
      </c>
      <c r="C398" s="17"/>
      <c r="D398" s="151"/>
    </row>
    <row r="399" spans="1:7" ht="12.75" customHeight="1">
      <c r="A399" s="405">
        <v>398</v>
      </c>
      <c r="B399" s="406">
        <v>33.29</v>
      </c>
      <c r="C399" s="17"/>
      <c r="D399" s="151"/>
    </row>
    <row r="400" spans="1:7" ht="12.75" customHeight="1">
      <c r="A400" s="405">
        <v>399</v>
      </c>
      <c r="B400" s="406">
        <v>33.14</v>
      </c>
      <c r="C400" s="17"/>
      <c r="D400" s="151"/>
    </row>
    <row r="401" spans="1:4" ht="12.75" customHeight="1">
      <c r="A401" s="405">
        <v>400</v>
      </c>
      <c r="B401" s="406">
        <v>33.39</v>
      </c>
      <c r="C401" s="17"/>
      <c r="D401" s="151"/>
    </row>
    <row r="402" spans="1:4" ht="12.75" customHeight="1">
      <c r="A402" s="405">
        <v>401</v>
      </c>
      <c r="B402" s="406">
        <v>33.03</v>
      </c>
      <c r="C402" s="17"/>
      <c r="D402" s="151"/>
    </row>
    <row r="403" spans="1:4" ht="12.75" customHeight="1">
      <c r="A403" s="405">
        <v>402</v>
      </c>
      <c r="B403" s="406">
        <v>33.03</v>
      </c>
      <c r="C403" s="17"/>
      <c r="D403" s="151"/>
    </row>
    <row r="404" spans="1:4" ht="12.75" customHeight="1">
      <c r="C404" s="17"/>
      <c r="D404" s="151"/>
    </row>
    <row r="405" spans="1:4" ht="12.75" customHeight="1">
      <c r="C405" s="17"/>
      <c r="D405" s="151"/>
    </row>
    <row r="406" spans="1:4" ht="12.75" customHeight="1">
      <c r="C406" s="17"/>
      <c r="D406" s="151"/>
    </row>
    <row r="407" spans="1:4" ht="12.75" customHeight="1">
      <c r="C407" s="17"/>
      <c r="D407" s="151"/>
    </row>
    <row r="408" spans="1:4" ht="12.75" customHeight="1">
      <c r="C408" s="17"/>
      <c r="D408" s="151"/>
    </row>
    <row r="409" spans="1:4" ht="12.75" customHeight="1">
      <c r="C409" s="17"/>
      <c r="D409" s="151"/>
    </row>
    <row r="410" spans="1:4" ht="12.75" customHeight="1">
      <c r="C410" s="17"/>
      <c r="D410" s="151"/>
    </row>
    <row r="411" spans="1:4" ht="12.75" customHeight="1">
      <c r="C411" s="17"/>
      <c r="D411" s="151"/>
    </row>
    <row r="412" spans="1:4" ht="12.75" customHeight="1">
      <c r="C412" s="17"/>
      <c r="D412" s="151"/>
    </row>
    <row r="413" spans="1:4" ht="12.75" customHeight="1">
      <c r="C413" s="17"/>
      <c r="D413" s="151"/>
    </row>
    <row r="414" spans="1:4" ht="12.75" customHeight="1">
      <c r="C414" s="17"/>
      <c r="D414" s="151"/>
    </row>
    <row r="415" spans="1:4" ht="12.75" customHeight="1">
      <c r="C415" s="17"/>
      <c r="D415" s="151"/>
    </row>
    <row r="416" spans="1:4" ht="12.75" customHeight="1">
      <c r="C416" s="17"/>
      <c r="D416" s="151"/>
    </row>
    <row r="417" spans="1:4" ht="12.75" customHeight="1">
      <c r="C417" s="17"/>
      <c r="D417" s="151"/>
    </row>
    <row r="418" spans="1:4" ht="12.75" customHeight="1">
      <c r="C418" s="17"/>
      <c r="D418" s="151"/>
    </row>
    <row r="419" spans="1:4" ht="12.75" customHeight="1">
      <c r="C419" s="17"/>
      <c r="D419" s="151"/>
    </row>
    <row r="420" spans="1:4">
      <c r="A420" s="236"/>
      <c r="C420" s="17"/>
      <c r="D420" s="151"/>
    </row>
    <row r="421" spans="1:4">
      <c r="A421" s="236"/>
      <c r="C421" s="17"/>
      <c r="D421" s="151"/>
    </row>
    <row r="422" spans="1:4">
      <c r="A422" s="236"/>
      <c r="C422" s="17"/>
      <c r="D422" s="151"/>
    </row>
    <row r="423" spans="1:4">
      <c r="A423" s="236"/>
      <c r="C423" s="17"/>
      <c r="D423" s="151"/>
    </row>
    <row r="424" spans="1:4">
      <c r="A424" s="236"/>
      <c r="C424" s="17"/>
      <c r="D424" s="151"/>
    </row>
    <row r="425" spans="1:4">
      <c r="A425" s="236"/>
      <c r="C425" s="17"/>
      <c r="D425" s="151"/>
    </row>
    <row r="426" spans="1:4">
      <c r="A426" s="236"/>
      <c r="C426" s="17"/>
      <c r="D426" s="151"/>
    </row>
    <row r="427" spans="1:4">
      <c r="A427" s="236"/>
      <c r="C427" s="17"/>
      <c r="D427" s="151"/>
    </row>
    <row r="428" spans="1:4">
      <c r="A428" s="236"/>
      <c r="C428" s="17"/>
      <c r="D428" s="151"/>
    </row>
    <row r="429" spans="1:4">
      <c r="A429" s="236"/>
      <c r="C429" s="17"/>
      <c r="D429" s="151"/>
    </row>
    <row r="430" spans="1:4">
      <c r="A430" s="236"/>
      <c r="C430" s="17"/>
      <c r="D430" s="151"/>
    </row>
    <row r="431" spans="1:4">
      <c r="A431" s="236"/>
      <c r="C431" s="17"/>
      <c r="D431" s="151"/>
    </row>
    <row r="432" spans="1:4">
      <c r="A432" s="236"/>
      <c r="C432" s="17"/>
      <c r="D432" s="151"/>
    </row>
    <row r="433" spans="1:4">
      <c r="A433" s="236"/>
      <c r="C433" s="17"/>
      <c r="D433" s="151"/>
    </row>
    <row r="434" spans="1:4">
      <c r="A434" s="236"/>
      <c r="C434" s="17"/>
      <c r="D434" s="151"/>
    </row>
  </sheetData>
  <mergeCells count="6">
    <mergeCell ref="I1:J1"/>
    <mergeCell ref="D23:F23"/>
    <mergeCell ref="O3:O5"/>
    <mergeCell ref="I25:K25"/>
    <mergeCell ref="N8:N9"/>
    <mergeCell ref="I9:K9"/>
  </mergeCells>
  <conditionalFormatting sqref="I3:I6">
    <cfRule type="expression" dxfId="6" priority="3" stopIfTrue="1">
      <formula>"$O7=in"</formula>
    </cfRule>
  </conditionalFormatting>
  <conditionalFormatting sqref="I11:I18 I19:J23">
    <cfRule type="expression" dxfId="5" priority="5" stopIfTrue="1">
      <formula>"$O7=in"</formula>
    </cfRule>
  </conditionalFormatting>
  <conditionalFormatting sqref="I25">
    <cfRule type="expression" dxfId="4" priority="2" stopIfTrue="1">
      <formula>"$O7=in"</formula>
    </cfRule>
  </conditionalFormatting>
  <conditionalFormatting sqref="I27:I28">
    <cfRule type="expression" dxfId="3" priority="1" stopIfTrue="1">
      <formula>"$O7=in"</formula>
    </cfRule>
  </conditionalFormatting>
  <conditionalFormatting sqref="I7:J8 I9">
    <cfRule type="expression" dxfId="2" priority="6" stopIfTrue="1">
      <formula>"$O7=in"</formula>
    </cfRule>
  </conditionalFormatting>
  <pageMargins left="0.7" right="0.7" top="0.75" bottom="0.75" header="0.3" footer="0.3"/>
  <pageSetup orientation="portrait" r:id="rId1"/>
  <headerFooter>
    <oddHeader>&amp;L&amp;"Calibri"&amp;9&amp;K000000Classification: Internal&amp;1#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Y468"/>
  <sheetViews>
    <sheetView showGridLines="0" view="pageBreakPreview" topLeftCell="A427" zoomScaleNormal="90" workbookViewId="0">
      <selection activeCell="J434" sqref="J434"/>
    </sheetView>
  </sheetViews>
  <sheetFormatPr defaultColWidth="11.42578125" defaultRowHeight="12.75"/>
  <cols>
    <col min="1" max="1" width="1.42578125" customWidth="1"/>
    <col min="2" max="2" width="15" style="1" customWidth="1"/>
    <col min="3" max="3" width="5.5703125" style="17" customWidth="1"/>
    <col min="4" max="4" width="14.85546875" style="4" customWidth="1"/>
    <col min="5" max="5" width="11.28515625" style="4" customWidth="1"/>
    <col min="6" max="6" width="8.42578125" style="153" customWidth="1"/>
    <col min="7" max="7" width="10.5703125" style="153" customWidth="1"/>
    <col min="8" max="8" width="9.42578125" style="153" customWidth="1"/>
    <col min="9" max="9" width="9.5703125" style="153" customWidth="1"/>
    <col min="10" max="10" width="12.28515625" style="153" customWidth="1"/>
    <col min="11" max="11" width="17.42578125" style="161" customWidth="1"/>
    <col min="12" max="12" width="13.42578125" style="9" customWidth="1"/>
    <col min="13" max="13" width="27.7109375" customWidth="1"/>
    <col min="17" max="17" width="14.42578125" customWidth="1"/>
    <col min="18" max="18" width="35.5703125" customWidth="1"/>
  </cols>
  <sheetData>
    <row r="2" spans="1:20" ht="15.75" customHeight="1">
      <c r="A2" s="18"/>
      <c r="B2" s="5"/>
      <c r="C2" s="16"/>
      <c r="D2" s="13"/>
      <c r="E2" s="3"/>
      <c r="F2" s="194"/>
      <c r="G2" s="195"/>
      <c r="H2" s="194"/>
      <c r="I2" s="194" t="s">
        <v>44</v>
      </c>
      <c r="J2" s="159"/>
      <c r="K2" s="159"/>
      <c r="L2" s="207"/>
      <c r="M2" s="443" t="s">
        <v>45</v>
      </c>
      <c r="N2" s="15"/>
    </row>
    <row r="3" spans="1:20" ht="2.25" customHeight="1">
      <c r="B3" s="6"/>
      <c r="C3" s="8"/>
      <c r="D3" s="12"/>
      <c r="E3" s="163"/>
      <c r="F3" s="191"/>
      <c r="G3" s="192"/>
      <c r="H3" s="197"/>
      <c r="I3" s="193"/>
      <c r="K3" s="160"/>
      <c r="L3" s="208" t="s">
        <v>46</v>
      </c>
      <c r="M3" s="150"/>
    </row>
    <row r="4" spans="1:20" ht="17.25" customHeight="1">
      <c r="B4" s="6"/>
      <c r="C4" s="8"/>
      <c r="D4" s="12"/>
      <c r="E4" s="12"/>
      <c r="F4" s="152"/>
      <c r="G4" s="196"/>
      <c r="H4" s="198" t="s">
        <v>47</v>
      </c>
      <c r="I4" s="196"/>
      <c r="K4" s="160"/>
      <c r="L4" s="20"/>
      <c r="M4" s="19"/>
    </row>
    <row r="5" spans="1:20" ht="21.75" customHeight="1">
      <c r="B5" s="6"/>
      <c r="C5" s="8"/>
      <c r="D5" s="12"/>
      <c r="E5" s="12"/>
      <c r="F5" s="152"/>
      <c r="G5" s="154"/>
      <c r="H5" s="152"/>
      <c r="I5" s="154"/>
      <c r="K5" s="200" t="s">
        <v>48</v>
      </c>
      <c r="L5" s="206" t="s">
        <v>49</v>
      </c>
      <c r="M5" s="19"/>
    </row>
    <row r="6" spans="1:20" ht="18" customHeight="1">
      <c r="B6" s="10"/>
      <c r="C6" s="228"/>
      <c r="D6" s="181" t="s">
        <v>50</v>
      </c>
      <c r="E6" s="636" t="s">
        <v>51</v>
      </c>
      <c r="F6" s="637"/>
      <c r="G6" s="213" t="s">
        <v>52</v>
      </c>
      <c r="H6" s="214" t="s">
        <v>53</v>
      </c>
      <c r="K6" s="199" t="s">
        <v>54</v>
      </c>
      <c r="L6" s="201" t="s">
        <v>55</v>
      </c>
      <c r="M6" s="7"/>
    </row>
    <row r="7" spans="1:20">
      <c r="B7" s="21"/>
      <c r="C7" s="8"/>
      <c r="D7" s="181" t="s">
        <v>56</v>
      </c>
      <c r="E7" s="636" t="s">
        <v>57</v>
      </c>
      <c r="F7" s="637"/>
      <c r="G7" s="213" t="s">
        <v>58</v>
      </c>
      <c r="H7" s="215" t="s">
        <v>59</v>
      </c>
      <c r="I7" s="162"/>
      <c r="J7" s="17"/>
      <c r="K7" s="199" t="s">
        <v>60</v>
      </c>
      <c r="L7" s="201" t="s">
        <v>61</v>
      </c>
      <c r="M7" s="7"/>
    </row>
    <row r="8" spans="1:20">
      <c r="B8" s="6"/>
      <c r="C8" s="8"/>
      <c r="D8" s="181" t="s">
        <v>62</v>
      </c>
      <c r="E8" s="636" t="s">
        <v>63</v>
      </c>
      <c r="F8" s="637"/>
      <c r="G8" s="213"/>
      <c r="H8" s="214"/>
      <c r="I8" s="158"/>
      <c r="K8" s="200" t="s">
        <v>64</v>
      </c>
      <c r="L8" s="446">
        <v>1312.32</v>
      </c>
      <c r="M8" s="7" t="s">
        <v>65</v>
      </c>
    </row>
    <row r="9" spans="1:20">
      <c r="B9" s="6"/>
      <c r="C9" s="8"/>
      <c r="D9" s="181" t="s">
        <v>66</v>
      </c>
      <c r="E9" s="638" t="s">
        <v>67</v>
      </c>
      <c r="F9" s="639"/>
      <c r="G9" s="213" t="s">
        <v>68</v>
      </c>
      <c r="H9" s="445">
        <v>85</v>
      </c>
      <c r="I9" s="156"/>
      <c r="J9" s="156"/>
      <c r="K9" s="200" t="s">
        <v>69</v>
      </c>
      <c r="L9" s="230">
        <v>11617.57</v>
      </c>
      <c r="M9" s="2" t="s">
        <v>65</v>
      </c>
    </row>
    <row r="10" spans="1:20">
      <c r="B10" s="6"/>
      <c r="C10" s="8"/>
      <c r="D10" s="181" t="s">
        <v>70</v>
      </c>
      <c r="E10" s="640">
        <v>26</v>
      </c>
      <c r="F10" s="641"/>
      <c r="G10" s="213" t="s">
        <v>71</v>
      </c>
      <c r="H10" s="444">
        <v>12.3</v>
      </c>
      <c r="I10" s="157"/>
      <c r="K10" s="200" t="s">
        <v>72</v>
      </c>
      <c r="L10" s="229">
        <v>21304</v>
      </c>
      <c r="M10" s="2" t="s">
        <v>65</v>
      </c>
    </row>
    <row r="11" spans="1:20">
      <c r="B11" s="6"/>
      <c r="C11" s="8"/>
      <c r="D11" s="181" t="s">
        <v>73</v>
      </c>
      <c r="E11" s="609" t="s">
        <v>74</v>
      </c>
      <c r="F11" s="610"/>
      <c r="G11" s="213" t="s">
        <v>75</v>
      </c>
      <c r="H11" s="216">
        <f>(65.45-H10)/65.45</f>
        <v>0.81207028265851799</v>
      </c>
      <c r="I11" s="157"/>
      <c r="K11" s="200" t="s">
        <v>76</v>
      </c>
      <c r="L11" s="229">
        <v>21294</v>
      </c>
      <c r="M11" s="2" t="s">
        <v>65</v>
      </c>
      <c r="O11" s="11"/>
    </row>
    <row r="12" spans="1:20">
      <c r="B12" s="6"/>
      <c r="C12" s="173"/>
      <c r="D12" s="181" t="s">
        <v>77</v>
      </c>
      <c r="E12" s="184">
        <f>F12/12</f>
        <v>0.39799999999999996</v>
      </c>
      <c r="F12" s="183">
        <v>4.7759999999999998</v>
      </c>
      <c r="G12" s="155"/>
      <c r="H12" s="182"/>
      <c r="I12" s="157"/>
      <c r="K12" s="200" t="s">
        <v>78</v>
      </c>
      <c r="L12" s="230">
        <f>F15+J15</f>
        <v>11637.25</v>
      </c>
      <c r="M12" s="2" t="s">
        <v>65</v>
      </c>
      <c r="Q12" s="179"/>
    </row>
    <row r="13" spans="1:20" ht="13.15" customHeight="1">
      <c r="B13" s="247" t="s">
        <v>79</v>
      </c>
      <c r="C13" s="248"/>
      <c r="D13" s="249"/>
      <c r="E13" s="248" t="s">
        <v>80</v>
      </c>
      <c r="F13" s="249" t="s">
        <v>80</v>
      </c>
      <c r="G13" s="250" t="s">
        <v>81</v>
      </c>
      <c r="H13" s="250" t="s">
        <v>80</v>
      </c>
      <c r="I13" s="251" t="s">
        <v>82</v>
      </c>
      <c r="J13" s="249" t="s">
        <v>83</v>
      </c>
      <c r="K13" s="252" t="s">
        <v>84</v>
      </c>
      <c r="L13" s="611" t="s">
        <v>85</v>
      </c>
      <c r="M13" s="612"/>
    </row>
    <row r="14" spans="1:20" ht="14.1" customHeight="1">
      <c r="B14" s="253" t="s">
        <v>86</v>
      </c>
      <c r="C14" s="253" t="s">
        <v>87</v>
      </c>
      <c r="D14" s="254" t="s">
        <v>88</v>
      </c>
      <c r="E14" s="254" t="s">
        <v>89</v>
      </c>
      <c r="F14" s="255" t="s">
        <v>90</v>
      </c>
      <c r="G14" s="256" t="s">
        <v>90</v>
      </c>
      <c r="H14" s="256" t="s">
        <v>91</v>
      </c>
      <c r="I14" s="257" t="s">
        <v>90</v>
      </c>
      <c r="J14" s="255" t="s">
        <v>92</v>
      </c>
      <c r="K14" s="258" t="s">
        <v>93</v>
      </c>
      <c r="L14" s="613"/>
      <c r="M14" s="614"/>
    </row>
    <row r="15" spans="1:20" ht="17.100000000000001" customHeight="1">
      <c r="B15" s="628" t="s">
        <v>94</v>
      </c>
      <c r="C15" s="629" t="s">
        <v>95</v>
      </c>
      <c r="D15" s="630" t="s">
        <v>96</v>
      </c>
      <c r="E15" s="630"/>
      <c r="F15" s="170">
        <v>19.68</v>
      </c>
      <c r="G15" s="170">
        <f>F15</f>
        <v>19.68</v>
      </c>
      <c r="H15" s="171" t="s">
        <v>97</v>
      </c>
      <c r="I15" s="170">
        <v>0</v>
      </c>
      <c r="J15" s="171">
        <f t="shared" ref="J15:J78" si="0">IF(I15="","",$L$9-I15)</f>
        <v>11617.57</v>
      </c>
      <c r="K15" s="172">
        <f t="shared" ref="K15:K78" si="1">$H$9+(I15*$E$10*$H$11/1000)</f>
        <v>85</v>
      </c>
      <c r="L15" s="631" t="s">
        <v>98</v>
      </c>
      <c r="M15" s="631"/>
      <c r="N15" s="11"/>
      <c r="T15" s="179"/>
    </row>
    <row r="16" spans="1:20" ht="17.850000000000001" customHeight="1">
      <c r="B16" s="628"/>
      <c r="C16" s="629"/>
      <c r="D16" s="632" t="s">
        <v>99</v>
      </c>
      <c r="E16" s="633"/>
      <c r="F16" s="170">
        <v>2.69</v>
      </c>
      <c r="G16" s="170">
        <f>F16</f>
        <v>2.69</v>
      </c>
      <c r="H16" s="170" t="str">
        <f t="shared" ref="H16:H52" si="2">IF(F16="","OUT","IN")</f>
        <v>IN</v>
      </c>
      <c r="I16" s="170">
        <f t="shared" ref="I16:I79" si="3">IF(H16="IN",I15+G16,I15)</f>
        <v>2.69</v>
      </c>
      <c r="J16" s="170">
        <f t="shared" si="0"/>
        <v>11614.88</v>
      </c>
      <c r="K16" s="172">
        <f t="shared" si="1"/>
        <v>85.056796195569135</v>
      </c>
      <c r="L16" s="634" t="s">
        <v>100</v>
      </c>
      <c r="M16" s="634"/>
      <c r="N16" s="11"/>
    </row>
    <row r="17" spans="2:25" ht="18" customHeight="1">
      <c r="B17" s="628"/>
      <c r="C17" s="629"/>
      <c r="D17" s="630" t="s">
        <v>101</v>
      </c>
      <c r="E17" s="630"/>
      <c r="F17" s="170">
        <v>9.81</v>
      </c>
      <c r="G17" s="170">
        <v>9.81</v>
      </c>
      <c r="H17" s="170" t="str">
        <f t="shared" si="2"/>
        <v>IN</v>
      </c>
      <c r="I17" s="170">
        <f t="shared" si="3"/>
        <v>12.5</v>
      </c>
      <c r="J17" s="170">
        <f t="shared" si="0"/>
        <v>11605.07</v>
      </c>
      <c r="K17" s="172">
        <f t="shared" si="1"/>
        <v>85.263922841864016</v>
      </c>
      <c r="L17" s="635"/>
      <c r="M17" s="635"/>
      <c r="N17" s="11"/>
    </row>
    <row r="18" spans="2:25" ht="13.5" customHeight="1">
      <c r="B18" s="321">
        <v>1</v>
      </c>
      <c r="C18" s="320"/>
      <c r="D18" s="174">
        <v>7</v>
      </c>
      <c r="E18" s="227">
        <v>1</v>
      </c>
      <c r="F18" s="175">
        <v>33.409999999999997</v>
      </c>
      <c r="G18" s="288">
        <f>F18-($E$12)</f>
        <v>33.011999999999993</v>
      </c>
      <c r="H18" s="175" t="str">
        <f t="shared" si="2"/>
        <v>IN</v>
      </c>
      <c r="I18" s="177">
        <f t="shared" si="3"/>
        <v>45.511999999999993</v>
      </c>
      <c r="J18" s="177">
        <f t="shared" si="0"/>
        <v>11572.057999999999</v>
      </c>
      <c r="K18" s="235">
        <f t="shared" si="1"/>
        <v>85.960932510313214</v>
      </c>
      <c r="L18" s="578"/>
      <c r="M18" s="579"/>
      <c r="N18" s="11"/>
      <c r="P18" s="189"/>
      <c r="Q18" s="189"/>
      <c r="R18" s="11"/>
      <c r="W18" s="11"/>
    </row>
    <row r="19" spans="2:25" ht="13.5" customHeight="1">
      <c r="B19" s="615" t="s">
        <v>102</v>
      </c>
      <c r="C19" s="616">
        <v>11958736</v>
      </c>
      <c r="D19" s="617" t="s">
        <v>101</v>
      </c>
      <c r="E19" s="617"/>
      <c r="F19" s="374">
        <v>6.21</v>
      </c>
      <c r="G19" s="375">
        <f>F19-($E$12)</f>
        <v>5.8120000000000003</v>
      </c>
      <c r="H19" s="374" t="str">
        <f t="shared" si="2"/>
        <v>IN</v>
      </c>
      <c r="I19" s="374">
        <f t="shared" si="3"/>
        <v>51.323999999999991</v>
      </c>
      <c r="J19" s="374">
        <f t="shared" si="0"/>
        <v>11566.245999999999</v>
      </c>
      <c r="K19" s="376">
        <f t="shared" si="1"/>
        <v>86.083646074866309</v>
      </c>
      <c r="L19" s="618" t="s">
        <v>103</v>
      </c>
      <c r="M19" s="618"/>
      <c r="N19" s="11"/>
      <c r="O19" s="604"/>
      <c r="P19" s="604"/>
      <c r="Q19" s="189"/>
      <c r="R19" s="11"/>
      <c r="W19" s="11"/>
    </row>
    <row r="20" spans="2:25" ht="13.35" customHeight="1">
      <c r="B20" s="615"/>
      <c r="C20" s="616"/>
      <c r="D20" s="605" t="s">
        <v>104</v>
      </c>
      <c r="E20" s="605"/>
      <c r="F20" s="374">
        <v>12</v>
      </c>
      <c r="G20" s="374">
        <f>F20</f>
        <v>12</v>
      </c>
      <c r="H20" s="374" t="str">
        <f t="shared" si="2"/>
        <v>IN</v>
      </c>
      <c r="I20" s="374">
        <f t="shared" si="3"/>
        <v>63.323999999999991</v>
      </c>
      <c r="J20" s="170">
        <f t="shared" si="0"/>
        <v>11554.245999999999</v>
      </c>
      <c r="K20" s="376">
        <f t="shared" si="1"/>
        <v>86.337012003055762</v>
      </c>
      <c r="L20" s="606" t="s">
        <v>105</v>
      </c>
      <c r="M20" s="606"/>
      <c r="N20" s="11"/>
      <c r="O20" s="604"/>
      <c r="P20" s="604"/>
      <c r="V20" s="179"/>
      <c r="W20" s="11"/>
    </row>
    <row r="21" spans="2:25" ht="13.35" customHeight="1">
      <c r="B21" s="615"/>
      <c r="C21" s="616"/>
      <c r="D21" s="377" t="s">
        <v>106</v>
      </c>
      <c r="E21" s="377"/>
      <c r="F21" s="374">
        <v>3.68</v>
      </c>
      <c r="G21" s="374">
        <f>F21</f>
        <v>3.68</v>
      </c>
      <c r="H21" s="374" t="str">
        <f t="shared" si="2"/>
        <v>IN</v>
      </c>
      <c r="I21" s="374">
        <f t="shared" si="3"/>
        <v>67.003999999999991</v>
      </c>
      <c r="J21" s="374">
        <f t="shared" si="0"/>
        <v>11550.565999999999</v>
      </c>
      <c r="K21" s="376">
        <f t="shared" si="1"/>
        <v>86.414710887700537</v>
      </c>
      <c r="L21" s="607" t="s">
        <v>107</v>
      </c>
      <c r="M21" s="608"/>
      <c r="N21" s="11"/>
      <c r="O21" s="318"/>
      <c r="P21" s="319"/>
      <c r="Q21" s="189"/>
    </row>
    <row r="22" spans="2:25" ht="13.35" customHeight="1">
      <c r="B22" s="615"/>
      <c r="C22" s="616"/>
      <c r="D22" s="377" t="s">
        <v>108</v>
      </c>
      <c r="E22" s="377"/>
      <c r="F22" s="374">
        <v>0.97</v>
      </c>
      <c r="G22" s="374">
        <f>F22</f>
        <v>0.97</v>
      </c>
      <c r="H22" s="374" t="str">
        <f t="shared" si="2"/>
        <v>IN</v>
      </c>
      <c r="I22" s="374">
        <f t="shared" si="3"/>
        <v>67.97399999999999</v>
      </c>
      <c r="J22" s="374">
        <f t="shared" si="0"/>
        <v>11549.596</v>
      </c>
      <c r="K22" s="376">
        <f t="shared" si="1"/>
        <v>86.435191300229178</v>
      </c>
      <c r="L22" s="607" t="s">
        <v>109</v>
      </c>
      <c r="M22" s="608"/>
      <c r="N22" s="11"/>
      <c r="O22" s="190"/>
      <c r="P22" s="190"/>
      <c r="Q22" s="190"/>
    </row>
    <row r="23" spans="2:25" ht="13.35" customHeight="1">
      <c r="B23" s="615"/>
      <c r="C23" s="616"/>
      <c r="D23" s="617" t="s">
        <v>101</v>
      </c>
      <c r="E23" s="619"/>
      <c r="F23" s="378">
        <v>9.82</v>
      </c>
      <c r="G23" s="378">
        <f>F23</f>
        <v>9.82</v>
      </c>
      <c r="H23" s="374" t="str">
        <f t="shared" si="2"/>
        <v>IN</v>
      </c>
      <c r="I23" s="374">
        <f t="shared" si="3"/>
        <v>77.793999999999983</v>
      </c>
      <c r="J23" s="374">
        <f t="shared" si="0"/>
        <v>11539.776</v>
      </c>
      <c r="K23" s="376">
        <f t="shared" si="1"/>
        <v>86.642529084797559</v>
      </c>
      <c r="L23" s="620" t="s">
        <v>110</v>
      </c>
      <c r="M23" s="621"/>
      <c r="N23" s="11"/>
      <c r="O23" s="622" t="s">
        <v>111</v>
      </c>
      <c r="P23" s="623"/>
      <c r="V23" s="11"/>
    </row>
    <row r="24" spans="2:25" ht="14.1" customHeight="1">
      <c r="B24" s="173">
        <v>2</v>
      </c>
      <c r="C24" s="173"/>
      <c r="D24" s="174">
        <v>7</v>
      </c>
      <c r="E24" s="168">
        <f>E18+1</f>
        <v>2</v>
      </c>
      <c r="F24" s="286">
        <f t="shared" ref="F24:F55" si="4">VLOOKUP(E24,tubing1,2,FALSE)</f>
        <v>33.22</v>
      </c>
      <c r="G24" s="175">
        <f t="shared" ref="G24:G87" si="5">F24-($E$12)</f>
        <v>32.821999999999996</v>
      </c>
      <c r="H24" s="175" t="str">
        <f t="shared" si="2"/>
        <v>IN</v>
      </c>
      <c r="I24" s="175">
        <f t="shared" si="3"/>
        <v>110.61599999999999</v>
      </c>
      <c r="J24" s="175">
        <f t="shared" si="0"/>
        <v>11506.954</v>
      </c>
      <c r="K24" s="317">
        <f t="shared" si="1"/>
        <v>87.335527126050422</v>
      </c>
      <c r="L24" s="626" t="s">
        <v>112</v>
      </c>
      <c r="M24" s="627"/>
      <c r="N24" s="11"/>
      <c r="O24" s="624"/>
      <c r="P24" s="625"/>
      <c r="R24" s="379" t="s">
        <v>113</v>
      </c>
      <c r="S24" s="380">
        <v>2.74</v>
      </c>
    </row>
    <row r="25" spans="2:25" ht="14.1" customHeight="1">
      <c r="B25" s="173">
        <f t="shared" ref="B25:B56" si="6">B24+1</f>
        <v>3</v>
      </c>
      <c r="C25" s="173"/>
      <c r="D25" s="174">
        <v>7</v>
      </c>
      <c r="E25" s="168">
        <f t="shared" ref="E25:E88" si="7">E24+1</f>
        <v>3</v>
      </c>
      <c r="F25" s="286">
        <f t="shared" si="4"/>
        <v>33.24</v>
      </c>
      <c r="G25" s="175">
        <f t="shared" si="5"/>
        <v>32.841999999999999</v>
      </c>
      <c r="H25" s="175" t="str">
        <f t="shared" si="2"/>
        <v>IN</v>
      </c>
      <c r="I25" s="177">
        <f t="shared" si="3"/>
        <v>143.45799999999997</v>
      </c>
      <c r="J25" s="177">
        <f t="shared" si="0"/>
        <v>11474.111999999999</v>
      </c>
      <c r="K25" s="235">
        <f t="shared" si="1"/>
        <v>88.028947443850271</v>
      </c>
      <c r="L25" s="209">
        <v>11536.49</v>
      </c>
      <c r="M25" s="209">
        <v>11583.1</v>
      </c>
      <c r="N25" s="11"/>
      <c r="O25" s="187" t="s">
        <v>114</v>
      </c>
      <c r="P25" s="188" t="s">
        <v>115</v>
      </c>
      <c r="R25" s="203" t="s">
        <v>116</v>
      </c>
      <c r="S25" s="204">
        <f>S24+4.12</f>
        <v>6.86</v>
      </c>
      <c r="V25" s="179"/>
      <c r="X25" s="11"/>
      <c r="Y25" s="11"/>
    </row>
    <row r="26" spans="2:25" ht="14.1" customHeight="1">
      <c r="B26" s="173">
        <f t="shared" si="6"/>
        <v>4</v>
      </c>
      <c r="C26" s="173"/>
      <c r="D26" s="174">
        <v>7</v>
      </c>
      <c r="E26" s="168">
        <f t="shared" si="7"/>
        <v>4</v>
      </c>
      <c r="F26" s="286">
        <f t="shared" si="4"/>
        <v>33.4</v>
      </c>
      <c r="G26" s="175">
        <f t="shared" si="5"/>
        <v>33.001999999999995</v>
      </c>
      <c r="H26" s="175" t="str">
        <f t="shared" si="2"/>
        <v>IN</v>
      </c>
      <c r="I26" s="177">
        <f t="shared" si="3"/>
        <v>176.45999999999998</v>
      </c>
      <c r="J26" s="177">
        <f t="shared" si="0"/>
        <v>11441.11</v>
      </c>
      <c r="K26" s="235">
        <f t="shared" si="1"/>
        <v>88.725745974025969</v>
      </c>
      <c r="L26" s="574"/>
      <c r="M26" s="574"/>
      <c r="N26" s="11"/>
      <c r="O26" s="185">
        <f>J20-L25</f>
        <v>17.755999999999403</v>
      </c>
      <c r="P26" s="186">
        <f>M25-J20</f>
        <v>28.854000000001179</v>
      </c>
      <c r="R26" s="203" t="s">
        <v>117</v>
      </c>
      <c r="S26" s="205">
        <v>8.86</v>
      </c>
      <c r="V26" s="179"/>
      <c r="X26" s="11"/>
      <c r="Y26" s="11"/>
    </row>
    <row r="27" spans="2:25" ht="14.1" customHeight="1">
      <c r="B27" s="173">
        <f t="shared" si="6"/>
        <v>5</v>
      </c>
      <c r="C27" s="173"/>
      <c r="D27" s="174">
        <v>7</v>
      </c>
      <c r="E27" s="168">
        <f t="shared" si="7"/>
        <v>5</v>
      </c>
      <c r="F27" s="286">
        <f t="shared" si="4"/>
        <v>32.909999999999997</v>
      </c>
      <c r="G27" s="175">
        <f t="shared" si="5"/>
        <v>32.511999999999993</v>
      </c>
      <c r="H27" s="175" t="str">
        <f t="shared" si="2"/>
        <v>IN</v>
      </c>
      <c r="I27" s="177">
        <f t="shared" si="3"/>
        <v>208.97199999999998</v>
      </c>
      <c r="J27" s="177">
        <f t="shared" si="0"/>
        <v>11408.598</v>
      </c>
      <c r="K27" s="261">
        <f t="shared" si="1"/>
        <v>89.412198728800604</v>
      </c>
      <c r="L27" s="369" t="s">
        <v>118</v>
      </c>
      <c r="M27" s="370">
        <f>J22+S24</f>
        <v>11552.335999999999</v>
      </c>
      <c r="N27" s="11"/>
      <c r="R27" s="203" t="s">
        <v>119</v>
      </c>
      <c r="S27" s="204">
        <v>14.73</v>
      </c>
    </row>
    <row r="28" spans="2:25" ht="14.1" customHeight="1">
      <c r="B28" s="173">
        <f t="shared" si="6"/>
        <v>6</v>
      </c>
      <c r="C28" s="173"/>
      <c r="D28" s="174">
        <v>7</v>
      </c>
      <c r="E28" s="168">
        <f t="shared" si="7"/>
        <v>6</v>
      </c>
      <c r="F28" s="286">
        <f t="shared" si="4"/>
        <v>33.340000000000003</v>
      </c>
      <c r="G28" s="175">
        <f t="shared" si="5"/>
        <v>32.942</v>
      </c>
      <c r="H28" s="175" t="str">
        <f t="shared" si="2"/>
        <v>IN</v>
      </c>
      <c r="I28" s="177">
        <f t="shared" si="3"/>
        <v>241.91399999999999</v>
      </c>
      <c r="J28" s="177">
        <f t="shared" si="0"/>
        <v>11375.655999999999</v>
      </c>
      <c r="K28" s="261">
        <f t="shared" si="1"/>
        <v>90.107730429335376</v>
      </c>
      <c r="L28" s="369" t="s">
        <v>120</v>
      </c>
      <c r="M28" s="370">
        <f>J22+S27</f>
        <v>11564.325999999999</v>
      </c>
      <c r="N28" s="598"/>
      <c r="O28" s="598"/>
      <c r="P28" s="598"/>
      <c r="R28" s="9"/>
      <c r="S28" s="9"/>
    </row>
    <row r="29" spans="2:25" ht="14.1" customHeight="1">
      <c r="B29" s="173">
        <f t="shared" si="6"/>
        <v>7</v>
      </c>
      <c r="C29" s="173"/>
      <c r="D29" s="174">
        <v>7</v>
      </c>
      <c r="E29" s="168">
        <f t="shared" si="7"/>
        <v>7</v>
      </c>
      <c r="F29" s="286">
        <f t="shared" si="4"/>
        <v>33.21</v>
      </c>
      <c r="G29" s="175">
        <f t="shared" si="5"/>
        <v>32.811999999999998</v>
      </c>
      <c r="H29" s="175" t="str">
        <f t="shared" si="2"/>
        <v>IN</v>
      </c>
      <c r="I29" s="177">
        <f t="shared" si="3"/>
        <v>274.726</v>
      </c>
      <c r="J29" s="177">
        <f t="shared" si="0"/>
        <v>11342.843999999999</v>
      </c>
      <c r="K29" s="261">
        <f t="shared" si="1"/>
        <v>90.80051733231474</v>
      </c>
      <c r="L29" s="369" t="s">
        <v>121</v>
      </c>
      <c r="M29" s="370">
        <f>J22+S25</f>
        <v>11556.456</v>
      </c>
      <c r="N29" s="598"/>
      <c r="O29" s="598"/>
      <c r="P29" s="598"/>
      <c r="R29" s="591"/>
      <c r="S29" s="591"/>
    </row>
    <row r="30" spans="2:25" ht="14.1" customHeight="1">
      <c r="B30" s="173">
        <f t="shared" si="6"/>
        <v>8</v>
      </c>
      <c r="C30" s="173"/>
      <c r="D30" s="174">
        <v>7</v>
      </c>
      <c r="E30" s="168">
        <f t="shared" si="7"/>
        <v>8</v>
      </c>
      <c r="F30" s="286">
        <f t="shared" si="4"/>
        <v>33.58</v>
      </c>
      <c r="G30" s="175">
        <f t="shared" si="5"/>
        <v>33.181999999999995</v>
      </c>
      <c r="H30" s="175" t="str">
        <f t="shared" si="2"/>
        <v>IN</v>
      </c>
      <c r="I30" s="177">
        <f t="shared" si="3"/>
        <v>307.90800000000002</v>
      </c>
      <c r="J30" s="177">
        <f t="shared" si="0"/>
        <v>11309.662</v>
      </c>
      <c r="K30" s="261">
        <f t="shared" si="1"/>
        <v>91.501116351413287</v>
      </c>
      <c r="L30" s="369" t="s">
        <v>122</v>
      </c>
      <c r="M30" s="370">
        <f>J22+S26</f>
        <v>11558.456</v>
      </c>
      <c r="N30" s="598"/>
      <c r="O30" s="598"/>
      <c r="P30" s="598"/>
      <c r="R30" s="202" t="s">
        <v>123</v>
      </c>
      <c r="S30" s="210" t="s">
        <v>124</v>
      </c>
    </row>
    <row r="31" spans="2:25" ht="13.35" customHeight="1">
      <c r="B31" s="173">
        <f t="shared" si="6"/>
        <v>9</v>
      </c>
      <c r="C31" s="173"/>
      <c r="D31" s="174">
        <v>7</v>
      </c>
      <c r="E31" s="168">
        <f t="shared" si="7"/>
        <v>9</v>
      </c>
      <c r="F31" s="286">
        <f t="shared" si="4"/>
        <v>33.200000000000003</v>
      </c>
      <c r="G31" s="175">
        <f t="shared" si="5"/>
        <v>32.802</v>
      </c>
      <c r="H31" s="175" t="str">
        <f t="shared" si="2"/>
        <v>IN</v>
      </c>
      <c r="I31" s="177">
        <f t="shared" si="3"/>
        <v>340.71000000000004</v>
      </c>
      <c r="J31" s="177">
        <f t="shared" si="0"/>
        <v>11276.86</v>
      </c>
      <c r="K31" s="235">
        <f t="shared" si="1"/>
        <v>92.19369211611918</v>
      </c>
      <c r="L31" s="575"/>
      <c r="M31" s="575"/>
      <c r="N31" s="599"/>
      <c r="O31" s="598"/>
      <c r="P31" s="598"/>
      <c r="R31" s="203" t="s">
        <v>125</v>
      </c>
      <c r="S31" s="204">
        <v>3.68</v>
      </c>
    </row>
    <row r="32" spans="2:25" ht="13.35" customHeight="1">
      <c r="B32" s="173">
        <f t="shared" si="6"/>
        <v>10</v>
      </c>
      <c r="C32" s="173"/>
      <c r="D32" s="174">
        <v>7</v>
      </c>
      <c r="E32" s="168">
        <f t="shared" si="7"/>
        <v>10</v>
      </c>
      <c r="F32" s="286">
        <f t="shared" si="4"/>
        <v>33.6</v>
      </c>
      <c r="G32" s="175">
        <f t="shared" si="5"/>
        <v>33.201999999999998</v>
      </c>
      <c r="H32" s="175" t="str">
        <f t="shared" si="2"/>
        <v>IN</v>
      </c>
      <c r="I32" s="177">
        <f t="shared" si="3"/>
        <v>373.91200000000003</v>
      </c>
      <c r="J32" s="177">
        <f t="shared" si="0"/>
        <v>11243.657999999999</v>
      </c>
      <c r="K32" s="235">
        <f t="shared" si="1"/>
        <v>92.894713411764712</v>
      </c>
      <c r="L32" s="567"/>
      <c r="M32" s="567"/>
      <c r="N32" s="11"/>
      <c r="R32" s="203" t="s">
        <v>126</v>
      </c>
      <c r="S32" s="205">
        <v>16</v>
      </c>
    </row>
    <row r="33" spans="2:19" ht="13.35" customHeight="1">
      <c r="B33" s="173">
        <f t="shared" si="6"/>
        <v>11</v>
      </c>
      <c r="C33" s="173"/>
      <c r="D33" s="174">
        <v>7</v>
      </c>
      <c r="E33" s="168">
        <f t="shared" si="7"/>
        <v>11</v>
      </c>
      <c r="F33" s="286">
        <f t="shared" si="4"/>
        <v>33.46</v>
      </c>
      <c r="G33" s="175">
        <f t="shared" si="5"/>
        <v>33.061999999999998</v>
      </c>
      <c r="H33" s="175" t="str">
        <f t="shared" si="2"/>
        <v>IN</v>
      </c>
      <c r="I33" s="177">
        <f t="shared" si="3"/>
        <v>406.97400000000005</v>
      </c>
      <c r="J33" s="177">
        <f t="shared" si="0"/>
        <v>11210.596</v>
      </c>
      <c r="K33" s="235">
        <f t="shared" si="1"/>
        <v>93.592778771581365</v>
      </c>
      <c r="L33" s="592" t="s">
        <v>127</v>
      </c>
      <c r="M33" s="593"/>
      <c r="N33" s="11"/>
      <c r="R33" s="203" t="s">
        <v>128</v>
      </c>
      <c r="S33" s="204">
        <f>22.35/2</f>
        <v>11.175000000000001</v>
      </c>
    </row>
    <row r="34" spans="2:19" ht="13.35" customHeight="1">
      <c r="B34" s="173">
        <f t="shared" si="6"/>
        <v>12</v>
      </c>
      <c r="C34" s="173"/>
      <c r="D34" s="174">
        <v>7</v>
      </c>
      <c r="E34" s="168">
        <f t="shared" si="7"/>
        <v>12</v>
      </c>
      <c r="F34" s="286">
        <f t="shared" si="4"/>
        <v>32.89</v>
      </c>
      <c r="G34" s="175">
        <f t="shared" si="5"/>
        <v>32.491999999999997</v>
      </c>
      <c r="H34" s="175" t="str">
        <f t="shared" si="2"/>
        <v>IN</v>
      </c>
      <c r="I34" s="177">
        <f t="shared" si="3"/>
        <v>439.46600000000007</v>
      </c>
      <c r="J34" s="177">
        <f t="shared" si="0"/>
        <v>11178.103999999999</v>
      </c>
      <c r="K34" s="235">
        <f t="shared" si="1"/>
        <v>94.278809249809015</v>
      </c>
      <c r="L34" s="594"/>
      <c r="M34" s="595"/>
      <c r="N34" s="11"/>
      <c r="R34" s="212"/>
      <c r="S34" s="211"/>
    </row>
    <row r="35" spans="2:19" ht="13.35" customHeight="1">
      <c r="B35" s="173">
        <f t="shared" si="6"/>
        <v>13</v>
      </c>
      <c r="C35" s="173"/>
      <c r="D35" s="174">
        <v>7</v>
      </c>
      <c r="E35" s="168">
        <f t="shared" si="7"/>
        <v>13</v>
      </c>
      <c r="F35" s="286">
        <f t="shared" si="4"/>
        <v>33.11</v>
      </c>
      <c r="G35" s="175">
        <f t="shared" si="5"/>
        <v>32.711999999999996</v>
      </c>
      <c r="H35" s="175" t="str">
        <f t="shared" si="2"/>
        <v>IN</v>
      </c>
      <c r="I35" s="177">
        <f t="shared" si="3"/>
        <v>472.17800000000005</v>
      </c>
      <c r="J35" s="177">
        <f t="shared" si="0"/>
        <v>11145.392</v>
      </c>
      <c r="K35" s="235">
        <f t="shared" si="1"/>
        <v>94.969484770053469</v>
      </c>
      <c r="L35" s="594"/>
      <c r="M35" s="595"/>
      <c r="N35" s="11"/>
    </row>
    <row r="36" spans="2:19" ht="13.15" customHeight="1">
      <c r="B36" s="173">
        <f t="shared" si="6"/>
        <v>14</v>
      </c>
      <c r="C36" s="173"/>
      <c r="D36" s="174">
        <v>7</v>
      </c>
      <c r="E36" s="168">
        <f t="shared" si="7"/>
        <v>14</v>
      </c>
      <c r="F36" s="286">
        <f t="shared" si="4"/>
        <v>33.200000000000003</v>
      </c>
      <c r="G36" s="175">
        <f t="shared" si="5"/>
        <v>32.802</v>
      </c>
      <c r="H36" s="175" t="str">
        <f t="shared" si="2"/>
        <v>IN</v>
      </c>
      <c r="I36" s="177">
        <f t="shared" si="3"/>
        <v>504.98000000000008</v>
      </c>
      <c r="J36" s="177">
        <f t="shared" si="0"/>
        <v>11112.59</v>
      </c>
      <c r="K36" s="235">
        <f t="shared" si="1"/>
        <v>95.662060534759362</v>
      </c>
      <c r="L36" s="594"/>
      <c r="M36" s="595"/>
      <c r="N36" s="11"/>
      <c r="P36" s="281"/>
    </row>
    <row r="37" spans="2:19" ht="13.15" customHeight="1">
      <c r="B37" s="173">
        <f t="shared" si="6"/>
        <v>15</v>
      </c>
      <c r="C37" s="173"/>
      <c r="D37" s="174">
        <v>7</v>
      </c>
      <c r="E37" s="168">
        <f t="shared" si="7"/>
        <v>15</v>
      </c>
      <c r="F37" s="286">
        <f t="shared" si="4"/>
        <v>33.18</v>
      </c>
      <c r="G37" s="175">
        <f t="shared" si="5"/>
        <v>32.781999999999996</v>
      </c>
      <c r="H37" s="175" t="str">
        <f t="shared" si="2"/>
        <v>IN</v>
      </c>
      <c r="I37" s="177">
        <f t="shared" si="3"/>
        <v>537.76200000000006</v>
      </c>
      <c r="J37" s="177">
        <f t="shared" si="0"/>
        <v>11079.807999999999</v>
      </c>
      <c r="K37" s="235">
        <f t="shared" si="1"/>
        <v>96.354214022918256</v>
      </c>
      <c r="L37" s="596"/>
      <c r="M37" s="597"/>
      <c r="N37" s="11"/>
    </row>
    <row r="38" spans="2:19" ht="13.35" customHeight="1">
      <c r="B38" s="173">
        <f t="shared" si="6"/>
        <v>16</v>
      </c>
      <c r="C38" s="173"/>
      <c r="D38" s="174">
        <v>7</v>
      </c>
      <c r="E38" s="168">
        <f t="shared" si="7"/>
        <v>16</v>
      </c>
      <c r="F38" s="286">
        <f t="shared" si="4"/>
        <v>33.520000000000003</v>
      </c>
      <c r="G38" s="175">
        <f t="shared" si="5"/>
        <v>33.122</v>
      </c>
      <c r="H38" s="175" t="str">
        <f t="shared" si="2"/>
        <v>IN</v>
      </c>
      <c r="I38" s="177">
        <f t="shared" si="3"/>
        <v>570.88400000000001</v>
      </c>
      <c r="J38" s="177">
        <f t="shared" si="0"/>
        <v>11046.686</v>
      </c>
      <c r="K38" s="235">
        <f t="shared" si="1"/>
        <v>97.053546212375863</v>
      </c>
      <c r="L38" s="567"/>
      <c r="M38" s="567"/>
      <c r="N38" s="11"/>
    </row>
    <row r="39" spans="2:19" ht="13.35" customHeight="1">
      <c r="B39" s="173">
        <f t="shared" si="6"/>
        <v>17</v>
      </c>
      <c r="C39" s="173"/>
      <c r="D39" s="174">
        <v>7</v>
      </c>
      <c r="E39" s="168">
        <f t="shared" si="7"/>
        <v>17</v>
      </c>
      <c r="F39" s="286">
        <f t="shared" si="4"/>
        <v>33.229999999999997</v>
      </c>
      <c r="G39" s="175">
        <f t="shared" si="5"/>
        <v>32.831999999999994</v>
      </c>
      <c r="H39" s="175" t="str">
        <f t="shared" si="2"/>
        <v>IN</v>
      </c>
      <c r="I39" s="177">
        <f t="shared" si="3"/>
        <v>603.71600000000001</v>
      </c>
      <c r="J39" s="177">
        <f t="shared" si="0"/>
        <v>11013.853999999999</v>
      </c>
      <c r="K39" s="235">
        <f t="shared" si="1"/>
        <v>97.746755391902212</v>
      </c>
      <c r="L39" s="567"/>
      <c r="M39" s="567"/>
      <c r="N39" s="11"/>
    </row>
    <row r="40" spans="2:19" ht="13.35" customHeight="1">
      <c r="B40" s="173">
        <f t="shared" si="6"/>
        <v>18</v>
      </c>
      <c r="C40" s="173"/>
      <c r="D40" s="174">
        <v>7</v>
      </c>
      <c r="E40" s="168">
        <f t="shared" si="7"/>
        <v>18</v>
      </c>
      <c r="F40" s="286">
        <f t="shared" si="4"/>
        <v>31.57</v>
      </c>
      <c r="G40" s="175">
        <f t="shared" si="5"/>
        <v>31.172000000000001</v>
      </c>
      <c r="H40" s="175" t="str">
        <f t="shared" si="2"/>
        <v>IN</v>
      </c>
      <c r="I40" s="177">
        <f t="shared" si="3"/>
        <v>634.88800000000003</v>
      </c>
      <c r="J40" s="177">
        <f t="shared" si="0"/>
        <v>10982.681999999999</v>
      </c>
      <c r="K40" s="235">
        <f t="shared" si="1"/>
        <v>98.404915618029037</v>
      </c>
      <c r="L40" s="600" t="s">
        <v>129</v>
      </c>
      <c r="M40" s="601"/>
      <c r="N40" s="11"/>
    </row>
    <row r="41" spans="2:19" ht="13.35" customHeight="1">
      <c r="B41" s="173">
        <f t="shared" si="6"/>
        <v>19</v>
      </c>
      <c r="C41" s="173"/>
      <c r="D41" s="174">
        <v>7</v>
      </c>
      <c r="E41" s="168">
        <f t="shared" si="7"/>
        <v>19</v>
      </c>
      <c r="F41" s="286">
        <f t="shared" si="4"/>
        <v>33.42</v>
      </c>
      <c r="G41" s="175">
        <f t="shared" si="5"/>
        <v>33.021999999999998</v>
      </c>
      <c r="H41" s="175" t="str">
        <f t="shared" si="2"/>
        <v>IN</v>
      </c>
      <c r="I41" s="177">
        <f t="shared" si="3"/>
        <v>667.91000000000008</v>
      </c>
      <c r="J41" s="177">
        <f t="shared" si="0"/>
        <v>10949.66</v>
      </c>
      <c r="K41" s="235">
        <f t="shared" si="1"/>
        <v>99.10213642475172</v>
      </c>
      <c r="L41" s="602" t="s">
        <v>130</v>
      </c>
      <c r="M41" s="603"/>
      <c r="N41" s="11"/>
    </row>
    <row r="42" spans="2:19" ht="13.35" customHeight="1">
      <c r="B42" s="173">
        <f t="shared" si="6"/>
        <v>20</v>
      </c>
      <c r="C42" s="173"/>
      <c r="D42" s="174">
        <v>7</v>
      </c>
      <c r="E42" s="168">
        <f t="shared" si="7"/>
        <v>20</v>
      </c>
      <c r="F42" s="286">
        <f t="shared" si="4"/>
        <v>33.28</v>
      </c>
      <c r="G42" s="175">
        <f t="shared" si="5"/>
        <v>32.881999999999998</v>
      </c>
      <c r="H42" s="175" t="str">
        <f t="shared" si="2"/>
        <v>IN</v>
      </c>
      <c r="I42" s="177">
        <f t="shared" si="3"/>
        <v>700.79200000000003</v>
      </c>
      <c r="J42" s="177">
        <f t="shared" si="0"/>
        <v>10916.778</v>
      </c>
      <c r="K42" s="235">
        <f t="shared" si="1"/>
        <v>99.796401295645538</v>
      </c>
      <c r="L42" s="567"/>
      <c r="M42" s="567"/>
      <c r="N42" s="11"/>
    </row>
    <row r="43" spans="2:19" ht="13.35" customHeight="1">
      <c r="B43" s="173">
        <f t="shared" si="6"/>
        <v>21</v>
      </c>
      <c r="C43" s="173"/>
      <c r="D43" s="174">
        <v>7</v>
      </c>
      <c r="E43" s="168">
        <f t="shared" si="7"/>
        <v>21</v>
      </c>
      <c r="F43" s="286">
        <f t="shared" si="4"/>
        <v>32.47</v>
      </c>
      <c r="G43" s="175">
        <f t="shared" si="5"/>
        <v>32.071999999999996</v>
      </c>
      <c r="H43" s="175" t="str">
        <f t="shared" si="2"/>
        <v>IN</v>
      </c>
      <c r="I43" s="177">
        <f t="shared" si="3"/>
        <v>732.86400000000003</v>
      </c>
      <c r="J43" s="177">
        <f t="shared" si="0"/>
        <v>10884.706</v>
      </c>
      <c r="K43" s="235">
        <f t="shared" si="1"/>
        <v>100.47356396638655</v>
      </c>
      <c r="L43" s="567"/>
      <c r="M43" s="567"/>
      <c r="N43" s="11"/>
    </row>
    <row r="44" spans="2:19" ht="13.35" customHeight="1">
      <c r="B44" s="173">
        <f t="shared" si="6"/>
        <v>22</v>
      </c>
      <c r="C44" s="173"/>
      <c r="D44" s="174">
        <v>7</v>
      </c>
      <c r="E44" s="168">
        <f t="shared" si="7"/>
        <v>22</v>
      </c>
      <c r="F44" s="286">
        <f t="shared" si="4"/>
        <v>33.409999999999997</v>
      </c>
      <c r="G44" s="175">
        <f t="shared" si="5"/>
        <v>33.011999999999993</v>
      </c>
      <c r="H44" s="175" t="str">
        <f t="shared" si="2"/>
        <v>IN</v>
      </c>
      <c r="I44" s="177">
        <f t="shared" si="3"/>
        <v>765.87599999999998</v>
      </c>
      <c r="J44" s="177">
        <f t="shared" si="0"/>
        <v>10851.694</v>
      </c>
      <c r="K44" s="235">
        <f t="shared" si="1"/>
        <v>101.17057363483575</v>
      </c>
      <c r="L44" s="567"/>
      <c r="M44" s="567"/>
      <c r="N44" s="11"/>
    </row>
    <row r="45" spans="2:19" ht="13.35" customHeight="1">
      <c r="B45" s="173">
        <f t="shared" si="6"/>
        <v>23</v>
      </c>
      <c r="C45" s="173"/>
      <c r="D45" s="174">
        <v>7</v>
      </c>
      <c r="E45" s="168">
        <f t="shared" si="7"/>
        <v>23</v>
      </c>
      <c r="F45" s="286">
        <f t="shared" si="4"/>
        <v>33.020000000000003</v>
      </c>
      <c r="G45" s="175">
        <f t="shared" si="5"/>
        <v>32.622</v>
      </c>
      <c r="H45" s="175" t="str">
        <f t="shared" si="2"/>
        <v>IN</v>
      </c>
      <c r="I45" s="177">
        <f t="shared" si="3"/>
        <v>798.49799999999993</v>
      </c>
      <c r="J45" s="177">
        <f t="shared" si="0"/>
        <v>10819.072</v>
      </c>
      <c r="K45" s="235">
        <f t="shared" si="1"/>
        <v>101.85934891061879</v>
      </c>
      <c r="L45" s="567"/>
      <c r="M45" s="567"/>
      <c r="N45" s="11"/>
    </row>
    <row r="46" spans="2:19" ht="13.35" customHeight="1">
      <c r="B46" s="173">
        <f t="shared" si="6"/>
        <v>24</v>
      </c>
      <c r="C46" s="173"/>
      <c r="D46" s="174">
        <v>7</v>
      </c>
      <c r="E46" s="168">
        <f t="shared" si="7"/>
        <v>24</v>
      </c>
      <c r="F46" s="286">
        <f t="shared" si="4"/>
        <v>32.479999999999997</v>
      </c>
      <c r="G46" s="175">
        <f t="shared" si="5"/>
        <v>32.081999999999994</v>
      </c>
      <c r="H46" s="175" t="str">
        <f t="shared" si="2"/>
        <v>IN</v>
      </c>
      <c r="I46" s="177">
        <f t="shared" si="3"/>
        <v>830.57999999999993</v>
      </c>
      <c r="J46" s="177">
        <f t="shared" si="0"/>
        <v>10786.99</v>
      </c>
      <c r="K46" s="235">
        <f t="shared" si="1"/>
        <v>102.5367227196333</v>
      </c>
      <c r="L46" s="567"/>
      <c r="M46" s="567"/>
      <c r="N46" s="11"/>
    </row>
    <row r="47" spans="2:19" ht="13.35" customHeight="1">
      <c r="B47" s="173">
        <f t="shared" si="6"/>
        <v>25</v>
      </c>
      <c r="C47" s="173"/>
      <c r="D47" s="174">
        <v>7</v>
      </c>
      <c r="E47" s="168">
        <f t="shared" si="7"/>
        <v>25</v>
      </c>
      <c r="F47" s="286">
        <f t="shared" si="4"/>
        <v>33.549999999999997</v>
      </c>
      <c r="G47" s="175">
        <f t="shared" si="5"/>
        <v>33.151999999999994</v>
      </c>
      <c r="H47" s="175" t="str">
        <f t="shared" si="2"/>
        <v>IN</v>
      </c>
      <c r="I47" s="177">
        <f t="shared" si="3"/>
        <v>863.73199999999997</v>
      </c>
      <c r="J47" s="177">
        <f t="shared" si="0"/>
        <v>10753.838</v>
      </c>
      <c r="K47" s="235">
        <f t="shared" si="1"/>
        <v>103.23668832391138</v>
      </c>
      <c r="L47" s="567"/>
      <c r="M47" s="567"/>
      <c r="N47" s="11"/>
    </row>
    <row r="48" spans="2:19" ht="13.35" customHeight="1">
      <c r="B48" s="173">
        <f t="shared" si="6"/>
        <v>26</v>
      </c>
      <c r="C48" s="173"/>
      <c r="D48" s="174">
        <v>7</v>
      </c>
      <c r="E48" s="168">
        <f t="shared" si="7"/>
        <v>26</v>
      </c>
      <c r="F48" s="286">
        <f t="shared" si="4"/>
        <v>33.21</v>
      </c>
      <c r="G48" s="175">
        <f t="shared" si="5"/>
        <v>32.811999999999998</v>
      </c>
      <c r="H48" s="175" t="str">
        <f t="shared" si="2"/>
        <v>IN</v>
      </c>
      <c r="I48" s="177">
        <f t="shared" si="3"/>
        <v>896.54399999999998</v>
      </c>
      <c r="J48" s="177">
        <f t="shared" si="0"/>
        <v>10721.026</v>
      </c>
      <c r="K48" s="235">
        <f t="shared" si="1"/>
        <v>103.92947522689076</v>
      </c>
      <c r="L48" s="567"/>
      <c r="M48" s="567"/>
      <c r="N48" s="11"/>
    </row>
    <row r="49" spans="2:15" ht="13.35" customHeight="1">
      <c r="B49" s="173">
        <f t="shared" si="6"/>
        <v>27</v>
      </c>
      <c r="C49" s="173"/>
      <c r="D49" s="174">
        <v>7</v>
      </c>
      <c r="E49" s="168">
        <f t="shared" si="7"/>
        <v>27</v>
      </c>
      <c r="F49" s="286">
        <f t="shared" si="4"/>
        <v>32.71</v>
      </c>
      <c r="G49" s="175">
        <f t="shared" si="5"/>
        <v>32.311999999999998</v>
      </c>
      <c r="H49" s="175" t="str">
        <f t="shared" si="2"/>
        <v>IN</v>
      </c>
      <c r="I49" s="177">
        <f t="shared" si="3"/>
        <v>928.85599999999999</v>
      </c>
      <c r="J49" s="177">
        <f t="shared" si="0"/>
        <v>10688.714</v>
      </c>
      <c r="K49" s="235">
        <f t="shared" si="1"/>
        <v>104.61170521619557</v>
      </c>
      <c r="L49" s="567"/>
      <c r="M49" s="567"/>
      <c r="N49" s="11"/>
    </row>
    <row r="50" spans="2:15" ht="13.35" customHeight="1">
      <c r="B50" s="173">
        <f t="shared" si="6"/>
        <v>28</v>
      </c>
      <c r="C50" s="173"/>
      <c r="D50" s="174">
        <v>7</v>
      </c>
      <c r="E50" s="168">
        <f t="shared" si="7"/>
        <v>28</v>
      </c>
      <c r="F50" s="286">
        <f t="shared" si="4"/>
        <v>33.51</v>
      </c>
      <c r="G50" s="175">
        <f t="shared" si="5"/>
        <v>33.111999999999995</v>
      </c>
      <c r="H50" s="175" t="str">
        <f t="shared" si="2"/>
        <v>IN</v>
      </c>
      <c r="I50" s="177">
        <f t="shared" si="3"/>
        <v>961.96799999999996</v>
      </c>
      <c r="J50" s="177">
        <f t="shared" si="0"/>
        <v>10655.601999999999</v>
      </c>
      <c r="K50" s="235">
        <f t="shared" si="1"/>
        <v>105.31082626737968</v>
      </c>
      <c r="L50" s="567"/>
      <c r="M50" s="567"/>
      <c r="N50" s="11"/>
    </row>
    <row r="51" spans="2:15" ht="13.35" customHeight="1">
      <c r="B51" s="173">
        <f t="shared" si="6"/>
        <v>29</v>
      </c>
      <c r="C51" s="173"/>
      <c r="D51" s="174">
        <v>7</v>
      </c>
      <c r="E51" s="168">
        <f t="shared" si="7"/>
        <v>29</v>
      </c>
      <c r="F51" s="286">
        <f t="shared" si="4"/>
        <v>33.409999999999997</v>
      </c>
      <c r="G51" s="175">
        <f t="shared" si="5"/>
        <v>33.011999999999993</v>
      </c>
      <c r="H51" s="175" t="str">
        <f t="shared" si="2"/>
        <v>IN</v>
      </c>
      <c r="I51" s="177">
        <f t="shared" si="3"/>
        <v>994.9799999999999</v>
      </c>
      <c r="J51" s="177">
        <f t="shared" si="0"/>
        <v>10622.59</v>
      </c>
      <c r="K51" s="235">
        <f t="shared" si="1"/>
        <v>106.00783593582888</v>
      </c>
      <c r="L51" s="567"/>
      <c r="M51" s="567"/>
      <c r="N51" s="11"/>
    </row>
    <row r="52" spans="2:15" ht="13.35" customHeight="1">
      <c r="B52" s="173">
        <f t="shared" si="6"/>
        <v>30</v>
      </c>
      <c r="C52" s="173"/>
      <c r="D52" s="174">
        <v>7</v>
      </c>
      <c r="E52" s="168">
        <f t="shared" si="7"/>
        <v>30</v>
      </c>
      <c r="F52" s="286">
        <f t="shared" si="4"/>
        <v>33.14</v>
      </c>
      <c r="G52" s="175">
        <f t="shared" si="5"/>
        <v>32.741999999999997</v>
      </c>
      <c r="H52" s="175" t="str">
        <f t="shared" si="2"/>
        <v>IN</v>
      </c>
      <c r="I52" s="177">
        <f t="shared" si="3"/>
        <v>1027.722</v>
      </c>
      <c r="J52" s="177">
        <f t="shared" si="0"/>
        <v>10589.848</v>
      </c>
      <c r="K52" s="235">
        <f t="shared" si="1"/>
        <v>106.69914487089382</v>
      </c>
      <c r="L52" s="567"/>
      <c r="M52" s="567"/>
      <c r="N52" s="11"/>
    </row>
    <row r="53" spans="2:15" ht="13.35" customHeight="1">
      <c r="B53" s="173">
        <f t="shared" si="6"/>
        <v>31</v>
      </c>
      <c r="C53" s="173"/>
      <c r="D53" s="174">
        <v>7</v>
      </c>
      <c r="E53" s="168">
        <f t="shared" si="7"/>
        <v>31</v>
      </c>
      <c r="F53" s="286">
        <f t="shared" si="4"/>
        <v>33.130000000000003</v>
      </c>
      <c r="G53" s="175">
        <f t="shared" si="5"/>
        <v>32.731999999999999</v>
      </c>
      <c r="H53" s="175" t="s">
        <v>131</v>
      </c>
      <c r="I53" s="175">
        <f t="shared" si="3"/>
        <v>1060.454</v>
      </c>
      <c r="J53" s="175">
        <f t="shared" si="0"/>
        <v>10557.116</v>
      </c>
      <c r="K53" s="262">
        <f t="shared" si="1"/>
        <v>107.39024266768526</v>
      </c>
      <c r="L53" s="567"/>
      <c r="M53" s="567"/>
      <c r="N53" s="11"/>
    </row>
    <row r="54" spans="2:15" ht="13.35" customHeight="1">
      <c r="B54" s="173">
        <f t="shared" si="6"/>
        <v>32</v>
      </c>
      <c r="C54" s="173"/>
      <c r="D54" s="174">
        <v>7</v>
      </c>
      <c r="E54" s="168">
        <f t="shared" si="7"/>
        <v>32</v>
      </c>
      <c r="F54" s="286">
        <f t="shared" si="4"/>
        <v>33.43</v>
      </c>
      <c r="G54" s="175">
        <f t="shared" si="5"/>
        <v>33.031999999999996</v>
      </c>
      <c r="H54" s="175" t="str">
        <f t="shared" ref="H54:H96" si="8">IF(F54="","OUT","IN")</f>
        <v>IN</v>
      </c>
      <c r="I54" s="177">
        <f t="shared" si="3"/>
        <v>1093.4859999999999</v>
      </c>
      <c r="J54" s="177">
        <f t="shared" si="0"/>
        <v>10524.083999999999</v>
      </c>
      <c r="K54" s="235">
        <f t="shared" si="1"/>
        <v>108.08767461268144</v>
      </c>
      <c r="L54" s="567"/>
      <c r="M54" s="567"/>
      <c r="N54" s="11"/>
    </row>
    <row r="55" spans="2:15" ht="13.35" customHeight="1">
      <c r="B55" s="173">
        <f t="shared" si="6"/>
        <v>33</v>
      </c>
      <c r="C55" s="173"/>
      <c r="D55" s="174">
        <v>7</v>
      </c>
      <c r="E55" s="168">
        <f t="shared" si="7"/>
        <v>33</v>
      </c>
      <c r="F55" s="286">
        <f t="shared" si="4"/>
        <v>31.04</v>
      </c>
      <c r="G55" s="175">
        <f t="shared" si="5"/>
        <v>30.641999999999999</v>
      </c>
      <c r="H55" s="175" t="str">
        <f t="shared" si="8"/>
        <v>IN</v>
      </c>
      <c r="I55" s="177">
        <f t="shared" si="3"/>
        <v>1124.1279999999999</v>
      </c>
      <c r="J55" s="177">
        <f t="shared" si="0"/>
        <v>10493.441999999999</v>
      </c>
      <c r="K55" s="235">
        <f t="shared" si="1"/>
        <v>108.73464451031322</v>
      </c>
      <c r="L55" s="567"/>
      <c r="M55" s="567"/>
      <c r="N55" s="11"/>
    </row>
    <row r="56" spans="2:15" ht="13.35" customHeight="1">
      <c r="B56" s="173">
        <f t="shared" si="6"/>
        <v>34</v>
      </c>
      <c r="C56" s="173"/>
      <c r="D56" s="174">
        <v>7</v>
      </c>
      <c r="E56" s="168">
        <f t="shared" si="7"/>
        <v>34</v>
      </c>
      <c r="F56" s="286">
        <f t="shared" ref="F56:F87" si="9">VLOOKUP(E56,tubing1,2,FALSE)</f>
        <v>33.64</v>
      </c>
      <c r="G56" s="175">
        <f t="shared" si="5"/>
        <v>33.241999999999997</v>
      </c>
      <c r="H56" s="175" t="str">
        <f t="shared" si="8"/>
        <v>IN</v>
      </c>
      <c r="I56" s="177">
        <f t="shared" si="3"/>
        <v>1157.3699999999999</v>
      </c>
      <c r="J56" s="177">
        <f t="shared" si="0"/>
        <v>10460.200000000001</v>
      </c>
      <c r="K56" s="235">
        <f t="shared" si="1"/>
        <v>109.4365103590527</v>
      </c>
      <c r="L56" s="567"/>
      <c r="M56" s="567"/>
      <c r="N56" s="11"/>
    </row>
    <row r="57" spans="2:15" ht="13.35" customHeight="1">
      <c r="B57" s="173">
        <f t="shared" ref="B57:B88" si="10">B56+1</f>
        <v>35</v>
      </c>
      <c r="C57" s="173"/>
      <c r="D57" s="174">
        <v>7</v>
      </c>
      <c r="E57" s="168">
        <f t="shared" si="7"/>
        <v>35</v>
      </c>
      <c r="F57" s="286">
        <f t="shared" si="9"/>
        <v>33.340000000000003</v>
      </c>
      <c r="G57" s="175">
        <f t="shared" si="5"/>
        <v>32.942</v>
      </c>
      <c r="H57" s="175" t="str">
        <f t="shared" si="8"/>
        <v>IN</v>
      </c>
      <c r="I57" s="177">
        <f t="shared" si="3"/>
        <v>1190.3119999999999</v>
      </c>
      <c r="J57" s="177">
        <f t="shared" si="0"/>
        <v>10427.258</v>
      </c>
      <c r="K57" s="235">
        <f t="shared" si="1"/>
        <v>110.13204205958746</v>
      </c>
      <c r="L57" s="567"/>
      <c r="M57" s="567"/>
      <c r="N57" s="11"/>
    </row>
    <row r="58" spans="2:15" ht="13.35" customHeight="1">
      <c r="B58" s="173">
        <f t="shared" si="10"/>
        <v>36</v>
      </c>
      <c r="C58" s="173"/>
      <c r="D58" s="174">
        <v>7</v>
      </c>
      <c r="E58" s="168">
        <f t="shared" si="7"/>
        <v>36</v>
      </c>
      <c r="F58" s="286">
        <f t="shared" si="9"/>
        <v>31.62</v>
      </c>
      <c r="G58" s="175">
        <f t="shared" si="5"/>
        <v>31.222000000000001</v>
      </c>
      <c r="H58" s="175" t="str">
        <f t="shared" si="8"/>
        <v>IN</v>
      </c>
      <c r="I58" s="177">
        <f t="shared" si="3"/>
        <v>1221.5339999999999</v>
      </c>
      <c r="J58" s="177">
        <f t="shared" si="0"/>
        <v>10396.036</v>
      </c>
      <c r="K58" s="235">
        <f t="shared" si="1"/>
        <v>110.79125797708174</v>
      </c>
      <c r="L58" s="567"/>
      <c r="M58" s="567"/>
      <c r="N58" s="11"/>
    </row>
    <row r="59" spans="2:15" ht="13.35" customHeight="1">
      <c r="B59" s="173">
        <f t="shared" si="10"/>
        <v>37</v>
      </c>
      <c r="C59" s="173"/>
      <c r="D59" s="174">
        <v>7</v>
      </c>
      <c r="E59" s="168">
        <f t="shared" si="7"/>
        <v>37</v>
      </c>
      <c r="F59" s="286">
        <f t="shared" si="9"/>
        <v>32.619999999999997</v>
      </c>
      <c r="G59" s="175">
        <f t="shared" si="5"/>
        <v>32.221999999999994</v>
      </c>
      <c r="H59" s="175" t="str">
        <f t="shared" si="8"/>
        <v>IN</v>
      </c>
      <c r="I59" s="177">
        <f t="shared" si="3"/>
        <v>1253.7559999999999</v>
      </c>
      <c r="J59" s="177">
        <f t="shared" si="0"/>
        <v>10363.814</v>
      </c>
      <c r="K59" s="235">
        <f t="shared" si="1"/>
        <v>111.47158772192513</v>
      </c>
      <c r="L59" s="582"/>
      <c r="M59" s="583"/>
      <c r="N59" s="11"/>
    </row>
    <row r="60" spans="2:15" ht="13.35" customHeight="1">
      <c r="B60" s="173">
        <f t="shared" si="10"/>
        <v>38</v>
      </c>
      <c r="C60" s="173"/>
      <c r="D60" s="174">
        <v>7</v>
      </c>
      <c r="E60" s="168">
        <f t="shared" si="7"/>
        <v>38</v>
      </c>
      <c r="F60" s="286">
        <f t="shared" si="9"/>
        <v>33.01</v>
      </c>
      <c r="G60" s="175">
        <f t="shared" si="5"/>
        <v>32.611999999999995</v>
      </c>
      <c r="H60" s="175" t="str">
        <f t="shared" si="8"/>
        <v>IN</v>
      </c>
      <c r="I60" s="177">
        <f t="shared" si="3"/>
        <v>1286.3679999999999</v>
      </c>
      <c r="J60" s="177">
        <f t="shared" si="0"/>
        <v>10331.201999999999</v>
      </c>
      <c r="K60" s="235">
        <f t="shared" si="1"/>
        <v>112.16015185943468</v>
      </c>
      <c r="L60" s="584" t="s">
        <v>132</v>
      </c>
      <c r="M60" s="585"/>
      <c r="O60" s="275"/>
    </row>
    <row r="61" spans="2:15" ht="13.35" customHeight="1">
      <c r="B61" s="173">
        <f t="shared" si="10"/>
        <v>39</v>
      </c>
      <c r="C61" s="173"/>
      <c r="D61" s="174">
        <v>7</v>
      </c>
      <c r="E61" s="168">
        <f t="shared" si="7"/>
        <v>39</v>
      </c>
      <c r="F61" s="286">
        <f t="shared" si="9"/>
        <v>33.450000000000003</v>
      </c>
      <c r="G61" s="175">
        <f t="shared" si="5"/>
        <v>33.052</v>
      </c>
      <c r="H61" s="175" t="str">
        <f t="shared" si="8"/>
        <v>IN</v>
      </c>
      <c r="I61" s="177">
        <f t="shared" si="3"/>
        <v>1319.4199999999998</v>
      </c>
      <c r="J61" s="177">
        <f t="shared" si="0"/>
        <v>10298.15</v>
      </c>
      <c r="K61" s="235">
        <f t="shared" si="1"/>
        <v>112.85800608097784</v>
      </c>
      <c r="L61" s="586" t="s">
        <v>133</v>
      </c>
      <c r="M61" s="587"/>
      <c r="O61" s="275"/>
    </row>
    <row r="62" spans="2:15" ht="13.35" customHeight="1">
      <c r="B62" s="173">
        <f t="shared" si="10"/>
        <v>40</v>
      </c>
      <c r="C62" s="173"/>
      <c r="D62" s="174">
        <v>7</v>
      </c>
      <c r="E62" s="168">
        <f t="shared" si="7"/>
        <v>40</v>
      </c>
      <c r="F62" s="286">
        <f t="shared" si="9"/>
        <v>33.21</v>
      </c>
      <c r="G62" s="175">
        <f t="shared" si="5"/>
        <v>32.811999999999998</v>
      </c>
      <c r="H62" s="175" t="str">
        <f t="shared" si="8"/>
        <v>IN</v>
      </c>
      <c r="I62" s="177">
        <f t="shared" si="3"/>
        <v>1352.2319999999997</v>
      </c>
      <c r="J62" s="177">
        <f t="shared" si="0"/>
        <v>10265.338</v>
      </c>
      <c r="K62" s="235">
        <f t="shared" si="1"/>
        <v>113.55079298395721</v>
      </c>
      <c r="L62" s="586"/>
      <c r="M62" s="587"/>
      <c r="N62" s="275"/>
      <c r="O62" s="275"/>
    </row>
    <row r="63" spans="2:15" ht="13.35" customHeight="1">
      <c r="B63" s="173">
        <f t="shared" si="10"/>
        <v>41</v>
      </c>
      <c r="C63" s="173"/>
      <c r="D63" s="174">
        <v>7</v>
      </c>
      <c r="E63" s="168">
        <f t="shared" si="7"/>
        <v>41</v>
      </c>
      <c r="F63" s="286">
        <f t="shared" si="9"/>
        <v>33.06</v>
      </c>
      <c r="G63" s="175">
        <f t="shared" si="5"/>
        <v>32.661999999999999</v>
      </c>
      <c r="H63" s="175" t="str">
        <f t="shared" si="8"/>
        <v>IN</v>
      </c>
      <c r="I63" s="177">
        <f t="shared" si="3"/>
        <v>1384.8939999999998</v>
      </c>
      <c r="J63" s="177">
        <f t="shared" si="0"/>
        <v>10232.675999999999</v>
      </c>
      <c r="K63" s="261">
        <f t="shared" si="1"/>
        <v>114.24041281283422</v>
      </c>
      <c r="L63" s="588"/>
      <c r="M63" s="589"/>
      <c r="N63" s="11"/>
    </row>
    <row r="64" spans="2:15" ht="13.35" customHeight="1">
      <c r="B64" s="173">
        <f t="shared" si="10"/>
        <v>42</v>
      </c>
      <c r="C64" s="173"/>
      <c r="D64" s="174">
        <v>7</v>
      </c>
      <c r="E64" s="168">
        <f t="shared" si="7"/>
        <v>42</v>
      </c>
      <c r="F64" s="286">
        <f t="shared" si="9"/>
        <v>33.549999999999997</v>
      </c>
      <c r="G64" s="175">
        <f t="shared" si="5"/>
        <v>33.151999999999994</v>
      </c>
      <c r="H64" s="175" t="str">
        <f t="shared" si="8"/>
        <v>IN</v>
      </c>
      <c r="I64" s="177">
        <f t="shared" si="3"/>
        <v>1418.0459999999998</v>
      </c>
      <c r="J64" s="177">
        <f t="shared" si="0"/>
        <v>10199.523999999999</v>
      </c>
      <c r="K64" s="261">
        <f t="shared" si="1"/>
        <v>114.9403784171123</v>
      </c>
      <c r="L64" s="588"/>
      <c r="M64" s="589"/>
      <c r="N64" s="11"/>
    </row>
    <row r="65" spans="2:14" ht="13.35" customHeight="1">
      <c r="B65" s="173">
        <f t="shared" si="10"/>
        <v>43</v>
      </c>
      <c r="C65" s="173"/>
      <c r="D65" s="174">
        <v>7</v>
      </c>
      <c r="E65" s="168">
        <f t="shared" si="7"/>
        <v>43</v>
      </c>
      <c r="F65" s="286">
        <f t="shared" si="9"/>
        <v>33.76</v>
      </c>
      <c r="G65" s="175">
        <f t="shared" si="5"/>
        <v>33.361999999999995</v>
      </c>
      <c r="H65" s="175" t="str">
        <f t="shared" si="8"/>
        <v>IN</v>
      </c>
      <c r="I65" s="175">
        <f t="shared" si="3"/>
        <v>1451.4079999999999</v>
      </c>
      <c r="J65" s="175">
        <f t="shared" si="0"/>
        <v>10166.162</v>
      </c>
      <c r="K65" s="262">
        <f t="shared" si="1"/>
        <v>115.6447779251337</v>
      </c>
      <c r="L65" s="590"/>
      <c r="M65" s="590"/>
      <c r="N65" s="11"/>
    </row>
    <row r="66" spans="2:14" ht="13.35" customHeight="1">
      <c r="B66" s="173">
        <f t="shared" si="10"/>
        <v>44</v>
      </c>
      <c r="C66" s="173"/>
      <c r="D66" s="174">
        <v>7</v>
      </c>
      <c r="E66" s="168">
        <f t="shared" si="7"/>
        <v>44</v>
      </c>
      <c r="F66" s="286">
        <f t="shared" si="9"/>
        <v>32.950000000000003</v>
      </c>
      <c r="G66" s="175">
        <f t="shared" si="5"/>
        <v>32.552</v>
      </c>
      <c r="H66" s="175" t="str">
        <f t="shared" si="8"/>
        <v>IN</v>
      </c>
      <c r="I66" s="177">
        <f t="shared" si="3"/>
        <v>1483.9599999999998</v>
      </c>
      <c r="J66" s="177">
        <f t="shared" si="0"/>
        <v>10133.61</v>
      </c>
      <c r="K66" s="235">
        <f t="shared" si="1"/>
        <v>116.33207523300229</v>
      </c>
      <c r="L66" s="567"/>
      <c r="M66" s="567"/>
      <c r="N66" s="11"/>
    </row>
    <row r="67" spans="2:14" ht="13.35" customHeight="1">
      <c r="B67" s="173">
        <f t="shared" si="10"/>
        <v>45</v>
      </c>
      <c r="C67" s="173"/>
      <c r="D67" s="174">
        <v>7</v>
      </c>
      <c r="E67" s="168">
        <f t="shared" si="7"/>
        <v>45</v>
      </c>
      <c r="F67" s="286">
        <f t="shared" si="9"/>
        <v>31.58</v>
      </c>
      <c r="G67" s="175">
        <f t="shared" si="5"/>
        <v>31.181999999999999</v>
      </c>
      <c r="H67" s="175" t="str">
        <f t="shared" si="8"/>
        <v>IN</v>
      </c>
      <c r="I67" s="177">
        <f t="shared" si="3"/>
        <v>1515.1419999999998</v>
      </c>
      <c r="J67" s="177">
        <f t="shared" si="0"/>
        <v>10102.428</v>
      </c>
      <c r="K67" s="235">
        <f t="shared" si="1"/>
        <v>116.9904465974026</v>
      </c>
      <c r="L67" s="567"/>
      <c r="M67" s="567"/>
      <c r="N67" s="11"/>
    </row>
    <row r="68" spans="2:14" ht="13.35" customHeight="1">
      <c r="B68" s="173">
        <f t="shared" si="10"/>
        <v>46</v>
      </c>
      <c r="C68" s="173"/>
      <c r="D68" s="174">
        <v>7</v>
      </c>
      <c r="E68" s="168">
        <f t="shared" si="7"/>
        <v>46</v>
      </c>
      <c r="F68" s="286">
        <f t="shared" si="9"/>
        <v>33.15</v>
      </c>
      <c r="G68" s="175">
        <f t="shared" si="5"/>
        <v>32.751999999999995</v>
      </c>
      <c r="H68" s="175" t="str">
        <f t="shared" si="8"/>
        <v>IN</v>
      </c>
      <c r="I68" s="177">
        <f t="shared" si="3"/>
        <v>1547.8939999999998</v>
      </c>
      <c r="J68" s="177">
        <f t="shared" si="0"/>
        <v>10069.675999999999</v>
      </c>
      <c r="K68" s="235">
        <f t="shared" si="1"/>
        <v>117.68196667074102</v>
      </c>
      <c r="L68" s="566"/>
      <c r="M68" s="566"/>
      <c r="N68" s="11"/>
    </row>
    <row r="69" spans="2:14" ht="13.35" customHeight="1">
      <c r="B69" s="173">
        <f t="shared" si="10"/>
        <v>47</v>
      </c>
      <c r="C69" s="173"/>
      <c r="D69" s="174">
        <v>7</v>
      </c>
      <c r="E69" s="168">
        <f t="shared" si="7"/>
        <v>47</v>
      </c>
      <c r="F69" s="286">
        <f t="shared" si="9"/>
        <v>33.33</v>
      </c>
      <c r="G69" s="175">
        <f t="shared" si="5"/>
        <v>32.931999999999995</v>
      </c>
      <c r="H69" s="175" t="str">
        <f t="shared" si="8"/>
        <v>IN</v>
      </c>
      <c r="I69" s="177">
        <f t="shared" si="3"/>
        <v>1580.8259999999998</v>
      </c>
      <c r="J69" s="177">
        <f t="shared" si="0"/>
        <v>10036.744000000001</v>
      </c>
      <c r="K69" s="235">
        <f t="shared" si="1"/>
        <v>118.37728723300228</v>
      </c>
      <c r="L69" s="566"/>
      <c r="M69" s="566"/>
      <c r="N69" s="11"/>
    </row>
    <row r="70" spans="2:14" ht="13.35" customHeight="1">
      <c r="B70" s="173">
        <f t="shared" si="10"/>
        <v>48</v>
      </c>
      <c r="C70" s="173"/>
      <c r="D70" s="174">
        <v>7</v>
      </c>
      <c r="E70" s="168">
        <f t="shared" si="7"/>
        <v>48</v>
      </c>
      <c r="F70" s="286">
        <f t="shared" si="9"/>
        <v>33.36</v>
      </c>
      <c r="G70" s="175">
        <f t="shared" si="5"/>
        <v>32.961999999999996</v>
      </c>
      <c r="H70" s="175" t="str">
        <f t="shared" si="8"/>
        <v>IN</v>
      </c>
      <c r="I70" s="177">
        <f t="shared" si="3"/>
        <v>1613.7879999999998</v>
      </c>
      <c r="J70" s="177">
        <f t="shared" si="0"/>
        <v>10003.781999999999</v>
      </c>
      <c r="K70" s="235">
        <f t="shared" si="1"/>
        <v>119.07324121008403</v>
      </c>
      <c r="L70" s="566"/>
      <c r="M70" s="566"/>
      <c r="N70" s="11"/>
    </row>
    <row r="71" spans="2:14" ht="13.35" customHeight="1">
      <c r="B71" s="173">
        <f t="shared" si="10"/>
        <v>49</v>
      </c>
      <c r="C71" s="173"/>
      <c r="D71" s="174">
        <v>7</v>
      </c>
      <c r="E71" s="168">
        <f t="shared" si="7"/>
        <v>49</v>
      </c>
      <c r="F71" s="286">
        <f t="shared" si="9"/>
        <v>32.32</v>
      </c>
      <c r="G71" s="175">
        <f t="shared" si="5"/>
        <v>31.922000000000001</v>
      </c>
      <c r="H71" s="175" t="str">
        <f t="shared" si="8"/>
        <v>IN</v>
      </c>
      <c r="I71" s="177">
        <f t="shared" si="3"/>
        <v>1645.7099999999998</v>
      </c>
      <c r="J71" s="177">
        <f t="shared" si="0"/>
        <v>9971.86</v>
      </c>
      <c r="K71" s="235">
        <f t="shared" si="1"/>
        <v>119.74723680672268</v>
      </c>
      <c r="L71" s="566"/>
      <c r="M71" s="566"/>
      <c r="N71" s="11"/>
    </row>
    <row r="72" spans="2:14" ht="13.35" customHeight="1">
      <c r="B72" s="173">
        <f t="shared" si="10"/>
        <v>50</v>
      </c>
      <c r="C72" s="173"/>
      <c r="D72" s="174">
        <v>7</v>
      </c>
      <c r="E72" s="168">
        <f t="shared" si="7"/>
        <v>50</v>
      </c>
      <c r="F72" s="286">
        <f t="shared" si="9"/>
        <v>33.21</v>
      </c>
      <c r="G72" s="175">
        <f t="shared" si="5"/>
        <v>32.811999999999998</v>
      </c>
      <c r="H72" s="175" t="str">
        <f t="shared" si="8"/>
        <v>IN</v>
      </c>
      <c r="I72" s="177">
        <f t="shared" si="3"/>
        <v>1678.5219999999997</v>
      </c>
      <c r="J72" s="177">
        <f t="shared" si="0"/>
        <v>9939.0480000000007</v>
      </c>
      <c r="K72" s="235">
        <f t="shared" si="1"/>
        <v>120.44002370970206</v>
      </c>
      <c r="L72" s="566"/>
      <c r="M72" s="566"/>
      <c r="N72" s="11"/>
    </row>
    <row r="73" spans="2:14" ht="13.35" customHeight="1">
      <c r="B73" s="173">
        <f t="shared" si="10"/>
        <v>51</v>
      </c>
      <c r="C73" s="173"/>
      <c r="D73" s="174">
        <v>7</v>
      </c>
      <c r="E73" s="168">
        <f t="shared" si="7"/>
        <v>51</v>
      </c>
      <c r="F73" s="286">
        <f t="shared" si="9"/>
        <v>31.08</v>
      </c>
      <c r="G73" s="175">
        <f t="shared" si="5"/>
        <v>30.681999999999999</v>
      </c>
      <c r="H73" s="175" t="str">
        <f t="shared" si="8"/>
        <v>IN</v>
      </c>
      <c r="I73" s="177">
        <f t="shared" si="3"/>
        <v>1709.2039999999997</v>
      </c>
      <c r="J73" s="177">
        <f t="shared" si="0"/>
        <v>9908.366</v>
      </c>
      <c r="K73" s="235">
        <f t="shared" si="1"/>
        <v>121.08783816042779</v>
      </c>
      <c r="L73" s="581"/>
      <c r="M73" s="581"/>
      <c r="N73" s="11"/>
    </row>
    <row r="74" spans="2:14" ht="13.35" customHeight="1">
      <c r="B74" s="173">
        <f t="shared" si="10"/>
        <v>52</v>
      </c>
      <c r="C74" s="173"/>
      <c r="D74" s="174">
        <v>7</v>
      </c>
      <c r="E74" s="168">
        <f t="shared" si="7"/>
        <v>52</v>
      </c>
      <c r="F74" s="286">
        <f t="shared" si="9"/>
        <v>33.19</v>
      </c>
      <c r="G74" s="175">
        <f t="shared" si="5"/>
        <v>32.791999999999994</v>
      </c>
      <c r="H74" s="175" t="str">
        <f t="shared" si="8"/>
        <v>IN</v>
      </c>
      <c r="I74" s="177">
        <f t="shared" si="3"/>
        <v>1741.9959999999996</v>
      </c>
      <c r="J74" s="177">
        <f t="shared" si="0"/>
        <v>9875.5740000000005</v>
      </c>
      <c r="K74" s="235">
        <f t="shared" si="1"/>
        <v>121.7802027868602</v>
      </c>
      <c r="L74" s="566"/>
      <c r="M74" s="566"/>
      <c r="N74" s="11"/>
    </row>
    <row r="75" spans="2:14" ht="13.35" customHeight="1">
      <c r="B75" s="173">
        <f t="shared" si="10"/>
        <v>53</v>
      </c>
      <c r="C75" s="173"/>
      <c r="D75" s="174">
        <v>7</v>
      </c>
      <c r="E75" s="168">
        <f t="shared" si="7"/>
        <v>53</v>
      </c>
      <c r="F75" s="286">
        <f t="shared" si="9"/>
        <v>33.26</v>
      </c>
      <c r="G75" s="175">
        <f t="shared" si="5"/>
        <v>32.861999999999995</v>
      </c>
      <c r="H75" s="175" t="str">
        <f t="shared" si="8"/>
        <v>IN</v>
      </c>
      <c r="I75" s="177">
        <f t="shared" si="3"/>
        <v>1774.8579999999997</v>
      </c>
      <c r="J75" s="177">
        <f t="shared" si="0"/>
        <v>9842.7119999999995</v>
      </c>
      <c r="K75" s="235">
        <f t="shared" si="1"/>
        <v>122.47404538120702</v>
      </c>
      <c r="L75" s="566"/>
      <c r="M75" s="566"/>
      <c r="N75" s="11"/>
    </row>
    <row r="76" spans="2:14" ht="13.35" customHeight="1">
      <c r="B76" s="173">
        <f t="shared" si="10"/>
        <v>54</v>
      </c>
      <c r="C76" s="176"/>
      <c r="D76" s="232">
        <v>7</v>
      </c>
      <c r="E76" s="168">
        <f t="shared" si="7"/>
        <v>54</v>
      </c>
      <c r="F76" s="286">
        <f t="shared" si="9"/>
        <v>33.46</v>
      </c>
      <c r="G76" s="175">
        <f t="shared" si="5"/>
        <v>33.061999999999998</v>
      </c>
      <c r="H76" s="175" t="str">
        <f t="shared" si="8"/>
        <v>IN</v>
      </c>
      <c r="I76" s="177">
        <f t="shared" si="3"/>
        <v>1807.9199999999996</v>
      </c>
      <c r="J76" s="177">
        <f t="shared" si="0"/>
        <v>9809.65</v>
      </c>
      <c r="K76" s="235">
        <f t="shared" si="1"/>
        <v>123.17211074102369</v>
      </c>
      <c r="L76" s="566"/>
      <c r="M76" s="566"/>
      <c r="N76" s="11"/>
    </row>
    <row r="77" spans="2:14" ht="13.35" customHeight="1">
      <c r="B77" s="173">
        <f t="shared" si="10"/>
        <v>55</v>
      </c>
      <c r="C77" s="173"/>
      <c r="D77" s="174">
        <v>7</v>
      </c>
      <c r="E77" s="168">
        <f t="shared" si="7"/>
        <v>55</v>
      </c>
      <c r="F77" s="286">
        <f t="shared" si="9"/>
        <v>33.28</v>
      </c>
      <c r="G77" s="175">
        <f t="shared" si="5"/>
        <v>32.881999999999998</v>
      </c>
      <c r="H77" s="175" t="str">
        <f t="shared" si="8"/>
        <v>IN</v>
      </c>
      <c r="I77" s="177">
        <f t="shared" si="3"/>
        <v>1840.8019999999997</v>
      </c>
      <c r="J77" s="177">
        <f t="shared" si="0"/>
        <v>9776.768</v>
      </c>
      <c r="K77" s="235">
        <f t="shared" si="1"/>
        <v>123.86637561191748</v>
      </c>
      <c r="L77" s="566"/>
      <c r="M77" s="566"/>
      <c r="N77" s="11"/>
    </row>
    <row r="78" spans="2:14" ht="13.35" customHeight="1">
      <c r="B78" s="173">
        <f t="shared" si="10"/>
        <v>56</v>
      </c>
      <c r="C78" s="173"/>
      <c r="D78" s="174">
        <v>7</v>
      </c>
      <c r="E78" s="168">
        <f t="shared" si="7"/>
        <v>56</v>
      </c>
      <c r="F78" s="286">
        <f t="shared" si="9"/>
        <v>33.18</v>
      </c>
      <c r="G78" s="175">
        <f t="shared" si="5"/>
        <v>32.781999999999996</v>
      </c>
      <c r="H78" s="175" t="str">
        <f t="shared" si="8"/>
        <v>IN</v>
      </c>
      <c r="I78" s="177">
        <f t="shared" si="3"/>
        <v>1873.5839999999996</v>
      </c>
      <c r="J78" s="177">
        <f t="shared" si="0"/>
        <v>9743.9860000000008</v>
      </c>
      <c r="K78" s="235">
        <f t="shared" si="1"/>
        <v>124.55852910007638</v>
      </c>
      <c r="L78" s="566"/>
      <c r="M78" s="566"/>
      <c r="N78" s="11"/>
    </row>
    <row r="79" spans="2:14" ht="13.35" customHeight="1">
      <c r="B79" s="173">
        <f t="shared" si="10"/>
        <v>57</v>
      </c>
      <c r="C79" s="173"/>
      <c r="D79" s="174">
        <v>7</v>
      </c>
      <c r="E79" s="168">
        <f t="shared" si="7"/>
        <v>57</v>
      </c>
      <c r="F79" s="286">
        <f t="shared" si="9"/>
        <v>33.33</v>
      </c>
      <c r="G79" s="175">
        <f t="shared" si="5"/>
        <v>32.931999999999995</v>
      </c>
      <c r="H79" s="175" t="str">
        <f t="shared" si="8"/>
        <v>IN</v>
      </c>
      <c r="I79" s="177">
        <f t="shared" si="3"/>
        <v>1906.5159999999996</v>
      </c>
      <c r="J79" s="177">
        <f t="shared" ref="J79:J142" si="11">IF(I79="","",$L$9-I79)</f>
        <v>9711.0540000000001</v>
      </c>
      <c r="K79" s="235">
        <f t="shared" ref="K79:K142" si="12">$H$9+(I79*$E$10*$H$11/1000)</f>
        <v>125.25384966233766</v>
      </c>
      <c r="L79" s="566"/>
      <c r="M79" s="566"/>
      <c r="N79" s="11"/>
    </row>
    <row r="80" spans="2:14" ht="13.35" customHeight="1">
      <c r="B80" s="173">
        <f t="shared" si="10"/>
        <v>58</v>
      </c>
      <c r="C80" s="173"/>
      <c r="D80" s="174">
        <v>7</v>
      </c>
      <c r="E80" s="168">
        <f t="shared" si="7"/>
        <v>58</v>
      </c>
      <c r="F80" s="286">
        <f t="shared" si="9"/>
        <v>33.36</v>
      </c>
      <c r="G80" s="175">
        <f t="shared" si="5"/>
        <v>32.961999999999996</v>
      </c>
      <c r="H80" s="175" t="str">
        <f t="shared" si="8"/>
        <v>IN</v>
      </c>
      <c r="I80" s="177">
        <f t="shared" ref="I80:I143" si="13">IF(H80="IN",I79+G80,I79)</f>
        <v>1939.4779999999996</v>
      </c>
      <c r="J80" s="177">
        <f t="shared" si="11"/>
        <v>9678.0920000000006</v>
      </c>
      <c r="K80" s="235">
        <f t="shared" si="12"/>
        <v>125.9498036394194</v>
      </c>
      <c r="L80" s="567"/>
      <c r="M80" s="567"/>
      <c r="N80" s="11"/>
    </row>
    <row r="81" spans="2:14" ht="13.35" customHeight="1">
      <c r="B81" s="173">
        <f t="shared" si="10"/>
        <v>59</v>
      </c>
      <c r="C81" s="173"/>
      <c r="D81" s="174">
        <v>7</v>
      </c>
      <c r="E81" s="168">
        <f t="shared" si="7"/>
        <v>59</v>
      </c>
      <c r="F81" s="286">
        <f t="shared" si="9"/>
        <v>33.21</v>
      </c>
      <c r="G81" s="175">
        <f t="shared" si="5"/>
        <v>32.811999999999998</v>
      </c>
      <c r="H81" s="175" t="str">
        <f t="shared" si="8"/>
        <v>IN</v>
      </c>
      <c r="I81" s="177">
        <f t="shared" si="13"/>
        <v>1972.2899999999995</v>
      </c>
      <c r="J81" s="177">
        <f t="shared" si="11"/>
        <v>9645.2800000000007</v>
      </c>
      <c r="K81" s="235">
        <f t="shared" si="12"/>
        <v>126.64259054239878</v>
      </c>
      <c r="L81" s="566"/>
      <c r="M81" s="566"/>
      <c r="N81" s="11"/>
    </row>
    <row r="82" spans="2:14" ht="13.35" customHeight="1">
      <c r="B82" s="173">
        <f t="shared" si="10"/>
        <v>60</v>
      </c>
      <c r="C82" s="173"/>
      <c r="D82" s="174">
        <v>7</v>
      </c>
      <c r="E82" s="168">
        <f t="shared" si="7"/>
        <v>60</v>
      </c>
      <c r="F82" s="286">
        <f t="shared" si="9"/>
        <v>31.38</v>
      </c>
      <c r="G82" s="175">
        <f t="shared" si="5"/>
        <v>30.981999999999999</v>
      </c>
      <c r="H82" s="175" t="str">
        <f t="shared" si="8"/>
        <v>IN</v>
      </c>
      <c r="I82" s="177">
        <f t="shared" si="13"/>
        <v>2003.2719999999995</v>
      </c>
      <c r="J82" s="177">
        <f t="shared" si="11"/>
        <v>9614.2980000000007</v>
      </c>
      <c r="K82" s="235">
        <f t="shared" si="12"/>
        <v>127.29673914132925</v>
      </c>
      <c r="L82" s="566"/>
      <c r="M82" s="566"/>
      <c r="N82" s="11"/>
    </row>
    <row r="83" spans="2:14" ht="13.35" customHeight="1">
      <c r="B83" s="173">
        <f t="shared" si="10"/>
        <v>61</v>
      </c>
      <c r="C83" s="173"/>
      <c r="D83" s="174">
        <v>7</v>
      </c>
      <c r="E83" s="168">
        <f t="shared" si="7"/>
        <v>61</v>
      </c>
      <c r="F83" s="286">
        <f t="shared" si="9"/>
        <v>33.51</v>
      </c>
      <c r="G83" s="175">
        <f t="shared" si="5"/>
        <v>33.111999999999995</v>
      </c>
      <c r="H83" s="175" t="str">
        <f t="shared" si="8"/>
        <v>IN</v>
      </c>
      <c r="I83" s="177">
        <f t="shared" si="13"/>
        <v>2036.3839999999996</v>
      </c>
      <c r="J83" s="177">
        <f t="shared" si="11"/>
        <v>9581.1859999999997</v>
      </c>
      <c r="K83" s="235">
        <f t="shared" si="12"/>
        <v>127.99586019251336</v>
      </c>
      <c r="L83" s="566"/>
      <c r="M83" s="566"/>
      <c r="N83" s="11"/>
    </row>
    <row r="84" spans="2:14" ht="13.35" customHeight="1">
      <c r="B84" s="173">
        <f t="shared" si="10"/>
        <v>62</v>
      </c>
      <c r="C84" s="173"/>
      <c r="D84" s="174">
        <v>7</v>
      </c>
      <c r="E84" s="168">
        <f t="shared" si="7"/>
        <v>62</v>
      </c>
      <c r="F84" s="286">
        <f t="shared" si="9"/>
        <v>33.06</v>
      </c>
      <c r="G84" s="175">
        <f t="shared" si="5"/>
        <v>32.661999999999999</v>
      </c>
      <c r="H84" s="175" t="str">
        <f t="shared" si="8"/>
        <v>IN</v>
      </c>
      <c r="I84" s="177">
        <f t="shared" si="13"/>
        <v>2069.0459999999994</v>
      </c>
      <c r="J84" s="177">
        <f t="shared" si="11"/>
        <v>9548.5240000000013</v>
      </c>
      <c r="K84" s="235">
        <f t="shared" si="12"/>
        <v>128.68548002139036</v>
      </c>
      <c r="L84" s="566"/>
      <c r="M84" s="566"/>
      <c r="N84" s="11"/>
    </row>
    <row r="85" spans="2:14" ht="13.35" customHeight="1">
      <c r="B85" s="173">
        <f t="shared" si="10"/>
        <v>63</v>
      </c>
      <c r="C85" s="173"/>
      <c r="D85" s="174">
        <v>7</v>
      </c>
      <c r="E85" s="168">
        <f t="shared" si="7"/>
        <v>63</v>
      </c>
      <c r="F85" s="286">
        <f t="shared" si="9"/>
        <v>32.880000000000003</v>
      </c>
      <c r="G85" s="175">
        <f t="shared" si="5"/>
        <v>32.481999999999999</v>
      </c>
      <c r="H85" s="175" t="str">
        <f t="shared" si="8"/>
        <v>IN</v>
      </c>
      <c r="I85" s="177">
        <f t="shared" si="13"/>
        <v>2101.5279999999993</v>
      </c>
      <c r="J85" s="177">
        <f t="shared" si="11"/>
        <v>9516.0420000000013</v>
      </c>
      <c r="K85" s="235">
        <f t="shared" si="12"/>
        <v>129.37129936134451</v>
      </c>
      <c r="L85" s="566"/>
      <c r="M85" s="566"/>
      <c r="N85" s="11"/>
    </row>
    <row r="86" spans="2:14" ht="13.35" customHeight="1">
      <c r="B86" s="173">
        <f t="shared" si="10"/>
        <v>64</v>
      </c>
      <c r="C86" s="173"/>
      <c r="D86" s="174">
        <v>7</v>
      </c>
      <c r="E86" s="168">
        <f t="shared" si="7"/>
        <v>64</v>
      </c>
      <c r="F86" s="286">
        <f t="shared" si="9"/>
        <v>33.08</v>
      </c>
      <c r="G86" s="175">
        <f t="shared" si="5"/>
        <v>32.681999999999995</v>
      </c>
      <c r="H86" s="175" t="str">
        <f t="shared" si="8"/>
        <v>IN</v>
      </c>
      <c r="I86" s="177">
        <f t="shared" si="13"/>
        <v>2134.2099999999991</v>
      </c>
      <c r="J86" s="177">
        <f t="shared" si="11"/>
        <v>9483.36</v>
      </c>
      <c r="K86" s="235">
        <f t="shared" si="12"/>
        <v>130.06134146676851</v>
      </c>
      <c r="L86" s="566"/>
      <c r="M86" s="566"/>
      <c r="N86" s="11"/>
    </row>
    <row r="87" spans="2:14" ht="13.35" customHeight="1">
      <c r="B87" s="173">
        <f t="shared" si="10"/>
        <v>65</v>
      </c>
      <c r="C87" s="173"/>
      <c r="D87" s="174">
        <v>7</v>
      </c>
      <c r="E87" s="168">
        <f t="shared" si="7"/>
        <v>65</v>
      </c>
      <c r="F87" s="286">
        <f t="shared" si="9"/>
        <v>33</v>
      </c>
      <c r="G87" s="175">
        <f t="shared" si="5"/>
        <v>32.601999999999997</v>
      </c>
      <c r="H87" s="175" t="str">
        <f t="shared" si="8"/>
        <v>IN</v>
      </c>
      <c r="I87" s="177">
        <f t="shared" si="13"/>
        <v>2166.811999999999</v>
      </c>
      <c r="J87" s="177">
        <f t="shared" si="11"/>
        <v>9450.7580000000016</v>
      </c>
      <c r="K87" s="235">
        <f t="shared" si="12"/>
        <v>130.74969446600457</v>
      </c>
      <c r="L87" s="566"/>
      <c r="M87" s="566"/>
      <c r="N87" s="11"/>
    </row>
    <row r="88" spans="2:14" ht="13.35" customHeight="1">
      <c r="B88" s="173">
        <f t="shared" si="10"/>
        <v>66</v>
      </c>
      <c r="C88" s="173"/>
      <c r="D88" s="174">
        <v>7</v>
      </c>
      <c r="E88" s="168">
        <f t="shared" si="7"/>
        <v>66</v>
      </c>
      <c r="F88" s="286">
        <f t="shared" ref="F88:F100" si="14">VLOOKUP(E88,tubing1,2,FALSE)</f>
        <v>32.729999999999997</v>
      </c>
      <c r="G88" s="175">
        <f t="shared" ref="G88:G151" si="15">F88-($E$12)</f>
        <v>32.331999999999994</v>
      </c>
      <c r="H88" s="175" t="str">
        <f t="shared" si="8"/>
        <v>IN</v>
      </c>
      <c r="I88" s="177">
        <f t="shared" si="13"/>
        <v>2199.1439999999989</v>
      </c>
      <c r="J88" s="177">
        <f t="shared" si="11"/>
        <v>9418.4260000000013</v>
      </c>
      <c r="K88" s="235">
        <f t="shared" si="12"/>
        <v>131.43234673185634</v>
      </c>
      <c r="L88" s="566"/>
      <c r="M88" s="566"/>
      <c r="N88" s="11"/>
    </row>
    <row r="89" spans="2:14" ht="13.35" customHeight="1">
      <c r="B89" s="173">
        <f t="shared" ref="B89:B100" si="16">B88+1</f>
        <v>67</v>
      </c>
      <c r="C89" s="173"/>
      <c r="D89" s="174">
        <v>7</v>
      </c>
      <c r="E89" s="168">
        <f t="shared" ref="E89:E152" si="17">E88+1</f>
        <v>67</v>
      </c>
      <c r="F89" s="286">
        <f t="shared" si="14"/>
        <v>33.049999999999997</v>
      </c>
      <c r="G89" s="175">
        <f t="shared" si="15"/>
        <v>32.651999999999994</v>
      </c>
      <c r="H89" s="175" t="str">
        <f t="shared" si="8"/>
        <v>IN</v>
      </c>
      <c r="I89" s="177">
        <f t="shared" si="13"/>
        <v>2231.7959999999989</v>
      </c>
      <c r="J89" s="177">
        <f t="shared" si="11"/>
        <v>9385.7740000000013</v>
      </c>
      <c r="K89" s="235">
        <f t="shared" si="12"/>
        <v>132.12175542245987</v>
      </c>
      <c r="L89" s="566"/>
      <c r="M89" s="566"/>
      <c r="N89" s="11"/>
    </row>
    <row r="90" spans="2:14" ht="13.35" customHeight="1">
      <c r="B90" s="173">
        <f t="shared" si="16"/>
        <v>68</v>
      </c>
      <c r="C90" s="173"/>
      <c r="D90" s="174">
        <v>7</v>
      </c>
      <c r="E90" s="168">
        <f t="shared" si="17"/>
        <v>68</v>
      </c>
      <c r="F90" s="286">
        <f t="shared" si="14"/>
        <v>32.89</v>
      </c>
      <c r="G90" s="175">
        <f t="shared" si="15"/>
        <v>32.491999999999997</v>
      </c>
      <c r="H90" s="175" t="str">
        <f t="shared" si="8"/>
        <v>IN</v>
      </c>
      <c r="I90" s="177">
        <f t="shared" si="13"/>
        <v>2264.2879999999991</v>
      </c>
      <c r="J90" s="177">
        <f t="shared" si="11"/>
        <v>9353.2820000000011</v>
      </c>
      <c r="K90" s="235">
        <f t="shared" si="12"/>
        <v>132.80778590068752</v>
      </c>
      <c r="L90" s="566"/>
      <c r="M90" s="566"/>
      <c r="N90" s="11"/>
    </row>
    <row r="91" spans="2:14" ht="13.35" customHeight="1">
      <c r="B91" s="173">
        <f t="shared" si="16"/>
        <v>69</v>
      </c>
      <c r="C91" s="173"/>
      <c r="D91" s="174">
        <v>7</v>
      </c>
      <c r="E91" s="168">
        <f t="shared" si="17"/>
        <v>69</v>
      </c>
      <c r="F91" s="286">
        <f t="shared" si="14"/>
        <v>32.93</v>
      </c>
      <c r="G91" s="175">
        <f t="shared" si="15"/>
        <v>32.531999999999996</v>
      </c>
      <c r="H91" s="175" t="str">
        <f t="shared" si="8"/>
        <v>IN</v>
      </c>
      <c r="I91" s="177">
        <f t="shared" si="13"/>
        <v>2296.8199999999993</v>
      </c>
      <c r="J91" s="177">
        <f t="shared" si="11"/>
        <v>9320.75</v>
      </c>
      <c r="K91" s="235">
        <f t="shared" si="12"/>
        <v>133.49466093200914</v>
      </c>
      <c r="L91" s="566"/>
      <c r="M91" s="566"/>
      <c r="N91" s="11"/>
    </row>
    <row r="92" spans="2:14" ht="13.35" customHeight="1">
      <c r="B92" s="173">
        <f t="shared" si="16"/>
        <v>70</v>
      </c>
      <c r="C92" s="173"/>
      <c r="D92" s="174">
        <v>7</v>
      </c>
      <c r="E92" s="168">
        <f t="shared" si="17"/>
        <v>70</v>
      </c>
      <c r="F92" s="286">
        <f t="shared" si="14"/>
        <v>32.89</v>
      </c>
      <c r="G92" s="175">
        <f t="shared" si="15"/>
        <v>32.491999999999997</v>
      </c>
      <c r="H92" s="175" t="str">
        <f t="shared" si="8"/>
        <v>IN</v>
      </c>
      <c r="I92" s="177">
        <f t="shared" si="13"/>
        <v>2329.3119999999994</v>
      </c>
      <c r="J92" s="177">
        <f t="shared" si="11"/>
        <v>9288.2579999999998</v>
      </c>
      <c r="K92" s="235">
        <f t="shared" si="12"/>
        <v>134.18069141023682</v>
      </c>
      <c r="L92" s="566"/>
      <c r="M92" s="566"/>
      <c r="N92" s="11"/>
    </row>
    <row r="93" spans="2:14" ht="13.35" customHeight="1">
      <c r="B93" s="173">
        <f t="shared" si="16"/>
        <v>71</v>
      </c>
      <c r="C93" s="176"/>
      <c r="D93" s="174">
        <v>7</v>
      </c>
      <c r="E93" s="168">
        <f t="shared" si="17"/>
        <v>71</v>
      </c>
      <c r="F93" s="286">
        <f t="shared" si="14"/>
        <v>33.08</v>
      </c>
      <c r="G93" s="175">
        <f t="shared" si="15"/>
        <v>32.681999999999995</v>
      </c>
      <c r="H93" s="175" t="str">
        <f t="shared" si="8"/>
        <v>IN</v>
      </c>
      <c r="I93" s="177">
        <f t="shared" si="13"/>
        <v>2361.9939999999992</v>
      </c>
      <c r="J93" s="177">
        <f t="shared" si="11"/>
        <v>9255.5760000000009</v>
      </c>
      <c r="K93" s="235">
        <f t="shared" si="12"/>
        <v>134.87073351566079</v>
      </c>
      <c r="L93" s="566"/>
      <c r="M93" s="566"/>
      <c r="N93" s="11"/>
    </row>
    <row r="94" spans="2:14" ht="13.35" customHeight="1">
      <c r="B94" s="173">
        <f t="shared" si="16"/>
        <v>72</v>
      </c>
      <c r="C94" s="176"/>
      <c r="D94" s="174">
        <v>7</v>
      </c>
      <c r="E94" s="168">
        <f t="shared" si="17"/>
        <v>72</v>
      </c>
      <c r="F94" s="286">
        <f t="shared" si="14"/>
        <v>33.33</v>
      </c>
      <c r="G94" s="175">
        <f t="shared" si="15"/>
        <v>32.931999999999995</v>
      </c>
      <c r="H94" s="175" t="str">
        <f t="shared" si="8"/>
        <v>IN</v>
      </c>
      <c r="I94" s="177">
        <f t="shared" si="13"/>
        <v>2394.925999999999</v>
      </c>
      <c r="J94" s="177">
        <f t="shared" si="11"/>
        <v>9222.6440000000002</v>
      </c>
      <c r="K94" s="235">
        <f t="shared" si="12"/>
        <v>135.56605407792205</v>
      </c>
      <c r="L94" s="566"/>
      <c r="M94" s="566"/>
      <c r="N94" s="11"/>
    </row>
    <row r="95" spans="2:14" ht="13.35" customHeight="1">
      <c r="B95" s="173">
        <f t="shared" si="16"/>
        <v>73</v>
      </c>
      <c r="C95" s="176"/>
      <c r="D95" s="174">
        <v>7</v>
      </c>
      <c r="E95" s="168">
        <f t="shared" si="17"/>
        <v>73</v>
      </c>
      <c r="F95" s="286">
        <f t="shared" si="14"/>
        <v>32.49</v>
      </c>
      <c r="G95" s="175">
        <f t="shared" si="15"/>
        <v>32.091999999999999</v>
      </c>
      <c r="H95" s="175" t="str">
        <f t="shared" si="8"/>
        <v>IN</v>
      </c>
      <c r="I95" s="177">
        <f t="shared" si="13"/>
        <v>2427.0179999999991</v>
      </c>
      <c r="J95" s="177">
        <f t="shared" si="11"/>
        <v>9190.5519999999997</v>
      </c>
      <c r="K95" s="235">
        <f t="shared" si="12"/>
        <v>136.24363902521006</v>
      </c>
      <c r="L95" s="566"/>
      <c r="M95" s="566"/>
      <c r="N95" s="11"/>
    </row>
    <row r="96" spans="2:14" ht="13.35" customHeight="1">
      <c r="B96" s="173">
        <f t="shared" si="16"/>
        <v>74</v>
      </c>
      <c r="C96" s="176"/>
      <c r="D96" s="174">
        <v>7</v>
      </c>
      <c r="E96" s="168">
        <f t="shared" si="17"/>
        <v>74</v>
      </c>
      <c r="F96" s="286">
        <f t="shared" si="14"/>
        <v>31.46</v>
      </c>
      <c r="G96" s="175">
        <f t="shared" si="15"/>
        <v>31.062000000000001</v>
      </c>
      <c r="H96" s="175" t="str">
        <f t="shared" si="8"/>
        <v>IN</v>
      </c>
      <c r="I96" s="177">
        <f t="shared" si="13"/>
        <v>2458.079999999999</v>
      </c>
      <c r="J96" s="177">
        <f t="shared" si="11"/>
        <v>9159.4900000000016</v>
      </c>
      <c r="K96" s="235">
        <f t="shared" si="12"/>
        <v>136.89947673032847</v>
      </c>
      <c r="L96" s="566"/>
      <c r="M96" s="566"/>
      <c r="N96" s="11"/>
    </row>
    <row r="97" spans="1:14" ht="13.35" customHeight="1">
      <c r="A97" s="231"/>
      <c r="B97" s="173">
        <f t="shared" si="16"/>
        <v>75</v>
      </c>
      <c r="C97" s="176"/>
      <c r="D97" s="232">
        <v>7</v>
      </c>
      <c r="E97" s="168">
        <f t="shared" si="17"/>
        <v>75</v>
      </c>
      <c r="F97" s="286">
        <f t="shared" si="14"/>
        <v>33.21</v>
      </c>
      <c r="G97" s="177">
        <f t="shared" si="15"/>
        <v>32.811999999999998</v>
      </c>
      <c r="H97" s="177" t="s">
        <v>131</v>
      </c>
      <c r="I97" s="177">
        <f t="shared" si="13"/>
        <v>2490.8919999999989</v>
      </c>
      <c r="J97" s="177">
        <f t="shared" si="11"/>
        <v>9126.6779999999999</v>
      </c>
      <c r="K97" s="235">
        <f t="shared" si="12"/>
        <v>137.59226363330785</v>
      </c>
      <c r="L97" s="566"/>
      <c r="M97" s="566"/>
      <c r="N97" s="11"/>
    </row>
    <row r="98" spans="1:14" ht="15" customHeight="1">
      <c r="B98" s="173">
        <f t="shared" si="16"/>
        <v>76</v>
      </c>
      <c r="C98" s="176"/>
      <c r="D98" s="174">
        <v>7</v>
      </c>
      <c r="E98" s="168">
        <f t="shared" si="17"/>
        <v>76</v>
      </c>
      <c r="F98" s="286">
        <f t="shared" si="14"/>
        <v>32.659999999999997</v>
      </c>
      <c r="G98" s="175">
        <f t="shared" si="15"/>
        <v>32.261999999999993</v>
      </c>
      <c r="H98" s="175" t="str">
        <f>IF(F98="","OUT","IN")</f>
        <v>IN</v>
      </c>
      <c r="I98" s="177">
        <f t="shared" si="13"/>
        <v>2523.1539999999991</v>
      </c>
      <c r="J98" s="177">
        <f t="shared" si="11"/>
        <v>9094.4160000000011</v>
      </c>
      <c r="K98" s="235">
        <f t="shared" si="12"/>
        <v>138.27343793124521</v>
      </c>
      <c r="L98" s="566"/>
      <c r="M98" s="566"/>
      <c r="N98" s="11"/>
    </row>
    <row r="99" spans="1:14" ht="15" customHeight="1">
      <c r="B99" s="173">
        <f t="shared" si="16"/>
        <v>77</v>
      </c>
      <c r="C99" s="176"/>
      <c r="D99" s="174">
        <v>7</v>
      </c>
      <c r="E99" s="168">
        <f t="shared" si="17"/>
        <v>77</v>
      </c>
      <c r="F99" s="286">
        <f t="shared" si="14"/>
        <v>31.41</v>
      </c>
      <c r="G99" s="175">
        <f t="shared" si="15"/>
        <v>31.012</v>
      </c>
      <c r="H99" s="175" t="str">
        <f>IF(F99="","OUT","IN")</f>
        <v>IN</v>
      </c>
      <c r="I99" s="177">
        <f t="shared" si="13"/>
        <v>2554.1659999999993</v>
      </c>
      <c r="J99" s="177">
        <f t="shared" si="11"/>
        <v>9063.4040000000005</v>
      </c>
      <c r="K99" s="235">
        <f t="shared" si="12"/>
        <v>138.92821994499616</v>
      </c>
      <c r="L99" s="566"/>
      <c r="M99" s="566"/>
      <c r="N99" s="11"/>
    </row>
    <row r="100" spans="1:14" ht="15" customHeight="1">
      <c r="B100" s="173">
        <f t="shared" si="16"/>
        <v>78</v>
      </c>
      <c r="C100" s="176"/>
      <c r="D100" s="174">
        <v>7</v>
      </c>
      <c r="E100" s="168">
        <f t="shared" si="17"/>
        <v>78</v>
      </c>
      <c r="F100" s="286">
        <f t="shared" si="14"/>
        <v>33.46</v>
      </c>
      <c r="G100" s="175">
        <f t="shared" si="15"/>
        <v>33.061999999999998</v>
      </c>
      <c r="H100" s="175" t="str">
        <f>IF(F100="","OUT","IN")</f>
        <v>IN</v>
      </c>
      <c r="I100" s="177">
        <f t="shared" si="13"/>
        <v>2587.2279999999992</v>
      </c>
      <c r="J100" s="177">
        <f t="shared" si="11"/>
        <v>9030.3420000000006</v>
      </c>
      <c r="K100" s="235">
        <f t="shared" si="12"/>
        <v>139.62628530481282</v>
      </c>
      <c r="L100" s="566"/>
      <c r="M100" s="566"/>
      <c r="N100" s="11"/>
    </row>
    <row r="101" spans="1:14" ht="15" customHeight="1">
      <c r="B101" s="263"/>
      <c r="C101" s="263"/>
      <c r="D101" s="241">
        <v>7</v>
      </c>
      <c r="E101" s="264">
        <f t="shared" si="17"/>
        <v>79</v>
      </c>
      <c r="F101" s="285">
        <v>0</v>
      </c>
      <c r="G101" s="233">
        <f t="shared" si="15"/>
        <v>-0.39799999999999996</v>
      </c>
      <c r="H101" s="233" t="s">
        <v>97</v>
      </c>
      <c r="I101" s="233">
        <f t="shared" si="13"/>
        <v>2587.2279999999992</v>
      </c>
      <c r="J101" s="233">
        <f t="shared" si="11"/>
        <v>9030.3420000000006</v>
      </c>
      <c r="K101" s="234">
        <f t="shared" si="12"/>
        <v>139.62628530481282</v>
      </c>
      <c r="L101" s="580" t="s">
        <v>134</v>
      </c>
      <c r="M101" s="580"/>
      <c r="N101" s="11"/>
    </row>
    <row r="102" spans="1:14" ht="15" customHeight="1">
      <c r="B102" s="173">
        <v>79</v>
      </c>
      <c r="C102" s="176"/>
      <c r="D102" s="174">
        <v>7</v>
      </c>
      <c r="E102" s="168">
        <f t="shared" si="17"/>
        <v>80</v>
      </c>
      <c r="F102" s="286">
        <f t="shared" ref="F102:F165" si="18">VLOOKUP(E102,tubing1,2,FALSE)</f>
        <v>33.049999999999997</v>
      </c>
      <c r="G102" s="175">
        <f t="shared" si="15"/>
        <v>32.651999999999994</v>
      </c>
      <c r="H102" s="175" t="str">
        <f t="shared" ref="H102:H114" si="19">IF(F102="","OUT","IN")</f>
        <v>IN</v>
      </c>
      <c r="I102" s="177">
        <f t="shared" si="13"/>
        <v>2619.8799999999992</v>
      </c>
      <c r="J102" s="177">
        <f t="shared" si="11"/>
        <v>8997.69</v>
      </c>
      <c r="K102" s="235">
        <f t="shared" si="12"/>
        <v>140.31569399541632</v>
      </c>
      <c r="L102" s="566"/>
      <c r="M102" s="566"/>
      <c r="N102" s="11"/>
    </row>
    <row r="103" spans="1:14" ht="15" customHeight="1">
      <c r="B103" s="173">
        <f t="shared" ref="B103:B166" si="20">B102+1</f>
        <v>80</v>
      </c>
      <c r="C103" s="176"/>
      <c r="D103" s="174">
        <v>7</v>
      </c>
      <c r="E103" s="168">
        <f t="shared" si="17"/>
        <v>81</v>
      </c>
      <c r="F103" s="286">
        <f t="shared" si="18"/>
        <v>32.700000000000003</v>
      </c>
      <c r="G103" s="175">
        <f t="shared" si="15"/>
        <v>32.302</v>
      </c>
      <c r="H103" s="175" t="str">
        <f t="shared" si="19"/>
        <v>IN</v>
      </c>
      <c r="I103" s="177">
        <f t="shared" si="13"/>
        <v>2652.1819999999993</v>
      </c>
      <c r="J103" s="177">
        <f t="shared" si="11"/>
        <v>8965.3880000000008</v>
      </c>
      <c r="K103" s="235">
        <f t="shared" si="12"/>
        <v>140.99771284644766</v>
      </c>
      <c r="L103" s="566"/>
      <c r="M103" s="566"/>
      <c r="N103" s="11"/>
    </row>
    <row r="104" spans="1:14" ht="15" customHeight="1">
      <c r="B104" s="173">
        <f t="shared" si="20"/>
        <v>81</v>
      </c>
      <c r="C104" s="176"/>
      <c r="D104" s="174">
        <v>7</v>
      </c>
      <c r="E104" s="168">
        <f t="shared" si="17"/>
        <v>82</v>
      </c>
      <c r="F104" s="286">
        <f t="shared" si="18"/>
        <v>33</v>
      </c>
      <c r="G104" s="175">
        <f t="shared" si="15"/>
        <v>32.601999999999997</v>
      </c>
      <c r="H104" s="175" t="str">
        <f t="shared" si="19"/>
        <v>IN</v>
      </c>
      <c r="I104" s="177">
        <f t="shared" si="13"/>
        <v>2684.7839999999992</v>
      </c>
      <c r="J104" s="177">
        <f t="shared" si="11"/>
        <v>8932.7860000000001</v>
      </c>
      <c r="K104" s="235">
        <f t="shared" si="12"/>
        <v>141.68606584568371</v>
      </c>
      <c r="L104" s="566"/>
      <c r="M104" s="566"/>
      <c r="N104" s="11"/>
    </row>
    <row r="105" spans="1:14" ht="15" customHeight="1">
      <c r="B105" s="173">
        <f t="shared" si="20"/>
        <v>82</v>
      </c>
      <c r="C105" s="176"/>
      <c r="D105" s="174">
        <v>7</v>
      </c>
      <c r="E105" s="168">
        <f t="shared" si="17"/>
        <v>83</v>
      </c>
      <c r="F105" s="286">
        <f t="shared" si="18"/>
        <v>33.049999999999997</v>
      </c>
      <c r="G105" s="175">
        <f t="shared" si="15"/>
        <v>32.651999999999994</v>
      </c>
      <c r="H105" s="175" t="str">
        <f t="shared" si="19"/>
        <v>IN</v>
      </c>
      <c r="I105" s="177">
        <f t="shared" si="13"/>
        <v>2717.4359999999992</v>
      </c>
      <c r="J105" s="177">
        <f t="shared" si="11"/>
        <v>8900.134</v>
      </c>
      <c r="K105" s="235">
        <f t="shared" si="12"/>
        <v>142.37547453628724</v>
      </c>
      <c r="L105" s="566"/>
      <c r="M105" s="566"/>
      <c r="N105" s="11"/>
    </row>
    <row r="106" spans="1:14" ht="15" customHeight="1">
      <c r="B106" s="173">
        <f t="shared" si="20"/>
        <v>83</v>
      </c>
      <c r="C106" s="176"/>
      <c r="D106" s="174">
        <v>7</v>
      </c>
      <c r="E106" s="168">
        <f t="shared" si="17"/>
        <v>84</v>
      </c>
      <c r="F106" s="286">
        <f t="shared" si="18"/>
        <v>31.19</v>
      </c>
      <c r="G106" s="175">
        <f t="shared" si="15"/>
        <v>30.792000000000002</v>
      </c>
      <c r="H106" s="175" t="str">
        <f t="shared" si="19"/>
        <v>IN</v>
      </c>
      <c r="I106" s="177">
        <f t="shared" si="13"/>
        <v>2748.2279999999992</v>
      </c>
      <c r="J106" s="177">
        <f t="shared" si="11"/>
        <v>8869.3420000000006</v>
      </c>
      <c r="K106" s="235">
        <f t="shared" si="12"/>
        <v>143.02561150802137</v>
      </c>
      <c r="L106" s="566"/>
      <c r="M106" s="566"/>
      <c r="N106" s="11"/>
    </row>
    <row r="107" spans="1:14" ht="15" customHeight="1">
      <c r="B107" s="173">
        <f t="shared" si="20"/>
        <v>84</v>
      </c>
      <c r="C107" s="176"/>
      <c r="D107" s="174">
        <v>7</v>
      </c>
      <c r="E107" s="168">
        <f t="shared" si="17"/>
        <v>85</v>
      </c>
      <c r="F107" s="286">
        <f t="shared" si="18"/>
        <v>33</v>
      </c>
      <c r="G107" s="175">
        <f t="shared" si="15"/>
        <v>32.601999999999997</v>
      </c>
      <c r="H107" s="175" t="str">
        <f t="shared" si="19"/>
        <v>IN</v>
      </c>
      <c r="I107" s="177">
        <f t="shared" si="13"/>
        <v>2780.829999999999</v>
      </c>
      <c r="J107" s="177">
        <f t="shared" si="11"/>
        <v>8836.7400000000016</v>
      </c>
      <c r="K107" s="235">
        <f t="shared" si="12"/>
        <v>143.71396450725743</v>
      </c>
      <c r="L107" s="566"/>
      <c r="M107" s="566"/>
      <c r="N107" s="11"/>
    </row>
    <row r="108" spans="1:14" ht="15" customHeight="1">
      <c r="B108" s="173">
        <f t="shared" si="20"/>
        <v>85</v>
      </c>
      <c r="C108" s="176"/>
      <c r="D108" s="174">
        <v>7</v>
      </c>
      <c r="E108" s="168">
        <f t="shared" si="17"/>
        <v>86</v>
      </c>
      <c r="F108" s="286">
        <f t="shared" si="18"/>
        <v>33.07</v>
      </c>
      <c r="G108" s="175">
        <f t="shared" si="15"/>
        <v>32.671999999999997</v>
      </c>
      <c r="H108" s="175" t="str">
        <f t="shared" si="19"/>
        <v>IN</v>
      </c>
      <c r="I108" s="177">
        <f t="shared" si="13"/>
        <v>2813.501999999999</v>
      </c>
      <c r="J108" s="177">
        <f t="shared" si="11"/>
        <v>8804.0680000000011</v>
      </c>
      <c r="K108" s="235">
        <f t="shared" si="12"/>
        <v>144.40379547440793</v>
      </c>
      <c r="L108" s="566"/>
      <c r="M108" s="566"/>
      <c r="N108" s="11"/>
    </row>
    <row r="109" spans="1:14" ht="15" customHeight="1">
      <c r="B109" s="173">
        <f t="shared" si="20"/>
        <v>86</v>
      </c>
      <c r="C109" s="176"/>
      <c r="D109" s="174">
        <v>7</v>
      </c>
      <c r="E109" s="168">
        <f t="shared" si="17"/>
        <v>87</v>
      </c>
      <c r="F109" s="286">
        <f t="shared" si="18"/>
        <v>32.700000000000003</v>
      </c>
      <c r="G109" s="175">
        <f t="shared" si="15"/>
        <v>32.302</v>
      </c>
      <c r="H109" s="175" t="str">
        <f t="shared" si="19"/>
        <v>IN</v>
      </c>
      <c r="I109" s="177">
        <f t="shared" si="13"/>
        <v>2845.8039999999992</v>
      </c>
      <c r="J109" s="177">
        <f t="shared" si="11"/>
        <v>8771.7659999999996</v>
      </c>
      <c r="K109" s="235">
        <f t="shared" si="12"/>
        <v>145.08581432543926</v>
      </c>
      <c r="L109" s="566"/>
      <c r="M109" s="566"/>
      <c r="N109" s="11"/>
    </row>
    <row r="110" spans="1:14" ht="15" customHeight="1">
      <c r="B110" s="173">
        <f t="shared" si="20"/>
        <v>87</v>
      </c>
      <c r="C110" s="173"/>
      <c r="D110" s="174">
        <v>7</v>
      </c>
      <c r="E110" s="168">
        <f t="shared" si="17"/>
        <v>88</v>
      </c>
      <c r="F110" s="286">
        <f t="shared" si="18"/>
        <v>32.909999999999997</v>
      </c>
      <c r="G110" s="175">
        <f t="shared" si="15"/>
        <v>32.511999999999993</v>
      </c>
      <c r="H110" s="175" t="str">
        <f t="shared" si="19"/>
        <v>IN</v>
      </c>
      <c r="I110" s="177">
        <f t="shared" si="13"/>
        <v>2878.3159999999993</v>
      </c>
      <c r="J110" s="177">
        <f t="shared" si="11"/>
        <v>8739.2540000000008</v>
      </c>
      <c r="K110" s="235">
        <f t="shared" si="12"/>
        <v>145.77226708021391</v>
      </c>
      <c r="L110" s="566"/>
      <c r="M110" s="566"/>
      <c r="N110" s="11"/>
    </row>
    <row r="111" spans="1:14" ht="15" customHeight="1">
      <c r="B111" s="173">
        <f t="shared" si="20"/>
        <v>88</v>
      </c>
      <c r="C111" s="173"/>
      <c r="D111" s="174">
        <v>7</v>
      </c>
      <c r="E111" s="168">
        <f t="shared" si="17"/>
        <v>89</v>
      </c>
      <c r="F111" s="286">
        <f t="shared" si="18"/>
        <v>33.47</v>
      </c>
      <c r="G111" s="175">
        <f t="shared" si="15"/>
        <v>33.071999999999996</v>
      </c>
      <c r="H111" s="175" t="str">
        <f t="shared" si="19"/>
        <v>IN</v>
      </c>
      <c r="I111" s="177">
        <f t="shared" si="13"/>
        <v>2911.3879999999995</v>
      </c>
      <c r="J111" s="177">
        <f t="shared" si="11"/>
        <v>8706.1820000000007</v>
      </c>
      <c r="K111" s="235">
        <f t="shared" si="12"/>
        <v>146.47054357830405</v>
      </c>
      <c r="L111" s="566"/>
      <c r="M111" s="566"/>
      <c r="N111" s="11"/>
    </row>
    <row r="112" spans="1:14" ht="13.35" customHeight="1">
      <c r="B112" s="173">
        <f t="shared" si="20"/>
        <v>89</v>
      </c>
      <c r="C112" s="173"/>
      <c r="D112" s="174">
        <v>7</v>
      </c>
      <c r="E112" s="168">
        <f t="shared" si="17"/>
        <v>90</v>
      </c>
      <c r="F112" s="286">
        <f t="shared" si="18"/>
        <v>32.97</v>
      </c>
      <c r="G112" s="175">
        <f t="shared" si="15"/>
        <v>32.571999999999996</v>
      </c>
      <c r="H112" s="175" t="str">
        <f t="shared" si="19"/>
        <v>IN</v>
      </c>
      <c r="I112" s="177">
        <f t="shared" si="13"/>
        <v>2943.9599999999996</v>
      </c>
      <c r="J112" s="177">
        <f t="shared" si="11"/>
        <v>8673.61</v>
      </c>
      <c r="K112" s="235">
        <f t="shared" si="12"/>
        <v>147.15826316271963</v>
      </c>
      <c r="L112" s="566"/>
      <c r="M112" s="566"/>
      <c r="N112" s="11"/>
    </row>
    <row r="113" spans="2:14" ht="13.35" customHeight="1">
      <c r="B113" s="173">
        <f t="shared" si="20"/>
        <v>90</v>
      </c>
      <c r="C113" s="173"/>
      <c r="D113" s="174">
        <v>7</v>
      </c>
      <c r="E113" s="168">
        <f t="shared" si="17"/>
        <v>91</v>
      </c>
      <c r="F113" s="286">
        <f t="shared" si="18"/>
        <v>33.479999999999997</v>
      </c>
      <c r="G113" s="175">
        <f t="shared" si="15"/>
        <v>33.081999999999994</v>
      </c>
      <c r="H113" s="175" t="str">
        <f t="shared" si="19"/>
        <v>IN</v>
      </c>
      <c r="I113" s="177">
        <f t="shared" si="13"/>
        <v>2977.0419999999995</v>
      </c>
      <c r="J113" s="177">
        <f t="shared" si="11"/>
        <v>8640.5280000000002</v>
      </c>
      <c r="K113" s="235">
        <f t="shared" si="12"/>
        <v>147.85675079908327</v>
      </c>
      <c r="L113" s="566"/>
      <c r="M113" s="566"/>
      <c r="N113" s="11"/>
    </row>
    <row r="114" spans="2:14" ht="13.35" customHeight="1">
      <c r="B114" s="173">
        <f t="shared" si="20"/>
        <v>91</v>
      </c>
      <c r="C114" s="173"/>
      <c r="D114" s="174">
        <v>7</v>
      </c>
      <c r="E114" s="168">
        <f t="shared" si="17"/>
        <v>92</v>
      </c>
      <c r="F114" s="286">
        <f t="shared" si="18"/>
        <v>33.270000000000003</v>
      </c>
      <c r="G114" s="175">
        <f t="shared" si="15"/>
        <v>32.872</v>
      </c>
      <c r="H114" s="175" t="str">
        <f t="shared" si="19"/>
        <v>IN</v>
      </c>
      <c r="I114" s="177">
        <f t="shared" si="13"/>
        <v>3009.9139999999993</v>
      </c>
      <c r="J114" s="177">
        <f t="shared" si="11"/>
        <v>8607.6560000000009</v>
      </c>
      <c r="K114" s="235">
        <f t="shared" si="12"/>
        <v>148.55080453170359</v>
      </c>
      <c r="L114" s="566"/>
      <c r="M114" s="566"/>
      <c r="N114" s="11"/>
    </row>
    <row r="115" spans="2:14" ht="13.35" customHeight="1">
      <c r="B115" s="173">
        <f t="shared" si="20"/>
        <v>92</v>
      </c>
      <c r="C115" s="173"/>
      <c r="D115" s="174">
        <v>7</v>
      </c>
      <c r="E115" s="168">
        <f t="shared" si="17"/>
        <v>93</v>
      </c>
      <c r="F115" s="286">
        <f t="shared" si="18"/>
        <v>33.39</v>
      </c>
      <c r="G115" s="175">
        <f t="shared" si="15"/>
        <v>32.991999999999997</v>
      </c>
      <c r="H115" s="175" t="s">
        <v>131</v>
      </c>
      <c r="I115" s="175">
        <f t="shared" si="13"/>
        <v>3042.9059999999995</v>
      </c>
      <c r="J115" s="175">
        <f t="shared" si="11"/>
        <v>8574.6640000000007</v>
      </c>
      <c r="K115" s="262">
        <f t="shared" si="12"/>
        <v>149.24739192360579</v>
      </c>
      <c r="L115" s="567"/>
      <c r="M115" s="567"/>
      <c r="N115" s="11"/>
    </row>
    <row r="116" spans="2:14" ht="13.35" customHeight="1">
      <c r="B116" s="173">
        <f t="shared" si="20"/>
        <v>93</v>
      </c>
      <c r="C116" s="176"/>
      <c r="D116" s="174">
        <v>7</v>
      </c>
      <c r="E116" s="168">
        <f t="shared" si="17"/>
        <v>94</v>
      </c>
      <c r="F116" s="286">
        <f t="shared" si="18"/>
        <v>33.42</v>
      </c>
      <c r="G116" s="175">
        <f t="shared" si="15"/>
        <v>33.021999999999998</v>
      </c>
      <c r="H116" s="175" t="str">
        <f t="shared" ref="H116:H139" si="21">IF(F116="","OUT","IN")</f>
        <v>IN</v>
      </c>
      <c r="I116" s="177">
        <f t="shared" si="13"/>
        <v>3075.9279999999994</v>
      </c>
      <c r="J116" s="177">
        <f t="shared" si="11"/>
        <v>8541.6419999999998</v>
      </c>
      <c r="K116" s="235">
        <f t="shared" si="12"/>
        <v>149.94461273032849</v>
      </c>
      <c r="L116" s="566"/>
      <c r="M116" s="566"/>
      <c r="N116" s="11"/>
    </row>
    <row r="117" spans="2:14" ht="13.35" customHeight="1">
      <c r="B117" s="173">
        <f t="shared" si="20"/>
        <v>94</v>
      </c>
      <c r="C117" s="176"/>
      <c r="D117" s="174">
        <v>7</v>
      </c>
      <c r="E117" s="168">
        <f t="shared" si="17"/>
        <v>95</v>
      </c>
      <c r="F117" s="286">
        <f t="shared" si="18"/>
        <v>33.57</v>
      </c>
      <c r="G117" s="175">
        <f t="shared" si="15"/>
        <v>33.171999999999997</v>
      </c>
      <c r="H117" s="175" t="str">
        <f t="shared" si="21"/>
        <v>IN</v>
      </c>
      <c r="I117" s="177">
        <f t="shared" si="13"/>
        <v>3109.0999999999995</v>
      </c>
      <c r="J117" s="177">
        <f t="shared" si="11"/>
        <v>8508.4700000000012</v>
      </c>
      <c r="K117" s="235">
        <f t="shared" si="12"/>
        <v>150.64500061115353</v>
      </c>
      <c r="L117" s="566"/>
      <c r="M117" s="566"/>
      <c r="N117" s="11"/>
    </row>
    <row r="118" spans="2:14" ht="13.35" customHeight="1">
      <c r="B118" s="173">
        <f t="shared" si="20"/>
        <v>95</v>
      </c>
      <c r="C118" s="176"/>
      <c r="D118" s="174">
        <v>7</v>
      </c>
      <c r="E118" s="168">
        <f t="shared" si="17"/>
        <v>96</v>
      </c>
      <c r="F118" s="286">
        <f t="shared" si="18"/>
        <v>33.39</v>
      </c>
      <c r="G118" s="175">
        <f t="shared" si="15"/>
        <v>32.991999999999997</v>
      </c>
      <c r="H118" s="175" t="str">
        <f t="shared" si="21"/>
        <v>IN</v>
      </c>
      <c r="I118" s="177">
        <f t="shared" si="13"/>
        <v>3142.0919999999996</v>
      </c>
      <c r="J118" s="177">
        <f t="shared" si="11"/>
        <v>8475.4779999999992</v>
      </c>
      <c r="K118" s="235">
        <f t="shared" si="12"/>
        <v>151.34158800305576</v>
      </c>
      <c r="L118" s="566"/>
      <c r="M118" s="566"/>
      <c r="N118" s="11"/>
    </row>
    <row r="119" spans="2:14" ht="13.35" customHeight="1">
      <c r="B119" s="173">
        <f t="shared" si="20"/>
        <v>96</v>
      </c>
      <c r="C119" s="176"/>
      <c r="D119" s="174">
        <v>7</v>
      </c>
      <c r="E119" s="168">
        <f t="shared" si="17"/>
        <v>97</v>
      </c>
      <c r="F119" s="286">
        <f t="shared" si="18"/>
        <v>33.39</v>
      </c>
      <c r="G119" s="175">
        <f t="shared" si="15"/>
        <v>32.991999999999997</v>
      </c>
      <c r="H119" s="175" t="str">
        <f t="shared" si="21"/>
        <v>IN</v>
      </c>
      <c r="I119" s="177">
        <f t="shared" si="13"/>
        <v>3175.0839999999998</v>
      </c>
      <c r="J119" s="177">
        <f t="shared" si="11"/>
        <v>8442.4860000000008</v>
      </c>
      <c r="K119" s="235">
        <f t="shared" si="12"/>
        <v>152.03817539495799</v>
      </c>
      <c r="L119" s="566"/>
      <c r="M119" s="566"/>
      <c r="N119" s="11"/>
    </row>
    <row r="120" spans="2:14" ht="15" customHeight="1">
      <c r="B120" s="173">
        <f t="shared" si="20"/>
        <v>97</v>
      </c>
      <c r="C120" s="176"/>
      <c r="D120" s="174">
        <v>7</v>
      </c>
      <c r="E120" s="168">
        <f t="shared" si="17"/>
        <v>98</v>
      </c>
      <c r="F120" s="286">
        <f t="shared" si="18"/>
        <v>33.32</v>
      </c>
      <c r="G120" s="175">
        <f t="shared" si="15"/>
        <v>32.921999999999997</v>
      </c>
      <c r="H120" s="175" t="str">
        <f t="shared" si="21"/>
        <v>IN</v>
      </c>
      <c r="I120" s="177">
        <f t="shared" si="13"/>
        <v>3208.0059999999999</v>
      </c>
      <c r="J120" s="177">
        <f t="shared" si="11"/>
        <v>8409.5640000000003</v>
      </c>
      <c r="K120" s="235">
        <f t="shared" si="12"/>
        <v>152.73328481894578</v>
      </c>
      <c r="L120" s="566"/>
      <c r="M120" s="566"/>
      <c r="N120" s="11"/>
    </row>
    <row r="121" spans="2:14" ht="15" customHeight="1">
      <c r="B121" s="173">
        <f t="shared" si="20"/>
        <v>98</v>
      </c>
      <c r="C121" s="176"/>
      <c r="D121" s="174">
        <v>7</v>
      </c>
      <c r="E121" s="168">
        <f t="shared" si="17"/>
        <v>99</v>
      </c>
      <c r="F121" s="286">
        <f t="shared" si="18"/>
        <v>32.700000000000003</v>
      </c>
      <c r="G121" s="175">
        <f t="shared" si="15"/>
        <v>32.302</v>
      </c>
      <c r="H121" s="175" t="str">
        <f t="shared" si="21"/>
        <v>IN</v>
      </c>
      <c r="I121" s="177">
        <f t="shared" si="13"/>
        <v>3240.308</v>
      </c>
      <c r="J121" s="177">
        <f t="shared" si="11"/>
        <v>8377.2619999999988</v>
      </c>
      <c r="K121" s="235">
        <f t="shared" si="12"/>
        <v>153.41530366997711</v>
      </c>
      <c r="L121" s="566"/>
      <c r="M121" s="566"/>
      <c r="N121" s="11"/>
    </row>
    <row r="122" spans="2:14" ht="15" customHeight="1">
      <c r="B122" s="173">
        <f t="shared" si="20"/>
        <v>99</v>
      </c>
      <c r="C122" s="176"/>
      <c r="D122" s="174">
        <v>7</v>
      </c>
      <c r="E122" s="168">
        <f t="shared" si="17"/>
        <v>100</v>
      </c>
      <c r="F122" s="286">
        <f t="shared" si="18"/>
        <v>33.409999999999997</v>
      </c>
      <c r="G122" s="175">
        <f t="shared" si="15"/>
        <v>33.011999999999993</v>
      </c>
      <c r="H122" s="175" t="str">
        <f t="shared" si="21"/>
        <v>IN</v>
      </c>
      <c r="I122" s="177">
        <f t="shared" si="13"/>
        <v>3273.32</v>
      </c>
      <c r="J122" s="177">
        <f t="shared" si="11"/>
        <v>8344.25</v>
      </c>
      <c r="K122" s="235">
        <f t="shared" si="12"/>
        <v>154.1123133384263</v>
      </c>
      <c r="L122" s="566"/>
      <c r="M122" s="566"/>
      <c r="N122" s="11"/>
    </row>
    <row r="123" spans="2:14" ht="15" customHeight="1">
      <c r="B123" s="173">
        <f t="shared" si="20"/>
        <v>100</v>
      </c>
      <c r="C123" s="176"/>
      <c r="D123" s="174">
        <v>7</v>
      </c>
      <c r="E123" s="168">
        <f t="shared" si="17"/>
        <v>101</v>
      </c>
      <c r="F123" s="286">
        <f t="shared" si="18"/>
        <v>33.409999999999997</v>
      </c>
      <c r="G123" s="175">
        <f t="shared" si="15"/>
        <v>33.011999999999993</v>
      </c>
      <c r="H123" s="175" t="str">
        <f t="shared" si="21"/>
        <v>IN</v>
      </c>
      <c r="I123" s="177">
        <f t="shared" si="13"/>
        <v>3306.3320000000003</v>
      </c>
      <c r="J123" s="177">
        <f t="shared" si="11"/>
        <v>8311.2379999999994</v>
      </c>
      <c r="K123" s="235">
        <f t="shared" si="12"/>
        <v>154.8093230068755</v>
      </c>
      <c r="L123" s="566"/>
      <c r="M123" s="566"/>
      <c r="N123" s="11"/>
    </row>
    <row r="124" spans="2:14" ht="15" customHeight="1">
      <c r="B124" s="173">
        <f t="shared" si="20"/>
        <v>101</v>
      </c>
      <c r="C124" s="176"/>
      <c r="D124" s="174">
        <v>7</v>
      </c>
      <c r="E124" s="168">
        <f t="shared" si="17"/>
        <v>102</v>
      </c>
      <c r="F124" s="286">
        <f t="shared" si="18"/>
        <v>33.07</v>
      </c>
      <c r="G124" s="175">
        <f t="shared" si="15"/>
        <v>32.671999999999997</v>
      </c>
      <c r="H124" s="175" t="str">
        <f t="shared" si="21"/>
        <v>IN</v>
      </c>
      <c r="I124" s="177">
        <f t="shared" si="13"/>
        <v>3339.0040000000004</v>
      </c>
      <c r="J124" s="177">
        <f t="shared" si="11"/>
        <v>8278.5659999999989</v>
      </c>
      <c r="K124" s="235">
        <f t="shared" si="12"/>
        <v>155.49915397402597</v>
      </c>
      <c r="L124" s="566"/>
      <c r="M124" s="566"/>
      <c r="N124" s="11"/>
    </row>
    <row r="125" spans="2:14" ht="15" customHeight="1">
      <c r="B125" s="173">
        <f t="shared" si="20"/>
        <v>102</v>
      </c>
      <c r="C125" s="173"/>
      <c r="D125" s="174">
        <v>7</v>
      </c>
      <c r="E125" s="168">
        <f t="shared" si="17"/>
        <v>103</v>
      </c>
      <c r="F125" s="286">
        <f t="shared" si="18"/>
        <v>33.72</v>
      </c>
      <c r="G125" s="175">
        <f t="shared" si="15"/>
        <v>33.321999999999996</v>
      </c>
      <c r="H125" s="175" t="str">
        <f t="shared" si="21"/>
        <v>IN</v>
      </c>
      <c r="I125" s="177">
        <f t="shared" si="13"/>
        <v>3372.3260000000005</v>
      </c>
      <c r="J125" s="177">
        <f t="shared" si="11"/>
        <v>8245.2439999999988</v>
      </c>
      <c r="K125" s="235">
        <f t="shared" si="12"/>
        <v>156.2027089289534</v>
      </c>
      <c r="L125" s="566"/>
      <c r="M125" s="566"/>
      <c r="N125" s="11"/>
    </row>
    <row r="126" spans="2:14" ht="15" customHeight="1">
      <c r="B126" s="173">
        <f t="shared" si="20"/>
        <v>103</v>
      </c>
      <c r="C126" s="173"/>
      <c r="D126" s="174">
        <v>7</v>
      </c>
      <c r="E126" s="168">
        <f t="shared" si="17"/>
        <v>104</v>
      </c>
      <c r="F126" s="286">
        <f t="shared" si="18"/>
        <v>33.26</v>
      </c>
      <c r="G126" s="175">
        <f t="shared" si="15"/>
        <v>32.861999999999995</v>
      </c>
      <c r="H126" s="175" t="str">
        <f t="shared" si="21"/>
        <v>IN</v>
      </c>
      <c r="I126" s="177">
        <f t="shared" si="13"/>
        <v>3405.1880000000006</v>
      </c>
      <c r="J126" s="177">
        <f t="shared" si="11"/>
        <v>8212.3819999999996</v>
      </c>
      <c r="K126" s="235">
        <f t="shared" si="12"/>
        <v>156.89655152330025</v>
      </c>
      <c r="L126" s="567"/>
      <c r="M126" s="567"/>
      <c r="N126" s="11"/>
    </row>
    <row r="127" spans="2:14" ht="15" customHeight="1">
      <c r="B127" s="173">
        <f t="shared" si="20"/>
        <v>104</v>
      </c>
      <c r="C127" s="173"/>
      <c r="D127" s="174">
        <v>7</v>
      </c>
      <c r="E127" s="168">
        <f t="shared" si="17"/>
        <v>105</v>
      </c>
      <c r="F127" s="286">
        <f t="shared" si="18"/>
        <v>33.090000000000003</v>
      </c>
      <c r="G127" s="175">
        <f t="shared" si="15"/>
        <v>32.692</v>
      </c>
      <c r="H127" s="175" t="str">
        <f t="shared" si="21"/>
        <v>IN</v>
      </c>
      <c r="I127" s="177">
        <f t="shared" si="13"/>
        <v>3437.8800000000006</v>
      </c>
      <c r="J127" s="177">
        <f t="shared" si="11"/>
        <v>8179.6899999999987</v>
      </c>
      <c r="K127" s="235">
        <f t="shared" si="12"/>
        <v>157.58680476699772</v>
      </c>
      <c r="L127" s="567"/>
      <c r="M127" s="567"/>
      <c r="N127" s="11"/>
    </row>
    <row r="128" spans="2:14" ht="15" customHeight="1">
      <c r="B128" s="173">
        <f t="shared" si="20"/>
        <v>105</v>
      </c>
      <c r="C128" s="173"/>
      <c r="D128" s="174">
        <v>7</v>
      </c>
      <c r="E128" s="168">
        <f t="shared" si="17"/>
        <v>106</v>
      </c>
      <c r="F128" s="286">
        <f t="shared" si="18"/>
        <v>33.21</v>
      </c>
      <c r="G128" s="175">
        <f t="shared" si="15"/>
        <v>32.811999999999998</v>
      </c>
      <c r="H128" s="175" t="str">
        <f t="shared" si="21"/>
        <v>IN</v>
      </c>
      <c r="I128" s="177">
        <f t="shared" si="13"/>
        <v>3470.6920000000005</v>
      </c>
      <c r="J128" s="177">
        <f t="shared" si="11"/>
        <v>8146.8779999999988</v>
      </c>
      <c r="K128" s="235">
        <f t="shared" si="12"/>
        <v>158.27959166997709</v>
      </c>
      <c r="L128" s="567"/>
      <c r="M128" s="567"/>
      <c r="N128" s="11"/>
    </row>
    <row r="129" spans="2:14" ht="15" customHeight="1">
      <c r="B129" s="173">
        <f t="shared" si="20"/>
        <v>106</v>
      </c>
      <c r="C129" s="173"/>
      <c r="D129" s="174">
        <v>7</v>
      </c>
      <c r="E129" s="168">
        <f t="shared" si="17"/>
        <v>107</v>
      </c>
      <c r="F129" s="286">
        <f t="shared" si="18"/>
        <v>33.049999999999997</v>
      </c>
      <c r="G129" s="175">
        <f t="shared" si="15"/>
        <v>32.651999999999994</v>
      </c>
      <c r="H129" s="175" t="str">
        <f t="shared" si="21"/>
        <v>IN</v>
      </c>
      <c r="I129" s="177">
        <f t="shared" si="13"/>
        <v>3503.3440000000005</v>
      </c>
      <c r="J129" s="177">
        <f t="shared" si="11"/>
        <v>8114.2259999999987</v>
      </c>
      <c r="K129" s="235">
        <f t="shared" si="12"/>
        <v>158.96900036058059</v>
      </c>
      <c r="L129" s="567"/>
      <c r="M129" s="567"/>
      <c r="N129" s="11"/>
    </row>
    <row r="130" spans="2:14" ht="15" customHeight="1">
      <c r="B130" s="173">
        <f t="shared" si="20"/>
        <v>107</v>
      </c>
      <c r="C130" s="176"/>
      <c r="D130" s="174">
        <v>7</v>
      </c>
      <c r="E130" s="168">
        <f t="shared" si="17"/>
        <v>108</v>
      </c>
      <c r="F130" s="286">
        <f t="shared" si="18"/>
        <v>32.700000000000003</v>
      </c>
      <c r="G130" s="175">
        <f t="shared" si="15"/>
        <v>32.302</v>
      </c>
      <c r="H130" s="175" t="str">
        <f t="shared" si="21"/>
        <v>IN</v>
      </c>
      <c r="I130" s="177">
        <f t="shared" si="13"/>
        <v>3535.6460000000006</v>
      </c>
      <c r="J130" s="177">
        <f t="shared" si="11"/>
        <v>8081.9239999999991</v>
      </c>
      <c r="K130" s="235">
        <f t="shared" si="12"/>
        <v>159.65101921161192</v>
      </c>
      <c r="L130" s="567"/>
      <c r="M130" s="567"/>
      <c r="N130" s="11"/>
    </row>
    <row r="131" spans="2:14" ht="15" customHeight="1">
      <c r="B131" s="173">
        <f t="shared" si="20"/>
        <v>108</v>
      </c>
      <c r="C131" s="176"/>
      <c r="D131" s="174">
        <v>7</v>
      </c>
      <c r="E131" s="168">
        <f t="shared" si="17"/>
        <v>109</v>
      </c>
      <c r="F131" s="286">
        <f t="shared" si="18"/>
        <v>32.880000000000003</v>
      </c>
      <c r="G131" s="175">
        <f t="shared" si="15"/>
        <v>32.481999999999999</v>
      </c>
      <c r="H131" s="175" t="str">
        <f t="shared" si="21"/>
        <v>IN</v>
      </c>
      <c r="I131" s="177">
        <f t="shared" si="13"/>
        <v>3568.1280000000006</v>
      </c>
      <c r="J131" s="177">
        <f t="shared" si="11"/>
        <v>8049.4419999999991</v>
      </c>
      <c r="K131" s="235">
        <f t="shared" si="12"/>
        <v>160.33683855156607</v>
      </c>
      <c r="L131" s="566"/>
      <c r="M131" s="566"/>
      <c r="N131" s="11"/>
    </row>
    <row r="132" spans="2:14" ht="15" customHeight="1">
      <c r="B132" s="173">
        <f t="shared" si="20"/>
        <v>109</v>
      </c>
      <c r="C132" s="176"/>
      <c r="D132" s="174">
        <v>7</v>
      </c>
      <c r="E132" s="168">
        <f t="shared" si="17"/>
        <v>110</v>
      </c>
      <c r="F132" s="286">
        <f t="shared" si="18"/>
        <v>32.909999999999997</v>
      </c>
      <c r="G132" s="175">
        <f t="shared" si="15"/>
        <v>32.511999999999993</v>
      </c>
      <c r="H132" s="175" t="str">
        <f t="shared" si="21"/>
        <v>IN</v>
      </c>
      <c r="I132" s="177">
        <f t="shared" si="13"/>
        <v>3600.6400000000008</v>
      </c>
      <c r="J132" s="177">
        <f t="shared" si="11"/>
        <v>8016.9299999999985</v>
      </c>
      <c r="K132" s="235">
        <f t="shared" si="12"/>
        <v>161.02329130634075</v>
      </c>
      <c r="L132" s="566"/>
      <c r="M132" s="566"/>
      <c r="N132" s="11"/>
    </row>
    <row r="133" spans="2:14" ht="13.35" customHeight="1">
      <c r="B133" s="173">
        <f t="shared" si="20"/>
        <v>110</v>
      </c>
      <c r="C133" s="176"/>
      <c r="D133" s="174">
        <v>7</v>
      </c>
      <c r="E133" s="168">
        <f t="shared" si="17"/>
        <v>111</v>
      </c>
      <c r="F133" s="286">
        <f t="shared" si="18"/>
        <v>32.909999999999997</v>
      </c>
      <c r="G133" s="175">
        <f t="shared" si="15"/>
        <v>32.511999999999993</v>
      </c>
      <c r="H133" s="175" t="str">
        <f t="shared" si="21"/>
        <v>IN</v>
      </c>
      <c r="I133" s="177">
        <f t="shared" si="13"/>
        <v>3633.152000000001</v>
      </c>
      <c r="J133" s="177">
        <f t="shared" si="11"/>
        <v>7984.4179999999988</v>
      </c>
      <c r="K133" s="235">
        <f t="shared" si="12"/>
        <v>161.70974406111537</v>
      </c>
      <c r="L133" s="566"/>
      <c r="M133" s="566"/>
      <c r="N133" s="11"/>
    </row>
    <row r="134" spans="2:14" ht="13.35" customHeight="1">
      <c r="B134" s="173">
        <f t="shared" si="20"/>
        <v>111</v>
      </c>
      <c r="C134" s="176"/>
      <c r="D134" s="174">
        <v>7</v>
      </c>
      <c r="E134" s="168">
        <f t="shared" si="17"/>
        <v>112</v>
      </c>
      <c r="F134" s="286">
        <f t="shared" si="18"/>
        <v>32.99</v>
      </c>
      <c r="G134" s="175">
        <f t="shared" si="15"/>
        <v>32.591999999999999</v>
      </c>
      <c r="H134" s="175" t="str">
        <f t="shared" si="21"/>
        <v>IN</v>
      </c>
      <c r="I134" s="177">
        <f t="shared" si="13"/>
        <v>3665.7440000000011</v>
      </c>
      <c r="J134" s="177">
        <f t="shared" si="11"/>
        <v>7951.8259999999991</v>
      </c>
      <c r="K134" s="235">
        <f t="shared" si="12"/>
        <v>162.39788592207793</v>
      </c>
      <c r="L134" s="566"/>
      <c r="M134" s="566"/>
      <c r="N134" s="11"/>
    </row>
    <row r="135" spans="2:14" ht="15" customHeight="1">
      <c r="B135" s="173">
        <f t="shared" si="20"/>
        <v>112</v>
      </c>
      <c r="C135" s="176"/>
      <c r="D135" s="174">
        <v>7</v>
      </c>
      <c r="E135" s="168">
        <f t="shared" si="17"/>
        <v>113</v>
      </c>
      <c r="F135" s="286">
        <f t="shared" si="18"/>
        <v>33.17</v>
      </c>
      <c r="G135" s="175">
        <f t="shared" si="15"/>
        <v>32.771999999999998</v>
      </c>
      <c r="H135" s="175" t="str">
        <f t="shared" si="21"/>
        <v>IN</v>
      </c>
      <c r="I135" s="177">
        <f t="shared" si="13"/>
        <v>3698.516000000001</v>
      </c>
      <c r="J135" s="177">
        <f t="shared" si="11"/>
        <v>7919.0539999999983</v>
      </c>
      <c r="K135" s="235">
        <f t="shared" si="12"/>
        <v>163.08982827196337</v>
      </c>
      <c r="L135" s="566"/>
      <c r="M135" s="566"/>
      <c r="N135" s="11"/>
    </row>
    <row r="136" spans="2:14" ht="15" customHeight="1">
      <c r="B136" s="173">
        <f t="shared" si="20"/>
        <v>113</v>
      </c>
      <c r="C136" s="173"/>
      <c r="D136" s="174">
        <v>7</v>
      </c>
      <c r="E136" s="168">
        <f t="shared" si="17"/>
        <v>114</v>
      </c>
      <c r="F136" s="286">
        <f t="shared" si="18"/>
        <v>32.92</v>
      </c>
      <c r="G136" s="175">
        <f t="shared" si="15"/>
        <v>32.521999999999998</v>
      </c>
      <c r="H136" s="175" t="str">
        <f t="shared" si="21"/>
        <v>IN</v>
      </c>
      <c r="I136" s="177">
        <f t="shared" si="13"/>
        <v>3731.0380000000009</v>
      </c>
      <c r="J136" s="177">
        <f t="shared" si="11"/>
        <v>7886.5319999999992</v>
      </c>
      <c r="K136" s="235">
        <f t="shared" si="12"/>
        <v>163.77649216501149</v>
      </c>
      <c r="L136" s="566"/>
      <c r="M136" s="566"/>
      <c r="N136" s="11"/>
    </row>
    <row r="137" spans="2:14" ht="15" customHeight="1">
      <c r="B137" s="173">
        <f t="shared" si="20"/>
        <v>114</v>
      </c>
      <c r="C137" s="176"/>
      <c r="D137" s="174">
        <v>7</v>
      </c>
      <c r="E137" s="168">
        <f t="shared" si="17"/>
        <v>115</v>
      </c>
      <c r="F137" s="286">
        <f t="shared" si="18"/>
        <v>33.08</v>
      </c>
      <c r="G137" s="175">
        <f t="shared" si="15"/>
        <v>32.681999999999995</v>
      </c>
      <c r="H137" s="175" t="str">
        <f t="shared" si="21"/>
        <v>IN</v>
      </c>
      <c r="I137" s="177">
        <f t="shared" si="13"/>
        <v>3763.7200000000007</v>
      </c>
      <c r="J137" s="177">
        <f t="shared" si="11"/>
        <v>7853.8499999999985</v>
      </c>
      <c r="K137" s="235">
        <f t="shared" si="12"/>
        <v>164.46653427043549</v>
      </c>
      <c r="L137" s="567"/>
      <c r="M137" s="567"/>
      <c r="N137" s="11"/>
    </row>
    <row r="138" spans="2:14" ht="15" customHeight="1">
      <c r="B138" s="173">
        <f t="shared" si="20"/>
        <v>115</v>
      </c>
      <c r="C138" s="176"/>
      <c r="D138" s="174">
        <v>7</v>
      </c>
      <c r="E138" s="168">
        <f t="shared" si="17"/>
        <v>116</v>
      </c>
      <c r="F138" s="286">
        <f t="shared" si="18"/>
        <v>33.39</v>
      </c>
      <c r="G138" s="175">
        <f t="shared" si="15"/>
        <v>32.991999999999997</v>
      </c>
      <c r="H138" s="175" t="str">
        <f t="shared" si="21"/>
        <v>IN</v>
      </c>
      <c r="I138" s="177">
        <f t="shared" si="13"/>
        <v>3796.7120000000009</v>
      </c>
      <c r="J138" s="177">
        <f t="shared" si="11"/>
        <v>7820.8579999999984</v>
      </c>
      <c r="K138" s="235">
        <f t="shared" si="12"/>
        <v>165.16312166233769</v>
      </c>
      <c r="L138" s="566"/>
      <c r="M138" s="566"/>
      <c r="N138" s="11"/>
    </row>
    <row r="139" spans="2:14" ht="15" customHeight="1">
      <c r="B139" s="173">
        <f t="shared" si="20"/>
        <v>116</v>
      </c>
      <c r="C139" s="176"/>
      <c r="D139" s="174">
        <v>7</v>
      </c>
      <c r="E139" s="168">
        <f t="shared" si="17"/>
        <v>117</v>
      </c>
      <c r="F139" s="286">
        <f t="shared" si="18"/>
        <v>32.880000000000003</v>
      </c>
      <c r="G139" s="175">
        <f t="shared" si="15"/>
        <v>32.481999999999999</v>
      </c>
      <c r="H139" s="175" t="str">
        <f t="shared" si="21"/>
        <v>IN</v>
      </c>
      <c r="I139" s="177">
        <f t="shared" si="13"/>
        <v>3829.1940000000009</v>
      </c>
      <c r="J139" s="177">
        <f t="shared" si="11"/>
        <v>7788.3759999999984</v>
      </c>
      <c r="K139" s="235">
        <f t="shared" si="12"/>
        <v>165.84894100229184</v>
      </c>
      <c r="L139" s="566"/>
      <c r="M139" s="566"/>
      <c r="N139" s="11"/>
    </row>
    <row r="140" spans="2:14" ht="15" customHeight="1">
      <c r="B140" s="173">
        <f t="shared" si="20"/>
        <v>117</v>
      </c>
      <c r="C140" s="173"/>
      <c r="D140" s="174">
        <v>7</v>
      </c>
      <c r="E140" s="168">
        <f t="shared" si="17"/>
        <v>118</v>
      </c>
      <c r="F140" s="286">
        <f t="shared" si="18"/>
        <v>33.24</v>
      </c>
      <c r="G140" s="175">
        <f t="shared" si="15"/>
        <v>32.841999999999999</v>
      </c>
      <c r="H140" s="175" t="s">
        <v>131</v>
      </c>
      <c r="I140" s="175">
        <f t="shared" si="13"/>
        <v>3862.036000000001</v>
      </c>
      <c r="J140" s="175">
        <f t="shared" si="11"/>
        <v>7755.5339999999987</v>
      </c>
      <c r="K140" s="262">
        <f t="shared" si="12"/>
        <v>166.54236132009169</v>
      </c>
      <c r="L140" s="573"/>
      <c r="M140" s="573"/>
      <c r="N140" s="11"/>
    </row>
    <row r="141" spans="2:14" ht="15" customHeight="1">
      <c r="B141" s="173">
        <f t="shared" si="20"/>
        <v>118</v>
      </c>
      <c r="C141" s="176"/>
      <c r="D141" s="174">
        <v>7</v>
      </c>
      <c r="E141" s="168">
        <f t="shared" si="17"/>
        <v>119</v>
      </c>
      <c r="F141" s="286">
        <f t="shared" si="18"/>
        <v>33.22</v>
      </c>
      <c r="G141" s="175">
        <f t="shared" si="15"/>
        <v>32.821999999999996</v>
      </c>
      <c r="H141" s="175" t="str">
        <f t="shared" ref="H141:H172" si="22">IF(F141="","OUT","IN")</f>
        <v>IN</v>
      </c>
      <c r="I141" s="177">
        <f t="shared" si="13"/>
        <v>3894.8580000000011</v>
      </c>
      <c r="J141" s="177">
        <f t="shared" si="11"/>
        <v>7722.7119999999986</v>
      </c>
      <c r="K141" s="235">
        <f t="shared" si="12"/>
        <v>167.23535936134456</v>
      </c>
      <c r="L141" s="566"/>
      <c r="M141" s="566"/>
      <c r="N141" s="11"/>
    </row>
    <row r="142" spans="2:14" ht="15" customHeight="1">
      <c r="B142" s="173">
        <f t="shared" si="20"/>
        <v>119</v>
      </c>
      <c r="C142" s="176"/>
      <c r="D142" s="174">
        <v>7</v>
      </c>
      <c r="E142" s="168">
        <f t="shared" si="17"/>
        <v>120</v>
      </c>
      <c r="F142" s="286">
        <f t="shared" si="18"/>
        <v>33.130000000000003</v>
      </c>
      <c r="G142" s="175">
        <f t="shared" si="15"/>
        <v>32.731999999999999</v>
      </c>
      <c r="H142" s="175" t="str">
        <f t="shared" si="22"/>
        <v>IN</v>
      </c>
      <c r="I142" s="177">
        <f t="shared" si="13"/>
        <v>3927.5900000000011</v>
      </c>
      <c r="J142" s="177">
        <f t="shared" si="11"/>
        <v>7689.9799999999987</v>
      </c>
      <c r="K142" s="235">
        <f t="shared" si="12"/>
        <v>167.926457158136</v>
      </c>
      <c r="L142" s="566"/>
      <c r="M142" s="566"/>
      <c r="N142" s="11"/>
    </row>
    <row r="143" spans="2:14" ht="15" customHeight="1">
      <c r="B143" s="173">
        <f t="shared" si="20"/>
        <v>120</v>
      </c>
      <c r="C143" s="176"/>
      <c r="D143" s="174">
        <v>7</v>
      </c>
      <c r="E143" s="168">
        <f t="shared" si="17"/>
        <v>121</v>
      </c>
      <c r="F143" s="286">
        <f t="shared" si="18"/>
        <v>32.71</v>
      </c>
      <c r="G143" s="175">
        <f t="shared" si="15"/>
        <v>32.311999999999998</v>
      </c>
      <c r="H143" s="175" t="str">
        <f t="shared" si="22"/>
        <v>IN</v>
      </c>
      <c r="I143" s="177">
        <f t="shared" si="13"/>
        <v>3959.902000000001</v>
      </c>
      <c r="J143" s="177">
        <f t="shared" ref="J143:J206" si="23">IF(I143="","",$L$9-I143)</f>
        <v>7657.6679999999988</v>
      </c>
      <c r="K143" s="235">
        <f t="shared" ref="K143:K206" si="24">$H$9+(I143*$E$10*$H$11/1000)</f>
        <v>168.6086871474408</v>
      </c>
      <c r="L143" s="566"/>
      <c r="M143" s="566"/>
      <c r="N143" s="11"/>
    </row>
    <row r="144" spans="2:14" ht="15" customHeight="1">
      <c r="B144" s="173">
        <f t="shared" si="20"/>
        <v>121</v>
      </c>
      <c r="C144" s="176"/>
      <c r="D144" s="174">
        <v>7</v>
      </c>
      <c r="E144" s="168">
        <f t="shared" si="17"/>
        <v>122</v>
      </c>
      <c r="F144" s="286">
        <f t="shared" si="18"/>
        <v>33.54</v>
      </c>
      <c r="G144" s="175">
        <f t="shared" si="15"/>
        <v>33.141999999999996</v>
      </c>
      <c r="H144" s="175" t="str">
        <f t="shared" si="22"/>
        <v>IN</v>
      </c>
      <c r="I144" s="177">
        <f t="shared" ref="I144:I207" si="25">IF(H144="IN",I143+G144,I143)</f>
        <v>3993.0440000000008</v>
      </c>
      <c r="J144" s="177">
        <f t="shared" si="23"/>
        <v>7624.5259999999989</v>
      </c>
      <c r="K144" s="235">
        <f t="shared" si="24"/>
        <v>169.30844161344538</v>
      </c>
      <c r="L144" s="566"/>
      <c r="M144" s="566"/>
      <c r="N144" s="11"/>
    </row>
    <row r="145" spans="2:14" ht="15" customHeight="1">
      <c r="B145" s="173">
        <f t="shared" si="20"/>
        <v>122</v>
      </c>
      <c r="C145" s="176"/>
      <c r="D145" s="174">
        <v>7</v>
      </c>
      <c r="E145" s="168">
        <f t="shared" si="17"/>
        <v>123</v>
      </c>
      <c r="F145" s="286">
        <f t="shared" si="18"/>
        <v>31.15</v>
      </c>
      <c r="G145" s="175">
        <f t="shared" si="15"/>
        <v>30.751999999999999</v>
      </c>
      <c r="H145" s="175" t="str">
        <f t="shared" si="22"/>
        <v>IN</v>
      </c>
      <c r="I145" s="177">
        <f t="shared" si="25"/>
        <v>4023.7960000000007</v>
      </c>
      <c r="J145" s="177">
        <f t="shared" si="23"/>
        <v>7593.7739999999994</v>
      </c>
      <c r="K145" s="235">
        <f t="shared" si="24"/>
        <v>169.95773403208557</v>
      </c>
      <c r="L145" s="225"/>
      <c r="M145" s="226"/>
      <c r="N145" s="11"/>
    </row>
    <row r="146" spans="2:14" ht="15" customHeight="1">
      <c r="B146" s="173">
        <f t="shared" si="20"/>
        <v>123</v>
      </c>
      <c r="C146" s="176"/>
      <c r="D146" s="174">
        <v>7</v>
      </c>
      <c r="E146" s="168">
        <f t="shared" si="17"/>
        <v>124</v>
      </c>
      <c r="F146" s="286">
        <f t="shared" si="18"/>
        <v>33.299999999999997</v>
      </c>
      <c r="G146" s="175">
        <f t="shared" si="15"/>
        <v>32.901999999999994</v>
      </c>
      <c r="H146" s="175" t="str">
        <f t="shared" si="22"/>
        <v>IN</v>
      </c>
      <c r="I146" s="177">
        <f t="shared" si="25"/>
        <v>4056.6980000000008</v>
      </c>
      <c r="J146" s="177">
        <f t="shared" si="23"/>
        <v>7560.8719999999994</v>
      </c>
      <c r="K146" s="235">
        <f t="shared" si="24"/>
        <v>170.65242117952636</v>
      </c>
      <c r="L146" s="576"/>
      <c r="M146" s="577"/>
      <c r="N146" s="11"/>
    </row>
    <row r="147" spans="2:14" ht="15" customHeight="1">
      <c r="B147" s="173">
        <f t="shared" si="20"/>
        <v>124</v>
      </c>
      <c r="C147" s="176"/>
      <c r="D147" s="174">
        <v>7</v>
      </c>
      <c r="E147" s="168">
        <f t="shared" si="17"/>
        <v>125</v>
      </c>
      <c r="F147" s="286">
        <f t="shared" si="18"/>
        <v>33.5</v>
      </c>
      <c r="G147" s="175">
        <f t="shared" si="15"/>
        <v>33.101999999999997</v>
      </c>
      <c r="H147" s="175" t="str">
        <f t="shared" si="22"/>
        <v>IN</v>
      </c>
      <c r="I147" s="177">
        <f t="shared" si="25"/>
        <v>4089.8000000000006</v>
      </c>
      <c r="J147" s="177">
        <f t="shared" si="23"/>
        <v>7527.7699999999986</v>
      </c>
      <c r="K147" s="235">
        <f t="shared" si="24"/>
        <v>171.35133109243699</v>
      </c>
      <c r="L147" s="578"/>
      <c r="M147" s="579"/>
      <c r="N147" s="11"/>
    </row>
    <row r="148" spans="2:14" ht="15" customHeight="1">
      <c r="B148" s="173">
        <f t="shared" si="20"/>
        <v>125</v>
      </c>
      <c r="C148" s="173"/>
      <c r="D148" s="174">
        <v>7</v>
      </c>
      <c r="E148" s="168">
        <f t="shared" si="17"/>
        <v>126</v>
      </c>
      <c r="F148" s="286">
        <f t="shared" si="18"/>
        <v>33.03</v>
      </c>
      <c r="G148" s="175">
        <f t="shared" si="15"/>
        <v>32.631999999999998</v>
      </c>
      <c r="H148" s="175" t="str">
        <f t="shared" si="22"/>
        <v>IN</v>
      </c>
      <c r="I148" s="177">
        <f t="shared" si="25"/>
        <v>4122.4320000000007</v>
      </c>
      <c r="J148" s="177">
        <f t="shared" si="23"/>
        <v>7495.137999999999</v>
      </c>
      <c r="K148" s="235">
        <f t="shared" si="24"/>
        <v>172.04031750649352</v>
      </c>
      <c r="L148" s="566"/>
      <c r="M148" s="566"/>
      <c r="N148" s="11"/>
    </row>
    <row r="149" spans="2:14" ht="15" customHeight="1">
      <c r="B149" s="173">
        <f t="shared" si="20"/>
        <v>126</v>
      </c>
      <c r="C149" s="173"/>
      <c r="D149" s="174">
        <v>7</v>
      </c>
      <c r="E149" s="168">
        <f t="shared" si="17"/>
        <v>127</v>
      </c>
      <c r="F149" s="286">
        <f t="shared" si="18"/>
        <v>33.44</v>
      </c>
      <c r="G149" s="175">
        <f t="shared" si="15"/>
        <v>33.041999999999994</v>
      </c>
      <c r="H149" s="175" t="str">
        <f t="shared" si="22"/>
        <v>IN</v>
      </c>
      <c r="I149" s="175">
        <f t="shared" si="25"/>
        <v>4155.4740000000011</v>
      </c>
      <c r="J149" s="175">
        <f t="shared" si="23"/>
        <v>7462.0959999999986</v>
      </c>
      <c r="K149" s="262">
        <f t="shared" si="24"/>
        <v>172.73796058976319</v>
      </c>
      <c r="L149" s="567"/>
      <c r="M149" s="567"/>
      <c r="N149" s="11"/>
    </row>
    <row r="150" spans="2:14" ht="15" customHeight="1">
      <c r="B150" s="173">
        <f t="shared" si="20"/>
        <v>127</v>
      </c>
      <c r="C150" s="173"/>
      <c r="D150" s="174">
        <v>7</v>
      </c>
      <c r="E150" s="168">
        <f t="shared" si="17"/>
        <v>128</v>
      </c>
      <c r="F150" s="286">
        <f t="shared" si="18"/>
        <v>33.33</v>
      </c>
      <c r="G150" s="175">
        <f t="shared" si="15"/>
        <v>32.931999999999995</v>
      </c>
      <c r="H150" s="175" t="str">
        <f t="shared" si="22"/>
        <v>IN</v>
      </c>
      <c r="I150" s="175">
        <f t="shared" si="25"/>
        <v>4188.4060000000009</v>
      </c>
      <c r="J150" s="175">
        <f t="shared" si="23"/>
        <v>7429.1639999999989</v>
      </c>
      <c r="K150" s="262">
        <f t="shared" si="24"/>
        <v>173.43328115202448</v>
      </c>
      <c r="L150" s="567"/>
      <c r="M150" s="567"/>
      <c r="N150" s="11"/>
    </row>
    <row r="151" spans="2:14" ht="15" customHeight="1">
      <c r="B151" s="173">
        <f t="shared" si="20"/>
        <v>128</v>
      </c>
      <c r="C151" s="173"/>
      <c r="D151" s="174">
        <v>7</v>
      </c>
      <c r="E151" s="168">
        <f t="shared" si="17"/>
        <v>129</v>
      </c>
      <c r="F151" s="286">
        <f t="shared" si="18"/>
        <v>33.369999999999997</v>
      </c>
      <c r="G151" s="175">
        <f t="shared" si="15"/>
        <v>32.971999999999994</v>
      </c>
      <c r="H151" s="175" t="str">
        <f t="shared" si="22"/>
        <v>IN</v>
      </c>
      <c r="I151" s="177">
        <f t="shared" si="25"/>
        <v>4221.3780000000006</v>
      </c>
      <c r="J151" s="177">
        <f t="shared" si="23"/>
        <v>7396.1919999999991</v>
      </c>
      <c r="K151" s="235">
        <f t="shared" si="24"/>
        <v>174.12944626737971</v>
      </c>
      <c r="L151" s="566"/>
      <c r="M151" s="566"/>
      <c r="N151" s="11"/>
    </row>
    <row r="152" spans="2:14" ht="15" customHeight="1">
      <c r="B152" s="173">
        <f t="shared" si="20"/>
        <v>129</v>
      </c>
      <c r="C152" s="173"/>
      <c r="D152" s="174">
        <v>7</v>
      </c>
      <c r="E152" s="168">
        <f t="shared" si="17"/>
        <v>130</v>
      </c>
      <c r="F152" s="286">
        <f t="shared" si="18"/>
        <v>33.22</v>
      </c>
      <c r="G152" s="175">
        <f t="shared" ref="G152:G215" si="26">F152-($E$12)</f>
        <v>32.821999999999996</v>
      </c>
      <c r="H152" s="175" t="str">
        <f t="shared" si="22"/>
        <v>IN</v>
      </c>
      <c r="I152" s="177">
        <f t="shared" si="25"/>
        <v>4254.2000000000007</v>
      </c>
      <c r="J152" s="177">
        <f t="shared" si="23"/>
        <v>7363.369999999999</v>
      </c>
      <c r="K152" s="235">
        <f t="shared" si="24"/>
        <v>174.82244430863256</v>
      </c>
      <c r="L152" s="566"/>
      <c r="M152" s="566"/>
      <c r="N152" s="11"/>
    </row>
    <row r="153" spans="2:14" ht="15" customHeight="1">
      <c r="B153" s="173">
        <f t="shared" si="20"/>
        <v>130</v>
      </c>
      <c r="C153" s="173"/>
      <c r="D153" s="174">
        <v>7</v>
      </c>
      <c r="E153" s="168">
        <f t="shared" ref="E153:E216" si="27">E152+1</f>
        <v>131</v>
      </c>
      <c r="F153" s="286">
        <f t="shared" si="18"/>
        <v>33.299999999999997</v>
      </c>
      <c r="G153" s="175">
        <f t="shared" si="26"/>
        <v>32.901999999999994</v>
      </c>
      <c r="H153" s="175" t="str">
        <f t="shared" si="22"/>
        <v>IN</v>
      </c>
      <c r="I153" s="177">
        <f t="shared" si="25"/>
        <v>4287.1020000000008</v>
      </c>
      <c r="J153" s="177">
        <f t="shared" si="23"/>
        <v>7330.4679999999989</v>
      </c>
      <c r="K153" s="235">
        <f t="shared" si="24"/>
        <v>175.51713145607334</v>
      </c>
      <c r="L153" s="566"/>
      <c r="M153" s="566"/>
      <c r="N153" s="11"/>
    </row>
    <row r="154" spans="2:14" ht="15" customHeight="1">
      <c r="B154" s="173">
        <f t="shared" si="20"/>
        <v>131</v>
      </c>
      <c r="C154" s="173"/>
      <c r="D154" s="174">
        <v>7</v>
      </c>
      <c r="E154" s="168">
        <f t="shared" si="27"/>
        <v>132</v>
      </c>
      <c r="F154" s="286">
        <f t="shared" si="18"/>
        <v>33.159999999999997</v>
      </c>
      <c r="G154" s="175">
        <f t="shared" si="26"/>
        <v>32.761999999999993</v>
      </c>
      <c r="H154" s="175" t="str">
        <f t="shared" si="22"/>
        <v>IN</v>
      </c>
      <c r="I154" s="175">
        <f t="shared" si="25"/>
        <v>4319.8640000000005</v>
      </c>
      <c r="J154" s="175">
        <f t="shared" si="23"/>
        <v>7297.7059999999992</v>
      </c>
      <c r="K154" s="262">
        <f t="shared" si="24"/>
        <v>176.20886266768525</v>
      </c>
      <c r="L154" s="567"/>
      <c r="M154" s="567"/>
      <c r="N154" s="11"/>
    </row>
    <row r="155" spans="2:14" ht="15" customHeight="1">
      <c r="B155" s="173">
        <f t="shared" si="20"/>
        <v>132</v>
      </c>
      <c r="C155" s="173"/>
      <c r="D155" s="174">
        <v>7</v>
      </c>
      <c r="E155" s="168">
        <f t="shared" si="27"/>
        <v>133</v>
      </c>
      <c r="F155" s="286">
        <f t="shared" si="18"/>
        <v>33.5</v>
      </c>
      <c r="G155" s="175">
        <f t="shared" si="26"/>
        <v>33.101999999999997</v>
      </c>
      <c r="H155" s="175" t="str">
        <f t="shared" si="22"/>
        <v>IN</v>
      </c>
      <c r="I155" s="177">
        <f t="shared" si="25"/>
        <v>4352.9660000000003</v>
      </c>
      <c r="J155" s="177">
        <f t="shared" si="23"/>
        <v>7264.6039999999994</v>
      </c>
      <c r="K155" s="235">
        <f t="shared" si="24"/>
        <v>176.90777258059589</v>
      </c>
      <c r="L155" s="566"/>
      <c r="M155" s="566"/>
      <c r="N155" s="11"/>
    </row>
    <row r="156" spans="2:14" ht="15" customHeight="1">
      <c r="B156" s="173">
        <f t="shared" si="20"/>
        <v>133</v>
      </c>
      <c r="C156" s="173"/>
      <c r="D156" s="174">
        <v>7</v>
      </c>
      <c r="E156" s="168">
        <f t="shared" si="27"/>
        <v>134</v>
      </c>
      <c r="F156" s="286">
        <f t="shared" si="18"/>
        <v>33.08</v>
      </c>
      <c r="G156" s="175">
        <f t="shared" si="26"/>
        <v>32.681999999999995</v>
      </c>
      <c r="H156" s="175" t="str">
        <f t="shared" si="22"/>
        <v>IN</v>
      </c>
      <c r="I156" s="177">
        <f t="shared" si="25"/>
        <v>4385.6480000000001</v>
      </c>
      <c r="J156" s="177">
        <f t="shared" si="23"/>
        <v>7231.9219999999996</v>
      </c>
      <c r="K156" s="235">
        <f t="shared" si="24"/>
        <v>177.59781468601986</v>
      </c>
      <c r="L156" s="566"/>
      <c r="M156" s="566"/>
      <c r="N156" s="11"/>
    </row>
    <row r="157" spans="2:14" ht="15" customHeight="1">
      <c r="B157" s="173">
        <f t="shared" si="20"/>
        <v>134</v>
      </c>
      <c r="C157" s="173"/>
      <c r="D157" s="174">
        <v>7</v>
      </c>
      <c r="E157" s="168">
        <f t="shared" si="27"/>
        <v>135</v>
      </c>
      <c r="F157" s="286">
        <f t="shared" si="18"/>
        <v>32.57</v>
      </c>
      <c r="G157" s="175">
        <f t="shared" si="26"/>
        <v>32.171999999999997</v>
      </c>
      <c r="H157" s="175" t="str">
        <f t="shared" si="22"/>
        <v>IN</v>
      </c>
      <c r="I157" s="177">
        <f t="shared" si="25"/>
        <v>4417.82</v>
      </c>
      <c r="J157" s="177">
        <f t="shared" si="23"/>
        <v>7199.75</v>
      </c>
      <c r="K157" s="235">
        <f t="shared" si="24"/>
        <v>178.27708873949581</v>
      </c>
      <c r="L157" s="566"/>
      <c r="M157" s="566"/>
      <c r="N157" s="11"/>
    </row>
    <row r="158" spans="2:14" ht="15" customHeight="1">
      <c r="B158" s="173">
        <f t="shared" si="20"/>
        <v>135</v>
      </c>
      <c r="C158" s="173"/>
      <c r="D158" s="174">
        <v>7</v>
      </c>
      <c r="E158" s="168">
        <f t="shared" si="27"/>
        <v>136</v>
      </c>
      <c r="F158" s="286">
        <f t="shared" si="18"/>
        <v>33.11</v>
      </c>
      <c r="G158" s="175">
        <f t="shared" si="26"/>
        <v>32.711999999999996</v>
      </c>
      <c r="H158" s="175" t="str">
        <f t="shared" si="22"/>
        <v>IN</v>
      </c>
      <c r="I158" s="177">
        <f t="shared" si="25"/>
        <v>4450.5320000000002</v>
      </c>
      <c r="J158" s="177">
        <f t="shared" si="23"/>
        <v>7167.0379999999996</v>
      </c>
      <c r="K158" s="235">
        <f t="shared" si="24"/>
        <v>178.96776425974028</v>
      </c>
      <c r="L158" s="566"/>
      <c r="M158" s="566"/>
      <c r="N158" s="11"/>
    </row>
    <row r="159" spans="2:14" ht="15" customHeight="1">
      <c r="B159" s="173">
        <f t="shared" si="20"/>
        <v>136</v>
      </c>
      <c r="C159" s="173"/>
      <c r="D159" s="174">
        <v>7</v>
      </c>
      <c r="E159" s="168">
        <f t="shared" si="27"/>
        <v>137</v>
      </c>
      <c r="F159" s="286">
        <f t="shared" si="18"/>
        <v>33.18</v>
      </c>
      <c r="G159" s="175">
        <f t="shared" si="26"/>
        <v>32.781999999999996</v>
      </c>
      <c r="H159" s="175" t="str">
        <f t="shared" si="22"/>
        <v>IN</v>
      </c>
      <c r="I159" s="177">
        <f t="shared" si="25"/>
        <v>4483.3140000000003</v>
      </c>
      <c r="J159" s="177">
        <f t="shared" si="23"/>
        <v>7134.2559999999994</v>
      </c>
      <c r="K159" s="235">
        <f t="shared" si="24"/>
        <v>179.65991774789916</v>
      </c>
      <c r="L159" s="566"/>
      <c r="M159" s="566"/>
      <c r="N159" s="11"/>
    </row>
    <row r="160" spans="2:14" ht="15" customHeight="1">
      <c r="B160" s="173">
        <f t="shared" si="20"/>
        <v>137</v>
      </c>
      <c r="C160" s="173"/>
      <c r="D160" s="174">
        <v>7</v>
      </c>
      <c r="E160" s="168">
        <f t="shared" si="27"/>
        <v>138</v>
      </c>
      <c r="F160" s="286">
        <f t="shared" si="18"/>
        <v>32.57</v>
      </c>
      <c r="G160" s="175">
        <f t="shared" si="26"/>
        <v>32.171999999999997</v>
      </c>
      <c r="H160" s="175" t="str">
        <f t="shared" si="22"/>
        <v>IN</v>
      </c>
      <c r="I160" s="177">
        <f t="shared" si="25"/>
        <v>4515.4859999999999</v>
      </c>
      <c r="J160" s="177">
        <f t="shared" si="23"/>
        <v>7102.0839999999998</v>
      </c>
      <c r="K160" s="235">
        <f t="shared" si="24"/>
        <v>180.33919180137508</v>
      </c>
      <c r="L160" s="566"/>
      <c r="M160" s="566"/>
      <c r="N160" s="11"/>
    </row>
    <row r="161" spans="2:14" ht="15" customHeight="1">
      <c r="B161" s="173">
        <f t="shared" si="20"/>
        <v>138</v>
      </c>
      <c r="C161" s="173"/>
      <c r="D161" s="174">
        <v>7</v>
      </c>
      <c r="E161" s="168">
        <f t="shared" si="27"/>
        <v>139</v>
      </c>
      <c r="F161" s="286">
        <f t="shared" si="18"/>
        <v>33.11</v>
      </c>
      <c r="G161" s="175">
        <f t="shared" si="26"/>
        <v>32.711999999999996</v>
      </c>
      <c r="H161" s="175" t="str">
        <f t="shared" si="22"/>
        <v>IN</v>
      </c>
      <c r="I161" s="177">
        <f t="shared" si="25"/>
        <v>4548.1980000000003</v>
      </c>
      <c r="J161" s="177">
        <f t="shared" si="23"/>
        <v>7069.3719999999994</v>
      </c>
      <c r="K161" s="235">
        <f t="shared" si="24"/>
        <v>181.02986732161958</v>
      </c>
      <c r="L161" s="566"/>
      <c r="M161" s="566"/>
      <c r="N161" s="11"/>
    </row>
    <row r="162" spans="2:14" ht="15" customHeight="1">
      <c r="B162" s="173">
        <f t="shared" si="20"/>
        <v>139</v>
      </c>
      <c r="C162" s="173"/>
      <c r="D162" s="174">
        <v>7</v>
      </c>
      <c r="E162" s="168">
        <f t="shared" si="27"/>
        <v>140</v>
      </c>
      <c r="F162" s="286">
        <f t="shared" si="18"/>
        <v>33.130000000000003</v>
      </c>
      <c r="G162" s="175">
        <f t="shared" si="26"/>
        <v>32.731999999999999</v>
      </c>
      <c r="H162" s="175" t="str">
        <f t="shared" si="22"/>
        <v>IN</v>
      </c>
      <c r="I162" s="177">
        <f t="shared" si="25"/>
        <v>4580.93</v>
      </c>
      <c r="J162" s="177">
        <f t="shared" si="23"/>
        <v>7036.6399999999994</v>
      </c>
      <c r="K162" s="235">
        <f t="shared" si="24"/>
        <v>181.72096511841102</v>
      </c>
      <c r="L162" s="566"/>
      <c r="M162" s="566"/>
      <c r="N162" s="11"/>
    </row>
    <row r="163" spans="2:14" ht="15" customHeight="1">
      <c r="B163" s="173">
        <f t="shared" si="20"/>
        <v>140</v>
      </c>
      <c r="C163" s="173"/>
      <c r="D163" s="174">
        <v>7</v>
      </c>
      <c r="E163" s="168">
        <f t="shared" si="27"/>
        <v>141</v>
      </c>
      <c r="F163" s="286">
        <f t="shared" si="18"/>
        <v>32.520000000000003</v>
      </c>
      <c r="G163" s="175">
        <f t="shared" si="26"/>
        <v>32.122</v>
      </c>
      <c r="H163" s="175" t="str">
        <f t="shared" si="22"/>
        <v>IN</v>
      </c>
      <c r="I163" s="177">
        <f t="shared" si="25"/>
        <v>4613.0520000000006</v>
      </c>
      <c r="J163" s="177">
        <f t="shared" si="23"/>
        <v>7004.5179999999991</v>
      </c>
      <c r="K163" s="235">
        <f t="shared" si="24"/>
        <v>182.3991834805195</v>
      </c>
      <c r="L163" s="566"/>
      <c r="M163" s="566"/>
      <c r="N163" s="11"/>
    </row>
    <row r="164" spans="2:14" ht="15" customHeight="1">
      <c r="B164" s="173">
        <f t="shared" si="20"/>
        <v>141</v>
      </c>
      <c r="C164" s="173"/>
      <c r="D164" s="174">
        <v>7</v>
      </c>
      <c r="E164" s="168">
        <f t="shared" si="27"/>
        <v>142</v>
      </c>
      <c r="F164" s="286">
        <f t="shared" si="18"/>
        <v>33.17</v>
      </c>
      <c r="G164" s="175">
        <f t="shared" si="26"/>
        <v>32.771999999999998</v>
      </c>
      <c r="H164" s="175" t="str">
        <f t="shared" si="22"/>
        <v>IN</v>
      </c>
      <c r="I164" s="177">
        <f t="shared" si="25"/>
        <v>4645.8240000000005</v>
      </c>
      <c r="J164" s="177">
        <f t="shared" si="23"/>
        <v>6971.7459999999992</v>
      </c>
      <c r="K164" s="235">
        <f t="shared" si="24"/>
        <v>183.09112583040491</v>
      </c>
      <c r="L164" s="566"/>
      <c r="M164" s="566"/>
      <c r="N164" s="11"/>
    </row>
    <row r="165" spans="2:14" ht="15" customHeight="1">
      <c r="B165" s="173">
        <f t="shared" si="20"/>
        <v>142</v>
      </c>
      <c r="C165" s="173"/>
      <c r="D165" s="174">
        <v>7</v>
      </c>
      <c r="E165" s="168">
        <f t="shared" si="27"/>
        <v>143</v>
      </c>
      <c r="F165" s="286">
        <f t="shared" si="18"/>
        <v>33.5</v>
      </c>
      <c r="G165" s="175">
        <f t="shared" si="26"/>
        <v>33.101999999999997</v>
      </c>
      <c r="H165" s="175" t="str">
        <f t="shared" si="22"/>
        <v>IN</v>
      </c>
      <c r="I165" s="177">
        <f t="shared" si="25"/>
        <v>4678.9260000000004</v>
      </c>
      <c r="J165" s="177">
        <f t="shared" si="23"/>
        <v>6938.6439999999993</v>
      </c>
      <c r="K165" s="235">
        <f t="shared" si="24"/>
        <v>183.79003574331551</v>
      </c>
      <c r="L165" s="566"/>
      <c r="M165" s="566"/>
      <c r="N165" s="11"/>
    </row>
    <row r="166" spans="2:14" ht="15" customHeight="1">
      <c r="B166" s="173">
        <f t="shared" si="20"/>
        <v>143</v>
      </c>
      <c r="C166" s="173"/>
      <c r="D166" s="174">
        <v>7</v>
      </c>
      <c r="E166" s="168">
        <f t="shared" si="27"/>
        <v>144</v>
      </c>
      <c r="F166" s="286">
        <f t="shared" ref="F166:F229" si="28">VLOOKUP(E166,tubing1,2,FALSE)</f>
        <v>33.299999999999997</v>
      </c>
      <c r="G166" s="175">
        <f t="shared" si="26"/>
        <v>32.901999999999994</v>
      </c>
      <c r="H166" s="175" t="str">
        <f t="shared" si="22"/>
        <v>IN</v>
      </c>
      <c r="I166" s="177">
        <f t="shared" si="25"/>
        <v>4711.8280000000004</v>
      </c>
      <c r="J166" s="177">
        <f t="shared" si="23"/>
        <v>6905.7419999999993</v>
      </c>
      <c r="K166" s="235">
        <f t="shared" si="24"/>
        <v>184.4847228907563</v>
      </c>
      <c r="L166" s="566"/>
      <c r="M166" s="566"/>
      <c r="N166" s="11"/>
    </row>
    <row r="167" spans="2:14" ht="15" customHeight="1">
      <c r="B167" s="173">
        <f t="shared" ref="B167:B230" si="29">B166+1</f>
        <v>144</v>
      </c>
      <c r="C167" s="173"/>
      <c r="D167" s="174">
        <v>7</v>
      </c>
      <c r="E167" s="168">
        <f t="shared" si="27"/>
        <v>145</v>
      </c>
      <c r="F167" s="286">
        <f t="shared" si="28"/>
        <v>33.380000000000003</v>
      </c>
      <c r="G167" s="175">
        <f t="shared" si="26"/>
        <v>32.981999999999999</v>
      </c>
      <c r="H167" s="175" t="str">
        <f t="shared" si="22"/>
        <v>IN</v>
      </c>
      <c r="I167" s="175">
        <f t="shared" si="25"/>
        <v>4744.8100000000004</v>
      </c>
      <c r="J167" s="175">
        <f t="shared" si="23"/>
        <v>6872.7599999999993</v>
      </c>
      <c r="K167" s="262">
        <f t="shared" si="24"/>
        <v>185.18109914438503</v>
      </c>
      <c r="L167" s="567"/>
      <c r="M167" s="567"/>
      <c r="N167" s="11"/>
    </row>
    <row r="168" spans="2:14" ht="15" customHeight="1">
      <c r="B168" s="173">
        <f t="shared" si="29"/>
        <v>145</v>
      </c>
      <c r="C168" s="173"/>
      <c r="D168" s="174">
        <v>7</v>
      </c>
      <c r="E168" s="168">
        <f t="shared" si="27"/>
        <v>146</v>
      </c>
      <c r="F168" s="286">
        <f t="shared" si="28"/>
        <v>33.450000000000003</v>
      </c>
      <c r="G168" s="175">
        <f t="shared" si="26"/>
        <v>33.052</v>
      </c>
      <c r="H168" s="175" t="str">
        <f t="shared" si="22"/>
        <v>IN</v>
      </c>
      <c r="I168" s="177">
        <f t="shared" si="25"/>
        <v>4777.8620000000001</v>
      </c>
      <c r="J168" s="177">
        <f t="shared" si="23"/>
        <v>6839.7079999999996</v>
      </c>
      <c r="K168" s="235">
        <f t="shared" si="24"/>
        <v>185.87895336592817</v>
      </c>
      <c r="L168" s="566"/>
      <c r="M168" s="566"/>
      <c r="N168" s="11"/>
    </row>
    <row r="169" spans="2:14" ht="15" customHeight="1">
      <c r="B169" s="173">
        <f t="shared" si="29"/>
        <v>146</v>
      </c>
      <c r="C169" s="173"/>
      <c r="D169" s="174">
        <v>7</v>
      </c>
      <c r="E169" s="168">
        <f t="shared" si="27"/>
        <v>147</v>
      </c>
      <c r="F169" s="286">
        <f t="shared" si="28"/>
        <v>33.35</v>
      </c>
      <c r="G169" s="175">
        <f t="shared" si="26"/>
        <v>32.951999999999998</v>
      </c>
      <c r="H169" s="175" t="str">
        <f t="shared" si="22"/>
        <v>IN</v>
      </c>
      <c r="I169" s="175">
        <f t="shared" si="25"/>
        <v>4810.8140000000003</v>
      </c>
      <c r="J169" s="175">
        <f t="shared" si="23"/>
        <v>6806.7559999999994</v>
      </c>
      <c r="K169" s="262">
        <f t="shared" si="24"/>
        <v>186.57469620473645</v>
      </c>
      <c r="L169" s="567"/>
      <c r="M169" s="567"/>
      <c r="N169" s="11"/>
    </row>
    <row r="170" spans="2:14" ht="15" customHeight="1">
      <c r="B170" s="173">
        <f t="shared" si="29"/>
        <v>147</v>
      </c>
      <c r="C170" s="173"/>
      <c r="D170" s="174">
        <v>7</v>
      </c>
      <c r="E170" s="168">
        <f t="shared" si="27"/>
        <v>148</v>
      </c>
      <c r="F170" s="286">
        <f t="shared" si="28"/>
        <v>33.700000000000003</v>
      </c>
      <c r="G170" s="175">
        <f t="shared" si="26"/>
        <v>33.302</v>
      </c>
      <c r="H170" s="175" t="str">
        <f t="shared" si="22"/>
        <v>IN</v>
      </c>
      <c r="I170" s="177">
        <f t="shared" si="25"/>
        <v>4844.116</v>
      </c>
      <c r="J170" s="177">
        <f t="shared" si="23"/>
        <v>6773.4539999999997</v>
      </c>
      <c r="K170" s="235">
        <f t="shared" si="24"/>
        <v>187.27782888311691</v>
      </c>
      <c r="L170" s="566"/>
      <c r="M170" s="566"/>
      <c r="N170" s="11"/>
    </row>
    <row r="171" spans="2:14" ht="15" customHeight="1">
      <c r="B171" s="173">
        <f t="shared" si="29"/>
        <v>148</v>
      </c>
      <c r="C171" s="173"/>
      <c r="D171" s="174">
        <v>7</v>
      </c>
      <c r="E171" s="168">
        <f t="shared" si="27"/>
        <v>149</v>
      </c>
      <c r="F171" s="286">
        <f t="shared" si="28"/>
        <v>33.43</v>
      </c>
      <c r="G171" s="175">
        <f t="shared" si="26"/>
        <v>33.031999999999996</v>
      </c>
      <c r="H171" s="175" t="str">
        <f t="shared" si="22"/>
        <v>IN</v>
      </c>
      <c r="I171" s="177">
        <f t="shared" si="25"/>
        <v>4877.1480000000001</v>
      </c>
      <c r="J171" s="177">
        <f t="shared" si="23"/>
        <v>6740.4219999999996</v>
      </c>
      <c r="K171" s="235">
        <f t="shared" si="24"/>
        <v>187.97526082811305</v>
      </c>
      <c r="L171" s="566"/>
      <c r="M171" s="566"/>
      <c r="N171" s="11"/>
    </row>
    <row r="172" spans="2:14" ht="15" customHeight="1">
      <c r="B172" s="173">
        <f t="shared" si="29"/>
        <v>149</v>
      </c>
      <c r="C172" s="173"/>
      <c r="D172" s="174">
        <v>7</v>
      </c>
      <c r="E172" s="168">
        <f t="shared" si="27"/>
        <v>150</v>
      </c>
      <c r="F172" s="286">
        <f t="shared" si="28"/>
        <v>32.99</v>
      </c>
      <c r="G172" s="175">
        <f t="shared" si="26"/>
        <v>32.591999999999999</v>
      </c>
      <c r="H172" s="175" t="str">
        <f t="shared" si="22"/>
        <v>IN</v>
      </c>
      <c r="I172" s="177">
        <f t="shared" si="25"/>
        <v>4909.74</v>
      </c>
      <c r="J172" s="177">
        <f t="shared" si="23"/>
        <v>6707.83</v>
      </c>
      <c r="K172" s="235">
        <f t="shared" si="24"/>
        <v>188.66340268907561</v>
      </c>
      <c r="L172" s="566"/>
      <c r="M172" s="566"/>
      <c r="N172" s="11"/>
    </row>
    <row r="173" spans="2:14" ht="15" customHeight="1">
      <c r="B173" s="173">
        <f t="shared" si="29"/>
        <v>150</v>
      </c>
      <c r="C173" s="173"/>
      <c r="D173" s="174">
        <v>7</v>
      </c>
      <c r="E173" s="168">
        <f t="shared" si="27"/>
        <v>151</v>
      </c>
      <c r="F173" s="286">
        <f t="shared" si="28"/>
        <v>33.520000000000003</v>
      </c>
      <c r="G173" s="175">
        <f t="shared" si="26"/>
        <v>33.122</v>
      </c>
      <c r="H173" s="175" t="str">
        <f t="shared" ref="H173:H204" si="30">IF(F173="","OUT","IN")</f>
        <v>IN</v>
      </c>
      <c r="I173" s="177">
        <f t="shared" si="25"/>
        <v>4942.8620000000001</v>
      </c>
      <c r="J173" s="177">
        <f t="shared" si="23"/>
        <v>6674.7079999999996</v>
      </c>
      <c r="K173" s="235">
        <f t="shared" si="24"/>
        <v>189.36273487853322</v>
      </c>
      <c r="L173" s="566"/>
      <c r="M173" s="566"/>
      <c r="N173" s="11"/>
    </row>
    <row r="174" spans="2:14" ht="15" customHeight="1">
      <c r="B174" s="173">
        <f t="shared" si="29"/>
        <v>151</v>
      </c>
      <c r="C174" s="173"/>
      <c r="D174" s="174">
        <v>7</v>
      </c>
      <c r="E174" s="168">
        <f t="shared" si="27"/>
        <v>152</v>
      </c>
      <c r="F174" s="286">
        <f t="shared" si="28"/>
        <v>33.42</v>
      </c>
      <c r="G174" s="175">
        <f t="shared" si="26"/>
        <v>33.021999999999998</v>
      </c>
      <c r="H174" s="175" t="str">
        <f t="shared" si="30"/>
        <v>IN</v>
      </c>
      <c r="I174" s="177">
        <f t="shared" si="25"/>
        <v>4975.884</v>
      </c>
      <c r="J174" s="177">
        <f t="shared" si="23"/>
        <v>6641.6859999999997</v>
      </c>
      <c r="K174" s="235">
        <f t="shared" si="24"/>
        <v>190.05995568525591</v>
      </c>
      <c r="L174" s="566"/>
      <c r="M174" s="566"/>
      <c r="N174" s="11"/>
    </row>
    <row r="175" spans="2:14" ht="15" customHeight="1">
      <c r="B175" s="173">
        <f t="shared" si="29"/>
        <v>152</v>
      </c>
      <c r="C175" s="173"/>
      <c r="D175" s="174">
        <v>7</v>
      </c>
      <c r="E175" s="168">
        <f t="shared" si="27"/>
        <v>153</v>
      </c>
      <c r="F175" s="286">
        <f t="shared" si="28"/>
        <v>33.299999999999997</v>
      </c>
      <c r="G175" s="175">
        <f t="shared" si="26"/>
        <v>32.901999999999994</v>
      </c>
      <c r="H175" s="175" t="str">
        <f t="shared" si="30"/>
        <v>IN</v>
      </c>
      <c r="I175" s="177">
        <f t="shared" si="25"/>
        <v>5008.7860000000001</v>
      </c>
      <c r="J175" s="177">
        <f t="shared" si="23"/>
        <v>6608.7839999999997</v>
      </c>
      <c r="K175" s="235">
        <f t="shared" si="24"/>
        <v>190.75464283269673</v>
      </c>
      <c r="L175" s="566"/>
      <c r="M175" s="566"/>
      <c r="N175" s="11"/>
    </row>
    <row r="176" spans="2:14" ht="15" customHeight="1">
      <c r="B176" s="173">
        <f t="shared" si="29"/>
        <v>153</v>
      </c>
      <c r="C176" s="173"/>
      <c r="D176" s="174">
        <v>7</v>
      </c>
      <c r="E176" s="168">
        <f t="shared" si="27"/>
        <v>154</v>
      </c>
      <c r="F176" s="286">
        <f t="shared" si="28"/>
        <v>33.549999999999997</v>
      </c>
      <c r="G176" s="175">
        <f t="shared" si="26"/>
        <v>33.151999999999994</v>
      </c>
      <c r="H176" s="175" t="str">
        <f t="shared" si="30"/>
        <v>IN</v>
      </c>
      <c r="I176" s="177">
        <f t="shared" si="25"/>
        <v>5041.9380000000001</v>
      </c>
      <c r="J176" s="177">
        <f t="shared" si="23"/>
        <v>6575.6319999999996</v>
      </c>
      <c r="K176" s="235">
        <f t="shared" si="24"/>
        <v>191.45460843697481</v>
      </c>
      <c r="L176" s="566"/>
      <c r="M176" s="566"/>
      <c r="N176" s="11"/>
    </row>
    <row r="177" spans="2:14" ht="15" customHeight="1">
      <c r="B177" s="173">
        <f t="shared" si="29"/>
        <v>154</v>
      </c>
      <c r="C177" s="173"/>
      <c r="D177" s="174">
        <v>7</v>
      </c>
      <c r="E177" s="168">
        <f t="shared" si="27"/>
        <v>155</v>
      </c>
      <c r="F177" s="286">
        <f t="shared" si="28"/>
        <v>32.17</v>
      </c>
      <c r="G177" s="175">
        <f t="shared" si="26"/>
        <v>31.772000000000002</v>
      </c>
      <c r="H177" s="175" t="str">
        <f t="shared" si="30"/>
        <v>IN</v>
      </c>
      <c r="I177" s="177">
        <f t="shared" si="25"/>
        <v>5073.71</v>
      </c>
      <c r="J177" s="177">
        <f t="shared" si="23"/>
        <v>6543.86</v>
      </c>
      <c r="K177" s="235">
        <f t="shared" si="24"/>
        <v>192.12543695951109</v>
      </c>
      <c r="L177" s="566"/>
      <c r="M177" s="566"/>
      <c r="N177" s="11"/>
    </row>
    <row r="178" spans="2:14" ht="15" customHeight="1">
      <c r="B178" s="173">
        <f t="shared" si="29"/>
        <v>155</v>
      </c>
      <c r="C178" s="173"/>
      <c r="D178" s="174">
        <v>7</v>
      </c>
      <c r="E178" s="168">
        <f t="shared" si="27"/>
        <v>156</v>
      </c>
      <c r="F178" s="286">
        <f t="shared" si="28"/>
        <v>31.33</v>
      </c>
      <c r="G178" s="175">
        <f t="shared" si="26"/>
        <v>30.931999999999999</v>
      </c>
      <c r="H178" s="175" t="str">
        <f t="shared" si="30"/>
        <v>IN</v>
      </c>
      <c r="I178" s="175">
        <f t="shared" si="25"/>
        <v>5104.6419999999998</v>
      </c>
      <c r="J178" s="175">
        <f t="shared" si="23"/>
        <v>6512.9279999999999</v>
      </c>
      <c r="K178" s="262">
        <f t="shared" si="24"/>
        <v>192.7785298670741</v>
      </c>
      <c r="L178" s="567"/>
      <c r="M178" s="567"/>
      <c r="N178" s="11"/>
    </row>
    <row r="179" spans="2:14" ht="15" customHeight="1">
      <c r="B179" s="173">
        <f t="shared" si="29"/>
        <v>156</v>
      </c>
      <c r="C179" s="173"/>
      <c r="D179" s="174">
        <v>7</v>
      </c>
      <c r="E179" s="168">
        <f t="shared" si="27"/>
        <v>157</v>
      </c>
      <c r="F179" s="286">
        <f t="shared" si="28"/>
        <v>33.03</v>
      </c>
      <c r="G179" s="175">
        <f t="shared" si="26"/>
        <v>32.631999999999998</v>
      </c>
      <c r="H179" s="175" t="str">
        <f t="shared" si="30"/>
        <v>IN</v>
      </c>
      <c r="I179" s="177">
        <f t="shared" si="25"/>
        <v>5137.2739999999994</v>
      </c>
      <c r="J179" s="177">
        <f t="shared" si="23"/>
        <v>6480.2960000000003</v>
      </c>
      <c r="K179" s="235">
        <f t="shared" si="24"/>
        <v>193.46751628113063</v>
      </c>
      <c r="L179" s="566"/>
      <c r="M179" s="566"/>
      <c r="N179" s="11"/>
    </row>
    <row r="180" spans="2:14" ht="15" customHeight="1">
      <c r="B180" s="173">
        <f t="shared" si="29"/>
        <v>157</v>
      </c>
      <c r="C180" s="173"/>
      <c r="D180" s="174">
        <v>7</v>
      </c>
      <c r="E180" s="168">
        <f t="shared" si="27"/>
        <v>158</v>
      </c>
      <c r="F180" s="286">
        <f t="shared" si="28"/>
        <v>33.43</v>
      </c>
      <c r="G180" s="175">
        <f t="shared" si="26"/>
        <v>33.031999999999996</v>
      </c>
      <c r="H180" s="175" t="str">
        <f t="shared" si="30"/>
        <v>IN</v>
      </c>
      <c r="I180" s="177">
        <f t="shared" si="25"/>
        <v>5170.3059999999996</v>
      </c>
      <c r="J180" s="177">
        <f t="shared" si="23"/>
        <v>6447.2640000000001</v>
      </c>
      <c r="K180" s="235">
        <f t="shared" si="24"/>
        <v>194.1649482261268</v>
      </c>
      <c r="L180" s="566"/>
      <c r="M180" s="566"/>
      <c r="N180" s="11"/>
    </row>
    <row r="181" spans="2:14" ht="15" customHeight="1">
      <c r="B181" s="173">
        <f t="shared" si="29"/>
        <v>158</v>
      </c>
      <c r="C181" s="173"/>
      <c r="D181" s="174">
        <v>7</v>
      </c>
      <c r="E181" s="168">
        <f t="shared" si="27"/>
        <v>159</v>
      </c>
      <c r="F181" s="286">
        <f t="shared" si="28"/>
        <v>33</v>
      </c>
      <c r="G181" s="175">
        <f t="shared" si="26"/>
        <v>32.601999999999997</v>
      </c>
      <c r="H181" s="175" t="str">
        <f t="shared" si="30"/>
        <v>IN</v>
      </c>
      <c r="I181" s="177">
        <f t="shared" si="25"/>
        <v>5202.9079999999994</v>
      </c>
      <c r="J181" s="177">
        <f t="shared" si="23"/>
        <v>6414.6620000000003</v>
      </c>
      <c r="K181" s="235">
        <f t="shared" si="24"/>
        <v>194.85330122536286</v>
      </c>
      <c r="L181" s="566"/>
      <c r="M181" s="566"/>
      <c r="N181" s="11"/>
    </row>
    <row r="182" spans="2:14" ht="15" customHeight="1">
      <c r="B182" s="173">
        <f t="shared" si="29"/>
        <v>159</v>
      </c>
      <c r="C182" s="173"/>
      <c r="D182" s="174">
        <v>7</v>
      </c>
      <c r="E182" s="168">
        <f t="shared" si="27"/>
        <v>160</v>
      </c>
      <c r="F182" s="286">
        <f t="shared" si="28"/>
        <v>33.33</v>
      </c>
      <c r="G182" s="175">
        <f t="shared" si="26"/>
        <v>32.931999999999995</v>
      </c>
      <c r="H182" s="175" t="str">
        <f t="shared" si="30"/>
        <v>IN</v>
      </c>
      <c r="I182" s="177">
        <f t="shared" si="25"/>
        <v>5235.8399999999992</v>
      </c>
      <c r="J182" s="177">
        <f t="shared" si="23"/>
        <v>6381.7300000000005</v>
      </c>
      <c r="K182" s="235">
        <f t="shared" si="24"/>
        <v>195.54862178762411</v>
      </c>
      <c r="L182" s="566"/>
      <c r="M182" s="566"/>
      <c r="N182" s="11"/>
    </row>
    <row r="183" spans="2:14" ht="15" customHeight="1">
      <c r="B183" s="407">
        <f t="shared" si="29"/>
        <v>160</v>
      </c>
      <c r="C183" s="407"/>
      <c r="D183" s="408">
        <v>7</v>
      </c>
      <c r="E183" s="168">
        <f t="shared" si="27"/>
        <v>161</v>
      </c>
      <c r="F183" s="409">
        <f t="shared" si="28"/>
        <v>32.69</v>
      </c>
      <c r="G183" s="410">
        <f t="shared" si="26"/>
        <v>32.291999999999994</v>
      </c>
      <c r="H183" s="410" t="str">
        <f t="shared" si="30"/>
        <v>IN</v>
      </c>
      <c r="I183" s="411">
        <f t="shared" si="25"/>
        <v>5268.1319999999996</v>
      </c>
      <c r="J183" s="411">
        <f t="shared" si="23"/>
        <v>6349.4380000000001</v>
      </c>
      <c r="K183" s="412">
        <f t="shared" si="24"/>
        <v>196.23042950038197</v>
      </c>
      <c r="L183" s="574"/>
      <c r="M183" s="574"/>
      <c r="N183" s="11"/>
    </row>
    <row r="184" spans="2:14" ht="18.600000000000001" customHeight="1">
      <c r="B184" s="173">
        <f t="shared" si="29"/>
        <v>161</v>
      </c>
      <c r="C184" s="173"/>
      <c r="D184" s="174">
        <v>7</v>
      </c>
      <c r="E184" s="168">
        <f t="shared" si="27"/>
        <v>162</v>
      </c>
      <c r="F184" s="286">
        <f t="shared" si="28"/>
        <v>32.44</v>
      </c>
      <c r="G184" s="175">
        <f t="shared" si="26"/>
        <v>32.041999999999994</v>
      </c>
      <c r="H184" s="175" t="str">
        <f t="shared" si="30"/>
        <v>IN</v>
      </c>
      <c r="I184" s="175">
        <f t="shared" si="25"/>
        <v>5300.174</v>
      </c>
      <c r="J184" s="175">
        <f t="shared" si="23"/>
        <v>6317.3959999999997</v>
      </c>
      <c r="K184" s="262">
        <f t="shared" si="24"/>
        <v>196.90695875630252</v>
      </c>
      <c r="L184" s="568"/>
      <c r="M184" s="568"/>
      <c r="N184" s="11"/>
    </row>
    <row r="185" spans="2:14" ht="15" customHeight="1">
      <c r="B185" s="413">
        <f t="shared" si="29"/>
        <v>162</v>
      </c>
      <c r="C185" s="413"/>
      <c r="D185" s="414">
        <v>7</v>
      </c>
      <c r="E185" s="168">
        <f t="shared" si="27"/>
        <v>163</v>
      </c>
      <c r="F185" s="415">
        <f t="shared" si="28"/>
        <v>33.17</v>
      </c>
      <c r="G185" s="416">
        <f t="shared" si="26"/>
        <v>32.771999999999998</v>
      </c>
      <c r="H185" s="416" t="str">
        <f t="shared" si="30"/>
        <v>IN</v>
      </c>
      <c r="I185" s="245">
        <f t="shared" si="25"/>
        <v>5332.9459999999999</v>
      </c>
      <c r="J185" s="245">
        <f t="shared" si="23"/>
        <v>6284.6239999999998</v>
      </c>
      <c r="K185" s="417">
        <f t="shared" si="24"/>
        <v>197.59890110618792</v>
      </c>
      <c r="L185" s="575"/>
      <c r="M185" s="575"/>
      <c r="N185" s="11"/>
    </row>
    <row r="186" spans="2:14" ht="15" customHeight="1">
      <c r="B186" s="173">
        <f t="shared" si="29"/>
        <v>163</v>
      </c>
      <c r="C186" s="173"/>
      <c r="D186" s="174">
        <v>7</v>
      </c>
      <c r="E186" s="168">
        <f t="shared" si="27"/>
        <v>164</v>
      </c>
      <c r="F186" s="286">
        <f t="shared" si="28"/>
        <v>33.340000000000003</v>
      </c>
      <c r="G186" s="175">
        <f t="shared" si="26"/>
        <v>32.942</v>
      </c>
      <c r="H186" s="175" t="str">
        <f t="shared" si="30"/>
        <v>IN</v>
      </c>
      <c r="I186" s="177">
        <f t="shared" si="25"/>
        <v>5365.8879999999999</v>
      </c>
      <c r="J186" s="177">
        <f t="shared" si="23"/>
        <v>6251.6819999999998</v>
      </c>
      <c r="K186" s="235">
        <f t="shared" si="24"/>
        <v>198.29443280672268</v>
      </c>
      <c r="L186" s="566"/>
      <c r="M186" s="566"/>
      <c r="N186" s="11"/>
    </row>
    <row r="187" spans="2:14" ht="15" customHeight="1">
      <c r="B187" s="173">
        <f t="shared" si="29"/>
        <v>164</v>
      </c>
      <c r="C187" s="173"/>
      <c r="D187" s="174">
        <v>7</v>
      </c>
      <c r="E187" s="168">
        <f t="shared" si="27"/>
        <v>165</v>
      </c>
      <c r="F187" s="286">
        <f t="shared" si="28"/>
        <v>31.17</v>
      </c>
      <c r="G187" s="175">
        <f t="shared" si="26"/>
        <v>30.772000000000002</v>
      </c>
      <c r="H187" s="175" t="str">
        <f t="shared" si="30"/>
        <v>IN</v>
      </c>
      <c r="I187" s="175">
        <f t="shared" si="25"/>
        <v>5396.66</v>
      </c>
      <c r="J187" s="175">
        <f t="shared" si="23"/>
        <v>6220.91</v>
      </c>
      <c r="K187" s="262">
        <f t="shared" si="24"/>
        <v>198.94414750190987</v>
      </c>
      <c r="L187" s="567"/>
      <c r="M187" s="567"/>
      <c r="N187" s="11"/>
    </row>
    <row r="188" spans="2:14" ht="15" customHeight="1">
      <c r="B188" s="173">
        <f t="shared" si="29"/>
        <v>165</v>
      </c>
      <c r="C188" s="173"/>
      <c r="D188" s="174">
        <v>7</v>
      </c>
      <c r="E188" s="168">
        <f t="shared" si="27"/>
        <v>166</v>
      </c>
      <c r="F188" s="286">
        <f t="shared" si="28"/>
        <v>33</v>
      </c>
      <c r="G188" s="175">
        <f t="shared" si="26"/>
        <v>32.601999999999997</v>
      </c>
      <c r="H188" s="175" t="str">
        <f t="shared" si="30"/>
        <v>IN</v>
      </c>
      <c r="I188" s="177">
        <f t="shared" si="25"/>
        <v>5429.2619999999997</v>
      </c>
      <c r="J188" s="177">
        <f t="shared" si="23"/>
        <v>6188.308</v>
      </c>
      <c r="K188" s="235">
        <f t="shared" si="24"/>
        <v>199.63250050114593</v>
      </c>
      <c r="L188" s="566"/>
      <c r="M188" s="566"/>
      <c r="N188" s="11"/>
    </row>
    <row r="189" spans="2:14" ht="15" customHeight="1">
      <c r="B189" s="173">
        <f t="shared" si="29"/>
        <v>166</v>
      </c>
      <c r="C189" s="173"/>
      <c r="D189" s="174">
        <v>7</v>
      </c>
      <c r="E189" s="168">
        <f t="shared" si="27"/>
        <v>167</v>
      </c>
      <c r="F189" s="286">
        <f t="shared" si="28"/>
        <v>32.68</v>
      </c>
      <c r="G189" s="175">
        <f t="shared" si="26"/>
        <v>32.281999999999996</v>
      </c>
      <c r="H189" s="175" t="str">
        <f t="shared" si="30"/>
        <v>IN</v>
      </c>
      <c r="I189" s="175">
        <f t="shared" si="25"/>
        <v>5461.5439999999999</v>
      </c>
      <c r="J189" s="175">
        <f t="shared" si="23"/>
        <v>6156.0259999999998</v>
      </c>
      <c r="K189" s="262">
        <f t="shared" si="24"/>
        <v>200.31409707563026</v>
      </c>
      <c r="L189" s="567"/>
      <c r="M189" s="567"/>
      <c r="N189" s="11"/>
    </row>
    <row r="190" spans="2:14" ht="15" customHeight="1">
      <c r="B190" s="173">
        <f t="shared" si="29"/>
        <v>167</v>
      </c>
      <c r="C190" s="173"/>
      <c r="D190" s="174">
        <v>7</v>
      </c>
      <c r="E190" s="168">
        <f t="shared" si="27"/>
        <v>168</v>
      </c>
      <c r="F190" s="286">
        <f t="shared" si="28"/>
        <v>32.729999999999997</v>
      </c>
      <c r="G190" s="175">
        <f t="shared" si="26"/>
        <v>32.331999999999994</v>
      </c>
      <c r="H190" s="175" t="str">
        <f t="shared" si="30"/>
        <v>IN</v>
      </c>
      <c r="I190" s="177">
        <f t="shared" si="25"/>
        <v>5493.8760000000002</v>
      </c>
      <c r="J190" s="177">
        <f t="shared" si="23"/>
        <v>6123.6939999999995</v>
      </c>
      <c r="K190" s="235">
        <f t="shared" si="24"/>
        <v>200.99674934148206</v>
      </c>
      <c r="L190" s="566"/>
      <c r="M190" s="566"/>
      <c r="N190" s="11"/>
    </row>
    <row r="191" spans="2:14" ht="15" customHeight="1">
      <c r="B191" s="173">
        <f t="shared" si="29"/>
        <v>168</v>
      </c>
      <c r="C191" s="173"/>
      <c r="D191" s="174">
        <v>7</v>
      </c>
      <c r="E191" s="168">
        <f t="shared" si="27"/>
        <v>169</v>
      </c>
      <c r="F191" s="286">
        <f t="shared" si="28"/>
        <v>33.42</v>
      </c>
      <c r="G191" s="175">
        <f t="shared" si="26"/>
        <v>33.021999999999998</v>
      </c>
      <c r="H191" s="175" t="str">
        <f t="shared" si="30"/>
        <v>IN</v>
      </c>
      <c r="I191" s="177">
        <f t="shared" si="25"/>
        <v>5526.8980000000001</v>
      </c>
      <c r="J191" s="177">
        <f t="shared" si="23"/>
        <v>6090.6719999999996</v>
      </c>
      <c r="K191" s="235">
        <f t="shared" si="24"/>
        <v>201.69397014820476</v>
      </c>
      <c r="L191" s="566"/>
      <c r="M191" s="566"/>
      <c r="N191" s="11"/>
    </row>
    <row r="192" spans="2:14" ht="15" customHeight="1">
      <c r="B192" s="173">
        <f t="shared" si="29"/>
        <v>169</v>
      </c>
      <c r="C192" s="173"/>
      <c r="D192" s="174">
        <v>7</v>
      </c>
      <c r="E192" s="168">
        <f t="shared" si="27"/>
        <v>170</v>
      </c>
      <c r="F192" s="286">
        <f t="shared" si="28"/>
        <v>32.94</v>
      </c>
      <c r="G192" s="175">
        <f t="shared" si="26"/>
        <v>32.541999999999994</v>
      </c>
      <c r="H192" s="175" t="str">
        <f t="shared" si="30"/>
        <v>IN</v>
      </c>
      <c r="I192" s="177">
        <f t="shared" si="25"/>
        <v>5559.4400000000005</v>
      </c>
      <c r="J192" s="177">
        <f t="shared" si="23"/>
        <v>6058.1299999999992</v>
      </c>
      <c r="K192" s="235">
        <f t="shared" si="24"/>
        <v>202.38105631779985</v>
      </c>
      <c r="L192" s="566"/>
      <c r="M192" s="566"/>
      <c r="N192" s="11"/>
    </row>
    <row r="193" spans="2:14" ht="15" customHeight="1">
      <c r="B193" s="173">
        <f t="shared" si="29"/>
        <v>170</v>
      </c>
      <c r="C193" s="173"/>
      <c r="D193" s="174">
        <v>7</v>
      </c>
      <c r="E193" s="168">
        <f t="shared" si="27"/>
        <v>171</v>
      </c>
      <c r="F193" s="286">
        <f t="shared" si="28"/>
        <v>32.81</v>
      </c>
      <c r="G193" s="175">
        <f t="shared" si="26"/>
        <v>32.411999999999999</v>
      </c>
      <c r="H193" s="175" t="str">
        <f t="shared" si="30"/>
        <v>IN</v>
      </c>
      <c r="I193" s="177">
        <f t="shared" si="25"/>
        <v>5591.8520000000008</v>
      </c>
      <c r="J193" s="177">
        <f t="shared" si="23"/>
        <v>6025.7179999999989</v>
      </c>
      <c r="K193" s="235">
        <f t="shared" si="24"/>
        <v>203.06539768983961</v>
      </c>
      <c r="L193" s="566"/>
      <c r="M193" s="566"/>
      <c r="N193" s="11"/>
    </row>
    <row r="194" spans="2:14" ht="15" customHeight="1">
      <c r="B194" s="173">
        <f t="shared" si="29"/>
        <v>171</v>
      </c>
      <c r="C194" s="173"/>
      <c r="D194" s="174">
        <v>7</v>
      </c>
      <c r="E194" s="168">
        <f t="shared" si="27"/>
        <v>172</v>
      </c>
      <c r="F194" s="286">
        <f t="shared" si="28"/>
        <v>31.28</v>
      </c>
      <c r="G194" s="175">
        <f t="shared" si="26"/>
        <v>30.882000000000001</v>
      </c>
      <c r="H194" s="175" t="str">
        <f t="shared" si="30"/>
        <v>IN</v>
      </c>
      <c r="I194" s="177">
        <f t="shared" si="25"/>
        <v>5622.7340000000004</v>
      </c>
      <c r="J194" s="177">
        <f t="shared" si="23"/>
        <v>5994.8359999999993</v>
      </c>
      <c r="K194" s="235">
        <f t="shared" si="24"/>
        <v>203.71743490603515</v>
      </c>
      <c r="L194" s="566"/>
      <c r="M194" s="566"/>
      <c r="N194" s="11"/>
    </row>
    <row r="195" spans="2:14" ht="15" customHeight="1">
      <c r="B195" s="173">
        <f t="shared" si="29"/>
        <v>172</v>
      </c>
      <c r="C195" s="173"/>
      <c r="D195" s="174">
        <v>7</v>
      </c>
      <c r="E195" s="168">
        <f t="shared" si="27"/>
        <v>173</v>
      </c>
      <c r="F195" s="286">
        <f t="shared" si="28"/>
        <v>33.659999999999997</v>
      </c>
      <c r="G195" s="175">
        <f t="shared" si="26"/>
        <v>33.261999999999993</v>
      </c>
      <c r="H195" s="175" t="str">
        <f t="shared" si="30"/>
        <v>IN</v>
      </c>
      <c r="I195" s="177">
        <f t="shared" si="25"/>
        <v>5655.9960000000001</v>
      </c>
      <c r="J195" s="177">
        <f t="shared" si="23"/>
        <v>5961.5739999999996</v>
      </c>
      <c r="K195" s="235">
        <f t="shared" si="24"/>
        <v>204.41972303132161</v>
      </c>
      <c r="L195" s="566"/>
      <c r="M195" s="566"/>
      <c r="N195" s="11"/>
    </row>
    <row r="196" spans="2:14" ht="15" customHeight="1">
      <c r="B196" s="173">
        <f t="shared" si="29"/>
        <v>173</v>
      </c>
      <c r="C196" s="173"/>
      <c r="D196" s="174">
        <v>7</v>
      </c>
      <c r="E196" s="168">
        <f t="shared" si="27"/>
        <v>174</v>
      </c>
      <c r="F196" s="286">
        <f t="shared" si="28"/>
        <v>33.21</v>
      </c>
      <c r="G196" s="175">
        <f t="shared" si="26"/>
        <v>32.811999999999998</v>
      </c>
      <c r="H196" s="175" t="str">
        <f t="shared" si="30"/>
        <v>IN</v>
      </c>
      <c r="I196" s="177">
        <f t="shared" si="25"/>
        <v>5688.808</v>
      </c>
      <c r="J196" s="177">
        <f t="shared" si="23"/>
        <v>5928.7619999999997</v>
      </c>
      <c r="K196" s="235">
        <f t="shared" si="24"/>
        <v>205.11250993430099</v>
      </c>
      <c r="L196" s="566"/>
      <c r="M196" s="566"/>
      <c r="N196" s="11"/>
    </row>
    <row r="197" spans="2:14" ht="15" customHeight="1">
      <c r="B197" s="173">
        <f t="shared" si="29"/>
        <v>174</v>
      </c>
      <c r="C197" s="173"/>
      <c r="D197" s="174">
        <v>7</v>
      </c>
      <c r="E197" s="168">
        <f t="shared" si="27"/>
        <v>175</v>
      </c>
      <c r="F197" s="286">
        <f t="shared" si="28"/>
        <v>33.33</v>
      </c>
      <c r="G197" s="175">
        <f t="shared" si="26"/>
        <v>32.931999999999995</v>
      </c>
      <c r="H197" s="175" t="str">
        <f t="shared" si="30"/>
        <v>IN</v>
      </c>
      <c r="I197" s="177">
        <f t="shared" si="25"/>
        <v>5721.74</v>
      </c>
      <c r="J197" s="177">
        <f t="shared" si="23"/>
        <v>5895.83</v>
      </c>
      <c r="K197" s="235">
        <f t="shared" si="24"/>
        <v>205.80783049656225</v>
      </c>
      <c r="L197" s="566"/>
      <c r="M197" s="566"/>
      <c r="N197" s="11"/>
    </row>
    <row r="198" spans="2:14" ht="15" customHeight="1">
      <c r="B198" s="173">
        <f t="shared" si="29"/>
        <v>175</v>
      </c>
      <c r="C198" s="173"/>
      <c r="D198" s="174">
        <v>7</v>
      </c>
      <c r="E198" s="168">
        <f t="shared" si="27"/>
        <v>176</v>
      </c>
      <c r="F198" s="286">
        <f t="shared" si="28"/>
        <v>32.950000000000003</v>
      </c>
      <c r="G198" s="175">
        <f t="shared" si="26"/>
        <v>32.552</v>
      </c>
      <c r="H198" s="175" t="str">
        <f t="shared" si="30"/>
        <v>IN</v>
      </c>
      <c r="I198" s="177">
        <f t="shared" si="25"/>
        <v>5754.2919999999995</v>
      </c>
      <c r="J198" s="177">
        <f t="shared" si="23"/>
        <v>5863.2780000000002</v>
      </c>
      <c r="K198" s="235">
        <f t="shared" si="24"/>
        <v>206.49512780443087</v>
      </c>
      <c r="L198" s="566"/>
      <c r="M198" s="566"/>
      <c r="N198" s="11"/>
    </row>
    <row r="199" spans="2:14" ht="15" customHeight="1">
      <c r="B199" s="173">
        <f t="shared" si="29"/>
        <v>176</v>
      </c>
      <c r="C199" s="173"/>
      <c r="D199" s="174">
        <v>7</v>
      </c>
      <c r="E199" s="168">
        <f t="shared" si="27"/>
        <v>177</v>
      </c>
      <c r="F199" s="286">
        <f t="shared" si="28"/>
        <v>33.29</v>
      </c>
      <c r="G199" s="175">
        <f t="shared" si="26"/>
        <v>32.891999999999996</v>
      </c>
      <c r="H199" s="175" t="str">
        <f t="shared" si="30"/>
        <v>IN</v>
      </c>
      <c r="I199" s="177">
        <f t="shared" si="25"/>
        <v>5787.1839999999993</v>
      </c>
      <c r="J199" s="177">
        <f t="shared" si="23"/>
        <v>5830.3860000000004</v>
      </c>
      <c r="K199" s="235">
        <f t="shared" si="24"/>
        <v>207.18960381359818</v>
      </c>
      <c r="L199" s="566"/>
      <c r="M199" s="566"/>
      <c r="N199" s="11"/>
    </row>
    <row r="200" spans="2:14" ht="15" customHeight="1">
      <c r="B200" s="173">
        <f t="shared" si="29"/>
        <v>177</v>
      </c>
      <c r="C200" s="173"/>
      <c r="D200" s="174">
        <v>7</v>
      </c>
      <c r="E200" s="168">
        <f t="shared" si="27"/>
        <v>178</v>
      </c>
      <c r="F200" s="286">
        <f t="shared" si="28"/>
        <v>32.92</v>
      </c>
      <c r="G200" s="175">
        <f t="shared" si="26"/>
        <v>32.521999999999998</v>
      </c>
      <c r="H200" s="175" t="str">
        <f t="shared" si="30"/>
        <v>IN</v>
      </c>
      <c r="I200" s="177">
        <f t="shared" si="25"/>
        <v>5819.7059999999992</v>
      </c>
      <c r="J200" s="177">
        <f t="shared" si="23"/>
        <v>5797.8640000000005</v>
      </c>
      <c r="K200" s="235">
        <f t="shared" si="24"/>
        <v>207.87626770664627</v>
      </c>
      <c r="L200" s="566"/>
      <c r="M200" s="566"/>
      <c r="N200" s="11"/>
    </row>
    <row r="201" spans="2:14" ht="15" customHeight="1">
      <c r="B201" s="173">
        <f t="shared" si="29"/>
        <v>178</v>
      </c>
      <c r="C201" s="173"/>
      <c r="D201" s="174">
        <v>7</v>
      </c>
      <c r="E201" s="168">
        <f t="shared" si="27"/>
        <v>179</v>
      </c>
      <c r="F201" s="286">
        <f t="shared" si="28"/>
        <v>32.75</v>
      </c>
      <c r="G201" s="175">
        <f t="shared" si="26"/>
        <v>32.351999999999997</v>
      </c>
      <c r="H201" s="175" t="str">
        <f t="shared" si="30"/>
        <v>IN</v>
      </c>
      <c r="I201" s="177">
        <f t="shared" si="25"/>
        <v>5852.0579999999991</v>
      </c>
      <c r="J201" s="177">
        <f t="shared" si="23"/>
        <v>5765.5120000000006</v>
      </c>
      <c r="K201" s="235">
        <f t="shared" si="24"/>
        <v>208.55934224904507</v>
      </c>
      <c r="L201" s="566"/>
      <c r="M201" s="566"/>
      <c r="N201" s="11"/>
    </row>
    <row r="202" spans="2:14" ht="15" customHeight="1">
      <c r="B202" s="173">
        <f t="shared" si="29"/>
        <v>179</v>
      </c>
      <c r="C202" s="173"/>
      <c r="D202" s="174">
        <v>7</v>
      </c>
      <c r="E202" s="168">
        <f t="shared" si="27"/>
        <v>180</v>
      </c>
      <c r="F202" s="286">
        <f t="shared" si="28"/>
        <v>33.229999999999997</v>
      </c>
      <c r="G202" s="175">
        <f t="shared" si="26"/>
        <v>32.831999999999994</v>
      </c>
      <c r="H202" s="175" t="str">
        <f t="shared" si="30"/>
        <v>IN</v>
      </c>
      <c r="I202" s="177">
        <f t="shared" si="25"/>
        <v>5884.8899999999994</v>
      </c>
      <c r="J202" s="177">
        <f t="shared" si="23"/>
        <v>5732.68</v>
      </c>
      <c r="K202" s="235">
        <f t="shared" si="24"/>
        <v>209.25255142857142</v>
      </c>
      <c r="L202" s="566"/>
      <c r="M202" s="566"/>
      <c r="N202" s="11"/>
    </row>
    <row r="203" spans="2:14" ht="15" customHeight="1">
      <c r="B203" s="173">
        <f t="shared" si="29"/>
        <v>180</v>
      </c>
      <c r="C203" s="173"/>
      <c r="D203" s="174">
        <v>7</v>
      </c>
      <c r="E203" s="168">
        <f t="shared" si="27"/>
        <v>181</v>
      </c>
      <c r="F203" s="286">
        <f t="shared" si="28"/>
        <v>32.69</v>
      </c>
      <c r="G203" s="175">
        <f t="shared" si="26"/>
        <v>32.291999999999994</v>
      </c>
      <c r="H203" s="175" t="str">
        <f t="shared" si="30"/>
        <v>IN</v>
      </c>
      <c r="I203" s="177">
        <f t="shared" si="25"/>
        <v>5917.1819999999998</v>
      </c>
      <c r="J203" s="177">
        <f t="shared" si="23"/>
        <v>5700.3879999999999</v>
      </c>
      <c r="K203" s="235">
        <f t="shared" si="24"/>
        <v>209.93435914132925</v>
      </c>
      <c r="L203" s="566"/>
      <c r="M203" s="566"/>
      <c r="N203" s="11"/>
    </row>
    <row r="204" spans="2:14" ht="15" customHeight="1">
      <c r="B204" s="173">
        <f t="shared" si="29"/>
        <v>181</v>
      </c>
      <c r="C204" s="173"/>
      <c r="D204" s="174">
        <v>7</v>
      </c>
      <c r="E204" s="168">
        <f t="shared" si="27"/>
        <v>182</v>
      </c>
      <c r="F204" s="286">
        <f t="shared" si="28"/>
        <v>33.130000000000003</v>
      </c>
      <c r="G204" s="175">
        <f t="shared" si="26"/>
        <v>32.731999999999999</v>
      </c>
      <c r="H204" s="175" t="str">
        <f t="shared" si="30"/>
        <v>IN</v>
      </c>
      <c r="I204" s="177">
        <f t="shared" si="25"/>
        <v>5949.9139999999998</v>
      </c>
      <c r="J204" s="177">
        <f t="shared" si="23"/>
        <v>5667.6559999999999</v>
      </c>
      <c r="K204" s="235">
        <f t="shared" si="24"/>
        <v>210.62545693812069</v>
      </c>
      <c r="L204" s="566"/>
      <c r="M204" s="566"/>
      <c r="N204" s="11"/>
    </row>
    <row r="205" spans="2:14" ht="15" customHeight="1">
      <c r="B205" s="173">
        <f t="shared" si="29"/>
        <v>182</v>
      </c>
      <c r="C205" s="173"/>
      <c r="D205" s="174">
        <v>7</v>
      </c>
      <c r="E205" s="168">
        <f t="shared" si="27"/>
        <v>183</v>
      </c>
      <c r="F205" s="286">
        <f t="shared" si="28"/>
        <v>32.68</v>
      </c>
      <c r="G205" s="175">
        <f t="shared" si="26"/>
        <v>32.281999999999996</v>
      </c>
      <c r="H205" s="175" t="str">
        <f t="shared" ref="H205:H236" si="31">IF(F205="","OUT","IN")</f>
        <v>IN</v>
      </c>
      <c r="I205" s="177">
        <f t="shared" si="25"/>
        <v>5982.1959999999999</v>
      </c>
      <c r="J205" s="177">
        <f t="shared" si="23"/>
        <v>5635.3739999999998</v>
      </c>
      <c r="K205" s="235">
        <f t="shared" si="24"/>
        <v>211.30705351260502</v>
      </c>
      <c r="L205" s="566"/>
      <c r="M205" s="566"/>
      <c r="N205" s="11"/>
    </row>
    <row r="206" spans="2:14" ht="15" customHeight="1">
      <c r="B206" s="173">
        <f t="shared" si="29"/>
        <v>183</v>
      </c>
      <c r="C206" s="176"/>
      <c r="D206" s="174">
        <v>7</v>
      </c>
      <c r="E206" s="168">
        <f t="shared" si="27"/>
        <v>184</v>
      </c>
      <c r="F206" s="286">
        <f t="shared" si="28"/>
        <v>32.86</v>
      </c>
      <c r="G206" s="175">
        <f t="shared" si="26"/>
        <v>32.461999999999996</v>
      </c>
      <c r="H206" s="175" t="str">
        <f t="shared" si="31"/>
        <v>IN</v>
      </c>
      <c r="I206" s="177">
        <f t="shared" si="25"/>
        <v>6014.6580000000004</v>
      </c>
      <c r="J206" s="177">
        <f t="shared" si="23"/>
        <v>5602.9119999999994</v>
      </c>
      <c r="K206" s="235">
        <f t="shared" si="24"/>
        <v>211.99245057601223</v>
      </c>
      <c r="L206" s="566"/>
      <c r="M206" s="566"/>
      <c r="N206" s="11"/>
    </row>
    <row r="207" spans="2:14" ht="15" customHeight="1">
      <c r="B207" s="173">
        <f t="shared" si="29"/>
        <v>184</v>
      </c>
      <c r="C207" s="176"/>
      <c r="D207" s="174">
        <v>7</v>
      </c>
      <c r="E207" s="168">
        <f t="shared" si="27"/>
        <v>185</v>
      </c>
      <c r="F207" s="286">
        <f t="shared" si="28"/>
        <v>32.57</v>
      </c>
      <c r="G207" s="175">
        <f t="shared" si="26"/>
        <v>32.171999999999997</v>
      </c>
      <c r="H207" s="175" t="str">
        <f t="shared" si="31"/>
        <v>IN</v>
      </c>
      <c r="I207" s="177">
        <f t="shared" si="25"/>
        <v>6046.83</v>
      </c>
      <c r="J207" s="177">
        <f t="shared" ref="J207:J270" si="32">IF(I207="","",$L$9-I207)</f>
        <v>5570.74</v>
      </c>
      <c r="K207" s="235">
        <f t="shared" ref="K207:K270" si="33">$H$9+(I207*$E$10*$H$11/1000)</f>
        <v>212.67172462948815</v>
      </c>
      <c r="L207" s="566"/>
      <c r="M207" s="566"/>
      <c r="N207" s="11"/>
    </row>
    <row r="208" spans="2:14" ht="15" customHeight="1">
      <c r="B208" s="173">
        <f t="shared" si="29"/>
        <v>185</v>
      </c>
      <c r="C208" s="176"/>
      <c r="D208" s="174">
        <v>7</v>
      </c>
      <c r="E208" s="168">
        <f t="shared" si="27"/>
        <v>186</v>
      </c>
      <c r="F208" s="286">
        <f t="shared" si="28"/>
        <v>33.409999999999997</v>
      </c>
      <c r="G208" s="175">
        <f t="shared" si="26"/>
        <v>33.011999999999993</v>
      </c>
      <c r="H208" s="175" t="str">
        <f t="shared" si="31"/>
        <v>IN</v>
      </c>
      <c r="I208" s="177">
        <f t="shared" ref="I208:I271" si="34">IF(H208="IN",I207+G208,I207)</f>
        <v>6079.8419999999996</v>
      </c>
      <c r="J208" s="177">
        <f t="shared" si="32"/>
        <v>5537.7280000000001</v>
      </c>
      <c r="K208" s="235">
        <f t="shared" si="33"/>
        <v>213.36873429793735</v>
      </c>
      <c r="L208" s="566"/>
      <c r="M208" s="566"/>
      <c r="N208" s="11"/>
    </row>
    <row r="209" spans="2:14" ht="15" customHeight="1">
      <c r="B209" s="173">
        <f t="shared" si="29"/>
        <v>186</v>
      </c>
      <c r="C209" s="176"/>
      <c r="D209" s="174">
        <v>7</v>
      </c>
      <c r="E209" s="168">
        <f t="shared" si="27"/>
        <v>187</v>
      </c>
      <c r="F209" s="286">
        <f t="shared" si="28"/>
        <v>33.25</v>
      </c>
      <c r="G209" s="175">
        <f t="shared" si="26"/>
        <v>32.851999999999997</v>
      </c>
      <c r="H209" s="175" t="str">
        <f t="shared" si="31"/>
        <v>IN</v>
      </c>
      <c r="I209" s="177">
        <f t="shared" si="34"/>
        <v>6112.6939999999995</v>
      </c>
      <c r="J209" s="177">
        <f t="shared" si="32"/>
        <v>5504.8760000000002</v>
      </c>
      <c r="K209" s="235">
        <f t="shared" si="33"/>
        <v>214.0623657540107</v>
      </c>
      <c r="L209" s="566"/>
      <c r="M209" s="566"/>
      <c r="N209" s="11"/>
    </row>
    <row r="210" spans="2:14" ht="15" customHeight="1">
      <c r="B210" s="173">
        <f t="shared" si="29"/>
        <v>187</v>
      </c>
      <c r="C210" s="176"/>
      <c r="D210" s="174">
        <v>7</v>
      </c>
      <c r="E210" s="168">
        <f t="shared" si="27"/>
        <v>188</v>
      </c>
      <c r="F210" s="286">
        <f t="shared" si="28"/>
        <v>32.9</v>
      </c>
      <c r="G210" s="175">
        <f t="shared" si="26"/>
        <v>32.501999999999995</v>
      </c>
      <c r="H210" s="175" t="str">
        <f t="shared" si="31"/>
        <v>IN</v>
      </c>
      <c r="I210" s="177">
        <f t="shared" si="34"/>
        <v>6145.1959999999999</v>
      </c>
      <c r="J210" s="177">
        <f t="shared" si="32"/>
        <v>5472.3739999999998</v>
      </c>
      <c r="K210" s="235">
        <f t="shared" si="33"/>
        <v>214.74860737051185</v>
      </c>
      <c r="L210" s="566"/>
      <c r="M210" s="566"/>
      <c r="N210" s="11"/>
    </row>
    <row r="211" spans="2:14" ht="15" customHeight="1">
      <c r="B211" s="173">
        <f t="shared" si="29"/>
        <v>188</v>
      </c>
      <c r="C211" s="176"/>
      <c r="D211" s="174">
        <v>7</v>
      </c>
      <c r="E211" s="168">
        <f t="shared" si="27"/>
        <v>189</v>
      </c>
      <c r="F211" s="286">
        <f t="shared" si="28"/>
        <v>33.270000000000003</v>
      </c>
      <c r="G211" s="175">
        <f t="shared" si="26"/>
        <v>32.872</v>
      </c>
      <c r="H211" s="175" t="str">
        <f t="shared" si="31"/>
        <v>IN</v>
      </c>
      <c r="I211" s="177">
        <f t="shared" si="34"/>
        <v>6178.0680000000002</v>
      </c>
      <c r="J211" s="177">
        <f t="shared" si="32"/>
        <v>5439.5019999999995</v>
      </c>
      <c r="K211" s="235">
        <f t="shared" si="33"/>
        <v>215.44266110313217</v>
      </c>
      <c r="L211" s="566"/>
      <c r="M211" s="566"/>
      <c r="N211" s="11"/>
    </row>
    <row r="212" spans="2:14" ht="15" customHeight="1">
      <c r="B212" s="173">
        <f t="shared" si="29"/>
        <v>189</v>
      </c>
      <c r="C212" s="176"/>
      <c r="D212" s="232">
        <v>7</v>
      </c>
      <c r="E212" s="168">
        <f t="shared" si="27"/>
        <v>190</v>
      </c>
      <c r="F212" s="286">
        <f t="shared" si="28"/>
        <v>33.58</v>
      </c>
      <c r="G212" s="175">
        <f t="shared" si="26"/>
        <v>33.181999999999995</v>
      </c>
      <c r="H212" s="175" t="str">
        <f t="shared" si="31"/>
        <v>IN</v>
      </c>
      <c r="I212" s="177">
        <f t="shared" si="34"/>
        <v>6211.25</v>
      </c>
      <c r="J212" s="177">
        <f t="shared" si="32"/>
        <v>5406.32</v>
      </c>
      <c r="K212" s="235">
        <f t="shared" si="33"/>
        <v>216.14326012223071</v>
      </c>
      <c r="L212" s="566"/>
      <c r="M212" s="566"/>
      <c r="N212" s="11"/>
    </row>
    <row r="213" spans="2:14" ht="15" customHeight="1">
      <c r="B213" s="173">
        <f t="shared" si="29"/>
        <v>190</v>
      </c>
      <c r="C213" s="173"/>
      <c r="D213" s="174">
        <v>7</v>
      </c>
      <c r="E213" s="168">
        <f t="shared" si="27"/>
        <v>191</v>
      </c>
      <c r="F213" s="286">
        <f t="shared" si="28"/>
        <v>33.03</v>
      </c>
      <c r="G213" s="175">
        <f t="shared" si="26"/>
        <v>32.631999999999998</v>
      </c>
      <c r="H213" s="175" t="str">
        <f t="shared" si="31"/>
        <v>IN</v>
      </c>
      <c r="I213" s="177">
        <f t="shared" si="34"/>
        <v>6243.8819999999996</v>
      </c>
      <c r="J213" s="177">
        <f t="shared" si="32"/>
        <v>5373.6880000000001</v>
      </c>
      <c r="K213" s="235">
        <f t="shared" si="33"/>
        <v>216.83224653628724</v>
      </c>
      <c r="L213" s="566"/>
      <c r="M213" s="566"/>
      <c r="N213" s="11"/>
    </row>
    <row r="214" spans="2:14" ht="15" customHeight="1">
      <c r="B214" s="173">
        <f t="shared" si="29"/>
        <v>191</v>
      </c>
      <c r="C214" s="173"/>
      <c r="D214" s="174">
        <v>7</v>
      </c>
      <c r="E214" s="168">
        <f t="shared" si="27"/>
        <v>192</v>
      </c>
      <c r="F214" s="286">
        <f t="shared" si="28"/>
        <v>33.21</v>
      </c>
      <c r="G214" s="175">
        <f t="shared" si="26"/>
        <v>32.811999999999998</v>
      </c>
      <c r="H214" s="175" t="str">
        <f t="shared" si="31"/>
        <v>IN</v>
      </c>
      <c r="I214" s="177">
        <f t="shared" si="34"/>
        <v>6276.6939999999995</v>
      </c>
      <c r="J214" s="177">
        <f t="shared" si="32"/>
        <v>5340.8760000000002</v>
      </c>
      <c r="K214" s="235">
        <f t="shared" si="33"/>
        <v>217.52503343926662</v>
      </c>
      <c r="L214" s="566"/>
      <c r="M214" s="566"/>
      <c r="N214" s="11"/>
    </row>
    <row r="215" spans="2:14" ht="15" customHeight="1">
      <c r="B215" s="173">
        <f t="shared" si="29"/>
        <v>192</v>
      </c>
      <c r="C215" s="173"/>
      <c r="D215" s="174">
        <v>7</v>
      </c>
      <c r="E215" s="168">
        <f t="shared" si="27"/>
        <v>193</v>
      </c>
      <c r="F215" s="286">
        <f t="shared" si="28"/>
        <v>33.479999999999997</v>
      </c>
      <c r="G215" s="175">
        <f t="shared" si="26"/>
        <v>33.081999999999994</v>
      </c>
      <c r="H215" s="175" t="str">
        <f t="shared" si="31"/>
        <v>IN</v>
      </c>
      <c r="I215" s="177">
        <f t="shared" si="34"/>
        <v>6309.7759999999998</v>
      </c>
      <c r="J215" s="177">
        <f t="shared" si="32"/>
        <v>5307.7939999999999</v>
      </c>
      <c r="K215" s="235">
        <f t="shared" si="33"/>
        <v>218.22352107563026</v>
      </c>
      <c r="L215" s="566"/>
      <c r="M215" s="566"/>
      <c r="N215" s="11"/>
    </row>
    <row r="216" spans="2:14" ht="15" customHeight="1">
      <c r="B216" s="173">
        <f t="shared" si="29"/>
        <v>193</v>
      </c>
      <c r="C216" s="173"/>
      <c r="D216" s="174">
        <v>7</v>
      </c>
      <c r="E216" s="168">
        <f t="shared" si="27"/>
        <v>194</v>
      </c>
      <c r="F216" s="286">
        <f t="shared" si="28"/>
        <v>31.49</v>
      </c>
      <c r="G216" s="175">
        <f t="shared" ref="G216:G279" si="35">F216-($E$12)</f>
        <v>31.091999999999999</v>
      </c>
      <c r="H216" s="175" t="str">
        <f t="shared" si="31"/>
        <v>IN</v>
      </c>
      <c r="I216" s="177">
        <f t="shared" si="34"/>
        <v>6340.8679999999995</v>
      </c>
      <c r="J216" s="177">
        <f t="shared" si="32"/>
        <v>5276.7020000000002</v>
      </c>
      <c r="K216" s="235">
        <f t="shared" si="33"/>
        <v>218.87999219556914</v>
      </c>
      <c r="L216" s="566"/>
      <c r="M216" s="566"/>
      <c r="N216" s="11"/>
    </row>
    <row r="217" spans="2:14" ht="15" customHeight="1">
      <c r="B217" s="173">
        <f t="shared" si="29"/>
        <v>194</v>
      </c>
      <c r="C217" s="173"/>
      <c r="D217" s="174">
        <v>7</v>
      </c>
      <c r="E217" s="168">
        <f t="shared" ref="E217:E280" si="36">E216+1</f>
        <v>195</v>
      </c>
      <c r="F217" s="286">
        <f t="shared" si="28"/>
        <v>33.409999999999997</v>
      </c>
      <c r="G217" s="175">
        <f t="shared" si="35"/>
        <v>33.011999999999993</v>
      </c>
      <c r="H217" s="175" t="str">
        <f t="shared" si="31"/>
        <v>IN</v>
      </c>
      <c r="I217" s="177">
        <f t="shared" si="34"/>
        <v>6373.8799999999992</v>
      </c>
      <c r="J217" s="177">
        <f t="shared" si="32"/>
        <v>5243.6900000000005</v>
      </c>
      <c r="K217" s="235">
        <f t="shared" si="33"/>
        <v>219.57700186401831</v>
      </c>
      <c r="L217" s="566"/>
      <c r="M217" s="566"/>
      <c r="N217" s="11"/>
    </row>
    <row r="218" spans="2:14" ht="15" customHeight="1">
      <c r="B218" s="173">
        <f t="shared" si="29"/>
        <v>195</v>
      </c>
      <c r="C218" s="173"/>
      <c r="D218" s="174">
        <v>7</v>
      </c>
      <c r="E218" s="168">
        <f t="shared" si="36"/>
        <v>196</v>
      </c>
      <c r="F218" s="286">
        <f t="shared" si="28"/>
        <v>33.54</v>
      </c>
      <c r="G218" s="175">
        <f t="shared" si="35"/>
        <v>33.141999999999996</v>
      </c>
      <c r="H218" s="175" t="str">
        <f t="shared" si="31"/>
        <v>IN</v>
      </c>
      <c r="I218" s="177">
        <f t="shared" si="34"/>
        <v>6407.021999999999</v>
      </c>
      <c r="J218" s="177">
        <f t="shared" si="32"/>
        <v>5210.5480000000007</v>
      </c>
      <c r="K218" s="235">
        <f t="shared" si="33"/>
        <v>220.27675633002292</v>
      </c>
      <c r="L218" s="566"/>
      <c r="M218" s="566"/>
      <c r="N218" s="11"/>
    </row>
    <row r="219" spans="2:14" ht="15" customHeight="1">
      <c r="B219" s="173">
        <f t="shared" si="29"/>
        <v>196</v>
      </c>
      <c r="C219" s="173"/>
      <c r="D219" s="174">
        <v>7</v>
      </c>
      <c r="E219" s="168">
        <f t="shared" si="36"/>
        <v>197</v>
      </c>
      <c r="F219" s="286">
        <f t="shared" si="28"/>
        <v>33.33</v>
      </c>
      <c r="G219" s="175">
        <f t="shared" si="35"/>
        <v>32.931999999999995</v>
      </c>
      <c r="H219" s="175" t="str">
        <f t="shared" si="31"/>
        <v>IN</v>
      </c>
      <c r="I219" s="177">
        <f t="shared" si="34"/>
        <v>6439.9539999999988</v>
      </c>
      <c r="J219" s="177">
        <f t="shared" si="32"/>
        <v>5177.6160000000009</v>
      </c>
      <c r="K219" s="235">
        <f t="shared" si="33"/>
        <v>220.97207689228418</v>
      </c>
      <c r="L219" s="566"/>
      <c r="M219" s="566"/>
      <c r="N219" s="11"/>
    </row>
    <row r="220" spans="2:14" ht="15" customHeight="1">
      <c r="B220" s="173">
        <f t="shared" si="29"/>
        <v>197</v>
      </c>
      <c r="C220" s="176"/>
      <c r="D220" s="174">
        <v>7</v>
      </c>
      <c r="E220" s="168">
        <f t="shared" si="36"/>
        <v>198</v>
      </c>
      <c r="F220" s="286">
        <f t="shared" si="28"/>
        <v>33.369999999999997</v>
      </c>
      <c r="G220" s="175">
        <f t="shared" si="35"/>
        <v>32.971999999999994</v>
      </c>
      <c r="H220" s="175" t="str">
        <f t="shared" si="31"/>
        <v>IN</v>
      </c>
      <c r="I220" s="177">
        <f t="shared" si="34"/>
        <v>6472.9259999999986</v>
      </c>
      <c r="J220" s="177">
        <f t="shared" si="32"/>
        <v>5144.6440000000011</v>
      </c>
      <c r="K220" s="235">
        <f t="shared" si="33"/>
        <v>221.66824200763941</v>
      </c>
      <c r="L220" s="566"/>
      <c r="M220" s="566"/>
      <c r="N220" s="11"/>
    </row>
    <row r="221" spans="2:14" ht="15" customHeight="1">
      <c r="B221" s="173">
        <f t="shared" si="29"/>
        <v>198</v>
      </c>
      <c r="C221" s="173"/>
      <c r="D221" s="174">
        <v>7</v>
      </c>
      <c r="E221" s="168">
        <f t="shared" si="36"/>
        <v>199</v>
      </c>
      <c r="F221" s="286">
        <f t="shared" si="28"/>
        <v>33.479999999999997</v>
      </c>
      <c r="G221" s="175">
        <f t="shared" si="35"/>
        <v>33.081999999999994</v>
      </c>
      <c r="H221" s="175" t="str">
        <f t="shared" si="31"/>
        <v>IN</v>
      </c>
      <c r="I221" s="177">
        <f t="shared" si="34"/>
        <v>6506.0079999999989</v>
      </c>
      <c r="J221" s="177">
        <f t="shared" si="32"/>
        <v>5111.5620000000008</v>
      </c>
      <c r="K221" s="235">
        <f t="shared" si="33"/>
        <v>222.36672964400307</v>
      </c>
      <c r="L221" s="566"/>
      <c r="M221" s="566"/>
      <c r="N221" s="11"/>
    </row>
    <row r="222" spans="2:14" ht="15" customHeight="1">
      <c r="B222" s="173">
        <f t="shared" si="29"/>
        <v>199</v>
      </c>
      <c r="C222" s="173"/>
      <c r="D222" s="174">
        <v>7</v>
      </c>
      <c r="E222" s="168">
        <f t="shared" si="36"/>
        <v>200</v>
      </c>
      <c r="F222" s="286">
        <f t="shared" si="28"/>
        <v>33.32</v>
      </c>
      <c r="G222" s="175">
        <f t="shared" si="35"/>
        <v>32.921999999999997</v>
      </c>
      <c r="H222" s="175" t="str">
        <f t="shared" si="31"/>
        <v>IN</v>
      </c>
      <c r="I222" s="177">
        <f t="shared" si="34"/>
        <v>6538.9299999999985</v>
      </c>
      <c r="J222" s="177">
        <f t="shared" si="32"/>
        <v>5078.6400000000012</v>
      </c>
      <c r="K222" s="235">
        <f t="shared" si="33"/>
        <v>223.0618390679908</v>
      </c>
      <c r="L222" s="566"/>
      <c r="M222" s="566"/>
      <c r="N222" s="11"/>
    </row>
    <row r="223" spans="2:14" ht="15" customHeight="1">
      <c r="B223" s="173">
        <f t="shared" si="29"/>
        <v>200</v>
      </c>
      <c r="C223" s="173"/>
      <c r="D223" s="174">
        <v>7</v>
      </c>
      <c r="E223" s="168">
        <f t="shared" si="36"/>
        <v>201</v>
      </c>
      <c r="F223" s="286">
        <f t="shared" si="28"/>
        <v>33.020000000000003</v>
      </c>
      <c r="G223" s="175">
        <f t="shared" si="35"/>
        <v>32.622</v>
      </c>
      <c r="H223" s="175" t="str">
        <f t="shared" si="31"/>
        <v>IN</v>
      </c>
      <c r="I223" s="177">
        <f t="shared" si="34"/>
        <v>6571.5519999999988</v>
      </c>
      <c r="J223" s="177">
        <f t="shared" si="32"/>
        <v>5046.0180000000009</v>
      </c>
      <c r="K223" s="235">
        <f t="shared" si="33"/>
        <v>223.75061434377383</v>
      </c>
      <c r="L223" s="566"/>
      <c r="M223" s="566"/>
      <c r="N223" s="11"/>
    </row>
    <row r="224" spans="2:14" ht="15" customHeight="1">
      <c r="B224" s="173">
        <f t="shared" si="29"/>
        <v>201</v>
      </c>
      <c r="C224" s="173"/>
      <c r="D224" s="174">
        <v>7</v>
      </c>
      <c r="E224" s="168">
        <f t="shared" si="36"/>
        <v>202</v>
      </c>
      <c r="F224" s="286">
        <f t="shared" si="28"/>
        <v>33.43</v>
      </c>
      <c r="G224" s="175">
        <f t="shared" si="35"/>
        <v>33.031999999999996</v>
      </c>
      <c r="H224" s="175" t="str">
        <f t="shared" si="31"/>
        <v>IN</v>
      </c>
      <c r="I224" s="177">
        <f t="shared" si="34"/>
        <v>6604.5839999999989</v>
      </c>
      <c r="J224" s="177">
        <f t="shared" si="32"/>
        <v>5012.9860000000008</v>
      </c>
      <c r="K224" s="235">
        <f t="shared" si="33"/>
        <v>224.44804628877003</v>
      </c>
      <c r="L224" s="566"/>
      <c r="M224" s="566"/>
      <c r="N224" s="11"/>
    </row>
    <row r="225" spans="2:14" ht="15" customHeight="1">
      <c r="B225" s="173">
        <f t="shared" si="29"/>
        <v>202</v>
      </c>
      <c r="C225" s="173"/>
      <c r="D225" s="174">
        <v>7</v>
      </c>
      <c r="E225" s="168">
        <f t="shared" si="36"/>
        <v>203</v>
      </c>
      <c r="F225" s="286">
        <f t="shared" si="28"/>
        <v>31.93</v>
      </c>
      <c r="G225" s="175">
        <f t="shared" si="35"/>
        <v>31.532</v>
      </c>
      <c r="H225" s="175" t="str">
        <f t="shared" si="31"/>
        <v>IN</v>
      </c>
      <c r="I225" s="177">
        <f t="shared" si="34"/>
        <v>6636.1159999999991</v>
      </c>
      <c r="J225" s="177">
        <f t="shared" si="32"/>
        <v>4981.4540000000006</v>
      </c>
      <c r="K225" s="235">
        <f t="shared" si="33"/>
        <v>225.11380749274255</v>
      </c>
      <c r="L225" s="566"/>
      <c r="M225" s="566"/>
      <c r="N225" s="11"/>
    </row>
    <row r="226" spans="2:14" ht="15" customHeight="1">
      <c r="B226" s="173">
        <f t="shared" si="29"/>
        <v>203</v>
      </c>
      <c r="C226" s="173"/>
      <c r="D226" s="174">
        <v>7</v>
      </c>
      <c r="E226" s="168">
        <f t="shared" si="36"/>
        <v>204</v>
      </c>
      <c r="F226" s="286">
        <f t="shared" si="28"/>
        <v>33.36</v>
      </c>
      <c r="G226" s="175">
        <f t="shared" si="35"/>
        <v>32.961999999999996</v>
      </c>
      <c r="H226" s="175" t="str">
        <f t="shared" si="31"/>
        <v>IN</v>
      </c>
      <c r="I226" s="177">
        <f t="shared" si="34"/>
        <v>6669.0779999999995</v>
      </c>
      <c r="J226" s="177">
        <f t="shared" si="32"/>
        <v>4948.4920000000002</v>
      </c>
      <c r="K226" s="235">
        <f t="shared" si="33"/>
        <v>225.80976146982431</v>
      </c>
      <c r="L226" s="566"/>
      <c r="M226" s="566"/>
      <c r="N226" s="11"/>
    </row>
    <row r="227" spans="2:14" ht="15" customHeight="1">
      <c r="B227" s="173">
        <f t="shared" si="29"/>
        <v>204</v>
      </c>
      <c r="C227" s="173"/>
      <c r="D227" s="174">
        <v>7</v>
      </c>
      <c r="E227" s="168">
        <f t="shared" si="36"/>
        <v>205</v>
      </c>
      <c r="F227" s="286">
        <f t="shared" si="28"/>
        <v>33.409999999999997</v>
      </c>
      <c r="G227" s="175">
        <f t="shared" si="35"/>
        <v>33.011999999999993</v>
      </c>
      <c r="H227" s="175" t="str">
        <f t="shared" si="31"/>
        <v>IN</v>
      </c>
      <c r="I227" s="177">
        <f t="shared" si="34"/>
        <v>6702.0899999999992</v>
      </c>
      <c r="J227" s="177">
        <f t="shared" si="32"/>
        <v>4915.4800000000005</v>
      </c>
      <c r="K227" s="235">
        <f t="shared" si="33"/>
        <v>226.50677113827348</v>
      </c>
      <c r="L227" s="566"/>
      <c r="M227" s="566"/>
      <c r="N227" s="11"/>
    </row>
    <row r="228" spans="2:14" ht="15" customHeight="1">
      <c r="B228" s="173">
        <f t="shared" si="29"/>
        <v>205</v>
      </c>
      <c r="C228" s="173"/>
      <c r="D228" s="174">
        <v>7</v>
      </c>
      <c r="E228" s="168">
        <f t="shared" si="36"/>
        <v>206</v>
      </c>
      <c r="F228" s="286">
        <f t="shared" si="28"/>
        <v>32.65</v>
      </c>
      <c r="G228" s="175">
        <f t="shared" si="35"/>
        <v>32.251999999999995</v>
      </c>
      <c r="H228" s="175" t="str">
        <f t="shared" si="31"/>
        <v>IN</v>
      </c>
      <c r="I228" s="177">
        <f t="shared" si="34"/>
        <v>6734.3419999999996</v>
      </c>
      <c r="J228" s="177">
        <f t="shared" si="32"/>
        <v>4883.2280000000001</v>
      </c>
      <c r="K228" s="235">
        <f t="shared" si="33"/>
        <v>227.18773429793737</v>
      </c>
      <c r="L228" s="566"/>
      <c r="M228" s="566"/>
      <c r="N228" s="11"/>
    </row>
    <row r="229" spans="2:14" ht="15" customHeight="1">
      <c r="B229" s="173">
        <f t="shared" si="29"/>
        <v>206</v>
      </c>
      <c r="C229" s="173"/>
      <c r="D229" s="174">
        <v>7</v>
      </c>
      <c r="E229" s="168">
        <f t="shared" si="36"/>
        <v>207</v>
      </c>
      <c r="F229" s="286">
        <f t="shared" si="28"/>
        <v>33.159999999999997</v>
      </c>
      <c r="G229" s="175">
        <f t="shared" si="35"/>
        <v>32.761999999999993</v>
      </c>
      <c r="H229" s="175" t="str">
        <f t="shared" si="31"/>
        <v>IN</v>
      </c>
      <c r="I229" s="177">
        <f t="shared" si="34"/>
        <v>6767.1039999999994</v>
      </c>
      <c r="J229" s="177">
        <f t="shared" si="32"/>
        <v>4850.4660000000003</v>
      </c>
      <c r="K229" s="235">
        <f t="shared" si="33"/>
        <v>227.87946550954925</v>
      </c>
      <c r="L229" s="566"/>
      <c r="M229" s="566"/>
      <c r="N229" s="11"/>
    </row>
    <row r="230" spans="2:14" ht="15" customHeight="1">
      <c r="B230" s="173">
        <f t="shared" si="29"/>
        <v>207</v>
      </c>
      <c r="C230" s="173"/>
      <c r="D230" s="174">
        <v>7</v>
      </c>
      <c r="E230" s="168">
        <f t="shared" si="36"/>
        <v>208</v>
      </c>
      <c r="F230" s="286">
        <f t="shared" ref="F230:F293" si="37">VLOOKUP(E230,tubing1,2,FALSE)</f>
        <v>33.19</v>
      </c>
      <c r="G230" s="175">
        <f t="shared" si="35"/>
        <v>32.791999999999994</v>
      </c>
      <c r="H230" s="175" t="str">
        <f t="shared" si="31"/>
        <v>IN</v>
      </c>
      <c r="I230" s="177">
        <f t="shared" si="34"/>
        <v>6799.8959999999997</v>
      </c>
      <c r="J230" s="177">
        <f t="shared" si="32"/>
        <v>4817.674</v>
      </c>
      <c r="K230" s="235">
        <f t="shared" si="33"/>
        <v>228.57183013598166</v>
      </c>
      <c r="L230" s="566"/>
      <c r="M230" s="566"/>
      <c r="N230" s="11"/>
    </row>
    <row r="231" spans="2:14" ht="15" customHeight="1">
      <c r="B231" s="173">
        <f t="shared" ref="B231:B294" si="38">B230+1</f>
        <v>208</v>
      </c>
      <c r="C231" s="173"/>
      <c r="D231" s="174">
        <v>7</v>
      </c>
      <c r="E231" s="168">
        <f t="shared" si="36"/>
        <v>209</v>
      </c>
      <c r="F231" s="286">
        <f t="shared" si="37"/>
        <v>32.58</v>
      </c>
      <c r="G231" s="175">
        <f t="shared" si="35"/>
        <v>32.181999999999995</v>
      </c>
      <c r="H231" s="175" t="str">
        <f t="shared" si="31"/>
        <v>IN</v>
      </c>
      <c r="I231" s="177">
        <f t="shared" si="34"/>
        <v>6832.0779999999995</v>
      </c>
      <c r="J231" s="177">
        <f t="shared" si="32"/>
        <v>4785.4920000000002</v>
      </c>
      <c r="K231" s="235">
        <f t="shared" si="33"/>
        <v>229.25131532773111</v>
      </c>
      <c r="L231" s="566"/>
      <c r="M231" s="566"/>
      <c r="N231" s="11"/>
    </row>
    <row r="232" spans="2:14" ht="15" customHeight="1">
      <c r="B232" s="173">
        <f t="shared" si="38"/>
        <v>209</v>
      </c>
      <c r="C232" s="173"/>
      <c r="D232" s="174">
        <v>7</v>
      </c>
      <c r="E232" s="168">
        <f t="shared" si="36"/>
        <v>210</v>
      </c>
      <c r="F232" s="286">
        <f t="shared" si="37"/>
        <v>33.4</v>
      </c>
      <c r="G232" s="175">
        <f t="shared" si="35"/>
        <v>33.001999999999995</v>
      </c>
      <c r="H232" s="175" t="str">
        <f t="shared" si="31"/>
        <v>IN</v>
      </c>
      <c r="I232" s="177">
        <f t="shared" si="34"/>
        <v>6865.08</v>
      </c>
      <c r="J232" s="177">
        <f t="shared" si="32"/>
        <v>4752.49</v>
      </c>
      <c r="K232" s="235">
        <f t="shared" si="33"/>
        <v>229.9481138579068</v>
      </c>
      <c r="L232" s="566"/>
      <c r="M232" s="566"/>
      <c r="N232" s="11"/>
    </row>
    <row r="233" spans="2:14" ht="15" customHeight="1">
      <c r="B233" s="173">
        <f t="shared" si="38"/>
        <v>210</v>
      </c>
      <c r="C233" s="173"/>
      <c r="D233" s="174">
        <v>7</v>
      </c>
      <c r="E233" s="168">
        <f t="shared" si="36"/>
        <v>211</v>
      </c>
      <c r="F233" s="286">
        <f t="shared" si="37"/>
        <v>33.270000000000003</v>
      </c>
      <c r="G233" s="175">
        <f t="shared" si="35"/>
        <v>32.872</v>
      </c>
      <c r="H233" s="175" t="str">
        <f t="shared" si="31"/>
        <v>IN</v>
      </c>
      <c r="I233" s="177">
        <f t="shared" si="34"/>
        <v>6897.9520000000002</v>
      </c>
      <c r="J233" s="177">
        <f t="shared" si="32"/>
        <v>4719.6179999999995</v>
      </c>
      <c r="K233" s="235">
        <f t="shared" si="33"/>
        <v>230.64216759052712</v>
      </c>
      <c r="L233" s="566"/>
      <c r="M233" s="566"/>
      <c r="N233" s="11"/>
    </row>
    <row r="234" spans="2:14" ht="15" customHeight="1">
      <c r="B234" s="173">
        <f t="shared" si="38"/>
        <v>211</v>
      </c>
      <c r="C234" s="173"/>
      <c r="D234" s="174">
        <v>7</v>
      </c>
      <c r="E234" s="168">
        <f t="shared" si="36"/>
        <v>212</v>
      </c>
      <c r="F234" s="286">
        <f t="shared" si="37"/>
        <v>32.69</v>
      </c>
      <c r="G234" s="175">
        <f t="shared" si="35"/>
        <v>32.291999999999994</v>
      </c>
      <c r="H234" s="175" t="str">
        <f t="shared" si="31"/>
        <v>IN</v>
      </c>
      <c r="I234" s="177">
        <f t="shared" si="34"/>
        <v>6930.2440000000006</v>
      </c>
      <c r="J234" s="177">
        <f t="shared" si="32"/>
        <v>4687.3259999999991</v>
      </c>
      <c r="K234" s="235">
        <f t="shared" si="33"/>
        <v>231.32397530328498</v>
      </c>
      <c r="L234" s="566"/>
      <c r="M234" s="566"/>
      <c r="N234" s="11"/>
    </row>
    <row r="235" spans="2:14" ht="15" customHeight="1">
      <c r="B235" s="173">
        <f t="shared" si="38"/>
        <v>212</v>
      </c>
      <c r="C235" s="173"/>
      <c r="D235" s="174">
        <v>7</v>
      </c>
      <c r="E235" s="168">
        <f t="shared" si="36"/>
        <v>213</v>
      </c>
      <c r="F235" s="286">
        <f t="shared" si="37"/>
        <v>33.479999999999997</v>
      </c>
      <c r="G235" s="175">
        <f t="shared" si="35"/>
        <v>33.081999999999994</v>
      </c>
      <c r="H235" s="175" t="str">
        <f t="shared" si="31"/>
        <v>IN</v>
      </c>
      <c r="I235" s="177">
        <f t="shared" si="34"/>
        <v>6963.3260000000009</v>
      </c>
      <c r="J235" s="177">
        <f t="shared" si="32"/>
        <v>4654.2439999999988</v>
      </c>
      <c r="K235" s="235">
        <f t="shared" si="33"/>
        <v>232.02246293964862</v>
      </c>
      <c r="L235" s="566"/>
      <c r="M235" s="566"/>
      <c r="N235" s="11"/>
    </row>
    <row r="236" spans="2:14" ht="15" customHeight="1">
      <c r="B236" s="173">
        <f t="shared" si="38"/>
        <v>213</v>
      </c>
      <c r="C236" s="173"/>
      <c r="D236" s="174">
        <v>7</v>
      </c>
      <c r="E236" s="168">
        <f t="shared" si="36"/>
        <v>214</v>
      </c>
      <c r="F236" s="286">
        <f t="shared" si="37"/>
        <v>33.33</v>
      </c>
      <c r="G236" s="175">
        <f t="shared" si="35"/>
        <v>32.931999999999995</v>
      </c>
      <c r="H236" s="175" t="str">
        <f t="shared" si="31"/>
        <v>IN</v>
      </c>
      <c r="I236" s="177">
        <f t="shared" si="34"/>
        <v>6996.2580000000007</v>
      </c>
      <c r="J236" s="177">
        <f t="shared" si="32"/>
        <v>4621.311999999999</v>
      </c>
      <c r="K236" s="235">
        <f t="shared" si="33"/>
        <v>232.71778350190988</v>
      </c>
      <c r="L236" s="566"/>
      <c r="M236" s="566"/>
      <c r="N236" s="11"/>
    </row>
    <row r="237" spans="2:14" ht="15" customHeight="1">
      <c r="B237" s="173">
        <f t="shared" si="38"/>
        <v>214</v>
      </c>
      <c r="C237" s="173"/>
      <c r="D237" s="174">
        <v>7</v>
      </c>
      <c r="E237" s="168">
        <f t="shared" si="36"/>
        <v>215</v>
      </c>
      <c r="F237" s="286">
        <f t="shared" si="37"/>
        <v>32.68</v>
      </c>
      <c r="G237" s="175">
        <f t="shared" si="35"/>
        <v>32.281999999999996</v>
      </c>
      <c r="H237" s="175" t="str">
        <f t="shared" ref="H237:H268" si="39">IF(F237="","OUT","IN")</f>
        <v>IN</v>
      </c>
      <c r="I237" s="177">
        <f t="shared" si="34"/>
        <v>7028.5400000000009</v>
      </c>
      <c r="J237" s="177">
        <f t="shared" si="32"/>
        <v>4589.0299999999988</v>
      </c>
      <c r="K237" s="235">
        <f t="shared" si="33"/>
        <v>233.39938007639424</v>
      </c>
      <c r="L237" s="566"/>
      <c r="M237" s="566"/>
      <c r="N237" s="11"/>
    </row>
    <row r="238" spans="2:14" ht="15" customHeight="1">
      <c r="B238" s="173">
        <f t="shared" si="38"/>
        <v>215</v>
      </c>
      <c r="C238" s="173"/>
      <c r="D238" s="174">
        <v>7</v>
      </c>
      <c r="E238" s="168">
        <f t="shared" si="36"/>
        <v>216</v>
      </c>
      <c r="F238" s="286">
        <f t="shared" si="37"/>
        <v>33</v>
      </c>
      <c r="G238" s="175">
        <f t="shared" si="35"/>
        <v>32.601999999999997</v>
      </c>
      <c r="H238" s="175" t="str">
        <f t="shared" si="39"/>
        <v>IN</v>
      </c>
      <c r="I238" s="175">
        <f t="shared" si="34"/>
        <v>7061.1420000000007</v>
      </c>
      <c r="J238" s="175">
        <f t="shared" si="32"/>
        <v>4556.427999999999</v>
      </c>
      <c r="K238" s="262">
        <f t="shared" si="33"/>
        <v>234.08773307563027</v>
      </c>
      <c r="L238" s="573"/>
      <c r="M238" s="573"/>
      <c r="N238" s="11"/>
    </row>
    <row r="239" spans="2:14" ht="15" customHeight="1">
      <c r="B239" s="173">
        <f t="shared" si="38"/>
        <v>216</v>
      </c>
      <c r="C239" s="173"/>
      <c r="D239" s="174">
        <v>7</v>
      </c>
      <c r="E239" s="168">
        <f t="shared" si="36"/>
        <v>217</v>
      </c>
      <c r="F239" s="286">
        <f t="shared" si="37"/>
        <v>32.44</v>
      </c>
      <c r="G239" s="175">
        <f t="shared" si="35"/>
        <v>32.041999999999994</v>
      </c>
      <c r="H239" s="175" t="str">
        <f t="shared" si="39"/>
        <v>IN</v>
      </c>
      <c r="I239" s="177">
        <f t="shared" si="34"/>
        <v>7093.1840000000011</v>
      </c>
      <c r="J239" s="177">
        <f t="shared" si="32"/>
        <v>4524.3859999999986</v>
      </c>
      <c r="K239" s="235">
        <f t="shared" si="33"/>
        <v>234.76426233155087</v>
      </c>
      <c r="L239" s="566"/>
      <c r="M239" s="566"/>
      <c r="N239" s="11"/>
    </row>
    <row r="240" spans="2:14" ht="15" customHeight="1">
      <c r="B240" s="173">
        <f t="shared" si="38"/>
        <v>217</v>
      </c>
      <c r="C240" s="173"/>
      <c r="D240" s="174">
        <v>7</v>
      </c>
      <c r="E240" s="168">
        <f t="shared" si="36"/>
        <v>218</v>
      </c>
      <c r="F240" s="286">
        <f t="shared" si="37"/>
        <v>33.11</v>
      </c>
      <c r="G240" s="175">
        <f t="shared" si="35"/>
        <v>32.711999999999996</v>
      </c>
      <c r="H240" s="175" t="str">
        <f t="shared" si="39"/>
        <v>IN</v>
      </c>
      <c r="I240" s="177">
        <f t="shared" si="34"/>
        <v>7125.8960000000015</v>
      </c>
      <c r="J240" s="177">
        <f t="shared" si="32"/>
        <v>4491.6739999999982</v>
      </c>
      <c r="K240" s="235">
        <f t="shared" si="33"/>
        <v>235.45493785179528</v>
      </c>
      <c r="L240" s="566"/>
      <c r="M240" s="566"/>
      <c r="N240" s="11"/>
    </row>
    <row r="241" spans="2:14" ht="15" customHeight="1">
      <c r="B241" s="173">
        <f t="shared" si="38"/>
        <v>218</v>
      </c>
      <c r="C241" s="173"/>
      <c r="D241" s="174">
        <v>7</v>
      </c>
      <c r="E241" s="168">
        <f t="shared" si="36"/>
        <v>219</v>
      </c>
      <c r="F241" s="286">
        <f t="shared" si="37"/>
        <v>32.590000000000003</v>
      </c>
      <c r="G241" s="175">
        <f t="shared" si="35"/>
        <v>32.192</v>
      </c>
      <c r="H241" s="175" t="str">
        <f t="shared" si="39"/>
        <v>IN</v>
      </c>
      <c r="I241" s="177">
        <f t="shared" si="34"/>
        <v>7158.0880000000016</v>
      </c>
      <c r="J241" s="177">
        <f t="shared" si="32"/>
        <v>4459.4819999999982</v>
      </c>
      <c r="K241" s="235">
        <f t="shared" si="33"/>
        <v>236.13463418181823</v>
      </c>
      <c r="L241" s="566"/>
      <c r="M241" s="566"/>
      <c r="N241" s="11"/>
    </row>
    <row r="242" spans="2:14" ht="15" customHeight="1">
      <c r="B242" s="173">
        <f t="shared" si="38"/>
        <v>219</v>
      </c>
      <c r="C242" s="173"/>
      <c r="D242" s="174">
        <v>7</v>
      </c>
      <c r="E242" s="168">
        <f t="shared" si="36"/>
        <v>220</v>
      </c>
      <c r="F242" s="286">
        <f t="shared" si="37"/>
        <v>32.72</v>
      </c>
      <c r="G242" s="175">
        <f t="shared" si="35"/>
        <v>32.321999999999996</v>
      </c>
      <c r="H242" s="175" t="str">
        <f t="shared" si="39"/>
        <v>IN</v>
      </c>
      <c r="I242" s="177">
        <f t="shared" si="34"/>
        <v>7190.4100000000017</v>
      </c>
      <c r="J242" s="177">
        <f t="shared" si="32"/>
        <v>4427.159999999998</v>
      </c>
      <c r="K242" s="235">
        <f t="shared" si="33"/>
        <v>236.81707530939653</v>
      </c>
      <c r="L242" s="566"/>
      <c r="M242" s="566"/>
      <c r="N242" s="11"/>
    </row>
    <row r="243" spans="2:14" ht="15" customHeight="1">
      <c r="B243" s="173">
        <f t="shared" si="38"/>
        <v>220</v>
      </c>
      <c r="C243" s="173"/>
      <c r="D243" s="174">
        <v>7</v>
      </c>
      <c r="E243" s="168">
        <f t="shared" si="36"/>
        <v>221</v>
      </c>
      <c r="F243" s="286">
        <f t="shared" si="37"/>
        <v>32.25</v>
      </c>
      <c r="G243" s="175">
        <f t="shared" si="35"/>
        <v>31.852</v>
      </c>
      <c r="H243" s="175" t="str">
        <f t="shared" si="39"/>
        <v>IN</v>
      </c>
      <c r="I243" s="177">
        <f t="shared" si="34"/>
        <v>7222.2620000000015</v>
      </c>
      <c r="J243" s="177">
        <f t="shared" si="32"/>
        <v>4395.3079999999982</v>
      </c>
      <c r="K243" s="235">
        <f t="shared" si="33"/>
        <v>237.48959293812075</v>
      </c>
      <c r="L243" s="566"/>
      <c r="M243" s="566"/>
      <c r="N243" s="11"/>
    </row>
    <row r="244" spans="2:14" ht="15" customHeight="1">
      <c r="B244" s="173">
        <f t="shared" si="38"/>
        <v>221</v>
      </c>
      <c r="C244" s="173"/>
      <c r="D244" s="174">
        <v>7</v>
      </c>
      <c r="E244" s="168">
        <f t="shared" si="36"/>
        <v>222</v>
      </c>
      <c r="F244" s="286">
        <f t="shared" si="37"/>
        <v>32.68</v>
      </c>
      <c r="G244" s="175">
        <f t="shared" si="35"/>
        <v>32.281999999999996</v>
      </c>
      <c r="H244" s="175" t="str">
        <f t="shared" si="39"/>
        <v>IN</v>
      </c>
      <c r="I244" s="177">
        <f t="shared" si="34"/>
        <v>7254.5440000000017</v>
      </c>
      <c r="J244" s="177">
        <f t="shared" si="32"/>
        <v>4363.025999999998</v>
      </c>
      <c r="K244" s="235">
        <f t="shared" si="33"/>
        <v>238.17118951260508</v>
      </c>
      <c r="L244" s="566"/>
      <c r="M244" s="566"/>
      <c r="N244" s="11"/>
    </row>
    <row r="245" spans="2:14" ht="15" customHeight="1">
      <c r="B245" s="173">
        <f t="shared" si="38"/>
        <v>222</v>
      </c>
      <c r="C245" s="173"/>
      <c r="D245" s="174">
        <v>7</v>
      </c>
      <c r="E245" s="168">
        <f t="shared" si="36"/>
        <v>223</v>
      </c>
      <c r="F245" s="286">
        <f t="shared" si="37"/>
        <v>32.86</v>
      </c>
      <c r="G245" s="175">
        <f t="shared" si="35"/>
        <v>32.461999999999996</v>
      </c>
      <c r="H245" s="175" t="str">
        <f t="shared" si="39"/>
        <v>IN</v>
      </c>
      <c r="I245" s="177">
        <f t="shared" si="34"/>
        <v>7287.0060000000021</v>
      </c>
      <c r="J245" s="177">
        <f t="shared" si="32"/>
        <v>4330.5639999999976</v>
      </c>
      <c r="K245" s="235">
        <f t="shared" si="33"/>
        <v>238.85658657601226</v>
      </c>
      <c r="L245" s="566"/>
      <c r="M245" s="566"/>
      <c r="N245" s="11"/>
    </row>
    <row r="246" spans="2:14" ht="15" customHeight="1">
      <c r="B246" s="173">
        <f t="shared" si="38"/>
        <v>223</v>
      </c>
      <c r="C246" s="173"/>
      <c r="D246" s="174">
        <v>7</v>
      </c>
      <c r="E246" s="168">
        <f t="shared" si="36"/>
        <v>224</v>
      </c>
      <c r="F246" s="286">
        <f t="shared" si="37"/>
        <v>32.58</v>
      </c>
      <c r="G246" s="175">
        <f t="shared" si="35"/>
        <v>32.181999999999995</v>
      </c>
      <c r="H246" s="175" t="str">
        <f t="shared" si="39"/>
        <v>IN</v>
      </c>
      <c r="I246" s="177">
        <f t="shared" si="34"/>
        <v>7319.1880000000019</v>
      </c>
      <c r="J246" s="177">
        <f t="shared" si="32"/>
        <v>4298.3819999999978</v>
      </c>
      <c r="K246" s="235">
        <f t="shared" si="33"/>
        <v>239.53607176776168</v>
      </c>
      <c r="L246" s="566"/>
      <c r="M246" s="566"/>
      <c r="N246" s="11"/>
    </row>
    <row r="247" spans="2:14" ht="15" customHeight="1">
      <c r="B247" s="173">
        <f t="shared" si="38"/>
        <v>224</v>
      </c>
      <c r="C247" s="173"/>
      <c r="D247" s="174">
        <v>7</v>
      </c>
      <c r="E247" s="168">
        <f t="shared" si="36"/>
        <v>225</v>
      </c>
      <c r="F247" s="286">
        <f t="shared" si="37"/>
        <v>33.29</v>
      </c>
      <c r="G247" s="175">
        <f t="shared" si="35"/>
        <v>32.891999999999996</v>
      </c>
      <c r="H247" s="175" t="str">
        <f t="shared" si="39"/>
        <v>IN</v>
      </c>
      <c r="I247" s="177">
        <f t="shared" si="34"/>
        <v>7352.0800000000017</v>
      </c>
      <c r="J247" s="177">
        <f t="shared" si="32"/>
        <v>4265.489999999998</v>
      </c>
      <c r="K247" s="235">
        <f t="shared" si="33"/>
        <v>240.23054777692897</v>
      </c>
      <c r="L247" s="566"/>
      <c r="M247" s="566"/>
      <c r="N247" s="11"/>
    </row>
    <row r="248" spans="2:14" ht="15" customHeight="1">
      <c r="B248" s="173">
        <f t="shared" si="38"/>
        <v>225</v>
      </c>
      <c r="C248" s="173"/>
      <c r="D248" s="174">
        <v>7</v>
      </c>
      <c r="E248" s="168">
        <f t="shared" si="36"/>
        <v>226</v>
      </c>
      <c r="F248" s="286">
        <f t="shared" si="37"/>
        <v>33.04</v>
      </c>
      <c r="G248" s="175">
        <f t="shared" si="35"/>
        <v>32.641999999999996</v>
      </c>
      <c r="H248" s="175" t="str">
        <f t="shared" si="39"/>
        <v>IN</v>
      </c>
      <c r="I248" s="177">
        <f t="shared" si="34"/>
        <v>7384.7220000000016</v>
      </c>
      <c r="J248" s="177">
        <f t="shared" si="32"/>
        <v>4232.8479999999981</v>
      </c>
      <c r="K248" s="235">
        <f t="shared" si="33"/>
        <v>240.91974532925903</v>
      </c>
      <c r="L248" s="566"/>
      <c r="M248" s="566"/>
      <c r="N248" s="11"/>
    </row>
    <row r="249" spans="2:14" ht="15" customHeight="1">
      <c r="B249" s="173">
        <f t="shared" si="38"/>
        <v>226</v>
      </c>
      <c r="C249" s="173"/>
      <c r="D249" s="174">
        <v>7</v>
      </c>
      <c r="E249" s="168">
        <f t="shared" si="36"/>
        <v>227</v>
      </c>
      <c r="F249" s="286">
        <f t="shared" si="37"/>
        <v>33.11</v>
      </c>
      <c r="G249" s="175">
        <f t="shared" si="35"/>
        <v>32.711999999999996</v>
      </c>
      <c r="H249" s="175" t="str">
        <f t="shared" si="39"/>
        <v>IN</v>
      </c>
      <c r="I249" s="177">
        <f t="shared" si="34"/>
        <v>7417.434000000002</v>
      </c>
      <c r="J249" s="177">
        <f t="shared" si="32"/>
        <v>4200.1359999999977</v>
      </c>
      <c r="K249" s="235">
        <f t="shared" si="33"/>
        <v>241.61042084950347</v>
      </c>
      <c r="L249" s="566"/>
      <c r="M249" s="566"/>
      <c r="N249" s="11"/>
    </row>
    <row r="250" spans="2:14" ht="15" customHeight="1">
      <c r="B250" s="173">
        <f t="shared" si="38"/>
        <v>227</v>
      </c>
      <c r="C250" s="173"/>
      <c r="D250" s="174">
        <v>7</v>
      </c>
      <c r="E250" s="168">
        <f t="shared" si="36"/>
        <v>228</v>
      </c>
      <c r="F250" s="286">
        <f t="shared" si="37"/>
        <v>32.76</v>
      </c>
      <c r="G250" s="175">
        <f t="shared" si="35"/>
        <v>32.361999999999995</v>
      </c>
      <c r="H250" s="175" t="str">
        <f t="shared" si="39"/>
        <v>IN</v>
      </c>
      <c r="I250" s="177">
        <f t="shared" si="34"/>
        <v>7449.7960000000021</v>
      </c>
      <c r="J250" s="177">
        <f t="shared" si="32"/>
        <v>4167.7739999999976</v>
      </c>
      <c r="K250" s="235">
        <f t="shared" si="33"/>
        <v>242.29370653017574</v>
      </c>
      <c r="L250" s="566"/>
      <c r="M250" s="566"/>
      <c r="N250" s="11"/>
    </row>
    <row r="251" spans="2:14" ht="15" customHeight="1">
      <c r="B251" s="173">
        <f t="shared" si="38"/>
        <v>228</v>
      </c>
      <c r="C251" s="173"/>
      <c r="D251" s="174">
        <v>7</v>
      </c>
      <c r="E251" s="168">
        <f t="shared" si="36"/>
        <v>229</v>
      </c>
      <c r="F251" s="286">
        <f t="shared" si="37"/>
        <v>33.32</v>
      </c>
      <c r="G251" s="175">
        <f t="shared" si="35"/>
        <v>32.921999999999997</v>
      </c>
      <c r="H251" s="175" t="str">
        <f t="shared" si="39"/>
        <v>IN</v>
      </c>
      <c r="I251" s="177">
        <f t="shared" si="34"/>
        <v>7482.7180000000017</v>
      </c>
      <c r="J251" s="177">
        <f t="shared" si="32"/>
        <v>4134.851999999998</v>
      </c>
      <c r="K251" s="235">
        <f t="shared" si="33"/>
        <v>242.98881595416353</v>
      </c>
      <c r="L251" s="566"/>
      <c r="M251" s="566"/>
      <c r="N251" s="11"/>
    </row>
    <row r="252" spans="2:14" ht="15" customHeight="1">
      <c r="B252" s="173">
        <f t="shared" si="38"/>
        <v>229</v>
      </c>
      <c r="C252" s="173"/>
      <c r="D252" s="174">
        <v>7</v>
      </c>
      <c r="E252" s="168">
        <f t="shared" si="36"/>
        <v>230</v>
      </c>
      <c r="F252" s="286">
        <f t="shared" si="37"/>
        <v>33.090000000000003</v>
      </c>
      <c r="G252" s="175">
        <f t="shared" si="35"/>
        <v>32.692</v>
      </c>
      <c r="H252" s="175" t="str">
        <f t="shared" si="39"/>
        <v>IN</v>
      </c>
      <c r="I252" s="177">
        <f t="shared" si="34"/>
        <v>7515.4100000000017</v>
      </c>
      <c r="J252" s="177">
        <f t="shared" si="32"/>
        <v>4102.159999999998</v>
      </c>
      <c r="K252" s="235">
        <f t="shared" si="33"/>
        <v>243.679069197861</v>
      </c>
      <c r="L252" s="566"/>
      <c r="M252" s="566"/>
      <c r="N252" s="11"/>
    </row>
    <row r="253" spans="2:14" ht="15" customHeight="1">
      <c r="B253" s="173">
        <f t="shared" si="38"/>
        <v>230</v>
      </c>
      <c r="C253" s="173"/>
      <c r="D253" s="174">
        <v>7</v>
      </c>
      <c r="E253" s="168">
        <f t="shared" si="36"/>
        <v>231</v>
      </c>
      <c r="F253" s="286">
        <f t="shared" si="37"/>
        <v>33.08</v>
      </c>
      <c r="G253" s="175">
        <f t="shared" si="35"/>
        <v>32.681999999999995</v>
      </c>
      <c r="H253" s="175" t="str">
        <f t="shared" si="39"/>
        <v>IN</v>
      </c>
      <c r="I253" s="177">
        <f t="shared" si="34"/>
        <v>7548.0920000000015</v>
      </c>
      <c r="J253" s="177">
        <f t="shared" si="32"/>
        <v>4069.4779999999982</v>
      </c>
      <c r="K253" s="235">
        <f t="shared" si="33"/>
        <v>244.369111303285</v>
      </c>
      <c r="L253" s="566"/>
      <c r="M253" s="566"/>
      <c r="N253" s="11"/>
    </row>
    <row r="254" spans="2:14" ht="15" customHeight="1">
      <c r="B254" s="173">
        <f t="shared" si="38"/>
        <v>231</v>
      </c>
      <c r="C254" s="173"/>
      <c r="D254" s="174">
        <v>7</v>
      </c>
      <c r="E254" s="168">
        <f t="shared" si="36"/>
        <v>232</v>
      </c>
      <c r="F254" s="286">
        <f t="shared" si="37"/>
        <v>33.340000000000003</v>
      </c>
      <c r="G254" s="175">
        <f t="shared" si="35"/>
        <v>32.942</v>
      </c>
      <c r="H254" s="175" t="str">
        <f t="shared" si="39"/>
        <v>IN</v>
      </c>
      <c r="I254" s="177">
        <f t="shared" si="34"/>
        <v>7581.0340000000015</v>
      </c>
      <c r="J254" s="177">
        <f t="shared" si="32"/>
        <v>4036.5359999999982</v>
      </c>
      <c r="K254" s="235">
        <f t="shared" si="33"/>
        <v>245.06464300381978</v>
      </c>
      <c r="L254" s="566"/>
      <c r="M254" s="566"/>
      <c r="N254" s="11"/>
    </row>
    <row r="255" spans="2:14" ht="15" customHeight="1">
      <c r="B255" s="173">
        <f t="shared" si="38"/>
        <v>232</v>
      </c>
      <c r="C255" s="173"/>
      <c r="D255" s="174">
        <v>7</v>
      </c>
      <c r="E255" s="168">
        <f t="shared" si="36"/>
        <v>233</v>
      </c>
      <c r="F255" s="286">
        <f t="shared" si="37"/>
        <v>32.57</v>
      </c>
      <c r="G255" s="175">
        <f t="shared" si="35"/>
        <v>32.171999999999997</v>
      </c>
      <c r="H255" s="175" t="str">
        <f t="shared" si="39"/>
        <v>IN</v>
      </c>
      <c r="I255" s="177">
        <f t="shared" si="34"/>
        <v>7613.206000000001</v>
      </c>
      <c r="J255" s="177">
        <f t="shared" si="32"/>
        <v>4004.3639999999987</v>
      </c>
      <c r="K255" s="235">
        <f t="shared" si="33"/>
        <v>245.74391705729568</v>
      </c>
      <c r="L255" s="566"/>
      <c r="M255" s="566"/>
      <c r="N255" s="11"/>
    </row>
    <row r="256" spans="2:14" ht="15" customHeight="1">
      <c r="B256" s="173">
        <f t="shared" si="38"/>
        <v>233</v>
      </c>
      <c r="C256" s="173"/>
      <c r="D256" s="174">
        <v>7</v>
      </c>
      <c r="E256" s="168">
        <f t="shared" si="36"/>
        <v>234</v>
      </c>
      <c r="F256" s="286">
        <f t="shared" si="37"/>
        <v>33.24</v>
      </c>
      <c r="G256" s="175">
        <f t="shared" si="35"/>
        <v>32.841999999999999</v>
      </c>
      <c r="H256" s="175" t="str">
        <f t="shared" si="39"/>
        <v>IN</v>
      </c>
      <c r="I256" s="177">
        <f t="shared" si="34"/>
        <v>7646.0480000000007</v>
      </c>
      <c r="J256" s="177">
        <f t="shared" si="32"/>
        <v>3971.521999999999</v>
      </c>
      <c r="K256" s="235">
        <f t="shared" si="33"/>
        <v>246.43733737509552</v>
      </c>
      <c r="L256" s="566"/>
      <c r="M256" s="566"/>
      <c r="N256" s="11"/>
    </row>
    <row r="257" spans="2:14" ht="15" customHeight="1">
      <c r="B257" s="173">
        <f t="shared" si="38"/>
        <v>234</v>
      </c>
      <c r="C257" s="173"/>
      <c r="D257" s="174">
        <v>7</v>
      </c>
      <c r="E257" s="168">
        <f t="shared" si="36"/>
        <v>235</v>
      </c>
      <c r="F257" s="286">
        <f t="shared" si="37"/>
        <v>33.31</v>
      </c>
      <c r="G257" s="175">
        <f t="shared" si="35"/>
        <v>32.911999999999999</v>
      </c>
      <c r="H257" s="175" t="str">
        <f t="shared" si="39"/>
        <v>IN</v>
      </c>
      <c r="I257" s="177">
        <f t="shared" si="34"/>
        <v>7678.9600000000009</v>
      </c>
      <c r="J257" s="177">
        <f t="shared" si="32"/>
        <v>3938.6099999999988</v>
      </c>
      <c r="K257" s="235">
        <f t="shared" si="33"/>
        <v>247.13223566080978</v>
      </c>
      <c r="L257" s="566"/>
      <c r="M257" s="566"/>
      <c r="N257" s="11"/>
    </row>
    <row r="258" spans="2:14" ht="15" customHeight="1">
      <c r="B258" s="173">
        <f t="shared" si="38"/>
        <v>235</v>
      </c>
      <c r="C258" s="173"/>
      <c r="D258" s="174">
        <v>7</v>
      </c>
      <c r="E258" s="168">
        <f t="shared" si="36"/>
        <v>236</v>
      </c>
      <c r="F258" s="286">
        <f t="shared" si="37"/>
        <v>33.380000000000003</v>
      </c>
      <c r="G258" s="175">
        <f t="shared" si="35"/>
        <v>32.981999999999999</v>
      </c>
      <c r="H258" s="175" t="str">
        <f t="shared" si="39"/>
        <v>IN</v>
      </c>
      <c r="I258" s="177">
        <f t="shared" si="34"/>
        <v>7711.9420000000009</v>
      </c>
      <c r="J258" s="177">
        <f t="shared" si="32"/>
        <v>3905.6279999999988</v>
      </c>
      <c r="K258" s="235">
        <f t="shared" si="33"/>
        <v>247.82861191443854</v>
      </c>
      <c r="L258" s="566"/>
      <c r="M258" s="566"/>
      <c r="N258" s="11"/>
    </row>
    <row r="259" spans="2:14" ht="15" customHeight="1">
      <c r="B259" s="173">
        <f t="shared" si="38"/>
        <v>236</v>
      </c>
      <c r="C259" s="173"/>
      <c r="D259" s="174">
        <v>7</v>
      </c>
      <c r="E259" s="168">
        <f t="shared" si="36"/>
        <v>237</v>
      </c>
      <c r="F259" s="286">
        <f t="shared" si="37"/>
        <v>33.01</v>
      </c>
      <c r="G259" s="175">
        <f t="shared" si="35"/>
        <v>32.611999999999995</v>
      </c>
      <c r="H259" s="175" t="str">
        <f t="shared" si="39"/>
        <v>IN</v>
      </c>
      <c r="I259" s="175">
        <f t="shared" si="34"/>
        <v>7744.554000000001</v>
      </c>
      <c r="J259" s="175">
        <f t="shared" si="32"/>
        <v>3873.0159999999987</v>
      </c>
      <c r="K259" s="262">
        <f t="shared" si="33"/>
        <v>248.5171760519481</v>
      </c>
      <c r="L259" s="567"/>
      <c r="M259" s="567"/>
      <c r="N259" s="11"/>
    </row>
    <row r="260" spans="2:14" ht="15" customHeight="1">
      <c r="B260" s="173">
        <f t="shared" si="38"/>
        <v>237</v>
      </c>
      <c r="C260" s="173"/>
      <c r="D260" s="174">
        <v>7</v>
      </c>
      <c r="E260" s="168">
        <f t="shared" si="36"/>
        <v>238</v>
      </c>
      <c r="F260" s="286">
        <f t="shared" si="37"/>
        <v>33.17</v>
      </c>
      <c r="G260" s="175">
        <f t="shared" si="35"/>
        <v>32.771999999999998</v>
      </c>
      <c r="H260" s="175" t="str">
        <f t="shared" si="39"/>
        <v>IN</v>
      </c>
      <c r="I260" s="177">
        <f t="shared" si="34"/>
        <v>7777.3260000000009</v>
      </c>
      <c r="J260" s="177">
        <f t="shared" si="32"/>
        <v>3840.2439999999988</v>
      </c>
      <c r="K260" s="235">
        <f t="shared" si="33"/>
        <v>249.20911840183348</v>
      </c>
      <c r="L260" s="566"/>
      <c r="M260" s="566"/>
      <c r="N260" s="11"/>
    </row>
    <row r="261" spans="2:14" ht="15" customHeight="1">
      <c r="B261" s="173">
        <f t="shared" si="38"/>
        <v>238</v>
      </c>
      <c r="C261" s="173"/>
      <c r="D261" s="174">
        <v>7</v>
      </c>
      <c r="E261" s="168">
        <f t="shared" si="36"/>
        <v>239</v>
      </c>
      <c r="F261" s="286">
        <f t="shared" si="37"/>
        <v>33.18</v>
      </c>
      <c r="G261" s="175">
        <f t="shared" si="35"/>
        <v>32.781999999999996</v>
      </c>
      <c r="H261" s="175" t="str">
        <f t="shared" si="39"/>
        <v>IN</v>
      </c>
      <c r="I261" s="177">
        <f t="shared" si="34"/>
        <v>7810.1080000000011</v>
      </c>
      <c r="J261" s="177">
        <f t="shared" si="32"/>
        <v>3807.4619999999986</v>
      </c>
      <c r="K261" s="235">
        <f t="shared" si="33"/>
        <v>249.90127188999239</v>
      </c>
      <c r="L261" s="566"/>
      <c r="M261" s="566"/>
      <c r="N261" s="11"/>
    </row>
    <row r="262" spans="2:14" ht="15" customHeight="1">
      <c r="B262" s="173">
        <f t="shared" si="38"/>
        <v>239</v>
      </c>
      <c r="C262" s="173"/>
      <c r="D262" s="174">
        <v>7</v>
      </c>
      <c r="E262" s="168">
        <f t="shared" si="36"/>
        <v>240</v>
      </c>
      <c r="F262" s="286">
        <f t="shared" si="37"/>
        <v>33.380000000000003</v>
      </c>
      <c r="G262" s="175">
        <f t="shared" si="35"/>
        <v>32.981999999999999</v>
      </c>
      <c r="H262" s="175" t="str">
        <f t="shared" si="39"/>
        <v>IN</v>
      </c>
      <c r="I262" s="177">
        <f t="shared" si="34"/>
        <v>7843.0900000000011</v>
      </c>
      <c r="J262" s="177">
        <f t="shared" si="32"/>
        <v>3774.4799999999987</v>
      </c>
      <c r="K262" s="235">
        <f t="shared" si="33"/>
        <v>250.59764814362111</v>
      </c>
      <c r="L262" s="566"/>
      <c r="M262" s="566"/>
      <c r="N262" s="11"/>
    </row>
    <row r="263" spans="2:14" ht="15" customHeight="1">
      <c r="B263" s="173">
        <f t="shared" si="38"/>
        <v>240</v>
      </c>
      <c r="C263" s="173"/>
      <c r="D263" s="174">
        <v>7</v>
      </c>
      <c r="E263" s="168">
        <f t="shared" si="36"/>
        <v>241</v>
      </c>
      <c r="F263" s="286">
        <f t="shared" si="37"/>
        <v>33.07</v>
      </c>
      <c r="G263" s="175">
        <f t="shared" si="35"/>
        <v>32.671999999999997</v>
      </c>
      <c r="H263" s="175" t="str">
        <f t="shared" si="39"/>
        <v>IN</v>
      </c>
      <c r="I263" s="177">
        <f t="shared" si="34"/>
        <v>7875.7620000000006</v>
      </c>
      <c r="J263" s="177">
        <f t="shared" si="32"/>
        <v>3741.8079999999991</v>
      </c>
      <c r="K263" s="235">
        <f t="shared" si="33"/>
        <v>251.28747911077159</v>
      </c>
      <c r="L263" s="566"/>
      <c r="M263" s="566"/>
      <c r="N263" s="11"/>
    </row>
    <row r="264" spans="2:14" ht="15" customHeight="1">
      <c r="B264" s="173">
        <f t="shared" si="38"/>
        <v>241</v>
      </c>
      <c r="C264" s="173"/>
      <c r="D264" s="174">
        <v>7</v>
      </c>
      <c r="E264" s="168">
        <f t="shared" si="36"/>
        <v>242</v>
      </c>
      <c r="F264" s="286">
        <f t="shared" si="37"/>
        <v>32.869999999999997</v>
      </c>
      <c r="G264" s="175">
        <f t="shared" si="35"/>
        <v>32.471999999999994</v>
      </c>
      <c r="H264" s="175" t="str">
        <f t="shared" si="39"/>
        <v>IN</v>
      </c>
      <c r="I264" s="177">
        <f t="shared" si="34"/>
        <v>7908.2340000000004</v>
      </c>
      <c r="J264" s="177">
        <f t="shared" si="32"/>
        <v>3709.3359999999993</v>
      </c>
      <c r="K264" s="235">
        <f t="shared" si="33"/>
        <v>251.97308731245226</v>
      </c>
      <c r="L264" s="569"/>
      <c r="M264" s="570"/>
      <c r="N264" s="11"/>
    </row>
    <row r="265" spans="2:14" ht="15" customHeight="1">
      <c r="B265" s="173">
        <f t="shared" si="38"/>
        <v>242</v>
      </c>
      <c r="C265" s="173"/>
      <c r="D265" s="174">
        <v>7</v>
      </c>
      <c r="E265" s="168">
        <f t="shared" si="36"/>
        <v>243</v>
      </c>
      <c r="F265" s="286">
        <f t="shared" si="37"/>
        <v>33.18</v>
      </c>
      <c r="G265" s="175">
        <f t="shared" si="35"/>
        <v>32.781999999999996</v>
      </c>
      <c r="H265" s="175" t="str">
        <f t="shared" si="39"/>
        <v>IN</v>
      </c>
      <c r="I265" s="177">
        <f t="shared" si="34"/>
        <v>7941.0160000000005</v>
      </c>
      <c r="J265" s="177">
        <f t="shared" si="32"/>
        <v>3676.5539999999992</v>
      </c>
      <c r="K265" s="235">
        <f t="shared" si="33"/>
        <v>252.66524080061117</v>
      </c>
      <c r="L265" s="569"/>
      <c r="M265" s="570"/>
      <c r="N265" s="11"/>
    </row>
    <row r="266" spans="2:14" ht="15" customHeight="1">
      <c r="B266" s="173">
        <f t="shared" si="38"/>
        <v>243</v>
      </c>
      <c r="C266" s="173"/>
      <c r="D266" s="174">
        <v>7</v>
      </c>
      <c r="E266" s="168">
        <f t="shared" si="36"/>
        <v>244</v>
      </c>
      <c r="F266" s="286">
        <f t="shared" si="37"/>
        <v>32.86</v>
      </c>
      <c r="G266" s="175">
        <f t="shared" si="35"/>
        <v>32.461999999999996</v>
      </c>
      <c r="H266" s="175" t="str">
        <f t="shared" si="39"/>
        <v>IN</v>
      </c>
      <c r="I266" s="177">
        <f t="shared" si="34"/>
        <v>7973.478000000001</v>
      </c>
      <c r="J266" s="177">
        <f t="shared" si="32"/>
        <v>3644.0919999999987</v>
      </c>
      <c r="K266" s="235">
        <f t="shared" si="33"/>
        <v>253.35063786401835</v>
      </c>
      <c r="L266" s="569"/>
      <c r="M266" s="570"/>
      <c r="N266" s="11"/>
    </row>
    <row r="267" spans="2:14" ht="15" customHeight="1">
      <c r="B267" s="173">
        <f t="shared" si="38"/>
        <v>244</v>
      </c>
      <c r="C267" s="173"/>
      <c r="D267" s="174">
        <v>7</v>
      </c>
      <c r="E267" s="168">
        <f t="shared" si="36"/>
        <v>245</v>
      </c>
      <c r="F267" s="286">
        <f t="shared" si="37"/>
        <v>32.9</v>
      </c>
      <c r="G267" s="175">
        <f t="shared" si="35"/>
        <v>32.501999999999995</v>
      </c>
      <c r="H267" s="175" t="str">
        <f t="shared" si="39"/>
        <v>IN</v>
      </c>
      <c r="I267" s="177">
        <f t="shared" si="34"/>
        <v>8005.9800000000014</v>
      </c>
      <c r="J267" s="177">
        <f t="shared" si="32"/>
        <v>3611.5899999999983</v>
      </c>
      <c r="K267" s="235">
        <f t="shared" si="33"/>
        <v>254.03687948051953</v>
      </c>
      <c r="L267" s="569"/>
      <c r="M267" s="570"/>
      <c r="N267" s="11"/>
    </row>
    <row r="268" spans="2:14" ht="15" customHeight="1">
      <c r="B268" s="173">
        <f t="shared" si="38"/>
        <v>245</v>
      </c>
      <c r="C268" s="173"/>
      <c r="D268" s="174">
        <v>7</v>
      </c>
      <c r="E268" s="168">
        <f t="shared" si="36"/>
        <v>246</v>
      </c>
      <c r="F268" s="286">
        <f t="shared" si="37"/>
        <v>32.659999999999997</v>
      </c>
      <c r="G268" s="175">
        <f t="shared" si="35"/>
        <v>32.261999999999993</v>
      </c>
      <c r="H268" s="175" t="str">
        <f t="shared" si="39"/>
        <v>IN</v>
      </c>
      <c r="I268" s="177">
        <f t="shared" si="34"/>
        <v>8038.2420000000011</v>
      </c>
      <c r="J268" s="177">
        <f t="shared" si="32"/>
        <v>3579.3279999999986</v>
      </c>
      <c r="K268" s="235">
        <f t="shared" si="33"/>
        <v>254.71805377845686</v>
      </c>
      <c r="L268" s="569"/>
      <c r="M268" s="570"/>
      <c r="N268" s="11"/>
    </row>
    <row r="269" spans="2:14" ht="15" customHeight="1">
      <c r="B269" s="173">
        <f t="shared" si="38"/>
        <v>246</v>
      </c>
      <c r="C269" s="173"/>
      <c r="D269" s="174">
        <v>7</v>
      </c>
      <c r="E269" s="168">
        <f t="shared" si="36"/>
        <v>247</v>
      </c>
      <c r="F269" s="286">
        <f t="shared" si="37"/>
        <v>32.92</v>
      </c>
      <c r="G269" s="175">
        <f t="shared" si="35"/>
        <v>32.521999999999998</v>
      </c>
      <c r="H269" s="175" t="str">
        <f t="shared" ref="H269:H300" si="40">IF(F269="","OUT","IN")</f>
        <v>IN</v>
      </c>
      <c r="I269" s="177">
        <f t="shared" si="34"/>
        <v>8070.764000000001</v>
      </c>
      <c r="J269" s="177">
        <f t="shared" si="32"/>
        <v>3546.8059999999987</v>
      </c>
      <c r="K269" s="235">
        <f t="shared" si="33"/>
        <v>255.40471767150501</v>
      </c>
      <c r="L269" s="569"/>
      <c r="M269" s="570"/>
      <c r="N269" s="11"/>
    </row>
    <row r="270" spans="2:14" ht="15" customHeight="1">
      <c r="B270" s="173">
        <f t="shared" si="38"/>
        <v>247</v>
      </c>
      <c r="C270" s="173"/>
      <c r="D270" s="174">
        <v>7</v>
      </c>
      <c r="E270" s="168">
        <f t="shared" si="36"/>
        <v>248</v>
      </c>
      <c r="F270" s="286">
        <f t="shared" si="37"/>
        <v>30.98</v>
      </c>
      <c r="G270" s="175">
        <f t="shared" si="35"/>
        <v>30.582000000000001</v>
      </c>
      <c r="H270" s="175" t="str">
        <f t="shared" si="40"/>
        <v>IN</v>
      </c>
      <c r="I270" s="177">
        <f t="shared" si="34"/>
        <v>8101.3460000000014</v>
      </c>
      <c r="J270" s="177">
        <f t="shared" si="32"/>
        <v>3516.2239999999983</v>
      </c>
      <c r="K270" s="235">
        <f t="shared" si="33"/>
        <v>256.05042073949585</v>
      </c>
      <c r="L270" s="569"/>
      <c r="M270" s="570"/>
      <c r="N270" s="11"/>
    </row>
    <row r="271" spans="2:14" ht="15" customHeight="1">
      <c r="B271" s="173">
        <f t="shared" si="38"/>
        <v>248</v>
      </c>
      <c r="C271" s="173"/>
      <c r="D271" s="174">
        <v>7</v>
      </c>
      <c r="E271" s="168">
        <f t="shared" si="36"/>
        <v>249</v>
      </c>
      <c r="F271" s="286">
        <f t="shared" si="37"/>
        <v>32.99</v>
      </c>
      <c r="G271" s="175">
        <f t="shared" si="35"/>
        <v>32.591999999999999</v>
      </c>
      <c r="H271" s="175" t="str">
        <f t="shared" si="40"/>
        <v>IN</v>
      </c>
      <c r="I271" s="177">
        <f t="shared" si="34"/>
        <v>8133.938000000001</v>
      </c>
      <c r="J271" s="177">
        <f t="shared" ref="J271:J334" si="41">IF(I271="","",$L$9-I271)</f>
        <v>3483.6319999999987</v>
      </c>
      <c r="K271" s="235">
        <f t="shared" ref="K271:K334" si="42">$H$9+(I271*$E$10*$H$11/1000)</f>
        <v>256.73856260045841</v>
      </c>
      <c r="L271" s="569"/>
      <c r="M271" s="570"/>
      <c r="N271" s="11"/>
    </row>
    <row r="272" spans="2:14" ht="15" customHeight="1">
      <c r="B272" s="173">
        <f t="shared" si="38"/>
        <v>249</v>
      </c>
      <c r="C272" s="173"/>
      <c r="D272" s="174">
        <v>7</v>
      </c>
      <c r="E272" s="168">
        <f t="shared" si="36"/>
        <v>250</v>
      </c>
      <c r="F272" s="286">
        <f t="shared" si="37"/>
        <v>33.07</v>
      </c>
      <c r="G272" s="175">
        <f t="shared" si="35"/>
        <v>32.671999999999997</v>
      </c>
      <c r="H272" s="175" t="str">
        <f t="shared" si="40"/>
        <v>IN</v>
      </c>
      <c r="I272" s="177">
        <f t="shared" ref="I272:I335" si="43">IF(H272="IN",I271+G272,I271)</f>
        <v>8166.6100000000006</v>
      </c>
      <c r="J272" s="177">
        <f t="shared" si="41"/>
        <v>3450.9599999999991</v>
      </c>
      <c r="K272" s="235">
        <f t="shared" si="42"/>
        <v>257.42839356760885</v>
      </c>
      <c r="L272" s="569"/>
      <c r="M272" s="570"/>
      <c r="N272" s="11"/>
    </row>
    <row r="273" spans="2:14" ht="15" customHeight="1">
      <c r="B273" s="173">
        <f t="shared" si="38"/>
        <v>250</v>
      </c>
      <c r="C273" s="173"/>
      <c r="D273" s="174">
        <v>7</v>
      </c>
      <c r="E273" s="168">
        <f t="shared" si="36"/>
        <v>251</v>
      </c>
      <c r="F273" s="286">
        <f t="shared" si="37"/>
        <v>31.29</v>
      </c>
      <c r="G273" s="175">
        <f t="shared" si="35"/>
        <v>30.891999999999999</v>
      </c>
      <c r="H273" s="175" t="str">
        <f t="shared" si="40"/>
        <v>IN</v>
      </c>
      <c r="I273" s="177">
        <f t="shared" si="43"/>
        <v>8197.5020000000004</v>
      </c>
      <c r="J273" s="177">
        <f t="shared" si="41"/>
        <v>3420.0679999999993</v>
      </c>
      <c r="K273" s="235">
        <f t="shared" si="42"/>
        <v>258.08064192207792</v>
      </c>
      <c r="L273" s="569"/>
      <c r="M273" s="570"/>
      <c r="N273" s="11"/>
    </row>
    <row r="274" spans="2:14" ht="15" customHeight="1">
      <c r="B274" s="173">
        <f t="shared" si="38"/>
        <v>251</v>
      </c>
      <c r="C274" s="173"/>
      <c r="D274" s="174">
        <v>7</v>
      </c>
      <c r="E274" s="168">
        <f t="shared" si="36"/>
        <v>252</v>
      </c>
      <c r="F274" s="286">
        <f t="shared" si="37"/>
        <v>33.44</v>
      </c>
      <c r="G274" s="175">
        <f t="shared" si="35"/>
        <v>33.041999999999994</v>
      </c>
      <c r="H274" s="175" t="str">
        <f t="shared" si="40"/>
        <v>IN</v>
      </c>
      <c r="I274" s="175">
        <f t="shared" si="43"/>
        <v>8230.5439999999999</v>
      </c>
      <c r="J274" s="175">
        <f t="shared" si="41"/>
        <v>3387.0259999999998</v>
      </c>
      <c r="K274" s="262">
        <f t="shared" si="42"/>
        <v>258.77828500534758</v>
      </c>
      <c r="L274" s="546"/>
      <c r="M274" s="547"/>
      <c r="N274" s="11"/>
    </row>
    <row r="275" spans="2:14" ht="15" customHeight="1">
      <c r="B275" s="173">
        <f t="shared" si="38"/>
        <v>252</v>
      </c>
      <c r="C275" s="173"/>
      <c r="D275" s="174">
        <v>7</v>
      </c>
      <c r="E275" s="168">
        <f t="shared" si="36"/>
        <v>253</v>
      </c>
      <c r="F275" s="286">
        <f t="shared" si="37"/>
        <v>32.68</v>
      </c>
      <c r="G275" s="175">
        <f t="shared" si="35"/>
        <v>32.281999999999996</v>
      </c>
      <c r="H275" s="175" t="str">
        <f t="shared" si="40"/>
        <v>IN</v>
      </c>
      <c r="I275" s="177">
        <f t="shared" si="43"/>
        <v>8262.8259999999991</v>
      </c>
      <c r="J275" s="177">
        <f t="shared" si="41"/>
        <v>3354.7440000000006</v>
      </c>
      <c r="K275" s="262">
        <f t="shared" si="42"/>
        <v>259.45988157983192</v>
      </c>
      <c r="L275" s="546"/>
      <c r="M275" s="547"/>
      <c r="N275" s="11"/>
    </row>
    <row r="276" spans="2:14" ht="15" customHeight="1">
      <c r="B276" s="173">
        <f t="shared" si="38"/>
        <v>253</v>
      </c>
      <c r="C276" s="173"/>
      <c r="D276" s="174">
        <v>7</v>
      </c>
      <c r="E276" s="168">
        <f t="shared" si="36"/>
        <v>254</v>
      </c>
      <c r="F276" s="286">
        <f t="shared" si="37"/>
        <v>33.17</v>
      </c>
      <c r="G276" s="175">
        <f t="shared" si="35"/>
        <v>32.771999999999998</v>
      </c>
      <c r="H276" s="175" t="str">
        <f t="shared" si="40"/>
        <v>IN</v>
      </c>
      <c r="I276" s="177">
        <f t="shared" si="43"/>
        <v>8295.598</v>
      </c>
      <c r="J276" s="177">
        <f t="shared" si="41"/>
        <v>3321.9719999999998</v>
      </c>
      <c r="K276" s="235">
        <f t="shared" si="42"/>
        <v>260.15182392971735</v>
      </c>
      <c r="L276" s="569"/>
      <c r="M276" s="570"/>
      <c r="N276" s="11"/>
    </row>
    <row r="277" spans="2:14" ht="15" customHeight="1">
      <c r="B277" s="173">
        <f t="shared" si="38"/>
        <v>254</v>
      </c>
      <c r="C277" s="173"/>
      <c r="D277" s="174">
        <v>7</v>
      </c>
      <c r="E277" s="168">
        <f t="shared" si="36"/>
        <v>255</v>
      </c>
      <c r="F277" s="286">
        <f t="shared" si="37"/>
        <v>33.07</v>
      </c>
      <c r="G277" s="175">
        <f t="shared" si="35"/>
        <v>32.671999999999997</v>
      </c>
      <c r="H277" s="175" t="str">
        <f t="shared" si="40"/>
        <v>IN</v>
      </c>
      <c r="I277" s="177">
        <f t="shared" si="43"/>
        <v>8328.27</v>
      </c>
      <c r="J277" s="177">
        <f t="shared" si="41"/>
        <v>3289.2999999999993</v>
      </c>
      <c r="K277" s="235">
        <f t="shared" si="42"/>
        <v>260.84165489686791</v>
      </c>
      <c r="L277" s="569"/>
      <c r="M277" s="570"/>
      <c r="N277" s="11"/>
    </row>
    <row r="278" spans="2:14" ht="15" customHeight="1">
      <c r="B278" s="173">
        <f t="shared" si="38"/>
        <v>255</v>
      </c>
      <c r="C278" s="173"/>
      <c r="D278" s="174">
        <v>7</v>
      </c>
      <c r="E278" s="168">
        <f t="shared" si="36"/>
        <v>256</v>
      </c>
      <c r="F278" s="286">
        <f t="shared" si="37"/>
        <v>33.229999999999997</v>
      </c>
      <c r="G278" s="175">
        <f t="shared" si="35"/>
        <v>32.831999999999994</v>
      </c>
      <c r="H278" s="175" t="str">
        <f t="shared" si="40"/>
        <v>IN</v>
      </c>
      <c r="I278" s="177">
        <f t="shared" si="43"/>
        <v>8361.1020000000008</v>
      </c>
      <c r="J278" s="177">
        <f t="shared" si="41"/>
        <v>3256.4679999999989</v>
      </c>
      <c r="K278" s="235">
        <f t="shared" si="42"/>
        <v>261.53486407639423</v>
      </c>
      <c r="L278" s="569"/>
      <c r="M278" s="570"/>
      <c r="N278" s="11"/>
    </row>
    <row r="279" spans="2:14" ht="15" customHeight="1">
      <c r="B279" s="173">
        <f t="shared" si="38"/>
        <v>256</v>
      </c>
      <c r="C279" s="173"/>
      <c r="D279" s="174">
        <v>7</v>
      </c>
      <c r="E279" s="168">
        <f t="shared" si="36"/>
        <v>257</v>
      </c>
      <c r="F279" s="286">
        <f t="shared" si="37"/>
        <v>33</v>
      </c>
      <c r="G279" s="175">
        <f t="shared" si="35"/>
        <v>32.601999999999997</v>
      </c>
      <c r="H279" s="175" t="str">
        <f t="shared" si="40"/>
        <v>IN</v>
      </c>
      <c r="I279" s="177">
        <f t="shared" si="43"/>
        <v>8393.7040000000015</v>
      </c>
      <c r="J279" s="177">
        <f t="shared" si="41"/>
        <v>3223.8659999999982</v>
      </c>
      <c r="K279" s="235">
        <f t="shared" si="42"/>
        <v>262.22321707563026</v>
      </c>
      <c r="L279" s="569"/>
      <c r="M279" s="570"/>
      <c r="N279" s="11"/>
    </row>
    <row r="280" spans="2:14" ht="15" customHeight="1">
      <c r="B280" s="173">
        <f t="shared" si="38"/>
        <v>257</v>
      </c>
      <c r="C280" s="173"/>
      <c r="D280" s="174">
        <v>7</v>
      </c>
      <c r="E280" s="168">
        <f t="shared" si="36"/>
        <v>258</v>
      </c>
      <c r="F280" s="286">
        <f t="shared" si="37"/>
        <v>33.04</v>
      </c>
      <c r="G280" s="175">
        <f t="shared" ref="G280:G341" si="44">F280-($E$12)</f>
        <v>32.641999999999996</v>
      </c>
      <c r="H280" s="175" t="str">
        <f t="shared" si="40"/>
        <v>IN</v>
      </c>
      <c r="I280" s="177">
        <f t="shared" si="43"/>
        <v>8426.3460000000014</v>
      </c>
      <c r="J280" s="177">
        <f t="shared" si="41"/>
        <v>3191.2239999999983</v>
      </c>
      <c r="K280" s="235">
        <f t="shared" si="42"/>
        <v>262.91241462796029</v>
      </c>
      <c r="L280" s="569"/>
      <c r="M280" s="570"/>
      <c r="N280" s="11"/>
    </row>
    <row r="281" spans="2:14" ht="15" customHeight="1">
      <c r="B281" s="173">
        <f t="shared" si="38"/>
        <v>258</v>
      </c>
      <c r="C281" s="173"/>
      <c r="D281" s="174">
        <v>7</v>
      </c>
      <c r="E281" s="168">
        <f t="shared" ref="E281:E340" si="45">E280+1</f>
        <v>259</v>
      </c>
      <c r="F281" s="286">
        <f t="shared" si="37"/>
        <v>33.270000000000003</v>
      </c>
      <c r="G281" s="175">
        <f t="shared" si="44"/>
        <v>32.872</v>
      </c>
      <c r="H281" s="175" t="str">
        <f t="shared" si="40"/>
        <v>IN</v>
      </c>
      <c r="I281" s="177">
        <f t="shared" si="43"/>
        <v>8459.2180000000008</v>
      </c>
      <c r="J281" s="177">
        <f t="shared" si="41"/>
        <v>3158.351999999999</v>
      </c>
      <c r="K281" s="235">
        <f t="shared" si="42"/>
        <v>263.60646836058061</v>
      </c>
      <c r="L281" s="569"/>
      <c r="M281" s="570"/>
      <c r="N281" s="11"/>
    </row>
    <row r="282" spans="2:14" ht="15" customHeight="1">
      <c r="B282" s="173">
        <f t="shared" si="38"/>
        <v>259</v>
      </c>
      <c r="C282" s="173"/>
      <c r="D282" s="174">
        <v>7</v>
      </c>
      <c r="E282" s="168">
        <f t="shared" si="45"/>
        <v>260</v>
      </c>
      <c r="F282" s="286">
        <f t="shared" si="37"/>
        <v>33.270000000000003</v>
      </c>
      <c r="G282" s="175">
        <f t="shared" si="44"/>
        <v>32.872</v>
      </c>
      <c r="H282" s="175" t="str">
        <f t="shared" si="40"/>
        <v>IN</v>
      </c>
      <c r="I282" s="177">
        <f t="shared" si="43"/>
        <v>8492.09</v>
      </c>
      <c r="J282" s="177">
        <f t="shared" si="41"/>
        <v>3125.4799999999996</v>
      </c>
      <c r="K282" s="235">
        <f t="shared" si="42"/>
        <v>264.30052209320093</v>
      </c>
      <c r="L282" s="569"/>
      <c r="M282" s="570"/>
      <c r="N282" s="11"/>
    </row>
    <row r="283" spans="2:14" ht="15" customHeight="1">
      <c r="B283" s="173">
        <f t="shared" si="38"/>
        <v>260</v>
      </c>
      <c r="C283" s="173"/>
      <c r="D283" s="174">
        <v>7</v>
      </c>
      <c r="E283" s="168">
        <f t="shared" si="45"/>
        <v>261</v>
      </c>
      <c r="F283" s="286">
        <f t="shared" si="37"/>
        <v>33.409999999999997</v>
      </c>
      <c r="G283" s="175">
        <f t="shared" si="44"/>
        <v>33.011999999999993</v>
      </c>
      <c r="H283" s="175" t="str">
        <f t="shared" si="40"/>
        <v>IN</v>
      </c>
      <c r="I283" s="177">
        <f t="shared" si="43"/>
        <v>8525.1020000000008</v>
      </c>
      <c r="J283" s="177">
        <f t="shared" si="41"/>
        <v>3092.4679999999989</v>
      </c>
      <c r="K283" s="235">
        <f t="shared" si="42"/>
        <v>264.99753176165018</v>
      </c>
    </row>
    <row r="284" spans="2:14" ht="15" customHeight="1">
      <c r="B284" s="173">
        <f t="shared" si="38"/>
        <v>261</v>
      </c>
      <c r="C284" s="173"/>
      <c r="D284" s="174">
        <v>7</v>
      </c>
      <c r="E284" s="168">
        <f t="shared" si="45"/>
        <v>262</v>
      </c>
      <c r="F284" s="286">
        <f t="shared" si="37"/>
        <v>32.9</v>
      </c>
      <c r="G284" s="175">
        <f t="shared" si="44"/>
        <v>32.501999999999995</v>
      </c>
      <c r="H284" s="175" t="str">
        <f t="shared" si="40"/>
        <v>IN</v>
      </c>
      <c r="I284" s="177">
        <f t="shared" si="43"/>
        <v>8557.6040000000012</v>
      </c>
      <c r="J284" s="177">
        <f t="shared" si="41"/>
        <v>3059.9659999999985</v>
      </c>
      <c r="K284" s="235">
        <f t="shared" si="42"/>
        <v>265.68377337815127</v>
      </c>
      <c r="L284" s="569"/>
      <c r="M284" s="570"/>
      <c r="N284" s="11"/>
    </row>
    <row r="285" spans="2:14" ht="27" customHeight="1">
      <c r="B285" s="173">
        <f t="shared" si="38"/>
        <v>262</v>
      </c>
      <c r="C285" s="173"/>
      <c r="D285" s="174">
        <v>7</v>
      </c>
      <c r="E285" s="168">
        <f t="shared" si="45"/>
        <v>263</v>
      </c>
      <c r="F285" s="286">
        <f t="shared" si="37"/>
        <v>32.659999999999997</v>
      </c>
      <c r="G285" s="175">
        <f t="shared" si="44"/>
        <v>32.261999999999993</v>
      </c>
      <c r="H285" s="175" t="str">
        <f t="shared" si="40"/>
        <v>IN</v>
      </c>
      <c r="I285" s="175">
        <f t="shared" si="43"/>
        <v>8589.8660000000018</v>
      </c>
      <c r="J285" s="175">
        <f t="shared" si="41"/>
        <v>3027.7039999999979</v>
      </c>
      <c r="K285" s="262">
        <f t="shared" si="42"/>
        <v>266.36494767608872</v>
      </c>
      <c r="L285" s="571"/>
      <c r="M285" s="572"/>
      <c r="N285" s="11"/>
    </row>
    <row r="286" spans="2:14" ht="15" customHeight="1">
      <c r="B286" s="173">
        <f t="shared" si="38"/>
        <v>263</v>
      </c>
      <c r="C286" s="173"/>
      <c r="D286" s="174">
        <v>7</v>
      </c>
      <c r="E286" s="168">
        <f t="shared" si="45"/>
        <v>264</v>
      </c>
      <c r="F286" s="286">
        <f t="shared" si="37"/>
        <v>33.159999999999997</v>
      </c>
      <c r="G286" s="175">
        <f t="shared" si="44"/>
        <v>32.761999999999993</v>
      </c>
      <c r="H286" s="175" t="str">
        <f t="shared" si="40"/>
        <v>IN</v>
      </c>
      <c r="I286" s="177">
        <f t="shared" si="43"/>
        <v>8622.6280000000024</v>
      </c>
      <c r="J286" s="177">
        <f t="shared" si="41"/>
        <v>2994.9419999999973</v>
      </c>
      <c r="K286" s="235">
        <f t="shared" si="42"/>
        <v>267.05667888770063</v>
      </c>
      <c r="L286" s="569"/>
      <c r="M286" s="570"/>
      <c r="N286" s="11"/>
    </row>
    <row r="287" spans="2:14" ht="15" customHeight="1">
      <c r="B287" s="173">
        <f t="shared" si="38"/>
        <v>264</v>
      </c>
      <c r="C287" s="173"/>
      <c r="D287" s="174">
        <v>7</v>
      </c>
      <c r="E287" s="168">
        <f t="shared" si="45"/>
        <v>265</v>
      </c>
      <c r="F287" s="286">
        <f t="shared" si="37"/>
        <v>33.409999999999997</v>
      </c>
      <c r="G287" s="175">
        <f t="shared" si="44"/>
        <v>33.011999999999993</v>
      </c>
      <c r="H287" s="175" t="str">
        <f t="shared" si="40"/>
        <v>IN</v>
      </c>
      <c r="I287" s="177">
        <f t="shared" si="43"/>
        <v>8655.6400000000031</v>
      </c>
      <c r="J287" s="177">
        <f t="shared" si="41"/>
        <v>2961.9299999999967</v>
      </c>
      <c r="K287" s="235">
        <f t="shared" si="42"/>
        <v>267.75368855614977</v>
      </c>
      <c r="L287" s="569"/>
      <c r="M287" s="570"/>
      <c r="N287" s="11"/>
    </row>
    <row r="288" spans="2:14" ht="15" customHeight="1">
      <c r="B288" s="173">
        <f t="shared" si="38"/>
        <v>265</v>
      </c>
      <c r="C288" s="173"/>
      <c r="D288" s="174">
        <v>7</v>
      </c>
      <c r="E288" s="168">
        <f t="shared" si="45"/>
        <v>266</v>
      </c>
      <c r="F288" s="286">
        <f t="shared" si="37"/>
        <v>33.229999999999997</v>
      </c>
      <c r="G288" s="175">
        <f t="shared" si="44"/>
        <v>32.831999999999994</v>
      </c>
      <c r="H288" s="175" t="str">
        <f t="shared" si="40"/>
        <v>IN</v>
      </c>
      <c r="I288" s="177">
        <f t="shared" si="43"/>
        <v>8688.4720000000034</v>
      </c>
      <c r="J288" s="177">
        <f t="shared" si="41"/>
        <v>2929.0979999999963</v>
      </c>
      <c r="K288" s="235">
        <f t="shared" si="42"/>
        <v>268.4468977356762</v>
      </c>
      <c r="L288" s="569"/>
      <c r="M288" s="570"/>
      <c r="N288" s="11"/>
    </row>
    <row r="289" spans="2:14" ht="15" customHeight="1">
      <c r="B289" s="173">
        <f t="shared" si="38"/>
        <v>266</v>
      </c>
      <c r="C289" s="173"/>
      <c r="D289" s="174">
        <v>7</v>
      </c>
      <c r="E289" s="168">
        <f t="shared" si="45"/>
        <v>267</v>
      </c>
      <c r="F289" s="286">
        <f t="shared" si="37"/>
        <v>33.409999999999997</v>
      </c>
      <c r="G289" s="175">
        <f t="shared" si="44"/>
        <v>33.011999999999993</v>
      </c>
      <c r="H289" s="175" t="str">
        <f t="shared" si="40"/>
        <v>IN</v>
      </c>
      <c r="I289" s="177">
        <f t="shared" si="43"/>
        <v>8721.484000000004</v>
      </c>
      <c r="J289" s="177">
        <f t="shared" si="41"/>
        <v>2896.0859999999957</v>
      </c>
      <c r="K289" s="235">
        <f t="shared" si="42"/>
        <v>269.14390740412534</v>
      </c>
      <c r="L289" s="569"/>
      <c r="M289" s="570"/>
      <c r="N289" s="11"/>
    </row>
    <row r="290" spans="2:14" ht="15" customHeight="1">
      <c r="B290" s="173">
        <f t="shared" si="38"/>
        <v>267</v>
      </c>
      <c r="C290" s="173"/>
      <c r="D290" s="174">
        <v>7</v>
      </c>
      <c r="E290" s="168">
        <f t="shared" si="45"/>
        <v>268</v>
      </c>
      <c r="F290" s="286">
        <f t="shared" si="37"/>
        <v>33.39</v>
      </c>
      <c r="G290" s="175">
        <f t="shared" si="44"/>
        <v>32.991999999999997</v>
      </c>
      <c r="H290" s="175" t="str">
        <f t="shared" si="40"/>
        <v>IN</v>
      </c>
      <c r="I290" s="177">
        <f t="shared" si="43"/>
        <v>8754.4760000000042</v>
      </c>
      <c r="J290" s="177">
        <f t="shared" si="41"/>
        <v>2863.0939999999955</v>
      </c>
      <c r="K290" s="235">
        <f t="shared" si="42"/>
        <v>269.8404947960276</v>
      </c>
      <c r="L290" s="569"/>
      <c r="M290" s="570"/>
      <c r="N290" s="11"/>
    </row>
    <row r="291" spans="2:14" ht="15" customHeight="1">
      <c r="B291" s="173">
        <f t="shared" si="38"/>
        <v>268</v>
      </c>
      <c r="C291" s="173"/>
      <c r="D291" s="174">
        <v>7</v>
      </c>
      <c r="E291" s="168">
        <f t="shared" si="45"/>
        <v>269</v>
      </c>
      <c r="F291" s="286">
        <f t="shared" si="37"/>
        <v>33.39</v>
      </c>
      <c r="G291" s="175">
        <f t="shared" si="44"/>
        <v>32.991999999999997</v>
      </c>
      <c r="H291" s="175" t="str">
        <f t="shared" si="40"/>
        <v>IN</v>
      </c>
      <c r="I291" s="177">
        <f t="shared" si="43"/>
        <v>8787.4680000000044</v>
      </c>
      <c r="J291" s="177">
        <f t="shared" si="41"/>
        <v>2830.1019999999953</v>
      </c>
      <c r="K291" s="235">
        <f t="shared" si="42"/>
        <v>270.53708218792985</v>
      </c>
      <c r="L291" s="569"/>
      <c r="M291" s="570"/>
      <c r="N291" s="11"/>
    </row>
    <row r="292" spans="2:14" ht="15" customHeight="1">
      <c r="B292" s="173">
        <f t="shared" si="38"/>
        <v>269</v>
      </c>
      <c r="C292" s="173"/>
      <c r="D292" s="174">
        <v>7</v>
      </c>
      <c r="E292" s="168">
        <f t="shared" si="45"/>
        <v>270</v>
      </c>
      <c r="F292" s="286">
        <f t="shared" si="37"/>
        <v>33.22</v>
      </c>
      <c r="G292" s="175">
        <f t="shared" si="44"/>
        <v>32.821999999999996</v>
      </c>
      <c r="H292" s="175" t="str">
        <f t="shared" si="40"/>
        <v>IN</v>
      </c>
      <c r="I292" s="177">
        <f t="shared" si="43"/>
        <v>8820.2900000000045</v>
      </c>
      <c r="J292" s="177">
        <f t="shared" si="41"/>
        <v>2797.2799999999952</v>
      </c>
      <c r="K292" s="235">
        <f t="shared" si="42"/>
        <v>271.2300802291827</v>
      </c>
      <c r="L292" s="569"/>
      <c r="M292" s="570"/>
      <c r="N292" s="11"/>
    </row>
    <row r="293" spans="2:14" ht="15" customHeight="1">
      <c r="B293" s="173">
        <f t="shared" si="38"/>
        <v>270</v>
      </c>
      <c r="C293" s="173"/>
      <c r="D293" s="174">
        <v>7</v>
      </c>
      <c r="E293" s="168">
        <f t="shared" si="45"/>
        <v>271</v>
      </c>
      <c r="F293" s="286">
        <f t="shared" si="37"/>
        <v>33.090000000000003</v>
      </c>
      <c r="G293" s="175">
        <f t="shared" si="44"/>
        <v>32.692</v>
      </c>
      <c r="H293" s="175" t="str">
        <f t="shared" si="40"/>
        <v>IN</v>
      </c>
      <c r="I293" s="177">
        <f t="shared" si="43"/>
        <v>8852.9820000000036</v>
      </c>
      <c r="J293" s="177">
        <f t="shared" si="41"/>
        <v>2764.5879999999961</v>
      </c>
      <c r="K293" s="235">
        <f t="shared" si="42"/>
        <v>271.92033347288015</v>
      </c>
      <c r="L293" s="569"/>
      <c r="M293" s="570"/>
      <c r="N293" s="11"/>
    </row>
    <row r="294" spans="2:14" ht="15" customHeight="1">
      <c r="B294" s="173">
        <f t="shared" si="38"/>
        <v>271</v>
      </c>
      <c r="C294" s="173"/>
      <c r="D294" s="174">
        <v>7</v>
      </c>
      <c r="E294" s="168">
        <f t="shared" si="45"/>
        <v>272</v>
      </c>
      <c r="F294" s="286">
        <f t="shared" ref="F294:F340" si="46">VLOOKUP(E294,tubing1,2,FALSE)</f>
        <v>33.21</v>
      </c>
      <c r="G294" s="175">
        <f t="shared" si="44"/>
        <v>32.811999999999998</v>
      </c>
      <c r="H294" s="175" t="str">
        <f t="shared" si="40"/>
        <v>IN</v>
      </c>
      <c r="I294" s="177">
        <f t="shared" si="43"/>
        <v>8885.7940000000035</v>
      </c>
      <c r="J294" s="177">
        <f t="shared" si="41"/>
        <v>2731.7759999999962</v>
      </c>
      <c r="K294" s="235">
        <f t="shared" si="42"/>
        <v>272.61312037585952</v>
      </c>
      <c r="L294" s="569"/>
      <c r="M294" s="570"/>
      <c r="N294" s="11"/>
    </row>
    <row r="295" spans="2:14" ht="15" customHeight="1">
      <c r="B295" s="173">
        <f t="shared" ref="B295:B340" si="47">B294+1</f>
        <v>272</v>
      </c>
      <c r="C295" s="173"/>
      <c r="D295" s="174">
        <v>7</v>
      </c>
      <c r="E295" s="168">
        <f t="shared" si="45"/>
        <v>273</v>
      </c>
      <c r="F295" s="286">
        <f t="shared" si="46"/>
        <v>32.9</v>
      </c>
      <c r="G295" s="175">
        <f t="shared" si="44"/>
        <v>32.501999999999995</v>
      </c>
      <c r="H295" s="175" t="str">
        <f t="shared" si="40"/>
        <v>IN</v>
      </c>
      <c r="I295" s="177">
        <f t="shared" si="43"/>
        <v>8918.2960000000039</v>
      </c>
      <c r="J295" s="177">
        <f t="shared" si="41"/>
        <v>2699.2739999999958</v>
      </c>
      <c r="K295" s="235">
        <f t="shared" si="42"/>
        <v>273.29936199236067</v>
      </c>
      <c r="L295" s="569"/>
      <c r="M295" s="570"/>
      <c r="N295" s="11"/>
    </row>
    <row r="296" spans="2:14" ht="15" customHeight="1">
      <c r="B296" s="173">
        <f t="shared" si="47"/>
        <v>273</v>
      </c>
      <c r="C296" s="173"/>
      <c r="D296" s="174">
        <v>7</v>
      </c>
      <c r="E296" s="168">
        <f t="shared" si="45"/>
        <v>274</v>
      </c>
      <c r="F296" s="286">
        <f t="shared" si="46"/>
        <v>33.159999999999997</v>
      </c>
      <c r="G296" s="175">
        <f t="shared" si="44"/>
        <v>32.761999999999993</v>
      </c>
      <c r="H296" s="175" t="str">
        <f t="shared" si="40"/>
        <v>IN</v>
      </c>
      <c r="I296" s="177">
        <f t="shared" si="43"/>
        <v>8951.0580000000045</v>
      </c>
      <c r="J296" s="177">
        <f t="shared" si="41"/>
        <v>2666.5119999999952</v>
      </c>
      <c r="K296" s="235">
        <f t="shared" si="42"/>
        <v>273.99109320397258</v>
      </c>
      <c r="L296" s="569"/>
      <c r="M296" s="570"/>
      <c r="N296" s="11"/>
    </row>
    <row r="297" spans="2:14" ht="15" customHeight="1">
      <c r="B297" s="173">
        <f t="shared" si="47"/>
        <v>274</v>
      </c>
      <c r="C297" s="173"/>
      <c r="D297" s="174">
        <v>7</v>
      </c>
      <c r="E297" s="168">
        <f t="shared" si="45"/>
        <v>275</v>
      </c>
      <c r="F297" s="286">
        <f t="shared" si="46"/>
        <v>33.08</v>
      </c>
      <c r="G297" s="175">
        <f t="shared" si="44"/>
        <v>32.681999999999995</v>
      </c>
      <c r="H297" s="175" t="str">
        <f t="shared" si="40"/>
        <v>IN</v>
      </c>
      <c r="I297" s="177">
        <f t="shared" si="43"/>
        <v>8983.7400000000052</v>
      </c>
      <c r="J297" s="177">
        <f t="shared" si="41"/>
        <v>2633.8299999999945</v>
      </c>
      <c r="K297" s="235">
        <f t="shared" si="42"/>
        <v>274.68113530939661</v>
      </c>
      <c r="L297" s="569"/>
      <c r="M297" s="570"/>
      <c r="N297" s="11"/>
    </row>
    <row r="298" spans="2:14" ht="15" customHeight="1">
      <c r="B298" s="173">
        <f t="shared" si="47"/>
        <v>275</v>
      </c>
      <c r="C298" s="173"/>
      <c r="D298" s="174">
        <v>7</v>
      </c>
      <c r="E298" s="168">
        <f t="shared" si="45"/>
        <v>276</v>
      </c>
      <c r="F298" s="286">
        <f t="shared" si="46"/>
        <v>33.31</v>
      </c>
      <c r="G298" s="175">
        <f t="shared" si="44"/>
        <v>32.911999999999999</v>
      </c>
      <c r="H298" s="175" t="str">
        <f t="shared" si="40"/>
        <v>IN</v>
      </c>
      <c r="I298" s="177">
        <f t="shared" si="43"/>
        <v>9016.6520000000055</v>
      </c>
      <c r="J298" s="177">
        <f t="shared" si="41"/>
        <v>2600.9179999999942</v>
      </c>
      <c r="K298" s="235">
        <f t="shared" si="42"/>
        <v>275.37603359511093</v>
      </c>
      <c r="L298" s="569"/>
      <c r="M298" s="570"/>
      <c r="N298" s="11"/>
    </row>
    <row r="299" spans="2:14" ht="15" customHeight="1">
      <c r="B299" s="173">
        <f t="shared" si="47"/>
        <v>276</v>
      </c>
      <c r="C299" s="173"/>
      <c r="D299" s="174">
        <v>7</v>
      </c>
      <c r="E299" s="168">
        <f t="shared" si="45"/>
        <v>277</v>
      </c>
      <c r="F299" s="286">
        <f t="shared" si="46"/>
        <v>32.71</v>
      </c>
      <c r="G299" s="175">
        <f t="shared" si="44"/>
        <v>32.311999999999998</v>
      </c>
      <c r="H299" s="175" t="str">
        <f t="shared" si="40"/>
        <v>IN</v>
      </c>
      <c r="I299" s="177">
        <f t="shared" si="43"/>
        <v>9048.9640000000054</v>
      </c>
      <c r="J299" s="177">
        <f t="shared" si="41"/>
        <v>2568.6059999999943</v>
      </c>
      <c r="K299" s="235">
        <f t="shared" si="42"/>
        <v>276.05826358441573</v>
      </c>
      <c r="L299" s="569"/>
      <c r="M299" s="570"/>
      <c r="N299" s="11"/>
    </row>
    <row r="300" spans="2:14" ht="15" customHeight="1">
      <c r="B300" s="173">
        <f t="shared" si="47"/>
        <v>277</v>
      </c>
      <c r="C300" s="173"/>
      <c r="D300" s="174">
        <v>7</v>
      </c>
      <c r="E300" s="168">
        <f t="shared" si="45"/>
        <v>278</v>
      </c>
      <c r="F300" s="286">
        <f t="shared" si="46"/>
        <v>32.44</v>
      </c>
      <c r="G300" s="175">
        <f t="shared" si="44"/>
        <v>32.041999999999994</v>
      </c>
      <c r="H300" s="175" t="str">
        <f t="shared" si="40"/>
        <v>IN</v>
      </c>
      <c r="I300" s="177">
        <f t="shared" si="43"/>
        <v>9081.0060000000049</v>
      </c>
      <c r="J300" s="177">
        <f t="shared" si="41"/>
        <v>2536.5639999999948</v>
      </c>
      <c r="K300" s="235">
        <f t="shared" si="42"/>
        <v>276.73479284033624</v>
      </c>
      <c r="L300" s="569"/>
      <c r="M300" s="570"/>
      <c r="N300" s="11"/>
    </row>
    <row r="301" spans="2:14" ht="15" customHeight="1">
      <c r="B301" s="173">
        <f t="shared" si="47"/>
        <v>278</v>
      </c>
      <c r="C301" s="173"/>
      <c r="D301" s="174">
        <v>7</v>
      </c>
      <c r="E301" s="168">
        <f t="shared" si="45"/>
        <v>279</v>
      </c>
      <c r="F301" s="286">
        <f t="shared" si="46"/>
        <v>32.479999999999997</v>
      </c>
      <c r="G301" s="175">
        <f t="shared" si="44"/>
        <v>32.081999999999994</v>
      </c>
      <c r="H301" s="175" t="str">
        <f t="shared" ref="H301:H314" si="48">IF(F301="","OUT","IN")</f>
        <v>IN</v>
      </c>
      <c r="I301" s="177">
        <f t="shared" si="43"/>
        <v>9113.0880000000052</v>
      </c>
      <c r="J301" s="177">
        <f t="shared" si="41"/>
        <v>2504.4819999999945</v>
      </c>
      <c r="K301" s="235">
        <f t="shared" si="42"/>
        <v>277.41216664935075</v>
      </c>
      <c r="L301" s="569"/>
      <c r="M301" s="570"/>
      <c r="N301" s="11"/>
    </row>
    <row r="302" spans="2:14" ht="15" customHeight="1">
      <c r="B302" s="173">
        <f t="shared" si="47"/>
        <v>279</v>
      </c>
      <c r="C302" s="173"/>
      <c r="D302" s="174">
        <v>7</v>
      </c>
      <c r="E302" s="168">
        <f t="shared" si="45"/>
        <v>280</v>
      </c>
      <c r="F302" s="286">
        <f t="shared" si="46"/>
        <v>32.72</v>
      </c>
      <c r="G302" s="175">
        <f t="shared" si="44"/>
        <v>32.321999999999996</v>
      </c>
      <c r="H302" s="175" t="str">
        <f t="shared" si="48"/>
        <v>IN</v>
      </c>
      <c r="I302" s="177">
        <f t="shared" si="43"/>
        <v>9145.4100000000053</v>
      </c>
      <c r="J302" s="177">
        <f t="shared" si="41"/>
        <v>2472.1599999999944</v>
      </c>
      <c r="K302" s="235">
        <f t="shared" si="42"/>
        <v>278.09460777692908</v>
      </c>
      <c r="L302" s="569"/>
      <c r="M302" s="570"/>
      <c r="N302" s="11"/>
    </row>
    <row r="303" spans="2:14" ht="15" customHeight="1">
      <c r="B303" s="173">
        <f t="shared" si="47"/>
        <v>280</v>
      </c>
      <c r="C303" s="173"/>
      <c r="D303" s="174">
        <v>7</v>
      </c>
      <c r="E303" s="168">
        <f t="shared" si="45"/>
        <v>281</v>
      </c>
      <c r="F303" s="286">
        <f t="shared" si="46"/>
        <v>32.78</v>
      </c>
      <c r="G303" s="175">
        <f t="shared" si="44"/>
        <v>32.381999999999998</v>
      </c>
      <c r="H303" s="175" t="str">
        <f t="shared" si="48"/>
        <v>IN</v>
      </c>
      <c r="I303" s="177">
        <f t="shared" si="43"/>
        <v>9177.7920000000049</v>
      </c>
      <c r="J303" s="177">
        <f t="shared" si="41"/>
        <v>2439.7779999999948</v>
      </c>
      <c r="K303" s="235">
        <f t="shared" si="42"/>
        <v>278.77831573414835</v>
      </c>
      <c r="L303" s="569"/>
      <c r="M303" s="570"/>
      <c r="N303" s="11"/>
    </row>
    <row r="304" spans="2:14" ht="15" customHeight="1">
      <c r="B304" s="173">
        <f t="shared" si="47"/>
        <v>281</v>
      </c>
      <c r="C304" s="173"/>
      <c r="D304" s="174">
        <v>7</v>
      </c>
      <c r="E304" s="168">
        <f t="shared" si="45"/>
        <v>282</v>
      </c>
      <c r="F304" s="286">
        <f t="shared" si="46"/>
        <v>32.97</v>
      </c>
      <c r="G304" s="175">
        <f t="shared" si="44"/>
        <v>32.571999999999996</v>
      </c>
      <c r="H304" s="175" t="str">
        <f t="shared" si="48"/>
        <v>IN</v>
      </c>
      <c r="I304" s="177">
        <f t="shared" si="43"/>
        <v>9210.364000000005</v>
      </c>
      <c r="J304" s="177">
        <f t="shared" si="41"/>
        <v>2407.2059999999947</v>
      </c>
      <c r="K304" s="235">
        <f t="shared" si="42"/>
        <v>279.46603531856385</v>
      </c>
      <c r="L304" s="569"/>
      <c r="M304" s="570"/>
      <c r="N304" s="11"/>
    </row>
    <row r="305" spans="2:14" ht="15" customHeight="1">
      <c r="B305" s="173">
        <f t="shared" si="47"/>
        <v>282</v>
      </c>
      <c r="C305" s="173"/>
      <c r="D305" s="174">
        <v>7</v>
      </c>
      <c r="E305" s="168">
        <f t="shared" si="45"/>
        <v>283</v>
      </c>
      <c r="F305" s="286">
        <f t="shared" si="46"/>
        <v>33.33</v>
      </c>
      <c r="G305" s="175">
        <f t="shared" si="44"/>
        <v>32.931999999999995</v>
      </c>
      <c r="H305" s="175" t="str">
        <f t="shared" si="48"/>
        <v>IN</v>
      </c>
      <c r="I305" s="177">
        <f t="shared" si="43"/>
        <v>9243.2960000000057</v>
      </c>
      <c r="J305" s="177">
        <f t="shared" si="41"/>
        <v>2374.273999999994</v>
      </c>
      <c r="K305" s="235">
        <f t="shared" si="42"/>
        <v>280.16135588082517</v>
      </c>
      <c r="L305" s="569"/>
      <c r="M305" s="570"/>
      <c r="N305" s="11"/>
    </row>
    <row r="306" spans="2:14" ht="15" customHeight="1">
      <c r="B306" s="173">
        <f t="shared" si="47"/>
        <v>283</v>
      </c>
      <c r="C306" s="173"/>
      <c r="D306" s="174">
        <v>7</v>
      </c>
      <c r="E306" s="168">
        <f t="shared" si="45"/>
        <v>284</v>
      </c>
      <c r="F306" s="286">
        <f t="shared" si="46"/>
        <v>32.869999999999997</v>
      </c>
      <c r="G306" s="175">
        <f t="shared" si="44"/>
        <v>32.471999999999994</v>
      </c>
      <c r="H306" s="175" t="str">
        <f t="shared" si="48"/>
        <v>IN</v>
      </c>
      <c r="I306" s="177">
        <f t="shared" si="43"/>
        <v>9275.7680000000055</v>
      </c>
      <c r="J306" s="177">
        <f t="shared" si="41"/>
        <v>2341.8019999999942</v>
      </c>
      <c r="K306" s="235">
        <f t="shared" si="42"/>
        <v>280.84696408250585</v>
      </c>
      <c r="L306" s="569"/>
      <c r="M306" s="570"/>
      <c r="N306" s="11"/>
    </row>
    <row r="307" spans="2:14" ht="15" customHeight="1">
      <c r="B307" s="173">
        <f t="shared" si="47"/>
        <v>284</v>
      </c>
      <c r="C307" s="173"/>
      <c r="D307" s="174">
        <v>7</v>
      </c>
      <c r="E307" s="168">
        <f t="shared" si="45"/>
        <v>285</v>
      </c>
      <c r="F307" s="286">
        <f t="shared" si="46"/>
        <v>33.020000000000003</v>
      </c>
      <c r="G307" s="175">
        <f t="shared" si="44"/>
        <v>32.622</v>
      </c>
      <c r="H307" s="175" t="str">
        <f t="shared" si="48"/>
        <v>IN</v>
      </c>
      <c r="I307" s="177">
        <f t="shared" si="43"/>
        <v>9308.3900000000049</v>
      </c>
      <c r="J307" s="177">
        <f t="shared" si="41"/>
        <v>2309.1799999999948</v>
      </c>
      <c r="K307" s="235">
        <f t="shared" si="42"/>
        <v>281.53573935828888</v>
      </c>
      <c r="L307" s="569"/>
      <c r="M307" s="570"/>
      <c r="N307" s="11"/>
    </row>
    <row r="308" spans="2:14" ht="15" customHeight="1">
      <c r="B308" s="173">
        <f t="shared" si="47"/>
        <v>285</v>
      </c>
      <c r="C308" s="173"/>
      <c r="D308" s="174">
        <v>7</v>
      </c>
      <c r="E308" s="168">
        <f t="shared" si="45"/>
        <v>286</v>
      </c>
      <c r="F308" s="286">
        <f t="shared" si="46"/>
        <v>33.229999999999997</v>
      </c>
      <c r="G308" s="175">
        <f t="shared" si="44"/>
        <v>32.831999999999994</v>
      </c>
      <c r="H308" s="175" t="str">
        <f t="shared" si="48"/>
        <v>IN</v>
      </c>
      <c r="I308" s="177">
        <f t="shared" si="43"/>
        <v>9341.2220000000052</v>
      </c>
      <c r="J308" s="177">
        <f t="shared" si="41"/>
        <v>2276.3479999999945</v>
      </c>
      <c r="K308" s="235">
        <f t="shared" si="42"/>
        <v>282.22894853781526</v>
      </c>
      <c r="L308" s="546"/>
      <c r="M308" s="547"/>
      <c r="N308" s="11"/>
    </row>
    <row r="309" spans="2:14" ht="15" customHeight="1">
      <c r="B309" s="173">
        <f t="shared" si="47"/>
        <v>286</v>
      </c>
      <c r="C309" s="173"/>
      <c r="D309" s="174">
        <v>7</v>
      </c>
      <c r="E309" s="168">
        <f t="shared" si="45"/>
        <v>287</v>
      </c>
      <c r="F309" s="286">
        <f t="shared" si="46"/>
        <v>33.26</v>
      </c>
      <c r="G309" s="175">
        <f t="shared" si="44"/>
        <v>32.861999999999995</v>
      </c>
      <c r="H309" s="175" t="str">
        <f t="shared" si="48"/>
        <v>IN</v>
      </c>
      <c r="I309" s="177">
        <f t="shared" si="43"/>
        <v>9374.0840000000044</v>
      </c>
      <c r="J309" s="177">
        <f t="shared" si="41"/>
        <v>2243.4859999999953</v>
      </c>
      <c r="K309" s="235">
        <f t="shared" si="42"/>
        <v>282.92279113216205</v>
      </c>
      <c r="L309" s="225"/>
      <c r="M309" s="226"/>
      <c r="N309" s="11"/>
    </row>
    <row r="310" spans="2:14" ht="15" customHeight="1">
      <c r="B310" s="173">
        <f t="shared" si="47"/>
        <v>287</v>
      </c>
      <c r="C310" s="173"/>
      <c r="D310" s="174">
        <v>7</v>
      </c>
      <c r="E310" s="168">
        <f t="shared" si="45"/>
        <v>288</v>
      </c>
      <c r="F310" s="286">
        <f t="shared" si="46"/>
        <v>33.26</v>
      </c>
      <c r="G310" s="175">
        <f t="shared" si="44"/>
        <v>32.861999999999995</v>
      </c>
      <c r="H310" s="175" t="str">
        <f t="shared" si="48"/>
        <v>IN</v>
      </c>
      <c r="I310" s="177">
        <f t="shared" si="43"/>
        <v>9406.9460000000036</v>
      </c>
      <c r="J310" s="177">
        <f t="shared" si="41"/>
        <v>2210.6239999999962</v>
      </c>
      <c r="K310" s="235">
        <f t="shared" si="42"/>
        <v>283.61663372650884</v>
      </c>
      <c r="L310" s="225"/>
      <c r="M310" s="226"/>
      <c r="N310" s="11"/>
    </row>
    <row r="311" spans="2:14" ht="15" customHeight="1">
      <c r="B311" s="173">
        <f t="shared" si="47"/>
        <v>288</v>
      </c>
      <c r="C311" s="173"/>
      <c r="D311" s="174">
        <v>7</v>
      </c>
      <c r="E311" s="168">
        <f t="shared" si="45"/>
        <v>289</v>
      </c>
      <c r="F311" s="286">
        <f t="shared" si="46"/>
        <v>31.78</v>
      </c>
      <c r="G311" s="175">
        <f t="shared" si="44"/>
        <v>31.382000000000001</v>
      </c>
      <c r="H311" s="175" t="str">
        <f t="shared" si="48"/>
        <v>IN</v>
      </c>
      <c r="I311" s="177">
        <f t="shared" si="43"/>
        <v>9438.3280000000032</v>
      </c>
      <c r="J311" s="177">
        <f t="shared" si="41"/>
        <v>2179.2419999999966</v>
      </c>
      <c r="K311" s="235">
        <f t="shared" si="42"/>
        <v>284.27922785637901</v>
      </c>
      <c r="L311" s="225"/>
      <c r="M311" s="226"/>
      <c r="N311" s="11"/>
    </row>
    <row r="312" spans="2:14" ht="15" customHeight="1">
      <c r="B312" s="173">
        <f t="shared" si="47"/>
        <v>289</v>
      </c>
      <c r="C312" s="173"/>
      <c r="D312" s="174">
        <v>7</v>
      </c>
      <c r="E312" s="168">
        <f t="shared" si="45"/>
        <v>290</v>
      </c>
      <c r="F312" s="286">
        <f t="shared" si="46"/>
        <v>33.47</v>
      </c>
      <c r="G312" s="175">
        <f t="shared" si="44"/>
        <v>33.071999999999996</v>
      </c>
      <c r="H312" s="175" t="str">
        <f t="shared" si="48"/>
        <v>IN</v>
      </c>
      <c r="I312" s="177">
        <f t="shared" si="43"/>
        <v>9471.4000000000033</v>
      </c>
      <c r="J312" s="177">
        <f t="shared" si="41"/>
        <v>2146.1699999999964</v>
      </c>
      <c r="K312" s="235">
        <f t="shared" si="42"/>
        <v>284.97750435446915</v>
      </c>
      <c r="L312" s="225"/>
      <c r="M312" s="226"/>
      <c r="N312" s="11"/>
    </row>
    <row r="313" spans="2:14" ht="15" customHeight="1">
      <c r="B313" s="173">
        <f t="shared" si="47"/>
        <v>290</v>
      </c>
      <c r="C313" s="173"/>
      <c r="D313" s="174">
        <v>7</v>
      </c>
      <c r="E313" s="168">
        <f t="shared" si="45"/>
        <v>291</v>
      </c>
      <c r="F313" s="286">
        <f t="shared" si="46"/>
        <v>33.229999999999997</v>
      </c>
      <c r="G313" s="175">
        <f t="shared" si="44"/>
        <v>32.831999999999994</v>
      </c>
      <c r="H313" s="175" t="str">
        <f t="shared" si="48"/>
        <v>IN</v>
      </c>
      <c r="I313" s="177">
        <f t="shared" si="43"/>
        <v>9504.2320000000036</v>
      </c>
      <c r="J313" s="177">
        <f t="shared" si="41"/>
        <v>2113.3379999999961</v>
      </c>
      <c r="K313" s="235">
        <f t="shared" si="42"/>
        <v>285.67071353399547</v>
      </c>
      <c r="L313" s="225"/>
      <c r="M313" s="226"/>
      <c r="N313" s="11"/>
    </row>
    <row r="314" spans="2:14" ht="15" customHeight="1">
      <c r="B314" s="173">
        <f t="shared" si="47"/>
        <v>291</v>
      </c>
      <c r="C314" s="173"/>
      <c r="D314" s="174">
        <v>7</v>
      </c>
      <c r="E314" s="168">
        <f t="shared" si="45"/>
        <v>292</v>
      </c>
      <c r="F314" s="286">
        <f t="shared" si="46"/>
        <v>33.25</v>
      </c>
      <c r="G314" s="175">
        <f t="shared" si="44"/>
        <v>32.851999999999997</v>
      </c>
      <c r="H314" s="175" t="str">
        <f t="shared" si="48"/>
        <v>IN</v>
      </c>
      <c r="I314" s="177">
        <f t="shared" si="43"/>
        <v>9537.0840000000044</v>
      </c>
      <c r="J314" s="177">
        <f t="shared" si="41"/>
        <v>2080.4859999999953</v>
      </c>
      <c r="K314" s="235">
        <f t="shared" si="42"/>
        <v>286.36434499006884</v>
      </c>
      <c r="L314" s="225"/>
      <c r="M314" s="226"/>
      <c r="N314" s="11"/>
    </row>
    <row r="315" spans="2:14" ht="15" customHeight="1">
      <c r="B315" s="173">
        <f t="shared" si="47"/>
        <v>292</v>
      </c>
      <c r="C315" s="173"/>
      <c r="D315" s="174">
        <v>7</v>
      </c>
      <c r="E315" s="168">
        <f t="shared" si="45"/>
        <v>293</v>
      </c>
      <c r="F315" s="286">
        <f t="shared" si="46"/>
        <v>33.25</v>
      </c>
      <c r="G315" s="175">
        <f t="shared" si="44"/>
        <v>32.851999999999997</v>
      </c>
      <c r="H315" s="175" t="s">
        <v>131</v>
      </c>
      <c r="I315" s="175">
        <f t="shared" si="43"/>
        <v>9569.9360000000052</v>
      </c>
      <c r="J315" s="175">
        <f t="shared" si="41"/>
        <v>2047.6339999999946</v>
      </c>
      <c r="K315" s="262">
        <f t="shared" si="42"/>
        <v>287.05797644614222</v>
      </c>
      <c r="L315" s="567"/>
      <c r="M315" s="567"/>
      <c r="N315" s="11"/>
    </row>
    <row r="316" spans="2:14" ht="15" customHeight="1">
      <c r="B316" s="173">
        <f t="shared" si="47"/>
        <v>293</v>
      </c>
      <c r="C316" s="173"/>
      <c r="D316" s="174">
        <v>7</v>
      </c>
      <c r="E316" s="168">
        <f t="shared" si="45"/>
        <v>294</v>
      </c>
      <c r="F316" s="286">
        <f t="shared" si="46"/>
        <v>33.340000000000003</v>
      </c>
      <c r="G316" s="175">
        <f t="shared" si="44"/>
        <v>32.942</v>
      </c>
      <c r="H316" s="175" t="str">
        <f t="shared" ref="H316:H340" si="49">IF(F316="","OUT","IN")</f>
        <v>IN</v>
      </c>
      <c r="I316" s="177">
        <f t="shared" si="43"/>
        <v>9602.8780000000042</v>
      </c>
      <c r="J316" s="177">
        <f t="shared" si="41"/>
        <v>2014.6919999999955</v>
      </c>
      <c r="K316" s="235">
        <f t="shared" si="42"/>
        <v>287.75350814667695</v>
      </c>
      <c r="L316" s="567"/>
      <c r="M316" s="567"/>
      <c r="N316" s="11"/>
    </row>
    <row r="317" spans="2:14" ht="15" customHeight="1">
      <c r="B317" s="173">
        <f t="shared" si="47"/>
        <v>294</v>
      </c>
      <c r="C317" s="173"/>
      <c r="D317" s="174">
        <v>7</v>
      </c>
      <c r="E317" s="168">
        <f t="shared" si="45"/>
        <v>295</v>
      </c>
      <c r="F317" s="286">
        <f t="shared" si="46"/>
        <v>33.51</v>
      </c>
      <c r="G317" s="175">
        <f t="shared" si="44"/>
        <v>33.111999999999995</v>
      </c>
      <c r="H317" s="175" t="str">
        <f t="shared" si="49"/>
        <v>IN</v>
      </c>
      <c r="I317" s="177">
        <f t="shared" si="43"/>
        <v>9635.9900000000034</v>
      </c>
      <c r="J317" s="177">
        <f t="shared" si="41"/>
        <v>1981.5799999999963</v>
      </c>
      <c r="K317" s="235">
        <f t="shared" si="42"/>
        <v>288.45262919786103</v>
      </c>
      <c r="L317" s="567"/>
      <c r="M317" s="567"/>
      <c r="N317" s="11"/>
    </row>
    <row r="318" spans="2:14" ht="15" customHeight="1">
      <c r="B318" s="173">
        <f t="shared" si="47"/>
        <v>295</v>
      </c>
      <c r="C318" s="173"/>
      <c r="D318" s="174">
        <v>7</v>
      </c>
      <c r="E318" s="168">
        <f t="shared" si="45"/>
        <v>296</v>
      </c>
      <c r="F318" s="286">
        <f t="shared" si="46"/>
        <v>32.61</v>
      </c>
      <c r="G318" s="175">
        <f t="shared" si="44"/>
        <v>32.211999999999996</v>
      </c>
      <c r="H318" s="175" t="str">
        <f t="shared" si="49"/>
        <v>IN</v>
      </c>
      <c r="I318" s="177">
        <f t="shared" si="43"/>
        <v>9668.202000000003</v>
      </c>
      <c r="J318" s="177">
        <f t="shared" si="41"/>
        <v>1949.3679999999968</v>
      </c>
      <c r="K318" s="235">
        <f t="shared" si="42"/>
        <v>289.13274780443089</v>
      </c>
      <c r="L318" s="567"/>
      <c r="M318" s="567"/>
      <c r="N318" s="11"/>
    </row>
    <row r="319" spans="2:14" ht="15" customHeight="1">
      <c r="B319" s="173">
        <f t="shared" si="47"/>
        <v>296</v>
      </c>
      <c r="C319" s="176"/>
      <c r="D319" s="232">
        <v>7</v>
      </c>
      <c r="E319" s="168">
        <f t="shared" si="45"/>
        <v>297</v>
      </c>
      <c r="F319" s="286">
        <f t="shared" si="46"/>
        <v>33.57</v>
      </c>
      <c r="G319" s="177">
        <f t="shared" si="44"/>
        <v>33.171999999999997</v>
      </c>
      <c r="H319" s="175" t="str">
        <f t="shared" si="49"/>
        <v>IN</v>
      </c>
      <c r="I319" s="177">
        <f t="shared" si="43"/>
        <v>9701.3740000000034</v>
      </c>
      <c r="J319" s="177">
        <f t="shared" si="41"/>
        <v>1916.1959999999963</v>
      </c>
      <c r="K319" s="235">
        <f t="shared" si="42"/>
        <v>289.83313568525602</v>
      </c>
      <c r="L319" s="566"/>
      <c r="M319" s="566"/>
      <c r="N319" s="11"/>
    </row>
    <row r="320" spans="2:14" ht="15" customHeight="1">
      <c r="B320" s="173">
        <f t="shared" si="47"/>
        <v>297</v>
      </c>
      <c r="C320" s="173"/>
      <c r="D320" s="174">
        <v>7</v>
      </c>
      <c r="E320" s="168">
        <f t="shared" si="45"/>
        <v>298</v>
      </c>
      <c r="F320" s="286">
        <f t="shared" si="46"/>
        <v>32.68</v>
      </c>
      <c r="G320" s="175">
        <f t="shared" si="44"/>
        <v>32.281999999999996</v>
      </c>
      <c r="H320" s="175" t="str">
        <f t="shared" si="49"/>
        <v>IN</v>
      </c>
      <c r="I320" s="177">
        <f t="shared" si="43"/>
        <v>9733.6560000000027</v>
      </c>
      <c r="J320" s="177">
        <f t="shared" si="41"/>
        <v>1883.913999999997</v>
      </c>
      <c r="K320" s="235">
        <f t="shared" si="42"/>
        <v>290.5147322597403</v>
      </c>
      <c r="L320" s="567"/>
      <c r="M320" s="567"/>
      <c r="N320" s="11"/>
    </row>
    <row r="321" spans="1:14" ht="13.15" customHeight="1">
      <c r="B321" s="173">
        <f t="shared" si="47"/>
        <v>298</v>
      </c>
      <c r="C321" s="173"/>
      <c r="D321" s="174">
        <v>7</v>
      </c>
      <c r="E321" s="168">
        <f t="shared" si="45"/>
        <v>299</v>
      </c>
      <c r="F321" s="286">
        <f t="shared" si="46"/>
        <v>33.06</v>
      </c>
      <c r="G321" s="175">
        <f t="shared" si="44"/>
        <v>32.661999999999999</v>
      </c>
      <c r="H321" s="175" t="str">
        <f t="shared" si="49"/>
        <v>IN</v>
      </c>
      <c r="I321" s="177">
        <f t="shared" si="43"/>
        <v>9766.3180000000029</v>
      </c>
      <c r="J321" s="177">
        <f t="shared" si="41"/>
        <v>1851.2519999999968</v>
      </c>
      <c r="K321" s="235">
        <f t="shared" si="42"/>
        <v>291.20435208861733</v>
      </c>
      <c r="L321" s="567"/>
      <c r="M321" s="567"/>
      <c r="N321" s="11"/>
    </row>
    <row r="322" spans="1:14" ht="13.15" customHeight="1">
      <c r="B322" s="173">
        <f t="shared" si="47"/>
        <v>299</v>
      </c>
      <c r="C322" s="173"/>
      <c r="D322" s="174">
        <v>7</v>
      </c>
      <c r="E322" s="168">
        <f t="shared" si="45"/>
        <v>300</v>
      </c>
      <c r="F322" s="286">
        <f t="shared" si="46"/>
        <v>33.04</v>
      </c>
      <c r="G322" s="175">
        <f t="shared" si="44"/>
        <v>32.641999999999996</v>
      </c>
      <c r="H322" s="175" t="str">
        <f t="shared" si="49"/>
        <v>IN</v>
      </c>
      <c r="I322" s="177">
        <f t="shared" si="43"/>
        <v>9798.9600000000028</v>
      </c>
      <c r="J322" s="177">
        <f t="shared" si="41"/>
        <v>1818.6099999999969</v>
      </c>
      <c r="K322" s="235">
        <f t="shared" si="42"/>
        <v>291.89354964094741</v>
      </c>
      <c r="L322" s="567"/>
      <c r="M322" s="567"/>
      <c r="N322" s="11"/>
    </row>
    <row r="323" spans="1:14" ht="13.15" customHeight="1">
      <c r="B323" s="173">
        <f t="shared" si="47"/>
        <v>300</v>
      </c>
      <c r="C323" s="173"/>
      <c r="D323" s="174">
        <v>7</v>
      </c>
      <c r="E323" s="168">
        <f t="shared" si="45"/>
        <v>301</v>
      </c>
      <c r="F323" s="286">
        <f t="shared" si="46"/>
        <v>33.229999999999997</v>
      </c>
      <c r="G323" s="175">
        <f t="shared" si="44"/>
        <v>32.831999999999994</v>
      </c>
      <c r="H323" s="175" t="str">
        <f t="shared" si="49"/>
        <v>IN</v>
      </c>
      <c r="I323" s="177">
        <f t="shared" si="43"/>
        <v>9831.7920000000031</v>
      </c>
      <c r="J323" s="177">
        <f t="shared" si="41"/>
        <v>1785.7779999999966</v>
      </c>
      <c r="K323" s="235">
        <f t="shared" si="42"/>
        <v>292.58675882047373</v>
      </c>
      <c r="L323" s="546"/>
      <c r="M323" s="547"/>
      <c r="N323" s="11"/>
    </row>
    <row r="324" spans="1:14" ht="12.6" customHeight="1">
      <c r="B324" s="173">
        <f t="shared" si="47"/>
        <v>301</v>
      </c>
      <c r="C324" s="173"/>
      <c r="D324" s="174">
        <v>7</v>
      </c>
      <c r="E324" s="168">
        <f t="shared" si="45"/>
        <v>302</v>
      </c>
      <c r="F324" s="286">
        <f t="shared" si="46"/>
        <v>33.03</v>
      </c>
      <c r="G324" s="175">
        <f t="shared" si="44"/>
        <v>32.631999999999998</v>
      </c>
      <c r="H324" s="175" t="str">
        <f t="shared" si="49"/>
        <v>IN</v>
      </c>
      <c r="I324" s="175">
        <f t="shared" si="43"/>
        <v>9864.4240000000027</v>
      </c>
      <c r="J324" s="175">
        <f t="shared" si="41"/>
        <v>1753.145999999997</v>
      </c>
      <c r="K324" s="262">
        <f t="shared" si="42"/>
        <v>293.27574523453023</v>
      </c>
      <c r="L324" s="568"/>
      <c r="M324" s="568"/>
      <c r="N324" s="11"/>
    </row>
    <row r="325" spans="1:14" ht="13.15" customHeight="1">
      <c r="B325" s="173">
        <f t="shared" si="47"/>
        <v>302</v>
      </c>
      <c r="C325" s="173"/>
      <c r="D325" s="174">
        <v>7</v>
      </c>
      <c r="E325" s="168">
        <f t="shared" si="45"/>
        <v>303</v>
      </c>
      <c r="F325" s="286">
        <f t="shared" si="46"/>
        <v>33.270000000000003</v>
      </c>
      <c r="G325" s="175">
        <f t="shared" si="44"/>
        <v>32.872</v>
      </c>
      <c r="H325" s="175" t="str">
        <f t="shared" si="49"/>
        <v>IN</v>
      </c>
      <c r="I325" s="175">
        <f t="shared" si="43"/>
        <v>9897.2960000000021</v>
      </c>
      <c r="J325" s="175">
        <f t="shared" si="41"/>
        <v>1720.2739999999976</v>
      </c>
      <c r="K325" s="262">
        <f t="shared" si="42"/>
        <v>293.96979896715055</v>
      </c>
      <c r="L325" s="567"/>
      <c r="M325" s="567"/>
      <c r="N325" s="11"/>
    </row>
    <row r="326" spans="1:14" ht="13.15" customHeight="1">
      <c r="B326" s="173">
        <f t="shared" si="47"/>
        <v>303</v>
      </c>
      <c r="C326" s="173"/>
      <c r="D326" s="174">
        <v>7</v>
      </c>
      <c r="E326" s="168">
        <f t="shared" si="45"/>
        <v>304</v>
      </c>
      <c r="F326" s="286">
        <f t="shared" si="46"/>
        <v>32.56</v>
      </c>
      <c r="G326" s="175">
        <f t="shared" si="44"/>
        <v>32.161999999999999</v>
      </c>
      <c r="H326" s="175" t="str">
        <f t="shared" si="49"/>
        <v>IN</v>
      </c>
      <c r="I326" s="175">
        <f t="shared" si="43"/>
        <v>9929.4580000000024</v>
      </c>
      <c r="J326" s="175">
        <f t="shared" si="41"/>
        <v>1688.1119999999974</v>
      </c>
      <c r="K326" s="262">
        <f t="shared" si="42"/>
        <v>294.648861882353</v>
      </c>
      <c r="L326" s="546"/>
      <c r="M326" s="547"/>
      <c r="N326" s="11"/>
    </row>
    <row r="327" spans="1:14" s="246" customFormat="1" ht="13.15" customHeight="1">
      <c r="A327" s="231"/>
      <c r="B327" s="173">
        <f t="shared" si="47"/>
        <v>304</v>
      </c>
      <c r="C327" s="173"/>
      <c r="D327" s="174">
        <v>7</v>
      </c>
      <c r="E327" s="168">
        <f t="shared" si="45"/>
        <v>305</v>
      </c>
      <c r="F327" s="286">
        <f t="shared" si="46"/>
        <v>31.48</v>
      </c>
      <c r="G327" s="175">
        <f t="shared" si="44"/>
        <v>31.082000000000001</v>
      </c>
      <c r="H327" s="175" t="str">
        <f t="shared" si="49"/>
        <v>IN</v>
      </c>
      <c r="I327" s="175">
        <f t="shared" si="43"/>
        <v>9960.5400000000027</v>
      </c>
      <c r="J327" s="175">
        <f t="shared" si="41"/>
        <v>1657.029999999997</v>
      </c>
      <c r="K327" s="262">
        <f t="shared" si="42"/>
        <v>295.30512186401842</v>
      </c>
      <c r="L327" s="546"/>
      <c r="M327" s="547"/>
      <c r="N327" s="272"/>
    </row>
    <row r="328" spans="1:14" ht="15" customHeight="1">
      <c r="B328" s="173">
        <f t="shared" si="47"/>
        <v>305</v>
      </c>
      <c r="C328" s="173"/>
      <c r="D328" s="174">
        <v>7</v>
      </c>
      <c r="E328" s="168">
        <f t="shared" si="45"/>
        <v>306</v>
      </c>
      <c r="F328" s="286">
        <f t="shared" si="46"/>
        <v>33.24</v>
      </c>
      <c r="G328" s="175">
        <f t="shared" si="44"/>
        <v>32.841999999999999</v>
      </c>
      <c r="H328" s="175" t="str">
        <f t="shared" si="49"/>
        <v>IN</v>
      </c>
      <c r="I328" s="175">
        <f t="shared" si="43"/>
        <v>9993.3820000000032</v>
      </c>
      <c r="J328" s="175">
        <f t="shared" si="41"/>
        <v>1624.1879999999965</v>
      </c>
      <c r="K328" s="262">
        <f t="shared" si="42"/>
        <v>295.99854218181827</v>
      </c>
      <c r="L328" s="546"/>
      <c r="M328" s="547"/>
      <c r="N328" s="11"/>
    </row>
    <row r="329" spans="1:14" ht="15" customHeight="1">
      <c r="B329" s="173">
        <f t="shared" si="47"/>
        <v>306</v>
      </c>
      <c r="C329" s="173"/>
      <c r="D329" s="174">
        <v>7</v>
      </c>
      <c r="E329" s="168">
        <f t="shared" si="45"/>
        <v>307</v>
      </c>
      <c r="F329" s="286">
        <f t="shared" si="46"/>
        <v>33.479999999999997</v>
      </c>
      <c r="G329" s="175">
        <f t="shared" si="44"/>
        <v>33.081999999999994</v>
      </c>
      <c r="H329" s="175" t="str">
        <f t="shared" si="49"/>
        <v>IN</v>
      </c>
      <c r="I329" s="175">
        <f t="shared" si="43"/>
        <v>10026.464000000004</v>
      </c>
      <c r="J329" s="175">
        <f t="shared" si="41"/>
        <v>1591.1059999999961</v>
      </c>
      <c r="K329" s="262">
        <f t="shared" si="42"/>
        <v>296.69702981818193</v>
      </c>
      <c r="L329" s="546"/>
      <c r="M329" s="547"/>
      <c r="N329" s="11"/>
    </row>
    <row r="330" spans="1:14" ht="15" customHeight="1">
      <c r="B330" s="173">
        <f t="shared" si="47"/>
        <v>307</v>
      </c>
      <c r="C330" s="173"/>
      <c r="D330" s="174">
        <v>7</v>
      </c>
      <c r="E330" s="168">
        <f t="shared" si="45"/>
        <v>308</v>
      </c>
      <c r="F330" s="286">
        <f t="shared" si="46"/>
        <v>33.270000000000003</v>
      </c>
      <c r="G330" s="175">
        <f t="shared" si="44"/>
        <v>32.872</v>
      </c>
      <c r="H330" s="175" t="str">
        <f t="shared" si="49"/>
        <v>IN</v>
      </c>
      <c r="I330" s="175">
        <f t="shared" si="43"/>
        <v>10059.336000000003</v>
      </c>
      <c r="J330" s="175">
        <f t="shared" si="41"/>
        <v>1558.2339999999967</v>
      </c>
      <c r="K330" s="262">
        <f t="shared" si="42"/>
        <v>297.39108355080225</v>
      </c>
      <c r="L330" s="546"/>
      <c r="M330" s="547"/>
      <c r="N330" s="11"/>
    </row>
    <row r="331" spans="1:14" ht="17.45" customHeight="1">
      <c r="B331" s="173">
        <f t="shared" si="47"/>
        <v>308</v>
      </c>
      <c r="C331" s="173"/>
      <c r="D331" s="174">
        <v>7</v>
      </c>
      <c r="E331" s="168">
        <f t="shared" si="45"/>
        <v>309</v>
      </c>
      <c r="F331" s="286">
        <f t="shared" si="46"/>
        <v>33.03</v>
      </c>
      <c r="G331" s="175">
        <f t="shared" si="44"/>
        <v>32.631999999999998</v>
      </c>
      <c r="H331" s="175" t="str">
        <f t="shared" si="49"/>
        <v>IN</v>
      </c>
      <c r="I331" s="175">
        <f t="shared" si="43"/>
        <v>10091.968000000003</v>
      </c>
      <c r="J331" s="175">
        <f t="shared" si="41"/>
        <v>1525.6019999999971</v>
      </c>
      <c r="K331" s="262">
        <f t="shared" si="42"/>
        <v>298.08006996485869</v>
      </c>
      <c r="L331" s="546"/>
      <c r="M331" s="547"/>
      <c r="N331" s="11"/>
    </row>
    <row r="332" spans="1:14" ht="15" customHeight="1">
      <c r="B332" s="173">
        <f t="shared" si="47"/>
        <v>309</v>
      </c>
      <c r="C332" s="173"/>
      <c r="D332" s="174">
        <v>7</v>
      </c>
      <c r="E332" s="168">
        <f t="shared" si="45"/>
        <v>310</v>
      </c>
      <c r="F332" s="286">
        <f t="shared" si="46"/>
        <v>33.340000000000003</v>
      </c>
      <c r="G332" s="175">
        <f t="shared" si="44"/>
        <v>32.942</v>
      </c>
      <c r="H332" s="175" t="str">
        <f t="shared" si="49"/>
        <v>IN</v>
      </c>
      <c r="I332" s="175">
        <f t="shared" si="43"/>
        <v>10124.910000000002</v>
      </c>
      <c r="J332" s="175">
        <f t="shared" si="41"/>
        <v>1492.659999999998</v>
      </c>
      <c r="K332" s="262">
        <f t="shared" si="42"/>
        <v>298.77560166539348</v>
      </c>
    </row>
    <row r="333" spans="1:14" ht="15" customHeight="1">
      <c r="B333" s="173">
        <f t="shared" si="47"/>
        <v>310</v>
      </c>
      <c r="C333" s="173"/>
      <c r="D333" s="174">
        <v>7</v>
      </c>
      <c r="E333" s="168">
        <f t="shared" si="45"/>
        <v>311</v>
      </c>
      <c r="F333" s="286">
        <f t="shared" si="46"/>
        <v>33.28</v>
      </c>
      <c r="G333" s="175">
        <f t="shared" si="44"/>
        <v>32.881999999999998</v>
      </c>
      <c r="H333" s="175" t="str">
        <f t="shared" si="49"/>
        <v>IN</v>
      </c>
      <c r="I333" s="175">
        <f t="shared" si="43"/>
        <v>10157.792000000001</v>
      </c>
      <c r="J333" s="175">
        <f t="shared" si="41"/>
        <v>1459.7779999999984</v>
      </c>
      <c r="K333" s="262">
        <f t="shared" si="42"/>
        <v>299.46986653628733</v>
      </c>
      <c r="L333" s="431"/>
      <c r="M333" s="432"/>
      <c r="N333" s="11"/>
    </row>
    <row r="334" spans="1:14" ht="15" customHeight="1">
      <c r="B334" s="173">
        <f t="shared" si="47"/>
        <v>311</v>
      </c>
      <c r="C334" s="173"/>
      <c r="D334" s="174">
        <v>7</v>
      </c>
      <c r="E334" s="168">
        <f t="shared" si="45"/>
        <v>312</v>
      </c>
      <c r="F334" s="286">
        <f t="shared" si="46"/>
        <v>33.36</v>
      </c>
      <c r="G334" s="175">
        <f t="shared" si="44"/>
        <v>32.961999999999996</v>
      </c>
      <c r="H334" s="175" t="str">
        <f t="shared" si="49"/>
        <v>IN</v>
      </c>
      <c r="I334" s="175">
        <f t="shared" si="43"/>
        <v>10190.754000000001</v>
      </c>
      <c r="J334" s="175">
        <f t="shared" si="41"/>
        <v>1426.8159999999989</v>
      </c>
      <c r="K334" s="262">
        <f t="shared" si="42"/>
        <v>300.16582051336906</v>
      </c>
      <c r="L334" s="431"/>
      <c r="M334" s="432"/>
      <c r="N334" s="11"/>
    </row>
    <row r="335" spans="1:14" ht="15" customHeight="1">
      <c r="B335" s="173">
        <f t="shared" si="47"/>
        <v>312</v>
      </c>
      <c r="C335" s="173"/>
      <c r="D335" s="174">
        <v>7</v>
      </c>
      <c r="E335" s="168">
        <f t="shared" si="45"/>
        <v>313</v>
      </c>
      <c r="F335" s="286">
        <f t="shared" si="46"/>
        <v>33.200000000000003</v>
      </c>
      <c r="G335" s="175">
        <f t="shared" si="44"/>
        <v>32.802</v>
      </c>
      <c r="H335" s="175" t="str">
        <f t="shared" si="49"/>
        <v>IN</v>
      </c>
      <c r="I335" s="175">
        <f t="shared" si="43"/>
        <v>10223.556</v>
      </c>
      <c r="J335" s="175">
        <f t="shared" ref="J335:J398" si="50">IF(I335="","",$L$9-I335)</f>
        <v>1394.0139999999992</v>
      </c>
      <c r="K335" s="262">
        <f t="shared" ref="K335:K398" si="51">$H$9+(I335*$E$10*$H$11/1000)</f>
        <v>300.85839627807491</v>
      </c>
      <c r="L335" s="431"/>
      <c r="M335" s="432"/>
      <c r="N335" s="11"/>
    </row>
    <row r="336" spans="1:14" ht="15" customHeight="1">
      <c r="B336" s="173">
        <f t="shared" si="47"/>
        <v>313</v>
      </c>
      <c r="C336" s="173"/>
      <c r="D336" s="174">
        <v>8</v>
      </c>
      <c r="E336" s="168">
        <f t="shared" si="45"/>
        <v>314</v>
      </c>
      <c r="F336" s="286">
        <f t="shared" si="46"/>
        <v>33.17</v>
      </c>
      <c r="G336" s="175">
        <f t="shared" si="44"/>
        <v>32.771999999999998</v>
      </c>
      <c r="H336" s="175" t="str">
        <f t="shared" si="49"/>
        <v>IN</v>
      </c>
      <c r="I336" s="175">
        <f t="shared" ref="I336:I399" si="52">IF(H336="IN",I335+G336,I335)</f>
        <v>10256.328000000001</v>
      </c>
      <c r="J336" s="175">
        <f t="shared" si="50"/>
        <v>1361.2419999999984</v>
      </c>
      <c r="K336" s="262">
        <f t="shared" si="51"/>
        <v>301.55033862796034</v>
      </c>
      <c r="L336" s="431"/>
      <c r="M336" s="432"/>
      <c r="N336" s="11"/>
    </row>
    <row r="337" spans="1:14" ht="15" customHeight="1">
      <c r="B337" s="173">
        <f t="shared" si="47"/>
        <v>314</v>
      </c>
      <c r="C337" s="173"/>
      <c r="D337" s="174">
        <v>7</v>
      </c>
      <c r="E337" s="168">
        <f t="shared" si="45"/>
        <v>315</v>
      </c>
      <c r="F337" s="286">
        <f t="shared" si="46"/>
        <v>33.380000000000003</v>
      </c>
      <c r="G337" s="175">
        <f t="shared" si="44"/>
        <v>32.981999999999999</v>
      </c>
      <c r="H337" s="175" t="str">
        <f t="shared" si="49"/>
        <v>IN</v>
      </c>
      <c r="I337" s="175">
        <f t="shared" si="52"/>
        <v>10289.310000000001</v>
      </c>
      <c r="J337" s="175">
        <f t="shared" si="50"/>
        <v>1328.2599999999984</v>
      </c>
      <c r="K337" s="262">
        <f t="shared" si="51"/>
        <v>302.24671488158901</v>
      </c>
      <c r="L337" s="548" t="s">
        <v>132</v>
      </c>
      <c r="M337" s="549"/>
      <c r="N337" s="11"/>
    </row>
    <row r="338" spans="1:14" ht="15" customHeight="1">
      <c r="A338" s="231"/>
      <c r="B338" s="173">
        <f t="shared" si="47"/>
        <v>315</v>
      </c>
      <c r="C338" s="173"/>
      <c r="D338" s="174">
        <v>7</v>
      </c>
      <c r="E338" s="168">
        <f t="shared" si="45"/>
        <v>316</v>
      </c>
      <c r="F338" s="286">
        <f t="shared" si="46"/>
        <v>33.25</v>
      </c>
      <c r="G338" s="175">
        <f t="shared" si="44"/>
        <v>32.851999999999997</v>
      </c>
      <c r="H338" s="175" t="str">
        <f t="shared" si="49"/>
        <v>IN</v>
      </c>
      <c r="I338" s="175">
        <f t="shared" si="52"/>
        <v>10322.162000000002</v>
      </c>
      <c r="J338" s="175">
        <f t="shared" si="50"/>
        <v>1295.4079999999976</v>
      </c>
      <c r="K338" s="262">
        <f t="shared" si="51"/>
        <v>302.94034633766239</v>
      </c>
      <c r="L338" s="441"/>
      <c r="M338" s="442"/>
      <c r="N338" s="11"/>
    </row>
    <row r="339" spans="1:14" ht="15" customHeight="1">
      <c r="A339" s="231"/>
      <c r="B339" s="173">
        <f t="shared" si="47"/>
        <v>316</v>
      </c>
      <c r="C339" s="173"/>
      <c r="D339" s="174">
        <v>7</v>
      </c>
      <c r="E339" s="168">
        <f t="shared" si="45"/>
        <v>317</v>
      </c>
      <c r="F339" s="286">
        <f t="shared" si="46"/>
        <v>33.58</v>
      </c>
      <c r="G339" s="175">
        <f t="shared" si="44"/>
        <v>33.181999999999995</v>
      </c>
      <c r="H339" s="175" t="str">
        <f t="shared" si="49"/>
        <v>IN</v>
      </c>
      <c r="I339" s="175">
        <f t="shared" si="52"/>
        <v>10355.344000000003</v>
      </c>
      <c r="J339" s="175">
        <f t="shared" si="50"/>
        <v>1262.2259999999969</v>
      </c>
      <c r="K339" s="262">
        <f t="shared" si="51"/>
        <v>303.64094535676099</v>
      </c>
      <c r="L339" s="441"/>
      <c r="M339" s="442"/>
      <c r="N339" s="11"/>
    </row>
    <row r="340" spans="1:14" ht="15" customHeight="1">
      <c r="A340" s="231"/>
      <c r="B340" s="173">
        <f t="shared" si="47"/>
        <v>317</v>
      </c>
      <c r="C340" s="173"/>
      <c r="D340" s="174">
        <v>7</v>
      </c>
      <c r="E340" s="168">
        <f t="shared" si="45"/>
        <v>318</v>
      </c>
      <c r="F340" s="286">
        <f t="shared" si="46"/>
        <v>32.93</v>
      </c>
      <c r="G340" s="175">
        <f t="shared" si="44"/>
        <v>32.531999999999996</v>
      </c>
      <c r="H340" s="175" t="str">
        <f t="shared" si="49"/>
        <v>IN</v>
      </c>
      <c r="I340" s="175">
        <f t="shared" si="52"/>
        <v>10387.876000000002</v>
      </c>
      <c r="J340" s="175">
        <f t="shared" si="50"/>
        <v>1229.6939999999977</v>
      </c>
      <c r="K340" s="262">
        <f t="shared" si="51"/>
        <v>304.32782038808256</v>
      </c>
      <c r="L340" s="441"/>
      <c r="M340" s="442"/>
      <c r="N340" s="11"/>
    </row>
    <row r="341" spans="1:14">
      <c r="A341" s="231"/>
      <c r="B341" s="550" t="s">
        <v>135</v>
      </c>
      <c r="C341" s="553">
        <v>11880127</v>
      </c>
      <c r="D341" s="556" t="s">
        <v>136</v>
      </c>
      <c r="E341" s="556"/>
      <c r="F341" s="170">
        <v>6.21</v>
      </c>
      <c r="G341" s="233">
        <f t="shared" si="44"/>
        <v>5.8120000000000003</v>
      </c>
      <c r="H341" s="233" t="s">
        <v>131</v>
      </c>
      <c r="I341" s="233">
        <f t="shared" si="52"/>
        <v>10393.688000000002</v>
      </c>
      <c r="J341" s="233">
        <f t="shared" si="50"/>
        <v>1223.8819999999978</v>
      </c>
      <c r="K341" s="234">
        <f t="shared" si="51"/>
        <v>304.45053395263562</v>
      </c>
      <c r="L341" s="557" t="s">
        <v>137</v>
      </c>
      <c r="M341" s="558"/>
      <c r="N341" s="11"/>
    </row>
    <row r="342" spans="1:14">
      <c r="A342" s="231"/>
      <c r="B342" s="551"/>
      <c r="C342" s="554"/>
      <c r="D342" s="556" t="s">
        <v>138</v>
      </c>
      <c r="E342" s="556"/>
      <c r="F342" s="289">
        <v>5.61</v>
      </c>
      <c r="G342" s="170">
        <f>F342</f>
        <v>5.61</v>
      </c>
      <c r="H342" s="233" t="str">
        <f t="shared" ref="H342:H358" si="53">IF(F342="","OUT","IN")</f>
        <v>IN</v>
      </c>
      <c r="I342" s="233">
        <f t="shared" si="52"/>
        <v>10399.298000000003</v>
      </c>
      <c r="J342" s="233">
        <f t="shared" si="50"/>
        <v>1218.2719999999972</v>
      </c>
      <c r="K342" s="234">
        <f t="shared" si="51"/>
        <v>304.56898252406427</v>
      </c>
      <c r="L342" s="557" t="s">
        <v>139</v>
      </c>
      <c r="M342" s="558"/>
      <c r="N342" s="11"/>
    </row>
    <row r="343" spans="1:14">
      <c r="A343" s="231"/>
      <c r="B343" s="551"/>
      <c r="C343" s="554"/>
      <c r="D343" s="559" t="s">
        <v>140</v>
      </c>
      <c r="E343" s="559"/>
      <c r="F343" s="427">
        <v>8.4700000000000006</v>
      </c>
      <c r="G343" s="171">
        <f>F343</f>
        <v>8.4700000000000006</v>
      </c>
      <c r="H343" s="171" t="str">
        <f t="shared" si="53"/>
        <v>IN</v>
      </c>
      <c r="I343" s="171">
        <f t="shared" si="52"/>
        <v>10407.768000000002</v>
      </c>
      <c r="J343" s="171">
        <f t="shared" si="50"/>
        <v>1209.8019999999979</v>
      </c>
      <c r="K343" s="428">
        <f t="shared" si="51"/>
        <v>304.74781664171127</v>
      </c>
      <c r="L343" s="560"/>
      <c r="M343" s="561"/>
      <c r="N343" s="11"/>
    </row>
    <row r="344" spans="1:14">
      <c r="A344" s="231"/>
      <c r="B344" s="551"/>
      <c r="C344" s="554"/>
      <c r="D344" s="556" t="s">
        <v>138</v>
      </c>
      <c r="E344" s="556"/>
      <c r="F344" s="289">
        <v>11.615</v>
      </c>
      <c r="G344" s="170">
        <f>F344</f>
        <v>11.615</v>
      </c>
      <c r="H344" s="233" t="str">
        <f t="shared" si="53"/>
        <v>IN</v>
      </c>
      <c r="I344" s="233">
        <f t="shared" si="52"/>
        <v>10419.383000000002</v>
      </c>
      <c r="J344" s="233">
        <f t="shared" si="50"/>
        <v>1198.1869999999981</v>
      </c>
      <c r="K344" s="234">
        <f t="shared" si="51"/>
        <v>304.99305374637129</v>
      </c>
      <c r="L344" s="562" t="s">
        <v>141</v>
      </c>
      <c r="M344" s="563"/>
      <c r="N344" s="11"/>
    </row>
    <row r="345" spans="1:14" ht="13.5" customHeight="1">
      <c r="A345" s="231"/>
      <c r="B345" s="552"/>
      <c r="C345" s="555"/>
      <c r="D345" s="556" t="s">
        <v>136</v>
      </c>
      <c r="E345" s="556"/>
      <c r="F345" s="289">
        <v>9.82</v>
      </c>
      <c r="G345" s="170">
        <f>F345</f>
        <v>9.82</v>
      </c>
      <c r="H345" s="233" t="str">
        <f t="shared" si="53"/>
        <v>IN</v>
      </c>
      <c r="I345" s="233">
        <f t="shared" si="52"/>
        <v>10429.203000000001</v>
      </c>
      <c r="J345" s="233">
        <f t="shared" si="50"/>
        <v>1188.3669999999984</v>
      </c>
      <c r="K345" s="234">
        <f t="shared" si="51"/>
        <v>305.20039153093967</v>
      </c>
      <c r="L345" s="564" t="s">
        <v>142</v>
      </c>
      <c r="M345" s="565"/>
      <c r="N345" s="11"/>
    </row>
    <row r="346" spans="1:14" ht="15" customHeight="1">
      <c r="A346" s="231"/>
      <c r="B346" s="173">
        <f>B340+1</f>
        <v>318</v>
      </c>
      <c r="C346" s="173"/>
      <c r="D346" s="174">
        <v>7</v>
      </c>
      <c r="E346" s="168">
        <f>E340+1</f>
        <v>319</v>
      </c>
      <c r="F346" s="286">
        <f t="shared" ref="F346:F377" si="54">VLOOKUP(E346,tubing1,2,FALSE)</f>
        <v>33.42</v>
      </c>
      <c r="G346" s="175">
        <f t="shared" ref="G346:G377" si="55">F346-($E$12)</f>
        <v>33.021999999999998</v>
      </c>
      <c r="H346" s="175" t="str">
        <f t="shared" si="53"/>
        <v>IN</v>
      </c>
      <c r="I346" s="175">
        <f t="shared" si="52"/>
        <v>10462.225000000002</v>
      </c>
      <c r="J346" s="175">
        <f t="shared" si="50"/>
        <v>1155.3449999999975</v>
      </c>
      <c r="K346" s="262">
        <f t="shared" si="51"/>
        <v>305.89761233766239</v>
      </c>
      <c r="N346" s="11"/>
    </row>
    <row r="347" spans="1:14" ht="15" customHeight="1">
      <c r="A347" s="231"/>
      <c r="B347" s="173">
        <f t="shared" ref="B347:B358" si="56">B346+1</f>
        <v>319</v>
      </c>
      <c r="C347" s="173"/>
      <c r="D347" s="174">
        <v>7</v>
      </c>
      <c r="E347" s="168">
        <f t="shared" ref="E347:E378" si="57">E346+1</f>
        <v>320</v>
      </c>
      <c r="F347" s="286">
        <f t="shared" si="54"/>
        <v>32.93</v>
      </c>
      <c r="G347" s="175">
        <f t="shared" si="55"/>
        <v>32.531999999999996</v>
      </c>
      <c r="H347" s="175" t="str">
        <f t="shared" si="53"/>
        <v>IN</v>
      </c>
      <c r="I347" s="175">
        <f t="shared" si="52"/>
        <v>10494.757000000001</v>
      </c>
      <c r="J347" s="175">
        <f t="shared" si="50"/>
        <v>1122.8129999999983</v>
      </c>
      <c r="K347" s="262">
        <f t="shared" si="51"/>
        <v>306.58448736898401</v>
      </c>
      <c r="L347" s="441"/>
      <c r="M347" s="442"/>
      <c r="N347" s="11"/>
    </row>
    <row r="348" spans="1:14" ht="15" customHeight="1">
      <c r="A348" s="231"/>
      <c r="B348" s="173">
        <f t="shared" si="56"/>
        <v>320</v>
      </c>
      <c r="C348" s="173"/>
      <c r="D348" s="174">
        <v>7</v>
      </c>
      <c r="E348" s="168">
        <f t="shared" si="57"/>
        <v>321</v>
      </c>
      <c r="F348" s="286">
        <f t="shared" si="54"/>
        <v>33.36</v>
      </c>
      <c r="G348" s="175">
        <f t="shared" si="55"/>
        <v>32.961999999999996</v>
      </c>
      <c r="H348" s="175" t="str">
        <f t="shared" si="53"/>
        <v>IN</v>
      </c>
      <c r="I348" s="175">
        <f t="shared" si="52"/>
        <v>10527.719000000001</v>
      </c>
      <c r="J348" s="175">
        <f t="shared" si="50"/>
        <v>1089.8509999999987</v>
      </c>
      <c r="K348" s="262">
        <f t="shared" si="51"/>
        <v>307.28044134606569</v>
      </c>
      <c r="L348" s="441"/>
      <c r="M348" s="442"/>
      <c r="N348" s="11"/>
    </row>
    <row r="349" spans="1:14" ht="15" customHeight="1">
      <c r="A349" s="231"/>
      <c r="B349" s="173">
        <f t="shared" si="56"/>
        <v>321</v>
      </c>
      <c r="C349" s="173"/>
      <c r="D349" s="174">
        <v>7</v>
      </c>
      <c r="E349" s="168">
        <f t="shared" si="57"/>
        <v>322</v>
      </c>
      <c r="F349" s="286">
        <f t="shared" si="54"/>
        <v>32.57</v>
      </c>
      <c r="G349" s="175">
        <f t="shared" si="55"/>
        <v>32.171999999999997</v>
      </c>
      <c r="H349" s="175" t="str">
        <f t="shared" si="53"/>
        <v>IN</v>
      </c>
      <c r="I349" s="175">
        <f t="shared" si="52"/>
        <v>10559.891000000001</v>
      </c>
      <c r="J349" s="175">
        <f t="shared" si="50"/>
        <v>1057.6789999999983</v>
      </c>
      <c r="K349" s="262">
        <f t="shared" si="51"/>
        <v>307.95971539954166</v>
      </c>
      <c r="L349" s="441"/>
      <c r="M349" s="442"/>
      <c r="N349" s="11"/>
    </row>
    <row r="350" spans="1:14" ht="15" customHeight="1">
      <c r="A350" s="231"/>
      <c r="B350" s="173">
        <f t="shared" si="56"/>
        <v>322</v>
      </c>
      <c r="C350" s="173"/>
      <c r="D350" s="174">
        <v>7</v>
      </c>
      <c r="E350" s="168">
        <f t="shared" si="57"/>
        <v>323</v>
      </c>
      <c r="F350" s="286">
        <f t="shared" si="54"/>
        <v>31.38</v>
      </c>
      <c r="G350" s="175">
        <f t="shared" si="55"/>
        <v>30.981999999999999</v>
      </c>
      <c r="H350" s="175" t="str">
        <f t="shared" si="53"/>
        <v>IN</v>
      </c>
      <c r="I350" s="175">
        <f t="shared" si="52"/>
        <v>10590.873000000001</v>
      </c>
      <c r="J350" s="175">
        <f t="shared" si="50"/>
        <v>1026.6969999999983</v>
      </c>
      <c r="K350" s="262">
        <f t="shared" si="51"/>
        <v>308.6138639984722</v>
      </c>
      <c r="L350" s="441"/>
      <c r="M350" s="442"/>
      <c r="N350" s="11"/>
    </row>
    <row r="351" spans="1:14" ht="15" customHeight="1">
      <c r="A351" s="231"/>
      <c r="B351" s="173">
        <f t="shared" si="56"/>
        <v>323</v>
      </c>
      <c r="C351" s="173"/>
      <c r="D351" s="174">
        <v>7</v>
      </c>
      <c r="E351" s="168">
        <f t="shared" si="57"/>
        <v>324</v>
      </c>
      <c r="F351" s="286">
        <f t="shared" si="54"/>
        <v>32.44</v>
      </c>
      <c r="G351" s="175">
        <f t="shared" si="55"/>
        <v>32.041999999999994</v>
      </c>
      <c r="H351" s="175" t="str">
        <f t="shared" si="53"/>
        <v>IN</v>
      </c>
      <c r="I351" s="175">
        <f t="shared" si="52"/>
        <v>10622.915000000001</v>
      </c>
      <c r="J351" s="175">
        <f t="shared" si="50"/>
        <v>994.65499999999884</v>
      </c>
      <c r="K351" s="262">
        <f t="shared" si="51"/>
        <v>309.29039325439271</v>
      </c>
      <c r="L351" s="441"/>
      <c r="M351" s="442"/>
      <c r="N351" s="11"/>
    </row>
    <row r="352" spans="1:14" ht="15" customHeight="1">
      <c r="A352" s="231"/>
      <c r="B352" s="173">
        <f t="shared" si="56"/>
        <v>324</v>
      </c>
      <c r="C352" s="173"/>
      <c r="D352" s="174">
        <v>7</v>
      </c>
      <c r="E352" s="168">
        <f t="shared" si="57"/>
        <v>325</v>
      </c>
      <c r="F352" s="286">
        <f t="shared" si="54"/>
        <v>33.4</v>
      </c>
      <c r="G352" s="175">
        <f t="shared" si="55"/>
        <v>33.001999999999995</v>
      </c>
      <c r="H352" s="175" t="str">
        <f t="shared" si="53"/>
        <v>IN</v>
      </c>
      <c r="I352" s="175">
        <f t="shared" si="52"/>
        <v>10655.917000000001</v>
      </c>
      <c r="J352" s="175">
        <f t="shared" si="50"/>
        <v>961.65299999999843</v>
      </c>
      <c r="K352" s="262">
        <f t="shared" si="51"/>
        <v>309.98719178456838</v>
      </c>
      <c r="L352" s="441"/>
      <c r="M352" s="442"/>
      <c r="N352" s="11"/>
    </row>
    <row r="353" spans="1:15" ht="15" customHeight="1">
      <c r="A353" s="231"/>
      <c r="B353" s="173">
        <f t="shared" si="56"/>
        <v>325</v>
      </c>
      <c r="C353" s="173"/>
      <c r="D353" s="174">
        <v>7</v>
      </c>
      <c r="E353" s="168">
        <f t="shared" si="57"/>
        <v>326</v>
      </c>
      <c r="F353" s="286">
        <f t="shared" si="54"/>
        <v>33.090000000000003</v>
      </c>
      <c r="G353" s="175">
        <f t="shared" si="55"/>
        <v>32.692</v>
      </c>
      <c r="H353" s="175" t="str">
        <f t="shared" si="53"/>
        <v>IN</v>
      </c>
      <c r="I353" s="175">
        <f t="shared" si="52"/>
        <v>10688.609</v>
      </c>
      <c r="J353" s="175">
        <f t="shared" si="50"/>
        <v>928.96099999999933</v>
      </c>
      <c r="K353" s="262">
        <f t="shared" si="51"/>
        <v>310.67744502826588</v>
      </c>
      <c r="L353" s="441"/>
      <c r="M353" s="442"/>
      <c r="N353" s="11"/>
    </row>
    <row r="354" spans="1:15" ht="15" customHeight="1">
      <c r="A354" s="231"/>
      <c r="B354" s="173">
        <f t="shared" si="56"/>
        <v>326</v>
      </c>
      <c r="C354" s="173"/>
      <c r="D354" s="174">
        <v>7</v>
      </c>
      <c r="E354" s="168">
        <f t="shared" si="57"/>
        <v>327</v>
      </c>
      <c r="F354" s="286">
        <f t="shared" si="54"/>
        <v>32.74</v>
      </c>
      <c r="G354" s="175">
        <f t="shared" si="55"/>
        <v>32.341999999999999</v>
      </c>
      <c r="H354" s="175" t="str">
        <f t="shared" si="53"/>
        <v>IN</v>
      </c>
      <c r="I354" s="175">
        <f t="shared" si="52"/>
        <v>10720.951000000001</v>
      </c>
      <c r="J354" s="175">
        <f t="shared" si="50"/>
        <v>896.61899999999878</v>
      </c>
      <c r="K354" s="262">
        <f t="shared" si="51"/>
        <v>311.36030843239121</v>
      </c>
      <c r="L354" s="441"/>
      <c r="M354" s="442"/>
      <c r="N354" s="11"/>
    </row>
    <row r="355" spans="1:15" ht="15" customHeight="1">
      <c r="A355" s="231"/>
      <c r="B355" s="173">
        <f t="shared" si="56"/>
        <v>327</v>
      </c>
      <c r="C355" s="173"/>
      <c r="D355" s="174">
        <v>7</v>
      </c>
      <c r="E355" s="168">
        <f t="shared" si="57"/>
        <v>328</v>
      </c>
      <c r="F355" s="286">
        <f t="shared" si="54"/>
        <v>32.68</v>
      </c>
      <c r="G355" s="175">
        <f t="shared" si="55"/>
        <v>32.281999999999996</v>
      </c>
      <c r="H355" s="175" t="str">
        <f t="shared" si="53"/>
        <v>IN</v>
      </c>
      <c r="I355" s="175">
        <f t="shared" si="52"/>
        <v>10753.233</v>
      </c>
      <c r="J355" s="175">
        <f t="shared" si="50"/>
        <v>864.33699999999953</v>
      </c>
      <c r="K355" s="262">
        <f t="shared" si="51"/>
        <v>312.04190500687548</v>
      </c>
      <c r="L355" s="441"/>
      <c r="M355" s="442"/>
      <c r="N355" s="11"/>
    </row>
    <row r="356" spans="1:15" ht="15" customHeight="1">
      <c r="A356" s="231"/>
      <c r="B356" s="173">
        <f t="shared" si="56"/>
        <v>328</v>
      </c>
      <c r="C356" s="173"/>
      <c r="D356" s="174">
        <v>7</v>
      </c>
      <c r="E356" s="168">
        <f t="shared" si="57"/>
        <v>329</v>
      </c>
      <c r="F356" s="286">
        <f t="shared" si="54"/>
        <v>32.26</v>
      </c>
      <c r="G356" s="175">
        <f t="shared" si="55"/>
        <v>31.861999999999998</v>
      </c>
      <c r="H356" s="175" t="str">
        <f t="shared" si="53"/>
        <v>IN</v>
      </c>
      <c r="I356" s="175">
        <f t="shared" si="52"/>
        <v>10785.094999999999</v>
      </c>
      <c r="J356" s="175">
        <f t="shared" si="50"/>
        <v>832.47500000000036</v>
      </c>
      <c r="K356" s="262">
        <f t="shared" si="51"/>
        <v>312.71463377387317</v>
      </c>
      <c r="L356" s="441"/>
      <c r="M356" s="442"/>
      <c r="N356" s="11"/>
    </row>
    <row r="357" spans="1:15" ht="15" customHeight="1">
      <c r="A357" s="231"/>
      <c r="B357" s="173">
        <f t="shared" si="56"/>
        <v>329</v>
      </c>
      <c r="C357" s="173"/>
      <c r="D357" s="174">
        <v>7</v>
      </c>
      <c r="E357" s="168">
        <f t="shared" si="57"/>
        <v>330</v>
      </c>
      <c r="F357" s="286">
        <f t="shared" si="54"/>
        <v>33.03</v>
      </c>
      <c r="G357" s="175">
        <f t="shared" si="55"/>
        <v>32.631999999999998</v>
      </c>
      <c r="H357" s="175" t="str">
        <f t="shared" si="53"/>
        <v>IN</v>
      </c>
      <c r="I357" s="175">
        <f t="shared" si="52"/>
        <v>10817.726999999999</v>
      </c>
      <c r="J357" s="175">
        <f t="shared" si="50"/>
        <v>799.84300000000076</v>
      </c>
      <c r="K357" s="262">
        <f t="shared" si="51"/>
        <v>313.40362018792973</v>
      </c>
      <c r="L357" s="441"/>
      <c r="M357" s="442"/>
      <c r="N357" s="11"/>
    </row>
    <row r="358" spans="1:15" ht="15" customHeight="1">
      <c r="A358" s="231"/>
      <c r="B358" s="173">
        <f t="shared" si="56"/>
        <v>330</v>
      </c>
      <c r="C358" s="173"/>
      <c r="D358" s="174">
        <v>7</v>
      </c>
      <c r="E358" s="168">
        <f t="shared" si="57"/>
        <v>331</v>
      </c>
      <c r="F358" s="286">
        <f t="shared" si="54"/>
        <v>33.22</v>
      </c>
      <c r="G358" s="175">
        <f t="shared" si="55"/>
        <v>32.821999999999996</v>
      </c>
      <c r="H358" s="175" t="str">
        <f t="shared" si="53"/>
        <v>IN</v>
      </c>
      <c r="I358" s="175">
        <f t="shared" si="52"/>
        <v>10850.548999999999</v>
      </c>
      <c r="J358" s="175">
        <f t="shared" si="50"/>
        <v>767.02100000000064</v>
      </c>
      <c r="K358" s="262">
        <f t="shared" si="51"/>
        <v>314.09661822918258</v>
      </c>
      <c r="L358" s="441"/>
      <c r="M358" s="442"/>
      <c r="N358" s="11"/>
    </row>
    <row r="359" spans="1:15" ht="15" customHeight="1">
      <c r="A359" s="231"/>
      <c r="B359" s="263"/>
      <c r="C359" s="263"/>
      <c r="D359" s="241">
        <v>7</v>
      </c>
      <c r="E359" s="264">
        <f t="shared" si="57"/>
        <v>332</v>
      </c>
      <c r="F359" s="285">
        <f t="shared" si="54"/>
        <v>30.96</v>
      </c>
      <c r="G359" s="233">
        <f t="shared" si="55"/>
        <v>30.562000000000001</v>
      </c>
      <c r="H359" s="233" t="s">
        <v>97</v>
      </c>
      <c r="I359" s="233">
        <f t="shared" si="52"/>
        <v>10850.548999999999</v>
      </c>
      <c r="J359" s="233">
        <f t="shared" si="50"/>
        <v>767.02100000000064</v>
      </c>
      <c r="K359" s="234">
        <f t="shared" si="51"/>
        <v>314.09661822918258</v>
      </c>
      <c r="L359" s="426" t="s">
        <v>143</v>
      </c>
      <c r="M359" s="382"/>
      <c r="N359" s="11"/>
    </row>
    <row r="360" spans="1:15" ht="15" customHeight="1">
      <c r="A360" s="231"/>
      <c r="B360" s="173">
        <v>331</v>
      </c>
      <c r="C360" s="173"/>
      <c r="D360" s="174">
        <v>7</v>
      </c>
      <c r="E360" s="168">
        <f t="shared" si="57"/>
        <v>333</v>
      </c>
      <c r="F360" s="286">
        <f t="shared" si="54"/>
        <v>33.35</v>
      </c>
      <c r="G360" s="175">
        <f t="shared" si="55"/>
        <v>32.951999999999998</v>
      </c>
      <c r="H360" s="175" t="str">
        <f t="shared" ref="H360:H377" si="58">IF(F360="","OUT","IN")</f>
        <v>IN</v>
      </c>
      <c r="I360" s="175">
        <f t="shared" si="52"/>
        <v>10883.500999999998</v>
      </c>
      <c r="J360" s="175">
        <f t="shared" si="50"/>
        <v>734.06900000000132</v>
      </c>
      <c r="K360" s="262">
        <f t="shared" si="51"/>
        <v>314.79236106799078</v>
      </c>
      <c r="L360" s="441"/>
      <c r="M360" s="442"/>
      <c r="N360" s="11"/>
    </row>
    <row r="361" spans="1:15" ht="15" customHeight="1">
      <c r="A361" s="231"/>
      <c r="B361" s="173">
        <f t="shared" ref="B361:B392" si="59">B360+1</f>
        <v>332</v>
      </c>
      <c r="C361" s="173"/>
      <c r="D361" s="174">
        <v>7</v>
      </c>
      <c r="E361" s="168">
        <f t="shared" si="57"/>
        <v>334</v>
      </c>
      <c r="F361" s="286">
        <f t="shared" si="54"/>
        <v>33.1</v>
      </c>
      <c r="G361" s="175">
        <f t="shared" si="55"/>
        <v>32.701999999999998</v>
      </c>
      <c r="H361" s="175" t="str">
        <f t="shared" si="58"/>
        <v>IN</v>
      </c>
      <c r="I361" s="175">
        <f t="shared" si="52"/>
        <v>10916.202999999998</v>
      </c>
      <c r="J361" s="175">
        <f t="shared" si="50"/>
        <v>701.36700000000201</v>
      </c>
      <c r="K361" s="262">
        <f t="shared" si="51"/>
        <v>315.48282544996175</v>
      </c>
      <c r="L361" s="441"/>
      <c r="M361" s="442"/>
      <c r="N361" s="11"/>
    </row>
    <row r="362" spans="1:15" ht="15" customHeight="1">
      <c r="A362" s="231"/>
      <c r="B362" s="173">
        <f t="shared" si="59"/>
        <v>333</v>
      </c>
      <c r="C362" s="173"/>
      <c r="D362" s="174">
        <v>7</v>
      </c>
      <c r="E362" s="168">
        <f t="shared" si="57"/>
        <v>335</v>
      </c>
      <c r="F362" s="286">
        <f t="shared" si="54"/>
        <v>33.33</v>
      </c>
      <c r="G362" s="175">
        <f t="shared" si="55"/>
        <v>32.931999999999995</v>
      </c>
      <c r="H362" s="175" t="str">
        <f t="shared" si="58"/>
        <v>IN</v>
      </c>
      <c r="I362" s="175">
        <f t="shared" si="52"/>
        <v>10949.134999999998</v>
      </c>
      <c r="J362" s="175">
        <f t="shared" si="50"/>
        <v>668.43500000000131</v>
      </c>
      <c r="K362" s="262">
        <f t="shared" si="51"/>
        <v>316.17814601222301</v>
      </c>
      <c r="L362" s="441"/>
      <c r="M362" s="442"/>
      <c r="N362" s="11"/>
    </row>
    <row r="363" spans="1:15" ht="15" customHeight="1">
      <c r="A363" s="231"/>
      <c r="B363" s="173">
        <f t="shared" si="59"/>
        <v>334</v>
      </c>
      <c r="C363" s="173"/>
      <c r="D363" s="174">
        <v>7</v>
      </c>
      <c r="E363" s="168">
        <f t="shared" si="57"/>
        <v>336</v>
      </c>
      <c r="F363" s="286">
        <f t="shared" si="54"/>
        <v>33.35</v>
      </c>
      <c r="G363" s="175">
        <f t="shared" si="55"/>
        <v>32.951999999999998</v>
      </c>
      <c r="H363" s="175" t="str">
        <f t="shared" si="58"/>
        <v>IN</v>
      </c>
      <c r="I363" s="175">
        <f t="shared" si="52"/>
        <v>10982.086999999998</v>
      </c>
      <c r="J363" s="175">
        <f t="shared" si="50"/>
        <v>635.48300000000199</v>
      </c>
      <c r="K363" s="262">
        <f t="shared" si="51"/>
        <v>316.87388885103132</v>
      </c>
      <c r="L363" s="441"/>
      <c r="M363" s="442"/>
      <c r="N363" s="11"/>
    </row>
    <row r="364" spans="1:15" ht="15" customHeight="1">
      <c r="A364" s="231"/>
      <c r="B364" s="173">
        <f t="shared" si="59"/>
        <v>335</v>
      </c>
      <c r="C364" s="173"/>
      <c r="D364" s="174">
        <v>7</v>
      </c>
      <c r="E364" s="168">
        <f t="shared" si="57"/>
        <v>337</v>
      </c>
      <c r="F364" s="286">
        <f t="shared" si="54"/>
        <v>33.65</v>
      </c>
      <c r="G364" s="175">
        <f t="shared" si="55"/>
        <v>33.251999999999995</v>
      </c>
      <c r="H364" s="175" t="str">
        <f t="shared" si="58"/>
        <v>IN</v>
      </c>
      <c r="I364" s="175">
        <f t="shared" si="52"/>
        <v>11015.338999999998</v>
      </c>
      <c r="J364" s="175">
        <f t="shared" si="50"/>
        <v>602.23100000000159</v>
      </c>
      <c r="K364" s="262">
        <f t="shared" si="51"/>
        <v>317.57596583804428</v>
      </c>
      <c r="L364" s="441"/>
      <c r="M364" s="442"/>
      <c r="N364" s="11"/>
    </row>
    <row r="365" spans="1:15" s="231" customFormat="1" ht="15" customHeight="1">
      <c r="B365" s="173">
        <f t="shared" si="59"/>
        <v>336</v>
      </c>
      <c r="C365" s="173"/>
      <c r="D365" s="174">
        <v>7</v>
      </c>
      <c r="E365" s="168">
        <f t="shared" si="57"/>
        <v>338</v>
      </c>
      <c r="F365" s="286">
        <f t="shared" si="54"/>
        <v>33.340000000000003</v>
      </c>
      <c r="G365" s="175">
        <f t="shared" si="55"/>
        <v>32.942</v>
      </c>
      <c r="H365" s="175" t="str">
        <f t="shared" si="58"/>
        <v>IN</v>
      </c>
      <c r="I365" s="175">
        <f t="shared" si="52"/>
        <v>11048.280999999997</v>
      </c>
      <c r="J365" s="175">
        <f t="shared" si="50"/>
        <v>569.28900000000249</v>
      </c>
      <c r="K365" s="262">
        <f t="shared" si="51"/>
        <v>318.27149753857901</v>
      </c>
      <c r="L365" s="441"/>
      <c r="M365" s="442"/>
      <c r="N365" s="260"/>
    </row>
    <row r="366" spans="1:15" ht="15" customHeight="1">
      <c r="A366" s="231"/>
      <c r="B366" s="173">
        <f t="shared" si="59"/>
        <v>337</v>
      </c>
      <c r="C366" s="173"/>
      <c r="D366" s="174">
        <v>7</v>
      </c>
      <c r="E366" s="168">
        <f t="shared" si="57"/>
        <v>339</v>
      </c>
      <c r="F366" s="286">
        <f t="shared" si="54"/>
        <v>33.36</v>
      </c>
      <c r="G366" s="175">
        <f t="shared" si="55"/>
        <v>32.961999999999996</v>
      </c>
      <c r="H366" s="175" t="str">
        <f t="shared" si="58"/>
        <v>IN</v>
      </c>
      <c r="I366" s="175">
        <f t="shared" si="52"/>
        <v>11081.242999999997</v>
      </c>
      <c r="J366" s="175">
        <f t="shared" si="50"/>
        <v>536.32700000000295</v>
      </c>
      <c r="K366" s="262">
        <f t="shared" si="51"/>
        <v>318.96745151566074</v>
      </c>
      <c r="L366" s="441"/>
      <c r="M366" s="442"/>
      <c r="N366" s="11"/>
    </row>
    <row r="367" spans="1:15" ht="15" customHeight="1">
      <c r="A367" s="231"/>
      <c r="B367" s="173">
        <f t="shared" si="59"/>
        <v>338</v>
      </c>
      <c r="C367" s="173"/>
      <c r="D367" s="174">
        <v>7</v>
      </c>
      <c r="E367" s="168">
        <f t="shared" si="57"/>
        <v>340</v>
      </c>
      <c r="F367" s="286">
        <f t="shared" si="54"/>
        <v>33.43</v>
      </c>
      <c r="G367" s="175">
        <f t="shared" si="55"/>
        <v>33.031999999999996</v>
      </c>
      <c r="H367" s="175" t="str">
        <f t="shared" si="58"/>
        <v>IN</v>
      </c>
      <c r="I367" s="175">
        <f t="shared" si="52"/>
        <v>11114.274999999996</v>
      </c>
      <c r="J367" s="175">
        <f t="shared" si="50"/>
        <v>503.29500000000371</v>
      </c>
      <c r="K367" s="262">
        <f t="shared" si="51"/>
        <v>319.66488346065694</v>
      </c>
      <c r="L367" s="441"/>
      <c r="M367" s="442"/>
      <c r="N367" s="11"/>
    </row>
    <row r="368" spans="1:15" ht="15" customHeight="1">
      <c r="A368" s="231"/>
      <c r="B368" s="173">
        <f t="shared" si="59"/>
        <v>339</v>
      </c>
      <c r="C368" s="173"/>
      <c r="D368" s="174">
        <v>7</v>
      </c>
      <c r="E368" s="168">
        <f t="shared" si="57"/>
        <v>341</v>
      </c>
      <c r="F368" s="286">
        <f t="shared" si="54"/>
        <v>31.25</v>
      </c>
      <c r="G368" s="175">
        <f t="shared" si="55"/>
        <v>30.852</v>
      </c>
      <c r="H368" s="175" t="str">
        <f t="shared" si="58"/>
        <v>IN</v>
      </c>
      <c r="I368" s="175">
        <f t="shared" si="52"/>
        <v>11145.126999999997</v>
      </c>
      <c r="J368" s="175">
        <f t="shared" si="50"/>
        <v>472.44300000000294</v>
      </c>
      <c r="K368" s="262">
        <f t="shared" si="51"/>
        <v>320.31628726203201</v>
      </c>
      <c r="L368" s="441"/>
      <c r="M368" s="442"/>
      <c r="N368" s="11"/>
      <c r="O368" s="274"/>
    </row>
    <row r="369" spans="1:14" ht="15" customHeight="1">
      <c r="A369" s="231"/>
      <c r="B369" s="173">
        <f t="shared" si="59"/>
        <v>340</v>
      </c>
      <c r="C369" s="173"/>
      <c r="D369" s="174">
        <v>7</v>
      </c>
      <c r="E369" s="168">
        <f t="shared" si="57"/>
        <v>342</v>
      </c>
      <c r="F369" s="286">
        <f t="shared" si="54"/>
        <v>33.1</v>
      </c>
      <c r="G369" s="175">
        <f t="shared" si="55"/>
        <v>32.701999999999998</v>
      </c>
      <c r="H369" s="175" t="str">
        <f t="shared" si="58"/>
        <v>IN</v>
      </c>
      <c r="I369" s="175">
        <f t="shared" si="52"/>
        <v>11177.828999999996</v>
      </c>
      <c r="J369" s="175">
        <f t="shared" si="50"/>
        <v>439.74100000000362</v>
      </c>
      <c r="K369" s="262">
        <f t="shared" si="51"/>
        <v>321.00675164400297</v>
      </c>
      <c r="L369" s="441"/>
      <c r="M369" s="442"/>
      <c r="N369" s="11"/>
    </row>
    <row r="370" spans="1:14" ht="13.15" customHeight="1">
      <c r="A370" s="231"/>
      <c r="B370" s="173">
        <f t="shared" si="59"/>
        <v>341</v>
      </c>
      <c r="C370" s="173"/>
      <c r="D370" s="174">
        <v>7</v>
      </c>
      <c r="E370" s="168">
        <f t="shared" si="57"/>
        <v>343</v>
      </c>
      <c r="F370" s="286">
        <f t="shared" si="54"/>
        <v>33.130000000000003</v>
      </c>
      <c r="G370" s="175">
        <f t="shared" si="55"/>
        <v>32.731999999999999</v>
      </c>
      <c r="H370" s="175" t="str">
        <f t="shared" si="58"/>
        <v>IN</v>
      </c>
      <c r="I370" s="175">
        <f t="shared" si="52"/>
        <v>11210.560999999996</v>
      </c>
      <c r="J370" s="175">
        <f t="shared" si="50"/>
        <v>407.00900000000365</v>
      </c>
      <c r="K370" s="262">
        <f t="shared" si="51"/>
        <v>321.69784944079447</v>
      </c>
      <c r="L370" s="441"/>
      <c r="M370" s="442"/>
      <c r="N370" s="11"/>
    </row>
    <row r="371" spans="1:14" ht="13.15" customHeight="1">
      <c r="A371" s="231"/>
      <c r="B371" s="173">
        <f t="shared" si="59"/>
        <v>342</v>
      </c>
      <c r="C371" s="173"/>
      <c r="D371" s="174">
        <v>7</v>
      </c>
      <c r="E371" s="168">
        <f t="shared" si="57"/>
        <v>344</v>
      </c>
      <c r="F371" s="286">
        <f t="shared" si="54"/>
        <v>33.380000000000003</v>
      </c>
      <c r="G371" s="175">
        <f t="shared" si="55"/>
        <v>32.981999999999999</v>
      </c>
      <c r="H371" s="175" t="str">
        <f t="shared" si="58"/>
        <v>IN</v>
      </c>
      <c r="I371" s="175">
        <f t="shared" si="52"/>
        <v>11243.542999999996</v>
      </c>
      <c r="J371" s="175">
        <f t="shared" si="50"/>
        <v>374.02700000000368</v>
      </c>
      <c r="K371" s="262">
        <f t="shared" si="51"/>
        <v>322.3942256944232</v>
      </c>
      <c r="L371" s="441"/>
      <c r="M371" s="442"/>
      <c r="N371" s="11"/>
    </row>
    <row r="372" spans="1:14" ht="13.15" customHeight="1">
      <c r="A372" s="231"/>
      <c r="B372" s="173">
        <f t="shared" si="59"/>
        <v>343</v>
      </c>
      <c r="C372" s="173"/>
      <c r="D372" s="174">
        <v>7</v>
      </c>
      <c r="E372" s="168">
        <f t="shared" si="57"/>
        <v>345</v>
      </c>
      <c r="F372" s="286">
        <f t="shared" si="54"/>
        <v>32.92</v>
      </c>
      <c r="G372" s="175">
        <f t="shared" si="55"/>
        <v>32.521999999999998</v>
      </c>
      <c r="H372" s="175" t="str">
        <f t="shared" si="58"/>
        <v>IN</v>
      </c>
      <c r="I372" s="175">
        <f t="shared" si="52"/>
        <v>11276.064999999997</v>
      </c>
      <c r="J372" s="175">
        <f t="shared" si="50"/>
        <v>341.50500000000284</v>
      </c>
      <c r="K372" s="262">
        <f t="shared" si="51"/>
        <v>323.08088958747135</v>
      </c>
      <c r="L372" s="441"/>
      <c r="M372" s="442"/>
      <c r="N372" s="11"/>
    </row>
    <row r="373" spans="1:14" ht="13.15" customHeight="1">
      <c r="A373" s="231"/>
      <c r="B373" s="173">
        <f t="shared" si="59"/>
        <v>344</v>
      </c>
      <c r="C373" s="173"/>
      <c r="D373" s="174">
        <v>7</v>
      </c>
      <c r="E373" s="168">
        <f t="shared" si="57"/>
        <v>346</v>
      </c>
      <c r="F373" s="286">
        <f t="shared" si="54"/>
        <v>33.04</v>
      </c>
      <c r="G373" s="175">
        <f t="shared" si="55"/>
        <v>32.641999999999996</v>
      </c>
      <c r="H373" s="175" t="str">
        <f t="shared" si="58"/>
        <v>IN</v>
      </c>
      <c r="I373" s="175">
        <f t="shared" si="52"/>
        <v>11308.706999999997</v>
      </c>
      <c r="J373" s="175">
        <f t="shared" si="50"/>
        <v>308.86300000000301</v>
      </c>
      <c r="K373" s="262">
        <f t="shared" si="51"/>
        <v>323.77008713980132</v>
      </c>
      <c r="L373" s="441"/>
      <c r="M373" s="442"/>
      <c r="N373" s="11"/>
    </row>
    <row r="374" spans="1:14" ht="13.15" customHeight="1">
      <c r="A374" s="231"/>
      <c r="B374" s="173">
        <f t="shared" si="59"/>
        <v>345</v>
      </c>
      <c r="C374" s="173"/>
      <c r="D374" s="174">
        <v>7</v>
      </c>
      <c r="E374" s="168">
        <f t="shared" si="57"/>
        <v>347</v>
      </c>
      <c r="F374" s="286">
        <f t="shared" si="54"/>
        <v>32.99</v>
      </c>
      <c r="G374" s="175">
        <f t="shared" si="55"/>
        <v>32.591999999999999</v>
      </c>
      <c r="H374" s="175" t="str">
        <f t="shared" si="58"/>
        <v>IN</v>
      </c>
      <c r="I374" s="175">
        <f t="shared" si="52"/>
        <v>11341.298999999997</v>
      </c>
      <c r="J374" s="175">
        <f t="shared" si="50"/>
        <v>276.27100000000246</v>
      </c>
      <c r="K374" s="262">
        <f t="shared" si="51"/>
        <v>324.45822900076388</v>
      </c>
      <c r="L374" s="441"/>
      <c r="M374" s="442"/>
      <c r="N374" s="11"/>
    </row>
    <row r="375" spans="1:14" ht="16.149999999999999" customHeight="1">
      <c r="A375" s="231"/>
      <c r="B375" s="173">
        <f t="shared" si="59"/>
        <v>346</v>
      </c>
      <c r="C375" s="173"/>
      <c r="D375" s="174">
        <v>7</v>
      </c>
      <c r="E375" s="168">
        <f t="shared" si="57"/>
        <v>348</v>
      </c>
      <c r="F375" s="286">
        <f t="shared" si="54"/>
        <v>33.28</v>
      </c>
      <c r="G375" s="175">
        <f t="shared" si="55"/>
        <v>32.881999999999998</v>
      </c>
      <c r="H375" s="175" t="str">
        <f t="shared" si="58"/>
        <v>IN</v>
      </c>
      <c r="I375" s="175">
        <f t="shared" si="52"/>
        <v>11374.180999999997</v>
      </c>
      <c r="J375" s="175">
        <f t="shared" si="50"/>
        <v>243.38900000000285</v>
      </c>
      <c r="K375" s="262">
        <f t="shared" si="51"/>
        <v>325.15249387165767</v>
      </c>
      <c r="L375" s="441"/>
      <c r="M375" s="442"/>
      <c r="N375" s="11"/>
    </row>
    <row r="376" spans="1:14" ht="13.15" customHeight="1">
      <c r="A376" s="231"/>
      <c r="B376" s="173">
        <f t="shared" si="59"/>
        <v>347</v>
      </c>
      <c r="C376" s="173"/>
      <c r="D376" s="174">
        <v>7</v>
      </c>
      <c r="E376" s="168">
        <f t="shared" si="57"/>
        <v>349</v>
      </c>
      <c r="F376" s="286">
        <f t="shared" si="54"/>
        <v>33.6</v>
      </c>
      <c r="G376" s="175">
        <f t="shared" si="55"/>
        <v>33.201999999999998</v>
      </c>
      <c r="H376" s="175" t="str">
        <f t="shared" si="58"/>
        <v>IN</v>
      </c>
      <c r="I376" s="175">
        <f t="shared" si="52"/>
        <v>11407.382999999996</v>
      </c>
      <c r="J376" s="175">
        <f t="shared" si="50"/>
        <v>210.18700000000354</v>
      </c>
      <c r="K376" s="262">
        <f t="shared" si="51"/>
        <v>325.85351516730327</v>
      </c>
      <c r="L376" s="441"/>
      <c r="M376" s="442"/>
      <c r="N376" s="11"/>
    </row>
    <row r="377" spans="1:14" ht="13.15" customHeight="1">
      <c r="A377" s="231"/>
      <c r="B377" s="173">
        <f t="shared" si="59"/>
        <v>348</v>
      </c>
      <c r="C377" s="173"/>
      <c r="D377" s="174">
        <v>7</v>
      </c>
      <c r="E377" s="168">
        <f t="shared" si="57"/>
        <v>350</v>
      </c>
      <c r="F377" s="286">
        <f t="shared" si="54"/>
        <v>33.65</v>
      </c>
      <c r="G377" s="175">
        <f t="shared" si="55"/>
        <v>33.251999999999995</v>
      </c>
      <c r="H377" s="175" t="str">
        <f t="shared" si="58"/>
        <v>IN</v>
      </c>
      <c r="I377" s="175">
        <f t="shared" si="52"/>
        <v>11440.634999999997</v>
      </c>
      <c r="J377" s="175">
        <f t="shared" si="50"/>
        <v>176.93500000000313</v>
      </c>
      <c r="K377" s="262">
        <f t="shared" si="51"/>
        <v>326.55559215431617</v>
      </c>
      <c r="L377" s="441"/>
      <c r="M377" s="442"/>
      <c r="N377" s="11"/>
    </row>
    <row r="378" spans="1:14" ht="13.15" customHeight="1">
      <c r="A378" s="231"/>
      <c r="B378" s="173">
        <f t="shared" si="59"/>
        <v>349</v>
      </c>
      <c r="C378" s="173"/>
      <c r="D378" s="174">
        <v>7</v>
      </c>
      <c r="E378" s="168">
        <f t="shared" si="57"/>
        <v>351</v>
      </c>
      <c r="F378" s="286">
        <f t="shared" ref="F378:F409" si="60">VLOOKUP(E378,tubing1,2,FALSE)</f>
        <v>33.33</v>
      </c>
      <c r="G378" s="175">
        <f t="shared" ref="G378:G409" si="61">F378-($E$12)</f>
        <v>32.931999999999995</v>
      </c>
      <c r="H378" s="175" t="s">
        <v>131</v>
      </c>
      <c r="I378" s="175">
        <f t="shared" si="52"/>
        <v>11473.566999999997</v>
      </c>
      <c r="J378" s="175">
        <f t="shared" si="50"/>
        <v>144.00300000000243</v>
      </c>
      <c r="K378" s="262">
        <f t="shared" si="51"/>
        <v>327.25091271657743</v>
      </c>
      <c r="L378" s="431" t="s">
        <v>144</v>
      </c>
      <c r="M378" s="442"/>
      <c r="N378" s="11"/>
    </row>
    <row r="379" spans="1:14" ht="13.15" customHeight="1">
      <c r="A379" s="231"/>
      <c r="B379" s="263">
        <f t="shared" si="59"/>
        <v>350</v>
      </c>
      <c r="C379" s="263"/>
      <c r="D379" s="241">
        <v>7</v>
      </c>
      <c r="E379" s="264">
        <f t="shared" ref="E379:E410" si="62">E378+1</f>
        <v>352</v>
      </c>
      <c r="F379" s="285">
        <f t="shared" si="60"/>
        <v>32.729999999999997</v>
      </c>
      <c r="G379" s="233">
        <f t="shared" si="61"/>
        <v>32.331999999999994</v>
      </c>
      <c r="H379" s="233" t="s">
        <v>97</v>
      </c>
      <c r="I379" s="233">
        <f t="shared" si="52"/>
        <v>11473.566999999997</v>
      </c>
      <c r="J379" s="233">
        <f t="shared" si="50"/>
        <v>144.00300000000243</v>
      </c>
      <c r="K379" s="234">
        <f t="shared" si="51"/>
        <v>327.25091271657743</v>
      </c>
      <c r="L379" s="381"/>
      <c r="M379" s="382"/>
      <c r="N379" s="11"/>
    </row>
    <row r="380" spans="1:14" ht="13.15" customHeight="1">
      <c r="A380" s="231"/>
      <c r="B380" s="263">
        <f t="shared" si="59"/>
        <v>351</v>
      </c>
      <c r="C380" s="263"/>
      <c r="D380" s="241">
        <v>7</v>
      </c>
      <c r="E380" s="264">
        <f t="shared" si="62"/>
        <v>353</v>
      </c>
      <c r="F380" s="285">
        <f t="shared" si="60"/>
        <v>33.130000000000003</v>
      </c>
      <c r="G380" s="233">
        <f t="shared" si="61"/>
        <v>32.731999999999999</v>
      </c>
      <c r="H380" s="233" t="s">
        <v>97</v>
      </c>
      <c r="I380" s="233">
        <f t="shared" si="52"/>
        <v>11473.566999999997</v>
      </c>
      <c r="J380" s="233">
        <f t="shared" si="50"/>
        <v>144.00300000000243</v>
      </c>
      <c r="K380" s="234">
        <f t="shared" si="51"/>
        <v>327.25091271657743</v>
      </c>
      <c r="L380" s="381"/>
      <c r="M380" s="382"/>
      <c r="N380" s="11"/>
    </row>
    <row r="381" spans="1:14" ht="13.15" customHeight="1">
      <c r="A381" s="231"/>
      <c r="B381" s="263">
        <f t="shared" si="59"/>
        <v>352</v>
      </c>
      <c r="C381" s="263"/>
      <c r="D381" s="241">
        <v>7</v>
      </c>
      <c r="E381" s="264">
        <f t="shared" si="62"/>
        <v>354</v>
      </c>
      <c r="F381" s="285">
        <f t="shared" si="60"/>
        <v>33.69</v>
      </c>
      <c r="G381" s="233">
        <f t="shared" si="61"/>
        <v>33.291999999999994</v>
      </c>
      <c r="H381" s="233" t="s">
        <v>97</v>
      </c>
      <c r="I381" s="233">
        <f t="shared" si="52"/>
        <v>11473.566999999997</v>
      </c>
      <c r="J381" s="233">
        <f t="shared" si="50"/>
        <v>144.00300000000243</v>
      </c>
      <c r="K381" s="234">
        <f t="shared" si="51"/>
        <v>327.25091271657743</v>
      </c>
      <c r="L381" s="381"/>
      <c r="M381" s="382"/>
      <c r="N381" s="11"/>
    </row>
    <row r="382" spans="1:14" ht="13.15" customHeight="1">
      <c r="A382" s="231"/>
      <c r="B382" s="263">
        <f t="shared" si="59"/>
        <v>353</v>
      </c>
      <c r="C382" s="263"/>
      <c r="D382" s="241">
        <v>7</v>
      </c>
      <c r="E382" s="264">
        <f t="shared" si="62"/>
        <v>355</v>
      </c>
      <c r="F382" s="285">
        <f t="shared" si="60"/>
        <v>33.76</v>
      </c>
      <c r="G382" s="233">
        <f t="shared" si="61"/>
        <v>33.361999999999995</v>
      </c>
      <c r="H382" s="233" t="s">
        <v>97</v>
      </c>
      <c r="I382" s="233">
        <f t="shared" si="52"/>
        <v>11473.566999999997</v>
      </c>
      <c r="J382" s="233">
        <f t="shared" si="50"/>
        <v>144.00300000000243</v>
      </c>
      <c r="K382" s="234">
        <f t="shared" si="51"/>
        <v>327.25091271657743</v>
      </c>
      <c r="L382" s="381"/>
      <c r="M382" s="382"/>
      <c r="N382" s="11"/>
    </row>
    <row r="383" spans="1:14" ht="13.15" customHeight="1">
      <c r="A383" s="231"/>
      <c r="B383" s="263">
        <f t="shared" si="59"/>
        <v>354</v>
      </c>
      <c r="C383" s="263"/>
      <c r="D383" s="241">
        <v>7</v>
      </c>
      <c r="E383" s="264">
        <f t="shared" si="62"/>
        <v>356</v>
      </c>
      <c r="F383" s="285">
        <f t="shared" si="60"/>
        <v>33.36</v>
      </c>
      <c r="G383" s="233">
        <f t="shared" si="61"/>
        <v>32.961999999999996</v>
      </c>
      <c r="H383" s="233" t="s">
        <v>97</v>
      </c>
      <c r="I383" s="233">
        <f t="shared" si="52"/>
        <v>11473.566999999997</v>
      </c>
      <c r="J383" s="233">
        <f t="shared" si="50"/>
        <v>144.00300000000243</v>
      </c>
      <c r="K383" s="234">
        <f t="shared" si="51"/>
        <v>327.25091271657743</v>
      </c>
      <c r="L383" s="381"/>
      <c r="M383" s="382"/>
      <c r="N383" s="11"/>
    </row>
    <row r="384" spans="1:14" ht="13.15" customHeight="1">
      <c r="A384" s="231"/>
      <c r="B384" s="263">
        <f t="shared" si="59"/>
        <v>355</v>
      </c>
      <c r="C384" s="263"/>
      <c r="D384" s="241">
        <v>7</v>
      </c>
      <c r="E384" s="264">
        <f t="shared" si="62"/>
        <v>357</v>
      </c>
      <c r="F384" s="285">
        <f t="shared" si="60"/>
        <v>33.619999999999997</v>
      </c>
      <c r="G384" s="233">
        <f t="shared" si="61"/>
        <v>33.221999999999994</v>
      </c>
      <c r="H384" s="233" t="s">
        <v>97</v>
      </c>
      <c r="I384" s="233">
        <f t="shared" si="52"/>
        <v>11473.566999999997</v>
      </c>
      <c r="J384" s="233">
        <f t="shared" si="50"/>
        <v>144.00300000000243</v>
      </c>
      <c r="K384" s="234">
        <f t="shared" si="51"/>
        <v>327.25091271657743</v>
      </c>
      <c r="L384" s="381"/>
      <c r="M384" s="382"/>
      <c r="N384" s="11"/>
    </row>
    <row r="385" spans="1:14" ht="13.15" customHeight="1">
      <c r="A385" s="231"/>
      <c r="B385" s="263">
        <f t="shared" si="59"/>
        <v>356</v>
      </c>
      <c r="C385" s="263"/>
      <c r="D385" s="241">
        <v>7</v>
      </c>
      <c r="E385" s="264">
        <f t="shared" si="62"/>
        <v>358</v>
      </c>
      <c r="F385" s="285">
        <f t="shared" si="60"/>
        <v>33.57</v>
      </c>
      <c r="G385" s="233">
        <f t="shared" si="61"/>
        <v>33.171999999999997</v>
      </c>
      <c r="H385" s="233" t="s">
        <v>97</v>
      </c>
      <c r="I385" s="233">
        <f t="shared" si="52"/>
        <v>11473.566999999997</v>
      </c>
      <c r="J385" s="233">
        <f t="shared" si="50"/>
        <v>144.00300000000243</v>
      </c>
      <c r="K385" s="234">
        <f t="shared" si="51"/>
        <v>327.25091271657743</v>
      </c>
      <c r="L385" s="381"/>
      <c r="M385" s="382"/>
      <c r="N385" s="11"/>
    </row>
    <row r="386" spans="1:14" ht="13.15" customHeight="1">
      <c r="A386" s="231"/>
      <c r="B386" s="263">
        <f t="shared" si="59"/>
        <v>357</v>
      </c>
      <c r="C386" s="263"/>
      <c r="D386" s="241">
        <v>7</v>
      </c>
      <c r="E386" s="264">
        <f t="shared" si="62"/>
        <v>359</v>
      </c>
      <c r="F386" s="285">
        <f t="shared" si="60"/>
        <v>33.54</v>
      </c>
      <c r="G386" s="233">
        <f t="shared" si="61"/>
        <v>33.141999999999996</v>
      </c>
      <c r="H386" s="233" t="s">
        <v>97</v>
      </c>
      <c r="I386" s="233">
        <f t="shared" si="52"/>
        <v>11473.566999999997</v>
      </c>
      <c r="J386" s="233">
        <f t="shared" si="50"/>
        <v>144.00300000000243</v>
      </c>
      <c r="K386" s="234">
        <f t="shared" si="51"/>
        <v>327.25091271657743</v>
      </c>
      <c r="L386" s="381"/>
      <c r="M386" s="382"/>
      <c r="N386" s="11"/>
    </row>
    <row r="387" spans="1:14" ht="13.15" customHeight="1">
      <c r="A387" s="231"/>
      <c r="B387" s="263">
        <f t="shared" si="59"/>
        <v>358</v>
      </c>
      <c r="C387" s="263"/>
      <c r="D387" s="241">
        <v>7</v>
      </c>
      <c r="E387" s="264">
        <f t="shared" si="62"/>
        <v>360</v>
      </c>
      <c r="F387" s="285">
        <f t="shared" si="60"/>
        <v>33.549999999999997</v>
      </c>
      <c r="G387" s="233">
        <f t="shared" si="61"/>
        <v>33.151999999999994</v>
      </c>
      <c r="H387" s="233" t="s">
        <v>97</v>
      </c>
      <c r="I387" s="233">
        <f t="shared" si="52"/>
        <v>11473.566999999997</v>
      </c>
      <c r="J387" s="233">
        <f t="shared" si="50"/>
        <v>144.00300000000243</v>
      </c>
      <c r="K387" s="234">
        <f t="shared" si="51"/>
        <v>327.25091271657743</v>
      </c>
      <c r="L387" s="381"/>
      <c r="M387" s="382"/>
      <c r="N387" s="11"/>
    </row>
    <row r="388" spans="1:14" ht="15" customHeight="1">
      <c r="A388" s="231"/>
      <c r="B388" s="263">
        <f t="shared" si="59"/>
        <v>359</v>
      </c>
      <c r="C388" s="263"/>
      <c r="D388" s="241">
        <v>7</v>
      </c>
      <c r="E388" s="264">
        <f t="shared" si="62"/>
        <v>361</v>
      </c>
      <c r="F388" s="285">
        <f t="shared" si="60"/>
        <v>33.380000000000003</v>
      </c>
      <c r="G388" s="233">
        <f t="shared" si="61"/>
        <v>32.981999999999999</v>
      </c>
      <c r="H388" s="233" t="s">
        <v>97</v>
      </c>
      <c r="I388" s="233">
        <f t="shared" si="52"/>
        <v>11473.566999999997</v>
      </c>
      <c r="J388" s="233">
        <f t="shared" si="50"/>
        <v>144.00300000000243</v>
      </c>
      <c r="K388" s="234">
        <f t="shared" si="51"/>
        <v>327.25091271657743</v>
      </c>
      <c r="L388" s="381"/>
      <c r="M388" s="382"/>
      <c r="N388" s="11"/>
    </row>
    <row r="389" spans="1:14" ht="15" customHeight="1">
      <c r="A389" s="231"/>
      <c r="B389" s="263">
        <f t="shared" si="59"/>
        <v>360</v>
      </c>
      <c r="C389" s="263"/>
      <c r="D389" s="241">
        <v>7</v>
      </c>
      <c r="E389" s="264">
        <f t="shared" si="62"/>
        <v>362</v>
      </c>
      <c r="F389" s="285">
        <f t="shared" si="60"/>
        <v>33.29</v>
      </c>
      <c r="G389" s="233">
        <f t="shared" si="61"/>
        <v>32.891999999999996</v>
      </c>
      <c r="H389" s="233" t="s">
        <v>97</v>
      </c>
      <c r="I389" s="233">
        <f t="shared" si="52"/>
        <v>11473.566999999997</v>
      </c>
      <c r="J389" s="233">
        <f t="shared" si="50"/>
        <v>144.00300000000243</v>
      </c>
      <c r="K389" s="234">
        <f t="shared" si="51"/>
        <v>327.25091271657743</v>
      </c>
      <c r="L389" s="381"/>
      <c r="M389" s="382"/>
      <c r="N389" s="11"/>
    </row>
    <row r="390" spans="1:14" ht="13.15" customHeight="1">
      <c r="A390" s="231"/>
      <c r="B390" s="263">
        <f t="shared" si="59"/>
        <v>361</v>
      </c>
      <c r="C390" s="263"/>
      <c r="D390" s="241">
        <v>7</v>
      </c>
      <c r="E390" s="264">
        <f t="shared" si="62"/>
        <v>363</v>
      </c>
      <c r="F390" s="285">
        <f t="shared" si="60"/>
        <v>33.31</v>
      </c>
      <c r="G390" s="233">
        <f t="shared" si="61"/>
        <v>32.911999999999999</v>
      </c>
      <c r="H390" s="233" t="s">
        <v>97</v>
      </c>
      <c r="I390" s="233">
        <f t="shared" si="52"/>
        <v>11473.566999999997</v>
      </c>
      <c r="J390" s="233">
        <f t="shared" si="50"/>
        <v>144.00300000000243</v>
      </c>
      <c r="K390" s="234">
        <f t="shared" si="51"/>
        <v>327.25091271657743</v>
      </c>
      <c r="L390" s="381"/>
      <c r="M390" s="382"/>
      <c r="N390" s="11"/>
    </row>
    <row r="391" spans="1:14" ht="13.15" customHeight="1">
      <c r="A391" s="231"/>
      <c r="B391" s="263">
        <f t="shared" si="59"/>
        <v>362</v>
      </c>
      <c r="C391" s="263"/>
      <c r="D391" s="241">
        <v>7</v>
      </c>
      <c r="E391" s="264">
        <f t="shared" si="62"/>
        <v>364</v>
      </c>
      <c r="F391" s="285">
        <f t="shared" si="60"/>
        <v>32.96</v>
      </c>
      <c r="G391" s="233">
        <f t="shared" si="61"/>
        <v>32.561999999999998</v>
      </c>
      <c r="H391" s="233" t="s">
        <v>97</v>
      </c>
      <c r="I391" s="233">
        <f t="shared" si="52"/>
        <v>11473.566999999997</v>
      </c>
      <c r="J391" s="233">
        <f t="shared" si="50"/>
        <v>144.00300000000243</v>
      </c>
      <c r="K391" s="234">
        <f t="shared" si="51"/>
        <v>327.25091271657743</v>
      </c>
      <c r="L391" s="381"/>
      <c r="M391" s="382"/>
      <c r="N391" s="11"/>
    </row>
    <row r="392" spans="1:14" ht="13.15" customHeight="1">
      <c r="A392" s="231"/>
      <c r="B392" s="263">
        <f t="shared" si="59"/>
        <v>363</v>
      </c>
      <c r="C392" s="263"/>
      <c r="D392" s="241">
        <v>7</v>
      </c>
      <c r="E392" s="264">
        <f t="shared" si="62"/>
        <v>365</v>
      </c>
      <c r="F392" s="285">
        <f t="shared" si="60"/>
        <v>32.909999999999997</v>
      </c>
      <c r="G392" s="233">
        <f t="shared" si="61"/>
        <v>32.511999999999993</v>
      </c>
      <c r="H392" s="233" t="s">
        <v>97</v>
      </c>
      <c r="I392" s="233">
        <f t="shared" si="52"/>
        <v>11473.566999999997</v>
      </c>
      <c r="J392" s="233">
        <f t="shared" si="50"/>
        <v>144.00300000000243</v>
      </c>
      <c r="K392" s="234">
        <f t="shared" si="51"/>
        <v>327.25091271657743</v>
      </c>
      <c r="L392" s="381"/>
      <c r="M392" s="382"/>
      <c r="N392" s="11"/>
    </row>
    <row r="393" spans="1:14" ht="13.15" customHeight="1">
      <c r="A393" s="231"/>
      <c r="B393" s="263">
        <f t="shared" ref="B393:B429" si="63">B392+1</f>
        <v>364</v>
      </c>
      <c r="C393" s="263"/>
      <c r="D393" s="241">
        <v>7</v>
      </c>
      <c r="E393" s="264">
        <f t="shared" si="62"/>
        <v>366</v>
      </c>
      <c r="F393" s="285">
        <f t="shared" si="60"/>
        <v>33.29</v>
      </c>
      <c r="G393" s="233">
        <f t="shared" si="61"/>
        <v>32.891999999999996</v>
      </c>
      <c r="H393" s="233" t="s">
        <v>97</v>
      </c>
      <c r="I393" s="233">
        <f t="shared" si="52"/>
        <v>11473.566999999997</v>
      </c>
      <c r="J393" s="233">
        <f t="shared" si="50"/>
        <v>144.00300000000243</v>
      </c>
      <c r="K393" s="234">
        <f t="shared" si="51"/>
        <v>327.25091271657743</v>
      </c>
      <c r="L393" s="381"/>
      <c r="M393" s="382"/>
      <c r="N393" s="11"/>
    </row>
    <row r="394" spans="1:14" ht="13.15" customHeight="1">
      <c r="A394" s="231"/>
      <c r="B394" s="263">
        <f t="shared" si="63"/>
        <v>365</v>
      </c>
      <c r="C394" s="263"/>
      <c r="D394" s="241">
        <v>7</v>
      </c>
      <c r="E394" s="264">
        <f t="shared" si="62"/>
        <v>367</v>
      </c>
      <c r="F394" s="285">
        <f t="shared" si="60"/>
        <v>33.19</v>
      </c>
      <c r="G394" s="233">
        <f t="shared" si="61"/>
        <v>32.791999999999994</v>
      </c>
      <c r="H394" s="233" t="s">
        <v>97</v>
      </c>
      <c r="I394" s="233">
        <f t="shared" si="52"/>
        <v>11473.566999999997</v>
      </c>
      <c r="J394" s="233">
        <f t="shared" si="50"/>
        <v>144.00300000000243</v>
      </c>
      <c r="K394" s="234">
        <f t="shared" si="51"/>
        <v>327.25091271657743</v>
      </c>
      <c r="L394" s="381"/>
      <c r="M394" s="382"/>
      <c r="N394" s="11"/>
    </row>
    <row r="395" spans="1:14" ht="15" customHeight="1">
      <c r="A395" s="231"/>
      <c r="B395" s="263">
        <f t="shared" si="63"/>
        <v>366</v>
      </c>
      <c r="C395" s="263"/>
      <c r="D395" s="241">
        <v>7</v>
      </c>
      <c r="E395" s="264">
        <f t="shared" si="62"/>
        <v>368</v>
      </c>
      <c r="F395" s="285">
        <f t="shared" si="60"/>
        <v>33.08</v>
      </c>
      <c r="G395" s="233">
        <f t="shared" si="61"/>
        <v>32.681999999999995</v>
      </c>
      <c r="H395" s="233" t="s">
        <v>97</v>
      </c>
      <c r="I395" s="233">
        <f t="shared" si="52"/>
        <v>11473.566999999997</v>
      </c>
      <c r="J395" s="233">
        <f t="shared" si="50"/>
        <v>144.00300000000243</v>
      </c>
      <c r="K395" s="234">
        <f t="shared" si="51"/>
        <v>327.25091271657743</v>
      </c>
      <c r="L395" s="381"/>
      <c r="M395" s="382"/>
      <c r="N395" s="11"/>
    </row>
    <row r="396" spans="1:14" ht="15" customHeight="1">
      <c r="A396" s="231"/>
      <c r="B396" s="263">
        <f t="shared" si="63"/>
        <v>367</v>
      </c>
      <c r="C396" s="263"/>
      <c r="D396" s="241">
        <v>7</v>
      </c>
      <c r="E396" s="264">
        <f t="shared" si="62"/>
        <v>369</v>
      </c>
      <c r="F396" s="285">
        <f t="shared" si="60"/>
        <v>33.32</v>
      </c>
      <c r="G396" s="233">
        <f t="shared" si="61"/>
        <v>32.921999999999997</v>
      </c>
      <c r="H396" s="233" t="s">
        <v>97</v>
      </c>
      <c r="I396" s="233">
        <f t="shared" si="52"/>
        <v>11473.566999999997</v>
      </c>
      <c r="J396" s="233">
        <f t="shared" si="50"/>
        <v>144.00300000000243</v>
      </c>
      <c r="K396" s="234">
        <f t="shared" si="51"/>
        <v>327.25091271657743</v>
      </c>
      <c r="L396" s="381"/>
      <c r="M396" s="382"/>
      <c r="N396" s="11"/>
    </row>
    <row r="397" spans="1:14" ht="15" customHeight="1">
      <c r="A397" s="231"/>
      <c r="B397" s="263">
        <f t="shared" si="63"/>
        <v>368</v>
      </c>
      <c r="C397" s="263"/>
      <c r="D397" s="241">
        <v>7</v>
      </c>
      <c r="E397" s="264">
        <f t="shared" si="62"/>
        <v>370</v>
      </c>
      <c r="F397" s="285">
        <f t="shared" si="60"/>
        <v>31.02</v>
      </c>
      <c r="G397" s="233">
        <f t="shared" si="61"/>
        <v>30.622</v>
      </c>
      <c r="H397" s="233" t="s">
        <v>97</v>
      </c>
      <c r="I397" s="233">
        <f t="shared" si="52"/>
        <v>11473.566999999997</v>
      </c>
      <c r="J397" s="233">
        <f t="shared" si="50"/>
        <v>144.00300000000243</v>
      </c>
      <c r="K397" s="234">
        <f t="shared" si="51"/>
        <v>327.25091271657743</v>
      </c>
      <c r="L397" s="381"/>
      <c r="M397" s="382"/>
      <c r="N397" s="11"/>
    </row>
    <row r="398" spans="1:14" ht="15" customHeight="1">
      <c r="A398" s="231"/>
      <c r="B398" s="263">
        <f t="shared" si="63"/>
        <v>369</v>
      </c>
      <c r="C398" s="263"/>
      <c r="D398" s="241">
        <v>7</v>
      </c>
      <c r="E398" s="264">
        <f t="shared" si="62"/>
        <v>371</v>
      </c>
      <c r="F398" s="285">
        <f t="shared" si="60"/>
        <v>31.08</v>
      </c>
      <c r="G398" s="233">
        <f t="shared" si="61"/>
        <v>30.681999999999999</v>
      </c>
      <c r="H398" s="233" t="s">
        <v>97</v>
      </c>
      <c r="I398" s="233">
        <f t="shared" si="52"/>
        <v>11473.566999999997</v>
      </c>
      <c r="J398" s="233">
        <f t="shared" si="50"/>
        <v>144.00300000000243</v>
      </c>
      <c r="K398" s="234">
        <f t="shared" si="51"/>
        <v>327.25091271657743</v>
      </c>
      <c r="L398" s="381"/>
      <c r="M398" s="382"/>
      <c r="N398" s="11"/>
    </row>
    <row r="399" spans="1:14" ht="15" customHeight="1">
      <c r="A399" s="231"/>
      <c r="B399" s="263">
        <f t="shared" si="63"/>
        <v>370</v>
      </c>
      <c r="C399" s="263"/>
      <c r="D399" s="241">
        <v>7</v>
      </c>
      <c r="E399" s="264">
        <f t="shared" si="62"/>
        <v>372</v>
      </c>
      <c r="F399" s="285">
        <f t="shared" si="60"/>
        <v>31.33</v>
      </c>
      <c r="G399" s="233">
        <f t="shared" si="61"/>
        <v>30.931999999999999</v>
      </c>
      <c r="H399" s="233" t="s">
        <v>97</v>
      </c>
      <c r="I399" s="233">
        <f t="shared" si="52"/>
        <v>11473.566999999997</v>
      </c>
      <c r="J399" s="233">
        <f t="shared" ref="J399:J436" si="64">IF(I399="","",$L$9-I399)</f>
        <v>144.00300000000243</v>
      </c>
      <c r="K399" s="234">
        <f t="shared" ref="K399:K436" si="65">$H$9+(I399*$E$10*$H$11/1000)</f>
        <v>327.25091271657743</v>
      </c>
      <c r="L399" s="381"/>
      <c r="M399" s="382"/>
      <c r="N399" s="11"/>
    </row>
    <row r="400" spans="1:14" ht="15" customHeight="1">
      <c r="A400" s="231"/>
      <c r="B400" s="263">
        <f t="shared" si="63"/>
        <v>371</v>
      </c>
      <c r="C400" s="263"/>
      <c r="D400" s="241">
        <v>7</v>
      </c>
      <c r="E400" s="264">
        <f t="shared" si="62"/>
        <v>373</v>
      </c>
      <c r="F400" s="285">
        <f t="shared" si="60"/>
        <v>33.19</v>
      </c>
      <c r="G400" s="233">
        <f t="shared" si="61"/>
        <v>32.791999999999994</v>
      </c>
      <c r="H400" s="233" t="s">
        <v>97</v>
      </c>
      <c r="I400" s="233">
        <f t="shared" ref="I400:I436" si="66">IF(H400="IN",I399+G400,I399)</f>
        <v>11473.566999999997</v>
      </c>
      <c r="J400" s="233">
        <f t="shared" si="64"/>
        <v>144.00300000000243</v>
      </c>
      <c r="K400" s="234">
        <f t="shared" si="65"/>
        <v>327.25091271657743</v>
      </c>
      <c r="L400" s="381"/>
      <c r="M400" s="382"/>
      <c r="N400" s="11"/>
    </row>
    <row r="401" spans="1:14" ht="15" customHeight="1">
      <c r="A401" s="231"/>
      <c r="B401" s="263">
        <f t="shared" si="63"/>
        <v>372</v>
      </c>
      <c r="C401" s="263"/>
      <c r="D401" s="241">
        <v>7</v>
      </c>
      <c r="E401" s="264">
        <f t="shared" si="62"/>
        <v>374</v>
      </c>
      <c r="F401" s="285">
        <f t="shared" si="60"/>
        <v>31.22</v>
      </c>
      <c r="G401" s="233">
        <f t="shared" si="61"/>
        <v>30.821999999999999</v>
      </c>
      <c r="H401" s="233" t="s">
        <v>97</v>
      </c>
      <c r="I401" s="233">
        <f t="shared" si="66"/>
        <v>11473.566999999997</v>
      </c>
      <c r="J401" s="233">
        <f t="shared" si="64"/>
        <v>144.00300000000243</v>
      </c>
      <c r="K401" s="234">
        <f t="shared" si="65"/>
        <v>327.25091271657743</v>
      </c>
      <c r="L401" s="381"/>
      <c r="M401" s="382"/>
      <c r="N401" s="11"/>
    </row>
    <row r="402" spans="1:14" ht="15" customHeight="1">
      <c r="A402" s="231"/>
      <c r="B402" s="263">
        <f t="shared" si="63"/>
        <v>373</v>
      </c>
      <c r="C402" s="263"/>
      <c r="D402" s="241">
        <v>7</v>
      </c>
      <c r="E402" s="264">
        <f t="shared" si="62"/>
        <v>375</v>
      </c>
      <c r="F402" s="285">
        <f t="shared" si="60"/>
        <v>31.51</v>
      </c>
      <c r="G402" s="233">
        <f t="shared" si="61"/>
        <v>31.112000000000002</v>
      </c>
      <c r="H402" s="233" t="s">
        <v>97</v>
      </c>
      <c r="I402" s="233">
        <f t="shared" si="66"/>
        <v>11473.566999999997</v>
      </c>
      <c r="J402" s="233">
        <f t="shared" si="64"/>
        <v>144.00300000000243</v>
      </c>
      <c r="K402" s="234">
        <f t="shared" si="65"/>
        <v>327.25091271657743</v>
      </c>
      <c r="L402" s="381"/>
      <c r="M402" s="382"/>
      <c r="N402" s="11"/>
    </row>
    <row r="403" spans="1:14" ht="15" customHeight="1">
      <c r="A403" s="231"/>
      <c r="B403" s="263">
        <f t="shared" si="63"/>
        <v>374</v>
      </c>
      <c r="C403" s="263"/>
      <c r="D403" s="241">
        <v>7</v>
      </c>
      <c r="E403" s="264">
        <f t="shared" si="62"/>
        <v>376</v>
      </c>
      <c r="F403" s="285">
        <f t="shared" si="60"/>
        <v>33</v>
      </c>
      <c r="G403" s="233">
        <f t="shared" si="61"/>
        <v>32.601999999999997</v>
      </c>
      <c r="H403" s="233" t="s">
        <v>97</v>
      </c>
      <c r="I403" s="233">
        <f t="shared" si="66"/>
        <v>11473.566999999997</v>
      </c>
      <c r="J403" s="233">
        <f t="shared" si="64"/>
        <v>144.00300000000243</v>
      </c>
      <c r="K403" s="234">
        <f t="shared" si="65"/>
        <v>327.25091271657743</v>
      </c>
      <c r="L403" s="381"/>
      <c r="M403" s="382"/>
      <c r="N403" s="11"/>
    </row>
    <row r="404" spans="1:14" ht="15" customHeight="1">
      <c r="A404" s="231"/>
      <c r="B404" s="263">
        <f t="shared" si="63"/>
        <v>375</v>
      </c>
      <c r="C404" s="263"/>
      <c r="D404" s="241">
        <v>7</v>
      </c>
      <c r="E404" s="264">
        <f t="shared" si="62"/>
        <v>377</v>
      </c>
      <c r="F404" s="285">
        <f t="shared" si="60"/>
        <v>31.31</v>
      </c>
      <c r="G404" s="233">
        <f t="shared" si="61"/>
        <v>30.911999999999999</v>
      </c>
      <c r="H404" s="233" t="s">
        <v>97</v>
      </c>
      <c r="I404" s="233">
        <f t="shared" si="66"/>
        <v>11473.566999999997</v>
      </c>
      <c r="J404" s="233">
        <f t="shared" si="64"/>
        <v>144.00300000000243</v>
      </c>
      <c r="K404" s="234">
        <f t="shared" si="65"/>
        <v>327.25091271657743</v>
      </c>
      <c r="L404" s="381"/>
      <c r="M404" s="382"/>
      <c r="N404" s="11"/>
    </row>
    <row r="405" spans="1:14" ht="15" customHeight="1">
      <c r="A405" s="231"/>
      <c r="B405" s="263">
        <f t="shared" si="63"/>
        <v>376</v>
      </c>
      <c r="C405" s="263"/>
      <c r="D405" s="241">
        <v>7</v>
      </c>
      <c r="E405" s="264">
        <f t="shared" si="62"/>
        <v>378</v>
      </c>
      <c r="F405" s="285">
        <f t="shared" si="60"/>
        <v>33.43</v>
      </c>
      <c r="G405" s="233">
        <f t="shared" si="61"/>
        <v>33.031999999999996</v>
      </c>
      <c r="H405" s="233" t="s">
        <v>97</v>
      </c>
      <c r="I405" s="233">
        <f t="shared" si="66"/>
        <v>11473.566999999997</v>
      </c>
      <c r="J405" s="233">
        <f t="shared" si="64"/>
        <v>144.00300000000243</v>
      </c>
      <c r="K405" s="234">
        <f t="shared" si="65"/>
        <v>327.25091271657743</v>
      </c>
      <c r="L405" s="381"/>
      <c r="M405" s="382"/>
      <c r="N405" s="11"/>
    </row>
    <row r="406" spans="1:14" ht="15" customHeight="1">
      <c r="A406" s="231"/>
      <c r="B406" s="263">
        <f t="shared" si="63"/>
        <v>377</v>
      </c>
      <c r="C406" s="263"/>
      <c r="D406" s="241">
        <v>7</v>
      </c>
      <c r="E406" s="264">
        <f t="shared" si="62"/>
        <v>379</v>
      </c>
      <c r="F406" s="285">
        <f t="shared" si="60"/>
        <v>33.340000000000003</v>
      </c>
      <c r="G406" s="233">
        <f t="shared" si="61"/>
        <v>32.942</v>
      </c>
      <c r="H406" s="233" t="s">
        <v>97</v>
      </c>
      <c r="I406" s="233">
        <f t="shared" si="66"/>
        <v>11473.566999999997</v>
      </c>
      <c r="J406" s="233">
        <f t="shared" si="64"/>
        <v>144.00300000000243</v>
      </c>
      <c r="K406" s="234">
        <f t="shared" si="65"/>
        <v>327.25091271657743</v>
      </c>
      <c r="L406" s="381"/>
      <c r="M406" s="382"/>
      <c r="N406" s="11"/>
    </row>
    <row r="407" spans="1:14" ht="15" customHeight="1">
      <c r="A407" s="231"/>
      <c r="B407" s="263">
        <f t="shared" si="63"/>
        <v>378</v>
      </c>
      <c r="C407" s="263"/>
      <c r="D407" s="241">
        <v>7</v>
      </c>
      <c r="E407" s="264">
        <f t="shared" si="62"/>
        <v>380</v>
      </c>
      <c r="F407" s="285">
        <f t="shared" si="60"/>
        <v>33.54</v>
      </c>
      <c r="G407" s="233">
        <f t="shared" si="61"/>
        <v>33.141999999999996</v>
      </c>
      <c r="H407" s="233" t="s">
        <v>97</v>
      </c>
      <c r="I407" s="233">
        <f t="shared" si="66"/>
        <v>11473.566999999997</v>
      </c>
      <c r="J407" s="233">
        <f t="shared" si="64"/>
        <v>144.00300000000243</v>
      </c>
      <c r="K407" s="234">
        <f t="shared" si="65"/>
        <v>327.25091271657743</v>
      </c>
      <c r="L407" s="381"/>
      <c r="M407" s="382"/>
      <c r="N407" s="11"/>
    </row>
    <row r="408" spans="1:14" ht="15" customHeight="1">
      <c r="A408" s="231"/>
      <c r="B408" s="263">
        <f t="shared" si="63"/>
        <v>379</v>
      </c>
      <c r="C408" s="263"/>
      <c r="D408" s="241">
        <v>7</v>
      </c>
      <c r="E408" s="264">
        <f t="shared" si="62"/>
        <v>381</v>
      </c>
      <c r="F408" s="285">
        <f t="shared" si="60"/>
        <v>33.14</v>
      </c>
      <c r="G408" s="233">
        <f t="shared" si="61"/>
        <v>32.741999999999997</v>
      </c>
      <c r="H408" s="233" t="s">
        <v>97</v>
      </c>
      <c r="I408" s="233">
        <f t="shared" si="66"/>
        <v>11473.566999999997</v>
      </c>
      <c r="J408" s="233">
        <f t="shared" si="64"/>
        <v>144.00300000000243</v>
      </c>
      <c r="K408" s="234">
        <f t="shared" si="65"/>
        <v>327.25091271657743</v>
      </c>
      <c r="L408" s="381"/>
      <c r="M408" s="382"/>
      <c r="N408" s="11"/>
    </row>
    <row r="409" spans="1:14" ht="15" customHeight="1">
      <c r="A409" s="231"/>
      <c r="B409" s="263">
        <f t="shared" si="63"/>
        <v>380</v>
      </c>
      <c r="C409" s="263"/>
      <c r="D409" s="241">
        <v>7</v>
      </c>
      <c r="E409" s="264">
        <f t="shared" si="62"/>
        <v>382</v>
      </c>
      <c r="F409" s="285">
        <f t="shared" si="60"/>
        <v>33.36</v>
      </c>
      <c r="G409" s="233">
        <f t="shared" si="61"/>
        <v>32.961999999999996</v>
      </c>
      <c r="H409" s="233" t="s">
        <v>97</v>
      </c>
      <c r="I409" s="233">
        <f t="shared" si="66"/>
        <v>11473.566999999997</v>
      </c>
      <c r="J409" s="233">
        <f t="shared" si="64"/>
        <v>144.00300000000243</v>
      </c>
      <c r="K409" s="234">
        <f t="shared" si="65"/>
        <v>327.25091271657743</v>
      </c>
      <c r="L409" s="381"/>
      <c r="M409" s="382"/>
      <c r="N409" s="11"/>
    </row>
    <row r="410" spans="1:14" ht="15" customHeight="1">
      <c r="A410" s="231"/>
      <c r="B410" s="263">
        <f t="shared" si="63"/>
        <v>381</v>
      </c>
      <c r="C410" s="263"/>
      <c r="D410" s="241">
        <v>7</v>
      </c>
      <c r="E410" s="264">
        <f t="shared" si="62"/>
        <v>383</v>
      </c>
      <c r="F410" s="285">
        <f t="shared" ref="F410:F429" si="67">VLOOKUP(E410,tubing1,2,FALSE)</f>
        <v>33.47</v>
      </c>
      <c r="G410" s="233">
        <f t="shared" ref="G410:G430" si="68">F410-($E$12)</f>
        <v>33.071999999999996</v>
      </c>
      <c r="H410" s="233" t="s">
        <v>97</v>
      </c>
      <c r="I410" s="233">
        <f t="shared" si="66"/>
        <v>11473.566999999997</v>
      </c>
      <c r="J410" s="233">
        <f t="shared" si="64"/>
        <v>144.00300000000243</v>
      </c>
      <c r="K410" s="234">
        <f t="shared" si="65"/>
        <v>327.25091271657743</v>
      </c>
      <c r="L410" s="381"/>
      <c r="M410" s="382"/>
      <c r="N410" s="11"/>
    </row>
    <row r="411" spans="1:14" ht="15" customHeight="1">
      <c r="A411" s="231"/>
      <c r="B411" s="263">
        <f t="shared" si="63"/>
        <v>382</v>
      </c>
      <c r="C411" s="263"/>
      <c r="D411" s="241">
        <v>7</v>
      </c>
      <c r="E411" s="264">
        <f t="shared" ref="E411:E429" si="69">E410+1</f>
        <v>384</v>
      </c>
      <c r="F411" s="285">
        <f t="shared" si="67"/>
        <v>33.5</v>
      </c>
      <c r="G411" s="233">
        <f t="shared" si="68"/>
        <v>33.101999999999997</v>
      </c>
      <c r="H411" s="233" t="s">
        <v>97</v>
      </c>
      <c r="I411" s="233">
        <f t="shared" si="66"/>
        <v>11473.566999999997</v>
      </c>
      <c r="J411" s="233">
        <f t="shared" si="64"/>
        <v>144.00300000000243</v>
      </c>
      <c r="K411" s="234">
        <f t="shared" si="65"/>
        <v>327.25091271657743</v>
      </c>
      <c r="L411" s="381"/>
      <c r="M411" s="382"/>
      <c r="N411" s="11"/>
    </row>
    <row r="412" spans="1:14" ht="15" customHeight="1">
      <c r="A412" s="231"/>
      <c r="B412" s="263">
        <f t="shared" si="63"/>
        <v>383</v>
      </c>
      <c r="C412" s="263"/>
      <c r="D412" s="241">
        <v>7</v>
      </c>
      <c r="E412" s="264">
        <f t="shared" si="69"/>
        <v>385</v>
      </c>
      <c r="F412" s="285">
        <f t="shared" si="67"/>
        <v>33.44</v>
      </c>
      <c r="G412" s="233">
        <f t="shared" si="68"/>
        <v>33.041999999999994</v>
      </c>
      <c r="H412" s="233" t="s">
        <v>97</v>
      </c>
      <c r="I412" s="233">
        <f t="shared" si="66"/>
        <v>11473.566999999997</v>
      </c>
      <c r="J412" s="233">
        <f t="shared" si="64"/>
        <v>144.00300000000243</v>
      </c>
      <c r="K412" s="234">
        <f t="shared" si="65"/>
        <v>327.25091271657743</v>
      </c>
      <c r="L412" s="381"/>
      <c r="M412" s="382"/>
      <c r="N412" s="11"/>
    </row>
    <row r="413" spans="1:14" ht="15" customHeight="1">
      <c r="A413" s="231"/>
      <c r="B413" s="263">
        <f t="shared" si="63"/>
        <v>384</v>
      </c>
      <c r="C413" s="263"/>
      <c r="D413" s="241">
        <v>7</v>
      </c>
      <c r="E413" s="264">
        <f t="shared" si="69"/>
        <v>386</v>
      </c>
      <c r="F413" s="285">
        <f t="shared" si="67"/>
        <v>31.67</v>
      </c>
      <c r="G413" s="233">
        <f t="shared" si="68"/>
        <v>31.272000000000002</v>
      </c>
      <c r="H413" s="233" t="s">
        <v>97</v>
      </c>
      <c r="I413" s="233">
        <f t="shared" si="66"/>
        <v>11473.566999999997</v>
      </c>
      <c r="J413" s="233">
        <f t="shared" si="64"/>
        <v>144.00300000000243</v>
      </c>
      <c r="K413" s="234">
        <f t="shared" si="65"/>
        <v>327.25091271657743</v>
      </c>
      <c r="L413" s="381"/>
      <c r="M413" s="382"/>
      <c r="N413" s="11"/>
    </row>
    <row r="414" spans="1:14" ht="15" customHeight="1">
      <c r="A414" s="231"/>
      <c r="B414" s="263">
        <f t="shared" si="63"/>
        <v>385</v>
      </c>
      <c r="C414" s="263"/>
      <c r="D414" s="241">
        <v>7</v>
      </c>
      <c r="E414" s="264">
        <f t="shared" si="69"/>
        <v>387</v>
      </c>
      <c r="F414" s="285">
        <f t="shared" si="67"/>
        <v>33.39</v>
      </c>
      <c r="G414" s="233">
        <f t="shared" si="68"/>
        <v>32.991999999999997</v>
      </c>
      <c r="H414" s="233" t="s">
        <v>97</v>
      </c>
      <c r="I414" s="233">
        <f t="shared" si="66"/>
        <v>11473.566999999997</v>
      </c>
      <c r="J414" s="233">
        <f t="shared" si="64"/>
        <v>144.00300000000243</v>
      </c>
      <c r="K414" s="234">
        <f t="shared" si="65"/>
        <v>327.25091271657743</v>
      </c>
      <c r="L414" s="381"/>
      <c r="M414" s="382"/>
      <c r="N414" s="11"/>
    </row>
    <row r="415" spans="1:14" ht="15" customHeight="1">
      <c r="A415" s="231"/>
      <c r="B415" s="263">
        <f t="shared" si="63"/>
        <v>386</v>
      </c>
      <c r="C415" s="263"/>
      <c r="D415" s="241">
        <v>7</v>
      </c>
      <c r="E415" s="264">
        <f t="shared" si="69"/>
        <v>388</v>
      </c>
      <c r="F415" s="285">
        <f t="shared" si="67"/>
        <v>33.22</v>
      </c>
      <c r="G415" s="233">
        <f t="shared" si="68"/>
        <v>32.821999999999996</v>
      </c>
      <c r="H415" s="233" t="s">
        <v>97</v>
      </c>
      <c r="I415" s="233">
        <f t="shared" si="66"/>
        <v>11473.566999999997</v>
      </c>
      <c r="J415" s="233">
        <f t="shared" si="64"/>
        <v>144.00300000000243</v>
      </c>
      <c r="K415" s="234">
        <f t="shared" si="65"/>
        <v>327.25091271657743</v>
      </c>
      <c r="L415" s="381"/>
      <c r="M415" s="382"/>
      <c r="N415" s="11"/>
    </row>
    <row r="416" spans="1:14" ht="17.45" customHeight="1">
      <c r="A416" s="231"/>
      <c r="B416" s="263">
        <f t="shared" si="63"/>
        <v>387</v>
      </c>
      <c r="C416" s="263"/>
      <c r="D416" s="241">
        <v>7</v>
      </c>
      <c r="E416" s="264">
        <f t="shared" si="69"/>
        <v>389</v>
      </c>
      <c r="F416" s="285">
        <f t="shared" si="67"/>
        <v>33.200000000000003</v>
      </c>
      <c r="G416" s="233">
        <f t="shared" si="68"/>
        <v>32.802</v>
      </c>
      <c r="H416" s="233" t="s">
        <v>97</v>
      </c>
      <c r="I416" s="233">
        <f t="shared" si="66"/>
        <v>11473.566999999997</v>
      </c>
      <c r="J416" s="233">
        <f t="shared" si="64"/>
        <v>144.00300000000243</v>
      </c>
      <c r="K416" s="234">
        <f t="shared" si="65"/>
        <v>327.25091271657743</v>
      </c>
      <c r="L416" s="381"/>
      <c r="M416" s="382"/>
      <c r="N416" s="11"/>
    </row>
    <row r="417" spans="1:17" ht="15" customHeight="1">
      <c r="A417" s="231"/>
      <c r="B417" s="263">
        <f t="shared" si="63"/>
        <v>388</v>
      </c>
      <c r="C417" s="263"/>
      <c r="D417" s="241">
        <v>7</v>
      </c>
      <c r="E417" s="264">
        <f t="shared" si="69"/>
        <v>390</v>
      </c>
      <c r="F417" s="285">
        <f t="shared" si="67"/>
        <v>32.950000000000003</v>
      </c>
      <c r="G417" s="233">
        <f t="shared" si="68"/>
        <v>32.552</v>
      </c>
      <c r="H417" s="233" t="s">
        <v>97</v>
      </c>
      <c r="I417" s="233">
        <f t="shared" si="66"/>
        <v>11473.566999999997</v>
      </c>
      <c r="J417" s="233">
        <f t="shared" si="64"/>
        <v>144.00300000000243</v>
      </c>
      <c r="K417" s="234">
        <f t="shared" si="65"/>
        <v>327.25091271657743</v>
      </c>
      <c r="L417" s="381"/>
      <c r="M417" s="382"/>
      <c r="N417" s="11"/>
    </row>
    <row r="418" spans="1:17" ht="15" customHeight="1">
      <c r="A418" s="231"/>
      <c r="B418" s="263">
        <f t="shared" si="63"/>
        <v>389</v>
      </c>
      <c r="C418" s="263"/>
      <c r="D418" s="241">
        <v>7</v>
      </c>
      <c r="E418" s="264">
        <f t="shared" si="69"/>
        <v>391</v>
      </c>
      <c r="F418" s="285">
        <f t="shared" si="67"/>
        <v>33.590000000000003</v>
      </c>
      <c r="G418" s="233">
        <f t="shared" si="68"/>
        <v>33.192</v>
      </c>
      <c r="H418" s="233" t="s">
        <v>97</v>
      </c>
      <c r="I418" s="233">
        <f t="shared" si="66"/>
        <v>11473.566999999997</v>
      </c>
      <c r="J418" s="233">
        <f t="shared" si="64"/>
        <v>144.00300000000243</v>
      </c>
      <c r="K418" s="234">
        <f t="shared" si="65"/>
        <v>327.25091271657743</v>
      </c>
      <c r="L418" s="381"/>
      <c r="M418" s="382"/>
      <c r="N418" s="11"/>
    </row>
    <row r="419" spans="1:17" ht="15" customHeight="1">
      <c r="A419" s="231"/>
      <c r="B419" s="263">
        <f t="shared" si="63"/>
        <v>390</v>
      </c>
      <c r="C419" s="263"/>
      <c r="D419" s="241">
        <v>7</v>
      </c>
      <c r="E419" s="264">
        <f t="shared" si="69"/>
        <v>392</v>
      </c>
      <c r="F419" s="285">
        <f t="shared" si="67"/>
        <v>33.090000000000003</v>
      </c>
      <c r="G419" s="233">
        <f t="shared" si="68"/>
        <v>32.692</v>
      </c>
      <c r="H419" s="233" t="s">
        <v>97</v>
      </c>
      <c r="I419" s="233">
        <f t="shared" si="66"/>
        <v>11473.566999999997</v>
      </c>
      <c r="J419" s="233">
        <f t="shared" si="64"/>
        <v>144.00300000000243</v>
      </c>
      <c r="K419" s="234">
        <f t="shared" si="65"/>
        <v>327.25091271657743</v>
      </c>
      <c r="L419" s="381"/>
      <c r="M419" s="382"/>
      <c r="N419" s="11"/>
    </row>
    <row r="420" spans="1:17" ht="15" customHeight="1">
      <c r="A420" s="231"/>
      <c r="B420" s="263">
        <f t="shared" si="63"/>
        <v>391</v>
      </c>
      <c r="C420" s="263"/>
      <c r="D420" s="241">
        <v>7</v>
      </c>
      <c r="E420" s="264">
        <f t="shared" si="69"/>
        <v>393</v>
      </c>
      <c r="F420" s="285">
        <f t="shared" si="67"/>
        <v>33.39</v>
      </c>
      <c r="G420" s="233">
        <f t="shared" si="68"/>
        <v>32.991999999999997</v>
      </c>
      <c r="H420" s="233" t="s">
        <v>97</v>
      </c>
      <c r="I420" s="233">
        <f t="shared" si="66"/>
        <v>11473.566999999997</v>
      </c>
      <c r="J420" s="233">
        <f t="shared" si="64"/>
        <v>144.00300000000243</v>
      </c>
      <c r="K420" s="234">
        <f t="shared" si="65"/>
        <v>327.25091271657743</v>
      </c>
      <c r="L420" s="381"/>
      <c r="M420" s="382"/>
      <c r="N420" s="11"/>
    </row>
    <row r="421" spans="1:17" ht="15" customHeight="1">
      <c r="A421" s="231"/>
      <c r="B421" s="263">
        <f t="shared" si="63"/>
        <v>392</v>
      </c>
      <c r="C421" s="263"/>
      <c r="D421" s="241">
        <v>7</v>
      </c>
      <c r="E421" s="264">
        <f t="shared" si="69"/>
        <v>394</v>
      </c>
      <c r="F421" s="285">
        <f t="shared" si="67"/>
        <v>33.11</v>
      </c>
      <c r="G421" s="233">
        <f t="shared" si="68"/>
        <v>32.711999999999996</v>
      </c>
      <c r="H421" s="233" t="s">
        <v>97</v>
      </c>
      <c r="I421" s="233">
        <f t="shared" si="66"/>
        <v>11473.566999999997</v>
      </c>
      <c r="J421" s="233">
        <f t="shared" si="64"/>
        <v>144.00300000000243</v>
      </c>
      <c r="K421" s="234">
        <f t="shared" si="65"/>
        <v>327.25091271657743</v>
      </c>
      <c r="L421" s="381"/>
      <c r="M421" s="382"/>
      <c r="N421" s="11"/>
    </row>
    <row r="422" spans="1:17" ht="15" customHeight="1">
      <c r="A422" s="231"/>
      <c r="B422" s="263">
        <f t="shared" si="63"/>
        <v>393</v>
      </c>
      <c r="C422" s="263"/>
      <c r="D422" s="241">
        <v>7</v>
      </c>
      <c r="E422" s="264">
        <f t="shared" si="69"/>
        <v>395</v>
      </c>
      <c r="F422" s="285">
        <f t="shared" si="67"/>
        <v>31.28</v>
      </c>
      <c r="G422" s="233">
        <f t="shared" si="68"/>
        <v>30.882000000000001</v>
      </c>
      <c r="H422" s="233" t="s">
        <v>97</v>
      </c>
      <c r="I422" s="233">
        <f t="shared" si="66"/>
        <v>11473.566999999997</v>
      </c>
      <c r="J422" s="233">
        <f t="shared" si="64"/>
        <v>144.00300000000243</v>
      </c>
      <c r="K422" s="234">
        <f t="shared" si="65"/>
        <v>327.25091271657743</v>
      </c>
      <c r="L422" s="381"/>
      <c r="M422" s="382"/>
      <c r="N422" s="11"/>
    </row>
    <row r="423" spans="1:17" ht="15" customHeight="1">
      <c r="A423" s="231"/>
      <c r="B423" s="263">
        <f t="shared" si="63"/>
        <v>394</v>
      </c>
      <c r="C423" s="263"/>
      <c r="D423" s="241">
        <v>7</v>
      </c>
      <c r="E423" s="264">
        <f t="shared" si="69"/>
        <v>396</v>
      </c>
      <c r="F423" s="285">
        <f t="shared" si="67"/>
        <v>33.18</v>
      </c>
      <c r="G423" s="233">
        <f t="shared" si="68"/>
        <v>32.781999999999996</v>
      </c>
      <c r="H423" s="233" t="s">
        <v>97</v>
      </c>
      <c r="I423" s="233">
        <f t="shared" si="66"/>
        <v>11473.566999999997</v>
      </c>
      <c r="J423" s="233">
        <f t="shared" si="64"/>
        <v>144.00300000000243</v>
      </c>
      <c r="K423" s="234">
        <f t="shared" si="65"/>
        <v>327.25091271657743</v>
      </c>
      <c r="L423" s="381"/>
      <c r="M423" s="382"/>
      <c r="N423" s="11"/>
    </row>
    <row r="424" spans="1:17" ht="15" customHeight="1">
      <c r="A424" s="231"/>
      <c r="B424" s="263">
        <f t="shared" si="63"/>
        <v>395</v>
      </c>
      <c r="C424" s="263"/>
      <c r="D424" s="241">
        <v>7</v>
      </c>
      <c r="E424" s="264">
        <f t="shared" si="69"/>
        <v>397</v>
      </c>
      <c r="F424" s="285">
        <f t="shared" si="67"/>
        <v>32</v>
      </c>
      <c r="G424" s="233">
        <f t="shared" si="68"/>
        <v>31.602</v>
      </c>
      <c r="H424" s="233" t="s">
        <v>97</v>
      </c>
      <c r="I424" s="233">
        <f t="shared" si="66"/>
        <v>11473.566999999997</v>
      </c>
      <c r="J424" s="233">
        <f t="shared" si="64"/>
        <v>144.00300000000243</v>
      </c>
      <c r="K424" s="234">
        <f t="shared" si="65"/>
        <v>327.25091271657743</v>
      </c>
      <c r="L424" s="381"/>
      <c r="M424" s="382"/>
      <c r="N424" s="11"/>
    </row>
    <row r="425" spans="1:17" ht="15" customHeight="1">
      <c r="A425" s="231"/>
      <c r="B425" s="263">
        <f t="shared" si="63"/>
        <v>396</v>
      </c>
      <c r="C425" s="263"/>
      <c r="D425" s="241">
        <v>7</v>
      </c>
      <c r="E425" s="264">
        <f t="shared" si="69"/>
        <v>398</v>
      </c>
      <c r="F425" s="285">
        <f t="shared" si="67"/>
        <v>33.29</v>
      </c>
      <c r="G425" s="233">
        <f t="shared" si="68"/>
        <v>32.891999999999996</v>
      </c>
      <c r="H425" s="233" t="s">
        <v>97</v>
      </c>
      <c r="I425" s="233">
        <f t="shared" si="66"/>
        <v>11473.566999999997</v>
      </c>
      <c r="J425" s="233">
        <f t="shared" si="64"/>
        <v>144.00300000000243</v>
      </c>
      <c r="K425" s="234">
        <f t="shared" si="65"/>
        <v>327.25091271657743</v>
      </c>
      <c r="L425" s="381"/>
      <c r="M425" s="382"/>
      <c r="N425" s="11"/>
    </row>
    <row r="426" spans="1:17" ht="15" customHeight="1">
      <c r="A426" s="231"/>
      <c r="B426" s="263">
        <f t="shared" si="63"/>
        <v>397</v>
      </c>
      <c r="C426" s="263"/>
      <c r="D426" s="241">
        <v>7</v>
      </c>
      <c r="E426" s="264">
        <f t="shared" si="69"/>
        <v>399</v>
      </c>
      <c r="F426" s="285">
        <f t="shared" si="67"/>
        <v>33.14</v>
      </c>
      <c r="G426" s="233">
        <f t="shared" si="68"/>
        <v>32.741999999999997</v>
      </c>
      <c r="H426" s="233" t="s">
        <v>97</v>
      </c>
      <c r="I426" s="233">
        <f t="shared" si="66"/>
        <v>11473.566999999997</v>
      </c>
      <c r="J426" s="233">
        <f t="shared" si="64"/>
        <v>144.00300000000243</v>
      </c>
      <c r="K426" s="234">
        <f t="shared" si="65"/>
        <v>327.25091271657743</v>
      </c>
      <c r="L426" s="381"/>
      <c r="M426" s="382"/>
      <c r="N426" s="11"/>
    </row>
    <row r="427" spans="1:17" ht="15" customHeight="1">
      <c r="A427" s="231"/>
      <c r="B427" s="263">
        <f t="shared" si="63"/>
        <v>398</v>
      </c>
      <c r="C427" s="263"/>
      <c r="D427" s="241">
        <v>7</v>
      </c>
      <c r="E427" s="264">
        <f t="shared" si="69"/>
        <v>400</v>
      </c>
      <c r="F427" s="285">
        <f t="shared" si="67"/>
        <v>33.39</v>
      </c>
      <c r="G427" s="233">
        <f t="shared" si="68"/>
        <v>32.991999999999997</v>
      </c>
      <c r="H427" s="233" t="s">
        <v>97</v>
      </c>
      <c r="I427" s="233">
        <f t="shared" si="66"/>
        <v>11473.566999999997</v>
      </c>
      <c r="J427" s="233">
        <f t="shared" si="64"/>
        <v>144.00300000000243</v>
      </c>
      <c r="K427" s="234">
        <f t="shared" si="65"/>
        <v>327.25091271657743</v>
      </c>
      <c r="L427" s="381"/>
      <c r="M427" s="382"/>
      <c r="N427" s="11"/>
    </row>
    <row r="428" spans="1:17" ht="15" customHeight="1">
      <c r="A428" s="231"/>
      <c r="B428" s="263">
        <f t="shared" si="63"/>
        <v>399</v>
      </c>
      <c r="C428" s="263"/>
      <c r="D428" s="241">
        <v>7</v>
      </c>
      <c r="E428" s="264">
        <f t="shared" si="69"/>
        <v>401</v>
      </c>
      <c r="F428" s="285">
        <f t="shared" si="67"/>
        <v>33.03</v>
      </c>
      <c r="G428" s="233">
        <f t="shared" si="68"/>
        <v>32.631999999999998</v>
      </c>
      <c r="H428" s="233" t="s">
        <v>97</v>
      </c>
      <c r="I428" s="233">
        <f t="shared" si="66"/>
        <v>11473.566999999997</v>
      </c>
      <c r="J428" s="233">
        <f t="shared" si="64"/>
        <v>144.00300000000243</v>
      </c>
      <c r="K428" s="234">
        <f t="shared" si="65"/>
        <v>327.25091271657743</v>
      </c>
      <c r="L428" s="381"/>
      <c r="M428" s="382"/>
      <c r="N428" s="11"/>
    </row>
    <row r="429" spans="1:17" ht="15" customHeight="1">
      <c r="A429" s="231"/>
      <c r="B429" s="263">
        <f t="shared" si="63"/>
        <v>400</v>
      </c>
      <c r="C429" s="263"/>
      <c r="D429" s="241">
        <v>7</v>
      </c>
      <c r="E429" s="264">
        <f t="shared" si="69"/>
        <v>402</v>
      </c>
      <c r="F429" s="285">
        <f t="shared" si="67"/>
        <v>33.03</v>
      </c>
      <c r="G429" s="233">
        <f t="shared" si="68"/>
        <v>32.631999999999998</v>
      </c>
      <c r="H429" s="233" t="s">
        <v>97</v>
      </c>
      <c r="I429" s="233">
        <f t="shared" si="66"/>
        <v>11473.566999999997</v>
      </c>
      <c r="J429" s="233">
        <f t="shared" si="64"/>
        <v>144.00300000000243</v>
      </c>
      <c r="K429" s="234">
        <f t="shared" si="65"/>
        <v>327.25091271657743</v>
      </c>
      <c r="L429" s="381"/>
      <c r="M429" s="382"/>
      <c r="N429" s="11"/>
    </row>
    <row r="430" spans="1:17" ht="24" customHeight="1">
      <c r="A430" s="231"/>
      <c r="B430" s="383" t="s">
        <v>145</v>
      </c>
      <c r="C430" s="533" t="s">
        <v>146</v>
      </c>
      <c r="D430" s="534"/>
      <c r="E430" s="385" t="s">
        <v>38</v>
      </c>
      <c r="F430" s="384">
        <v>2.95</v>
      </c>
      <c r="G430" s="313">
        <f t="shared" si="68"/>
        <v>2.552</v>
      </c>
      <c r="H430" s="313" t="str">
        <f t="shared" ref="H430:H436" si="70">IF(F430="","OUT","IN")</f>
        <v>IN</v>
      </c>
      <c r="I430" s="290">
        <f t="shared" si="66"/>
        <v>11476.118999999997</v>
      </c>
      <c r="J430" s="290">
        <f t="shared" si="64"/>
        <v>141.45100000000275</v>
      </c>
      <c r="K430" s="273">
        <f t="shared" si="65"/>
        <v>327.3047952039725</v>
      </c>
      <c r="L430" s="535"/>
      <c r="M430" s="536"/>
      <c r="N430" s="11"/>
    </row>
    <row r="431" spans="1:17">
      <c r="A431" s="231"/>
      <c r="B431" s="541" t="s">
        <v>147</v>
      </c>
      <c r="C431" s="525" t="s">
        <v>148</v>
      </c>
      <c r="D431" s="526"/>
      <c r="E431" s="265">
        <v>1</v>
      </c>
      <c r="F431" s="384">
        <v>30.8</v>
      </c>
      <c r="G431" s="266">
        <f t="shared" ref="G431:G436" si="71">F431</f>
        <v>30.8</v>
      </c>
      <c r="H431" s="313" t="str">
        <f t="shared" si="70"/>
        <v>IN</v>
      </c>
      <c r="I431" s="290">
        <f t="shared" si="66"/>
        <v>11506.918999999996</v>
      </c>
      <c r="J431" s="290">
        <f t="shared" si="64"/>
        <v>110.65100000000348</v>
      </c>
      <c r="K431" s="273">
        <f t="shared" si="65"/>
        <v>327.95510108632539</v>
      </c>
      <c r="L431" s="367"/>
      <c r="M431" s="368"/>
      <c r="N431" s="11"/>
      <c r="Q431" s="274"/>
    </row>
    <row r="432" spans="1:17">
      <c r="A432" s="231"/>
      <c r="B432" s="542"/>
      <c r="C432" s="525" t="s">
        <v>149</v>
      </c>
      <c r="D432" s="526"/>
      <c r="E432" s="265">
        <v>2</v>
      </c>
      <c r="F432" s="384">
        <v>30.01</v>
      </c>
      <c r="G432" s="266">
        <f t="shared" si="71"/>
        <v>30.01</v>
      </c>
      <c r="H432" s="313" t="str">
        <f t="shared" si="70"/>
        <v>IN</v>
      </c>
      <c r="I432" s="290">
        <f t="shared" si="66"/>
        <v>11536.928999999996</v>
      </c>
      <c r="J432" s="290">
        <f t="shared" si="64"/>
        <v>80.64100000000326</v>
      </c>
      <c r="K432" s="273">
        <f t="shared" si="65"/>
        <v>328.58872704507257</v>
      </c>
      <c r="L432" s="367"/>
      <c r="M432" s="368"/>
      <c r="N432" s="11"/>
      <c r="Q432" s="274"/>
    </row>
    <row r="433" spans="1:14">
      <c r="A433" s="231"/>
      <c r="B433" s="543"/>
      <c r="C433" s="525" t="s">
        <v>150</v>
      </c>
      <c r="D433" s="526"/>
      <c r="E433" s="265">
        <v>3</v>
      </c>
      <c r="F433" s="384">
        <v>30.9</v>
      </c>
      <c r="G433" s="266">
        <f t="shared" si="71"/>
        <v>30.9</v>
      </c>
      <c r="H433" s="266" t="str">
        <f t="shared" si="70"/>
        <v>IN</v>
      </c>
      <c r="I433" s="290">
        <f t="shared" si="66"/>
        <v>11567.828999999996</v>
      </c>
      <c r="J433" s="290">
        <f t="shared" si="64"/>
        <v>49.741000000003623</v>
      </c>
      <c r="K433" s="273">
        <f t="shared" si="65"/>
        <v>329.24114431016034</v>
      </c>
      <c r="L433" s="267"/>
      <c r="M433" s="314"/>
      <c r="N433" s="11"/>
    </row>
    <row r="434" spans="1:14">
      <c r="A434" s="231"/>
      <c r="B434" s="544" t="s">
        <v>151</v>
      </c>
      <c r="C434" s="525" t="s">
        <v>152</v>
      </c>
      <c r="D434" s="526"/>
      <c r="E434" s="265">
        <v>1</v>
      </c>
      <c r="F434" s="384">
        <v>30.85</v>
      </c>
      <c r="G434" s="266">
        <f t="shared" si="71"/>
        <v>30.85</v>
      </c>
      <c r="H434" s="266" t="str">
        <f t="shared" si="70"/>
        <v>IN</v>
      </c>
      <c r="I434" s="290">
        <f t="shared" si="66"/>
        <v>11598.678999999996</v>
      </c>
      <c r="J434" s="290">
        <f t="shared" si="64"/>
        <v>18.89100000000326</v>
      </c>
      <c r="K434" s="273">
        <f t="shared" si="65"/>
        <v>329.89250588388074</v>
      </c>
      <c r="L434" s="523" t="s">
        <v>153</v>
      </c>
      <c r="M434" s="524"/>
      <c r="N434" s="11"/>
    </row>
    <row r="435" spans="1:14">
      <c r="A435" s="231"/>
      <c r="B435" s="545"/>
      <c r="C435" s="525" t="s">
        <v>154</v>
      </c>
      <c r="D435" s="526"/>
      <c r="E435" s="265">
        <v>2</v>
      </c>
      <c r="F435" s="384">
        <v>30.96</v>
      </c>
      <c r="G435" s="266">
        <f t="shared" si="71"/>
        <v>30.96</v>
      </c>
      <c r="H435" s="266" t="str">
        <f t="shared" si="70"/>
        <v>IN</v>
      </c>
      <c r="I435" s="290">
        <f t="shared" si="66"/>
        <v>11629.638999999996</v>
      </c>
      <c r="J435" s="290">
        <f t="shared" si="64"/>
        <v>-12.068999999995867</v>
      </c>
      <c r="K435" s="273">
        <f t="shared" si="65"/>
        <v>330.5461899786095</v>
      </c>
      <c r="L435" s="527"/>
      <c r="M435" s="528"/>
      <c r="N435" s="11"/>
    </row>
    <row r="436" spans="1:14">
      <c r="A436" s="231"/>
      <c r="B436" s="545"/>
      <c r="C436" s="529" t="s">
        <v>155</v>
      </c>
      <c r="D436" s="530"/>
      <c r="E436" s="270">
        <v>3</v>
      </c>
      <c r="F436" s="384">
        <v>30.98</v>
      </c>
      <c r="G436" s="271">
        <f t="shared" si="71"/>
        <v>30.98</v>
      </c>
      <c r="H436" s="271" t="str">
        <f t="shared" si="70"/>
        <v>IN</v>
      </c>
      <c r="I436" s="290">
        <f t="shared" si="66"/>
        <v>11660.618999999995</v>
      </c>
      <c r="J436" s="290">
        <f t="shared" si="64"/>
        <v>-43.048999999995431</v>
      </c>
      <c r="K436" s="273">
        <f t="shared" si="65"/>
        <v>331.20029634988532</v>
      </c>
      <c r="L436" s="531" t="s">
        <v>156</v>
      </c>
      <c r="M436" s="532"/>
      <c r="N436" s="11"/>
    </row>
    <row r="437" spans="1:14">
      <c r="A437" s="231"/>
      <c r="B437" s="537" t="s">
        <v>157</v>
      </c>
      <c r="C437" s="538" t="s">
        <v>158</v>
      </c>
      <c r="D437" s="538"/>
      <c r="E437" s="538"/>
      <c r="F437" s="386">
        <v>7.25</v>
      </c>
      <c r="G437" s="386">
        <f>F437-($E$12)</f>
        <v>6.8520000000000003</v>
      </c>
      <c r="H437" s="386" t="s">
        <v>97</v>
      </c>
      <c r="I437" s="386"/>
      <c r="J437" s="386"/>
      <c r="K437" s="539" t="s">
        <v>159</v>
      </c>
      <c r="L437" s="539"/>
      <c r="M437" s="540"/>
      <c r="N437" s="11"/>
    </row>
    <row r="438" spans="1:14">
      <c r="A438" s="231"/>
      <c r="B438" s="537"/>
      <c r="C438" s="538" t="s">
        <v>160</v>
      </c>
      <c r="D438" s="538"/>
      <c r="E438" s="538"/>
      <c r="F438" s="386">
        <v>99.7</v>
      </c>
      <c r="G438" s="386">
        <f>F438</f>
        <v>99.7</v>
      </c>
      <c r="H438" s="386" t="s">
        <v>97</v>
      </c>
      <c r="I438" s="386"/>
      <c r="J438" s="386"/>
      <c r="K438" s="539"/>
      <c r="L438" s="539"/>
      <c r="M438" s="539"/>
      <c r="N438" s="11"/>
    </row>
    <row r="439" spans="1:14" ht="13.5" customHeight="1">
      <c r="A439" s="231"/>
      <c r="B439" s="387"/>
      <c r="C439" s="519" t="s">
        <v>161</v>
      </c>
      <c r="D439" s="520"/>
      <c r="E439" s="520"/>
      <c r="F439" s="521"/>
      <c r="G439" s="388"/>
      <c r="H439" s="389" t="s">
        <v>97</v>
      </c>
      <c r="I439" s="388"/>
      <c r="J439" s="390"/>
      <c r="K439" s="391"/>
      <c r="L439" s="392"/>
      <c r="M439" s="393"/>
      <c r="N439" s="11"/>
    </row>
    <row r="440" spans="1:14">
      <c r="A440" s="231"/>
      <c r="B440" s="8"/>
      <c r="C440" s="8"/>
      <c r="D440" s="222"/>
      <c r="E440" s="222"/>
      <c r="F440" s="223"/>
      <c r="K440" s="224"/>
      <c r="L440" s="522"/>
      <c r="M440" s="522"/>
      <c r="N440" s="11"/>
    </row>
    <row r="441" spans="1:14">
      <c r="A441" s="231"/>
      <c r="D441" s="14"/>
      <c r="G441" s="17"/>
      <c r="M441" s="9"/>
      <c r="N441" s="11"/>
    </row>
    <row r="442" spans="1:14">
      <c r="A442" s="231"/>
      <c r="D442" s="14"/>
      <c r="G442" s="17"/>
      <c r="M442" s="9"/>
      <c r="N442" s="11"/>
    </row>
    <row r="443" spans="1:14">
      <c r="A443" s="231"/>
      <c r="D443" s="14"/>
      <c r="G443" s="17"/>
      <c r="K443" s="11"/>
      <c r="M443" s="9"/>
      <c r="N443" s="11"/>
    </row>
    <row r="444" spans="1:14">
      <c r="A444" s="231"/>
      <c r="D444" s="14"/>
      <c r="G444" s="17"/>
      <c r="M444" s="9"/>
      <c r="N444" s="11"/>
    </row>
    <row r="445" spans="1:14">
      <c r="A445" s="231"/>
      <c r="D445" s="14"/>
      <c r="G445" s="17"/>
      <c r="M445" s="9"/>
      <c r="N445" s="11"/>
    </row>
    <row r="446" spans="1:14">
      <c r="A446" s="231"/>
      <c r="D446" s="14"/>
      <c r="G446" s="17"/>
      <c r="M446" s="9"/>
      <c r="N446" s="11"/>
    </row>
    <row r="447" spans="1:14">
      <c r="A447" s="231"/>
      <c r="D447" s="14"/>
      <c r="G447" s="17"/>
      <c r="M447" s="9"/>
      <c r="N447" s="11"/>
    </row>
    <row r="448" spans="1:14">
      <c r="A448" s="231"/>
      <c r="D448" s="14"/>
      <c r="G448" s="17"/>
      <c r="M448" s="9"/>
      <c r="N448" s="11"/>
    </row>
    <row r="449" spans="1:16">
      <c r="A449" s="231"/>
      <c r="D449" s="14"/>
      <c r="G449" s="17"/>
      <c r="M449" s="9"/>
      <c r="N449" s="11"/>
    </row>
    <row r="450" spans="1:16">
      <c r="A450" s="231"/>
      <c r="N450" s="11"/>
    </row>
    <row r="451" spans="1:16">
      <c r="A451" s="231"/>
      <c r="N451" s="11"/>
    </row>
    <row r="452" spans="1:16">
      <c r="A452" s="231"/>
      <c r="N452" s="11"/>
    </row>
    <row r="453" spans="1:16">
      <c r="A453" s="231"/>
      <c r="N453" s="11"/>
    </row>
    <row r="454" spans="1:16">
      <c r="A454" s="231"/>
      <c r="N454" s="11"/>
    </row>
    <row r="455" spans="1:16">
      <c r="A455" s="231"/>
      <c r="N455" s="11"/>
    </row>
    <row r="456" spans="1:16">
      <c r="A456" s="231"/>
      <c r="N456" s="11"/>
    </row>
    <row r="457" spans="1:16">
      <c r="A457" s="231"/>
      <c r="N457" s="11"/>
    </row>
    <row r="458" spans="1:16">
      <c r="A458" s="231"/>
      <c r="N458" s="11"/>
    </row>
    <row r="459" spans="1:16">
      <c r="A459" s="231"/>
      <c r="N459" s="11"/>
    </row>
    <row r="460" spans="1:16" s="268" customFormat="1" ht="19.149999999999999" customHeight="1">
      <c r="B460" s="1"/>
      <c r="C460" s="17"/>
      <c r="D460" s="4"/>
      <c r="E460" s="4"/>
      <c r="F460" s="153"/>
      <c r="G460" s="153"/>
      <c r="H460" s="153"/>
      <c r="I460" s="153"/>
      <c r="J460" s="153"/>
      <c r="K460" s="161"/>
      <c r="L460" s="9"/>
    </row>
    <row r="461" spans="1:16" s="164" customFormat="1" ht="19.149999999999999" customHeight="1">
      <c r="B461" s="1"/>
      <c r="C461" s="17"/>
      <c r="D461" s="4"/>
      <c r="E461" s="4"/>
      <c r="F461" s="153"/>
      <c r="G461" s="153"/>
      <c r="H461" s="153"/>
      <c r="I461" s="153"/>
      <c r="J461" s="153"/>
      <c r="K461" s="161"/>
      <c r="L461" s="9"/>
    </row>
    <row r="462" spans="1:16" s="268" customFormat="1" ht="19.149999999999999" customHeight="1">
      <c r="B462" s="1"/>
      <c r="C462" s="17"/>
      <c r="D462" s="4"/>
      <c r="E462" s="4"/>
      <c r="F462" s="153"/>
      <c r="G462" s="153"/>
      <c r="H462" s="153"/>
      <c r="I462" s="153"/>
      <c r="J462" s="153"/>
      <c r="K462" s="161"/>
      <c r="L462" s="9"/>
    </row>
    <row r="463" spans="1:16" s="164" customFormat="1" ht="19.149999999999999" customHeight="1">
      <c r="B463" s="1"/>
      <c r="C463" s="17"/>
      <c r="D463" s="4"/>
      <c r="E463" s="4"/>
      <c r="F463" s="153"/>
      <c r="G463" s="153"/>
      <c r="H463" s="153"/>
      <c r="I463" s="153"/>
      <c r="J463" s="153"/>
      <c r="K463" s="161"/>
      <c r="L463" s="9"/>
      <c r="N463" s="178"/>
    </row>
    <row r="464" spans="1:16" s="268" customFormat="1" ht="19.149999999999999" customHeight="1">
      <c r="B464" s="1"/>
      <c r="C464" s="17"/>
      <c r="D464" s="4"/>
      <c r="E464" s="4"/>
      <c r="F464" s="153"/>
      <c r="G464" s="153"/>
      <c r="H464" s="153"/>
      <c r="I464" s="153"/>
      <c r="J464" s="153"/>
      <c r="K464" s="161"/>
      <c r="L464" s="9"/>
      <c r="N464" s="315"/>
      <c r="O464" s="164"/>
      <c r="P464" s="164"/>
    </row>
    <row r="465" spans="14:16" ht="13.15" customHeight="1">
      <c r="N465" s="316"/>
      <c r="O465" s="268"/>
      <c r="P465" s="268"/>
    </row>
    <row r="466" spans="14:16" ht="13.15" customHeight="1">
      <c r="N466" s="280"/>
      <c r="O466" s="268"/>
      <c r="P466" s="268"/>
    </row>
    <row r="467" spans="14:16">
      <c r="N467" s="269"/>
      <c r="P467" s="164"/>
    </row>
    <row r="468" spans="14:16" ht="13.15" customHeight="1"/>
  </sheetData>
  <mergeCells count="352">
    <mergeCell ref="E6:F6"/>
    <mergeCell ref="E7:F7"/>
    <mergeCell ref="E8:F8"/>
    <mergeCell ref="E9:F9"/>
    <mergeCell ref="E10:F10"/>
    <mergeCell ref="O19:P20"/>
    <mergeCell ref="D20:E20"/>
    <mergeCell ref="L20:M20"/>
    <mergeCell ref="L21:M21"/>
    <mergeCell ref="E11:F11"/>
    <mergeCell ref="L13:M14"/>
    <mergeCell ref="L22:M22"/>
    <mergeCell ref="L18:M18"/>
    <mergeCell ref="B19:B23"/>
    <mergeCell ref="C19:C23"/>
    <mergeCell ref="D19:E19"/>
    <mergeCell ref="L19:M19"/>
    <mergeCell ref="D23:E23"/>
    <mergeCell ref="L23:M23"/>
    <mergeCell ref="O23:P24"/>
    <mergeCell ref="L24:M24"/>
    <mergeCell ref="B15:B17"/>
    <mergeCell ref="C15:C17"/>
    <mergeCell ref="D15:E15"/>
    <mergeCell ref="L15:M15"/>
    <mergeCell ref="D16:E16"/>
    <mergeCell ref="L16:M16"/>
    <mergeCell ref="D17:E17"/>
    <mergeCell ref="L17:M17"/>
    <mergeCell ref="L26:M26"/>
    <mergeCell ref="L45:M45"/>
    <mergeCell ref="R29:S29"/>
    <mergeCell ref="L31:M31"/>
    <mergeCell ref="L32:M32"/>
    <mergeCell ref="L33:M37"/>
    <mergeCell ref="L38:M38"/>
    <mergeCell ref="L39:M39"/>
    <mergeCell ref="N28:P31"/>
    <mergeCell ref="L40:M40"/>
    <mergeCell ref="L41:M41"/>
    <mergeCell ref="L42:M42"/>
    <mergeCell ref="L43:M43"/>
    <mergeCell ref="L44:M44"/>
    <mergeCell ref="L57:M57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70:M70"/>
    <mergeCell ref="L58:M58"/>
    <mergeCell ref="L59:M59"/>
    <mergeCell ref="L60:M60"/>
    <mergeCell ref="L61:M62"/>
    <mergeCell ref="L63:M63"/>
    <mergeCell ref="L64:M64"/>
    <mergeCell ref="L65:M65"/>
    <mergeCell ref="L66:M66"/>
    <mergeCell ref="L67:M67"/>
    <mergeCell ref="L68:M68"/>
    <mergeCell ref="L69:M69"/>
    <mergeCell ref="L82:M82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94:M94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106:M106"/>
    <mergeCell ref="L95:M95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18:M118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30:M130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42:M142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41:M141"/>
    <mergeCell ref="L155:M155"/>
    <mergeCell ref="L143:M143"/>
    <mergeCell ref="L144:M144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67:M167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79:M179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91:M191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L190:M190"/>
    <mergeCell ref="L203:M203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200:M200"/>
    <mergeCell ref="L201:M201"/>
    <mergeCell ref="L202:M202"/>
    <mergeCell ref="L215:M215"/>
    <mergeCell ref="L204:M204"/>
    <mergeCell ref="L205:M205"/>
    <mergeCell ref="L206:M206"/>
    <mergeCell ref="L207:M207"/>
    <mergeCell ref="L208:M208"/>
    <mergeCell ref="L209:M209"/>
    <mergeCell ref="L210:M210"/>
    <mergeCell ref="L211:M211"/>
    <mergeCell ref="L212:M212"/>
    <mergeCell ref="L213:M213"/>
    <mergeCell ref="L214:M214"/>
    <mergeCell ref="L227:M227"/>
    <mergeCell ref="L216:M216"/>
    <mergeCell ref="L217:M217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39:M239"/>
    <mergeCell ref="L228:M228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51:M251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0:M250"/>
    <mergeCell ref="L263:M263"/>
    <mergeCell ref="L252:M252"/>
    <mergeCell ref="L253:M253"/>
    <mergeCell ref="L254:M254"/>
    <mergeCell ref="L255:M255"/>
    <mergeCell ref="L256:M256"/>
    <mergeCell ref="L257:M257"/>
    <mergeCell ref="L258:M258"/>
    <mergeCell ref="L259:M259"/>
    <mergeCell ref="L260:M260"/>
    <mergeCell ref="L261:M261"/>
    <mergeCell ref="L262:M262"/>
    <mergeCell ref="L275:M275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74:M274"/>
    <mergeCell ref="L288:M288"/>
    <mergeCell ref="L276:M276"/>
    <mergeCell ref="L277:M277"/>
    <mergeCell ref="L278:M278"/>
    <mergeCell ref="L279:M279"/>
    <mergeCell ref="L280:M280"/>
    <mergeCell ref="L281:M281"/>
    <mergeCell ref="L282:M282"/>
    <mergeCell ref="L284:M284"/>
    <mergeCell ref="L285:M285"/>
    <mergeCell ref="L286:M286"/>
    <mergeCell ref="L287:M287"/>
    <mergeCell ref="L300:M300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18:M318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15:M315"/>
    <mergeCell ref="L316:M316"/>
    <mergeCell ref="L317:M317"/>
    <mergeCell ref="L330:M330"/>
    <mergeCell ref="L319:M319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1:M331"/>
    <mergeCell ref="L337:M337"/>
    <mergeCell ref="B341:B345"/>
    <mergeCell ref="C341:C345"/>
    <mergeCell ref="D341:E341"/>
    <mergeCell ref="L341:M341"/>
    <mergeCell ref="D342:E342"/>
    <mergeCell ref="L342:M342"/>
    <mergeCell ref="D343:E343"/>
    <mergeCell ref="L343:M343"/>
    <mergeCell ref="D344:E344"/>
    <mergeCell ref="L344:M344"/>
    <mergeCell ref="D345:E345"/>
    <mergeCell ref="L345:M345"/>
    <mergeCell ref="B437:B438"/>
    <mergeCell ref="C437:E437"/>
    <mergeCell ref="K437:M438"/>
    <mergeCell ref="C438:E438"/>
    <mergeCell ref="B431:B433"/>
    <mergeCell ref="C431:D431"/>
    <mergeCell ref="C432:D432"/>
    <mergeCell ref="C433:D433"/>
    <mergeCell ref="B434:B436"/>
    <mergeCell ref="C434:D434"/>
    <mergeCell ref="C439:F439"/>
    <mergeCell ref="L440:M440"/>
    <mergeCell ref="L434:M434"/>
    <mergeCell ref="C435:D435"/>
    <mergeCell ref="L435:M435"/>
    <mergeCell ref="C436:D436"/>
    <mergeCell ref="L436:M436"/>
    <mergeCell ref="C430:D430"/>
    <mergeCell ref="L430:M430"/>
  </mergeCells>
  <dataValidations count="1">
    <dataValidation showInputMessage="1" showErrorMessage="1" sqref="F434:F436" xr:uid="{00000000-0002-0000-0200-000000000000}"/>
  </dataValidations>
  <printOptions horizontalCentered="1" verticalCentered="1"/>
  <pageMargins left="0.25" right="0.25" top="0.75" bottom="0.75" header="0.3" footer="0.3"/>
  <pageSetup scale="66" fitToHeight="8" orientation="portrait" r:id="rId1"/>
  <headerFooter alignWithMargins="0">
    <oddHeader>&amp;L&amp;"Calibri"&amp;9&amp;K000000Classification: Internal&amp;1#</oddHeader>
    <oddFooter>Page &amp;P</oddFooter>
  </headerFooter>
  <rowBreaks count="2" manualBreakCount="2">
    <brk id="58" max="27" man="1"/>
    <brk id="319" max="2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2:Y468"/>
  <sheetViews>
    <sheetView showGridLines="0" topLeftCell="A15" zoomScale="90" zoomScaleNormal="90" zoomScaleSheetLayoutView="97" workbookViewId="0">
      <selection activeCell="F15" sqref="F15"/>
    </sheetView>
  </sheetViews>
  <sheetFormatPr defaultColWidth="11.42578125" defaultRowHeight="12.75"/>
  <cols>
    <col min="1" max="1" width="1.42578125" customWidth="1"/>
    <col min="2" max="2" width="15" style="1" customWidth="1"/>
    <col min="3" max="3" width="5.5703125" style="17" customWidth="1"/>
    <col min="4" max="4" width="14.85546875" style="4" customWidth="1"/>
    <col min="5" max="5" width="11.28515625" style="4" customWidth="1"/>
    <col min="6" max="6" width="8.42578125" style="153" customWidth="1"/>
    <col min="7" max="7" width="10.5703125" style="153" customWidth="1"/>
    <col min="8" max="8" width="9.42578125" style="153" customWidth="1"/>
    <col min="9" max="9" width="9.5703125" style="153" customWidth="1"/>
    <col min="10" max="10" width="12.28515625" style="153" customWidth="1"/>
    <col min="11" max="11" width="17.42578125" style="161" customWidth="1"/>
    <col min="12" max="12" width="13.42578125" style="9" customWidth="1"/>
    <col min="13" max="13" width="27.7109375" customWidth="1"/>
    <col min="17" max="17" width="14.42578125" customWidth="1"/>
    <col min="18" max="18" width="35.5703125" customWidth="1"/>
  </cols>
  <sheetData>
    <row r="2" spans="1:20" ht="15.75" customHeight="1">
      <c r="A2" s="18"/>
      <c r="B2" s="5"/>
      <c r="C2" s="16"/>
      <c r="D2" s="13"/>
      <c r="E2" s="3"/>
      <c r="F2" s="194"/>
      <c r="G2" s="195"/>
      <c r="H2" s="194"/>
      <c r="I2" s="194" t="s">
        <v>44</v>
      </c>
      <c r="J2" s="159"/>
      <c r="K2" s="159"/>
      <c r="L2" s="207"/>
      <c r="M2" s="443" t="s">
        <v>162</v>
      </c>
      <c r="N2" s="15"/>
    </row>
    <row r="3" spans="1:20" ht="2.25" customHeight="1">
      <c r="B3" s="6"/>
      <c r="C3" s="8"/>
      <c r="D3" s="12"/>
      <c r="E3" s="163"/>
      <c r="F3" s="191"/>
      <c r="G3" s="192"/>
      <c r="H3" s="197"/>
      <c r="I3" s="193"/>
      <c r="K3" s="160"/>
      <c r="L3" s="208" t="s">
        <v>46</v>
      </c>
      <c r="M3" s="150"/>
    </row>
    <row r="4" spans="1:20" ht="17.25" customHeight="1">
      <c r="B4" s="6"/>
      <c r="C4" s="8"/>
      <c r="D4" s="12"/>
      <c r="E4" s="12"/>
      <c r="F4" s="152"/>
      <c r="G4" s="196"/>
      <c r="H4" s="198" t="s">
        <v>47</v>
      </c>
      <c r="I4" s="196"/>
      <c r="K4" s="160"/>
      <c r="L4" s="20"/>
      <c r="M4" s="19"/>
    </row>
    <row r="5" spans="1:20" ht="21.75" customHeight="1">
      <c r="B5" s="6"/>
      <c r="C5" s="8"/>
      <c r="D5" s="12"/>
      <c r="E5" s="12"/>
      <c r="F5" s="152"/>
      <c r="G5" s="154"/>
      <c r="H5" s="152"/>
      <c r="I5" s="154"/>
      <c r="K5" s="200" t="s">
        <v>48</v>
      </c>
      <c r="L5" s="206">
        <v>44437</v>
      </c>
      <c r="M5" s="19"/>
    </row>
    <row r="6" spans="1:20" ht="18" customHeight="1">
      <c r="B6" s="10"/>
      <c r="C6" s="228"/>
      <c r="D6" s="181" t="s">
        <v>50</v>
      </c>
      <c r="E6" s="636" t="s">
        <v>51</v>
      </c>
      <c r="F6" s="637"/>
      <c r="G6" s="213" t="s">
        <v>52</v>
      </c>
      <c r="H6" s="214" t="s">
        <v>53</v>
      </c>
      <c r="K6" s="199" t="s">
        <v>54</v>
      </c>
      <c r="L6" s="201" t="s">
        <v>55</v>
      </c>
      <c r="M6" s="7"/>
    </row>
    <row r="7" spans="1:20">
      <c r="B7" s="21"/>
      <c r="C7" s="8"/>
      <c r="D7" s="181" t="s">
        <v>56</v>
      </c>
      <c r="E7" s="636" t="s">
        <v>57</v>
      </c>
      <c r="F7" s="637"/>
      <c r="G7" s="213" t="s">
        <v>58</v>
      </c>
      <c r="H7" s="215" t="s">
        <v>59</v>
      </c>
      <c r="I7" s="162"/>
      <c r="J7" s="17"/>
      <c r="K7" s="199" t="s">
        <v>60</v>
      </c>
      <c r="L7" s="201" t="s">
        <v>61</v>
      </c>
      <c r="M7" s="7"/>
    </row>
    <row r="8" spans="1:20">
      <c r="B8" s="6"/>
      <c r="C8" s="8"/>
      <c r="D8" s="181" t="s">
        <v>62</v>
      </c>
      <c r="E8" s="636" t="s">
        <v>63</v>
      </c>
      <c r="F8" s="637"/>
      <c r="G8" s="213"/>
      <c r="H8" s="214"/>
      <c r="I8" s="158"/>
      <c r="K8" s="200" t="s">
        <v>64</v>
      </c>
      <c r="L8" s="446">
        <v>1312.32</v>
      </c>
      <c r="M8" s="7" t="s">
        <v>65</v>
      </c>
    </row>
    <row r="9" spans="1:20">
      <c r="B9" s="6"/>
      <c r="C9" s="8"/>
      <c r="D9" s="181" t="s">
        <v>66</v>
      </c>
      <c r="E9" s="638" t="s">
        <v>67</v>
      </c>
      <c r="F9" s="639"/>
      <c r="G9" s="213" t="s">
        <v>68</v>
      </c>
      <c r="H9" s="445">
        <v>85</v>
      </c>
      <c r="I9" s="156"/>
      <c r="J9" s="156"/>
      <c r="K9" s="200" t="s">
        <v>69</v>
      </c>
      <c r="L9" s="230">
        <v>11617.57</v>
      </c>
      <c r="M9" s="2" t="s">
        <v>65</v>
      </c>
    </row>
    <row r="10" spans="1:20">
      <c r="B10" s="6"/>
      <c r="C10" s="8"/>
      <c r="D10" s="181" t="s">
        <v>70</v>
      </c>
      <c r="E10" s="640">
        <v>26</v>
      </c>
      <c r="F10" s="641"/>
      <c r="G10" s="213" t="s">
        <v>71</v>
      </c>
      <c r="H10" s="444">
        <v>12.3</v>
      </c>
      <c r="I10" s="157"/>
      <c r="K10" s="200" t="s">
        <v>72</v>
      </c>
      <c r="L10" s="229">
        <v>21304</v>
      </c>
      <c r="M10" s="2" t="s">
        <v>65</v>
      </c>
    </row>
    <row r="11" spans="1:20">
      <c r="B11" s="6"/>
      <c r="C11" s="8"/>
      <c r="D11" s="181" t="s">
        <v>73</v>
      </c>
      <c r="E11" s="609" t="s">
        <v>74</v>
      </c>
      <c r="F11" s="610"/>
      <c r="G11" s="213" t="s">
        <v>75</v>
      </c>
      <c r="H11" s="216">
        <f>(65.45-H10)/65.45</f>
        <v>0.81207028265851799</v>
      </c>
      <c r="I11" s="157"/>
      <c r="K11" s="200" t="s">
        <v>76</v>
      </c>
      <c r="L11" s="229">
        <v>21294</v>
      </c>
      <c r="M11" s="2" t="s">
        <v>65</v>
      </c>
      <c r="O11" s="11"/>
    </row>
    <row r="12" spans="1:20">
      <c r="B12" s="6"/>
      <c r="C12" s="173"/>
      <c r="D12" s="181" t="s">
        <v>77</v>
      </c>
      <c r="E12" s="184">
        <f>F12/12</f>
        <v>0.39799999999999996</v>
      </c>
      <c r="F12" s="183">
        <v>4.7759999999999998</v>
      </c>
      <c r="G12" s="155"/>
      <c r="H12" s="182"/>
      <c r="I12" s="157"/>
      <c r="K12" s="200" t="s">
        <v>78</v>
      </c>
      <c r="L12" s="230">
        <f>F15+J15</f>
        <v>11637.25</v>
      </c>
      <c r="M12" s="2" t="s">
        <v>65</v>
      </c>
      <c r="Q12" s="179"/>
    </row>
    <row r="13" spans="1:20" ht="13.15" customHeight="1">
      <c r="B13" s="247" t="s">
        <v>79</v>
      </c>
      <c r="C13" s="248"/>
      <c r="D13" s="249"/>
      <c r="E13" s="248" t="s">
        <v>80</v>
      </c>
      <c r="F13" s="249" t="s">
        <v>80</v>
      </c>
      <c r="G13" s="250" t="s">
        <v>81</v>
      </c>
      <c r="H13" s="250" t="s">
        <v>80</v>
      </c>
      <c r="I13" s="251" t="s">
        <v>82</v>
      </c>
      <c r="J13" s="249" t="s">
        <v>83</v>
      </c>
      <c r="K13" s="252" t="s">
        <v>84</v>
      </c>
      <c r="L13" s="611" t="s">
        <v>85</v>
      </c>
      <c r="M13" s="612"/>
    </row>
    <row r="14" spans="1:20" ht="14.1" customHeight="1">
      <c r="B14" s="253" t="s">
        <v>86</v>
      </c>
      <c r="C14" s="253" t="s">
        <v>87</v>
      </c>
      <c r="D14" s="254" t="s">
        <v>88</v>
      </c>
      <c r="E14" s="254" t="s">
        <v>89</v>
      </c>
      <c r="F14" s="255" t="s">
        <v>90</v>
      </c>
      <c r="G14" s="256" t="s">
        <v>90</v>
      </c>
      <c r="H14" s="256" t="s">
        <v>91</v>
      </c>
      <c r="I14" s="257" t="s">
        <v>90</v>
      </c>
      <c r="J14" s="255" t="s">
        <v>92</v>
      </c>
      <c r="K14" s="258" t="s">
        <v>93</v>
      </c>
      <c r="L14" s="613"/>
      <c r="M14" s="614"/>
    </row>
    <row r="15" spans="1:20" ht="17.100000000000001" customHeight="1">
      <c r="B15" s="628" t="s">
        <v>94</v>
      </c>
      <c r="C15" s="629" t="s">
        <v>95</v>
      </c>
      <c r="D15" s="630" t="s">
        <v>96</v>
      </c>
      <c r="E15" s="630"/>
      <c r="F15" s="170">
        <v>19.68</v>
      </c>
      <c r="G15" s="170">
        <f>F15</f>
        <v>19.68</v>
      </c>
      <c r="H15" s="171" t="s">
        <v>97</v>
      </c>
      <c r="I15" s="170">
        <v>0</v>
      </c>
      <c r="J15" s="171">
        <f t="shared" ref="J15:J78" si="0">IF(I15="","",$L$9-I15)</f>
        <v>11617.57</v>
      </c>
      <c r="K15" s="172">
        <f t="shared" ref="K15:K78" si="1">$H$9+(I15*$E$10*$H$11/1000)</f>
        <v>85</v>
      </c>
      <c r="L15" s="631" t="s">
        <v>98</v>
      </c>
      <c r="M15" s="631"/>
      <c r="N15" s="11"/>
      <c r="T15" s="179"/>
    </row>
    <row r="16" spans="1:20" ht="17.850000000000001" customHeight="1">
      <c r="B16" s="628"/>
      <c r="C16" s="629"/>
      <c r="D16" s="632" t="s">
        <v>99</v>
      </c>
      <c r="E16" s="633"/>
      <c r="F16" s="170">
        <v>2.69</v>
      </c>
      <c r="G16" s="170">
        <f>F16</f>
        <v>2.69</v>
      </c>
      <c r="H16" s="170" t="str">
        <f t="shared" ref="H16:H52" si="2">IF(F16="","OUT","IN")</f>
        <v>IN</v>
      </c>
      <c r="I16" s="170">
        <f t="shared" ref="I16:I79" si="3">IF(H16="IN",I15+G16,I15)</f>
        <v>2.69</v>
      </c>
      <c r="J16" s="170">
        <f t="shared" si="0"/>
        <v>11614.88</v>
      </c>
      <c r="K16" s="172">
        <f t="shared" si="1"/>
        <v>85.056796195569135</v>
      </c>
      <c r="L16" s="634" t="s">
        <v>100</v>
      </c>
      <c r="M16" s="634"/>
      <c r="N16" s="11"/>
    </row>
    <row r="17" spans="2:25" ht="18" customHeight="1">
      <c r="B17" s="628"/>
      <c r="C17" s="629"/>
      <c r="D17" s="630" t="s">
        <v>101</v>
      </c>
      <c r="E17" s="630"/>
      <c r="F17" s="170">
        <v>9.81</v>
      </c>
      <c r="G17" s="170">
        <v>9.81</v>
      </c>
      <c r="H17" s="170" t="str">
        <f t="shared" si="2"/>
        <v>IN</v>
      </c>
      <c r="I17" s="170">
        <f t="shared" si="3"/>
        <v>12.5</v>
      </c>
      <c r="J17" s="170">
        <f t="shared" si="0"/>
        <v>11605.07</v>
      </c>
      <c r="K17" s="172">
        <f t="shared" si="1"/>
        <v>85.263922841864016</v>
      </c>
      <c r="L17" s="635"/>
      <c r="M17" s="635"/>
      <c r="N17" s="11"/>
    </row>
    <row r="18" spans="2:25" ht="13.5" customHeight="1">
      <c r="B18" s="321">
        <v>1</v>
      </c>
      <c r="C18" s="320"/>
      <c r="D18" s="174">
        <v>7</v>
      </c>
      <c r="E18" s="227">
        <v>1</v>
      </c>
      <c r="F18" s="175">
        <v>33.409999999999997</v>
      </c>
      <c r="G18" s="288">
        <f>F18-($E$12)</f>
        <v>33.011999999999993</v>
      </c>
      <c r="H18" s="175" t="str">
        <f t="shared" si="2"/>
        <v>IN</v>
      </c>
      <c r="I18" s="177">
        <f t="shared" si="3"/>
        <v>45.511999999999993</v>
      </c>
      <c r="J18" s="177">
        <f t="shared" si="0"/>
        <v>11572.057999999999</v>
      </c>
      <c r="K18" s="235">
        <f t="shared" si="1"/>
        <v>85.960932510313214</v>
      </c>
      <c r="L18" s="578"/>
      <c r="M18" s="579"/>
      <c r="N18" s="11"/>
      <c r="P18" s="189"/>
      <c r="Q18" s="189"/>
      <c r="R18" s="11"/>
      <c r="W18" s="11"/>
    </row>
    <row r="19" spans="2:25" ht="13.5" customHeight="1">
      <c r="B19" s="615" t="s">
        <v>102</v>
      </c>
      <c r="C19" s="616">
        <v>11958736</v>
      </c>
      <c r="D19" s="617" t="s">
        <v>101</v>
      </c>
      <c r="E19" s="617"/>
      <c r="F19" s="374">
        <v>6.21</v>
      </c>
      <c r="G19" s="375">
        <f>F19-($E$12)</f>
        <v>5.8120000000000003</v>
      </c>
      <c r="H19" s="374" t="str">
        <f t="shared" si="2"/>
        <v>IN</v>
      </c>
      <c r="I19" s="374">
        <f t="shared" si="3"/>
        <v>51.323999999999991</v>
      </c>
      <c r="J19" s="374">
        <f t="shared" si="0"/>
        <v>11566.245999999999</v>
      </c>
      <c r="K19" s="376">
        <f t="shared" si="1"/>
        <v>86.083646074866309</v>
      </c>
      <c r="L19" s="618" t="s">
        <v>103</v>
      </c>
      <c r="M19" s="618"/>
      <c r="N19" s="11"/>
      <c r="O19" s="604"/>
      <c r="P19" s="604"/>
      <c r="Q19" s="189"/>
      <c r="R19" s="11"/>
      <c r="W19" s="11"/>
    </row>
    <row r="20" spans="2:25" ht="13.35" customHeight="1">
      <c r="B20" s="615"/>
      <c r="C20" s="616"/>
      <c r="D20" s="605" t="s">
        <v>104</v>
      </c>
      <c r="E20" s="605"/>
      <c r="F20" s="374">
        <v>12</v>
      </c>
      <c r="G20" s="374">
        <f>F20</f>
        <v>12</v>
      </c>
      <c r="H20" s="374" t="str">
        <f t="shared" si="2"/>
        <v>IN</v>
      </c>
      <c r="I20" s="374">
        <f t="shared" si="3"/>
        <v>63.323999999999991</v>
      </c>
      <c r="J20" s="170">
        <f t="shared" si="0"/>
        <v>11554.245999999999</v>
      </c>
      <c r="K20" s="376">
        <f t="shared" si="1"/>
        <v>86.337012003055762</v>
      </c>
      <c r="L20" s="606" t="s">
        <v>105</v>
      </c>
      <c r="M20" s="606"/>
      <c r="N20" s="11"/>
      <c r="O20" s="604"/>
      <c r="P20" s="604"/>
      <c r="V20" s="179"/>
      <c r="W20" s="11"/>
    </row>
    <row r="21" spans="2:25" ht="13.35" customHeight="1">
      <c r="B21" s="615"/>
      <c r="C21" s="616"/>
      <c r="D21" s="377" t="s">
        <v>106</v>
      </c>
      <c r="E21" s="377"/>
      <c r="F21" s="374">
        <v>3.68</v>
      </c>
      <c r="G21" s="374">
        <f>F21</f>
        <v>3.68</v>
      </c>
      <c r="H21" s="374" t="str">
        <f t="shared" si="2"/>
        <v>IN</v>
      </c>
      <c r="I21" s="374">
        <f t="shared" si="3"/>
        <v>67.003999999999991</v>
      </c>
      <c r="J21" s="374">
        <f t="shared" si="0"/>
        <v>11550.565999999999</v>
      </c>
      <c r="K21" s="376">
        <f t="shared" si="1"/>
        <v>86.414710887700537</v>
      </c>
      <c r="L21" s="607" t="s">
        <v>107</v>
      </c>
      <c r="M21" s="608"/>
      <c r="N21" s="11"/>
      <c r="O21" s="318"/>
      <c r="P21" s="319"/>
      <c r="Q21" s="189"/>
    </row>
    <row r="22" spans="2:25" ht="13.35" customHeight="1">
      <c r="B22" s="615"/>
      <c r="C22" s="616"/>
      <c r="D22" s="377" t="s">
        <v>108</v>
      </c>
      <c r="E22" s="377"/>
      <c r="F22" s="374">
        <v>0.97</v>
      </c>
      <c r="G22" s="374">
        <f>F22</f>
        <v>0.97</v>
      </c>
      <c r="H22" s="374" t="str">
        <f t="shared" si="2"/>
        <v>IN</v>
      </c>
      <c r="I22" s="374">
        <f t="shared" si="3"/>
        <v>67.97399999999999</v>
      </c>
      <c r="J22" s="374">
        <f t="shared" si="0"/>
        <v>11549.596</v>
      </c>
      <c r="K22" s="376">
        <f t="shared" si="1"/>
        <v>86.435191300229178</v>
      </c>
      <c r="L22" s="607" t="s">
        <v>109</v>
      </c>
      <c r="M22" s="608"/>
      <c r="N22" s="11"/>
      <c r="O22" s="190"/>
      <c r="P22" s="190"/>
      <c r="Q22" s="190"/>
    </row>
    <row r="23" spans="2:25" ht="13.35" customHeight="1">
      <c r="B23" s="615"/>
      <c r="C23" s="616"/>
      <c r="D23" s="617" t="s">
        <v>101</v>
      </c>
      <c r="E23" s="619"/>
      <c r="F23" s="378">
        <v>9.82</v>
      </c>
      <c r="G23" s="378">
        <f>F23</f>
        <v>9.82</v>
      </c>
      <c r="H23" s="374" t="str">
        <f t="shared" si="2"/>
        <v>IN</v>
      </c>
      <c r="I23" s="374">
        <f t="shared" si="3"/>
        <v>77.793999999999983</v>
      </c>
      <c r="J23" s="374">
        <f t="shared" si="0"/>
        <v>11539.776</v>
      </c>
      <c r="K23" s="376">
        <f t="shared" si="1"/>
        <v>86.642529084797559</v>
      </c>
      <c r="L23" s="620" t="s">
        <v>110</v>
      </c>
      <c r="M23" s="621"/>
      <c r="N23" s="11"/>
      <c r="O23" s="622" t="s">
        <v>111</v>
      </c>
      <c r="P23" s="623"/>
      <c r="V23" s="11"/>
    </row>
    <row r="24" spans="2:25" ht="14.1" customHeight="1">
      <c r="B24" s="173">
        <v>2</v>
      </c>
      <c r="C24" s="173"/>
      <c r="D24" s="174">
        <v>7</v>
      </c>
      <c r="E24" s="168">
        <f>E18+1</f>
        <v>2</v>
      </c>
      <c r="F24" s="286">
        <f t="shared" ref="F24:F55" si="4">VLOOKUP(E24,tubing1,2,FALSE)</f>
        <v>33.22</v>
      </c>
      <c r="G24" s="175">
        <f t="shared" ref="G24:G87" si="5">F24-($E$12)</f>
        <v>32.821999999999996</v>
      </c>
      <c r="H24" s="175" t="str">
        <f t="shared" si="2"/>
        <v>IN</v>
      </c>
      <c r="I24" s="175">
        <f t="shared" si="3"/>
        <v>110.61599999999999</v>
      </c>
      <c r="J24" s="175">
        <f t="shared" si="0"/>
        <v>11506.954</v>
      </c>
      <c r="K24" s="317">
        <f t="shared" si="1"/>
        <v>87.335527126050422</v>
      </c>
      <c r="L24" s="626" t="s">
        <v>112</v>
      </c>
      <c r="M24" s="627"/>
      <c r="N24" s="11"/>
      <c r="O24" s="624"/>
      <c r="P24" s="625"/>
      <c r="R24" s="379" t="s">
        <v>113</v>
      </c>
      <c r="S24" s="380">
        <v>2.74</v>
      </c>
    </row>
    <row r="25" spans="2:25" ht="14.1" customHeight="1">
      <c r="B25" s="173">
        <f t="shared" ref="B25:B56" si="6">B24+1</f>
        <v>3</v>
      </c>
      <c r="C25" s="173"/>
      <c r="D25" s="174">
        <v>7</v>
      </c>
      <c r="E25" s="168">
        <f t="shared" ref="E25:E88" si="7">E24+1</f>
        <v>3</v>
      </c>
      <c r="F25" s="286">
        <f t="shared" si="4"/>
        <v>33.24</v>
      </c>
      <c r="G25" s="175">
        <f t="shared" si="5"/>
        <v>32.841999999999999</v>
      </c>
      <c r="H25" s="175" t="str">
        <f t="shared" si="2"/>
        <v>IN</v>
      </c>
      <c r="I25" s="177">
        <f t="shared" si="3"/>
        <v>143.45799999999997</v>
      </c>
      <c r="J25" s="177">
        <f t="shared" si="0"/>
        <v>11474.111999999999</v>
      </c>
      <c r="K25" s="235">
        <f t="shared" si="1"/>
        <v>88.028947443850271</v>
      </c>
      <c r="L25" s="209">
        <v>11536.49</v>
      </c>
      <c r="M25" s="209">
        <v>11583.1</v>
      </c>
      <c r="N25" s="11"/>
      <c r="O25" s="187" t="s">
        <v>114</v>
      </c>
      <c r="P25" s="188" t="s">
        <v>115</v>
      </c>
      <c r="R25" s="203" t="s">
        <v>116</v>
      </c>
      <c r="S25" s="204">
        <f>S24+4.12</f>
        <v>6.86</v>
      </c>
      <c r="V25" s="179"/>
      <c r="X25" s="11"/>
      <c r="Y25" s="11"/>
    </row>
    <row r="26" spans="2:25" ht="14.1" customHeight="1">
      <c r="B26" s="173">
        <f t="shared" si="6"/>
        <v>4</v>
      </c>
      <c r="C26" s="173"/>
      <c r="D26" s="174">
        <v>7</v>
      </c>
      <c r="E26" s="168">
        <f t="shared" si="7"/>
        <v>4</v>
      </c>
      <c r="F26" s="286">
        <f t="shared" si="4"/>
        <v>33.4</v>
      </c>
      <c r="G26" s="175">
        <f t="shared" si="5"/>
        <v>33.001999999999995</v>
      </c>
      <c r="H26" s="175" t="str">
        <f t="shared" si="2"/>
        <v>IN</v>
      </c>
      <c r="I26" s="177">
        <f t="shared" si="3"/>
        <v>176.45999999999998</v>
      </c>
      <c r="J26" s="177">
        <f t="shared" si="0"/>
        <v>11441.11</v>
      </c>
      <c r="K26" s="235">
        <f t="shared" si="1"/>
        <v>88.725745974025969</v>
      </c>
      <c r="L26" s="574"/>
      <c r="M26" s="574"/>
      <c r="N26" s="11"/>
      <c r="O26" s="185">
        <f>J20-L25</f>
        <v>17.755999999999403</v>
      </c>
      <c r="P26" s="186">
        <f>M25-J20</f>
        <v>28.854000000001179</v>
      </c>
      <c r="R26" s="203" t="s">
        <v>117</v>
      </c>
      <c r="S26" s="205">
        <v>8.86</v>
      </c>
      <c r="V26" s="179"/>
      <c r="X26" s="11"/>
      <c r="Y26" s="11"/>
    </row>
    <row r="27" spans="2:25" ht="14.1" customHeight="1">
      <c r="B27" s="173">
        <f t="shared" si="6"/>
        <v>5</v>
      </c>
      <c r="C27" s="173"/>
      <c r="D27" s="174">
        <v>7</v>
      </c>
      <c r="E27" s="168">
        <f t="shared" si="7"/>
        <v>5</v>
      </c>
      <c r="F27" s="286">
        <f t="shared" si="4"/>
        <v>32.909999999999997</v>
      </c>
      <c r="G27" s="175">
        <f t="shared" si="5"/>
        <v>32.511999999999993</v>
      </c>
      <c r="H27" s="175" t="str">
        <f t="shared" si="2"/>
        <v>IN</v>
      </c>
      <c r="I27" s="177">
        <f t="shared" si="3"/>
        <v>208.97199999999998</v>
      </c>
      <c r="J27" s="177">
        <f t="shared" si="0"/>
        <v>11408.598</v>
      </c>
      <c r="K27" s="261">
        <f t="shared" si="1"/>
        <v>89.412198728800604</v>
      </c>
      <c r="L27" s="369" t="s">
        <v>118</v>
      </c>
      <c r="M27" s="370">
        <f>J22+S24</f>
        <v>11552.335999999999</v>
      </c>
      <c r="N27" s="11"/>
      <c r="R27" s="203" t="s">
        <v>119</v>
      </c>
      <c r="S27" s="204">
        <v>14.73</v>
      </c>
    </row>
    <row r="28" spans="2:25" ht="14.1" customHeight="1">
      <c r="B28" s="173">
        <f t="shared" si="6"/>
        <v>6</v>
      </c>
      <c r="C28" s="173"/>
      <c r="D28" s="174">
        <v>7</v>
      </c>
      <c r="E28" s="168">
        <f t="shared" si="7"/>
        <v>6</v>
      </c>
      <c r="F28" s="286">
        <f t="shared" si="4"/>
        <v>33.340000000000003</v>
      </c>
      <c r="G28" s="175">
        <f t="shared" si="5"/>
        <v>32.942</v>
      </c>
      <c r="H28" s="175" t="str">
        <f t="shared" si="2"/>
        <v>IN</v>
      </c>
      <c r="I28" s="177">
        <f t="shared" si="3"/>
        <v>241.91399999999999</v>
      </c>
      <c r="J28" s="177">
        <f t="shared" si="0"/>
        <v>11375.655999999999</v>
      </c>
      <c r="K28" s="261">
        <f t="shared" si="1"/>
        <v>90.107730429335376</v>
      </c>
      <c r="L28" s="369" t="s">
        <v>120</v>
      </c>
      <c r="M28" s="370">
        <f>J22+S27</f>
        <v>11564.325999999999</v>
      </c>
      <c r="N28" s="598"/>
      <c r="O28" s="598"/>
      <c r="P28" s="598"/>
      <c r="R28" s="9"/>
      <c r="S28" s="9"/>
    </row>
    <row r="29" spans="2:25" ht="14.1" customHeight="1">
      <c r="B29" s="173">
        <f t="shared" si="6"/>
        <v>7</v>
      </c>
      <c r="C29" s="173"/>
      <c r="D29" s="174">
        <v>7</v>
      </c>
      <c r="E29" s="168">
        <f t="shared" si="7"/>
        <v>7</v>
      </c>
      <c r="F29" s="286">
        <f t="shared" si="4"/>
        <v>33.21</v>
      </c>
      <c r="G29" s="175">
        <f t="shared" si="5"/>
        <v>32.811999999999998</v>
      </c>
      <c r="H29" s="175" t="str">
        <f t="shared" si="2"/>
        <v>IN</v>
      </c>
      <c r="I29" s="177">
        <f t="shared" si="3"/>
        <v>274.726</v>
      </c>
      <c r="J29" s="177">
        <f t="shared" si="0"/>
        <v>11342.843999999999</v>
      </c>
      <c r="K29" s="261">
        <f t="shared" si="1"/>
        <v>90.80051733231474</v>
      </c>
      <c r="L29" s="369" t="s">
        <v>121</v>
      </c>
      <c r="M29" s="370">
        <f>J22+S25</f>
        <v>11556.456</v>
      </c>
      <c r="N29" s="598"/>
      <c r="O29" s="598"/>
      <c r="P29" s="598"/>
      <c r="R29" s="591"/>
      <c r="S29" s="591"/>
    </row>
    <row r="30" spans="2:25" ht="14.1" customHeight="1">
      <c r="B30" s="173">
        <f t="shared" si="6"/>
        <v>8</v>
      </c>
      <c r="C30" s="173"/>
      <c r="D30" s="174">
        <v>7</v>
      </c>
      <c r="E30" s="168">
        <f t="shared" si="7"/>
        <v>8</v>
      </c>
      <c r="F30" s="286">
        <f t="shared" si="4"/>
        <v>33.58</v>
      </c>
      <c r="G30" s="175">
        <f t="shared" si="5"/>
        <v>33.181999999999995</v>
      </c>
      <c r="H30" s="175" t="str">
        <f t="shared" si="2"/>
        <v>IN</v>
      </c>
      <c r="I30" s="177">
        <f t="shared" si="3"/>
        <v>307.90800000000002</v>
      </c>
      <c r="J30" s="177">
        <f t="shared" si="0"/>
        <v>11309.662</v>
      </c>
      <c r="K30" s="261">
        <f t="shared" si="1"/>
        <v>91.501116351413287</v>
      </c>
      <c r="L30" s="369" t="s">
        <v>122</v>
      </c>
      <c r="M30" s="370">
        <f>J22+S26</f>
        <v>11558.456</v>
      </c>
      <c r="N30" s="598"/>
      <c r="O30" s="598"/>
      <c r="P30" s="598"/>
      <c r="R30" s="202" t="s">
        <v>123</v>
      </c>
      <c r="S30" s="210" t="s">
        <v>124</v>
      </c>
    </row>
    <row r="31" spans="2:25" ht="13.35" customHeight="1">
      <c r="B31" s="173">
        <f t="shared" si="6"/>
        <v>9</v>
      </c>
      <c r="C31" s="173"/>
      <c r="D31" s="174">
        <v>7</v>
      </c>
      <c r="E31" s="168">
        <f t="shared" si="7"/>
        <v>9</v>
      </c>
      <c r="F31" s="286">
        <f t="shared" si="4"/>
        <v>33.200000000000003</v>
      </c>
      <c r="G31" s="175">
        <f t="shared" si="5"/>
        <v>32.802</v>
      </c>
      <c r="H31" s="175" t="str">
        <f t="shared" si="2"/>
        <v>IN</v>
      </c>
      <c r="I31" s="177">
        <f t="shared" si="3"/>
        <v>340.71000000000004</v>
      </c>
      <c r="J31" s="177">
        <f t="shared" si="0"/>
        <v>11276.86</v>
      </c>
      <c r="K31" s="235">
        <f t="shared" si="1"/>
        <v>92.19369211611918</v>
      </c>
      <c r="L31" s="575"/>
      <c r="M31" s="575"/>
      <c r="N31" s="599"/>
      <c r="O31" s="598"/>
      <c r="P31" s="598"/>
      <c r="R31" s="203" t="s">
        <v>125</v>
      </c>
      <c r="S31" s="204">
        <v>3.68</v>
      </c>
    </row>
    <row r="32" spans="2:25" ht="13.35" customHeight="1">
      <c r="B32" s="173">
        <f t="shared" si="6"/>
        <v>10</v>
      </c>
      <c r="C32" s="173"/>
      <c r="D32" s="174">
        <v>7</v>
      </c>
      <c r="E32" s="168">
        <f t="shared" si="7"/>
        <v>10</v>
      </c>
      <c r="F32" s="286">
        <f t="shared" si="4"/>
        <v>33.6</v>
      </c>
      <c r="G32" s="175">
        <f t="shared" si="5"/>
        <v>33.201999999999998</v>
      </c>
      <c r="H32" s="175" t="str">
        <f t="shared" si="2"/>
        <v>IN</v>
      </c>
      <c r="I32" s="177">
        <f t="shared" si="3"/>
        <v>373.91200000000003</v>
      </c>
      <c r="J32" s="177">
        <f t="shared" si="0"/>
        <v>11243.657999999999</v>
      </c>
      <c r="K32" s="235">
        <f t="shared" si="1"/>
        <v>92.894713411764712</v>
      </c>
      <c r="L32" s="567"/>
      <c r="M32" s="567"/>
      <c r="N32" s="11"/>
      <c r="R32" s="203" t="s">
        <v>126</v>
      </c>
      <c r="S32" s="205">
        <v>16</v>
      </c>
    </row>
    <row r="33" spans="2:19" ht="13.35" customHeight="1">
      <c r="B33" s="173">
        <f t="shared" si="6"/>
        <v>11</v>
      </c>
      <c r="C33" s="173"/>
      <c r="D33" s="174">
        <v>7</v>
      </c>
      <c r="E33" s="168">
        <f t="shared" si="7"/>
        <v>11</v>
      </c>
      <c r="F33" s="286">
        <f t="shared" si="4"/>
        <v>33.46</v>
      </c>
      <c r="G33" s="175">
        <f t="shared" si="5"/>
        <v>33.061999999999998</v>
      </c>
      <c r="H33" s="175" t="str">
        <f t="shared" si="2"/>
        <v>IN</v>
      </c>
      <c r="I33" s="177">
        <f t="shared" si="3"/>
        <v>406.97400000000005</v>
      </c>
      <c r="J33" s="177">
        <f t="shared" si="0"/>
        <v>11210.596</v>
      </c>
      <c r="K33" s="235">
        <f t="shared" si="1"/>
        <v>93.592778771581365</v>
      </c>
      <c r="L33" s="592" t="s">
        <v>127</v>
      </c>
      <c r="M33" s="593"/>
      <c r="N33" s="11"/>
      <c r="R33" s="203" t="s">
        <v>128</v>
      </c>
      <c r="S33" s="204">
        <f>22.35/2</f>
        <v>11.175000000000001</v>
      </c>
    </row>
    <row r="34" spans="2:19" ht="13.35" customHeight="1">
      <c r="B34" s="173">
        <f t="shared" si="6"/>
        <v>12</v>
      </c>
      <c r="C34" s="173"/>
      <c r="D34" s="174">
        <v>7</v>
      </c>
      <c r="E34" s="168">
        <f t="shared" si="7"/>
        <v>12</v>
      </c>
      <c r="F34" s="286">
        <f t="shared" si="4"/>
        <v>32.89</v>
      </c>
      <c r="G34" s="175">
        <f t="shared" si="5"/>
        <v>32.491999999999997</v>
      </c>
      <c r="H34" s="175" t="str">
        <f t="shared" si="2"/>
        <v>IN</v>
      </c>
      <c r="I34" s="177">
        <f t="shared" si="3"/>
        <v>439.46600000000007</v>
      </c>
      <c r="J34" s="177">
        <f t="shared" si="0"/>
        <v>11178.103999999999</v>
      </c>
      <c r="K34" s="235">
        <f t="shared" si="1"/>
        <v>94.278809249809015</v>
      </c>
      <c r="L34" s="594"/>
      <c r="M34" s="595"/>
      <c r="N34" s="11"/>
      <c r="R34" s="212"/>
      <c r="S34" s="211"/>
    </row>
    <row r="35" spans="2:19" ht="13.35" customHeight="1">
      <c r="B35" s="173">
        <f t="shared" si="6"/>
        <v>13</v>
      </c>
      <c r="C35" s="173"/>
      <c r="D35" s="174">
        <v>7</v>
      </c>
      <c r="E35" s="168">
        <f t="shared" si="7"/>
        <v>13</v>
      </c>
      <c r="F35" s="286">
        <f t="shared" si="4"/>
        <v>33.11</v>
      </c>
      <c r="G35" s="175">
        <f t="shared" si="5"/>
        <v>32.711999999999996</v>
      </c>
      <c r="H35" s="175" t="str">
        <f t="shared" si="2"/>
        <v>IN</v>
      </c>
      <c r="I35" s="177">
        <f t="shared" si="3"/>
        <v>472.17800000000005</v>
      </c>
      <c r="J35" s="177">
        <f t="shared" si="0"/>
        <v>11145.392</v>
      </c>
      <c r="K35" s="235">
        <f t="shared" si="1"/>
        <v>94.969484770053469</v>
      </c>
      <c r="L35" s="594"/>
      <c r="M35" s="595"/>
      <c r="N35" s="11"/>
    </row>
    <row r="36" spans="2:19" ht="13.15" customHeight="1">
      <c r="B36" s="173">
        <f t="shared" si="6"/>
        <v>14</v>
      </c>
      <c r="C36" s="173"/>
      <c r="D36" s="174">
        <v>7</v>
      </c>
      <c r="E36" s="168">
        <f t="shared" si="7"/>
        <v>14</v>
      </c>
      <c r="F36" s="286">
        <f t="shared" si="4"/>
        <v>33.200000000000003</v>
      </c>
      <c r="G36" s="175">
        <f t="shared" si="5"/>
        <v>32.802</v>
      </c>
      <c r="H36" s="175" t="str">
        <f t="shared" si="2"/>
        <v>IN</v>
      </c>
      <c r="I36" s="177">
        <f t="shared" si="3"/>
        <v>504.98000000000008</v>
      </c>
      <c r="J36" s="177">
        <f t="shared" si="0"/>
        <v>11112.59</v>
      </c>
      <c r="K36" s="235">
        <f t="shared" si="1"/>
        <v>95.662060534759362</v>
      </c>
      <c r="L36" s="594"/>
      <c r="M36" s="595"/>
      <c r="N36" s="11"/>
      <c r="P36" s="281"/>
    </row>
    <row r="37" spans="2:19" ht="13.15" customHeight="1">
      <c r="B37" s="173">
        <f t="shared" si="6"/>
        <v>15</v>
      </c>
      <c r="C37" s="173"/>
      <c r="D37" s="174">
        <v>7</v>
      </c>
      <c r="E37" s="168">
        <f t="shared" si="7"/>
        <v>15</v>
      </c>
      <c r="F37" s="286">
        <f t="shared" si="4"/>
        <v>33.18</v>
      </c>
      <c r="G37" s="175">
        <f t="shared" si="5"/>
        <v>32.781999999999996</v>
      </c>
      <c r="H37" s="175" t="str">
        <f t="shared" si="2"/>
        <v>IN</v>
      </c>
      <c r="I37" s="177">
        <f t="shared" si="3"/>
        <v>537.76200000000006</v>
      </c>
      <c r="J37" s="177">
        <f t="shared" si="0"/>
        <v>11079.807999999999</v>
      </c>
      <c r="K37" s="235">
        <f t="shared" si="1"/>
        <v>96.354214022918256</v>
      </c>
      <c r="L37" s="596"/>
      <c r="M37" s="597"/>
      <c r="N37" s="11"/>
    </row>
    <row r="38" spans="2:19" ht="13.35" customHeight="1">
      <c r="B38" s="173">
        <f t="shared" si="6"/>
        <v>16</v>
      </c>
      <c r="C38" s="173"/>
      <c r="D38" s="174">
        <v>7</v>
      </c>
      <c r="E38" s="168">
        <f t="shared" si="7"/>
        <v>16</v>
      </c>
      <c r="F38" s="286">
        <f t="shared" si="4"/>
        <v>33.520000000000003</v>
      </c>
      <c r="G38" s="175">
        <f t="shared" si="5"/>
        <v>33.122</v>
      </c>
      <c r="H38" s="175" t="str">
        <f t="shared" si="2"/>
        <v>IN</v>
      </c>
      <c r="I38" s="177">
        <f t="shared" si="3"/>
        <v>570.88400000000001</v>
      </c>
      <c r="J38" s="177">
        <f t="shared" si="0"/>
        <v>11046.686</v>
      </c>
      <c r="K38" s="235">
        <f t="shared" si="1"/>
        <v>97.053546212375863</v>
      </c>
      <c r="L38" s="567"/>
      <c r="M38" s="567"/>
      <c r="N38" s="11"/>
    </row>
    <row r="39" spans="2:19" ht="13.35" customHeight="1">
      <c r="B39" s="173">
        <f t="shared" si="6"/>
        <v>17</v>
      </c>
      <c r="C39" s="173"/>
      <c r="D39" s="174">
        <v>7</v>
      </c>
      <c r="E39" s="168">
        <f t="shared" si="7"/>
        <v>17</v>
      </c>
      <c r="F39" s="286">
        <f t="shared" si="4"/>
        <v>33.229999999999997</v>
      </c>
      <c r="G39" s="175">
        <f t="shared" si="5"/>
        <v>32.831999999999994</v>
      </c>
      <c r="H39" s="175" t="str">
        <f t="shared" si="2"/>
        <v>IN</v>
      </c>
      <c r="I39" s="177">
        <f t="shared" si="3"/>
        <v>603.71600000000001</v>
      </c>
      <c r="J39" s="177">
        <f t="shared" si="0"/>
        <v>11013.853999999999</v>
      </c>
      <c r="K39" s="235">
        <f t="shared" si="1"/>
        <v>97.746755391902212</v>
      </c>
      <c r="L39" s="567"/>
      <c r="M39" s="567"/>
      <c r="N39" s="11"/>
    </row>
    <row r="40" spans="2:19" ht="13.35" customHeight="1">
      <c r="B40" s="173">
        <f t="shared" si="6"/>
        <v>18</v>
      </c>
      <c r="C40" s="173"/>
      <c r="D40" s="174">
        <v>7</v>
      </c>
      <c r="E40" s="168">
        <f t="shared" si="7"/>
        <v>18</v>
      </c>
      <c r="F40" s="286">
        <f t="shared" si="4"/>
        <v>31.57</v>
      </c>
      <c r="G40" s="175">
        <f t="shared" si="5"/>
        <v>31.172000000000001</v>
      </c>
      <c r="H40" s="175" t="str">
        <f t="shared" si="2"/>
        <v>IN</v>
      </c>
      <c r="I40" s="177">
        <f t="shared" si="3"/>
        <v>634.88800000000003</v>
      </c>
      <c r="J40" s="177">
        <f t="shared" si="0"/>
        <v>10982.681999999999</v>
      </c>
      <c r="K40" s="235">
        <f t="shared" si="1"/>
        <v>98.404915618029037</v>
      </c>
      <c r="L40" s="600" t="s">
        <v>129</v>
      </c>
      <c r="M40" s="601"/>
      <c r="N40" s="11"/>
    </row>
    <row r="41" spans="2:19" ht="13.35" customHeight="1">
      <c r="B41" s="173">
        <f t="shared" si="6"/>
        <v>19</v>
      </c>
      <c r="C41" s="173"/>
      <c r="D41" s="174">
        <v>7</v>
      </c>
      <c r="E41" s="168">
        <f t="shared" si="7"/>
        <v>19</v>
      </c>
      <c r="F41" s="286">
        <f t="shared" si="4"/>
        <v>33.42</v>
      </c>
      <c r="G41" s="175">
        <f t="shared" si="5"/>
        <v>33.021999999999998</v>
      </c>
      <c r="H41" s="175" t="str">
        <f t="shared" si="2"/>
        <v>IN</v>
      </c>
      <c r="I41" s="177">
        <f t="shared" si="3"/>
        <v>667.91000000000008</v>
      </c>
      <c r="J41" s="177">
        <f t="shared" si="0"/>
        <v>10949.66</v>
      </c>
      <c r="K41" s="235">
        <f t="shared" si="1"/>
        <v>99.10213642475172</v>
      </c>
      <c r="L41" s="602" t="s">
        <v>130</v>
      </c>
      <c r="M41" s="603"/>
      <c r="N41" s="11"/>
    </row>
    <row r="42" spans="2:19" ht="13.35" customHeight="1">
      <c r="B42" s="173">
        <f t="shared" si="6"/>
        <v>20</v>
      </c>
      <c r="C42" s="173"/>
      <c r="D42" s="174">
        <v>7</v>
      </c>
      <c r="E42" s="168">
        <f t="shared" si="7"/>
        <v>20</v>
      </c>
      <c r="F42" s="286">
        <f t="shared" si="4"/>
        <v>33.28</v>
      </c>
      <c r="G42" s="175">
        <f t="shared" si="5"/>
        <v>32.881999999999998</v>
      </c>
      <c r="H42" s="175" t="str">
        <f t="shared" si="2"/>
        <v>IN</v>
      </c>
      <c r="I42" s="177">
        <f t="shared" si="3"/>
        <v>700.79200000000003</v>
      </c>
      <c r="J42" s="177">
        <f t="shared" si="0"/>
        <v>10916.778</v>
      </c>
      <c r="K42" s="235">
        <f t="shared" si="1"/>
        <v>99.796401295645538</v>
      </c>
      <c r="L42" s="567"/>
      <c r="M42" s="567"/>
      <c r="N42" s="11"/>
    </row>
    <row r="43" spans="2:19" ht="13.35" customHeight="1">
      <c r="B43" s="173">
        <f t="shared" si="6"/>
        <v>21</v>
      </c>
      <c r="C43" s="173"/>
      <c r="D43" s="174">
        <v>7</v>
      </c>
      <c r="E43" s="168">
        <f t="shared" si="7"/>
        <v>21</v>
      </c>
      <c r="F43" s="286">
        <f t="shared" si="4"/>
        <v>32.47</v>
      </c>
      <c r="G43" s="175">
        <f t="shared" si="5"/>
        <v>32.071999999999996</v>
      </c>
      <c r="H43" s="175" t="str">
        <f t="shared" si="2"/>
        <v>IN</v>
      </c>
      <c r="I43" s="177">
        <f t="shared" si="3"/>
        <v>732.86400000000003</v>
      </c>
      <c r="J43" s="177">
        <f t="shared" si="0"/>
        <v>10884.706</v>
      </c>
      <c r="K43" s="235">
        <f t="shared" si="1"/>
        <v>100.47356396638655</v>
      </c>
      <c r="L43" s="567"/>
      <c r="M43" s="567"/>
      <c r="N43" s="11"/>
    </row>
    <row r="44" spans="2:19" ht="13.35" customHeight="1">
      <c r="B44" s="173">
        <f t="shared" si="6"/>
        <v>22</v>
      </c>
      <c r="C44" s="173"/>
      <c r="D44" s="174">
        <v>7</v>
      </c>
      <c r="E44" s="168">
        <f t="shared" si="7"/>
        <v>22</v>
      </c>
      <c r="F44" s="286">
        <f t="shared" si="4"/>
        <v>33.409999999999997</v>
      </c>
      <c r="G44" s="175">
        <f t="shared" si="5"/>
        <v>33.011999999999993</v>
      </c>
      <c r="H44" s="175" t="str">
        <f t="shared" si="2"/>
        <v>IN</v>
      </c>
      <c r="I44" s="177">
        <f t="shared" si="3"/>
        <v>765.87599999999998</v>
      </c>
      <c r="J44" s="177">
        <f t="shared" si="0"/>
        <v>10851.694</v>
      </c>
      <c r="K44" s="235">
        <f t="shared" si="1"/>
        <v>101.17057363483575</v>
      </c>
      <c r="L44" s="567"/>
      <c r="M44" s="567"/>
      <c r="N44" s="11"/>
    </row>
    <row r="45" spans="2:19" ht="13.35" customHeight="1">
      <c r="B45" s="173">
        <f t="shared" si="6"/>
        <v>23</v>
      </c>
      <c r="C45" s="173"/>
      <c r="D45" s="174">
        <v>7</v>
      </c>
      <c r="E45" s="168">
        <f t="shared" si="7"/>
        <v>23</v>
      </c>
      <c r="F45" s="286">
        <f t="shared" si="4"/>
        <v>33.020000000000003</v>
      </c>
      <c r="G45" s="175">
        <f t="shared" si="5"/>
        <v>32.622</v>
      </c>
      <c r="H45" s="175" t="str">
        <f t="shared" si="2"/>
        <v>IN</v>
      </c>
      <c r="I45" s="177">
        <f t="shared" si="3"/>
        <v>798.49799999999993</v>
      </c>
      <c r="J45" s="177">
        <f t="shared" si="0"/>
        <v>10819.072</v>
      </c>
      <c r="K45" s="235">
        <f t="shared" si="1"/>
        <v>101.85934891061879</v>
      </c>
      <c r="L45" s="567"/>
      <c r="M45" s="567"/>
      <c r="N45" s="11"/>
    </row>
    <row r="46" spans="2:19" ht="13.35" customHeight="1">
      <c r="B46" s="173">
        <f t="shared" si="6"/>
        <v>24</v>
      </c>
      <c r="C46" s="173"/>
      <c r="D46" s="174">
        <v>7</v>
      </c>
      <c r="E46" s="168">
        <f t="shared" si="7"/>
        <v>24</v>
      </c>
      <c r="F46" s="286">
        <f t="shared" si="4"/>
        <v>32.479999999999997</v>
      </c>
      <c r="G46" s="175">
        <f t="shared" si="5"/>
        <v>32.081999999999994</v>
      </c>
      <c r="H46" s="175" t="str">
        <f t="shared" si="2"/>
        <v>IN</v>
      </c>
      <c r="I46" s="177">
        <f t="shared" si="3"/>
        <v>830.57999999999993</v>
      </c>
      <c r="J46" s="177">
        <f t="shared" si="0"/>
        <v>10786.99</v>
      </c>
      <c r="K46" s="235">
        <f t="shared" si="1"/>
        <v>102.5367227196333</v>
      </c>
      <c r="L46" s="567"/>
      <c r="M46" s="567"/>
      <c r="N46" s="11"/>
    </row>
    <row r="47" spans="2:19" ht="13.35" customHeight="1">
      <c r="B47" s="173">
        <f t="shared" si="6"/>
        <v>25</v>
      </c>
      <c r="C47" s="173"/>
      <c r="D47" s="174">
        <v>7</v>
      </c>
      <c r="E47" s="168">
        <f t="shared" si="7"/>
        <v>25</v>
      </c>
      <c r="F47" s="286">
        <f t="shared" si="4"/>
        <v>33.549999999999997</v>
      </c>
      <c r="G47" s="175">
        <f t="shared" si="5"/>
        <v>33.151999999999994</v>
      </c>
      <c r="H47" s="175" t="str">
        <f t="shared" si="2"/>
        <v>IN</v>
      </c>
      <c r="I47" s="177">
        <f t="shared" si="3"/>
        <v>863.73199999999997</v>
      </c>
      <c r="J47" s="177">
        <f t="shared" si="0"/>
        <v>10753.838</v>
      </c>
      <c r="K47" s="235">
        <f t="shared" si="1"/>
        <v>103.23668832391138</v>
      </c>
      <c r="L47" s="567"/>
      <c r="M47" s="567"/>
      <c r="N47" s="11"/>
    </row>
    <row r="48" spans="2:19" ht="13.35" customHeight="1">
      <c r="B48" s="173">
        <f t="shared" si="6"/>
        <v>26</v>
      </c>
      <c r="C48" s="173"/>
      <c r="D48" s="174">
        <v>7</v>
      </c>
      <c r="E48" s="168">
        <f t="shared" si="7"/>
        <v>26</v>
      </c>
      <c r="F48" s="286">
        <f t="shared" si="4"/>
        <v>33.21</v>
      </c>
      <c r="G48" s="175">
        <f t="shared" si="5"/>
        <v>32.811999999999998</v>
      </c>
      <c r="H48" s="175" t="str">
        <f t="shared" si="2"/>
        <v>IN</v>
      </c>
      <c r="I48" s="177">
        <f t="shared" si="3"/>
        <v>896.54399999999998</v>
      </c>
      <c r="J48" s="177">
        <f t="shared" si="0"/>
        <v>10721.026</v>
      </c>
      <c r="K48" s="235">
        <f t="shared" si="1"/>
        <v>103.92947522689076</v>
      </c>
      <c r="L48" s="567"/>
      <c r="M48" s="567"/>
      <c r="N48" s="11"/>
    </row>
    <row r="49" spans="2:15" ht="13.35" customHeight="1">
      <c r="B49" s="173">
        <f t="shared" si="6"/>
        <v>27</v>
      </c>
      <c r="C49" s="173"/>
      <c r="D49" s="174">
        <v>7</v>
      </c>
      <c r="E49" s="168">
        <f t="shared" si="7"/>
        <v>27</v>
      </c>
      <c r="F49" s="286">
        <f t="shared" si="4"/>
        <v>32.71</v>
      </c>
      <c r="G49" s="175">
        <f t="shared" si="5"/>
        <v>32.311999999999998</v>
      </c>
      <c r="H49" s="175" t="str">
        <f t="shared" si="2"/>
        <v>IN</v>
      </c>
      <c r="I49" s="177">
        <f t="shared" si="3"/>
        <v>928.85599999999999</v>
      </c>
      <c r="J49" s="177">
        <f t="shared" si="0"/>
        <v>10688.714</v>
      </c>
      <c r="K49" s="235">
        <f t="shared" si="1"/>
        <v>104.61170521619557</v>
      </c>
      <c r="L49" s="567"/>
      <c r="M49" s="567"/>
      <c r="N49" s="11"/>
    </row>
    <row r="50" spans="2:15" ht="13.35" customHeight="1">
      <c r="B50" s="173">
        <f t="shared" si="6"/>
        <v>28</v>
      </c>
      <c r="C50" s="173"/>
      <c r="D50" s="174">
        <v>7</v>
      </c>
      <c r="E50" s="168">
        <f t="shared" si="7"/>
        <v>28</v>
      </c>
      <c r="F50" s="286">
        <f t="shared" si="4"/>
        <v>33.51</v>
      </c>
      <c r="G50" s="175">
        <f t="shared" si="5"/>
        <v>33.111999999999995</v>
      </c>
      <c r="H50" s="175" t="str">
        <f t="shared" si="2"/>
        <v>IN</v>
      </c>
      <c r="I50" s="177">
        <f t="shared" si="3"/>
        <v>961.96799999999996</v>
      </c>
      <c r="J50" s="177">
        <f t="shared" si="0"/>
        <v>10655.601999999999</v>
      </c>
      <c r="K50" s="235">
        <f t="shared" si="1"/>
        <v>105.31082626737968</v>
      </c>
      <c r="L50" s="567"/>
      <c r="M50" s="567"/>
      <c r="N50" s="11"/>
    </row>
    <row r="51" spans="2:15" ht="13.35" customHeight="1">
      <c r="B51" s="173">
        <f t="shared" si="6"/>
        <v>29</v>
      </c>
      <c r="C51" s="173"/>
      <c r="D51" s="174">
        <v>7</v>
      </c>
      <c r="E51" s="168">
        <f t="shared" si="7"/>
        <v>29</v>
      </c>
      <c r="F51" s="286">
        <f t="shared" si="4"/>
        <v>33.409999999999997</v>
      </c>
      <c r="G51" s="175">
        <f t="shared" si="5"/>
        <v>33.011999999999993</v>
      </c>
      <c r="H51" s="175" t="str">
        <f t="shared" si="2"/>
        <v>IN</v>
      </c>
      <c r="I51" s="177">
        <f t="shared" si="3"/>
        <v>994.9799999999999</v>
      </c>
      <c r="J51" s="177">
        <f t="shared" si="0"/>
        <v>10622.59</v>
      </c>
      <c r="K51" s="235">
        <f t="shared" si="1"/>
        <v>106.00783593582888</v>
      </c>
      <c r="L51" s="567"/>
      <c r="M51" s="567"/>
      <c r="N51" s="11"/>
    </row>
    <row r="52" spans="2:15" ht="13.35" customHeight="1">
      <c r="B52" s="173">
        <f t="shared" si="6"/>
        <v>30</v>
      </c>
      <c r="C52" s="173"/>
      <c r="D52" s="174">
        <v>7</v>
      </c>
      <c r="E52" s="168">
        <f t="shared" si="7"/>
        <v>30</v>
      </c>
      <c r="F52" s="286">
        <f t="shared" si="4"/>
        <v>33.14</v>
      </c>
      <c r="G52" s="175">
        <f t="shared" si="5"/>
        <v>32.741999999999997</v>
      </c>
      <c r="H52" s="175" t="str">
        <f t="shared" si="2"/>
        <v>IN</v>
      </c>
      <c r="I52" s="177">
        <f t="shared" si="3"/>
        <v>1027.722</v>
      </c>
      <c r="J52" s="177">
        <f t="shared" si="0"/>
        <v>10589.848</v>
      </c>
      <c r="K52" s="235">
        <f t="shared" si="1"/>
        <v>106.69914487089382</v>
      </c>
      <c r="L52" s="567"/>
      <c r="M52" s="567"/>
      <c r="N52" s="11"/>
    </row>
    <row r="53" spans="2:15" ht="13.35" customHeight="1">
      <c r="B53" s="173">
        <f t="shared" si="6"/>
        <v>31</v>
      </c>
      <c r="C53" s="173"/>
      <c r="D53" s="174">
        <v>7</v>
      </c>
      <c r="E53" s="168">
        <f t="shared" si="7"/>
        <v>31</v>
      </c>
      <c r="F53" s="286">
        <f t="shared" si="4"/>
        <v>33.130000000000003</v>
      </c>
      <c r="G53" s="175">
        <f t="shared" si="5"/>
        <v>32.731999999999999</v>
      </c>
      <c r="H53" s="175" t="s">
        <v>131</v>
      </c>
      <c r="I53" s="175">
        <f t="shared" si="3"/>
        <v>1060.454</v>
      </c>
      <c r="J53" s="175">
        <f t="shared" si="0"/>
        <v>10557.116</v>
      </c>
      <c r="K53" s="262">
        <f t="shared" si="1"/>
        <v>107.39024266768526</v>
      </c>
      <c r="L53" s="567"/>
      <c r="M53" s="567"/>
      <c r="N53" s="11"/>
    </row>
    <row r="54" spans="2:15" ht="13.35" customHeight="1">
      <c r="B54" s="173">
        <f t="shared" si="6"/>
        <v>32</v>
      </c>
      <c r="C54" s="173"/>
      <c r="D54" s="174">
        <v>7</v>
      </c>
      <c r="E54" s="168">
        <f t="shared" si="7"/>
        <v>32</v>
      </c>
      <c r="F54" s="286">
        <f t="shared" si="4"/>
        <v>33.43</v>
      </c>
      <c r="G54" s="175">
        <f t="shared" si="5"/>
        <v>33.031999999999996</v>
      </c>
      <c r="H54" s="175" t="str">
        <f t="shared" ref="H54:H96" si="8">IF(F54="","OUT","IN")</f>
        <v>IN</v>
      </c>
      <c r="I54" s="177">
        <f t="shared" si="3"/>
        <v>1093.4859999999999</v>
      </c>
      <c r="J54" s="177">
        <f t="shared" si="0"/>
        <v>10524.083999999999</v>
      </c>
      <c r="K54" s="235">
        <f t="shared" si="1"/>
        <v>108.08767461268144</v>
      </c>
      <c r="L54" s="567"/>
      <c r="M54" s="567"/>
      <c r="N54" s="11"/>
    </row>
    <row r="55" spans="2:15" ht="13.35" customHeight="1">
      <c r="B55" s="173">
        <f t="shared" si="6"/>
        <v>33</v>
      </c>
      <c r="C55" s="173"/>
      <c r="D55" s="174">
        <v>7</v>
      </c>
      <c r="E55" s="168">
        <f t="shared" si="7"/>
        <v>33</v>
      </c>
      <c r="F55" s="286">
        <f t="shared" si="4"/>
        <v>31.04</v>
      </c>
      <c r="G55" s="175">
        <f t="shared" si="5"/>
        <v>30.641999999999999</v>
      </c>
      <c r="H55" s="175" t="str">
        <f t="shared" si="8"/>
        <v>IN</v>
      </c>
      <c r="I55" s="177">
        <f t="shared" si="3"/>
        <v>1124.1279999999999</v>
      </c>
      <c r="J55" s="177">
        <f t="shared" si="0"/>
        <v>10493.441999999999</v>
      </c>
      <c r="K55" s="235">
        <f t="shared" si="1"/>
        <v>108.73464451031322</v>
      </c>
      <c r="L55" s="567"/>
      <c r="M55" s="567"/>
      <c r="N55" s="11"/>
    </row>
    <row r="56" spans="2:15" ht="13.35" customHeight="1">
      <c r="B56" s="173">
        <f t="shared" si="6"/>
        <v>34</v>
      </c>
      <c r="C56" s="173"/>
      <c r="D56" s="174">
        <v>7</v>
      </c>
      <c r="E56" s="168">
        <f t="shared" si="7"/>
        <v>34</v>
      </c>
      <c r="F56" s="286">
        <f t="shared" ref="F56:F87" si="9">VLOOKUP(E56,tubing1,2,FALSE)</f>
        <v>33.64</v>
      </c>
      <c r="G56" s="175">
        <f t="shared" si="5"/>
        <v>33.241999999999997</v>
      </c>
      <c r="H56" s="175" t="str">
        <f t="shared" si="8"/>
        <v>IN</v>
      </c>
      <c r="I56" s="177">
        <f t="shared" si="3"/>
        <v>1157.3699999999999</v>
      </c>
      <c r="J56" s="177">
        <f t="shared" si="0"/>
        <v>10460.200000000001</v>
      </c>
      <c r="K56" s="235">
        <f t="shared" si="1"/>
        <v>109.4365103590527</v>
      </c>
      <c r="L56" s="567"/>
      <c r="M56" s="567"/>
      <c r="N56" s="11"/>
    </row>
    <row r="57" spans="2:15" ht="13.35" customHeight="1">
      <c r="B57" s="173">
        <f t="shared" ref="B57:B88" si="10">B56+1</f>
        <v>35</v>
      </c>
      <c r="C57" s="173"/>
      <c r="D57" s="174">
        <v>7</v>
      </c>
      <c r="E57" s="168">
        <f t="shared" si="7"/>
        <v>35</v>
      </c>
      <c r="F57" s="286">
        <f t="shared" si="9"/>
        <v>33.340000000000003</v>
      </c>
      <c r="G57" s="175">
        <f t="shared" si="5"/>
        <v>32.942</v>
      </c>
      <c r="H57" s="175" t="str">
        <f t="shared" si="8"/>
        <v>IN</v>
      </c>
      <c r="I57" s="177">
        <f t="shared" si="3"/>
        <v>1190.3119999999999</v>
      </c>
      <c r="J57" s="177">
        <f t="shared" si="0"/>
        <v>10427.258</v>
      </c>
      <c r="K57" s="235">
        <f t="shared" si="1"/>
        <v>110.13204205958746</v>
      </c>
      <c r="L57" s="567"/>
      <c r="M57" s="567"/>
      <c r="N57" s="11"/>
    </row>
    <row r="58" spans="2:15" ht="13.35" customHeight="1">
      <c r="B58" s="173">
        <f t="shared" si="10"/>
        <v>36</v>
      </c>
      <c r="C58" s="173"/>
      <c r="D58" s="174">
        <v>7</v>
      </c>
      <c r="E58" s="168">
        <f t="shared" si="7"/>
        <v>36</v>
      </c>
      <c r="F58" s="286">
        <f t="shared" si="9"/>
        <v>31.62</v>
      </c>
      <c r="G58" s="175">
        <f t="shared" si="5"/>
        <v>31.222000000000001</v>
      </c>
      <c r="H58" s="175" t="str">
        <f t="shared" si="8"/>
        <v>IN</v>
      </c>
      <c r="I58" s="177">
        <f t="shared" si="3"/>
        <v>1221.5339999999999</v>
      </c>
      <c r="J58" s="177">
        <f t="shared" si="0"/>
        <v>10396.036</v>
      </c>
      <c r="K58" s="235">
        <f t="shared" si="1"/>
        <v>110.79125797708174</v>
      </c>
      <c r="L58" s="567"/>
      <c r="M58" s="567"/>
      <c r="N58" s="11"/>
    </row>
    <row r="59" spans="2:15" ht="13.35" customHeight="1">
      <c r="B59" s="173">
        <f t="shared" si="10"/>
        <v>37</v>
      </c>
      <c r="C59" s="173"/>
      <c r="D59" s="174">
        <v>7</v>
      </c>
      <c r="E59" s="168">
        <f t="shared" si="7"/>
        <v>37</v>
      </c>
      <c r="F59" s="286">
        <f t="shared" si="9"/>
        <v>32.619999999999997</v>
      </c>
      <c r="G59" s="175">
        <f t="shared" si="5"/>
        <v>32.221999999999994</v>
      </c>
      <c r="H59" s="175" t="str">
        <f t="shared" si="8"/>
        <v>IN</v>
      </c>
      <c r="I59" s="177">
        <f t="shared" si="3"/>
        <v>1253.7559999999999</v>
      </c>
      <c r="J59" s="177">
        <f t="shared" si="0"/>
        <v>10363.814</v>
      </c>
      <c r="K59" s="235">
        <f t="shared" si="1"/>
        <v>111.47158772192513</v>
      </c>
      <c r="L59" s="582"/>
      <c r="M59" s="583"/>
      <c r="N59" s="11"/>
    </row>
    <row r="60" spans="2:15" ht="13.35" customHeight="1">
      <c r="B60" s="173">
        <f t="shared" si="10"/>
        <v>38</v>
      </c>
      <c r="C60" s="173"/>
      <c r="D60" s="174">
        <v>7</v>
      </c>
      <c r="E60" s="168">
        <f t="shared" si="7"/>
        <v>38</v>
      </c>
      <c r="F60" s="286">
        <f t="shared" si="9"/>
        <v>33.01</v>
      </c>
      <c r="G60" s="175">
        <f t="shared" si="5"/>
        <v>32.611999999999995</v>
      </c>
      <c r="H60" s="175" t="str">
        <f t="shared" si="8"/>
        <v>IN</v>
      </c>
      <c r="I60" s="177">
        <f t="shared" si="3"/>
        <v>1286.3679999999999</v>
      </c>
      <c r="J60" s="177">
        <f t="shared" si="0"/>
        <v>10331.201999999999</v>
      </c>
      <c r="K60" s="235">
        <f t="shared" si="1"/>
        <v>112.16015185943468</v>
      </c>
      <c r="L60" s="584" t="s">
        <v>132</v>
      </c>
      <c r="M60" s="585"/>
      <c r="O60" s="275"/>
    </row>
    <row r="61" spans="2:15" ht="13.35" customHeight="1">
      <c r="B61" s="173">
        <f t="shared" si="10"/>
        <v>39</v>
      </c>
      <c r="C61" s="173"/>
      <c r="D61" s="174">
        <v>7</v>
      </c>
      <c r="E61" s="168">
        <f t="shared" si="7"/>
        <v>39</v>
      </c>
      <c r="F61" s="286">
        <f t="shared" si="9"/>
        <v>33.450000000000003</v>
      </c>
      <c r="G61" s="175">
        <f t="shared" si="5"/>
        <v>33.052</v>
      </c>
      <c r="H61" s="175" t="str">
        <f t="shared" si="8"/>
        <v>IN</v>
      </c>
      <c r="I61" s="177">
        <f t="shared" si="3"/>
        <v>1319.4199999999998</v>
      </c>
      <c r="J61" s="177">
        <f t="shared" si="0"/>
        <v>10298.15</v>
      </c>
      <c r="K61" s="235">
        <f t="shared" si="1"/>
        <v>112.85800608097784</v>
      </c>
      <c r="L61" s="586" t="s">
        <v>133</v>
      </c>
      <c r="M61" s="587"/>
      <c r="O61" s="275"/>
    </row>
    <row r="62" spans="2:15" ht="13.35" customHeight="1">
      <c r="B62" s="173">
        <f t="shared" si="10"/>
        <v>40</v>
      </c>
      <c r="C62" s="173"/>
      <c r="D62" s="174">
        <v>7</v>
      </c>
      <c r="E62" s="168">
        <f t="shared" si="7"/>
        <v>40</v>
      </c>
      <c r="F62" s="286">
        <f t="shared" si="9"/>
        <v>33.21</v>
      </c>
      <c r="G62" s="175">
        <f t="shared" si="5"/>
        <v>32.811999999999998</v>
      </c>
      <c r="H62" s="175" t="str">
        <f t="shared" si="8"/>
        <v>IN</v>
      </c>
      <c r="I62" s="177">
        <f t="shared" si="3"/>
        <v>1352.2319999999997</v>
      </c>
      <c r="J62" s="177">
        <f t="shared" si="0"/>
        <v>10265.338</v>
      </c>
      <c r="K62" s="235">
        <f t="shared" si="1"/>
        <v>113.55079298395721</v>
      </c>
      <c r="L62" s="586"/>
      <c r="M62" s="587"/>
      <c r="N62" s="275"/>
      <c r="O62" s="275"/>
    </row>
    <row r="63" spans="2:15" ht="13.35" customHeight="1">
      <c r="B63" s="173">
        <f t="shared" si="10"/>
        <v>41</v>
      </c>
      <c r="C63" s="173"/>
      <c r="D63" s="174">
        <v>7</v>
      </c>
      <c r="E63" s="168">
        <f t="shared" si="7"/>
        <v>41</v>
      </c>
      <c r="F63" s="286">
        <f t="shared" si="9"/>
        <v>33.06</v>
      </c>
      <c r="G63" s="175">
        <f t="shared" si="5"/>
        <v>32.661999999999999</v>
      </c>
      <c r="H63" s="175" t="str">
        <f t="shared" si="8"/>
        <v>IN</v>
      </c>
      <c r="I63" s="177">
        <f t="shared" si="3"/>
        <v>1384.8939999999998</v>
      </c>
      <c r="J63" s="177">
        <f t="shared" si="0"/>
        <v>10232.675999999999</v>
      </c>
      <c r="K63" s="261">
        <f t="shared" si="1"/>
        <v>114.24041281283422</v>
      </c>
      <c r="L63" s="588"/>
      <c r="M63" s="589"/>
      <c r="N63" s="11"/>
    </row>
    <row r="64" spans="2:15" ht="13.35" customHeight="1">
      <c r="B64" s="173">
        <f t="shared" si="10"/>
        <v>42</v>
      </c>
      <c r="C64" s="173"/>
      <c r="D64" s="174">
        <v>7</v>
      </c>
      <c r="E64" s="168">
        <f t="shared" si="7"/>
        <v>42</v>
      </c>
      <c r="F64" s="286">
        <f t="shared" si="9"/>
        <v>33.549999999999997</v>
      </c>
      <c r="G64" s="175">
        <f t="shared" si="5"/>
        <v>33.151999999999994</v>
      </c>
      <c r="H64" s="175" t="str">
        <f t="shared" si="8"/>
        <v>IN</v>
      </c>
      <c r="I64" s="177">
        <f t="shared" si="3"/>
        <v>1418.0459999999998</v>
      </c>
      <c r="J64" s="177">
        <f t="shared" si="0"/>
        <v>10199.523999999999</v>
      </c>
      <c r="K64" s="261">
        <f t="shared" si="1"/>
        <v>114.9403784171123</v>
      </c>
      <c r="L64" s="588"/>
      <c r="M64" s="589"/>
      <c r="N64" s="11"/>
    </row>
    <row r="65" spans="2:14" ht="13.35" customHeight="1">
      <c r="B65" s="173">
        <f t="shared" si="10"/>
        <v>43</v>
      </c>
      <c r="C65" s="173"/>
      <c r="D65" s="174">
        <v>7</v>
      </c>
      <c r="E65" s="168">
        <f t="shared" si="7"/>
        <v>43</v>
      </c>
      <c r="F65" s="286">
        <f t="shared" si="9"/>
        <v>33.76</v>
      </c>
      <c r="G65" s="175">
        <f t="shared" si="5"/>
        <v>33.361999999999995</v>
      </c>
      <c r="H65" s="175" t="str">
        <f t="shared" si="8"/>
        <v>IN</v>
      </c>
      <c r="I65" s="175">
        <f t="shared" si="3"/>
        <v>1451.4079999999999</v>
      </c>
      <c r="J65" s="175">
        <f t="shared" si="0"/>
        <v>10166.162</v>
      </c>
      <c r="K65" s="262">
        <f t="shared" si="1"/>
        <v>115.6447779251337</v>
      </c>
      <c r="L65" s="590"/>
      <c r="M65" s="590"/>
      <c r="N65" s="11"/>
    </row>
    <row r="66" spans="2:14" ht="13.35" customHeight="1">
      <c r="B66" s="173">
        <f t="shared" si="10"/>
        <v>44</v>
      </c>
      <c r="C66" s="173"/>
      <c r="D66" s="174">
        <v>7</v>
      </c>
      <c r="E66" s="168">
        <f t="shared" si="7"/>
        <v>44</v>
      </c>
      <c r="F66" s="286">
        <f t="shared" si="9"/>
        <v>32.950000000000003</v>
      </c>
      <c r="G66" s="175">
        <f t="shared" si="5"/>
        <v>32.552</v>
      </c>
      <c r="H66" s="175" t="str">
        <f t="shared" si="8"/>
        <v>IN</v>
      </c>
      <c r="I66" s="177">
        <f t="shared" si="3"/>
        <v>1483.9599999999998</v>
      </c>
      <c r="J66" s="177">
        <f t="shared" si="0"/>
        <v>10133.61</v>
      </c>
      <c r="K66" s="235">
        <f t="shared" si="1"/>
        <v>116.33207523300229</v>
      </c>
      <c r="L66" s="567"/>
      <c r="M66" s="567"/>
      <c r="N66" s="11"/>
    </row>
    <row r="67" spans="2:14" ht="13.35" customHeight="1">
      <c r="B67" s="173">
        <f t="shared" si="10"/>
        <v>45</v>
      </c>
      <c r="C67" s="173"/>
      <c r="D67" s="174">
        <v>7</v>
      </c>
      <c r="E67" s="168">
        <f t="shared" si="7"/>
        <v>45</v>
      </c>
      <c r="F67" s="286">
        <f t="shared" si="9"/>
        <v>31.58</v>
      </c>
      <c r="G67" s="175">
        <f t="shared" si="5"/>
        <v>31.181999999999999</v>
      </c>
      <c r="H67" s="175" t="str">
        <f t="shared" si="8"/>
        <v>IN</v>
      </c>
      <c r="I67" s="177">
        <f t="shared" si="3"/>
        <v>1515.1419999999998</v>
      </c>
      <c r="J67" s="177">
        <f t="shared" si="0"/>
        <v>10102.428</v>
      </c>
      <c r="K67" s="235">
        <f t="shared" si="1"/>
        <v>116.9904465974026</v>
      </c>
      <c r="L67" s="567"/>
      <c r="M67" s="567"/>
      <c r="N67" s="11"/>
    </row>
    <row r="68" spans="2:14" ht="13.35" customHeight="1">
      <c r="B68" s="173">
        <f t="shared" si="10"/>
        <v>46</v>
      </c>
      <c r="C68" s="173"/>
      <c r="D68" s="174">
        <v>7</v>
      </c>
      <c r="E68" s="168">
        <f t="shared" si="7"/>
        <v>46</v>
      </c>
      <c r="F68" s="286">
        <f t="shared" si="9"/>
        <v>33.15</v>
      </c>
      <c r="G68" s="175">
        <f t="shared" si="5"/>
        <v>32.751999999999995</v>
      </c>
      <c r="H68" s="175" t="str">
        <f t="shared" si="8"/>
        <v>IN</v>
      </c>
      <c r="I68" s="177">
        <f t="shared" si="3"/>
        <v>1547.8939999999998</v>
      </c>
      <c r="J68" s="177">
        <f t="shared" si="0"/>
        <v>10069.675999999999</v>
      </c>
      <c r="K68" s="235">
        <f t="shared" si="1"/>
        <v>117.68196667074102</v>
      </c>
      <c r="L68" s="566"/>
      <c r="M68" s="566"/>
      <c r="N68" s="11"/>
    </row>
    <row r="69" spans="2:14" ht="13.35" customHeight="1">
      <c r="B69" s="173">
        <f t="shared" si="10"/>
        <v>47</v>
      </c>
      <c r="C69" s="173"/>
      <c r="D69" s="174">
        <v>7</v>
      </c>
      <c r="E69" s="168">
        <f t="shared" si="7"/>
        <v>47</v>
      </c>
      <c r="F69" s="286">
        <f t="shared" si="9"/>
        <v>33.33</v>
      </c>
      <c r="G69" s="175">
        <f t="shared" si="5"/>
        <v>32.931999999999995</v>
      </c>
      <c r="H69" s="175" t="str">
        <f t="shared" si="8"/>
        <v>IN</v>
      </c>
      <c r="I69" s="177">
        <f t="shared" si="3"/>
        <v>1580.8259999999998</v>
      </c>
      <c r="J69" s="177">
        <f t="shared" si="0"/>
        <v>10036.744000000001</v>
      </c>
      <c r="K69" s="235">
        <f t="shared" si="1"/>
        <v>118.37728723300228</v>
      </c>
      <c r="L69" s="566"/>
      <c r="M69" s="566"/>
      <c r="N69" s="11"/>
    </row>
    <row r="70" spans="2:14" ht="13.35" customHeight="1">
      <c r="B70" s="173">
        <f t="shared" si="10"/>
        <v>48</v>
      </c>
      <c r="C70" s="173"/>
      <c r="D70" s="174">
        <v>7</v>
      </c>
      <c r="E70" s="168">
        <f t="shared" si="7"/>
        <v>48</v>
      </c>
      <c r="F70" s="286">
        <f t="shared" si="9"/>
        <v>33.36</v>
      </c>
      <c r="G70" s="175">
        <f t="shared" si="5"/>
        <v>32.961999999999996</v>
      </c>
      <c r="H70" s="175" t="str">
        <f t="shared" si="8"/>
        <v>IN</v>
      </c>
      <c r="I70" s="177">
        <f t="shared" si="3"/>
        <v>1613.7879999999998</v>
      </c>
      <c r="J70" s="177">
        <f t="shared" si="0"/>
        <v>10003.781999999999</v>
      </c>
      <c r="K70" s="235">
        <f t="shared" si="1"/>
        <v>119.07324121008403</v>
      </c>
      <c r="L70" s="566"/>
      <c r="M70" s="566"/>
      <c r="N70" s="11"/>
    </row>
    <row r="71" spans="2:14" ht="13.35" customHeight="1">
      <c r="B71" s="173">
        <f t="shared" si="10"/>
        <v>49</v>
      </c>
      <c r="C71" s="173"/>
      <c r="D71" s="174">
        <v>7</v>
      </c>
      <c r="E71" s="168">
        <f t="shared" si="7"/>
        <v>49</v>
      </c>
      <c r="F71" s="286">
        <f t="shared" si="9"/>
        <v>32.32</v>
      </c>
      <c r="G71" s="175">
        <f t="shared" si="5"/>
        <v>31.922000000000001</v>
      </c>
      <c r="H71" s="175" t="str">
        <f t="shared" si="8"/>
        <v>IN</v>
      </c>
      <c r="I71" s="177">
        <f t="shared" si="3"/>
        <v>1645.7099999999998</v>
      </c>
      <c r="J71" s="177">
        <f t="shared" si="0"/>
        <v>9971.86</v>
      </c>
      <c r="K71" s="235">
        <f t="shared" si="1"/>
        <v>119.74723680672268</v>
      </c>
      <c r="L71" s="566"/>
      <c r="M71" s="566"/>
      <c r="N71" s="11"/>
    </row>
    <row r="72" spans="2:14" ht="13.35" customHeight="1">
      <c r="B72" s="173">
        <f t="shared" si="10"/>
        <v>50</v>
      </c>
      <c r="C72" s="173"/>
      <c r="D72" s="174">
        <v>7</v>
      </c>
      <c r="E72" s="168">
        <f t="shared" si="7"/>
        <v>50</v>
      </c>
      <c r="F72" s="286">
        <f t="shared" si="9"/>
        <v>33.21</v>
      </c>
      <c r="G72" s="175">
        <f t="shared" si="5"/>
        <v>32.811999999999998</v>
      </c>
      <c r="H72" s="175" t="str">
        <f t="shared" si="8"/>
        <v>IN</v>
      </c>
      <c r="I72" s="177">
        <f t="shared" si="3"/>
        <v>1678.5219999999997</v>
      </c>
      <c r="J72" s="177">
        <f t="shared" si="0"/>
        <v>9939.0480000000007</v>
      </c>
      <c r="K72" s="235">
        <f t="shared" si="1"/>
        <v>120.44002370970206</v>
      </c>
      <c r="L72" s="566"/>
      <c r="M72" s="566"/>
      <c r="N72" s="11"/>
    </row>
    <row r="73" spans="2:14" ht="13.35" customHeight="1">
      <c r="B73" s="173">
        <f t="shared" si="10"/>
        <v>51</v>
      </c>
      <c r="C73" s="173"/>
      <c r="D73" s="174">
        <v>7</v>
      </c>
      <c r="E73" s="168">
        <f t="shared" si="7"/>
        <v>51</v>
      </c>
      <c r="F73" s="286">
        <f t="shared" si="9"/>
        <v>31.08</v>
      </c>
      <c r="G73" s="175">
        <f t="shared" si="5"/>
        <v>30.681999999999999</v>
      </c>
      <c r="H73" s="175" t="str">
        <f t="shared" si="8"/>
        <v>IN</v>
      </c>
      <c r="I73" s="177">
        <f t="shared" si="3"/>
        <v>1709.2039999999997</v>
      </c>
      <c r="J73" s="177">
        <f t="shared" si="0"/>
        <v>9908.366</v>
      </c>
      <c r="K73" s="235">
        <f t="shared" si="1"/>
        <v>121.08783816042779</v>
      </c>
      <c r="L73" s="581"/>
      <c r="M73" s="581"/>
      <c r="N73" s="11"/>
    </row>
    <row r="74" spans="2:14" ht="13.35" customHeight="1">
      <c r="B74" s="173">
        <f t="shared" si="10"/>
        <v>52</v>
      </c>
      <c r="C74" s="173"/>
      <c r="D74" s="174">
        <v>7</v>
      </c>
      <c r="E74" s="168">
        <f t="shared" si="7"/>
        <v>52</v>
      </c>
      <c r="F74" s="286">
        <f t="shared" si="9"/>
        <v>33.19</v>
      </c>
      <c r="G74" s="175">
        <f t="shared" si="5"/>
        <v>32.791999999999994</v>
      </c>
      <c r="H74" s="175" t="str">
        <f t="shared" si="8"/>
        <v>IN</v>
      </c>
      <c r="I74" s="177">
        <f t="shared" si="3"/>
        <v>1741.9959999999996</v>
      </c>
      <c r="J74" s="177">
        <f t="shared" si="0"/>
        <v>9875.5740000000005</v>
      </c>
      <c r="K74" s="235">
        <f t="shared" si="1"/>
        <v>121.7802027868602</v>
      </c>
      <c r="L74" s="566"/>
      <c r="M74" s="566"/>
      <c r="N74" s="11"/>
    </row>
    <row r="75" spans="2:14" ht="13.35" customHeight="1">
      <c r="B75" s="173">
        <f t="shared" si="10"/>
        <v>53</v>
      </c>
      <c r="C75" s="173"/>
      <c r="D75" s="174">
        <v>7</v>
      </c>
      <c r="E75" s="168">
        <f t="shared" si="7"/>
        <v>53</v>
      </c>
      <c r="F75" s="286">
        <f t="shared" si="9"/>
        <v>33.26</v>
      </c>
      <c r="G75" s="175">
        <f t="shared" si="5"/>
        <v>32.861999999999995</v>
      </c>
      <c r="H75" s="175" t="str">
        <f t="shared" si="8"/>
        <v>IN</v>
      </c>
      <c r="I75" s="177">
        <f t="shared" si="3"/>
        <v>1774.8579999999997</v>
      </c>
      <c r="J75" s="177">
        <f t="shared" si="0"/>
        <v>9842.7119999999995</v>
      </c>
      <c r="K75" s="235">
        <f t="shared" si="1"/>
        <v>122.47404538120702</v>
      </c>
      <c r="L75" s="566"/>
      <c r="M75" s="566"/>
      <c r="N75" s="11"/>
    </row>
    <row r="76" spans="2:14" ht="13.35" customHeight="1">
      <c r="B76" s="173">
        <f t="shared" si="10"/>
        <v>54</v>
      </c>
      <c r="C76" s="176"/>
      <c r="D76" s="232">
        <v>7</v>
      </c>
      <c r="E76" s="168">
        <f t="shared" si="7"/>
        <v>54</v>
      </c>
      <c r="F76" s="286">
        <f t="shared" si="9"/>
        <v>33.46</v>
      </c>
      <c r="G76" s="175">
        <f t="shared" si="5"/>
        <v>33.061999999999998</v>
      </c>
      <c r="H76" s="175" t="str">
        <f t="shared" si="8"/>
        <v>IN</v>
      </c>
      <c r="I76" s="177">
        <f t="shared" si="3"/>
        <v>1807.9199999999996</v>
      </c>
      <c r="J76" s="177">
        <f t="shared" si="0"/>
        <v>9809.65</v>
      </c>
      <c r="K76" s="235">
        <f t="shared" si="1"/>
        <v>123.17211074102369</v>
      </c>
      <c r="L76" s="566"/>
      <c r="M76" s="566"/>
      <c r="N76" s="11"/>
    </row>
    <row r="77" spans="2:14" ht="13.35" customHeight="1">
      <c r="B77" s="173">
        <f t="shared" si="10"/>
        <v>55</v>
      </c>
      <c r="C77" s="173"/>
      <c r="D77" s="174">
        <v>7</v>
      </c>
      <c r="E77" s="168">
        <f t="shared" si="7"/>
        <v>55</v>
      </c>
      <c r="F77" s="286">
        <f t="shared" si="9"/>
        <v>33.28</v>
      </c>
      <c r="G77" s="175">
        <f t="shared" si="5"/>
        <v>32.881999999999998</v>
      </c>
      <c r="H77" s="175" t="str">
        <f t="shared" si="8"/>
        <v>IN</v>
      </c>
      <c r="I77" s="177">
        <f t="shared" si="3"/>
        <v>1840.8019999999997</v>
      </c>
      <c r="J77" s="177">
        <f t="shared" si="0"/>
        <v>9776.768</v>
      </c>
      <c r="K77" s="235">
        <f t="shared" si="1"/>
        <v>123.86637561191748</v>
      </c>
      <c r="L77" s="566"/>
      <c r="M77" s="566"/>
      <c r="N77" s="11"/>
    </row>
    <row r="78" spans="2:14" ht="13.35" customHeight="1">
      <c r="B78" s="173">
        <f t="shared" si="10"/>
        <v>56</v>
      </c>
      <c r="C78" s="173"/>
      <c r="D78" s="174">
        <v>7</v>
      </c>
      <c r="E78" s="168">
        <f t="shared" si="7"/>
        <v>56</v>
      </c>
      <c r="F78" s="286">
        <f t="shared" si="9"/>
        <v>33.18</v>
      </c>
      <c r="G78" s="175">
        <f t="shared" si="5"/>
        <v>32.781999999999996</v>
      </c>
      <c r="H78" s="175" t="str">
        <f t="shared" si="8"/>
        <v>IN</v>
      </c>
      <c r="I78" s="177">
        <f t="shared" si="3"/>
        <v>1873.5839999999996</v>
      </c>
      <c r="J78" s="177">
        <f t="shared" si="0"/>
        <v>9743.9860000000008</v>
      </c>
      <c r="K78" s="235">
        <f t="shared" si="1"/>
        <v>124.55852910007638</v>
      </c>
      <c r="L78" s="566"/>
      <c r="M78" s="566"/>
      <c r="N78" s="11"/>
    </row>
    <row r="79" spans="2:14" ht="13.35" customHeight="1">
      <c r="B79" s="173">
        <f t="shared" si="10"/>
        <v>57</v>
      </c>
      <c r="C79" s="173"/>
      <c r="D79" s="174">
        <v>7</v>
      </c>
      <c r="E79" s="168">
        <f t="shared" si="7"/>
        <v>57</v>
      </c>
      <c r="F79" s="286">
        <f t="shared" si="9"/>
        <v>33.33</v>
      </c>
      <c r="G79" s="175">
        <f t="shared" si="5"/>
        <v>32.931999999999995</v>
      </c>
      <c r="H79" s="175" t="str">
        <f t="shared" si="8"/>
        <v>IN</v>
      </c>
      <c r="I79" s="177">
        <f t="shared" si="3"/>
        <v>1906.5159999999996</v>
      </c>
      <c r="J79" s="177">
        <f t="shared" ref="J79:J142" si="11">IF(I79="","",$L$9-I79)</f>
        <v>9711.0540000000001</v>
      </c>
      <c r="K79" s="235">
        <f t="shared" ref="K79:K142" si="12">$H$9+(I79*$E$10*$H$11/1000)</f>
        <v>125.25384966233766</v>
      </c>
      <c r="L79" s="566"/>
      <c r="M79" s="566"/>
      <c r="N79" s="11"/>
    </row>
    <row r="80" spans="2:14" ht="13.35" customHeight="1">
      <c r="B80" s="173">
        <f t="shared" si="10"/>
        <v>58</v>
      </c>
      <c r="C80" s="173"/>
      <c r="D80" s="174">
        <v>7</v>
      </c>
      <c r="E80" s="168">
        <f t="shared" si="7"/>
        <v>58</v>
      </c>
      <c r="F80" s="286">
        <f t="shared" si="9"/>
        <v>33.36</v>
      </c>
      <c r="G80" s="175">
        <f t="shared" si="5"/>
        <v>32.961999999999996</v>
      </c>
      <c r="H80" s="175" t="str">
        <f t="shared" si="8"/>
        <v>IN</v>
      </c>
      <c r="I80" s="177">
        <f t="shared" ref="I80:I143" si="13">IF(H80="IN",I79+G80,I79)</f>
        <v>1939.4779999999996</v>
      </c>
      <c r="J80" s="177">
        <f t="shared" si="11"/>
        <v>9678.0920000000006</v>
      </c>
      <c r="K80" s="235">
        <f t="shared" si="12"/>
        <v>125.9498036394194</v>
      </c>
      <c r="L80" s="567"/>
      <c r="M80" s="567"/>
      <c r="N80" s="11"/>
    </row>
    <row r="81" spans="2:14" ht="13.35" customHeight="1">
      <c r="B81" s="173">
        <f t="shared" si="10"/>
        <v>59</v>
      </c>
      <c r="C81" s="173"/>
      <c r="D81" s="174">
        <v>7</v>
      </c>
      <c r="E81" s="168">
        <f t="shared" si="7"/>
        <v>59</v>
      </c>
      <c r="F81" s="286">
        <f t="shared" si="9"/>
        <v>33.21</v>
      </c>
      <c r="G81" s="175">
        <f t="shared" si="5"/>
        <v>32.811999999999998</v>
      </c>
      <c r="H81" s="175" t="str">
        <f t="shared" si="8"/>
        <v>IN</v>
      </c>
      <c r="I81" s="177">
        <f t="shared" si="13"/>
        <v>1972.2899999999995</v>
      </c>
      <c r="J81" s="177">
        <f t="shared" si="11"/>
        <v>9645.2800000000007</v>
      </c>
      <c r="K81" s="235">
        <f t="shared" si="12"/>
        <v>126.64259054239878</v>
      </c>
      <c r="L81" s="566"/>
      <c r="M81" s="566"/>
      <c r="N81" s="11"/>
    </row>
    <row r="82" spans="2:14" ht="13.35" customHeight="1">
      <c r="B82" s="173">
        <f t="shared" si="10"/>
        <v>60</v>
      </c>
      <c r="C82" s="173"/>
      <c r="D82" s="174">
        <v>7</v>
      </c>
      <c r="E82" s="168">
        <f t="shared" si="7"/>
        <v>60</v>
      </c>
      <c r="F82" s="286">
        <f t="shared" si="9"/>
        <v>31.38</v>
      </c>
      <c r="G82" s="175">
        <f t="shared" si="5"/>
        <v>30.981999999999999</v>
      </c>
      <c r="H82" s="175" t="str">
        <f t="shared" si="8"/>
        <v>IN</v>
      </c>
      <c r="I82" s="177">
        <f t="shared" si="13"/>
        <v>2003.2719999999995</v>
      </c>
      <c r="J82" s="177">
        <f t="shared" si="11"/>
        <v>9614.2980000000007</v>
      </c>
      <c r="K82" s="235">
        <f t="shared" si="12"/>
        <v>127.29673914132925</v>
      </c>
      <c r="L82" s="566"/>
      <c r="M82" s="566"/>
      <c r="N82" s="11"/>
    </row>
    <row r="83" spans="2:14" ht="13.35" customHeight="1">
      <c r="B83" s="173">
        <f t="shared" si="10"/>
        <v>61</v>
      </c>
      <c r="C83" s="173"/>
      <c r="D83" s="174">
        <v>7</v>
      </c>
      <c r="E83" s="168">
        <f t="shared" si="7"/>
        <v>61</v>
      </c>
      <c r="F83" s="286">
        <f t="shared" si="9"/>
        <v>33.51</v>
      </c>
      <c r="G83" s="175">
        <f t="shared" si="5"/>
        <v>33.111999999999995</v>
      </c>
      <c r="H83" s="175" t="str">
        <f t="shared" si="8"/>
        <v>IN</v>
      </c>
      <c r="I83" s="177">
        <f t="shared" si="13"/>
        <v>2036.3839999999996</v>
      </c>
      <c r="J83" s="177">
        <f t="shared" si="11"/>
        <v>9581.1859999999997</v>
      </c>
      <c r="K83" s="235">
        <f t="shared" si="12"/>
        <v>127.99586019251336</v>
      </c>
      <c r="L83" s="566"/>
      <c r="M83" s="566"/>
      <c r="N83" s="11"/>
    </row>
    <row r="84" spans="2:14" ht="13.35" customHeight="1">
      <c r="B84" s="173">
        <f t="shared" si="10"/>
        <v>62</v>
      </c>
      <c r="C84" s="173"/>
      <c r="D84" s="174">
        <v>7</v>
      </c>
      <c r="E84" s="168">
        <f t="shared" si="7"/>
        <v>62</v>
      </c>
      <c r="F84" s="286">
        <f t="shared" si="9"/>
        <v>33.06</v>
      </c>
      <c r="G84" s="175">
        <f t="shared" si="5"/>
        <v>32.661999999999999</v>
      </c>
      <c r="H84" s="175" t="str">
        <f t="shared" si="8"/>
        <v>IN</v>
      </c>
      <c r="I84" s="177">
        <f t="shared" si="13"/>
        <v>2069.0459999999994</v>
      </c>
      <c r="J84" s="177">
        <f t="shared" si="11"/>
        <v>9548.5240000000013</v>
      </c>
      <c r="K84" s="235">
        <f t="shared" si="12"/>
        <v>128.68548002139036</v>
      </c>
      <c r="L84" s="566"/>
      <c r="M84" s="566"/>
      <c r="N84" s="11"/>
    </row>
    <row r="85" spans="2:14" ht="13.35" customHeight="1">
      <c r="B85" s="173">
        <f t="shared" si="10"/>
        <v>63</v>
      </c>
      <c r="C85" s="173"/>
      <c r="D85" s="174">
        <v>7</v>
      </c>
      <c r="E85" s="168">
        <f t="shared" si="7"/>
        <v>63</v>
      </c>
      <c r="F85" s="286">
        <f t="shared" si="9"/>
        <v>32.880000000000003</v>
      </c>
      <c r="G85" s="175">
        <f t="shared" si="5"/>
        <v>32.481999999999999</v>
      </c>
      <c r="H85" s="175" t="str">
        <f t="shared" si="8"/>
        <v>IN</v>
      </c>
      <c r="I85" s="177">
        <f t="shared" si="13"/>
        <v>2101.5279999999993</v>
      </c>
      <c r="J85" s="177">
        <f t="shared" si="11"/>
        <v>9516.0420000000013</v>
      </c>
      <c r="K85" s="235">
        <f t="shared" si="12"/>
        <v>129.37129936134451</v>
      </c>
      <c r="L85" s="566"/>
      <c r="M85" s="566"/>
      <c r="N85" s="11"/>
    </row>
    <row r="86" spans="2:14" ht="13.35" customHeight="1">
      <c r="B86" s="173">
        <f t="shared" si="10"/>
        <v>64</v>
      </c>
      <c r="C86" s="173"/>
      <c r="D86" s="174">
        <v>7</v>
      </c>
      <c r="E86" s="168">
        <f t="shared" si="7"/>
        <v>64</v>
      </c>
      <c r="F86" s="286">
        <f t="shared" si="9"/>
        <v>33.08</v>
      </c>
      <c r="G86" s="175">
        <f t="shared" si="5"/>
        <v>32.681999999999995</v>
      </c>
      <c r="H86" s="175" t="str">
        <f t="shared" si="8"/>
        <v>IN</v>
      </c>
      <c r="I86" s="177">
        <f t="shared" si="13"/>
        <v>2134.2099999999991</v>
      </c>
      <c r="J86" s="177">
        <f t="shared" si="11"/>
        <v>9483.36</v>
      </c>
      <c r="K86" s="235">
        <f t="shared" si="12"/>
        <v>130.06134146676851</v>
      </c>
      <c r="L86" s="566"/>
      <c r="M86" s="566"/>
      <c r="N86" s="11"/>
    </row>
    <row r="87" spans="2:14" ht="13.35" customHeight="1">
      <c r="B87" s="173">
        <f t="shared" si="10"/>
        <v>65</v>
      </c>
      <c r="C87" s="173"/>
      <c r="D87" s="174">
        <v>7</v>
      </c>
      <c r="E87" s="168">
        <f t="shared" si="7"/>
        <v>65</v>
      </c>
      <c r="F87" s="286">
        <f t="shared" si="9"/>
        <v>33</v>
      </c>
      <c r="G87" s="175">
        <f t="shared" si="5"/>
        <v>32.601999999999997</v>
      </c>
      <c r="H87" s="175" t="str">
        <f t="shared" si="8"/>
        <v>IN</v>
      </c>
      <c r="I87" s="177">
        <f t="shared" si="13"/>
        <v>2166.811999999999</v>
      </c>
      <c r="J87" s="177">
        <f t="shared" si="11"/>
        <v>9450.7580000000016</v>
      </c>
      <c r="K87" s="235">
        <f t="shared" si="12"/>
        <v>130.74969446600457</v>
      </c>
      <c r="L87" s="566"/>
      <c r="M87" s="566"/>
      <c r="N87" s="11"/>
    </row>
    <row r="88" spans="2:14" ht="13.35" customHeight="1">
      <c r="B88" s="173">
        <f t="shared" si="10"/>
        <v>66</v>
      </c>
      <c r="C88" s="173"/>
      <c r="D88" s="174">
        <v>7</v>
      </c>
      <c r="E88" s="168">
        <f t="shared" si="7"/>
        <v>66</v>
      </c>
      <c r="F88" s="286">
        <f t="shared" ref="F88:F100" si="14">VLOOKUP(E88,tubing1,2,FALSE)</f>
        <v>32.729999999999997</v>
      </c>
      <c r="G88" s="175">
        <f t="shared" ref="G88:G151" si="15">F88-($E$12)</f>
        <v>32.331999999999994</v>
      </c>
      <c r="H88" s="175" t="str">
        <f t="shared" si="8"/>
        <v>IN</v>
      </c>
      <c r="I88" s="177">
        <f t="shared" si="13"/>
        <v>2199.1439999999989</v>
      </c>
      <c r="J88" s="177">
        <f t="shared" si="11"/>
        <v>9418.4260000000013</v>
      </c>
      <c r="K88" s="235">
        <f t="shared" si="12"/>
        <v>131.43234673185634</v>
      </c>
      <c r="L88" s="566"/>
      <c r="M88" s="566"/>
      <c r="N88" s="11"/>
    </row>
    <row r="89" spans="2:14" ht="13.35" customHeight="1">
      <c r="B89" s="173">
        <f t="shared" ref="B89:B100" si="16">B88+1</f>
        <v>67</v>
      </c>
      <c r="C89" s="173"/>
      <c r="D89" s="174">
        <v>7</v>
      </c>
      <c r="E89" s="168">
        <f t="shared" ref="E89:E152" si="17">E88+1</f>
        <v>67</v>
      </c>
      <c r="F89" s="286">
        <f t="shared" si="14"/>
        <v>33.049999999999997</v>
      </c>
      <c r="G89" s="175">
        <f t="shared" si="15"/>
        <v>32.651999999999994</v>
      </c>
      <c r="H89" s="175" t="str">
        <f t="shared" si="8"/>
        <v>IN</v>
      </c>
      <c r="I89" s="177">
        <f t="shared" si="13"/>
        <v>2231.7959999999989</v>
      </c>
      <c r="J89" s="177">
        <f t="shared" si="11"/>
        <v>9385.7740000000013</v>
      </c>
      <c r="K89" s="235">
        <f t="shared" si="12"/>
        <v>132.12175542245987</v>
      </c>
      <c r="L89" s="566"/>
      <c r="M89" s="566"/>
      <c r="N89" s="11"/>
    </row>
    <row r="90" spans="2:14" ht="13.35" customHeight="1">
      <c r="B90" s="173">
        <f t="shared" si="16"/>
        <v>68</v>
      </c>
      <c r="C90" s="173"/>
      <c r="D90" s="174">
        <v>7</v>
      </c>
      <c r="E90" s="168">
        <f t="shared" si="17"/>
        <v>68</v>
      </c>
      <c r="F90" s="286">
        <f t="shared" si="14"/>
        <v>32.89</v>
      </c>
      <c r="G90" s="175">
        <f t="shared" si="15"/>
        <v>32.491999999999997</v>
      </c>
      <c r="H90" s="175" t="str">
        <f t="shared" si="8"/>
        <v>IN</v>
      </c>
      <c r="I90" s="177">
        <f t="shared" si="13"/>
        <v>2264.2879999999991</v>
      </c>
      <c r="J90" s="177">
        <f t="shared" si="11"/>
        <v>9353.2820000000011</v>
      </c>
      <c r="K90" s="235">
        <f t="shared" si="12"/>
        <v>132.80778590068752</v>
      </c>
      <c r="L90" s="566"/>
      <c r="M90" s="566"/>
      <c r="N90" s="11"/>
    </row>
    <row r="91" spans="2:14" ht="13.35" customHeight="1">
      <c r="B91" s="173">
        <f t="shared" si="16"/>
        <v>69</v>
      </c>
      <c r="C91" s="173"/>
      <c r="D91" s="174">
        <v>7</v>
      </c>
      <c r="E91" s="168">
        <f t="shared" si="17"/>
        <v>69</v>
      </c>
      <c r="F91" s="286">
        <f t="shared" si="14"/>
        <v>32.93</v>
      </c>
      <c r="G91" s="175">
        <f t="shared" si="15"/>
        <v>32.531999999999996</v>
      </c>
      <c r="H91" s="175" t="str">
        <f t="shared" si="8"/>
        <v>IN</v>
      </c>
      <c r="I91" s="177">
        <f t="shared" si="13"/>
        <v>2296.8199999999993</v>
      </c>
      <c r="J91" s="177">
        <f t="shared" si="11"/>
        <v>9320.75</v>
      </c>
      <c r="K91" s="235">
        <f t="shared" si="12"/>
        <v>133.49466093200914</v>
      </c>
      <c r="L91" s="566"/>
      <c r="M91" s="566"/>
      <c r="N91" s="11"/>
    </row>
    <row r="92" spans="2:14" ht="13.35" customHeight="1">
      <c r="B92" s="173">
        <f t="shared" si="16"/>
        <v>70</v>
      </c>
      <c r="C92" s="173"/>
      <c r="D92" s="174">
        <v>7</v>
      </c>
      <c r="E92" s="168">
        <f t="shared" si="17"/>
        <v>70</v>
      </c>
      <c r="F92" s="286">
        <f t="shared" si="14"/>
        <v>32.89</v>
      </c>
      <c r="G92" s="175">
        <f t="shared" si="15"/>
        <v>32.491999999999997</v>
      </c>
      <c r="H92" s="175" t="str">
        <f t="shared" si="8"/>
        <v>IN</v>
      </c>
      <c r="I92" s="177">
        <f t="shared" si="13"/>
        <v>2329.3119999999994</v>
      </c>
      <c r="J92" s="177">
        <f t="shared" si="11"/>
        <v>9288.2579999999998</v>
      </c>
      <c r="K92" s="235">
        <f t="shared" si="12"/>
        <v>134.18069141023682</v>
      </c>
      <c r="L92" s="566"/>
      <c r="M92" s="566"/>
      <c r="N92" s="11"/>
    </row>
    <row r="93" spans="2:14" ht="13.35" customHeight="1">
      <c r="B93" s="173">
        <f t="shared" si="16"/>
        <v>71</v>
      </c>
      <c r="C93" s="176"/>
      <c r="D93" s="174">
        <v>7</v>
      </c>
      <c r="E93" s="168">
        <f t="shared" si="17"/>
        <v>71</v>
      </c>
      <c r="F93" s="286">
        <f t="shared" si="14"/>
        <v>33.08</v>
      </c>
      <c r="G93" s="175">
        <f t="shared" si="15"/>
        <v>32.681999999999995</v>
      </c>
      <c r="H93" s="175" t="str">
        <f t="shared" si="8"/>
        <v>IN</v>
      </c>
      <c r="I93" s="177">
        <f t="shared" si="13"/>
        <v>2361.9939999999992</v>
      </c>
      <c r="J93" s="177">
        <f t="shared" si="11"/>
        <v>9255.5760000000009</v>
      </c>
      <c r="K93" s="235">
        <f t="shared" si="12"/>
        <v>134.87073351566079</v>
      </c>
      <c r="L93" s="566"/>
      <c r="M93" s="566"/>
      <c r="N93" s="11"/>
    </row>
    <row r="94" spans="2:14" ht="13.35" customHeight="1">
      <c r="B94" s="173">
        <f t="shared" si="16"/>
        <v>72</v>
      </c>
      <c r="C94" s="176"/>
      <c r="D94" s="174">
        <v>7</v>
      </c>
      <c r="E94" s="168">
        <f t="shared" si="17"/>
        <v>72</v>
      </c>
      <c r="F94" s="286">
        <f t="shared" si="14"/>
        <v>33.33</v>
      </c>
      <c r="G94" s="175">
        <f t="shared" si="15"/>
        <v>32.931999999999995</v>
      </c>
      <c r="H94" s="175" t="str">
        <f t="shared" si="8"/>
        <v>IN</v>
      </c>
      <c r="I94" s="177">
        <f t="shared" si="13"/>
        <v>2394.925999999999</v>
      </c>
      <c r="J94" s="177">
        <f t="shared" si="11"/>
        <v>9222.6440000000002</v>
      </c>
      <c r="K94" s="235">
        <f t="shared" si="12"/>
        <v>135.56605407792205</v>
      </c>
      <c r="L94" s="566"/>
      <c r="M94" s="566"/>
      <c r="N94" s="11"/>
    </row>
    <row r="95" spans="2:14" ht="13.35" customHeight="1">
      <c r="B95" s="173">
        <f t="shared" si="16"/>
        <v>73</v>
      </c>
      <c r="C95" s="176"/>
      <c r="D95" s="174">
        <v>7</v>
      </c>
      <c r="E95" s="168">
        <f t="shared" si="17"/>
        <v>73</v>
      </c>
      <c r="F95" s="286">
        <f t="shared" si="14"/>
        <v>32.49</v>
      </c>
      <c r="G95" s="175">
        <f t="shared" si="15"/>
        <v>32.091999999999999</v>
      </c>
      <c r="H95" s="175" t="str">
        <f t="shared" si="8"/>
        <v>IN</v>
      </c>
      <c r="I95" s="177">
        <f t="shared" si="13"/>
        <v>2427.0179999999991</v>
      </c>
      <c r="J95" s="177">
        <f t="shared" si="11"/>
        <v>9190.5519999999997</v>
      </c>
      <c r="K95" s="235">
        <f t="shared" si="12"/>
        <v>136.24363902521006</v>
      </c>
      <c r="L95" s="566"/>
      <c r="M95" s="566"/>
      <c r="N95" s="11"/>
    </row>
    <row r="96" spans="2:14" ht="13.35" customHeight="1">
      <c r="B96" s="173">
        <f t="shared" si="16"/>
        <v>74</v>
      </c>
      <c r="C96" s="176"/>
      <c r="D96" s="174">
        <v>7</v>
      </c>
      <c r="E96" s="168">
        <f t="shared" si="17"/>
        <v>74</v>
      </c>
      <c r="F96" s="286">
        <f t="shared" si="14"/>
        <v>31.46</v>
      </c>
      <c r="G96" s="175">
        <f t="shared" si="15"/>
        <v>31.062000000000001</v>
      </c>
      <c r="H96" s="175" t="str">
        <f t="shared" si="8"/>
        <v>IN</v>
      </c>
      <c r="I96" s="177">
        <f t="shared" si="13"/>
        <v>2458.079999999999</v>
      </c>
      <c r="J96" s="177">
        <f t="shared" si="11"/>
        <v>9159.4900000000016</v>
      </c>
      <c r="K96" s="235">
        <f t="shared" si="12"/>
        <v>136.89947673032847</v>
      </c>
      <c r="L96" s="566"/>
      <c r="M96" s="566"/>
      <c r="N96" s="11"/>
    </row>
    <row r="97" spans="1:14" ht="13.35" customHeight="1">
      <c r="A97" s="231"/>
      <c r="B97" s="173">
        <f t="shared" si="16"/>
        <v>75</v>
      </c>
      <c r="C97" s="176"/>
      <c r="D97" s="232">
        <v>7</v>
      </c>
      <c r="E97" s="168">
        <f t="shared" si="17"/>
        <v>75</v>
      </c>
      <c r="F97" s="286">
        <f t="shared" si="14"/>
        <v>33.21</v>
      </c>
      <c r="G97" s="177">
        <f t="shared" si="15"/>
        <v>32.811999999999998</v>
      </c>
      <c r="H97" s="177" t="s">
        <v>131</v>
      </c>
      <c r="I97" s="177">
        <f t="shared" si="13"/>
        <v>2490.8919999999989</v>
      </c>
      <c r="J97" s="177">
        <f t="shared" si="11"/>
        <v>9126.6779999999999</v>
      </c>
      <c r="K97" s="235">
        <f t="shared" si="12"/>
        <v>137.59226363330785</v>
      </c>
      <c r="L97" s="566"/>
      <c r="M97" s="566"/>
      <c r="N97" s="11"/>
    </row>
    <row r="98" spans="1:14" ht="15" customHeight="1">
      <c r="B98" s="173">
        <f t="shared" si="16"/>
        <v>76</v>
      </c>
      <c r="C98" s="176"/>
      <c r="D98" s="174">
        <v>7</v>
      </c>
      <c r="E98" s="168">
        <f t="shared" si="17"/>
        <v>76</v>
      </c>
      <c r="F98" s="286">
        <f t="shared" si="14"/>
        <v>32.659999999999997</v>
      </c>
      <c r="G98" s="175">
        <f t="shared" si="15"/>
        <v>32.261999999999993</v>
      </c>
      <c r="H98" s="175" t="str">
        <f>IF(F98="","OUT","IN")</f>
        <v>IN</v>
      </c>
      <c r="I98" s="177">
        <f t="shared" si="13"/>
        <v>2523.1539999999991</v>
      </c>
      <c r="J98" s="177">
        <f t="shared" si="11"/>
        <v>9094.4160000000011</v>
      </c>
      <c r="K98" s="235">
        <f t="shared" si="12"/>
        <v>138.27343793124521</v>
      </c>
      <c r="L98" s="566"/>
      <c r="M98" s="566"/>
      <c r="N98" s="11"/>
    </row>
    <row r="99" spans="1:14" ht="15" customHeight="1">
      <c r="B99" s="173">
        <f t="shared" si="16"/>
        <v>77</v>
      </c>
      <c r="C99" s="176"/>
      <c r="D99" s="174">
        <v>7</v>
      </c>
      <c r="E99" s="168">
        <f t="shared" si="17"/>
        <v>77</v>
      </c>
      <c r="F99" s="286">
        <f t="shared" si="14"/>
        <v>31.41</v>
      </c>
      <c r="G99" s="175">
        <f t="shared" si="15"/>
        <v>31.012</v>
      </c>
      <c r="H99" s="175" t="str">
        <f>IF(F99="","OUT","IN")</f>
        <v>IN</v>
      </c>
      <c r="I99" s="177">
        <f t="shared" si="13"/>
        <v>2554.1659999999993</v>
      </c>
      <c r="J99" s="177">
        <f t="shared" si="11"/>
        <v>9063.4040000000005</v>
      </c>
      <c r="K99" s="235">
        <f t="shared" si="12"/>
        <v>138.92821994499616</v>
      </c>
      <c r="L99" s="566"/>
      <c r="M99" s="566"/>
      <c r="N99" s="11"/>
    </row>
    <row r="100" spans="1:14" ht="15" customHeight="1">
      <c r="B100" s="173">
        <f t="shared" si="16"/>
        <v>78</v>
      </c>
      <c r="C100" s="176"/>
      <c r="D100" s="174">
        <v>7</v>
      </c>
      <c r="E100" s="168">
        <f t="shared" si="17"/>
        <v>78</v>
      </c>
      <c r="F100" s="286">
        <f t="shared" si="14"/>
        <v>33.46</v>
      </c>
      <c r="G100" s="175">
        <f t="shared" si="15"/>
        <v>33.061999999999998</v>
      </c>
      <c r="H100" s="175" t="str">
        <f>IF(F100="","OUT","IN")</f>
        <v>IN</v>
      </c>
      <c r="I100" s="177">
        <f t="shared" si="13"/>
        <v>2587.2279999999992</v>
      </c>
      <c r="J100" s="177">
        <f t="shared" si="11"/>
        <v>9030.3420000000006</v>
      </c>
      <c r="K100" s="235">
        <f t="shared" si="12"/>
        <v>139.62628530481282</v>
      </c>
      <c r="L100" s="566"/>
      <c r="M100" s="566"/>
      <c r="N100" s="11"/>
    </row>
    <row r="101" spans="1:14" ht="15" customHeight="1">
      <c r="B101" s="263"/>
      <c r="C101" s="263"/>
      <c r="D101" s="241">
        <v>7</v>
      </c>
      <c r="E101" s="264">
        <f t="shared" si="17"/>
        <v>79</v>
      </c>
      <c r="F101" s="285">
        <v>0</v>
      </c>
      <c r="G101" s="233">
        <f t="shared" si="15"/>
        <v>-0.39799999999999996</v>
      </c>
      <c r="H101" s="233" t="s">
        <v>97</v>
      </c>
      <c r="I101" s="233">
        <f t="shared" si="13"/>
        <v>2587.2279999999992</v>
      </c>
      <c r="J101" s="233">
        <f t="shared" si="11"/>
        <v>9030.3420000000006</v>
      </c>
      <c r="K101" s="234">
        <f t="shared" si="12"/>
        <v>139.62628530481282</v>
      </c>
      <c r="L101" s="580" t="s">
        <v>134</v>
      </c>
      <c r="M101" s="580"/>
      <c r="N101" s="11"/>
    </row>
    <row r="102" spans="1:14" ht="15" customHeight="1">
      <c r="B102" s="173">
        <v>79</v>
      </c>
      <c r="C102" s="176"/>
      <c r="D102" s="174">
        <v>7</v>
      </c>
      <c r="E102" s="168">
        <f t="shared" si="17"/>
        <v>80</v>
      </c>
      <c r="F102" s="286">
        <f t="shared" ref="F102:F165" si="18">VLOOKUP(E102,tubing1,2,FALSE)</f>
        <v>33.049999999999997</v>
      </c>
      <c r="G102" s="175">
        <f t="shared" si="15"/>
        <v>32.651999999999994</v>
      </c>
      <c r="H102" s="175" t="str">
        <f t="shared" ref="H102:H114" si="19">IF(F102="","OUT","IN")</f>
        <v>IN</v>
      </c>
      <c r="I102" s="177">
        <f t="shared" si="13"/>
        <v>2619.8799999999992</v>
      </c>
      <c r="J102" s="177">
        <f t="shared" si="11"/>
        <v>8997.69</v>
      </c>
      <c r="K102" s="235">
        <f t="shared" si="12"/>
        <v>140.31569399541632</v>
      </c>
      <c r="L102" s="566"/>
      <c r="M102" s="566"/>
      <c r="N102" s="11"/>
    </row>
    <row r="103" spans="1:14" ht="15" customHeight="1">
      <c r="B103" s="173">
        <f t="shared" ref="B103:B134" si="20">B102+1</f>
        <v>80</v>
      </c>
      <c r="C103" s="176"/>
      <c r="D103" s="174">
        <v>7</v>
      </c>
      <c r="E103" s="168">
        <f t="shared" si="17"/>
        <v>81</v>
      </c>
      <c r="F103" s="286">
        <f t="shared" si="18"/>
        <v>32.700000000000003</v>
      </c>
      <c r="G103" s="175">
        <f t="shared" si="15"/>
        <v>32.302</v>
      </c>
      <c r="H103" s="175" t="str">
        <f t="shared" si="19"/>
        <v>IN</v>
      </c>
      <c r="I103" s="177">
        <f t="shared" si="13"/>
        <v>2652.1819999999993</v>
      </c>
      <c r="J103" s="177">
        <f t="shared" si="11"/>
        <v>8965.3880000000008</v>
      </c>
      <c r="K103" s="235">
        <f t="shared" si="12"/>
        <v>140.99771284644766</v>
      </c>
      <c r="L103" s="566"/>
      <c r="M103" s="566"/>
      <c r="N103" s="11"/>
    </row>
    <row r="104" spans="1:14" ht="15" customHeight="1">
      <c r="B104" s="173">
        <f t="shared" si="20"/>
        <v>81</v>
      </c>
      <c r="C104" s="176"/>
      <c r="D104" s="174">
        <v>7</v>
      </c>
      <c r="E104" s="168">
        <f t="shared" si="17"/>
        <v>82</v>
      </c>
      <c r="F104" s="286">
        <f t="shared" si="18"/>
        <v>33</v>
      </c>
      <c r="G104" s="175">
        <f t="shared" si="15"/>
        <v>32.601999999999997</v>
      </c>
      <c r="H104" s="175" t="str">
        <f t="shared" si="19"/>
        <v>IN</v>
      </c>
      <c r="I104" s="177">
        <f t="shared" si="13"/>
        <v>2684.7839999999992</v>
      </c>
      <c r="J104" s="177">
        <f t="shared" si="11"/>
        <v>8932.7860000000001</v>
      </c>
      <c r="K104" s="235">
        <f t="shared" si="12"/>
        <v>141.68606584568371</v>
      </c>
      <c r="L104" s="566"/>
      <c r="M104" s="566"/>
      <c r="N104" s="11"/>
    </row>
    <row r="105" spans="1:14" ht="15" customHeight="1">
      <c r="B105" s="173">
        <f t="shared" si="20"/>
        <v>82</v>
      </c>
      <c r="C105" s="176"/>
      <c r="D105" s="174">
        <v>7</v>
      </c>
      <c r="E105" s="168">
        <f t="shared" si="17"/>
        <v>83</v>
      </c>
      <c r="F105" s="286">
        <f t="shared" si="18"/>
        <v>33.049999999999997</v>
      </c>
      <c r="G105" s="175">
        <f t="shared" si="15"/>
        <v>32.651999999999994</v>
      </c>
      <c r="H105" s="175" t="str">
        <f t="shared" si="19"/>
        <v>IN</v>
      </c>
      <c r="I105" s="177">
        <f t="shared" si="13"/>
        <v>2717.4359999999992</v>
      </c>
      <c r="J105" s="177">
        <f t="shared" si="11"/>
        <v>8900.134</v>
      </c>
      <c r="K105" s="235">
        <f t="shared" si="12"/>
        <v>142.37547453628724</v>
      </c>
      <c r="L105" s="566"/>
      <c r="M105" s="566"/>
      <c r="N105" s="11"/>
    </row>
    <row r="106" spans="1:14" ht="15" customHeight="1">
      <c r="B106" s="173">
        <f t="shared" si="20"/>
        <v>83</v>
      </c>
      <c r="C106" s="176"/>
      <c r="D106" s="174">
        <v>7</v>
      </c>
      <c r="E106" s="168">
        <f t="shared" si="17"/>
        <v>84</v>
      </c>
      <c r="F106" s="286">
        <f t="shared" si="18"/>
        <v>31.19</v>
      </c>
      <c r="G106" s="175">
        <f t="shared" si="15"/>
        <v>30.792000000000002</v>
      </c>
      <c r="H106" s="175" t="str">
        <f t="shared" si="19"/>
        <v>IN</v>
      </c>
      <c r="I106" s="177">
        <f t="shared" si="13"/>
        <v>2748.2279999999992</v>
      </c>
      <c r="J106" s="177">
        <f t="shared" si="11"/>
        <v>8869.3420000000006</v>
      </c>
      <c r="K106" s="235">
        <f t="shared" si="12"/>
        <v>143.02561150802137</v>
      </c>
      <c r="L106" s="566"/>
      <c r="M106" s="566"/>
      <c r="N106" s="11"/>
    </row>
    <row r="107" spans="1:14" ht="15" customHeight="1">
      <c r="B107" s="173">
        <f t="shared" si="20"/>
        <v>84</v>
      </c>
      <c r="C107" s="176"/>
      <c r="D107" s="174">
        <v>7</v>
      </c>
      <c r="E107" s="168">
        <f t="shared" si="17"/>
        <v>85</v>
      </c>
      <c r="F107" s="286">
        <f t="shared" si="18"/>
        <v>33</v>
      </c>
      <c r="G107" s="175">
        <f t="shared" si="15"/>
        <v>32.601999999999997</v>
      </c>
      <c r="H107" s="175" t="str">
        <f t="shared" si="19"/>
        <v>IN</v>
      </c>
      <c r="I107" s="177">
        <f t="shared" si="13"/>
        <v>2780.829999999999</v>
      </c>
      <c r="J107" s="177">
        <f t="shared" si="11"/>
        <v>8836.7400000000016</v>
      </c>
      <c r="K107" s="235">
        <f t="shared" si="12"/>
        <v>143.71396450725743</v>
      </c>
      <c r="L107" s="566"/>
      <c r="M107" s="566"/>
      <c r="N107" s="11"/>
    </row>
    <row r="108" spans="1:14" ht="15" customHeight="1">
      <c r="B108" s="173">
        <f t="shared" si="20"/>
        <v>85</v>
      </c>
      <c r="C108" s="176"/>
      <c r="D108" s="174">
        <v>7</v>
      </c>
      <c r="E108" s="168">
        <f t="shared" si="17"/>
        <v>86</v>
      </c>
      <c r="F108" s="286">
        <f t="shared" si="18"/>
        <v>33.07</v>
      </c>
      <c r="G108" s="175">
        <f t="shared" si="15"/>
        <v>32.671999999999997</v>
      </c>
      <c r="H108" s="175" t="str">
        <f t="shared" si="19"/>
        <v>IN</v>
      </c>
      <c r="I108" s="177">
        <f t="shared" si="13"/>
        <v>2813.501999999999</v>
      </c>
      <c r="J108" s="177">
        <f t="shared" si="11"/>
        <v>8804.0680000000011</v>
      </c>
      <c r="K108" s="235">
        <f t="shared" si="12"/>
        <v>144.40379547440793</v>
      </c>
      <c r="L108" s="566"/>
      <c r="M108" s="566"/>
      <c r="N108" s="11"/>
    </row>
    <row r="109" spans="1:14" ht="15" customHeight="1">
      <c r="B109" s="173">
        <f t="shared" si="20"/>
        <v>86</v>
      </c>
      <c r="C109" s="176"/>
      <c r="D109" s="174">
        <v>7</v>
      </c>
      <c r="E109" s="168">
        <f t="shared" si="17"/>
        <v>87</v>
      </c>
      <c r="F109" s="286">
        <f t="shared" si="18"/>
        <v>32.700000000000003</v>
      </c>
      <c r="G109" s="175">
        <f t="shared" si="15"/>
        <v>32.302</v>
      </c>
      <c r="H109" s="175" t="str">
        <f t="shared" si="19"/>
        <v>IN</v>
      </c>
      <c r="I109" s="177">
        <f t="shared" si="13"/>
        <v>2845.8039999999992</v>
      </c>
      <c r="J109" s="177">
        <f t="shared" si="11"/>
        <v>8771.7659999999996</v>
      </c>
      <c r="K109" s="235">
        <f t="shared" si="12"/>
        <v>145.08581432543926</v>
      </c>
      <c r="L109" s="566"/>
      <c r="M109" s="566"/>
      <c r="N109" s="11"/>
    </row>
    <row r="110" spans="1:14" ht="15" customHeight="1">
      <c r="B110" s="173">
        <f t="shared" si="20"/>
        <v>87</v>
      </c>
      <c r="C110" s="173"/>
      <c r="D110" s="174">
        <v>7</v>
      </c>
      <c r="E110" s="168">
        <f t="shared" si="17"/>
        <v>88</v>
      </c>
      <c r="F110" s="286">
        <f t="shared" si="18"/>
        <v>32.909999999999997</v>
      </c>
      <c r="G110" s="175">
        <f t="shared" si="15"/>
        <v>32.511999999999993</v>
      </c>
      <c r="H110" s="175" t="str">
        <f t="shared" si="19"/>
        <v>IN</v>
      </c>
      <c r="I110" s="177">
        <f t="shared" si="13"/>
        <v>2878.3159999999993</v>
      </c>
      <c r="J110" s="177">
        <f t="shared" si="11"/>
        <v>8739.2540000000008</v>
      </c>
      <c r="K110" s="235">
        <f t="shared" si="12"/>
        <v>145.77226708021391</v>
      </c>
      <c r="L110" s="566"/>
      <c r="M110" s="566"/>
      <c r="N110" s="11"/>
    </row>
    <row r="111" spans="1:14" ht="15" customHeight="1">
      <c r="B111" s="173">
        <f t="shared" si="20"/>
        <v>88</v>
      </c>
      <c r="C111" s="173"/>
      <c r="D111" s="174">
        <v>7</v>
      </c>
      <c r="E111" s="168">
        <f t="shared" si="17"/>
        <v>89</v>
      </c>
      <c r="F111" s="286">
        <f t="shared" si="18"/>
        <v>33.47</v>
      </c>
      <c r="G111" s="175">
        <f t="shared" si="15"/>
        <v>33.071999999999996</v>
      </c>
      <c r="H111" s="175" t="str">
        <f t="shared" si="19"/>
        <v>IN</v>
      </c>
      <c r="I111" s="177">
        <f t="shared" si="13"/>
        <v>2911.3879999999995</v>
      </c>
      <c r="J111" s="177">
        <f t="shared" si="11"/>
        <v>8706.1820000000007</v>
      </c>
      <c r="K111" s="235">
        <f t="shared" si="12"/>
        <v>146.47054357830405</v>
      </c>
      <c r="L111" s="566"/>
      <c r="M111" s="566"/>
      <c r="N111" s="11"/>
    </row>
    <row r="112" spans="1:14" ht="13.35" customHeight="1">
      <c r="B112" s="173">
        <f t="shared" si="20"/>
        <v>89</v>
      </c>
      <c r="C112" s="173"/>
      <c r="D112" s="174">
        <v>7</v>
      </c>
      <c r="E112" s="168">
        <f t="shared" si="17"/>
        <v>90</v>
      </c>
      <c r="F112" s="286">
        <f t="shared" si="18"/>
        <v>32.97</v>
      </c>
      <c r="G112" s="175">
        <f t="shared" si="15"/>
        <v>32.571999999999996</v>
      </c>
      <c r="H112" s="175" t="str">
        <f t="shared" si="19"/>
        <v>IN</v>
      </c>
      <c r="I112" s="177">
        <f t="shared" si="13"/>
        <v>2943.9599999999996</v>
      </c>
      <c r="J112" s="177">
        <f t="shared" si="11"/>
        <v>8673.61</v>
      </c>
      <c r="K112" s="235">
        <f t="shared" si="12"/>
        <v>147.15826316271963</v>
      </c>
      <c r="L112" s="566"/>
      <c r="M112" s="566"/>
      <c r="N112" s="11"/>
    </row>
    <row r="113" spans="2:14" ht="13.35" customHeight="1">
      <c r="B113" s="173">
        <f t="shared" si="20"/>
        <v>90</v>
      </c>
      <c r="C113" s="173"/>
      <c r="D113" s="174">
        <v>7</v>
      </c>
      <c r="E113" s="168">
        <f t="shared" si="17"/>
        <v>91</v>
      </c>
      <c r="F113" s="286">
        <f t="shared" si="18"/>
        <v>33.479999999999997</v>
      </c>
      <c r="G113" s="175">
        <f t="shared" si="15"/>
        <v>33.081999999999994</v>
      </c>
      <c r="H113" s="175" t="str">
        <f t="shared" si="19"/>
        <v>IN</v>
      </c>
      <c r="I113" s="177">
        <f t="shared" si="13"/>
        <v>2977.0419999999995</v>
      </c>
      <c r="J113" s="177">
        <f t="shared" si="11"/>
        <v>8640.5280000000002</v>
      </c>
      <c r="K113" s="235">
        <f t="shared" si="12"/>
        <v>147.85675079908327</v>
      </c>
      <c r="L113" s="566"/>
      <c r="M113" s="566"/>
      <c r="N113" s="11"/>
    </row>
    <row r="114" spans="2:14" ht="13.35" customHeight="1">
      <c r="B114" s="173">
        <f t="shared" si="20"/>
        <v>91</v>
      </c>
      <c r="C114" s="173"/>
      <c r="D114" s="174">
        <v>7</v>
      </c>
      <c r="E114" s="168">
        <f t="shared" si="17"/>
        <v>92</v>
      </c>
      <c r="F114" s="286">
        <f t="shared" si="18"/>
        <v>33.270000000000003</v>
      </c>
      <c r="G114" s="175">
        <f t="shared" si="15"/>
        <v>32.872</v>
      </c>
      <c r="H114" s="175" t="str">
        <f t="shared" si="19"/>
        <v>IN</v>
      </c>
      <c r="I114" s="177">
        <f t="shared" si="13"/>
        <v>3009.9139999999993</v>
      </c>
      <c r="J114" s="177">
        <f t="shared" si="11"/>
        <v>8607.6560000000009</v>
      </c>
      <c r="K114" s="235">
        <f t="shared" si="12"/>
        <v>148.55080453170359</v>
      </c>
      <c r="L114" s="566"/>
      <c r="M114" s="566"/>
      <c r="N114" s="11"/>
    </row>
    <row r="115" spans="2:14" ht="13.35" customHeight="1">
      <c r="B115" s="173">
        <f t="shared" si="20"/>
        <v>92</v>
      </c>
      <c r="C115" s="173"/>
      <c r="D115" s="174">
        <v>7</v>
      </c>
      <c r="E115" s="168">
        <f t="shared" si="17"/>
        <v>93</v>
      </c>
      <c r="F115" s="286">
        <f t="shared" si="18"/>
        <v>33.39</v>
      </c>
      <c r="G115" s="175">
        <f t="shared" si="15"/>
        <v>32.991999999999997</v>
      </c>
      <c r="H115" s="175" t="s">
        <v>131</v>
      </c>
      <c r="I115" s="175">
        <f t="shared" si="13"/>
        <v>3042.9059999999995</v>
      </c>
      <c r="J115" s="175">
        <f t="shared" si="11"/>
        <v>8574.6640000000007</v>
      </c>
      <c r="K115" s="262">
        <f t="shared" si="12"/>
        <v>149.24739192360579</v>
      </c>
      <c r="L115" s="567"/>
      <c r="M115" s="567"/>
      <c r="N115" s="11"/>
    </row>
    <row r="116" spans="2:14" ht="13.35" customHeight="1">
      <c r="B116" s="173">
        <f t="shared" si="20"/>
        <v>93</v>
      </c>
      <c r="C116" s="176"/>
      <c r="D116" s="174">
        <v>7</v>
      </c>
      <c r="E116" s="168">
        <f t="shared" si="17"/>
        <v>94</v>
      </c>
      <c r="F116" s="286">
        <f t="shared" si="18"/>
        <v>33.42</v>
      </c>
      <c r="G116" s="175">
        <f t="shared" si="15"/>
        <v>33.021999999999998</v>
      </c>
      <c r="H116" s="175" t="str">
        <f t="shared" ref="H116:H139" si="21">IF(F116="","OUT","IN")</f>
        <v>IN</v>
      </c>
      <c r="I116" s="177">
        <f t="shared" si="13"/>
        <v>3075.9279999999994</v>
      </c>
      <c r="J116" s="177">
        <f t="shared" si="11"/>
        <v>8541.6419999999998</v>
      </c>
      <c r="K116" s="235">
        <f t="shared" si="12"/>
        <v>149.94461273032849</v>
      </c>
      <c r="L116" s="566"/>
      <c r="M116" s="566"/>
      <c r="N116" s="11"/>
    </row>
    <row r="117" spans="2:14" ht="13.35" customHeight="1">
      <c r="B117" s="173">
        <f t="shared" si="20"/>
        <v>94</v>
      </c>
      <c r="C117" s="176"/>
      <c r="D117" s="174">
        <v>7</v>
      </c>
      <c r="E117" s="168">
        <f t="shared" si="17"/>
        <v>95</v>
      </c>
      <c r="F117" s="286">
        <f t="shared" si="18"/>
        <v>33.57</v>
      </c>
      <c r="G117" s="175">
        <f t="shared" si="15"/>
        <v>33.171999999999997</v>
      </c>
      <c r="H117" s="175" t="str">
        <f t="shared" si="21"/>
        <v>IN</v>
      </c>
      <c r="I117" s="177">
        <f t="shared" si="13"/>
        <v>3109.0999999999995</v>
      </c>
      <c r="J117" s="177">
        <f t="shared" si="11"/>
        <v>8508.4700000000012</v>
      </c>
      <c r="K117" s="235">
        <f t="shared" si="12"/>
        <v>150.64500061115353</v>
      </c>
      <c r="L117" s="566"/>
      <c r="M117" s="566"/>
      <c r="N117" s="11"/>
    </row>
    <row r="118" spans="2:14" ht="13.35" customHeight="1">
      <c r="B118" s="173">
        <f t="shared" si="20"/>
        <v>95</v>
      </c>
      <c r="C118" s="176"/>
      <c r="D118" s="174">
        <v>7</v>
      </c>
      <c r="E118" s="168">
        <f t="shared" si="17"/>
        <v>96</v>
      </c>
      <c r="F118" s="286">
        <f t="shared" si="18"/>
        <v>33.39</v>
      </c>
      <c r="G118" s="175">
        <f t="shared" si="15"/>
        <v>32.991999999999997</v>
      </c>
      <c r="H118" s="175" t="str">
        <f t="shared" si="21"/>
        <v>IN</v>
      </c>
      <c r="I118" s="177">
        <f t="shared" si="13"/>
        <v>3142.0919999999996</v>
      </c>
      <c r="J118" s="177">
        <f t="shared" si="11"/>
        <v>8475.4779999999992</v>
      </c>
      <c r="K118" s="235">
        <f t="shared" si="12"/>
        <v>151.34158800305576</v>
      </c>
      <c r="L118" s="566"/>
      <c r="M118" s="566"/>
      <c r="N118" s="11"/>
    </row>
    <row r="119" spans="2:14" ht="13.35" customHeight="1">
      <c r="B119" s="173">
        <f t="shared" si="20"/>
        <v>96</v>
      </c>
      <c r="C119" s="176"/>
      <c r="D119" s="174">
        <v>7</v>
      </c>
      <c r="E119" s="168">
        <f t="shared" si="17"/>
        <v>97</v>
      </c>
      <c r="F119" s="286">
        <f t="shared" si="18"/>
        <v>33.39</v>
      </c>
      <c r="G119" s="175">
        <f t="shared" si="15"/>
        <v>32.991999999999997</v>
      </c>
      <c r="H119" s="175" t="str">
        <f t="shared" si="21"/>
        <v>IN</v>
      </c>
      <c r="I119" s="177">
        <f t="shared" si="13"/>
        <v>3175.0839999999998</v>
      </c>
      <c r="J119" s="177">
        <f t="shared" si="11"/>
        <v>8442.4860000000008</v>
      </c>
      <c r="K119" s="235">
        <f t="shared" si="12"/>
        <v>152.03817539495799</v>
      </c>
      <c r="L119" s="566"/>
      <c r="M119" s="566"/>
      <c r="N119" s="11"/>
    </row>
    <row r="120" spans="2:14" ht="15" customHeight="1">
      <c r="B120" s="173">
        <f t="shared" si="20"/>
        <v>97</v>
      </c>
      <c r="C120" s="176"/>
      <c r="D120" s="174">
        <v>7</v>
      </c>
      <c r="E120" s="168">
        <f t="shared" si="17"/>
        <v>98</v>
      </c>
      <c r="F120" s="286">
        <f t="shared" si="18"/>
        <v>33.32</v>
      </c>
      <c r="G120" s="175">
        <f t="shared" si="15"/>
        <v>32.921999999999997</v>
      </c>
      <c r="H120" s="175" t="str">
        <f t="shared" si="21"/>
        <v>IN</v>
      </c>
      <c r="I120" s="177">
        <f t="shared" si="13"/>
        <v>3208.0059999999999</v>
      </c>
      <c r="J120" s="177">
        <f t="shared" si="11"/>
        <v>8409.5640000000003</v>
      </c>
      <c r="K120" s="235">
        <f t="shared" si="12"/>
        <v>152.73328481894578</v>
      </c>
      <c r="L120" s="566"/>
      <c r="M120" s="566"/>
      <c r="N120" s="11"/>
    </row>
    <row r="121" spans="2:14" ht="15" customHeight="1">
      <c r="B121" s="173">
        <f t="shared" si="20"/>
        <v>98</v>
      </c>
      <c r="C121" s="176"/>
      <c r="D121" s="174">
        <v>7</v>
      </c>
      <c r="E121" s="168">
        <f t="shared" si="17"/>
        <v>99</v>
      </c>
      <c r="F121" s="286">
        <f t="shared" si="18"/>
        <v>32.700000000000003</v>
      </c>
      <c r="G121" s="175">
        <f t="shared" si="15"/>
        <v>32.302</v>
      </c>
      <c r="H121" s="175" t="str">
        <f t="shared" si="21"/>
        <v>IN</v>
      </c>
      <c r="I121" s="177">
        <f t="shared" si="13"/>
        <v>3240.308</v>
      </c>
      <c r="J121" s="177">
        <f t="shared" si="11"/>
        <v>8377.2619999999988</v>
      </c>
      <c r="K121" s="235">
        <f t="shared" si="12"/>
        <v>153.41530366997711</v>
      </c>
      <c r="L121" s="566"/>
      <c r="M121" s="566"/>
      <c r="N121" s="11"/>
    </row>
    <row r="122" spans="2:14" ht="15" customHeight="1">
      <c r="B122" s="173">
        <f t="shared" si="20"/>
        <v>99</v>
      </c>
      <c r="C122" s="176"/>
      <c r="D122" s="174">
        <v>7</v>
      </c>
      <c r="E122" s="168">
        <f t="shared" si="17"/>
        <v>100</v>
      </c>
      <c r="F122" s="286">
        <f t="shared" si="18"/>
        <v>33.409999999999997</v>
      </c>
      <c r="G122" s="175">
        <f t="shared" si="15"/>
        <v>33.011999999999993</v>
      </c>
      <c r="H122" s="175" t="str">
        <f t="shared" si="21"/>
        <v>IN</v>
      </c>
      <c r="I122" s="177">
        <f t="shared" si="13"/>
        <v>3273.32</v>
      </c>
      <c r="J122" s="177">
        <f t="shared" si="11"/>
        <v>8344.25</v>
      </c>
      <c r="K122" s="235">
        <f t="shared" si="12"/>
        <v>154.1123133384263</v>
      </c>
      <c r="L122" s="566"/>
      <c r="M122" s="566"/>
      <c r="N122" s="11"/>
    </row>
    <row r="123" spans="2:14" ht="15" customHeight="1">
      <c r="B123" s="173">
        <f t="shared" si="20"/>
        <v>100</v>
      </c>
      <c r="C123" s="176"/>
      <c r="D123" s="174">
        <v>7</v>
      </c>
      <c r="E123" s="168">
        <f t="shared" si="17"/>
        <v>101</v>
      </c>
      <c r="F123" s="286">
        <f t="shared" si="18"/>
        <v>33.409999999999997</v>
      </c>
      <c r="G123" s="175">
        <f t="shared" si="15"/>
        <v>33.011999999999993</v>
      </c>
      <c r="H123" s="175" t="str">
        <f t="shared" si="21"/>
        <v>IN</v>
      </c>
      <c r="I123" s="177">
        <f t="shared" si="13"/>
        <v>3306.3320000000003</v>
      </c>
      <c r="J123" s="177">
        <f t="shared" si="11"/>
        <v>8311.2379999999994</v>
      </c>
      <c r="K123" s="235">
        <f t="shared" si="12"/>
        <v>154.8093230068755</v>
      </c>
      <c r="L123" s="566"/>
      <c r="M123" s="566"/>
      <c r="N123" s="11"/>
    </row>
    <row r="124" spans="2:14" ht="15" customHeight="1">
      <c r="B124" s="173">
        <f t="shared" si="20"/>
        <v>101</v>
      </c>
      <c r="C124" s="176"/>
      <c r="D124" s="174">
        <v>7</v>
      </c>
      <c r="E124" s="168">
        <f t="shared" si="17"/>
        <v>102</v>
      </c>
      <c r="F124" s="286">
        <f t="shared" si="18"/>
        <v>33.07</v>
      </c>
      <c r="G124" s="175">
        <f t="shared" si="15"/>
        <v>32.671999999999997</v>
      </c>
      <c r="H124" s="175" t="str">
        <f t="shared" si="21"/>
        <v>IN</v>
      </c>
      <c r="I124" s="177">
        <f t="shared" si="13"/>
        <v>3339.0040000000004</v>
      </c>
      <c r="J124" s="177">
        <f t="shared" si="11"/>
        <v>8278.5659999999989</v>
      </c>
      <c r="K124" s="235">
        <f t="shared" si="12"/>
        <v>155.49915397402597</v>
      </c>
      <c r="L124" s="566"/>
      <c r="M124" s="566"/>
      <c r="N124" s="11"/>
    </row>
    <row r="125" spans="2:14" ht="15" customHeight="1">
      <c r="B125" s="173">
        <f t="shared" si="20"/>
        <v>102</v>
      </c>
      <c r="C125" s="173"/>
      <c r="D125" s="174">
        <v>7</v>
      </c>
      <c r="E125" s="168">
        <f t="shared" si="17"/>
        <v>103</v>
      </c>
      <c r="F125" s="286">
        <f t="shared" si="18"/>
        <v>33.72</v>
      </c>
      <c r="G125" s="175">
        <f t="shared" si="15"/>
        <v>33.321999999999996</v>
      </c>
      <c r="H125" s="175" t="str">
        <f t="shared" si="21"/>
        <v>IN</v>
      </c>
      <c r="I125" s="177">
        <f t="shared" si="13"/>
        <v>3372.3260000000005</v>
      </c>
      <c r="J125" s="177">
        <f t="shared" si="11"/>
        <v>8245.2439999999988</v>
      </c>
      <c r="K125" s="235">
        <f t="shared" si="12"/>
        <v>156.2027089289534</v>
      </c>
      <c r="L125" s="566"/>
      <c r="M125" s="566"/>
      <c r="N125" s="11"/>
    </row>
    <row r="126" spans="2:14" ht="15" customHeight="1">
      <c r="B126" s="173">
        <f t="shared" si="20"/>
        <v>103</v>
      </c>
      <c r="C126" s="173"/>
      <c r="D126" s="174">
        <v>7</v>
      </c>
      <c r="E126" s="168">
        <f t="shared" si="17"/>
        <v>104</v>
      </c>
      <c r="F126" s="286">
        <f t="shared" si="18"/>
        <v>33.26</v>
      </c>
      <c r="G126" s="175">
        <f t="shared" si="15"/>
        <v>32.861999999999995</v>
      </c>
      <c r="H126" s="175" t="str">
        <f t="shared" si="21"/>
        <v>IN</v>
      </c>
      <c r="I126" s="177">
        <f t="shared" si="13"/>
        <v>3405.1880000000006</v>
      </c>
      <c r="J126" s="177">
        <f t="shared" si="11"/>
        <v>8212.3819999999996</v>
      </c>
      <c r="K126" s="235">
        <f t="shared" si="12"/>
        <v>156.89655152330025</v>
      </c>
      <c r="L126" s="567"/>
      <c r="M126" s="567"/>
      <c r="N126" s="11"/>
    </row>
    <row r="127" spans="2:14" ht="15" customHeight="1">
      <c r="B127" s="173">
        <f t="shared" si="20"/>
        <v>104</v>
      </c>
      <c r="C127" s="173"/>
      <c r="D127" s="174">
        <v>7</v>
      </c>
      <c r="E127" s="168">
        <f t="shared" si="17"/>
        <v>105</v>
      </c>
      <c r="F127" s="286">
        <f t="shared" si="18"/>
        <v>33.090000000000003</v>
      </c>
      <c r="G127" s="175">
        <f t="shared" si="15"/>
        <v>32.692</v>
      </c>
      <c r="H127" s="175" t="str">
        <f t="shared" si="21"/>
        <v>IN</v>
      </c>
      <c r="I127" s="177">
        <f t="shared" si="13"/>
        <v>3437.8800000000006</v>
      </c>
      <c r="J127" s="177">
        <f t="shared" si="11"/>
        <v>8179.6899999999987</v>
      </c>
      <c r="K127" s="235">
        <f t="shared" si="12"/>
        <v>157.58680476699772</v>
      </c>
      <c r="L127" s="567"/>
      <c r="M127" s="567"/>
      <c r="N127" s="11"/>
    </row>
    <row r="128" spans="2:14" ht="15" customHeight="1">
      <c r="B128" s="173">
        <f t="shared" si="20"/>
        <v>105</v>
      </c>
      <c r="C128" s="173"/>
      <c r="D128" s="174">
        <v>7</v>
      </c>
      <c r="E128" s="168">
        <f t="shared" si="17"/>
        <v>106</v>
      </c>
      <c r="F128" s="286">
        <f t="shared" si="18"/>
        <v>33.21</v>
      </c>
      <c r="G128" s="175">
        <f t="shared" si="15"/>
        <v>32.811999999999998</v>
      </c>
      <c r="H128" s="175" t="str">
        <f t="shared" si="21"/>
        <v>IN</v>
      </c>
      <c r="I128" s="177">
        <f t="shared" si="13"/>
        <v>3470.6920000000005</v>
      </c>
      <c r="J128" s="177">
        <f t="shared" si="11"/>
        <v>8146.8779999999988</v>
      </c>
      <c r="K128" s="235">
        <f t="shared" si="12"/>
        <v>158.27959166997709</v>
      </c>
      <c r="L128" s="567"/>
      <c r="M128" s="567"/>
      <c r="N128" s="11"/>
    </row>
    <row r="129" spans="2:14" ht="15" customHeight="1">
      <c r="B129" s="173">
        <f t="shared" si="20"/>
        <v>106</v>
      </c>
      <c r="C129" s="173"/>
      <c r="D129" s="174">
        <v>7</v>
      </c>
      <c r="E129" s="168">
        <f t="shared" si="17"/>
        <v>107</v>
      </c>
      <c r="F129" s="286">
        <f t="shared" si="18"/>
        <v>33.049999999999997</v>
      </c>
      <c r="G129" s="175">
        <f t="shared" si="15"/>
        <v>32.651999999999994</v>
      </c>
      <c r="H129" s="175" t="str">
        <f t="shared" si="21"/>
        <v>IN</v>
      </c>
      <c r="I129" s="177">
        <f t="shared" si="13"/>
        <v>3503.3440000000005</v>
      </c>
      <c r="J129" s="177">
        <f t="shared" si="11"/>
        <v>8114.2259999999987</v>
      </c>
      <c r="K129" s="235">
        <f t="shared" si="12"/>
        <v>158.96900036058059</v>
      </c>
      <c r="L129" s="567"/>
      <c r="M129" s="567"/>
      <c r="N129" s="11"/>
    </row>
    <row r="130" spans="2:14" ht="15" customHeight="1">
      <c r="B130" s="173">
        <f t="shared" si="20"/>
        <v>107</v>
      </c>
      <c r="C130" s="176"/>
      <c r="D130" s="174">
        <v>7</v>
      </c>
      <c r="E130" s="168">
        <f t="shared" si="17"/>
        <v>108</v>
      </c>
      <c r="F130" s="286">
        <f t="shared" si="18"/>
        <v>32.700000000000003</v>
      </c>
      <c r="G130" s="175">
        <f t="shared" si="15"/>
        <v>32.302</v>
      </c>
      <c r="H130" s="175" t="str">
        <f t="shared" si="21"/>
        <v>IN</v>
      </c>
      <c r="I130" s="177">
        <f t="shared" si="13"/>
        <v>3535.6460000000006</v>
      </c>
      <c r="J130" s="177">
        <f t="shared" si="11"/>
        <v>8081.9239999999991</v>
      </c>
      <c r="K130" s="235">
        <f t="shared" si="12"/>
        <v>159.65101921161192</v>
      </c>
      <c r="L130" s="567"/>
      <c r="M130" s="567"/>
      <c r="N130" s="11"/>
    </row>
    <row r="131" spans="2:14" ht="15" customHeight="1">
      <c r="B131" s="173">
        <f t="shared" si="20"/>
        <v>108</v>
      </c>
      <c r="C131" s="176"/>
      <c r="D131" s="174">
        <v>7</v>
      </c>
      <c r="E131" s="168">
        <f t="shared" si="17"/>
        <v>109</v>
      </c>
      <c r="F131" s="286">
        <f t="shared" si="18"/>
        <v>32.880000000000003</v>
      </c>
      <c r="G131" s="175">
        <f t="shared" si="15"/>
        <v>32.481999999999999</v>
      </c>
      <c r="H131" s="175" t="str">
        <f t="shared" si="21"/>
        <v>IN</v>
      </c>
      <c r="I131" s="177">
        <f t="shared" si="13"/>
        <v>3568.1280000000006</v>
      </c>
      <c r="J131" s="177">
        <f t="shared" si="11"/>
        <v>8049.4419999999991</v>
      </c>
      <c r="K131" s="235">
        <f t="shared" si="12"/>
        <v>160.33683855156607</v>
      </c>
      <c r="L131" s="566"/>
      <c r="M131" s="566"/>
      <c r="N131" s="11"/>
    </row>
    <row r="132" spans="2:14" ht="15" customHeight="1">
      <c r="B132" s="173">
        <f t="shared" si="20"/>
        <v>109</v>
      </c>
      <c r="C132" s="176"/>
      <c r="D132" s="174">
        <v>7</v>
      </c>
      <c r="E132" s="168">
        <f t="shared" si="17"/>
        <v>110</v>
      </c>
      <c r="F132" s="286">
        <f t="shared" si="18"/>
        <v>32.909999999999997</v>
      </c>
      <c r="G132" s="175">
        <f t="shared" si="15"/>
        <v>32.511999999999993</v>
      </c>
      <c r="H132" s="175" t="str">
        <f t="shared" si="21"/>
        <v>IN</v>
      </c>
      <c r="I132" s="177">
        <f t="shared" si="13"/>
        <v>3600.6400000000008</v>
      </c>
      <c r="J132" s="177">
        <f t="shared" si="11"/>
        <v>8016.9299999999985</v>
      </c>
      <c r="K132" s="235">
        <f t="shared" si="12"/>
        <v>161.02329130634075</v>
      </c>
      <c r="L132" s="566"/>
      <c r="M132" s="566"/>
      <c r="N132" s="11"/>
    </row>
    <row r="133" spans="2:14" ht="13.35" customHeight="1">
      <c r="B133" s="173">
        <f t="shared" si="20"/>
        <v>110</v>
      </c>
      <c r="C133" s="176"/>
      <c r="D133" s="174">
        <v>7</v>
      </c>
      <c r="E133" s="168">
        <f t="shared" si="17"/>
        <v>111</v>
      </c>
      <c r="F133" s="286">
        <f t="shared" si="18"/>
        <v>32.909999999999997</v>
      </c>
      <c r="G133" s="175">
        <f t="shared" si="15"/>
        <v>32.511999999999993</v>
      </c>
      <c r="H133" s="175" t="str">
        <f t="shared" si="21"/>
        <v>IN</v>
      </c>
      <c r="I133" s="177">
        <f t="shared" si="13"/>
        <v>3633.152000000001</v>
      </c>
      <c r="J133" s="177">
        <f t="shared" si="11"/>
        <v>7984.4179999999988</v>
      </c>
      <c r="K133" s="235">
        <f t="shared" si="12"/>
        <v>161.70974406111537</v>
      </c>
      <c r="L133" s="566"/>
      <c r="M133" s="566"/>
      <c r="N133" s="11"/>
    </row>
    <row r="134" spans="2:14" ht="13.35" customHeight="1">
      <c r="B134" s="173">
        <f t="shared" si="20"/>
        <v>111</v>
      </c>
      <c r="C134" s="176"/>
      <c r="D134" s="174">
        <v>7</v>
      </c>
      <c r="E134" s="168">
        <f t="shared" si="17"/>
        <v>112</v>
      </c>
      <c r="F134" s="286">
        <f t="shared" si="18"/>
        <v>32.99</v>
      </c>
      <c r="G134" s="175">
        <f t="shared" si="15"/>
        <v>32.591999999999999</v>
      </c>
      <c r="H134" s="175" t="str">
        <f t="shared" si="21"/>
        <v>IN</v>
      </c>
      <c r="I134" s="177">
        <f t="shared" si="13"/>
        <v>3665.7440000000011</v>
      </c>
      <c r="J134" s="177">
        <f t="shared" si="11"/>
        <v>7951.8259999999991</v>
      </c>
      <c r="K134" s="235">
        <f t="shared" si="12"/>
        <v>162.39788592207793</v>
      </c>
      <c r="L134" s="566"/>
      <c r="M134" s="566"/>
      <c r="N134" s="11"/>
    </row>
    <row r="135" spans="2:14" ht="15" customHeight="1">
      <c r="B135" s="173">
        <f t="shared" ref="B135:B166" si="22">B134+1</f>
        <v>112</v>
      </c>
      <c r="C135" s="176"/>
      <c r="D135" s="174">
        <v>7</v>
      </c>
      <c r="E135" s="168">
        <f t="shared" si="17"/>
        <v>113</v>
      </c>
      <c r="F135" s="286">
        <f t="shared" si="18"/>
        <v>33.17</v>
      </c>
      <c r="G135" s="175">
        <f t="shared" si="15"/>
        <v>32.771999999999998</v>
      </c>
      <c r="H135" s="175" t="str">
        <f t="shared" si="21"/>
        <v>IN</v>
      </c>
      <c r="I135" s="177">
        <f t="shared" si="13"/>
        <v>3698.516000000001</v>
      </c>
      <c r="J135" s="177">
        <f t="shared" si="11"/>
        <v>7919.0539999999983</v>
      </c>
      <c r="K135" s="235">
        <f t="shared" si="12"/>
        <v>163.08982827196337</v>
      </c>
      <c r="L135" s="566"/>
      <c r="M135" s="566"/>
      <c r="N135" s="11"/>
    </row>
    <row r="136" spans="2:14" ht="15" customHeight="1">
      <c r="B136" s="173">
        <f t="shared" si="22"/>
        <v>113</v>
      </c>
      <c r="C136" s="173"/>
      <c r="D136" s="174">
        <v>7</v>
      </c>
      <c r="E136" s="168">
        <f t="shared" si="17"/>
        <v>114</v>
      </c>
      <c r="F136" s="286">
        <f t="shared" si="18"/>
        <v>32.92</v>
      </c>
      <c r="G136" s="175">
        <f t="shared" si="15"/>
        <v>32.521999999999998</v>
      </c>
      <c r="H136" s="175" t="str">
        <f t="shared" si="21"/>
        <v>IN</v>
      </c>
      <c r="I136" s="177">
        <f t="shared" si="13"/>
        <v>3731.0380000000009</v>
      </c>
      <c r="J136" s="177">
        <f t="shared" si="11"/>
        <v>7886.5319999999992</v>
      </c>
      <c r="K136" s="235">
        <f t="shared" si="12"/>
        <v>163.77649216501149</v>
      </c>
      <c r="L136" s="566"/>
      <c r="M136" s="566"/>
      <c r="N136" s="11"/>
    </row>
    <row r="137" spans="2:14" ht="15" customHeight="1">
      <c r="B137" s="173">
        <f t="shared" si="22"/>
        <v>114</v>
      </c>
      <c r="C137" s="176"/>
      <c r="D137" s="174">
        <v>7</v>
      </c>
      <c r="E137" s="168">
        <f t="shared" si="17"/>
        <v>115</v>
      </c>
      <c r="F137" s="286">
        <f t="shared" si="18"/>
        <v>33.08</v>
      </c>
      <c r="G137" s="175">
        <f t="shared" si="15"/>
        <v>32.681999999999995</v>
      </c>
      <c r="H137" s="175" t="str">
        <f t="shared" si="21"/>
        <v>IN</v>
      </c>
      <c r="I137" s="177">
        <f t="shared" si="13"/>
        <v>3763.7200000000007</v>
      </c>
      <c r="J137" s="177">
        <f t="shared" si="11"/>
        <v>7853.8499999999985</v>
      </c>
      <c r="K137" s="235">
        <f t="shared" si="12"/>
        <v>164.46653427043549</v>
      </c>
      <c r="L137" s="567"/>
      <c r="M137" s="567"/>
      <c r="N137" s="11"/>
    </row>
    <row r="138" spans="2:14" ht="15" customHeight="1">
      <c r="B138" s="173">
        <f t="shared" si="22"/>
        <v>115</v>
      </c>
      <c r="C138" s="176"/>
      <c r="D138" s="174">
        <v>7</v>
      </c>
      <c r="E138" s="168">
        <f t="shared" si="17"/>
        <v>116</v>
      </c>
      <c r="F138" s="286">
        <f t="shared" si="18"/>
        <v>33.39</v>
      </c>
      <c r="G138" s="175">
        <f t="shared" si="15"/>
        <v>32.991999999999997</v>
      </c>
      <c r="H138" s="175" t="str">
        <f t="shared" si="21"/>
        <v>IN</v>
      </c>
      <c r="I138" s="177">
        <f t="shared" si="13"/>
        <v>3796.7120000000009</v>
      </c>
      <c r="J138" s="177">
        <f t="shared" si="11"/>
        <v>7820.8579999999984</v>
      </c>
      <c r="K138" s="235">
        <f t="shared" si="12"/>
        <v>165.16312166233769</v>
      </c>
      <c r="L138" s="566"/>
      <c r="M138" s="566"/>
      <c r="N138" s="11"/>
    </row>
    <row r="139" spans="2:14" ht="15" customHeight="1">
      <c r="B139" s="173">
        <f t="shared" si="22"/>
        <v>116</v>
      </c>
      <c r="C139" s="176"/>
      <c r="D139" s="174">
        <v>7</v>
      </c>
      <c r="E139" s="168">
        <f t="shared" si="17"/>
        <v>117</v>
      </c>
      <c r="F139" s="286">
        <f t="shared" si="18"/>
        <v>32.880000000000003</v>
      </c>
      <c r="G139" s="175">
        <f t="shared" si="15"/>
        <v>32.481999999999999</v>
      </c>
      <c r="H139" s="175" t="str">
        <f t="shared" si="21"/>
        <v>IN</v>
      </c>
      <c r="I139" s="177">
        <f t="shared" si="13"/>
        <v>3829.1940000000009</v>
      </c>
      <c r="J139" s="177">
        <f t="shared" si="11"/>
        <v>7788.3759999999984</v>
      </c>
      <c r="K139" s="235">
        <f t="shared" si="12"/>
        <v>165.84894100229184</v>
      </c>
      <c r="L139" s="566"/>
      <c r="M139" s="566"/>
      <c r="N139" s="11"/>
    </row>
    <row r="140" spans="2:14" ht="15" customHeight="1">
      <c r="B140" s="173">
        <f t="shared" si="22"/>
        <v>117</v>
      </c>
      <c r="C140" s="173"/>
      <c r="D140" s="174">
        <v>7</v>
      </c>
      <c r="E140" s="168">
        <f t="shared" si="17"/>
        <v>118</v>
      </c>
      <c r="F140" s="286">
        <f t="shared" si="18"/>
        <v>33.24</v>
      </c>
      <c r="G140" s="175">
        <f t="shared" si="15"/>
        <v>32.841999999999999</v>
      </c>
      <c r="H140" s="175" t="s">
        <v>131</v>
      </c>
      <c r="I140" s="175">
        <f t="shared" si="13"/>
        <v>3862.036000000001</v>
      </c>
      <c r="J140" s="175">
        <f t="shared" si="11"/>
        <v>7755.5339999999987</v>
      </c>
      <c r="K140" s="262">
        <f t="shared" si="12"/>
        <v>166.54236132009169</v>
      </c>
      <c r="L140" s="573"/>
      <c r="M140" s="573"/>
      <c r="N140" s="11"/>
    </row>
    <row r="141" spans="2:14" ht="15" customHeight="1">
      <c r="B141" s="173">
        <f t="shared" si="22"/>
        <v>118</v>
      </c>
      <c r="C141" s="176"/>
      <c r="D141" s="174">
        <v>7</v>
      </c>
      <c r="E141" s="168">
        <f t="shared" si="17"/>
        <v>119</v>
      </c>
      <c r="F141" s="286">
        <f t="shared" si="18"/>
        <v>33.22</v>
      </c>
      <c r="G141" s="175">
        <f t="shared" si="15"/>
        <v>32.821999999999996</v>
      </c>
      <c r="H141" s="175" t="str">
        <f t="shared" ref="H141:H172" si="23">IF(F141="","OUT","IN")</f>
        <v>IN</v>
      </c>
      <c r="I141" s="177">
        <f t="shared" si="13"/>
        <v>3894.8580000000011</v>
      </c>
      <c r="J141" s="177">
        <f t="shared" si="11"/>
        <v>7722.7119999999986</v>
      </c>
      <c r="K141" s="235">
        <f t="shared" si="12"/>
        <v>167.23535936134456</v>
      </c>
      <c r="L141" s="566"/>
      <c r="M141" s="566"/>
      <c r="N141" s="11"/>
    </row>
    <row r="142" spans="2:14" ht="15" customHeight="1">
      <c r="B142" s="173">
        <f t="shared" si="22"/>
        <v>119</v>
      </c>
      <c r="C142" s="176"/>
      <c r="D142" s="174">
        <v>7</v>
      </c>
      <c r="E142" s="168">
        <f t="shared" si="17"/>
        <v>120</v>
      </c>
      <c r="F142" s="286">
        <f t="shared" si="18"/>
        <v>33.130000000000003</v>
      </c>
      <c r="G142" s="175">
        <f t="shared" si="15"/>
        <v>32.731999999999999</v>
      </c>
      <c r="H142" s="175" t="str">
        <f t="shared" si="23"/>
        <v>IN</v>
      </c>
      <c r="I142" s="177">
        <f t="shared" si="13"/>
        <v>3927.5900000000011</v>
      </c>
      <c r="J142" s="177">
        <f t="shared" si="11"/>
        <v>7689.9799999999987</v>
      </c>
      <c r="K142" s="235">
        <f t="shared" si="12"/>
        <v>167.926457158136</v>
      </c>
      <c r="L142" s="566"/>
      <c r="M142" s="566"/>
      <c r="N142" s="11"/>
    </row>
    <row r="143" spans="2:14" ht="15" customHeight="1">
      <c r="B143" s="173">
        <f t="shared" si="22"/>
        <v>120</v>
      </c>
      <c r="C143" s="176"/>
      <c r="D143" s="174">
        <v>7</v>
      </c>
      <c r="E143" s="168">
        <f t="shared" si="17"/>
        <v>121</v>
      </c>
      <c r="F143" s="286">
        <f t="shared" si="18"/>
        <v>32.71</v>
      </c>
      <c r="G143" s="175">
        <f t="shared" si="15"/>
        <v>32.311999999999998</v>
      </c>
      <c r="H143" s="175" t="str">
        <f t="shared" si="23"/>
        <v>IN</v>
      </c>
      <c r="I143" s="177">
        <f t="shared" si="13"/>
        <v>3959.902000000001</v>
      </c>
      <c r="J143" s="177">
        <f t="shared" ref="J143:J206" si="24">IF(I143="","",$L$9-I143)</f>
        <v>7657.6679999999988</v>
      </c>
      <c r="K143" s="235">
        <f t="shared" ref="K143:K206" si="25">$H$9+(I143*$E$10*$H$11/1000)</f>
        <v>168.6086871474408</v>
      </c>
      <c r="L143" s="566"/>
      <c r="M143" s="566"/>
      <c r="N143" s="11"/>
    </row>
    <row r="144" spans="2:14" ht="15" customHeight="1">
      <c r="B144" s="173">
        <f t="shared" si="22"/>
        <v>121</v>
      </c>
      <c r="C144" s="176"/>
      <c r="D144" s="174">
        <v>7</v>
      </c>
      <c r="E144" s="168">
        <f t="shared" si="17"/>
        <v>122</v>
      </c>
      <c r="F144" s="286">
        <f t="shared" si="18"/>
        <v>33.54</v>
      </c>
      <c r="G144" s="175">
        <f t="shared" si="15"/>
        <v>33.141999999999996</v>
      </c>
      <c r="H144" s="175" t="str">
        <f t="shared" si="23"/>
        <v>IN</v>
      </c>
      <c r="I144" s="177">
        <f t="shared" ref="I144:I207" si="26">IF(H144="IN",I143+G144,I143)</f>
        <v>3993.0440000000008</v>
      </c>
      <c r="J144" s="177">
        <f t="shared" si="24"/>
        <v>7624.5259999999989</v>
      </c>
      <c r="K144" s="235">
        <f t="shared" si="25"/>
        <v>169.30844161344538</v>
      </c>
      <c r="L144" s="566"/>
      <c r="M144" s="566"/>
      <c r="N144" s="11"/>
    </row>
    <row r="145" spans="2:14" ht="15" customHeight="1">
      <c r="B145" s="173">
        <f t="shared" si="22"/>
        <v>122</v>
      </c>
      <c r="C145" s="176"/>
      <c r="D145" s="174">
        <v>7</v>
      </c>
      <c r="E145" s="168">
        <f t="shared" si="17"/>
        <v>123</v>
      </c>
      <c r="F145" s="286">
        <f t="shared" si="18"/>
        <v>31.15</v>
      </c>
      <c r="G145" s="175">
        <f t="shared" si="15"/>
        <v>30.751999999999999</v>
      </c>
      <c r="H145" s="175" t="str">
        <f t="shared" si="23"/>
        <v>IN</v>
      </c>
      <c r="I145" s="177">
        <f t="shared" si="26"/>
        <v>4023.7960000000007</v>
      </c>
      <c r="J145" s="177">
        <f t="shared" si="24"/>
        <v>7593.7739999999994</v>
      </c>
      <c r="K145" s="235">
        <f t="shared" si="25"/>
        <v>169.95773403208557</v>
      </c>
      <c r="L145" s="225"/>
      <c r="M145" s="226"/>
      <c r="N145" s="11"/>
    </row>
    <row r="146" spans="2:14" ht="15" customHeight="1">
      <c r="B146" s="173">
        <f t="shared" si="22"/>
        <v>123</v>
      </c>
      <c r="C146" s="176"/>
      <c r="D146" s="174">
        <v>7</v>
      </c>
      <c r="E146" s="168">
        <f t="shared" si="17"/>
        <v>124</v>
      </c>
      <c r="F146" s="286">
        <f t="shared" si="18"/>
        <v>33.299999999999997</v>
      </c>
      <c r="G146" s="175">
        <f t="shared" si="15"/>
        <v>32.901999999999994</v>
      </c>
      <c r="H146" s="175" t="str">
        <f t="shared" si="23"/>
        <v>IN</v>
      </c>
      <c r="I146" s="177">
        <f t="shared" si="26"/>
        <v>4056.6980000000008</v>
      </c>
      <c r="J146" s="177">
        <f t="shared" si="24"/>
        <v>7560.8719999999994</v>
      </c>
      <c r="K146" s="235">
        <f t="shared" si="25"/>
        <v>170.65242117952636</v>
      </c>
      <c r="L146" s="576"/>
      <c r="M146" s="577"/>
      <c r="N146" s="11"/>
    </row>
    <row r="147" spans="2:14" ht="15" customHeight="1">
      <c r="B147" s="173">
        <f t="shared" si="22"/>
        <v>124</v>
      </c>
      <c r="C147" s="176"/>
      <c r="D147" s="174">
        <v>7</v>
      </c>
      <c r="E147" s="168">
        <f t="shared" si="17"/>
        <v>125</v>
      </c>
      <c r="F147" s="286">
        <f t="shared" si="18"/>
        <v>33.5</v>
      </c>
      <c r="G147" s="175">
        <f t="shared" si="15"/>
        <v>33.101999999999997</v>
      </c>
      <c r="H147" s="175" t="str">
        <f t="shared" si="23"/>
        <v>IN</v>
      </c>
      <c r="I147" s="177">
        <f t="shared" si="26"/>
        <v>4089.8000000000006</v>
      </c>
      <c r="J147" s="177">
        <f t="shared" si="24"/>
        <v>7527.7699999999986</v>
      </c>
      <c r="K147" s="235">
        <f t="shared" si="25"/>
        <v>171.35133109243699</v>
      </c>
      <c r="L147" s="578"/>
      <c r="M147" s="579"/>
      <c r="N147" s="11"/>
    </row>
    <row r="148" spans="2:14" ht="15" customHeight="1">
      <c r="B148" s="173">
        <f t="shared" si="22"/>
        <v>125</v>
      </c>
      <c r="C148" s="173"/>
      <c r="D148" s="174">
        <v>7</v>
      </c>
      <c r="E148" s="168">
        <f t="shared" si="17"/>
        <v>126</v>
      </c>
      <c r="F148" s="286">
        <f t="shared" si="18"/>
        <v>33.03</v>
      </c>
      <c r="G148" s="175">
        <f t="shared" si="15"/>
        <v>32.631999999999998</v>
      </c>
      <c r="H148" s="175" t="str">
        <f t="shared" si="23"/>
        <v>IN</v>
      </c>
      <c r="I148" s="177">
        <f t="shared" si="26"/>
        <v>4122.4320000000007</v>
      </c>
      <c r="J148" s="177">
        <f t="shared" si="24"/>
        <v>7495.137999999999</v>
      </c>
      <c r="K148" s="235">
        <f t="shared" si="25"/>
        <v>172.04031750649352</v>
      </c>
      <c r="L148" s="566"/>
      <c r="M148" s="566"/>
      <c r="N148" s="11"/>
    </row>
    <row r="149" spans="2:14" ht="15" customHeight="1">
      <c r="B149" s="173">
        <f t="shared" si="22"/>
        <v>126</v>
      </c>
      <c r="C149" s="173"/>
      <c r="D149" s="174">
        <v>7</v>
      </c>
      <c r="E149" s="168">
        <f t="shared" si="17"/>
        <v>127</v>
      </c>
      <c r="F149" s="286">
        <f t="shared" si="18"/>
        <v>33.44</v>
      </c>
      <c r="G149" s="175">
        <f t="shared" si="15"/>
        <v>33.041999999999994</v>
      </c>
      <c r="H149" s="175" t="str">
        <f t="shared" si="23"/>
        <v>IN</v>
      </c>
      <c r="I149" s="175">
        <f t="shared" si="26"/>
        <v>4155.4740000000011</v>
      </c>
      <c r="J149" s="175">
        <f t="shared" si="24"/>
        <v>7462.0959999999986</v>
      </c>
      <c r="K149" s="262">
        <f t="shared" si="25"/>
        <v>172.73796058976319</v>
      </c>
      <c r="L149" s="567"/>
      <c r="M149" s="567"/>
      <c r="N149" s="11"/>
    </row>
    <row r="150" spans="2:14" ht="15" customHeight="1">
      <c r="B150" s="173">
        <f t="shared" si="22"/>
        <v>127</v>
      </c>
      <c r="C150" s="173"/>
      <c r="D150" s="174">
        <v>7</v>
      </c>
      <c r="E150" s="168">
        <f t="shared" si="17"/>
        <v>128</v>
      </c>
      <c r="F150" s="286">
        <f t="shared" si="18"/>
        <v>33.33</v>
      </c>
      <c r="G150" s="175">
        <f t="shared" si="15"/>
        <v>32.931999999999995</v>
      </c>
      <c r="H150" s="175" t="str">
        <f t="shared" si="23"/>
        <v>IN</v>
      </c>
      <c r="I150" s="175">
        <f t="shared" si="26"/>
        <v>4188.4060000000009</v>
      </c>
      <c r="J150" s="175">
        <f t="shared" si="24"/>
        <v>7429.1639999999989</v>
      </c>
      <c r="K150" s="262">
        <f t="shared" si="25"/>
        <v>173.43328115202448</v>
      </c>
      <c r="L150" s="567"/>
      <c r="M150" s="567"/>
      <c r="N150" s="11"/>
    </row>
    <row r="151" spans="2:14" ht="15" customHeight="1">
      <c r="B151" s="173">
        <f t="shared" si="22"/>
        <v>128</v>
      </c>
      <c r="C151" s="173"/>
      <c r="D151" s="174">
        <v>7</v>
      </c>
      <c r="E151" s="168">
        <f t="shared" si="17"/>
        <v>129</v>
      </c>
      <c r="F151" s="286">
        <f t="shared" si="18"/>
        <v>33.369999999999997</v>
      </c>
      <c r="G151" s="175">
        <f t="shared" si="15"/>
        <v>32.971999999999994</v>
      </c>
      <c r="H151" s="175" t="str">
        <f t="shared" si="23"/>
        <v>IN</v>
      </c>
      <c r="I151" s="177">
        <f t="shared" si="26"/>
        <v>4221.3780000000006</v>
      </c>
      <c r="J151" s="177">
        <f t="shared" si="24"/>
        <v>7396.1919999999991</v>
      </c>
      <c r="K151" s="235">
        <f t="shared" si="25"/>
        <v>174.12944626737971</v>
      </c>
      <c r="L151" s="566"/>
      <c r="M151" s="566"/>
      <c r="N151" s="11"/>
    </row>
    <row r="152" spans="2:14" ht="15" customHeight="1">
      <c r="B152" s="173">
        <f t="shared" si="22"/>
        <v>129</v>
      </c>
      <c r="C152" s="173"/>
      <c r="D152" s="174">
        <v>7</v>
      </c>
      <c r="E152" s="168">
        <f t="shared" si="17"/>
        <v>130</v>
      </c>
      <c r="F152" s="286">
        <f t="shared" si="18"/>
        <v>33.22</v>
      </c>
      <c r="G152" s="175">
        <f t="shared" ref="G152:G215" si="27">F152-($E$12)</f>
        <v>32.821999999999996</v>
      </c>
      <c r="H152" s="175" t="str">
        <f t="shared" si="23"/>
        <v>IN</v>
      </c>
      <c r="I152" s="177">
        <f t="shared" si="26"/>
        <v>4254.2000000000007</v>
      </c>
      <c r="J152" s="177">
        <f t="shared" si="24"/>
        <v>7363.369999999999</v>
      </c>
      <c r="K152" s="235">
        <f t="shared" si="25"/>
        <v>174.82244430863256</v>
      </c>
      <c r="L152" s="566"/>
      <c r="M152" s="566"/>
      <c r="N152" s="11"/>
    </row>
    <row r="153" spans="2:14" ht="15" customHeight="1">
      <c r="B153" s="173">
        <f t="shared" si="22"/>
        <v>130</v>
      </c>
      <c r="C153" s="173"/>
      <c r="D153" s="174">
        <v>7</v>
      </c>
      <c r="E153" s="168">
        <f t="shared" ref="E153:E216" si="28">E152+1</f>
        <v>131</v>
      </c>
      <c r="F153" s="286">
        <f t="shared" si="18"/>
        <v>33.299999999999997</v>
      </c>
      <c r="G153" s="175">
        <f t="shared" si="27"/>
        <v>32.901999999999994</v>
      </c>
      <c r="H153" s="175" t="str">
        <f t="shared" si="23"/>
        <v>IN</v>
      </c>
      <c r="I153" s="177">
        <f t="shared" si="26"/>
        <v>4287.1020000000008</v>
      </c>
      <c r="J153" s="177">
        <f t="shared" si="24"/>
        <v>7330.4679999999989</v>
      </c>
      <c r="K153" s="235">
        <f t="shared" si="25"/>
        <v>175.51713145607334</v>
      </c>
      <c r="L153" s="566"/>
      <c r="M153" s="566"/>
      <c r="N153" s="11"/>
    </row>
    <row r="154" spans="2:14" ht="15" customHeight="1">
      <c r="B154" s="173">
        <f t="shared" si="22"/>
        <v>131</v>
      </c>
      <c r="C154" s="173"/>
      <c r="D154" s="174">
        <v>7</v>
      </c>
      <c r="E154" s="168">
        <f t="shared" si="28"/>
        <v>132</v>
      </c>
      <c r="F154" s="286">
        <f t="shared" si="18"/>
        <v>33.159999999999997</v>
      </c>
      <c r="G154" s="175">
        <f t="shared" si="27"/>
        <v>32.761999999999993</v>
      </c>
      <c r="H154" s="175" t="str">
        <f t="shared" si="23"/>
        <v>IN</v>
      </c>
      <c r="I154" s="175">
        <f t="shared" si="26"/>
        <v>4319.8640000000005</v>
      </c>
      <c r="J154" s="175">
        <f t="shared" si="24"/>
        <v>7297.7059999999992</v>
      </c>
      <c r="K154" s="262">
        <f t="shared" si="25"/>
        <v>176.20886266768525</v>
      </c>
      <c r="L154" s="567"/>
      <c r="M154" s="567"/>
      <c r="N154" s="11"/>
    </row>
    <row r="155" spans="2:14" ht="15" customHeight="1">
      <c r="B155" s="173">
        <f t="shared" si="22"/>
        <v>132</v>
      </c>
      <c r="C155" s="173"/>
      <c r="D155" s="174">
        <v>7</v>
      </c>
      <c r="E155" s="168">
        <f t="shared" si="28"/>
        <v>133</v>
      </c>
      <c r="F155" s="286">
        <f t="shared" si="18"/>
        <v>33.5</v>
      </c>
      <c r="G155" s="175">
        <f t="shared" si="27"/>
        <v>33.101999999999997</v>
      </c>
      <c r="H155" s="175" t="str">
        <f t="shared" si="23"/>
        <v>IN</v>
      </c>
      <c r="I155" s="177">
        <f t="shared" si="26"/>
        <v>4352.9660000000003</v>
      </c>
      <c r="J155" s="177">
        <f t="shared" si="24"/>
        <v>7264.6039999999994</v>
      </c>
      <c r="K155" s="235">
        <f t="shared" si="25"/>
        <v>176.90777258059589</v>
      </c>
      <c r="L155" s="566"/>
      <c r="M155" s="566"/>
      <c r="N155" s="11"/>
    </row>
    <row r="156" spans="2:14" ht="15" customHeight="1">
      <c r="B156" s="173">
        <f t="shared" si="22"/>
        <v>133</v>
      </c>
      <c r="C156" s="173"/>
      <c r="D156" s="174">
        <v>7</v>
      </c>
      <c r="E156" s="168">
        <f t="shared" si="28"/>
        <v>134</v>
      </c>
      <c r="F156" s="286">
        <f t="shared" si="18"/>
        <v>33.08</v>
      </c>
      <c r="G156" s="175">
        <f t="shared" si="27"/>
        <v>32.681999999999995</v>
      </c>
      <c r="H156" s="175" t="str">
        <f t="shared" si="23"/>
        <v>IN</v>
      </c>
      <c r="I156" s="177">
        <f t="shared" si="26"/>
        <v>4385.6480000000001</v>
      </c>
      <c r="J156" s="177">
        <f t="shared" si="24"/>
        <v>7231.9219999999996</v>
      </c>
      <c r="K156" s="235">
        <f t="shared" si="25"/>
        <v>177.59781468601986</v>
      </c>
      <c r="L156" s="566"/>
      <c r="M156" s="566"/>
      <c r="N156" s="11"/>
    </row>
    <row r="157" spans="2:14" ht="15" customHeight="1">
      <c r="B157" s="173">
        <f t="shared" si="22"/>
        <v>134</v>
      </c>
      <c r="C157" s="173"/>
      <c r="D157" s="174">
        <v>7</v>
      </c>
      <c r="E157" s="168">
        <f t="shared" si="28"/>
        <v>135</v>
      </c>
      <c r="F157" s="286">
        <f t="shared" si="18"/>
        <v>32.57</v>
      </c>
      <c r="G157" s="175">
        <f t="shared" si="27"/>
        <v>32.171999999999997</v>
      </c>
      <c r="H157" s="175" t="str">
        <f t="shared" si="23"/>
        <v>IN</v>
      </c>
      <c r="I157" s="177">
        <f t="shared" si="26"/>
        <v>4417.82</v>
      </c>
      <c r="J157" s="177">
        <f t="shared" si="24"/>
        <v>7199.75</v>
      </c>
      <c r="K157" s="235">
        <f t="shared" si="25"/>
        <v>178.27708873949581</v>
      </c>
      <c r="L157" s="566"/>
      <c r="M157" s="566"/>
      <c r="N157" s="11"/>
    </row>
    <row r="158" spans="2:14" ht="15" customHeight="1">
      <c r="B158" s="173">
        <f t="shared" si="22"/>
        <v>135</v>
      </c>
      <c r="C158" s="173"/>
      <c r="D158" s="174">
        <v>7</v>
      </c>
      <c r="E158" s="168">
        <f t="shared" si="28"/>
        <v>136</v>
      </c>
      <c r="F158" s="286">
        <f t="shared" si="18"/>
        <v>33.11</v>
      </c>
      <c r="G158" s="175">
        <f t="shared" si="27"/>
        <v>32.711999999999996</v>
      </c>
      <c r="H158" s="175" t="str">
        <f t="shared" si="23"/>
        <v>IN</v>
      </c>
      <c r="I158" s="177">
        <f t="shared" si="26"/>
        <v>4450.5320000000002</v>
      </c>
      <c r="J158" s="177">
        <f t="shared" si="24"/>
        <v>7167.0379999999996</v>
      </c>
      <c r="K158" s="235">
        <f t="shared" si="25"/>
        <v>178.96776425974028</v>
      </c>
      <c r="L158" s="566"/>
      <c r="M158" s="566"/>
      <c r="N158" s="11"/>
    </row>
    <row r="159" spans="2:14" ht="15" customHeight="1">
      <c r="B159" s="173">
        <f t="shared" si="22"/>
        <v>136</v>
      </c>
      <c r="C159" s="173"/>
      <c r="D159" s="174">
        <v>7</v>
      </c>
      <c r="E159" s="168">
        <f t="shared" si="28"/>
        <v>137</v>
      </c>
      <c r="F159" s="286">
        <f t="shared" si="18"/>
        <v>33.18</v>
      </c>
      <c r="G159" s="175">
        <f t="shared" si="27"/>
        <v>32.781999999999996</v>
      </c>
      <c r="H159" s="175" t="str">
        <f t="shared" si="23"/>
        <v>IN</v>
      </c>
      <c r="I159" s="177">
        <f t="shared" si="26"/>
        <v>4483.3140000000003</v>
      </c>
      <c r="J159" s="177">
        <f t="shared" si="24"/>
        <v>7134.2559999999994</v>
      </c>
      <c r="K159" s="235">
        <f t="shared" si="25"/>
        <v>179.65991774789916</v>
      </c>
      <c r="L159" s="566"/>
      <c r="M159" s="566"/>
      <c r="N159" s="11"/>
    </row>
    <row r="160" spans="2:14" ht="15" customHeight="1">
      <c r="B160" s="173">
        <f t="shared" si="22"/>
        <v>137</v>
      </c>
      <c r="C160" s="173"/>
      <c r="D160" s="174">
        <v>7</v>
      </c>
      <c r="E160" s="168">
        <f t="shared" si="28"/>
        <v>138</v>
      </c>
      <c r="F160" s="286">
        <f t="shared" si="18"/>
        <v>32.57</v>
      </c>
      <c r="G160" s="175">
        <f t="shared" si="27"/>
        <v>32.171999999999997</v>
      </c>
      <c r="H160" s="175" t="str">
        <f t="shared" si="23"/>
        <v>IN</v>
      </c>
      <c r="I160" s="177">
        <f t="shared" si="26"/>
        <v>4515.4859999999999</v>
      </c>
      <c r="J160" s="177">
        <f t="shared" si="24"/>
        <v>7102.0839999999998</v>
      </c>
      <c r="K160" s="235">
        <f t="shared" si="25"/>
        <v>180.33919180137508</v>
      </c>
      <c r="L160" s="566"/>
      <c r="M160" s="566"/>
      <c r="N160" s="11"/>
    </row>
    <row r="161" spans="2:14" ht="15" customHeight="1">
      <c r="B161" s="173">
        <f t="shared" si="22"/>
        <v>138</v>
      </c>
      <c r="C161" s="173"/>
      <c r="D161" s="174">
        <v>7</v>
      </c>
      <c r="E161" s="168">
        <f t="shared" si="28"/>
        <v>139</v>
      </c>
      <c r="F161" s="286">
        <f t="shared" si="18"/>
        <v>33.11</v>
      </c>
      <c r="G161" s="175">
        <f t="shared" si="27"/>
        <v>32.711999999999996</v>
      </c>
      <c r="H161" s="175" t="str">
        <f t="shared" si="23"/>
        <v>IN</v>
      </c>
      <c r="I161" s="177">
        <f t="shared" si="26"/>
        <v>4548.1980000000003</v>
      </c>
      <c r="J161" s="177">
        <f t="shared" si="24"/>
        <v>7069.3719999999994</v>
      </c>
      <c r="K161" s="235">
        <f t="shared" si="25"/>
        <v>181.02986732161958</v>
      </c>
      <c r="L161" s="566"/>
      <c r="M161" s="566"/>
      <c r="N161" s="11"/>
    </row>
    <row r="162" spans="2:14" ht="15" customHeight="1">
      <c r="B162" s="173">
        <f t="shared" si="22"/>
        <v>139</v>
      </c>
      <c r="C162" s="173"/>
      <c r="D162" s="174">
        <v>7</v>
      </c>
      <c r="E162" s="168">
        <f t="shared" si="28"/>
        <v>140</v>
      </c>
      <c r="F162" s="286">
        <f t="shared" si="18"/>
        <v>33.130000000000003</v>
      </c>
      <c r="G162" s="175">
        <f t="shared" si="27"/>
        <v>32.731999999999999</v>
      </c>
      <c r="H162" s="175" t="str">
        <f t="shared" si="23"/>
        <v>IN</v>
      </c>
      <c r="I162" s="177">
        <f t="shared" si="26"/>
        <v>4580.93</v>
      </c>
      <c r="J162" s="177">
        <f t="shared" si="24"/>
        <v>7036.6399999999994</v>
      </c>
      <c r="K162" s="235">
        <f t="shared" si="25"/>
        <v>181.72096511841102</v>
      </c>
      <c r="L162" s="566"/>
      <c r="M162" s="566"/>
      <c r="N162" s="11"/>
    </row>
    <row r="163" spans="2:14" ht="15" customHeight="1">
      <c r="B163" s="173">
        <f t="shared" si="22"/>
        <v>140</v>
      </c>
      <c r="C163" s="173"/>
      <c r="D163" s="174">
        <v>7</v>
      </c>
      <c r="E163" s="168">
        <f t="shared" si="28"/>
        <v>141</v>
      </c>
      <c r="F163" s="286">
        <f t="shared" si="18"/>
        <v>32.520000000000003</v>
      </c>
      <c r="G163" s="175">
        <f t="shared" si="27"/>
        <v>32.122</v>
      </c>
      <c r="H163" s="175" t="str">
        <f t="shared" si="23"/>
        <v>IN</v>
      </c>
      <c r="I163" s="177">
        <f t="shared" si="26"/>
        <v>4613.0520000000006</v>
      </c>
      <c r="J163" s="177">
        <f t="shared" si="24"/>
        <v>7004.5179999999991</v>
      </c>
      <c r="K163" s="235">
        <f t="shared" si="25"/>
        <v>182.3991834805195</v>
      </c>
      <c r="L163" s="566"/>
      <c r="M163" s="566"/>
      <c r="N163" s="11"/>
    </row>
    <row r="164" spans="2:14" ht="15" customHeight="1">
      <c r="B164" s="173">
        <f t="shared" si="22"/>
        <v>141</v>
      </c>
      <c r="C164" s="173"/>
      <c r="D164" s="174">
        <v>7</v>
      </c>
      <c r="E164" s="168">
        <f t="shared" si="28"/>
        <v>142</v>
      </c>
      <c r="F164" s="286">
        <f t="shared" si="18"/>
        <v>33.17</v>
      </c>
      <c r="G164" s="175">
        <f t="shared" si="27"/>
        <v>32.771999999999998</v>
      </c>
      <c r="H164" s="175" t="str">
        <f t="shared" si="23"/>
        <v>IN</v>
      </c>
      <c r="I164" s="177">
        <f t="shared" si="26"/>
        <v>4645.8240000000005</v>
      </c>
      <c r="J164" s="177">
        <f t="shared" si="24"/>
        <v>6971.7459999999992</v>
      </c>
      <c r="K164" s="235">
        <f t="shared" si="25"/>
        <v>183.09112583040491</v>
      </c>
      <c r="L164" s="566"/>
      <c r="M164" s="566"/>
      <c r="N164" s="11"/>
    </row>
    <row r="165" spans="2:14" ht="15" customHeight="1">
      <c r="B165" s="173">
        <f t="shared" si="22"/>
        <v>142</v>
      </c>
      <c r="C165" s="173"/>
      <c r="D165" s="174">
        <v>7</v>
      </c>
      <c r="E165" s="168">
        <f t="shared" si="28"/>
        <v>143</v>
      </c>
      <c r="F165" s="286">
        <f t="shared" si="18"/>
        <v>33.5</v>
      </c>
      <c r="G165" s="175">
        <f t="shared" si="27"/>
        <v>33.101999999999997</v>
      </c>
      <c r="H165" s="175" t="str">
        <f t="shared" si="23"/>
        <v>IN</v>
      </c>
      <c r="I165" s="177">
        <f t="shared" si="26"/>
        <v>4678.9260000000004</v>
      </c>
      <c r="J165" s="177">
        <f t="shared" si="24"/>
        <v>6938.6439999999993</v>
      </c>
      <c r="K165" s="235">
        <f t="shared" si="25"/>
        <v>183.79003574331551</v>
      </c>
      <c r="L165" s="566"/>
      <c r="M165" s="566"/>
      <c r="N165" s="11"/>
    </row>
    <row r="166" spans="2:14" ht="15" customHeight="1">
      <c r="B166" s="173">
        <f t="shared" si="22"/>
        <v>143</v>
      </c>
      <c r="C166" s="173"/>
      <c r="D166" s="174">
        <v>7</v>
      </c>
      <c r="E166" s="168">
        <f t="shared" si="28"/>
        <v>144</v>
      </c>
      <c r="F166" s="286">
        <f t="shared" ref="F166:F229" si="29">VLOOKUP(E166,tubing1,2,FALSE)</f>
        <v>33.299999999999997</v>
      </c>
      <c r="G166" s="175">
        <f t="shared" si="27"/>
        <v>32.901999999999994</v>
      </c>
      <c r="H166" s="175" t="str">
        <f t="shared" si="23"/>
        <v>IN</v>
      </c>
      <c r="I166" s="177">
        <f t="shared" si="26"/>
        <v>4711.8280000000004</v>
      </c>
      <c r="J166" s="177">
        <f t="shared" si="24"/>
        <v>6905.7419999999993</v>
      </c>
      <c r="K166" s="235">
        <f t="shared" si="25"/>
        <v>184.4847228907563</v>
      </c>
      <c r="L166" s="566"/>
      <c r="M166" s="566"/>
      <c r="N166" s="11"/>
    </row>
    <row r="167" spans="2:14" ht="15" customHeight="1">
      <c r="B167" s="173">
        <f t="shared" ref="B167:B198" si="30">B166+1</f>
        <v>144</v>
      </c>
      <c r="C167" s="173"/>
      <c r="D167" s="174">
        <v>7</v>
      </c>
      <c r="E167" s="168">
        <f t="shared" si="28"/>
        <v>145</v>
      </c>
      <c r="F167" s="286">
        <f t="shared" si="29"/>
        <v>33.380000000000003</v>
      </c>
      <c r="G167" s="175">
        <f t="shared" si="27"/>
        <v>32.981999999999999</v>
      </c>
      <c r="H167" s="175" t="str">
        <f t="shared" si="23"/>
        <v>IN</v>
      </c>
      <c r="I167" s="175">
        <f t="shared" si="26"/>
        <v>4744.8100000000004</v>
      </c>
      <c r="J167" s="175">
        <f t="shared" si="24"/>
        <v>6872.7599999999993</v>
      </c>
      <c r="K167" s="262">
        <f t="shared" si="25"/>
        <v>185.18109914438503</v>
      </c>
      <c r="L167" s="567"/>
      <c r="M167" s="567"/>
      <c r="N167" s="11"/>
    </row>
    <row r="168" spans="2:14" ht="15" customHeight="1">
      <c r="B168" s="173">
        <f t="shared" si="30"/>
        <v>145</v>
      </c>
      <c r="C168" s="173"/>
      <c r="D168" s="174">
        <v>7</v>
      </c>
      <c r="E168" s="168">
        <f t="shared" si="28"/>
        <v>146</v>
      </c>
      <c r="F168" s="286">
        <f t="shared" si="29"/>
        <v>33.450000000000003</v>
      </c>
      <c r="G168" s="175">
        <f t="shared" si="27"/>
        <v>33.052</v>
      </c>
      <c r="H168" s="175" t="str">
        <f t="shared" si="23"/>
        <v>IN</v>
      </c>
      <c r="I168" s="177">
        <f t="shared" si="26"/>
        <v>4777.8620000000001</v>
      </c>
      <c r="J168" s="177">
        <f t="shared" si="24"/>
        <v>6839.7079999999996</v>
      </c>
      <c r="K168" s="235">
        <f t="shared" si="25"/>
        <v>185.87895336592817</v>
      </c>
      <c r="L168" s="566"/>
      <c r="M168" s="566"/>
      <c r="N168" s="11"/>
    </row>
    <row r="169" spans="2:14" ht="15" customHeight="1">
      <c r="B169" s="173">
        <f t="shared" si="30"/>
        <v>146</v>
      </c>
      <c r="C169" s="173"/>
      <c r="D169" s="174">
        <v>7</v>
      </c>
      <c r="E169" s="168">
        <f t="shared" si="28"/>
        <v>147</v>
      </c>
      <c r="F169" s="286">
        <f t="shared" si="29"/>
        <v>33.35</v>
      </c>
      <c r="G169" s="175">
        <f t="shared" si="27"/>
        <v>32.951999999999998</v>
      </c>
      <c r="H169" s="175" t="str">
        <f t="shared" si="23"/>
        <v>IN</v>
      </c>
      <c r="I169" s="175">
        <f t="shared" si="26"/>
        <v>4810.8140000000003</v>
      </c>
      <c r="J169" s="175">
        <f t="shared" si="24"/>
        <v>6806.7559999999994</v>
      </c>
      <c r="K169" s="262">
        <f t="shared" si="25"/>
        <v>186.57469620473645</v>
      </c>
      <c r="L169" s="567"/>
      <c r="M169" s="567"/>
      <c r="N169" s="11"/>
    </row>
    <row r="170" spans="2:14" ht="15" customHeight="1">
      <c r="B170" s="173">
        <f t="shared" si="30"/>
        <v>147</v>
      </c>
      <c r="C170" s="173"/>
      <c r="D170" s="174">
        <v>7</v>
      </c>
      <c r="E170" s="168">
        <f t="shared" si="28"/>
        <v>148</v>
      </c>
      <c r="F170" s="286">
        <f t="shared" si="29"/>
        <v>33.700000000000003</v>
      </c>
      <c r="G170" s="175">
        <f t="shared" si="27"/>
        <v>33.302</v>
      </c>
      <c r="H170" s="175" t="str">
        <f t="shared" si="23"/>
        <v>IN</v>
      </c>
      <c r="I170" s="177">
        <f t="shared" si="26"/>
        <v>4844.116</v>
      </c>
      <c r="J170" s="177">
        <f t="shared" si="24"/>
        <v>6773.4539999999997</v>
      </c>
      <c r="K170" s="235">
        <f t="shared" si="25"/>
        <v>187.27782888311691</v>
      </c>
      <c r="L170" s="566"/>
      <c r="M170" s="566"/>
      <c r="N170" s="11"/>
    </row>
    <row r="171" spans="2:14" ht="15" customHeight="1">
      <c r="B171" s="173">
        <f t="shared" si="30"/>
        <v>148</v>
      </c>
      <c r="C171" s="173"/>
      <c r="D171" s="174">
        <v>7</v>
      </c>
      <c r="E171" s="168">
        <f t="shared" si="28"/>
        <v>149</v>
      </c>
      <c r="F171" s="286">
        <f t="shared" si="29"/>
        <v>33.43</v>
      </c>
      <c r="G171" s="175">
        <f t="shared" si="27"/>
        <v>33.031999999999996</v>
      </c>
      <c r="H171" s="175" t="str">
        <f t="shared" si="23"/>
        <v>IN</v>
      </c>
      <c r="I171" s="177">
        <f t="shared" si="26"/>
        <v>4877.1480000000001</v>
      </c>
      <c r="J171" s="177">
        <f t="shared" si="24"/>
        <v>6740.4219999999996</v>
      </c>
      <c r="K171" s="235">
        <f t="shared" si="25"/>
        <v>187.97526082811305</v>
      </c>
      <c r="L171" s="566"/>
      <c r="M171" s="566"/>
      <c r="N171" s="11"/>
    </row>
    <row r="172" spans="2:14" ht="15" customHeight="1">
      <c r="B172" s="173">
        <f t="shared" si="30"/>
        <v>149</v>
      </c>
      <c r="C172" s="173"/>
      <c r="D172" s="174">
        <v>7</v>
      </c>
      <c r="E172" s="168">
        <f t="shared" si="28"/>
        <v>150</v>
      </c>
      <c r="F172" s="286">
        <f t="shared" si="29"/>
        <v>32.99</v>
      </c>
      <c r="G172" s="175">
        <f t="shared" si="27"/>
        <v>32.591999999999999</v>
      </c>
      <c r="H172" s="175" t="str">
        <f t="shared" si="23"/>
        <v>IN</v>
      </c>
      <c r="I172" s="177">
        <f t="shared" si="26"/>
        <v>4909.74</v>
      </c>
      <c r="J172" s="177">
        <f t="shared" si="24"/>
        <v>6707.83</v>
      </c>
      <c r="K172" s="235">
        <f t="shared" si="25"/>
        <v>188.66340268907561</v>
      </c>
      <c r="L172" s="566"/>
      <c r="M172" s="566"/>
      <c r="N172" s="11"/>
    </row>
    <row r="173" spans="2:14" ht="15" customHeight="1">
      <c r="B173" s="173">
        <f t="shared" si="30"/>
        <v>150</v>
      </c>
      <c r="C173" s="173"/>
      <c r="D173" s="174">
        <v>7</v>
      </c>
      <c r="E173" s="168">
        <f t="shared" si="28"/>
        <v>151</v>
      </c>
      <c r="F173" s="286">
        <f t="shared" si="29"/>
        <v>33.520000000000003</v>
      </c>
      <c r="G173" s="175">
        <f t="shared" si="27"/>
        <v>33.122</v>
      </c>
      <c r="H173" s="175" t="str">
        <f t="shared" ref="H173:H204" si="31">IF(F173="","OUT","IN")</f>
        <v>IN</v>
      </c>
      <c r="I173" s="177">
        <f t="shared" si="26"/>
        <v>4942.8620000000001</v>
      </c>
      <c r="J173" s="177">
        <f t="shared" si="24"/>
        <v>6674.7079999999996</v>
      </c>
      <c r="K173" s="235">
        <f t="shared" si="25"/>
        <v>189.36273487853322</v>
      </c>
      <c r="L173" s="566"/>
      <c r="M173" s="566"/>
      <c r="N173" s="11"/>
    </row>
    <row r="174" spans="2:14" ht="15" customHeight="1">
      <c r="B174" s="173">
        <f t="shared" si="30"/>
        <v>151</v>
      </c>
      <c r="C174" s="173"/>
      <c r="D174" s="174">
        <v>7</v>
      </c>
      <c r="E174" s="168">
        <f t="shared" si="28"/>
        <v>152</v>
      </c>
      <c r="F174" s="286">
        <f t="shared" si="29"/>
        <v>33.42</v>
      </c>
      <c r="G174" s="175">
        <f t="shared" si="27"/>
        <v>33.021999999999998</v>
      </c>
      <c r="H174" s="175" t="str">
        <f t="shared" si="31"/>
        <v>IN</v>
      </c>
      <c r="I174" s="177">
        <f t="shared" si="26"/>
        <v>4975.884</v>
      </c>
      <c r="J174" s="177">
        <f t="shared" si="24"/>
        <v>6641.6859999999997</v>
      </c>
      <c r="K174" s="235">
        <f t="shared" si="25"/>
        <v>190.05995568525591</v>
      </c>
      <c r="L174" s="566"/>
      <c r="M174" s="566"/>
      <c r="N174" s="11"/>
    </row>
    <row r="175" spans="2:14" ht="15" customHeight="1">
      <c r="B175" s="173">
        <f t="shared" si="30"/>
        <v>152</v>
      </c>
      <c r="C175" s="173"/>
      <c r="D175" s="174">
        <v>7</v>
      </c>
      <c r="E175" s="168">
        <f t="shared" si="28"/>
        <v>153</v>
      </c>
      <c r="F175" s="286">
        <f t="shared" si="29"/>
        <v>33.299999999999997</v>
      </c>
      <c r="G175" s="175">
        <f t="shared" si="27"/>
        <v>32.901999999999994</v>
      </c>
      <c r="H175" s="175" t="str">
        <f t="shared" si="31"/>
        <v>IN</v>
      </c>
      <c r="I175" s="177">
        <f t="shared" si="26"/>
        <v>5008.7860000000001</v>
      </c>
      <c r="J175" s="177">
        <f t="shared" si="24"/>
        <v>6608.7839999999997</v>
      </c>
      <c r="K175" s="235">
        <f t="shared" si="25"/>
        <v>190.75464283269673</v>
      </c>
      <c r="L175" s="566"/>
      <c r="M175" s="566"/>
      <c r="N175" s="11"/>
    </row>
    <row r="176" spans="2:14" ht="15" customHeight="1">
      <c r="B176" s="173">
        <f t="shared" si="30"/>
        <v>153</v>
      </c>
      <c r="C176" s="173"/>
      <c r="D176" s="174">
        <v>7</v>
      </c>
      <c r="E176" s="168">
        <f t="shared" si="28"/>
        <v>154</v>
      </c>
      <c r="F176" s="286">
        <f t="shared" si="29"/>
        <v>33.549999999999997</v>
      </c>
      <c r="G176" s="175">
        <f t="shared" si="27"/>
        <v>33.151999999999994</v>
      </c>
      <c r="H176" s="175" t="str">
        <f t="shared" si="31"/>
        <v>IN</v>
      </c>
      <c r="I176" s="177">
        <f t="shared" si="26"/>
        <v>5041.9380000000001</v>
      </c>
      <c r="J176" s="177">
        <f t="shared" si="24"/>
        <v>6575.6319999999996</v>
      </c>
      <c r="K176" s="235">
        <f t="shared" si="25"/>
        <v>191.45460843697481</v>
      </c>
      <c r="L176" s="566"/>
      <c r="M176" s="566"/>
      <c r="N176" s="11"/>
    </row>
    <row r="177" spans="2:14" ht="15" customHeight="1">
      <c r="B177" s="173">
        <f t="shared" si="30"/>
        <v>154</v>
      </c>
      <c r="C177" s="173"/>
      <c r="D177" s="174">
        <v>7</v>
      </c>
      <c r="E177" s="168">
        <f t="shared" si="28"/>
        <v>155</v>
      </c>
      <c r="F177" s="286">
        <f t="shared" si="29"/>
        <v>32.17</v>
      </c>
      <c r="G177" s="175">
        <f t="shared" si="27"/>
        <v>31.772000000000002</v>
      </c>
      <c r="H177" s="175" t="str">
        <f t="shared" si="31"/>
        <v>IN</v>
      </c>
      <c r="I177" s="177">
        <f t="shared" si="26"/>
        <v>5073.71</v>
      </c>
      <c r="J177" s="177">
        <f t="shared" si="24"/>
        <v>6543.86</v>
      </c>
      <c r="K177" s="235">
        <f t="shared" si="25"/>
        <v>192.12543695951109</v>
      </c>
      <c r="L177" s="566"/>
      <c r="M177" s="566"/>
      <c r="N177" s="11"/>
    </row>
    <row r="178" spans="2:14" ht="15" customHeight="1">
      <c r="B178" s="173">
        <f t="shared" si="30"/>
        <v>155</v>
      </c>
      <c r="C178" s="173"/>
      <c r="D178" s="174">
        <v>7</v>
      </c>
      <c r="E178" s="168">
        <f t="shared" si="28"/>
        <v>156</v>
      </c>
      <c r="F178" s="286">
        <f t="shared" si="29"/>
        <v>31.33</v>
      </c>
      <c r="G178" s="175">
        <f t="shared" si="27"/>
        <v>30.931999999999999</v>
      </c>
      <c r="H178" s="175" t="str">
        <f t="shared" si="31"/>
        <v>IN</v>
      </c>
      <c r="I178" s="175">
        <f t="shared" si="26"/>
        <v>5104.6419999999998</v>
      </c>
      <c r="J178" s="175">
        <f t="shared" si="24"/>
        <v>6512.9279999999999</v>
      </c>
      <c r="K178" s="262">
        <f t="shared" si="25"/>
        <v>192.7785298670741</v>
      </c>
      <c r="L178" s="567"/>
      <c r="M178" s="567"/>
      <c r="N178" s="11"/>
    </row>
    <row r="179" spans="2:14" ht="15" customHeight="1">
      <c r="B179" s="173">
        <f t="shared" si="30"/>
        <v>156</v>
      </c>
      <c r="C179" s="173"/>
      <c r="D179" s="174">
        <v>7</v>
      </c>
      <c r="E179" s="168">
        <f t="shared" si="28"/>
        <v>157</v>
      </c>
      <c r="F179" s="286">
        <f t="shared" si="29"/>
        <v>33.03</v>
      </c>
      <c r="G179" s="175">
        <f t="shared" si="27"/>
        <v>32.631999999999998</v>
      </c>
      <c r="H179" s="175" t="str">
        <f t="shared" si="31"/>
        <v>IN</v>
      </c>
      <c r="I179" s="177">
        <f t="shared" si="26"/>
        <v>5137.2739999999994</v>
      </c>
      <c r="J179" s="177">
        <f t="shared" si="24"/>
        <v>6480.2960000000003</v>
      </c>
      <c r="K179" s="235">
        <f t="shared" si="25"/>
        <v>193.46751628113063</v>
      </c>
      <c r="L179" s="566"/>
      <c r="M179" s="566"/>
      <c r="N179" s="11"/>
    </row>
    <row r="180" spans="2:14" ht="15" customHeight="1">
      <c r="B180" s="173">
        <f t="shared" si="30"/>
        <v>157</v>
      </c>
      <c r="C180" s="173"/>
      <c r="D180" s="174">
        <v>7</v>
      </c>
      <c r="E180" s="168">
        <f t="shared" si="28"/>
        <v>158</v>
      </c>
      <c r="F180" s="286">
        <f t="shared" si="29"/>
        <v>33.43</v>
      </c>
      <c r="G180" s="175">
        <f t="shared" si="27"/>
        <v>33.031999999999996</v>
      </c>
      <c r="H180" s="175" t="str">
        <f t="shared" si="31"/>
        <v>IN</v>
      </c>
      <c r="I180" s="177">
        <f t="shared" si="26"/>
        <v>5170.3059999999996</v>
      </c>
      <c r="J180" s="177">
        <f t="shared" si="24"/>
        <v>6447.2640000000001</v>
      </c>
      <c r="K180" s="235">
        <f t="shared" si="25"/>
        <v>194.1649482261268</v>
      </c>
      <c r="L180" s="566"/>
      <c r="M180" s="566"/>
      <c r="N180" s="11"/>
    </row>
    <row r="181" spans="2:14" ht="15" customHeight="1">
      <c r="B181" s="173">
        <f t="shared" si="30"/>
        <v>158</v>
      </c>
      <c r="C181" s="173"/>
      <c r="D181" s="174">
        <v>7</v>
      </c>
      <c r="E181" s="168">
        <f t="shared" si="28"/>
        <v>159</v>
      </c>
      <c r="F181" s="286">
        <f t="shared" si="29"/>
        <v>33</v>
      </c>
      <c r="G181" s="175">
        <f t="shared" si="27"/>
        <v>32.601999999999997</v>
      </c>
      <c r="H181" s="175" t="str">
        <f t="shared" si="31"/>
        <v>IN</v>
      </c>
      <c r="I181" s="177">
        <f t="shared" si="26"/>
        <v>5202.9079999999994</v>
      </c>
      <c r="J181" s="177">
        <f t="shared" si="24"/>
        <v>6414.6620000000003</v>
      </c>
      <c r="K181" s="235">
        <f t="shared" si="25"/>
        <v>194.85330122536286</v>
      </c>
      <c r="L181" s="566"/>
      <c r="M181" s="566"/>
      <c r="N181" s="11"/>
    </row>
    <row r="182" spans="2:14" ht="15" customHeight="1">
      <c r="B182" s="173">
        <f t="shared" si="30"/>
        <v>159</v>
      </c>
      <c r="C182" s="173"/>
      <c r="D182" s="174">
        <v>7</v>
      </c>
      <c r="E182" s="168">
        <f t="shared" si="28"/>
        <v>160</v>
      </c>
      <c r="F182" s="286">
        <f t="shared" si="29"/>
        <v>33.33</v>
      </c>
      <c r="G182" s="175">
        <f t="shared" si="27"/>
        <v>32.931999999999995</v>
      </c>
      <c r="H182" s="175" t="str">
        <f t="shared" si="31"/>
        <v>IN</v>
      </c>
      <c r="I182" s="177">
        <f t="shared" si="26"/>
        <v>5235.8399999999992</v>
      </c>
      <c r="J182" s="177">
        <f t="shared" si="24"/>
        <v>6381.7300000000005</v>
      </c>
      <c r="K182" s="235">
        <f t="shared" si="25"/>
        <v>195.54862178762411</v>
      </c>
      <c r="L182" s="566"/>
      <c r="M182" s="566"/>
      <c r="N182" s="11"/>
    </row>
    <row r="183" spans="2:14" ht="15" customHeight="1">
      <c r="B183" s="407">
        <f t="shared" si="30"/>
        <v>160</v>
      </c>
      <c r="C183" s="407"/>
      <c r="D183" s="408">
        <v>7</v>
      </c>
      <c r="E183" s="168">
        <f t="shared" si="28"/>
        <v>161</v>
      </c>
      <c r="F183" s="409">
        <f t="shared" si="29"/>
        <v>32.69</v>
      </c>
      <c r="G183" s="410">
        <f t="shared" si="27"/>
        <v>32.291999999999994</v>
      </c>
      <c r="H183" s="410" t="str">
        <f t="shared" si="31"/>
        <v>IN</v>
      </c>
      <c r="I183" s="411">
        <f t="shared" si="26"/>
        <v>5268.1319999999996</v>
      </c>
      <c r="J183" s="411">
        <f t="shared" si="24"/>
        <v>6349.4380000000001</v>
      </c>
      <c r="K183" s="412">
        <f t="shared" si="25"/>
        <v>196.23042950038197</v>
      </c>
      <c r="L183" s="574"/>
      <c r="M183" s="574"/>
      <c r="N183" s="11"/>
    </row>
    <row r="184" spans="2:14" ht="18.600000000000001" customHeight="1">
      <c r="B184" s="173">
        <f t="shared" si="30"/>
        <v>161</v>
      </c>
      <c r="C184" s="173"/>
      <c r="D184" s="174">
        <v>7</v>
      </c>
      <c r="E184" s="168">
        <f t="shared" si="28"/>
        <v>162</v>
      </c>
      <c r="F184" s="286">
        <f t="shared" si="29"/>
        <v>32.44</v>
      </c>
      <c r="G184" s="175">
        <f t="shared" si="27"/>
        <v>32.041999999999994</v>
      </c>
      <c r="H184" s="175" t="str">
        <f t="shared" si="31"/>
        <v>IN</v>
      </c>
      <c r="I184" s="175">
        <f t="shared" si="26"/>
        <v>5300.174</v>
      </c>
      <c r="J184" s="175">
        <f t="shared" si="24"/>
        <v>6317.3959999999997</v>
      </c>
      <c r="K184" s="262">
        <f t="shared" si="25"/>
        <v>196.90695875630252</v>
      </c>
      <c r="L184" s="568"/>
      <c r="M184" s="568"/>
      <c r="N184" s="11"/>
    </row>
    <row r="185" spans="2:14" ht="15" customHeight="1">
      <c r="B185" s="413">
        <f t="shared" si="30"/>
        <v>162</v>
      </c>
      <c r="C185" s="413"/>
      <c r="D185" s="414">
        <v>7</v>
      </c>
      <c r="E185" s="168">
        <f t="shared" si="28"/>
        <v>163</v>
      </c>
      <c r="F185" s="415">
        <f t="shared" si="29"/>
        <v>33.17</v>
      </c>
      <c r="G185" s="416">
        <f t="shared" si="27"/>
        <v>32.771999999999998</v>
      </c>
      <c r="H185" s="416" t="str">
        <f t="shared" si="31"/>
        <v>IN</v>
      </c>
      <c r="I185" s="245">
        <f t="shared" si="26"/>
        <v>5332.9459999999999</v>
      </c>
      <c r="J185" s="245">
        <f t="shared" si="24"/>
        <v>6284.6239999999998</v>
      </c>
      <c r="K185" s="417">
        <f t="shared" si="25"/>
        <v>197.59890110618792</v>
      </c>
      <c r="L185" s="575"/>
      <c r="M185" s="575"/>
      <c r="N185" s="11"/>
    </row>
    <row r="186" spans="2:14" ht="15" customHeight="1">
      <c r="B186" s="173">
        <f t="shared" si="30"/>
        <v>163</v>
      </c>
      <c r="C186" s="173"/>
      <c r="D186" s="174">
        <v>7</v>
      </c>
      <c r="E186" s="168">
        <f t="shared" si="28"/>
        <v>164</v>
      </c>
      <c r="F186" s="286">
        <f t="shared" si="29"/>
        <v>33.340000000000003</v>
      </c>
      <c r="G186" s="175">
        <f t="shared" si="27"/>
        <v>32.942</v>
      </c>
      <c r="H186" s="175" t="str">
        <f t="shared" si="31"/>
        <v>IN</v>
      </c>
      <c r="I186" s="177">
        <f t="shared" si="26"/>
        <v>5365.8879999999999</v>
      </c>
      <c r="J186" s="177">
        <f t="shared" si="24"/>
        <v>6251.6819999999998</v>
      </c>
      <c r="K186" s="235">
        <f t="shared" si="25"/>
        <v>198.29443280672268</v>
      </c>
      <c r="L186" s="566"/>
      <c r="M186" s="566"/>
      <c r="N186" s="11"/>
    </row>
    <row r="187" spans="2:14" ht="15" customHeight="1">
      <c r="B187" s="173">
        <f t="shared" si="30"/>
        <v>164</v>
      </c>
      <c r="C187" s="173"/>
      <c r="D187" s="174">
        <v>7</v>
      </c>
      <c r="E187" s="168">
        <f t="shared" si="28"/>
        <v>165</v>
      </c>
      <c r="F187" s="286">
        <f t="shared" si="29"/>
        <v>31.17</v>
      </c>
      <c r="G187" s="175">
        <f t="shared" si="27"/>
        <v>30.772000000000002</v>
      </c>
      <c r="H187" s="175" t="str">
        <f t="shared" si="31"/>
        <v>IN</v>
      </c>
      <c r="I187" s="175">
        <f t="shared" si="26"/>
        <v>5396.66</v>
      </c>
      <c r="J187" s="175">
        <f t="shared" si="24"/>
        <v>6220.91</v>
      </c>
      <c r="K187" s="262">
        <f t="shared" si="25"/>
        <v>198.94414750190987</v>
      </c>
      <c r="L187" s="567"/>
      <c r="M187" s="567"/>
      <c r="N187" s="11"/>
    </row>
    <row r="188" spans="2:14" ht="15" customHeight="1">
      <c r="B188" s="173">
        <f t="shared" si="30"/>
        <v>165</v>
      </c>
      <c r="C188" s="173"/>
      <c r="D188" s="174">
        <v>7</v>
      </c>
      <c r="E188" s="168">
        <f t="shared" si="28"/>
        <v>166</v>
      </c>
      <c r="F188" s="286">
        <f t="shared" si="29"/>
        <v>33</v>
      </c>
      <c r="G188" s="175">
        <f t="shared" si="27"/>
        <v>32.601999999999997</v>
      </c>
      <c r="H188" s="175" t="str">
        <f t="shared" si="31"/>
        <v>IN</v>
      </c>
      <c r="I188" s="177">
        <f t="shared" si="26"/>
        <v>5429.2619999999997</v>
      </c>
      <c r="J188" s="177">
        <f t="shared" si="24"/>
        <v>6188.308</v>
      </c>
      <c r="K188" s="235">
        <f t="shared" si="25"/>
        <v>199.63250050114593</v>
      </c>
      <c r="L188" s="566"/>
      <c r="M188" s="566"/>
      <c r="N188" s="11"/>
    </row>
    <row r="189" spans="2:14" ht="15" customHeight="1">
      <c r="B189" s="173">
        <f t="shared" si="30"/>
        <v>166</v>
      </c>
      <c r="C189" s="173"/>
      <c r="D189" s="174">
        <v>7</v>
      </c>
      <c r="E189" s="168">
        <f t="shared" si="28"/>
        <v>167</v>
      </c>
      <c r="F189" s="286">
        <f t="shared" si="29"/>
        <v>32.68</v>
      </c>
      <c r="G189" s="175">
        <f t="shared" si="27"/>
        <v>32.281999999999996</v>
      </c>
      <c r="H189" s="175" t="str">
        <f t="shared" si="31"/>
        <v>IN</v>
      </c>
      <c r="I189" s="175">
        <f t="shared" si="26"/>
        <v>5461.5439999999999</v>
      </c>
      <c r="J189" s="175">
        <f t="shared" si="24"/>
        <v>6156.0259999999998</v>
      </c>
      <c r="K189" s="262">
        <f t="shared" si="25"/>
        <v>200.31409707563026</v>
      </c>
      <c r="L189" s="567"/>
      <c r="M189" s="567"/>
      <c r="N189" s="11"/>
    </row>
    <row r="190" spans="2:14" ht="15" customHeight="1">
      <c r="B190" s="173">
        <f t="shared" si="30"/>
        <v>167</v>
      </c>
      <c r="C190" s="173"/>
      <c r="D190" s="174">
        <v>7</v>
      </c>
      <c r="E190" s="168">
        <f t="shared" si="28"/>
        <v>168</v>
      </c>
      <c r="F190" s="286">
        <f t="shared" si="29"/>
        <v>32.729999999999997</v>
      </c>
      <c r="G190" s="175">
        <f t="shared" si="27"/>
        <v>32.331999999999994</v>
      </c>
      <c r="H190" s="175" t="str">
        <f t="shared" si="31"/>
        <v>IN</v>
      </c>
      <c r="I190" s="177">
        <f t="shared" si="26"/>
        <v>5493.8760000000002</v>
      </c>
      <c r="J190" s="177">
        <f t="shared" si="24"/>
        <v>6123.6939999999995</v>
      </c>
      <c r="K190" s="235">
        <f t="shared" si="25"/>
        <v>200.99674934148206</v>
      </c>
      <c r="L190" s="566"/>
      <c r="M190" s="566"/>
      <c r="N190" s="11"/>
    </row>
    <row r="191" spans="2:14" ht="15" customHeight="1">
      <c r="B191" s="173">
        <f t="shared" si="30"/>
        <v>168</v>
      </c>
      <c r="C191" s="173"/>
      <c r="D191" s="174">
        <v>7</v>
      </c>
      <c r="E191" s="168">
        <f t="shared" si="28"/>
        <v>169</v>
      </c>
      <c r="F191" s="286">
        <f t="shared" si="29"/>
        <v>33.42</v>
      </c>
      <c r="G191" s="175">
        <f t="shared" si="27"/>
        <v>33.021999999999998</v>
      </c>
      <c r="H191" s="175" t="str">
        <f t="shared" si="31"/>
        <v>IN</v>
      </c>
      <c r="I191" s="177">
        <f t="shared" si="26"/>
        <v>5526.8980000000001</v>
      </c>
      <c r="J191" s="177">
        <f t="shared" si="24"/>
        <v>6090.6719999999996</v>
      </c>
      <c r="K191" s="235">
        <f t="shared" si="25"/>
        <v>201.69397014820476</v>
      </c>
      <c r="L191" s="566"/>
      <c r="M191" s="566"/>
      <c r="N191" s="11"/>
    </row>
    <row r="192" spans="2:14" ht="15" customHeight="1">
      <c r="B192" s="173">
        <f t="shared" si="30"/>
        <v>169</v>
      </c>
      <c r="C192" s="173"/>
      <c r="D192" s="174">
        <v>7</v>
      </c>
      <c r="E192" s="168">
        <f t="shared" si="28"/>
        <v>170</v>
      </c>
      <c r="F192" s="286">
        <f t="shared" si="29"/>
        <v>32.94</v>
      </c>
      <c r="G192" s="175">
        <f t="shared" si="27"/>
        <v>32.541999999999994</v>
      </c>
      <c r="H192" s="175" t="str">
        <f t="shared" si="31"/>
        <v>IN</v>
      </c>
      <c r="I192" s="177">
        <f t="shared" si="26"/>
        <v>5559.4400000000005</v>
      </c>
      <c r="J192" s="177">
        <f t="shared" si="24"/>
        <v>6058.1299999999992</v>
      </c>
      <c r="K192" s="235">
        <f t="shared" si="25"/>
        <v>202.38105631779985</v>
      </c>
      <c r="L192" s="566"/>
      <c r="M192" s="566"/>
      <c r="N192" s="11"/>
    </row>
    <row r="193" spans="2:14" ht="15" customHeight="1">
      <c r="B193" s="173">
        <f t="shared" si="30"/>
        <v>170</v>
      </c>
      <c r="C193" s="173"/>
      <c r="D193" s="174">
        <v>7</v>
      </c>
      <c r="E193" s="168">
        <f t="shared" si="28"/>
        <v>171</v>
      </c>
      <c r="F193" s="286">
        <f t="shared" si="29"/>
        <v>32.81</v>
      </c>
      <c r="G193" s="175">
        <f t="shared" si="27"/>
        <v>32.411999999999999</v>
      </c>
      <c r="H193" s="175" t="str">
        <f t="shared" si="31"/>
        <v>IN</v>
      </c>
      <c r="I193" s="177">
        <f t="shared" si="26"/>
        <v>5591.8520000000008</v>
      </c>
      <c r="J193" s="177">
        <f t="shared" si="24"/>
        <v>6025.7179999999989</v>
      </c>
      <c r="K193" s="235">
        <f t="shared" si="25"/>
        <v>203.06539768983961</v>
      </c>
      <c r="L193" s="566"/>
      <c r="M193" s="566"/>
      <c r="N193" s="11"/>
    </row>
    <row r="194" spans="2:14" ht="15" customHeight="1">
      <c r="B194" s="173">
        <f t="shared" si="30"/>
        <v>171</v>
      </c>
      <c r="C194" s="173"/>
      <c r="D194" s="174">
        <v>7</v>
      </c>
      <c r="E194" s="168">
        <f t="shared" si="28"/>
        <v>172</v>
      </c>
      <c r="F194" s="286">
        <f t="shared" si="29"/>
        <v>31.28</v>
      </c>
      <c r="G194" s="175">
        <f t="shared" si="27"/>
        <v>30.882000000000001</v>
      </c>
      <c r="H194" s="175" t="str">
        <f t="shared" si="31"/>
        <v>IN</v>
      </c>
      <c r="I194" s="177">
        <f t="shared" si="26"/>
        <v>5622.7340000000004</v>
      </c>
      <c r="J194" s="177">
        <f t="shared" si="24"/>
        <v>5994.8359999999993</v>
      </c>
      <c r="K194" s="235">
        <f t="shared" si="25"/>
        <v>203.71743490603515</v>
      </c>
      <c r="L194" s="566"/>
      <c r="M194" s="566"/>
      <c r="N194" s="11"/>
    </row>
    <row r="195" spans="2:14" ht="15" customHeight="1">
      <c r="B195" s="173">
        <f t="shared" si="30"/>
        <v>172</v>
      </c>
      <c r="C195" s="173"/>
      <c r="D195" s="174">
        <v>7</v>
      </c>
      <c r="E195" s="168">
        <f t="shared" si="28"/>
        <v>173</v>
      </c>
      <c r="F195" s="286">
        <f t="shared" si="29"/>
        <v>33.659999999999997</v>
      </c>
      <c r="G195" s="175">
        <f t="shared" si="27"/>
        <v>33.261999999999993</v>
      </c>
      <c r="H195" s="175" t="str">
        <f t="shared" si="31"/>
        <v>IN</v>
      </c>
      <c r="I195" s="177">
        <f t="shared" si="26"/>
        <v>5655.9960000000001</v>
      </c>
      <c r="J195" s="177">
        <f t="shared" si="24"/>
        <v>5961.5739999999996</v>
      </c>
      <c r="K195" s="235">
        <f t="shared" si="25"/>
        <v>204.41972303132161</v>
      </c>
      <c r="L195" s="566"/>
      <c r="M195" s="566"/>
      <c r="N195" s="11"/>
    </row>
    <row r="196" spans="2:14" ht="15" customHeight="1">
      <c r="B196" s="173">
        <f t="shared" si="30"/>
        <v>173</v>
      </c>
      <c r="C196" s="173"/>
      <c r="D196" s="174">
        <v>7</v>
      </c>
      <c r="E196" s="168">
        <f t="shared" si="28"/>
        <v>174</v>
      </c>
      <c r="F196" s="286">
        <f t="shared" si="29"/>
        <v>33.21</v>
      </c>
      <c r="G196" s="175">
        <f t="shared" si="27"/>
        <v>32.811999999999998</v>
      </c>
      <c r="H196" s="175" t="str">
        <f t="shared" si="31"/>
        <v>IN</v>
      </c>
      <c r="I196" s="177">
        <f t="shared" si="26"/>
        <v>5688.808</v>
      </c>
      <c r="J196" s="177">
        <f t="shared" si="24"/>
        <v>5928.7619999999997</v>
      </c>
      <c r="K196" s="235">
        <f t="shared" si="25"/>
        <v>205.11250993430099</v>
      </c>
      <c r="L196" s="566"/>
      <c r="M196" s="566"/>
      <c r="N196" s="11"/>
    </row>
    <row r="197" spans="2:14" ht="15" customHeight="1">
      <c r="B197" s="173">
        <f t="shared" si="30"/>
        <v>174</v>
      </c>
      <c r="C197" s="173"/>
      <c r="D197" s="174">
        <v>7</v>
      </c>
      <c r="E197" s="168">
        <f t="shared" si="28"/>
        <v>175</v>
      </c>
      <c r="F197" s="286">
        <f t="shared" si="29"/>
        <v>33.33</v>
      </c>
      <c r="G197" s="175">
        <f t="shared" si="27"/>
        <v>32.931999999999995</v>
      </c>
      <c r="H197" s="175" t="str">
        <f t="shared" si="31"/>
        <v>IN</v>
      </c>
      <c r="I197" s="177">
        <f t="shared" si="26"/>
        <v>5721.74</v>
      </c>
      <c r="J197" s="177">
        <f t="shared" si="24"/>
        <v>5895.83</v>
      </c>
      <c r="K197" s="235">
        <f t="shared" si="25"/>
        <v>205.80783049656225</v>
      </c>
      <c r="L197" s="566"/>
      <c r="M197" s="566"/>
      <c r="N197" s="11"/>
    </row>
    <row r="198" spans="2:14" ht="15" customHeight="1">
      <c r="B198" s="173">
        <f t="shared" si="30"/>
        <v>175</v>
      </c>
      <c r="C198" s="173"/>
      <c r="D198" s="174">
        <v>7</v>
      </c>
      <c r="E198" s="168">
        <f t="shared" si="28"/>
        <v>176</v>
      </c>
      <c r="F198" s="286">
        <f t="shared" si="29"/>
        <v>32.950000000000003</v>
      </c>
      <c r="G198" s="175">
        <f t="shared" si="27"/>
        <v>32.552</v>
      </c>
      <c r="H198" s="175" t="str">
        <f t="shared" si="31"/>
        <v>IN</v>
      </c>
      <c r="I198" s="177">
        <f t="shared" si="26"/>
        <v>5754.2919999999995</v>
      </c>
      <c r="J198" s="177">
        <f t="shared" si="24"/>
        <v>5863.2780000000002</v>
      </c>
      <c r="K198" s="235">
        <f t="shared" si="25"/>
        <v>206.49512780443087</v>
      </c>
      <c r="L198" s="566"/>
      <c r="M198" s="566"/>
      <c r="N198" s="11"/>
    </row>
    <row r="199" spans="2:14" ht="15" customHeight="1">
      <c r="B199" s="173">
        <f t="shared" ref="B199:B230" si="32">B198+1</f>
        <v>176</v>
      </c>
      <c r="C199" s="173"/>
      <c r="D199" s="174">
        <v>7</v>
      </c>
      <c r="E199" s="168">
        <f t="shared" si="28"/>
        <v>177</v>
      </c>
      <c r="F199" s="286">
        <f t="shared" si="29"/>
        <v>33.29</v>
      </c>
      <c r="G199" s="175">
        <f t="shared" si="27"/>
        <v>32.891999999999996</v>
      </c>
      <c r="H199" s="175" t="str">
        <f t="shared" si="31"/>
        <v>IN</v>
      </c>
      <c r="I199" s="177">
        <f t="shared" si="26"/>
        <v>5787.1839999999993</v>
      </c>
      <c r="J199" s="177">
        <f t="shared" si="24"/>
        <v>5830.3860000000004</v>
      </c>
      <c r="K199" s="235">
        <f t="shared" si="25"/>
        <v>207.18960381359818</v>
      </c>
      <c r="L199" s="566"/>
      <c r="M199" s="566"/>
      <c r="N199" s="11"/>
    </row>
    <row r="200" spans="2:14" ht="15" customHeight="1">
      <c r="B200" s="173">
        <f t="shared" si="32"/>
        <v>177</v>
      </c>
      <c r="C200" s="173"/>
      <c r="D200" s="174">
        <v>7</v>
      </c>
      <c r="E200" s="168">
        <f t="shared" si="28"/>
        <v>178</v>
      </c>
      <c r="F200" s="286">
        <f t="shared" si="29"/>
        <v>32.92</v>
      </c>
      <c r="G200" s="175">
        <f t="shared" si="27"/>
        <v>32.521999999999998</v>
      </c>
      <c r="H200" s="175" t="str">
        <f t="shared" si="31"/>
        <v>IN</v>
      </c>
      <c r="I200" s="177">
        <f t="shared" si="26"/>
        <v>5819.7059999999992</v>
      </c>
      <c r="J200" s="177">
        <f t="shared" si="24"/>
        <v>5797.8640000000005</v>
      </c>
      <c r="K200" s="235">
        <f t="shared" si="25"/>
        <v>207.87626770664627</v>
      </c>
      <c r="L200" s="566"/>
      <c r="M200" s="566"/>
      <c r="N200" s="11"/>
    </row>
    <row r="201" spans="2:14" ht="15" customHeight="1">
      <c r="B201" s="173">
        <f t="shared" si="32"/>
        <v>178</v>
      </c>
      <c r="C201" s="173"/>
      <c r="D201" s="174">
        <v>7</v>
      </c>
      <c r="E201" s="168">
        <f t="shared" si="28"/>
        <v>179</v>
      </c>
      <c r="F201" s="286">
        <f t="shared" si="29"/>
        <v>32.75</v>
      </c>
      <c r="G201" s="175">
        <f t="shared" si="27"/>
        <v>32.351999999999997</v>
      </c>
      <c r="H201" s="175" t="str">
        <f t="shared" si="31"/>
        <v>IN</v>
      </c>
      <c r="I201" s="177">
        <f t="shared" si="26"/>
        <v>5852.0579999999991</v>
      </c>
      <c r="J201" s="177">
        <f t="shared" si="24"/>
        <v>5765.5120000000006</v>
      </c>
      <c r="K201" s="235">
        <f t="shared" si="25"/>
        <v>208.55934224904507</v>
      </c>
      <c r="L201" s="566"/>
      <c r="M201" s="566"/>
      <c r="N201" s="11"/>
    </row>
    <row r="202" spans="2:14" ht="15" customHeight="1">
      <c r="B202" s="173">
        <f t="shared" si="32"/>
        <v>179</v>
      </c>
      <c r="C202" s="173"/>
      <c r="D202" s="174">
        <v>7</v>
      </c>
      <c r="E202" s="168">
        <f t="shared" si="28"/>
        <v>180</v>
      </c>
      <c r="F202" s="286">
        <f t="shared" si="29"/>
        <v>33.229999999999997</v>
      </c>
      <c r="G202" s="175">
        <f t="shared" si="27"/>
        <v>32.831999999999994</v>
      </c>
      <c r="H202" s="175" t="str">
        <f t="shared" si="31"/>
        <v>IN</v>
      </c>
      <c r="I202" s="177">
        <f t="shared" si="26"/>
        <v>5884.8899999999994</v>
      </c>
      <c r="J202" s="177">
        <f t="shared" si="24"/>
        <v>5732.68</v>
      </c>
      <c r="K202" s="235">
        <f t="shared" si="25"/>
        <v>209.25255142857142</v>
      </c>
      <c r="L202" s="566"/>
      <c r="M202" s="566"/>
      <c r="N202" s="11"/>
    </row>
    <row r="203" spans="2:14" ht="15" customHeight="1">
      <c r="B203" s="173">
        <f t="shared" si="32"/>
        <v>180</v>
      </c>
      <c r="C203" s="173"/>
      <c r="D203" s="174">
        <v>7</v>
      </c>
      <c r="E203" s="168">
        <f t="shared" si="28"/>
        <v>181</v>
      </c>
      <c r="F203" s="286">
        <f t="shared" si="29"/>
        <v>32.69</v>
      </c>
      <c r="G203" s="175">
        <f t="shared" si="27"/>
        <v>32.291999999999994</v>
      </c>
      <c r="H203" s="175" t="str">
        <f t="shared" si="31"/>
        <v>IN</v>
      </c>
      <c r="I203" s="177">
        <f t="shared" si="26"/>
        <v>5917.1819999999998</v>
      </c>
      <c r="J203" s="177">
        <f t="shared" si="24"/>
        <v>5700.3879999999999</v>
      </c>
      <c r="K203" s="235">
        <f t="shared" si="25"/>
        <v>209.93435914132925</v>
      </c>
      <c r="L203" s="566"/>
      <c r="M203" s="566"/>
      <c r="N203" s="11"/>
    </row>
    <row r="204" spans="2:14" ht="15" customHeight="1">
      <c r="B204" s="173">
        <f t="shared" si="32"/>
        <v>181</v>
      </c>
      <c r="C204" s="173"/>
      <c r="D204" s="174">
        <v>7</v>
      </c>
      <c r="E204" s="168">
        <f t="shared" si="28"/>
        <v>182</v>
      </c>
      <c r="F204" s="286">
        <f t="shared" si="29"/>
        <v>33.130000000000003</v>
      </c>
      <c r="G204" s="175">
        <f t="shared" si="27"/>
        <v>32.731999999999999</v>
      </c>
      <c r="H204" s="175" t="str">
        <f t="shared" si="31"/>
        <v>IN</v>
      </c>
      <c r="I204" s="177">
        <f t="shared" si="26"/>
        <v>5949.9139999999998</v>
      </c>
      <c r="J204" s="177">
        <f t="shared" si="24"/>
        <v>5667.6559999999999</v>
      </c>
      <c r="K204" s="235">
        <f t="shared" si="25"/>
        <v>210.62545693812069</v>
      </c>
      <c r="L204" s="566"/>
      <c r="M204" s="566"/>
      <c r="N204" s="11"/>
    </row>
    <row r="205" spans="2:14" ht="15" customHeight="1">
      <c r="B205" s="173">
        <f t="shared" si="32"/>
        <v>182</v>
      </c>
      <c r="C205" s="173"/>
      <c r="D205" s="174">
        <v>7</v>
      </c>
      <c r="E205" s="168">
        <f t="shared" si="28"/>
        <v>183</v>
      </c>
      <c r="F205" s="286">
        <f t="shared" si="29"/>
        <v>32.68</v>
      </c>
      <c r="G205" s="175">
        <f t="shared" si="27"/>
        <v>32.281999999999996</v>
      </c>
      <c r="H205" s="175" t="str">
        <f t="shared" ref="H205:H240" si="33">IF(F205="","OUT","IN")</f>
        <v>IN</v>
      </c>
      <c r="I205" s="177">
        <f t="shared" si="26"/>
        <v>5982.1959999999999</v>
      </c>
      <c r="J205" s="177">
        <f t="shared" si="24"/>
        <v>5635.3739999999998</v>
      </c>
      <c r="K205" s="235">
        <f t="shared" si="25"/>
        <v>211.30705351260502</v>
      </c>
      <c r="L205" s="566"/>
      <c r="M205" s="566"/>
      <c r="N205" s="11"/>
    </row>
    <row r="206" spans="2:14" ht="15" customHeight="1">
      <c r="B206" s="173">
        <f t="shared" si="32"/>
        <v>183</v>
      </c>
      <c r="C206" s="176"/>
      <c r="D206" s="174">
        <v>7</v>
      </c>
      <c r="E206" s="168">
        <f t="shared" si="28"/>
        <v>184</v>
      </c>
      <c r="F206" s="286">
        <f t="shared" si="29"/>
        <v>32.86</v>
      </c>
      <c r="G206" s="175">
        <f t="shared" si="27"/>
        <v>32.461999999999996</v>
      </c>
      <c r="H206" s="175" t="str">
        <f t="shared" si="33"/>
        <v>IN</v>
      </c>
      <c r="I206" s="177">
        <f t="shared" si="26"/>
        <v>6014.6580000000004</v>
      </c>
      <c r="J206" s="177">
        <f t="shared" si="24"/>
        <v>5602.9119999999994</v>
      </c>
      <c r="K206" s="235">
        <f t="shared" si="25"/>
        <v>211.99245057601223</v>
      </c>
      <c r="L206" s="566"/>
      <c r="M206" s="566"/>
      <c r="N206" s="11"/>
    </row>
    <row r="207" spans="2:14" ht="15" customHeight="1">
      <c r="B207" s="173">
        <f t="shared" si="32"/>
        <v>184</v>
      </c>
      <c r="C207" s="176"/>
      <c r="D207" s="174">
        <v>7</v>
      </c>
      <c r="E207" s="168">
        <f t="shared" si="28"/>
        <v>185</v>
      </c>
      <c r="F207" s="286">
        <f t="shared" si="29"/>
        <v>32.57</v>
      </c>
      <c r="G207" s="175">
        <f t="shared" si="27"/>
        <v>32.171999999999997</v>
      </c>
      <c r="H207" s="175" t="str">
        <f t="shared" si="33"/>
        <v>IN</v>
      </c>
      <c r="I207" s="177">
        <f t="shared" si="26"/>
        <v>6046.83</v>
      </c>
      <c r="J207" s="177">
        <f t="shared" ref="J207:J270" si="34">IF(I207="","",$L$9-I207)</f>
        <v>5570.74</v>
      </c>
      <c r="K207" s="235">
        <f t="shared" ref="K207:K270" si="35">$H$9+(I207*$E$10*$H$11/1000)</f>
        <v>212.67172462948815</v>
      </c>
      <c r="L207" s="566"/>
      <c r="M207" s="566"/>
      <c r="N207" s="11"/>
    </row>
    <row r="208" spans="2:14" ht="15" customHeight="1">
      <c r="B208" s="173">
        <f t="shared" si="32"/>
        <v>185</v>
      </c>
      <c r="C208" s="176"/>
      <c r="D208" s="174">
        <v>7</v>
      </c>
      <c r="E208" s="168">
        <f t="shared" si="28"/>
        <v>186</v>
      </c>
      <c r="F208" s="286">
        <f t="shared" si="29"/>
        <v>33.409999999999997</v>
      </c>
      <c r="G208" s="175">
        <f t="shared" si="27"/>
        <v>33.011999999999993</v>
      </c>
      <c r="H208" s="175" t="str">
        <f t="shared" si="33"/>
        <v>IN</v>
      </c>
      <c r="I208" s="177">
        <f t="shared" ref="I208:I271" si="36">IF(H208="IN",I207+G208,I207)</f>
        <v>6079.8419999999996</v>
      </c>
      <c r="J208" s="177">
        <f t="shared" si="34"/>
        <v>5537.7280000000001</v>
      </c>
      <c r="K208" s="235">
        <f t="shared" si="35"/>
        <v>213.36873429793735</v>
      </c>
      <c r="L208" s="566"/>
      <c r="M208" s="566"/>
      <c r="N208" s="11"/>
    </row>
    <row r="209" spans="2:14" ht="15" customHeight="1">
      <c r="B209" s="173">
        <f t="shared" si="32"/>
        <v>186</v>
      </c>
      <c r="C209" s="176"/>
      <c r="D209" s="174">
        <v>7</v>
      </c>
      <c r="E209" s="168">
        <f t="shared" si="28"/>
        <v>187</v>
      </c>
      <c r="F209" s="286">
        <f t="shared" si="29"/>
        <v>33.25</v>
      </c>
      <c r="G209" s="175">
        <f t="shared" si="27"/>
        <v>32.851999999999997</v>
      </c>
      <c r="H209" s="175" t="str">
        <f t="shared" si="33"/>
        <v>IN</v>
      </c>
      <c r="I209" s="177">
        <f t="shared" si="36"/>
        <v>6112.6939999999995</v>
      </c>
      <c r="J209" s="177">
        <f t="shared" si="34"/>
        <v>5504.8760000000002</v>
      </c>
      <c r="K209" s="235">
        <f t="shared" si="35"/>
        <v>214.0623657540107</v>
      </c>
      <c r="L209" s="566"/>
      <c r="M209" s="566"/>
      <c r="N209" s="11"/>
    </row>
    <row r="210" spans="2:14" ht="15" customHeight="1">
      <c r="B210" s="173">
        <f t="shared" si="32"/>
        <v>187</v>
      </c>
      <c r="C210" s="176"/>
      <c r="D210" s="174">
        <v>7</v>
      </c>
      <c r="E210" s="168">
        <f t="shared" si="28"/>
        <v>188</v>
      </c>
      <c r="F210" s="286">
        <f t="shared" si="29"/>
        <v>32.9</v>
      </c>
      <c r="G210" s="175">
        <f t="shared" si="27"/>
        <v>32.501999999999995</v>
      </c>
      <c r="H210" s="175" t="str">
        <f t="shared" si="33"/>
        <v>IN</v>
      </c>
      <c r="I210" s="177">
        <f t="shared" si="36"/>
        <v>6145.1959999999999</v>
      </c>
      <c r="J210" s="177">
        <f t="shared" si="34"/>
        <v>5472.3739999999998</v>
      </c>
      <c r="K210" s="235">
        <f t="shared" si="35"/>
        <v>214.74860737051185</v>
      </c>
      <c r="L210" s="566"/>
      <c r="M210" s="566"/>
      <c r="N210" s="11"/>
    </row>
    <row r="211" spans="2:14" ht="15" customHeight="1">
      <c r="B211" s="173">
        <f t="shared" si="32"/>
        <v>188</v>
      </c>
      <c r="C211" s="176"/>
      <c r="D211" s="174">
        <v>7</v>
      </c>
      <c r="E211" s="168">
        <f t="shared" si="28"/>
        <v>189</v>
      </c>
      <c r="F211" s="286">
        <f t="shared" si="29"/>
        <v>33.270000000000003</v>
      </c>
      <c r="G211" s="175">
        <f t="shared" si="27"/>
        <v>32.872</v>
      </c>
      <c r="H211" s="175" t="str">
        <f t="shared" si="33"/>
        <v>IN</v>
      </c>
      <c r="I211" s="177">
        <f t="shared" si="36"/>
        <v>6178.0680000000002</v>
      </c>
      <c r="J211" s="177">
        <f t="shared" si="34"/>
        <v>5439.5019999999995</v>
      </c>
      <c r="K211" s="235">
        <f t="shared" si="35"/>
        <v>215.44266110313217</v>
      </c>
      <c r="L211" s="566"/>
      <c r="M211" s="566"/>
      <c r="N211" s="11"/>
    </row>
    <row r="212" spans="2:14" ht="15" customHeight="1">
      <c r="B212" s="173">
        <f t="shared" si="32"/>
        <v>189</v>
      </c>
      <c r="C212" s="176"/>
      <c r="D212" s="232">
        <v>7</v>
      </c>
      <c r="E212" s="168">
        <f t="shared" si="28"/>
        <v>190</v>
      </c>
      <c r="F212" s="286">
        <f t="shared" si="29"/>
        <v>33.58</v>
      </c>
      <c r="G212" s="175">
        <f t="shared" si="27"/>
        <v>33.181999999999995</v>
      </c>
      <c r="H212" s="175" t="str">
        <f t="shared" si="33"/>
        <v>IN</v>
      </c>
      <c r="I212" s="177">
        <f t="shared" si="36"/>
        <v>6211.25</v>
      </c>
      <c r="J212" s="177">
        <f t="shared" si="34"/>
        <v>5406.32</v>
      </c>
      <c r="K212" s="235">
        <f t="shared" si="35"/>
        <v>216.14326012223071</v>
      </c>
      <c r="L212" s="566"/>
      <c r="M212" s="566"/>
      <c r="N212" s="11"/>
    </row>
    <row r="213" spans="2:14" ht="15" customHeight="1">
      <c r="B213" s="173">
        <f t="shared" si="32"/>
        <v>190</v>
      </c>
      <c r="C213" s="173"/>
      <c r="D213" s="174">
        <v>7</v>
      </c>
      <c r="E213" s="168">
        <f t="shared" si="28"/>
        <v>191</v>
      </c>
      <c r="F213" s="286">
        <f t="shared" si="29"/>
        <v>33.03</v>
      </c>
      <c r="G213" s="175">
        <f t="shared" si="27"/>
        <v>32.631999999999998</v>
      </c>
      <c r="H213" s="175" t="str">
        <f t="shared" si="33"/>
        <v>IN</v>
      </c>
      <c r="I213" s="177">
        <f t="shared" si="36"/>
        <v>6243.8819999999996</v>
      </c>
      <c r="J213" s="177">
        <f t="shared" si="34"/>
        <v>5373.6880000000001</v>
      </c>
      <c r="K213" s="235">
        <f t="shared" si="35"/>
        <v>216.83224653628724</v>
      </c>
      <c r="L213" s="566"/>
      <c r="M213" s="566"/>
      <c r="N213" s="11"/>
    </row>
    <row r="214" spans="2:14" ht="15" customHeight="1">
      <c r="B214" s="173">
        <f t="shared" si="32"/>
        <v>191</v>
      </c>
      <c r="C214" s="173"/>
      <c r="D214" s="174">
        <v>7</v>
      </c>
      <c r="E214" s="168">
        <f t="shared" si="28"/>
        <v>192</v>
      </c>
      <c r="F214" s="286">
        <f t="shared" si="29"/>
        <v>33.21</v>
      </c>
      <c r="G214" s="175">
        <f t="shared" si="27"/>
        <v>32.811999999999998</v>
      </c>
      <c r="H214" s="175" t="str">
        <f t="shared" si="33"/>
        <v>IN</v>
      </c>
      <c r="I214" s="177">
        <f t="shared" si="36"/>
        <v>6276.6939999999995</v>
      </c>
      <c r="J214" s="177">
        <f t="shared" si="34"/>
        <v>5340.8760000000002</v>
      </c>
      <c r="K214" s="235">
        <f t="shared" si="35"/>
        <v>217.52503343926662</v>
      </c>
      <c r="L214" s="566"/>
      <c r="M214" s="566"/>
      <c r="N214" s="11"/>
    </row>
    <row r="215" spans="2:14" ht="15" customHeight="1">
      <c r="B215" s="173">
        <f t="shared" si="32"/>
        <v>192</v>
      </c>
      <c r="C215" s="173"/>
      <c r="D215" s="174">
        <v>7</v>
      </c>
      <c r="E215" s="168">
        <f t="shared" si="28"/>
        <v>193</v>
      </c>
      <c r="F215" s="286">
        <f t="shared" si="29"/>
        <v>33.479999999999997</v>
      </c>
      <c r="G215" s="175">
        <f t="shared" si="27"/>
        <v>33.081999999999994</v>
      </c>
      <c r="H215" s="175" t="str">
        <f t="shared" si="33"/>
        <v>IN</v>
      </c>
      <c r="I215" s="177">
        <f t="shared" si="36"/>
        <v>6309.7759999999998</v>
      </c>
      <c r="J215" s="177">
        <f t="shared" si="34"/>
        <v>5307.7939999999999</v>
      </c>
      <c r="K215" s="235">
        <f t="shared" si="35"/>
        <v>218.22352107563026</v>
      </c>
      <c r="L215" s="566"/>
      <c r="M215" s="566"/>
      <c r="N215" s="11"/>
    </row>
    <row r="216" spans="2:14" ht="15" customHeight="1">
      <c r="B216" s="173">
        <f t="shared" si="32"/>
        <v>193</v>
      </c>
      <c r="C216" s="173"/>
      <c r="D216" s="174">
        <v>7</v>
      </c>
      <c r="E216" s="168">
        <f t="shared" si="28"/>
        <v>194</v>
      </c>
      <c r="F216" s="286">
        <f t="shared" si="29"/>
        <v>31.49</v>
      </c>
      <c r="G216" s="175">
        <f t="shared" ref="G216:G279" si="37">F216-($E$12)</f>
        <v>31.091999999999999</v>
      </c>
      <c r="H216" s="175" t="str">
        <f t="shared" si="33"/>
        <v>IN</v>
      </c>
      <c r="I216" s="177">
        <f t="shared" si="36"/>
        <v>6340.8679999999995</v>
      </c>
      <c r="J216" s="177">
        <f t="shared" si="34"/>
        <v>5276.7020000000002</v>
      </c>
      <c r="K216" s="235">
        <f t="shared" si="35"/>
        <v>218.87999219556914</v>
      </c>
      <c r="L216" s="566"/>
      <c r="M216" s="566"/>
      <c r="N216" s="11"/>
    </row>
    <row r="217" spans="2:14" ht="15" customHeight="1">
      <c r="B217" s="173">
        <f t="shared" si="32"/>
        <v>194</v>
      </c>
      <c r="C217" s="173"/>
      <c r="D217" s="174">
        <v>7</v>
      </c>
      <c r="E217" s="168">
        <f t="shared" ref="E217:E280" si="38">E216+1</f>
        <v>195</v>
      </c>
      <c r="F217" s="286">
        <f t="shared" si="29"/>
        <v>33.409999999999997</v>
      </c>
      <c r="G217" s="175">
        <f t="shared" si="37"/>
        <v>33.011999999999993</v>
      </c>
      <c r="H217" s="175" t="str">
        <f t="shared" si="33"/>
        <v>IN</v>
      </c>
      <c r="I217" s="177">
        <f t="shared" si="36"/>
        <v>6373.8799999999992</v>
      </c>
      <c r="J217" s="177">
        <f t="shared" si="34"/>
        <v>5243.6900000000005</v>
      </c>
      <c r="K217" s="235">
        <f t="shared" si="35"/>
        <v>219.57700186401831</v>
      </c>
      <c r="L217" s="566"/>
      <c r="M217" s="566"/>
      <c r="N217" s="11"/>
    </row>
    <row r="218" spans="2:14" ht="15" customHeight="1">
      <c r="B218" s="173">
        <f t="shared" si="32"/>
        <v>195</v>
      </c>
      <c r="C218" s="173"/>
      <c r="D218" s="174">
        <v>7</v>
      </c>
      <c r="E218" s="168">
        <f t="shared" si="38"/>
        <v>196</v>
      </c>
      <c r="F218" s="286">
        <f t="shared" si="29"/>
        <v>33.54</v>
      </c>
      <c r="G218" s="175">
        <f t="shared" si="37"/>
        <v>33.141999999999996</v>
      </c>
      <c r="H218" s="175" t="str">
        <f t="shared" si="33"/>
        <v>IN</v>
      </c>
      <c r="I218" s="177">
        <f t="shared" si="36"/>
        <v>6407.021999999999</v>
      </c>
      <c r="J218" s="177">
        <f t="shared" si="34"/>
        <v>5210.5480000000007</v>
      </c>
      <c r="K218" s="235">
        <f t="shared" si="35"/>
        <v>220.27675633002292</v>
      </c>
      <c r="L218" s="566"/>
      <c r="M218" s="566"/>
      <c r="N218" s="11"/>
    </row>
    <row r="219" spans="2:14" ht="15" customHeight="1">
      <c r="B219" s="173">
        <f t="shared" si="32"/>
        <v>196</v>
      </c>
      <c r="C219" s="173"/>
      <c r="D219" s="174">
        <v>7</v>
      </c>
      <c r="E219" s="168">
        <f t="shared" si="38"/>
        <v>197</v>
      </c>
      <c r="F219" s="286">
        <f t="shared" si="29"/>
        <v>33.33</v>
      </c>
      <c r="G219" s="175">
        <f t="shared" si="37"/>
        <v>32.931999999999995</v>
      </c>
      <c r="H219" s="175" t="str">
        <f t="shared" si="33"/>
        <v>IN</v>
      </c>
      <c r="I219" s="177">
        <f t="shared" si="36"/>
        <v>6439.9539999999988</v>
      </c>
      <c r="J219" s="177">
        <f t="shared" si="34"/>
        <v>5177.6160000000009</v>
      </c>
      <c r="K219" s="235">
        <f t="shared" si="35"/>
        <v>220.97207689228418</v>
      </c>
      <c r="L219" s="566"/>
      <c r="M219" s="566"/>
      <c r="N219" s="11"/>
    </row>
    <row r="220" spans="2:14" ht="15" customHeight="1">
      <c r="B220" s="173">
        <f t="shared" si="32"/>
        <v>197</v>
      </c>
      <c r="C220" s="176"/>
      <c r="D220" s="174">
        <v>7</v>
      </c>
      <c r="E220" s="168">
        <f t="shared" si="38"/>
        <v>198</v>
      </c>
      <c r="F220" s="286">
        <f t="shared" si="29"/>
        <v>33.369999999999997</v>
      </c>
      <c r="G220" s="175">
        <f t="shared" si="37"/>
        <v>32.971999999999994</v>
      </c>
      <c r="H220" s="175" t="str">
        <f t="shared" si="33"/>
        <v>IN</v>
      </c>
      <c r="I220" s="177">
        <f t="shared" si="36"/>
        <v>6472.9259999999986</v>
      </c>
      <c r="J220" s="177">
        <f t="shared" si="34"/>
        <v>5144.6440000000011</v>
      </c>
      <c r="K220" s="235">
        <f t="shared" si="35"/>
        <v>221.66824200763941</v>
      </c>
      <c r="L220" s="566"/>
      <c r="M220" s="566"/>
      <c r="N220" s="11"/>
    </row>
    <row r="221" spans="2:14" ht="15" customHeight="1">
      <c r="B221" s="173">
        <f t="shared" si="32"/>
        <v>198</v>
      </c>
      <c r="C221" s="173"/>
      <c r="D221" s="174">
        <v>7</v>
      </c>
      <c r="E221" s="168">
        <f t="shared" si="38"/>
        <v>199</v>
      </c>
      <c r="F221" s="286">
        <f t="shared" si="29"/>
        <v>33.479999999999997</v>
      </c>
      <c r="G221" s="175">
        <f t="shared" si="37"/>
        <v>33.081999999999994</v>
      </c>
      <c r="H221" s="175" t="str">
        <f t="shared" si="33"/>
        <v>IN</v>
      </c>
      <c r="I221" s="177">
        <f t="shared" si="36"/>
        <v>6506.0079999999989</v>
      </c>
      <c r="J221" s="177">
        <f t="shared" si="34"/>
        <v>5111.5620000000008</v>
      </c>
      <c r="K221" s="235">
        <f t="shared" si="35"/>
        <v>222.36672964400307</v>
      </c>
      <c r="L221" s="566"/>
      <c r="M221" s="566"/>
      <c r="N221" s="11"/>
    </row>
    <row r="222" spans="2:14" ht="15" customHeight="1">
      <c r="B222" s="173">
        <f t="shared" si="32"/>
        <v>199</v>
      </c>
      <c r="C222" s="173"/>
      <c r="D222" s="174">
        <v>7</v>
      </c>
      <c r="E222" s="168">
        <f t="shared" si="38"/>
        <v>200</v>
      </c>
      <c r="F222" s="286">
        <f t="shared" si="29"/>
        <v>33.32</v>
      </c>
      <c r="G222" s="175">
        <f t="shared" si="37"/>
        <v>32.921999999999997</v>
      </c>
      <c r="H222" s="175" t="str">
        <f t="shared" si="33"/>
        <v>IN</v>
      </c>
      <c r="I222" s="177">
        <f t="shared" si="36"/>
        <v>6538.9299999999985</v>
      </c>
      <c r="J222" s="177">
        <f t="shared" si="34"/>
        <v>5078.6400000000012</v>
      </c>
      <c r="K222" s="235">
        <f t="shared" si="35"/>
        <v>223.0618390679908</v>
      </c>
      <c r="L222" s="566"/>
      <c r="M222" s="566"/>
      <c r="N222" s="11"/>
    </row>
    <row r="223" spans="2:14" ht="15" customHeight="1">
      <c r="B223" s="173">
        <f t="shared" si="32"/>
        <v>200</v>
      </c>
      <c r="C223" s="173"/>
      <c r="D223" s="174">
        <v>7</v>
      </c>
      <c r="E223" s="168">
        <f t="shared" si="38"/>
        <v>201</v>
      </c>
      <c r="F223" s="286">
        <f t="shared" si="29"/>
        <v>33.020000000000003</v>
      </c>
      <c r="G223" s="175">
        <f t="shared" si="37"/>
        <v>32.622</v>
      </c>
      <c r="H223" s="175" t="str">
        <f t="shared" si="33"/>
        <v>IN</v>
      </c>
      <c r="I223" s="177">
        <f t="shared" si="36"/>
        <v>6571.5519999999988</v>
      </c>
      <c r="J223" s="177">
        <f t="shared" si="34"/>
        <v>5046.0180000000009</v>
      </c>
      <c r="K223" s="235">
        <f t="shared" si="35"/>
        <v>223.75061434377383</v>
      </c>
      <c r="L223" s="566"/>
      <c r="M223" s="566"/>
      <c r="N223" s="11"/>
    </row>
    <row r="224" spans="2:14" ht="15" customHeight="1">
      <c r="B224" s="173">
        <f t="shared" si="32"/>
        <v>201</v>
      </c>
      <c r="C224" s="173"/>
      <c r="D224" s="174">
        <v>7</v>
      </c>
      <c r="E224" s="168">
        <f t="shared" si="38"/>
        <v>202</v>
      </c>
      <c r="F224" s="286">
        <f t="shared" si="29"/>
        <v>33.43</v>
      </c>
      <c r="G224" s="175">
        <f t="shared" si="37"/>
        <v>33.031999999999996</v>
      </c>
      <c r="H224" s="175" t="str">
        <f t="shared" si="33"/>
        <v>IN</v>
      </c>
      <c r="I224" s="177">
        <f t="shared" si="36"/>
        <v>6604.5839999999989</v>
      </c>
      <c r="J224" s="177">
        <f t="shared" si="34"/>
        <v>5012.9860000000008</v>
      </c>
      <c r="K224" s="235">
        <f t="shared" si="35"/>
        <v>224.44804628877003</v>
      </c>
      <c r="L224" s="566"/>
      <c r="M224" s="566"/>
      <c r="N224" s="11"/>
    </row>
    <row r="225" spans="2:14" ht="15" customHeight="1">
      <c r="B225" s="173">
        <f t="shared" si="32"/>
        <v>202</v>
      </c>
      <c r="C225" s="173"/>
      <c r="D225" s="174">
        <v>7</v>
      </c>
      <c r="E225" s="168">
        <f t="shared" si="38"/>
        <v>203</v>
      </c>
      <c r="F225" s="286">
        <f t="shared" si="29"/>
        <v>31.93</v>
      </c>
      <c r="G225" s="175">
        <f t="shared" si="37"/>
        <v>31.532</v>
      </c>
      <c r="H225" s="175" t="str">
        <f t="shared" si="33"/>
        <v>IN</v>
      </c>
      <c r="I225" s="177">
        <f t="shared" si="36"/>
        <v>6636.1159999999991</v>
      </c>
      <c r="J225" s="177">
        <f t="shared" si="34"/>
        <v>4981.4540000000006</v>
      </c>
      <c r="K225" s="235">
        <f t="shared" si="35"/>
        <v>225.11380749274255</v>
      </c>
      <c r="L225" s="566"/>
      <c r="M225" s="566"/>
      <c r="N225" s="11"/>
    </row>
    <row r="226" spans="2:14" ht="15" customHeight="1">
      <c r="B226" s="173">
        <f t="shared" si="32"/>
        <v>203</v>
      </c>
      <c r="C226" s="173"/>
      <c r="D226" s="174">
        <v>7</v>
      </c>
      <c r="E226" s="168">
        <f t="shared" si="38"/>
        <v>204</v>
      </c>
      <c r="F226" s="286">
        <f t="shared" si="29"/>
        <v>33.36</v>
      </c>
      <c r="G226" s="175">
        <f t="shared" si="37"/>
        <v>32.961999999999996</v>
      </c>
      <c r="H226" s="175" t="str">
        <f t="shared" si="33"/>
        <v>IN</v>
      </c>
      <c r="I226" s="177">
        <f t="shared" si="36"/>
        <v>6669.0779999999995</v>
      </c>
      <c r="J226" s="177">
        <f t="shared" si="34"/>
        <v>4948.4920000000002</v>
      </c>
      <c r="K226" s="235">
        <f t="shared" si="35"/>
        <v>225.80976146982431</v>
      </c>
      <c r="L226" s="566"/>
      <c r="M226" s="566"/>
      <c r="N226" s="11"/>
    </row>
    <row r="227" spans="2:14" ht="15" customHeight="1">
      <c r="B227" s="173">
        <f t="shared" si="32"/>
        <v>204</v>
      </c>
      <c r="C227" s="173"/>
      <c r="D227" s="174">
        <v>7</v>
      </c>
      <c r="E227" s="168">
        <f t="shared" si="38"/>
        <v>205</v>
      </c>
      <c r="F227" s="286">
        <f t="shared" si="29"/>
        <v>33.409999999999997</v>
      </c>
      <c r="G227" s="175">
        <f t="shared" si="37"/>
        <v>33.011999999999993</v>
      </c>
      <c r="H227" s="175" t="str">
        <f t="shared" si="33"/>
        <v>IN</v>
      </c>
      <c r="I227" s="177">
        <f t="shared" si="36"/>
        <v>6702.0899999999992</v>
      </c>
      <c r="J227" s="177">
        <f t="shared" si="34"/>
        <v>4915.4800000000005</v>
      </c>
      <c r="K227" s="235">
        <f t="shared" si="35"/>
        <v>226.50677113827348</v>
      </c>
      <c r="L227" s="566"/>
      <c r="M227" s="566"/>
      <c r="N227" s="11"/>
    </row>
    <row r="228" spans="2:14" ht="15" customHeight="1">
      <c r="B228" s="173">
        <f t="shared" si="32"/>
        <v>205</v>
      </c>
      <c r="C228" s="173"/>
      <c r="D228" s="174">
        <v>7</v>
      </c>
      <c r="E228" s="168">
        <f t="shared" si="38"/>
        <v>206</v>
      </c>
      <c r="F228" s="286">
        <f t="shared" si="29"/>
        <v>32.65</v>
      </c>
      <c r="G228" s="175">
        <f t="shared" si="37"/>
        <v>32.251999999999995</v>
      </c>
      <c r="H228" s="175" t="str">
        <f t="shared" si="33"/>
        <v>IN</v>
      </c>
      <c r="I228" s="177">
        <f t="shared" si="36"/>
        <v>6734.3419999999996</v>
      </c>
      <c r="J228" s="177">
        <f t="shared" si="34"/>
        <v>4883.2280000000001</v>
      </c>
      <c r="K228" s="235">
        <f t="shared" si="35"/>
        <v>227.18773429793737</v>
      </c>
      <c r="L228" s="566"/>
      <c r="M228" s="566"/>
      <c r="N228" s="11"/>
    </row>
    <row r="229" spans="2:14" ht="15" customHeight="1">
      <c r="B229" s="173">
        <f t="shared" si="32"/>
        <v>206</v>
      </c>
      <c r="C229" s="173"/>
      <c r="D229" s="174">
        <v>7</v>
      </c>
      <c r="E229" s="168">
        <f t="shared" si="38"/>
        <v>207</v>
      </c>
      <c r="F229" s="286">
        <f t="shared" si="29"/>
        <v>33.159999999999997</v>
      </c>
      <c r="G229" s="175">
        <f t="shared" si="37"/>
        <v>32.761999999999993</v>
      </c>
      <c r="H229" s="175" t="str">
        <f t="shared" si="33"/>
        <v>IN</v>
      </c>
      <c r="I229" s="177">
        <f t="shared" si="36"/>
        <v>6767.1039999999994</v>
      </c>
      <c r="J229" s="177">
        <f t="shared" si="34"/>
        <v>4850.4660000000003</v>
      </c>
      <c r="K229" s="235">
        <f t="shared" si="35"/>
        <v>227.87946550954925</v>
      </c>
      <c r="L229" s="566"/>
      <c r="M229" s="566"/>
      <c r="N229" s="11"/>
    </row>
    <row r="230" spans="2:14" ht="15" customHeight="1">
      <c r="B230" s="173">
        <f t="shared" si="32"/>
        <v>207</v>
      </c>
      <c r="C230" s="173"/>
      <c r="D230" s="174">
        <v>7</v>
      </c>
      <c r="E230" s="168">
        <f t="shared" si="38"/>
        <v>208</v>
      </c>
      <c r="F230" s="286">
        <f t="shared" ref="F230:F293" si="39">VLOOKUP(E230,tubing1,2,FALSE)</f>
        <v>33.19</v>
      </c>
      <c r="G230" s="175">
        <f t="shared" si="37"/>
        <v>32.791999999999994</v>
      </c>
      <c r="H230" s="175" t="str">
        <f t="shared" si="33"/>
        <v>IN</v>
      </c>
      <c r="I230" s="177">
        <f t="shared" si="36"/>
        <v>6799.8959999999997</v>
      </c>
      <c r="J230" s="177">
        <f t="shared" si="34"/>
        <v>4817.674</v>
      </c>
      <c r="K230" s="235">
        <f t="shared" si="35"/>
        <v>228.57183013598166</v>
      </c>
      <c r="L230" s="566"/>
      <c r="M230" s="566"/>
      <c r="N230" s="11"/>
    </row>
    <row r="231" spans="2:14" ht="15" customHeight="1">
      <c r="B231" s="173">
        <f t="shared" ref="B231:B240" si="40">B230+1</f>
        <v>208</v>
      </c>
      <c r="C231" s="173"/>
      <c r="D231" s="174">
        <v>7</v>
      </c>
      <c r="E231" s="168">
        <f t="shared" si="38"/>
        <v>209</v>
      </c>
      <c r="F231" s="286">
        <f t="shared" si="39"/>
        <v>32.58</v>
      </c>
      <c r="G231" s="175">
        <f t="shared" si="37"/>
        <v>32.181999999999995</v>
      </c>
      <c r="H231" s="175" t="str">
        <f t="shared" si="33"/>
        <v>IN</v>
      </c>
      <c r="I231" s="177">
        <f t="shared" si="36"/>
        <v>6832.0779999999995</v>
      </c>
      <c r="J231" s="177">
        <f t="shared" si="34"/>
        <v>4785.4920000000002</v>
      </c>
      <c r="K231" s="235">
        <f t="shared" si="35"/>
        <v>229.25131532773111</v>
      </c>
      <c r="L231" s="566"/>
      <c r="M231" s="566"/>
      <c r="N231" s="11"/>
    </row>
    <row r="232" spans="2:14" ht="15" customHeight="1">
      <c r="B232" s="173">
        <f t="shared" si="40"/>
        <v>209</v>
      </c>
      <c r="C232" s="173"/>
      <c r="D232" s="174">
        <v>7</v>
      </c>
      <c r="E232" s="168">
        <f t="shared" si="38"/>
        <v>210</v>
      </c>
      <c r="F232" s="286">
        <f t="shared" si="39"/>
        <v>33.4</v>
      </c>
      <c r="G232" s="175">
        <f t="shared" si="37"/>
        <v>33.001999999999995</v>
      </c>
      <c r="H232" s="175" t="str">
        <f t="shared" si="33"/>
        <v>IN</v>
      </c>
      <c r="I232" s="177">
        <f t="shared" si="36"/>
        <v>6865.08</v>
      </c>
      <c r="J232" s="177">
        <f t="shared" si="34"/>
        <v>4752.49</v>
      </c>
      <c r="K232" s="235">
        <f t="shared" si="35"/>
        <v>229.9481138579068</v>
      </c>
      <c r="L232" s="566"/>
      <c r="M232" s="566"/>
      <c r="N232" s="11"/>
    </row>
    <row r="233" spans="2:14" ht="15" customHeight="1">
      <c r="B233" s="173">
        <f t="shared" si="40"/>
        <v>210</v>
      </c>
      <c r="C233" s="173"/>
      <c r="D233" s="174">
        <v>7</v>
      </c>
      <c r="E233" s="168">
        <f t="shared" si="38"/>
        <v>211</v>
      </c>
      <c r="F233" s="286">
        <f t="shared" si="39"/>
        <v>33.270000000000003</v>
      </c>
      <c r="G233" s="175">
        <f t="shared" si="37"/>
        <v>32.872</v>
      </c>
      <c r="H233" s="175" t="str">
        <f t="shared" si="33"/>
        <v>IN</v>
      </c>
      <c r="I233" s="177">
        <f t="shared" si="36"/>
        <v>6897.9520000000002</v>
      </c>
      <c r="J233" s="177">
        <f t="shared" si="34"/>
        <v>4719.6179999999995</v>
      </c>
      <c r="K233" s="235">
        <f t="shared" si="35"/>
        <v>230.64216759052712</v>
      </c>
      <c r="L233" s="566"/>
      <c r="M233" s="566"/>
      <c r="N233" s="11"/>
    </row>
    <row r="234" spans="2:14" ht="15" customHeight="1">
      <c r="B234" s="173">
        <f t="shared" si="40"/>
        <v>211</v>
      </c>
      <c r="C234" s="173"/>
      <c r="D234" s="174">
        <v>7</v>
      </c>
      <c r="E234" s="168">
        <f t="shared" si="38"/>
        <v>212</v>
      </c>
      <c r="F234" s="286">
        <f t="shared" si="39"/>
        <v>32.69</v>
      </c>
      <c r="G234" s="175">
        <f t="shared" si="37"/>
        <v>32.291999999999994</v>
      </c>
      <c r="H234" s="175" t="str">
        <f t="shared" si="33"/>
        <v>IN</v>
      </c>
      <c r="I234" s="177">
        <f t="shared" si="36"/>
        <v>6930.2440000000006</v>
      </c>
      <c r="J234" s="177">
        <f t="shared" si="34"/>
        <v>4687.3259999999991</v>
      </c>
      <c r="K234" s="235">
        <f t="shared" si="35"/>
        <v>231.32397530328498</v>
      </c>
      <c r="L234" s="566"/>
      <c r="M234" s="566"/>
      <c r="N234" s="11"/>
    </row>
    <row r="235" spans="2:14" ht="15" customHeight="1">
      <c r="B235" s="173">
        <f t="shared" si="40"/>
        <v>212</v>
      </c>
      <c r="C235" s="173"/>
      <c r="D235" s="174">
        <v>7</v>
      </c>
      <c r="E235" s="168">
        <f t="shared" si="38"/>
        <v>213</v>
      </c>
      <c r="F235" s="286">
        <f t="shared" si="39"/>
        <v>33.479999999999997</v>
      </c>
      <c r="G235" s="175">
        <f t="shared" si="37"/>
        <v>33.081999999999994</v>
      </c>
      <c r="H235" s="175" t="str">
        <f t="shared" si="33"/>
        <v>IN</v>
      </c>
      <c r="I235" s="177">
        <f t="shared" si="36"/>
        <v>6963.3260000000009</v>
      </c>
      <c r="J235" s="177">
        <f t="shared" si="34"/>
        <v>4654.2439999999988</v>
      </c>
      <c r="K235" s="235">
        <f t="shared" si="35"/>
        <v>232.02246293964862</v>
      </c>
      <c r="L235" s="566"/>
      <c r="M235" s="566"/>
      <c r="N235" s="11"/>
    </row>
    <row r="236" spans="2:14" ht="15" customHeight="1">
      <c r="B236" s="173">
        <f t="shared" si="40"/>
        <v>213</v>
      </c>
      <c r="C236" s="173"/>
      <c r="D236" s="174">
        <v>7</v>
      </c>
      <c r="E236" s="168">
        <f t="shared" si="38"/>
        <v>214</v>
      </c>
      <c r="F236" s="286">
        <f t="shared" si="39"/>
        <v>33.33</v>
      </c>
      <c r="G236" s="175">
        <f t="shared" si="37"/>
        <v>32.931999999999995</v>
      </c>
      <c r="H236" s="175" t="str">
        <f t="shared" si="33"/>
        <v>IN</v>
      </c>
      <c r="I236" s="177">
        <f t="shared" si="36"/>
        <v>6996.2580000000007</v>
      </c>
      <c r="J236" s="177">
        <f t="shared" si="34"/>
        <v>4621.311999999999</v>
      </c>
      <c r="K236" s="235">
        <f t="shared" si="35"/>
        <v>232.71778350190988</v>
      </c>
      <c r="L236" s="566"/>
      <c r="M236" s="566"/>
      <c r="N236" s="11"/>
    </row>
    <row r="237" spans="2:14" ht="15" customHeight="1">
      <c r="B237" s="173">
        <f t="shared" si="40"/>
        <v>214</v>
      </c>
      <c r="C237" s="173"/>
      <c r="D237" s="174">
        <v>7</v>
      </c>
      <c r="E237" s="168">
        <f t="shared" si="38"/>
        <v>215</v>
      </c>
      <c r="F237" s="286">
        <f t="shared" si="39"/>
        <v>32.68</v>
      </c>
      <c r="G237" s="175">
        <f t="shared" si="37"/>
        <v>32.281999999999996</v>
      </c>
      <c r="H237" s="175" t="str">
        <f t="shared" si="33"/>
        <v>IN</v>
      </c>
      <c r="I237" s="177">
        <f t="shared" si="36"/>
        <v>7028.5400000000009</v>
      </c>
      <c r="J237" s="177">
        <f t="shared" si="34"/>
        <v>4589.0299999999988</v>
      </c>
      <c r="K237" s="235">
        <f t="shared" si="35"/>
        <v>233.39938007639424</v>
      </c>
      <c r="L237" s="566"/>
      <c r="M237" s="566"/>
      <c r="N237" s="11"/>
    </row>
    <row r="238" spans="2:14" ht="15" customHeight="1">
      <c r="B238" s="173">
        <f t="shared" si="40"/>
        <v>215</v>
      </c>
      <c r="C238" s="173"/>
      <c r="D238" s="174">
        <v>7</v>
      </c>
      <c r="E238" s="168">
        <f t="shared" si="38"/>
        <v>216</v>
      </c>
      <c r="F238" s="286">
        <f t="shared" si="39"/>
        <v>33</v>
      </c>
      <c r="G238" s="175">
        <f t="shared" si="37"/>
        <v>32.601999999999997</v>
      </c>
      <c r="H238" s="175" t="str">
        <f t="shared" si="33"/>
        <v>IN</v>
      </c>
      <c r="I238" s="175">
        <f t="shared" si="36"/>
        <v>7061.1420000000007</v>
      </c>
      <c r="J238" s="175">
        <f t="shared" si="34"/>
        <v>4556.427999999999</v>
      </c>
      <c r="K238" s="262">
        <f t="shared" si="35"/>
        <v>234.08773307563027</v>
      </c>
      <c r="L238" s="573"/>
      <c r="M238" s="573"/>
      <c r="N238" s="11"/>
    </row>
    <row r="239" spans="2:14" ht="15" customHeight="1">
      <c r="B239" s="173">
        <f t="shared" si="40"/>
        <v>216</v>
      </c>
      <c r="C239" s="173"/>
      <c r="D239" s="174">
        <v>7</v>
      </c>
      <c r="E239" s="168">
        <f t="shared" si="38"/>
        <v>217</v>
      </c>
      <c r="F239" s="286">
        <f t="shared" si="39"/>
        <v>32.44</v>
      </c>
      <c r="G239" s="175">
        <f t="shared" si="37"/>
        <v>32.041999999999994</v>
      </c>
      <c r="H239" s="175" t="str">
        <f t="shared" si="33"/>
        <v>IN</v>
      </c>
      <c r="I239" s="177">
        <f t="shared" si="36"/>
        <v>7093.1840000000011</v>
      </c>
      <c r="J239" s="177">
        <f t="shared" si="34"/>
        <v>4524.3859999999986</v>
      </c>
      <c r="K239" s="235">
        <f t="shared" si="35"/>
        <v>234.76426233155087</v>
      </c>
      <c r="L239" s="566"/>
      <c r="M239" s="566"/>
      <c r="N239" s="11"/>
    </row>
    <row r="240" spans="2:14" ht="15" customHeight="1">
      <c r="B240" s="173">
        <f t="shared" si="40"/>
        <v>217</v>
      </c>
      <c r="C240" s="173"/>
      <c r="D240" s="174">
        <v>7</v>
      </c>
      <c r="E240" s="168">
        <f t="shared" si="38"/>
        <v>218</v>
      </c>
      <c r="F240" s="286">
        <f t="shared" si="39"/>
        <v>33.11</v>
      </c>
      <c r="G240" s="175">
        <f t="shared" si="37"/>
        <v>32.711999999999996</v>
      </c>
      <c r="H240" s="175" t="str">
        <f t="shared" si="33"/>
        <v>IN</v>
      </c>
      <c r="I240" s="177">
        <f t="shared" si="36"/>
        <v>7125.8960000000015</v>
      </c>
      <c r="J240" s="177">
        <f t="shared" si="34"/>
        <v>4491.6739999999982</v>
      </c>
      <c r="K240" s="235">
        <f t="shared" si="35"/>
        <v>235.45493785179528</v>
      </c>
      <c r="L240" s="566"/>
      <c r="M240" s="566"/>
      <c r="N240" s="11"/>
    </row>
    <row r="241" spans="2:14" ht="15" customHeight="1">
      <c r="B241" s="460"/>
      <c r="C241" s="460"/>
      <c r="D241" s="461">
        <v>7</v>
      </c>
      <c r="E241" s="462">
        <f t="shared" si="38"/>
        <v>219</v>
      </c>
      <c r="F241" s="463">
        <f t="shared" si="39"/>
        <v>32.590000000000003</v>
      </c>
      <c r="G241" s="464">
        <f t="shared" si="37"/>
        <v>32.192</v>
      </c>
      <c r="H241" s="464" t="s">
        <v>97</v>
      </c>
      <c r="I241" s="464">
        <f t="shared" si="36"/>
        <v>7125.8960000000015</v>
      </c>
      <c r="J241" s="464">
        <f t="shared" si="34"/>
        <v>4491.6739999999982</v>
      </c>
      <c r="K241" s="465">
        <f t="shared" si="35"/>
        <v>235.45493785179528</v>
      </c>
      <c r="L241" s="643" t="s">
        <v>163</v>
      </c>
      <c r="M241" s="643"/>
      <c r="N241" s="11"/>
    </row>
    <row r="242" spans="2:14" ht="15" customHeight="1">
      <c r="B242" s="176">
        <f>B240+1</f>
        <v>218</v>
      </c>
      <c r="C242" s="176"/>
      <c r="D242" s="232">
        <v>7</v>
      </c>
      <c r="E242" s="242">
        <f t="shared" si="38"/>
        <v>220</v>
      </c>
      <c r="F242" s="467">
        <f t="shared" si="39"/>
        <v>32.72</v>
      </c>
      <c r="G242" s="177">
        <f t="shared" si="37"/>
        <v>32.321999999999996</v>
      </c>
      <c r="H242" s="177" t="s">
        <v>131</v>
      </c>
      <c r="I242" s="177">
        <f t="shared" si="36"/>
        <v>7158.2180000000017</v>
      </c>
      <c r="J242" s="177">
        <f t="shared" si="34"/>
        <v>4459.351999999998</v>
      </c>
      <c r="K242" s="235">
        <f t="shared" si="35"/>
        <v>236.13737897937361</v>
      </c>
      <c r="L242" s="642"/>
      <c r="M242" s="642"/>
      <c r="N242" s="11"/>
    </row>
    <row r="243" spans="2:14" ht="15" customHeight="1">
      <c r="B243" s="176">
        <f t="shared" ref="B243:B274" si="41">B242+1</f>
        <v>219</v>
      </c>
      <c r="C243" s="173"/>
      <c r="D243" s="174">
        <v>7</v>
      </c>
      <c r="E243" s="168">
        <f t="shared" si="38"/>
        <v>221</v>
      </c>
      <c r="F243" s="286">
        <f t="shared" si="39"/>
        <v>32.25</v>
      </c>
      <c r="G243" s="175">
        <f t="shared" si="37"/>
        <v>31.852</v>
      </c>
      <c r="H243" s="175" t="str">
        <f t="shared" ref="H243:H274" si="42">IF(F243="","OUT","IN")</f>
        <v>IN</v>
      </c>
      <c r="I243" s="177">
        <f t="shared" si="36"/>
        <v>7190.0700000000015</v>
      </c>
      <c r="J243" s="177">
        <f t="shared" si="34"/>
        <v>4427.4999999999982</v>
      </c>
      <c r="K243" s="235">
        <f t="shared" si="35"/>
        <v>236.80989660809783</v>
      </c>
      <c r="L243" s="566"/>
      <c r="M243" s="566"/>
      <c r="N243" s="11"/>
    </row>
    <row r="244" spans="2:14" ht="15" customHeight="1">
      <c r="B244" s="176">
        <f t="shared" si="41"/>
        <v>220</v>
      </c>
      <c r="C244" s="173"/>
      <c r="D244" s="174">
        <v>7</v>
      </c>
      <c r="E244" s="168">
        <f t="shared" si="38"/>
        <v>222</v>
      </c>
      <c r="F244" s="286">
        <f t="shared" si="39"/>
        <v>32.68</v>
      </c>
      <c r="G244" s="175">
        <f t="shared" si="37"/>
        <v>32.281999999999996</v>
      </c>
      <c r="H244" s="175" t="str">
        <f t="shared" si="42"/>
        <v>IN</v>
      </c>
      <c r="I244" s="177">
        <f t="shared" si="36"/>
        <v>7222.3520000000017</v>
      </c>
      <c r="J244" s="177">
        <f t="shared" si="34"/>
        <v>4395.217999999998</v>
      </c>
      <c r="K244" s="235">
        <f t="shared" si="35"/>
        <v>237.49149318258216</v>
      </c>
      <c r="L244" s="566"/>
      <c r="M244" s="566"/>
      <c r="N244" s="11"/>
    </row>
    <row r="245" spans="2:14" ht="15" customHeight="1">
      <c r="B245" s="176">
        <f t="shared" si="41"/>
        <v>221</v>
      </c>
      <c r="C245" s="173"/>
      <c r="D245" s="174">
        <v>7</v>
      </c>
      <c r="E245" s="168">
        <f t="shared" si="38"/>
        <v>223</v>
      </c>
      <c r="F245" s="286">
        <f t="shared" si="39"/>
        <v>32.86</v>
      </c>
      <c r="G245" s="175">
        <f t="shared" si="37"/>
        <v>32.461999999999996</v>
      </c>
      <c r="H245" s="175" t="str">
        <f t="shared" si="42"/>
        <v>IN</v>
      </c>
      <c r="I245" s="177">
        <f t="shared" si="36"/>
        <v>7254.8140000000021</v>
      </c>
      <c r="J245" s="177">
        <f t="shared" si="34"/>
        <v>4362.7559999999976</v>
      </c>
      <c r="K245" s="235">
        <f t="shared" si="35"/>
        <v>238.17689024598934</v>
      </c>
      <c r="L245" s="566"/>
      <c r="M245" s="566"/>
      <c r="N245" s="11"/>
    </row>
    <row r="246" spans="2:14" ht="15" customHeight="1">
      <c r="B246" s="176">
        <f t="shared" si="41"/>
        <v>222</v>
      </c>
      <c r="C246" s="173"/>
      <c r="D246" s="174">
        <v>7</v>
      </c>
      <c r="E246" s="168">
        <f t="shared" si="38"/>
        <v>224</v>
      </c>
      <c r="F246" s="286">
        <f t="shared" si="39"/>
        <v>32.58</v>
      </c>
      <c r="G246" s="175">
        <f t="shared" si="37"/>
        <v>32.181999999999995</v>
      </c>
      <c r="H246" s="175" t="str">
        <f t="shared" si="42"/>
        <v>IN</v>
      </c>
      <c r="I246" s="177">
        <f t="shared" si="36"/>
        <v>7286.9960000000019</v>
      </c>
      <c r="J246" s="177">
        <f t="shared" si="34"/>
        <v>4330.5739999999978</v>
      </c>
      <c r="K246" s="235">
        <f t="shared" si="35"/>
        <v>238.85637543773879</v>
      </c>
      <c r="L246" s="566"/>
      <c r="M246" s="566"/>
      <c r="N246" s="11"/>
    </row>
    <row r="247" spans="2:14" ht="15" customHeight="1">
      <c r="B247" s="176">
        <f t="shared" si="41"/>
        <v>223</v>
      </c>
      <c r="C247" s="173"/>
      <c r="D247" s="174">
        <v>7</v>
      </c>
      <c r="E247" s="168">
        <f t="shared" si="38"/>
        <v>225</v>
      </c>
      <c r="F247" s="286">
        <f t="shared" si="39"/>
        <v>33.29</v>
      </c>
      <c r="G247" s="175">
        <f t="shared" si="37"/>
        <v>32.891999999999996</v>
      </c>
      <c r="H247" s="175" t="str">
        <f t="shared" si="42"/>
        <v>IN</v>
      </c>
      <c r="I247" s="177">
        <f t="shared" si="36"/>
        <v>7319.8880000000017</v>
      </c>
      <c r="J247" s="177">
        <f t="shared" si="34"/>
        <v>4297.681999999998</v>
      </c>
      <c r="K247" s="235">
        <f t="shared" si="35"/>
        <v>239.55085144690608</v>
      </c>
      <c r="L247" s="566"/>
      <c r="M247" s="566"/>
      <c r="N247" s="11"/>
    </row>
    <row r="248" spans="2:14" ht="15" customHeight="1">
      <c r="B248" s="176">
        <f t="shared" si="41"/>
        <v>224</v>
      </c>
      <c r="C248" s="173"/>
      <c r="D248" s="174">
        <v>7</v>
      </c>
      <c r="E248" s="168">
        <f t="shared" si="38"/>
        <v>226</v>
      </c>
      <c r="F248" s="286">
        <f t="shared" si="39"/>
        <v>33.04</v>
      </c>
      <c r="G248" s="175">
        <f t="shared" si="37"/>
        <v>32.641999999999996</v>
      </c>
      <c r="H248" s="175" t="str">
        <f t="shared" si="42"/>
        <v>IN</v>
      </c>
      <c r="I248" s="177">
        <f t="shared" si="36"/>
        <v>7352.5300000000016</v>
      </c>
      <c r="J248" s="177">
        <f t="shared" si="34"/>
        <v>4265.0399999999981</v>
      </c>
      <c r="K248" s="235">
        <f t="shared" si="35"/>
        <v>240.24004899923608</v>
      </c>
      <c r="L248" s="566"/>
      <c r="M248" s="566"/>
      <c r="N248" s="11"/>
    </row>
    <row r="249" spans="2:14" ht="15" customHeight="1">
      <c r="B249" s="176">
        <f t="shared" si="41"/>
        <v>225</v>
      </c>
      <c r="C249" s="173"/>
      <c r="D249" s="174">
        <v>7</v>
      </c>
      <c r="E249" s="168">
        <f t="shared" si="38"/>
        <v>227</v>
      </c>
      <c r="F249" s="286">
        <f t="shared" si="39"/>
        <v>33.11</v>
      </c>
      <c r="G249" s="175">
        <f t="shared" si="37"/>
        <v>32.711999999999996</v>
      </c>
      <c r="H249" s="175" t="str">
        <f t="shared" si="42"/>
        <v>IN</v>
      </c>
      <c r="I249" s="177">
        <f t="shared" si="36"/>
        <v>7385.242000000002</v>
      </c>
      <c r="J249" s="177">
        <f t="shared" si="34"/>
        <v>4232.3279999999977</v>
      </c>
      <c r="K249" s="235">
        <f t="shared" si="35"/>
        <v>240.93072451948058</v>
      </c>
      <c r="L249" s="566"/>
      <c r="M249" s="566"/>
      <c r="N249" s="11"/>
    </row>
    <row r="250" spans="2:14" ht="15" customHeight="1">
      <c r="B250" s="176">
        <f t="shared" si="41"/>
        <v>226</v>
      </c>
      <c r="C250" s="173"/>
      <c r="D250" s="174">
        <v>7</v>
      </c>
      <c r="E250" s="168">
        <f t="shared" si="38"/>
        <v>228</v>
      </c>
      <c r="F250" s="286">
        <f t="shared" si="39"/>
        <v>32.76</v>
      </c>
      <c r="G250" s="175">
        <f t="shared" si="37"/>
        <v>32.361999999999995</v>
      </c>
      <c r="H250" s="175" t="str">
        <f t="shared" si="42"/>
        <v>IN</v>
      </c>
      <c r="I250" s="177">
        <f t="shared" si="36"/>
        <v>7417.6040000000021</v>
      </c>
      <c r="J250" s="177">
        <f t="shared" si="34"/>
        <v>4199.9659999999976</v>
      </c>
      <c r="K250" s="235">
        <f t="shared" si="35"/>
        <v>241.61401020015285</v>
      </c>
      <c r="L250" s="566"/>
      <c r="M250" s="566"/>
      <c r="N250" s="11"/>
    </row>
    <row r="251" spans="2:14" ht="15" customHeight="1">
      <c r="B251" s="176">
        <f t="shared" si="41"/>
        <v>227</v>
      </c>
      <c r="C251" s="173"/>
      <c r="D251" s="174">
        <v>7</v>
      </c>
      <c r="E251" s="168">
        <f t="shared" si="38"/>
        <v>229</v>
      </c>
      <c r="F251" s="286">
        <f t="shared" si="39"/>
        <v>33.32</v>
      </c>
      <c r="G251" s="175">
        <f t="shared" si="37"/>
        <v>32.921999999999997</v>
      </c>
      <c r="H251" s="175" t="str">
        <f t="shared" si="42"/>
        <v>IN</v>
      </c>
      <c r="I251" s="177">
        <f t="shared" si="36"/>
        <v>7450.5260000000017</v>
      </c>
      <c r="J251" s="177">
        <f t="shared" si="34"/>
        <v>4167.0439999999981</v>
      </c>
      <c r="K251" s="235">
        <f t="shared" si="35"/>
        <v>242.30911962414061</v>
      </c>
      <c r="L251" s="566"/>
      <c r="M251" s="566"/>
      <c r="N251" s="11"/>
    </row>
    <row r="252" spans="2:14" ht="15" customHeight="1">
      <c r="B252" s="176">
        <f t="shared" si="41"/>
        <v>228</v>
      </c>
      <c r="C252" s="173"/>
      <c r="D252" s="174">
        <v>7</v>
      </c>
      <c r="E252" s="168">
        <f t="shared" si="38"/>
        <v>230</v>
      </c>
      <c r="F252" s="286">
        <f t="shared" si="39"/>
        <v>33.090000000000003</v>
      </c>
      <c r="G252" s="175">
        <f t="shared" si="37"/>
        <v>32.692</v>
      </c>
      <c r="H252" s="175" t="str">
        <f t="shared" si="42"/>
        <v>IN</v>
      </c>
      <c r="I252" s="177">
        <f t="shared" si="36"/>
        <v>7483.2180000000017</v>
      </c>
      <c r="J252" s="177">
        <f t="shared" si="34"/>
        <v>4134.351999999998</v>
      </c>
      <c r="K252" s="235">
        <f t="shared" si="35"/>
        <v>242.99937286783808</v>
      </c>
      <c r="L252" s="566"/>
      <c r="M252" s="566"/>
      <c r="N252" s="11"/>
    </row>
    <row r="253" spans="2:14" ht="15" customHeight="1">
      <c r="B253" s="176">
        <f t="shared" si="41"/>
        <v>229</v>
      </c>
      <c r="C253" s="173"/>
      <c r="D253" s="174">
        <v>7</v>
      </c>
      <c r="E253" s="168">
        <f t="shared" si="38"/>
        <v>231</v>
      </c>
      <c r="F253" s="286">
        <f t="shared" si="39"/>
        <v>33.08</v>
      </c>
      <c r="G253" s="175">
        <f t="shared" si="37"/>
        <v>32.681999999999995</v>
      </c>
      <c r="H253" s="175" t="str">
        <f t="shared" si="42"/>
        <v>IN</v>
      </c>
      <c r="I253" s="177">
        <f t="shared" si="36"/>
        <v>7515.9000000000015</v>
      </c>
      <c r="J253" s="177">
        <f t="shared" si="34"/>
        <v>4101.6699999999983</v>
      </c>
      <c r="K253" s="235">
        <f t="shared" si="35"/>
        <v>243.68941497326205</v>
      </c>
      <c r="L253" s="566"/>
      <c r="M253" s="566"/>
      <c r="N253" s="11"/>
    </row>
    <row r="254" spans="2:14" ht="15" customHeight="1">
      <c r="B254" s="176">
        <f t="shared" si="41"/>
        <v>230</v>
      </c>
      <c r="C254" s="173"/>
      <c r="D254" s="174">
        <v>7</v>
      </c>
      <c r="E254" s="168">
        <f t="shared" si="38"/>
        <v>232</v>
      </c>
      <c r="F254" s="286">
        <f t="shared" si="39"/>
        <v>33.340000000000003</v>
      </c>
      <c r="G254" s="175">
        <f t="shared" si="37"/>
        <v>32.942</v>
      </c>
      <c r="H254" s="175" t="str">
        <f t="shared" si="42"/>
        <v>IN</v>
      </c>
      <c r="I254" s="177">
        <f t="shared" si="36"/>
        <v>7548.8420000000015</v>
      </c>
      <c r="J254" s="177">
        <f t="shared" si="34"/>
        <v>4068.7279999999982</v>
      </c>
      <c r="K254" s="235">
        <f t="shared" si="35"/>
        <v>244.38494667379683</v>
      </c>
      <c r="L254" s="566"/>
      <c r="M254" s="566"/>
      <c r="N254" s="11"/>
    </row>
    <row r="255" spans="2:14" ht="15" customHeight="1">
      <c r="B255" s="176">
        <f t="shared" si="41"/>
        <v>231</v>
      </c>
      <c r="C255" s="173"/>
      <c r="D255" s="174">
        <v>7</v>
      </c>
      <c r="E255" s="168">
        <f t="shared" si="38"/>
        <v>233</v>
      </c>
      <c r="F255" s="286">
        <f t="shared" si="39"/>
        <v>32.57</v>
      </c>
      <c r="G255" s="175">
        <f t="shared" si="37"/>
        <v>32.171999999999997</v>
      </c>
      <c r="H255" s="175" t="str">
        <f t="shared" si="42"/>
        <v>IN</v>
      </c>
      <c r="I255" s="177">
        <f t="shared" si="36"/>
        <v>7581.014000000001</v>
      </c>
      <c r="J255" s="177">
        <f t="shared" si="34"/>
        <v>4036.5559999999987</v>
      </c>
      <c r="K255" s="235">
        <f t="shared" si="35"/>
        <v>245.06422072727275</v>
      </c>
      <c r="L255" s="566"/>
      <c r="M255" s="566"/>
      <c r="N255" s="11"/>
    </row>
    <row r="256" spans="2:14" ht="15" customHeight="1">
      <c r="B256" s="176">
        <f t="shared" si="41"/>
        <v>232</v>
      </c>
      <c r="C256" s="173"/>
      <c r="D256" s="174">
        <v>7</v>
      </c>
      <c r="E256" s="168">
        <f t="shared" si="38"/>
        <v>234</v>
      </c>
      <c r="F256" s="286">
        <f t="shared" si="39"/>
        <v>33.24</v>
      </c>
      <c r="G256" s="175">
        <f t="shared" si="37"/>
        <v>32.841999999999999</v>
      </c>
      <c r="H256" s="175" t="str">
        <f t="shared" si="42"/>
        <v>IN</v>
      </c>
      <c r="I256" s="177">
        <f t="shared" si="36"/>
        <v>7613.8560000000007</v>
      </c>
      <c r="J256" s="177">
        <f t="shared" si="34"/>
        <v>4003.713999999999</v>
      </c>
      <c r="K256" s="235">
        <f t="shared" si="35"/>
        <v>245.7576410450726</v>
      </c>
      <c r="L256" s="566"/>
      <c r="M256" s="566"/>
      <c r="N256" s="11"/>
    </row>
    <row r="257" spans="2:14" ht="15" customHeight="1">
      <c r="B257" s="176">
        <f t="shared" si="41"/>
        <v>233</v>
      </c>
      <c r="C257" s="173"/>
      <c r="D257" s="174">
        <v>7</v>
      </c>
      <c r="E257" s="168">
        <f t="shared" si="38"/>
        <v>235</v>
      </c>
      <c r="F257" s="286">
        <f t="shared" si="39"/>
        <v>33.31</v>
      </c>
      <c r="G257" s="175">
        <f t="shared" si="37"/>
        <v>32.911999999999999</v>
      </c>
      <c r="H257" s="175" t="str">
        <f t="shared" si="42"/>
        <v>IN</v>
      </c>
      <c r="I257" s="177">
        <f t="shared" si="36"/>
        <v>7646.7680000000009</v>
      </c>
      <c r="J257" s="177">
        <f t="shared" si="34"/>
        <v>3970.8019999999988</v>
      </c>
      <c r="K257" s="235">
        <f t="shared" si="35"/>
        <v>246.45253933078689</v>
      </c>
      <c r="L257" s="566"/>
      <c r="M257" s="566"/>
      <c r="N257" s="11"/>
    </row>
    <row r="258" spans="2:14" ht="15" customHeight="1">
      <c r="B258" s="176">
        <f t="shared" si="41"/>
        <v>234</v>
      </c>
      <c r="C258" s="173"/>
      <c r="D258" s="174">
        <v>7</v>
      </c>
      <c r="E258" s="168">
        <f t="shared" si="38"/>
        <v>236</v>
      </c>
      <c r="F258" s="286">
        <f t="shared" si="39"/>
        <v>33.380000000000003</v>
      </c>
      <c r="G258" s="175">
        <f t="shared" si="37"/>
        <v>32.981999999999999</v>
      </c>
      <c r="H258" s="175" t="str">
        <f t="shared" si="42"/>
        <v>IN</v>
      </c>
      <c r="I258" s="177">
        <f t="shared" si="36"/>
        <v>7679.7500000000009</v>
      </c>
      <c r="J258" s="177">
        <f t="shared" si="34"/>
        <v>3937.8199999999988</v>
      </c>
      <c r="K258" s="235">
        <f t="shared" si="35"/>
        <v>247.14891558441562</v>
      </c>
      <c r="L258" s="566"/>
      <c r="M258" s="566"/>
      <c r="N258" s="11"/>
    </row>
    <row r="259" spans="2:14" ht="15" customHeight="1">
      <c r="B259" s="176">
        <f t="shared" si="41"/>
        <v>235</v>
      </c>
      <c r="C259" s="173"/>
      <c r="D259" s="174">
        <v>7</v>
      </c>
      <c r="E259" s="168">
        <f t="shared" si="38"/>
        <v>237</v>
      </c>
      <c r="F259" s="286">
        <f t="shared" si="39"/>
        <v>33.01</v>
      </c>
      <c r="G259" s="175">
        <f t="shared" si="37"/>
        <v>32.611999999999995</v>
      </c>
      <c r="H259" s="175" t="str">
        <f t="shared" si="42"/>
        <v>IN</v>
      </c>
      <c r="I259" s="175">
        <f t="shared" si="36"/>
        <v>7712.362000000001</v>
      </c>
      <c r="J259" s="175">
        <f t="shared" si="34"/>
        <v>3905.2079999999987</v>
      </c>
      <c r="K259" s="262">
        <f t="shared" si="35"/>
        <v>247.83747972192515</v>
      </c>
      <c r="L259" s="567"/>
      <c r="M259" s="567"/>
      <c r="N259" s="11"/>
    </row>
    <row r="260" spans="2:14" ht="15" customHeight="1">
      <c r="B260" s="176">
        <f t="shared" si="41"/>
        <v>236</v>
      </c>
      <c r="C260" s="173"/>
      <c r="D260" s="174">
        <v>7</v>
      </c>
      <c r="E260" s="168">
        <f t="shared" si="38"/>
        <v>238</v>
      </c>
      <c r="F260" s="286">
        <f t="shared" si="39"/>
        <v>33.17</v>
      </c>
      <c r="G260" s="175">
        <f t="shared" si="37"/>
        <v>32.771999999999998</v>
      </c>
      <c r="H260" s="175" t="str">
        <f t="shared" si="42"/>
        <v>IN</v>
      </c>
      <c r="I260" s="177">
        <f t="shared" si="36"/>
        <v>7745.1340000000009</v>
      </c>
      <c r="J260" s="177">
        <f t="shared" si="34"/>
        <v>3872.4359999999988</v>
      </c>
      <c r="K260" s="235">
        <f t="shared" si="35"/>
        <v>248.52942207181059</v>
      </c>
      <c r="L260" s="566"/>
      <c r="M260" s="566"/>
      <c r="N260" s="11"/>
    </row>
    <row r="261" spans="2:14" ht="15" customHeight="1">
      <c r="B261" s="176">
        <f t="shared" si="41"/>
        <v>237</v>
      </c>
      <c r="C261" s="173"/>
      <c r="D261" s="174">
        <v>7</v>
      </c>
      <c r="E261" s="168">
        <f t="shared" si="38"/>
        <v>239</v>
      </c>
      <c r="F261" s="286">
        <f t="shared" si="39"/>
        <v>33.18</v>
      </c>
      <c r="G261" s="175">
        <f t="shared" si="37"/>
        <v>32.781999999999996</v>
      </c>
      <c r="H261" s="175" t="str">
        <f t="shared" si="42"/>
        <v>IN</v>
      </c>
      <c r="I261" s="177">
        <f t="shared" si="36"/>
        <v>7777.9160000000011</v>
      </c>
      <c r="J261" s="177">
        <f t="shared" si="34"/>
        <v>3839.6539999999986</v>
      </c>
      <c r="K261" s="235">
        <f t="shared" si="35"/>
        <v>249.22157555996947</v>
      </c>
      <c r="L261" s="566"/>
      <c r="M261" s="566"/>
      <c r="N261" s="11"/>
    </row>
    <row r="262" spans="2:14" ht="15" customHeight="1">
      <c r="B262" s="176">
        <f t="shared" si="41"/>
        <v>238</v>
      </c>
      <c r="C262" s="173"/>
      <c r="D262" s="174">
        <v>7</v>
      </c>
      <c r="E262" s="168">
        <f t="shared" si="38"/>
        <v>240</v>
      </c>
      <c r="F262" s="286">
        <f t="shared" si="39"/>
        <v>33.380000000000003</v>
      </c>
      <c r="G262" s="175">
        <f t="shared" si="37"/>
        <v>32.981999999999999</v>
      </c>
      <c r="H262" s="175" t="str">
        <f t="shared" si="42"/>
        <v>IN</v>
      </c>
      <c r="I262" s="177">
        <f t="shared" si="36"/>
        <v>7810.898000000001</v>
      </c>
      <c r="J262" s="177">
        <f t="shared" si="34"/>
        <v>3806.6719999999987</v>
      </c>
      <c r="K262" s="235">
        <f t="shared" si="35"/>
        <v>249.91795181359819</v>
      </c>
      <c r="L262" s="566"/>
      <c r="M262" s="566"/>
      <c r="N262" s="11"/>
    </row>
    <row r="263" spans="2:14" ht="15" customHeight="1">
      <c r="B263" s="176">
        <f t="shared" si="41"/>
        <v>239</v>
      </c>
      <c r="C263" s="173"/>
      <c r="D263" s="174">
        <v>7</v>
      </c>
      <c r="E263" s="168">
        <f t="shared" si="38"/>
        <v>241</v>
      </c>
      <c r="F263" s="286">
        <f t="shared" si="39"/>
        <v>33.07</v>
      </c>
      <c r="G263" s="175">
        <f t="shared" si="37"/>
        <v>32.671999999999997</v>
      </c>
      <c r="H263" s="175" t="str">
        <f t="shared" si="42"/>
        <v>IN</v>
      </c>
      <c r="I263" s="177">
        <f t="shared" si="36"/>
        <v>7843.5700000000006</v>
      </c>
      <c r="J263" s="177">
        <f t="shared" si="34"/>
        <v>3773.9999999999991</v>
      </c>
      <c r="K263" s="235">
        <f t="shared" si="35"/>
        <v>250.60778278074866</v>
      </c>
      <c r="L263" s="566"/>
      <c r="M263" s="566"/>
      <c r="N263" s="11"/>
    </row>
    <row r="264" spans="2:14" ht="15" customHeight="1">
      <c r="B264" s="176">
        <f t="shared" si="41"/>
        <v>240</v>
      </c>
      <c r="C264" s="173"/>
      <c r="D264" s="174">
        <v>7</v>
      </c>
      <c r="E264" s="168">
        <f t="shared" si="38"/>
        <v>242</v>
      </c>
      <c r="F264" s="286">
        <f t="shared" si="39"/>
        <v>32.869999999999997</v>
      </c>
      <c r="G264" s="175">
        <f t="shared" si="37"/>
        <v>32.471999999999994</v>
      </c>
      <c r="H264" s="175" t="str">
        <f t="shared" si="42"/>
        <v>IN</v>
      </c>
      <c r="I264" s="177">
        <f t="shared" si="36"/>
        <v>7876.0420000000004</v>
      </c>
      <c r="J264" s="177">
        <f t="shared" si="34"/>
        <v>3741.5279999999993</v>
      </c>
      <c r="K264" s="235">
        <f t="shared" si="35"/>
        <v>251.29339098242934</v>
      </c>
      <c r="L264" s="569"/>
      <c r="M264" s="570"/>
      <c r="N264" s="11"/>
    </row>
    <row r="265" spans="2:14" ht="15" customHeight="1">
      <c r="B265" s="176">
        <f t="shared" si="41"/>
        <v>241</v>
      </c>
      <c r="C265" s="173"/>
      <c r="D265" s="174">
        <v>7</v>
      </c>
      <c r="E265" s="168">
        <f t="shared" si="38"/>
        <v>243</v>
      </c>
      <c r="F265" s="286">
        <f t="shared" si="39"/>
        <v>33.18</v>
      </c>
      <c r="G265" s="175">
        <f t="shared" si="37"/>
        <v>32.781999999999996</v>
      </c>
      <c r="H265" s="175" t="str">
        <f t="shared" si="42"/>
        <v>IN</v>
      </c>
      <c r="I265" s="177">
        <f t="shared" si="36"/>
        <v>7908.8240000000005</v>
      </c>
      <c r="J265" s="177">
        <f t="shared" si="34"/>
        <v>3708.7459999999992</v>
      </c>
      <c r="K265" s="235">
        <f t="shared" si="35"/>
        <v>251.98554447058825</v>
      </c>
      <c r="L265" s="569"/>
      <c r="M265" s="570"/>
      <c r="N265" s="11"/>
    </row>
    <row r="266" spans="2:14" ht="15" customHeight="1">
      <c r="B266" s="176">
        <f t="shared" si="41"/>
        <v>242</v>
      </c>
      <c r="C266" s="173"/>
      <c r="D266" s="174">
        <v>7</v>
      </c>
      <c r="E266" s="168">
        <f t="shared" si="38"/>
        <v>244</v>
      </c>
      <c r="F266" s="286">
        <f t="shared" si="39"/>
        <v>32.86</v>
      </c>
      <c r="G266" s="175">
        <f t="shared" si="37"/>
        <v>32.461999999999996</v>
      </c>
      <c r="H266" s="175" t="str">
        <f t="shared" si="42"/>
        <v>IN</v>
      </c>
      <c r="I266" s="177">
        <f t="shared" si="36"/>
        <v>7941.286000000001</v>
      </c>
      <c r="J266" s="177">
        <f t="shared" si="34"/>
        <v>3676.2839999999987</v>
      </c>
      <c r="K266" s="235">
        <f t="shared" si="35"/>
        <v>252.67094153399543</v>
      </c>
      <c r="L266" s="569"/>
      <c r="M266" s="570"/>
      <c r="N266" s="11"/>
    </row>
    <row r="267" spans="2:14" ht="15" customHeight="1">
      <c r="B267" s="176">
        <f t="shared" si="41"/>
        <v>243</v>
      </c>
      <c r="C267" s="173"/>
      <c r="D267" s="174">
        <v>7</v>
      </c>
      <c r="E267" s="168">
        <f t="shared" si="38"/>
        <v>245</v>
      </c>
      <c r="F267" s="286">
        <f t="shared" si="39"/>
        <v>32.9</v>
      </c>
      <c r="G267" s="175">
        <f t="shared" si="37"/>
        <v>32.501999999999995</v>
      </c>
      <c r="H267" s="175" t="str">
        <f t="shared" si="42"/>
        <v>IN</v>
      </c>
      <c r="I267" s="177">
        <f t="shared" si="36"/>
        <v>7973.7880000000014</v>
      </c>
      <c r="J267" s="177">
        <f t="shared" si="34"/>
        <v>3643.7819999999983</v>
      </c>
      <c r="K267" s="235">
        <f t="shared" si="35"/>
        <v>253.35718315049661</v>
      </c>
      <c r="L267" s="569"/>
      <c r="M267" s="570"/>
      <c r="N267" s="11"/>
    </row>
    <row r="268" spans="2:14" ht="15" customHeight="1">
      <c r="B268" s="176">
        <f t="shared" si="41"/>
        <v>244</v>
      </c>
      <c r="C268" s="173"/>
      <c r="D268" s="174">
        <v>7</v>
      </c>
      <c r="E268" s="168">
        <f t="shared" si="38"/>
        <v>246</v>
      </c>
      <c r="F268" s="286">
        <f t="shared" si="39"/>
        <v>32.659999999999997</v>
      </c>
      <c r="G268" s="175">
        <f t="shared" si="37"/>
        <v>32.261999999999993</v>
      </c>
      <c r="H268" s="175" t="str">
        <f t="shared" si="42"/>
        <v>IN</v>
      </c>
      <c r="I268" s="177">
        <f t="shared" si="36"/>
        <v>8006.0500000000011</v>
      </c>
      <c r="J268" s="177">
        <f t="shared" si="34"/>
        <v>3611.5199999999986</v>
      </c>
      <c r="K268" s="235">
        <f t="shared" si="35"/>
        <v>254.03835744843394</v>
      </c>
      <c r="L268" s="569"/>
      <c r="M268" s="570"/>
      <c r="N268" s="11"/>
    </row>
    <row r="269" spans="2:14" ht="15" customHeight="1">
      <c r="B269" s="176">
        <f t="shared" si="41"/>
        <v>245</v>
      </c>
      <c r="C269" s="173"/>
      <c r="D269" s="174">
        <v>7</v>
      </c>
      <c r="E269" s="168">
        <f t="shared" si="38"/>
        <v>247</v>
      </c>
      <c r="F269" s="286">
        <f t="shared" si="39"/>
        <v>32.92</v>
      </c>
      <c r="G269" s="175">
        <f t="shared" si="37"/>
        <v>32.521999999999998</v>
      </c>
      <c r="H269" s="175" t="str">
        <f t="shared" si="42"/>
        <v>IN</v>
      </c>
      <c r="I269" s="177">
        <f t="shared" si="36"/>
        <v>8038.572000000001</v>
      </c>
      <c r="J269" s="177">
        <f t="shared" si="34"/>
        <v>3578.9979999999987</v>
      </c>
      <c r="K269" s="235">
        <f t="shared" si="35"/>
        <v>254.72502134148209</v>
      </c>
      <c r="L269" s="569"/>
      <c r="M269" s="570"/>
      <c r="N269" s="11"/>
    </row>
    <row r="270" spans="2:14" ht="15" customHeight="1">
      <c r="B270" s="176">
        <f t="shared" si="41"/>
        <v>246</v>
      </c>
      <c r="C270" s="173"/>
      <c r="D270" s="174">
        <v>7</v>
      </c>
      <c r="E270" s="168">
        <f t="shared" si="38"/>
        <v>248</v>
      </c>
      <c r="F270" s="286">
        <f t="shared" si="39"/>
        <v>30.98</v>
      </c>
      <c r="G270" s="175">
        <f t="shared" si="37"/>
        <v>30.582000000000001</v>
      </c>
      <c r="H270" s="175" t="str">
        <f t="shared" si="42"/>
        <v>IN</v>
      </c>
      <c r="I270" s="177">
        <f t="shared" si="36"/>
        <v>8069.1540000000014</v>
      </c>
      <c r="J270" s="177">
        <f t="shared" si="34"/>
        <v>3548.4159999999983</v>
      </c>
      <c r="K270" s="235">
        <f t="shared" si="35"/>
        <v>255.37072440947293</v>
      </c>
      <c r="L270" s="569"/>
      <c r="M270" s="570"/>
      <c r="N270" s="11"/>
    </row>
    <row r="271" spans="2:14" ht="15" customHeight="1">
      <c r="B271" s="176">
        <f t="shared" si="41"/>
        <v>247</v>
      </c>
      <c r="C271" s="173"/>
      <c r="D271" s="174">
        <v>7</v>
      </c>
      <c r="E271" s="168">
        <f t="shared" si="38"/>
        <v>249</v>
      </c>
      <c r="F271" s="286">
        <f t="shared" si="39"/>
        <v>32.99</v>
      </c>
      <c r="G271" s="175">
        <f t="shared" si="37"/>
        <v>32.591999999999999</v>
      </c>
      <c r="H271" s="175" t="str">
        <f t="shared" si="42"/>
        <v>IN</v>
      </c>
      <c r="I271" s="177">
        <f t="shared" si="36"/>
        <v>8101.746000000001</v>
      </c>
      <c r="J271" s="177">
        <f t="shared" ref="J271:J334" si="43">IF(I271="","",$L$9-I271)</f>
        <v>3515.8239999999987</v>
      </c>
      <c r="K271" s="235">
        <f t="shared" ref="K271:K334" si="44">$H$9+(I271*$E$10*$H$11/1000)</f>
        <v>256.05886627043549</v>
      </c>
      <c r="L271" s="569"/>
      <c r="M271" s="570"/>
      <c r="N271" s="11"/>
    </row>
    <row r="272" spans="2:14" ht="15" customHeight="1">
      <c r="B272" s="176">
        <f t="shared" si="41"/>
        <v>248</v>
      </c>
      <c r="C272" s="173"/>
      <c r="D272" s="174">
        <v>7</v>
      </c>
      <c r="E272" s="168">
        <f t="shared" si="38"/>
        <v>250</v>
      </c>
      <c r="F272" s="286">
        <f t="shared" si="39"/>
        <v>33.07</v>
      </c>
      <c r="G272" s="175">
        <f t="shared" si="37"/>
        <v>32.671999999999997</v>
      </c>
      <c r="H272" s="175" t="str">
        <f t="shared" si="42"/>
        <v>IN</v>
      </c>
      <c r="I272" s="177">
        <f t="shared" ref="I272:I335" si="45">IF(H272="IN",I271+G272,I271)</f>
        <v>8134.4180000000006</v>
      </c>
      <c r="J272" s="177">
        <f t="shared" si="43"/>
        <v>3483.1519999999991</v>
      </c>
      <c r="K272" s="235">
        <f t="shared" si="44"/>
        <v>256.74869723758593</v>
      </c>
      <c r="L272" s="569"/>
      <c r="M272" s="570"/>
      <c r="N272" s="11"/>
    </row>
    <row r="273" spans="2:14" ht="15" customHeight="1">
      <c r="B273" s="176">
        <f t="shared" si="41"/>
        <v>249</v>
      </c>
      <c r="C273" s="173"/>
      <c r="D273" s="174">
        <v>7</v>
      </c>
      <c r="E273" s="168">
        <f t="shared" si="38"/>
        <v>251</v>
      </c>
      <c r="F273" s="286">
        <f t="shared" si="39"/>
        <v>31.29</v>
      </c>
      <c r="G273" s="175">
        <f t="shared" si="37"/>
        <v>30.891999999999999</v>
      </c>
      <c r="H273" s="175" t="str">
        <f t="shared" si="42"/>
        <v>IN</v>
      </c>
      <c r="I273" s="177">
        <f t="shared" si="45"/>
        <v>8165.31</v>
      </c>
      <c r="J273" s="177">
        <f t="shared" si="43"/>
        <v>3452.2599999999993</v>
      </c>
      <c r="K273" s="235">
        <f t="shared" si="44"/>
        <v>257.400945592055</v>
      </c>
      <c r="L273" s="569"/>
      <c r="M273" s="570"/>
      <c r="N273" s="11"/>
    </row>
    <row r="274" spans="2:14" ht="15" customHeight="1">
      <c r="B274" s="176">
        <f t="shared" si="41"/>
        <v>250</v>
      </c>
      <c r="C274" s="173"/>
      <c r="D274" s="174">
        <v>7</v>
      </c>
      <c r="E274" s="168">
        <f t="shared" si="38"/>
        <v>252</v>
      </c>
      <c r="F274" s="286">
        <f t="shared" si="39"/>
        <v>33.44</v>
      </c>
      <c r="G274" s="175">
        <f t="shared" si="37"/>
        <v>33.041999999999994</v>
      </c>
      <c r="H274" s="175" t="str">
        <f t="shared" si="42"/>
        <v>IN</v>
      </c>
      <c r="I274" s="175">
        <f t="shared" si="45"/>
        <v>8198.3520000000008</v>
      </c>
      <c r="J274" s="175">
        <f t="shared" si="43"/>
        <v>3419.2179999999989</v>
      </c>
      <c r="K274" s="262">
        <f t="shared" si="44"/>
        <v>258.09858867532472</v>
      </c>
      <c r="L274" s="546"/>
      <c r="M274" s="547"/>
      <c r="N274" s="11"/>
    </row>
    <row r="275" spans="2:14" ht="15" customHeight="1">
      <c r="B275" s="176">
        <f t="shared" ref="B275:B306" si="46">B274+1</f>
        <v>251</v>
      </c>
      <c r="C275" s="173"/>
      <c r="D275" s="174">
        <v>7</v>
      </c>
      <c r="E275" s="168">
        <f t="shared" si="38"/>
        <v>253</v>
      </c>
      <c r="F275" s="286">
        <f t="shared" si="39"/>
        <v>32.68</v>
      </c>
      <c r="G275" s="175">
        <f t="shared" si="37"/>
        <v>32.281999999999996</v>
      </c>
      <c r="H275" s="175" t="str">
        <f t="shared" ref="H275:H306" si="47">IF(F275="","OUT","IN")</f>
        <v>IN</v>
      </c>
      <c r="I275" s="177">
        <f t="shared" si="45"/>
        <v>8230.634</v>
      </c>
      <c r="J275" s="177">
        <f t="shared" si="43"/>
        <v>3386.9359999999997</v>
      </c>
      <c r="K275" s="262">
        <f t="shared" si="44"/>
        <v>258.78018524980905</v>
      </c>
      <c r="L275" s="546"/>
      <c r="M275" s="547"/>
      <c r="N275" s="11"/>
    </row>
    <row r="276" spans="2:14" ht="15" customHeight="1">
      <c r="B276" s="176">
        <f t="shared" si="46"/>
        <v>252</v>
      </c>
      <c r="C276" s="173"/>
      <c r="D276" s="174">
        <v>7</v>
      </c>
      <c r="E276" s="168">
        <f t="shared" si="38"/>
        <v>254</v>
      </c>
      <c r="F276" s="286">
        <f t="shared" si="39"/>
        <v>33.17</v>
      </c>
      <c r="G276" s="175">
        <f t="shared" si="37"/>
        <v>32.771999999999998</v>
      </c>
      <c r="H276" s="175" t="str">
        <f t="shared" si="47"/>
        <v>IN</v>
      </c>
      <c r="I276" s="177">
        <f t="shared" si="45"/>
        <v>8263.4060000000009</v>
      </c>
      <c r="J276" s="177">
        <f t="shared" si="43"/>
        <v>3354.1639999999989</v>
      </c>
      <c r="K276" s="235">
        <f t="shared" si="44"/>
        <v>259.47212759969443</v>
      </c>
      <c r="L276" s="569"/>
      <c r="M276" s="570"/>
      <c r="N276" s="11"/>
    </row>
    <row r="277" spans="2:14" ht="15" customHeight="1">
      <c r="B277" s="176">
        <f t="shared" si="46"/>
        <v>253</v>
      </c>
      <c r="C277" s="173"/>
      <c r="D277" s="174">
        <v>7</v>
      </c>
      <c r="E277" s="168">
        <f t="shared" si="38"/>
        <v>255</v>
      </c>
      <c r="F277" s="286">
        <f t="shared" si="39"/>
        <v>33.07</v>
      </c>
      <c r="G277" s="175">
        <f t="shared" si="37"/>
        <v>32.671999999999997</v>
      </c>
      <c r="H277" s="175" t="str">
        <f t="shared" si="47"/>
        <v>IN</v>
      </c>
      <c r="I277" s="177">
        <f t="shared" si="45"/>
        <v>8296.0780000000013</v>
      </c>
      <c r="J277" s="177">
        <f t="shared" si="43"/>
        <v>3321.4919999999984</v>
      </c>
      <c r="K277" s="235">
        <f t="shared" si="44"/>
        <v>260.16195856684499</v>
      </c>
      <c r="L277" s="569"/>
      <c r="M277" s="570"/>
      <c r="N277" s="11"/>
    </row>
    <row r="278" spans="2:14" ht="15" customHeight="1">
      <c r="B278" s="176">
        <f t="shared" si="46"/>
        <v>254</v>
      </c>
      <c r="C278" s="173"/>
      <c r="D278" s="174">
        <v>7</v>
      </c>
      <c r="E278" s="168">
        <f t="shared" si="38"/>
        <v>256</v>
      </c>
      <c r="F278" s="286">
        <f t="shared" si="39"/>
        <v>33.229999999999997</v>
      </c>
      <c r="G278" s="175">
        <f t="shared" si="37"/>
        <v>32.831999999999994</v>
      </c>
      <c r="H278" s="175" t="str">
        <f t="shared" si="47"/>
        <v>IN</v>
      </c>
      <c r="I278" s="177">
        <f t="shared" si="45"/>
        <v>8328.9100000000017</v>
      </c>
      <c r="J278" s="177">
        <f t="shared" si="43"/>
        <v>3288.659999999998</v>
      </c>
      <c r="K278" s="235">
        <f t="shared" si="44"/>
        <v>260.85516774637131</v>
      </c>
      <c r="L278" s="569"/>
      <c r="M278" s="570"/>
      <c r="N278" s="11"/>
    </row>
    <row r="279" spans="2:14" ht="15" customHeight="1">
      <c r="B279" s="176">
        <f t="shared" si="46"/>
        <v>255</v>
      </c>
      <c r="C279" s="173"/>
      <c r="D279" s="174">
        <v>7</v>
      </c>
      <c r="E279" s="168">
        <f t="shared" si="38"/>
        <v>257</v>
      </c>
      <c r="F279" s="286">
        <f t="shared" si="39"/>
        <v>33</v>
      </c>
      <c r="G279" s="175">
        <f t="shared" si="37"/>
        <v>32.601999999999997</v>
      </c>
      <c r="H279" s="175" t="str">
        <f t="shared" si="47"/>
        <v>IN</v>
      </c>
      <c r="I279" s="177">
        <f t="shared" si="45"/>
        <v>8361.5120000000024</v>
      </c>
      <c r="J279" s="177">
        <f t="shared" si="43"/>
        <v>3256.0579999999973</v>
      </c>
      <c r="K279" s="235">
        <f t="shared" si="44"/>
        <v>261.5435207456074</v>
      </c>
      <c r="L279" s="569"/>
      <c r="M279" s="570"/>
      <c r="N279" s="11"/>
    </row>
    <row r="280" spans="2:14" ht="15" customHeight="1">
      <c r="B280" s="176">
        <f t="shared" si="46"/>
        <v>256</v>
      </c>
      <c r="C280" s="173"/>
      <c r="D280" s="174">
        <v>7</v>
      </c>
      <c r="E280" s="168">
        <f t="shared" si="38"/>
        <v>258</v>
      </c>
      <c r="F280" s="286">
        <f t="shared" si="39"/>
        <v>33.04</v>
      </c>
      <c r="G280" s="175">
        <f t="shared" ref="G280:G342" si="48">F280-($E$12)</f>
        <v>32.641999999999996</v>
      </c>
      <c r="H280" s="175" t="str">
        <f t="shared" si="47"/>
        <v>IN</v>
      </c>
      <c r="I280" s="177">
        <f t="shared" si="45"/>
        <v>8394.1540000000023</v>
      </c>
      <c r="J280" s="177">
        <f t="shared" si="43"/>
        <v>3223.4159999999974</v>
      </c>
      <c r="K280" s="235">
        <f t="shared" si="44"/>
        <v>262.23271829793742</v>
      </c>
      <c r="L280" s="569"/>
      <c r="M280" s="570"/>
      <c r="N280" s="11"/>
    </row>
    <row r="281" spans="2:14" ht="15" customHeight="1">
      <c r="B281" s="176">
        <f t="shared" si="46"/>
        <v>257</v>
      </c>
      <c r="C281" s="173"/>
      <c r="D281" s="174">
        <v>7</v>
      </c>
      <c r="E281" s="168">
        <f t="shared" ref="E281:E341" si="49">E280+1</f>
        <v>259</v>
      </c>
      <c r="F281" s="286">
        <f t="shared" si="39"/>
        <v>33.270000000000003</v>
      </c>
      <c r="G281" s="175">
        <f t="shared" si="48"/>
        <v>32.872</v>
      </c>
      <c r="H281" s="175" t="str">
        <f t="shared" si="47"/>
        <v>IN</v>
      </c>
      <c r="I281" s="177">
        <f t="shared" si="45"/>
        <v>8427.0260000000017</v>
      </c>
      <c r="J281" s="177">
        <f t="shared" si="43"/>
        <v>3190.5439999999981</v>
      </c>
      <c r="K281" s="235">
        <f t="shared" si="44"/>
        <v>262.92677203055769</v>
      </c>
      <c r="L281" s="569"/>
      <c r="M281" s="570"/>
      <c r="N281" s="11"/>
    </row>
    <row r="282" spans="2:14" ht="15" customHeight="1">
      <c r="B282" s="176">
        <f t="shared" si="46"/>
        <v>258</v>
      </c>
      <c r="C282" s="173"/>
      <c r="D282" s="174">
        <v>7</v>
      </c>
      <c r="E282" s="168">
        <f t="shared" si="49"/>
        <v>260</v>
      </c>
      <c r="F282" s="286">
        <f t="shared" si="39"/>
        <v>33.270000000000003</v>
      </c>
      <c r="G282" s="175">
        <f t="shared" si="48"/>
        <v>32.872</v>
      </c>
      <c r="H282" s="175" t="str">
        <f t="shared" si="47"/>
        <v>IN</v>
      </c>
      <c r="I282" s="177">
        <f t="shared" si="45"/>
        <v>8459.898000000001</v>
      </c>
      <c r="J282" s="177">
        <f t="shared" si="43"/>
        <v>3157.6719999999987</v>
      </c>
      <c r="K282" s="235">
        <f t="shared" si="44"/>
        <v>263.620825763178</v>
      </c>
      <c r="L282" s="569"/>
      <c r="M282" s="570"/>
      <c r="N282" s="11"/>
    </row>
    <row r="283" spans="2:14" ht="15" customHeight="1">
      <c r="B283" s="176">
        <f t="shared" si="46"/>
        <v>259</v>
      </c>
      <c r="C283" s="173"/>
      <c r="D283" s="174">
        <v>7</v>
      </c>
      <c r="E283" s="168">
        <f t="shared" si="49"/>
        <v>261</v>
      </c>
      <c r="F283" s="286">
        <f t="shared" si="39"/>
        <v>33.409999999999997</v>
      </c>
      <c r="G283" s="175">
        <f t="shared" si="48"/>
        <v>33.011999999999993</v>
      </c>
      <c r="H283" s="175" t="str">
        <f t="shared" si="47"/>
        <v>IN</v>
      </c>
      <c r="I283" s="177">
        <f t="shared" si="45"/>
        <v>8492.9100000000017</v>
      </c>
      <c r="J283" s="177">
        <f t="shared" si="43"/>
        <v>3124.659999999998</v>
      </c>
      <c r="K283" s="235">
        <f t="shared" si="44"/>
        <v>264.31783543162726</v>
      </c>
    </row>
    <row r="284" spans="2:14" ht="15" customHeight="1">
      <c r="B284" s="176">
        <f t="shared" si="46"/>
        <v>260</v>
      </c>
      <c r="C284" s="173"/>
      <c r="D284" s="174">
        <v>7</v>
      </c>
      <c r="E284" s="168">
        <f t="shared" si="49"/>
        <v>262</v>
      </c>
      <c r="F284" s="286">
        <f t="shared" si="39"/>
        <v>32.9</v>
      </c>
      <c r="G284" s="175">
        <f t="shared" si="48"/>
        <v>32.501999999999995</v>
      </c>
      <c r="H284" s="175" t="str">
        <f t="shared" si="47"/>
        <v>IN</v>
      </c>
      <c r="I284" s="177">
        <f t="shared" si="45"/>
        <v>8525.4120000000021</v>
      </c>
      <c r="J284" s="177">
        <f t="shared" si="43"/>
        <v>3092.1579999999976</v>
      </c>
      <c r="K284" s="235">
        <f t="shared" si="44"/>
        <v>265.00407704812841</v>
      </c>
      <c r="L284" s="569"/>
      <c r="M284" s="570"/>
      <c r="N284" s="11"/>
    </row>
    <row r="285" spans="2:14" ht="18" customHeight="1">
      <c r="B285" s="176">
        <f t="shared" si="46"/>
        <v>261</v>
      </c>
      <c r="C285" s="173"/>
      <c r="D285" s="174">
        <v>7</v>
      </c>
      <c r="E285" s="168">
        <f t="shared" si="49"/>
        <v>263</v>
      </c>
      <c r="F285" s="286">
        <f t="shared" si="39"/>
        <v>32.659999999999997</v>
      </c>
      <c r="G285" s="175">
        <f t="shared" si="48"/>
        <v>32.261999999999993</v>
      </c>
      <c r="H285" s="175" t="str">
        <f t="shared" si="47"/>
        <v>IN</v>
      </c>
      <c r="I285" s="175">
        <f t="shared" si="45"/>
        <v>8557.6740000000027</v>
      </c>
      <c r="J285" s="175">
        <f t="shared" si="43"/>
        <v>3059.895999999997</v>
      </c>
      <c r="K285" s="262">
        <f t="shared" si="44"/>
        <v>265.68525134606574</v>
      </c>
      <c r="L285" s="571"/>
      <c r="M285" s="572"/>
      <c r="N285" s="11"/>
    </row>
    <row r="286" spans="2:14" ht="15" customHeight="1">
      <c r="B286" s="176">
        <f t="shared" si="46"/>
        <v>262</v>
      </c>
      <c r="C286" s="173"/>
      <c r="D286" s="174">
        <v>7</v>
      </c>
      <c r="E286" s="168">
        <f t="shared" si="49"/>
        <v>264</v>
      </c>
      <c r="F286" s="286">
        <f t="shared" si="39"/>
        <v>33.159999999999997</v>
      </c>
      <c r="G286" s="175">
        <f t="shared" si="48"/>
        <v>32.761999999999993</v>
      </c>
      <c r="H286" s="175" t="str">
        <f t="shared" si="47"/>
        <v>IN</v>
      </c>
      <c r="I286" s="177">
        <f t="shared" si="45"/>
        <v>8590.4360000000033</v>
      </c>
      <c r="J286" s="177">
        <f t="shared" si="43"/>
        <v>3027.1339999999964</v>
      </c>
      <c r="K286" s="235">
        <f t="shared" si="44"/>
        <v>266.37698255767771</v>
      </c>
      <c r="L286" s="569"/>
      <c r="M286" s="570"/>
      <c r="N286" s="11"/>
    </row>
    <row r="287" spans="2:14" ht="15" customHeight="1">
      <c r="B287" s="176">
        <f t="shared" si="46"/>
        <v>263</v>
      </c>
      <c r="C287" s="173"/>
      <c r="D287" s="174">
        <v>7</v>
      </c>
      <c r="E287" s="168">
        <f t="shared" si="49"/>
        <v>265</v>
      </c>
      <c r="F287" s="286">
        <f t="shared" si="39"/>
        <v>33.409999999999997</v>
      </c>
      <c r="G287" s="175">
        <f t="shared" si="48"/>
        <v>33.011999999999993</v>
      </c>
      <c r="H287" s="175" t="str">
        <f t="shared" si="47"/>
        <v>IN</v>
      </c>
      <c r="I287" s="177">
        <f t="shared" si="45"/>
        <v>8623.448000000004</v>
      </c>
      <c r="J287" s="177">
        <f t="shared" si="43"/>
        <v>2994.1219999999958</v>
      </c>
      <c r="K287" s="235">
        <f t="shared" si="44"/>
        <v>267.0739922261269</v>
      </c>
      <c r="L287" s="569"/>
      <c r="M287" s="570"/>
      <c r="N287" s="11"/>
    </row>
    <row r="288" spans="2:14" ht="15" customHeight="1">
      <c r="B288" s="176">
        <f t="shared" si="46"/>
        <v>264</v>
      </c>
      <c r="C288" s="173"/>
      <c r="D288" s="174">
        <v>7</v>
      </c>
      <c r="E288" s="168">
        <f t="shared" si="49"/>
        <v>266</v>
      </c>
      <c r="F288" s="286">
        <f t="shared" si="39"/>
        <v>33.229999999999997</v>
      </c>
      <c r="G288" s="175">
        <f t="shared" si="48"/>
        <v>32.831999999999994</v>
      </c>
      <c r="H288" s="175" t="str">
        <f t="shared" si="47"/>
        <v>IN</v>
      </c>
      <c r="I288" s="177">
        <f t="shared" si="45"/>
        <v>8656.2800000000043</v>
      </c>
      <c r="J288" s="177">
        <f t="shared" si="43"/>
        <v>2961.2899999999954</v>
      </c>
      <c r="K288" s="235">
        <f t="shared" si="44"/>
        <v>267.76720140565328</v>
      </c>
      <c r="L288" s="569"/>
      <c r="M288" s="570"/>
      <c r="N288" s="11"/>
    </row>
    <row r="289" spans="2:14" ht="15" customHeight="1">
      <c r="B289" s="176">
        <f t="shared" si="46"/>
        <v>265</v>
      </c>
      <c r="C289" s="173"/>
      <c r="D289" s="174">
        <v>7</v>
      </c>
      <c r="E289" s="168">
        <f t="shared" si="49"/>
        <v>267</v>
      </c>
      <c r="F289" s="286">
        <f t="shared" si="39"/>
        <v>33.409999999999997</v>
      </c>
      <c r="G289" s="175">
        <f t="shared" si="48"/>
        <v>33.011999999999993</v>
      </c>
      <c r="H289" s="175" t="str">
        <f t="shared" si="47"/>
        <v>IN</v>
      </c>
      <c r="I289" s="177">
        <f t="shared" si="45"/>
        <v>8689.2920000000049</v>
      </c>
      <c r="J289" s="177">
        <f t="shared" si="43"/>
        <v>2928.2779999999948</v>
      </c>
      <c r="K289" s="235">
        <f t="shared" si="44"/>
        <v>268.46421107410248</v>
      </c>
      <c r="L289" s="569"/>
      <c r="M289" s="570"/>
      <c r="N289" s="11"/>
    </row>
    <row r="290" spans="2:14" ht="15" customHeight="1">
      <c r="B290" s="176">
        <f t="shared" si="46"/>
        <v>266</v>
      </c>
      <c r="C290" s="173"/>
      <c r="D290" s="174">
        <v>7</v>
      </c>
      <c r="E290" s="168">
        <f t="shared" si="49"/>
        <v>268</v>
      </c>
      <c r="F290" s="286">
        <f t="shared" si="39"/>
        <v>33.39</v>
      </c>
      <c r="G290" s="175">
        <f t="shared" si="48"/>
        <v>32.991999999999997</v>
      </c>
      <c r="H290" s="175" t="str">
        <f t="shared" si="47"/>
        <v>IN</v>
      </c>
      <c r="I290" s="177">
        <f t="shared" si="45"/>
        <v>8722.2840000000051</v>
      </c>
      <c r="J290" s="177">
        <f t="shared" si="43"/>
        <v>2895.2859999999946</v>
      </c>
      <c r="K290" s="235">
        <f t="shared" si="44"/>
        <v>269.16079846600474</v>
      </c>
      <c r="L290" s="569"/>
      <c r="M290" s="570"/>
      <c r="N290" s="11"/>
    </row>
    <row r="291" spans="2:14" ht="15" customHeight="1">
      <c r="B291" s="176">
        <f t="shared" si="46"/>
        <v>267</v>
      </c>
      <c r="C291" s="173"/>
      <c r="D291" s="174">
        <v>7</v>
      </c>
      <c r="E291" s="168">
        <f t="shared" si="49"/>
        <v>269</v>
      </c>
      <c r="F291" s="286">
        <f t="shared" si="39"/>
        <v>33.39</v>
      </c>
      <c r="G291" s="175">
        <f t="shared" si="48"/>
        <v>32.991999999999997</v>
      </c>
      <c r="H291" s="175" t="str">
        <f t="shared" si="47"/>
        <v>IN</v>
      </c>
      <c r="I291" s="177">
        <f t="shared" si="45"/>
        <v>8755.2760000000053</v>
      </c>
      <c r="J291" s="177">
        <f t="shared" si="43"/>
        <v>2862.2939999999944</v>
      </c>
      <c r="K291" s="235">
        <f t="shared" si="44"/>
        <v>269.85738585790693</v>
      </c>
      <c r="L291" s="569"/>
      <c r="M291" s="570"/>
      <c r="N291" s="11"/>
    </row>
    <row r="292" spans="2:14" ht="15" customHeight="1">
      <c r="B292" s="176">
        <f t="shared" si="46"/>
        <v>268</v>
      </c>
      <c r="C292" s="173"/>
      <c r="D292" s="174">
        <v>7</v>
      </c>
      <c r="E292" s="168">
        <f t="shared" si="49"/>
        <v>270</v>
      </c>
      <c r="F292" s="286">
        <f t="shared" si="39"/>
        <v>33.22</v>
      </c>
      <c r="G292" s="175">
        <f t="shared" si="48"/>
        <v>32.821999999999996</v>
      </c>
      <c r="H292" s="175" t="str">
        <f t="shared" si="47"/>
        <v>IN</v>
      </c>
      <c r="I292" s="177">
        <f t="shared" si="45"/>
        <v>8788.0980000000054</v>
      </c>
      <c r="J292" s="177">
        <f t="shared" si="43"/>
        <v>2829.4719999999943</v>
      </c>
      <c r="K292" s="235">
        <f t="shared" si="44"/>
        <v>270.55038389915978</v>
      </c>
      <c r="L292" s="569"/>
      <c r="M292" s="570"/>
      <c r="N292" s="11"/>
    </row>
    <row r="293" spans="2:14" ht="15" customHeight="1">
      <c r="B293" s="176">
        <f t="shared" si="46"/>
        <v>269</v>
      </c>
      <c r="C293" s="173"/>
      <c r="D293" s="174">
        <v>7</v>
      </c>
      <c r="E293" s="168">
        <f t="shared" si="49"/>
        <v>271</v>
      </c>
      <c r="F293" s="286">
        <f t="shared" si="39"/>
        <v>33.090000000000003</v>
      </c>
      <c r="G293" s="175">
        <f t="shared" si="48"/>
        <v>32.692</v>
      </c>
      <c r="H293" s="175" t="str">
        <f t="shared" si="47"/>
        <v>IN</v>
      </c>
      <c r="I293" s="177">
        <f t="shared" si="45"/>
        <v>8820.7900000000045</v>
      </c>
      <c r="J293" s="177">
        <f t="shared" si="43"/>
        <v>2796.7799999999952</v>
      </c>
      <c r="K293" s="235">
        <f t="shared" si="44"/>
        <v>271.24063714285728</v>
      </c>
      <c r="L293" s="569"/>
      <c r="M293" s="570"/>
      <c r="N293" s="11"/>
    </row>
    <row r="294" spans="2:14" ht="15" customHeight="1">
      <c r="B294" s="176">
        <f t="shared" si="46"/>
        <v>270</v>
      </c>
      <c r="C294" s="173"/>
      <c r="D294" s="174">
        <v>7</v>
      </c>
      <c r="E294" s="168">
        <f t="shared" si="49"/>
        <v>272</v>
      </c>
      <c r="F294" s="286">
        <f t="shared" ref="F294:F341" si="50">VLOOKUP(E294,tubing1,2,FALSE)</f>
        <v>33.21</v>
      </c>
      <c r="G294" s="175">
        <f t="shared" si="48"/>
        <v>32.811999999999998</v>
      </c>
      <c r="H294" s="175" t="str">
        <f t="shared" si="47"/>
        <v>IN</v>
      </c>
      <c r="I294" s="177">
        <f t="shared" si="45"/>
        <v>8853.6020000000044</v>
      </c>
      <c r="J294" s="177">
        <f t="shared" si="43"/>
        <v>2763.9679999999953</v>
      </c>
      <c r="K294" s="235">
        <f t="shared" si="44"/>
        <v>271.9334240458366</v>
      </c>
      <c r="L294" s="569"/>
      <c r="M294" s="570"/>
      <c r="N294" s="11"/>
    </row>
    <row r="295" spans="2:14" ht="15" customHeight="1">
      <c r="B295" s="176">
        <f t="shared" si="46"/>
        <v>271</v>
      </c>
      <c r="C295" s="173"/>
      <c r="D295" s="174">
        <v>7</v>
      </c>
      <c r="E295" s="168">
        <f t="shared" si="49"/>
        <v>273</v>
      </c>
      <c r="F295" s="286">
        <f t="shared" si="50"/>
        <v>32.9</v>
      </c>
      <c r="G295" s="175">
        <f t="shared" si="48"/>
        <v>32.501999999999995</v>
      </c>
      <c r="H295" s="175" t="str">
        <f t="shared" si="47"/>
        <v>IN</v>
      </c>
      <c r="I295" s="177">
        <f t="shared" si="45"/>
        <v>8886.1040000000048</v>
      </c>
      <c r="J295" s="177">
        <f t="shared" si="43"/>
        <v>2731.4659999999949</v>
      </c>
      <c r="K295" s="235">
        <f t="shared" si="44"/>
        <v>272.61966566233775</v>
      </c>
      <c r="L295" s="569"/>
      <c r="M295" s="570"/>
      <c r="N295" s="11"/>
    </row>
    <row r="296" spans="2:14" ht="15" customHeight="1">
      <c r="B296" s="176">
        <f t="shared" si="46"/>
        <v>272</v>
      </c>
      <c r="C296" s="173"/>
      <c r="D296" s="174">
        <v>7</v>
      </c>
      <c r="E296" s="168">
        <f t="shared" si="49"/>
        <v>274</v>
      </c>
      <c r="F296" s="286">
        <f t="shared" si="50"/>
        <v>33.159999999999997</v>
      </c>
      <c r="G296" s="175">
        <f t="shared" si="48"/>
        <v>32.761999999999993</v>
      </c>
      <c r="H296" s="175" t="str">
        <f t="shared" si="47"/>
        <v>IN</v>
      </c>
      <c r="I296" s="177">
        <f t="shared" si="45"/>
        <v>8918.8660000000054</v>
      </c>
      <c r="J296" s="177">
        <f t="shared" si="43"/>
        <v>2698.7039999999943</v>
      </c>
      <c r="K296" s="235">
        <f t="shared" si="44"/>
        <v>273.31139687394972</v>
      </c>
      <c r="L296" s="569"/>
      <c r="M296" s="570"/>
      <c r="N296" s="11"/>
    </row>
    <row r="297" spans="2:14" ht="15" customHeight="1">
      <c r="B297" s="176">
        <f t="shared" si="46"/>
        <v>273</v>
      </c>
      <c r="C297" s="173"/>
      <c r="D297" s="174">
        <v>7</v>
      </c>
      <c r="E297" s="168">
        <f t="shared" si="49"/>
        <v>275</v>
      </c>
      <c r="F297" s="286">
        <f t="shared" si="50"/>
        <v>33.08</v>
      </c>
      <c r="G297" s="175">
        <f t="shared" si="48"/>
        <v>32.681999999999995</v>
      </c>
      <c r="H297" s="175" t="str">
        <f t="shared" si="47"/>
        <v>IN</v>
      </c>
      <c r="I297" s="177">
        <f t="shared" si="45"/>
        <v>8951.5480000000061</v>
      </c>
      <c r="J297" s="177">
        <f t="shared" si="43"/>
        <v>2666.0219999999936</v>
      </c>
      <c r="K297" s="235">
        <f t="shared" si="44"/>
        <v>274.00143897937369</v>
      </c>
      <c r="L297" s="569"/>
      <c r="M297" s="570"/>
      <c r="N297" s="11"/>
    </row>
    <row r="298" spans="2:14" ht="15" customHeight="1">
      <c r="B298" s="176">
        <f t="shared" si="46"/>
        <v>274</v>
      </c>
      <c r="C298" s="173"/>
      <c r="D298" s="174">
        <v>7</v>
      </c>
      <c r="E298" s="168">
        <f t="shared" si="49"/>
        <v>276</v>
      </c>
      <c r="F298" s="286">
        <f t="shared" si="50"/>
        <v>33.31</v>
      </c>
      <c r="G298" s="175">
        <f t="shared" si="48"/>
        <v>32.911999999999999</v>
      </c>
      <c r="H298" s="175" t="str">
        <f t="shared" si="47"/>
        <v>IN</v>
      </c>
      <c r="I298" s="177">
        <f t="shared" si="45"/>
        <v>8984.4600000000064</v>
      </c>
      <c r="J298" s="177">
        <f t="shared" si="43"/>
        <v>2633.1099999999933</v>
      </c>
      <c r="K298" s="235">
        <f t="shared" si="44"/>
        <v>274.696337265088</v>
      </c>
      <c r="L298" s="569"/>
      <c r="M298" s="570"/>
      <c r="N298" s="11"/>
    </row>
    <row r="299" spans="2:14" ht="15" customHeight="1">
      <c r="B299" s="176">
        <f t="shared" si="46"/>
        <v>275</v>
      </c>
      <c r="C299" s="173"/>
      <c r="D299" s="174">
        <v>7</v>
      </c>
      <c r="E299" s="168">
        <f t="shared" si="49"/>
        <v>277</v>
      </c>
      <c r="F299" s="286">
        <f t="shared" si="50"/>
        <v>32.71</v>
      </c>
      <c r="G299" s="175">
        <f t="shared" si="48"/>
        <v>32.311999999999998</v>
      </c>
      <c r="H299" s="175" t="str">
        <f t="shared" si="47"/>
        <v>IN</v>
      </c>
      <c r="I299" s="177">
        <f t="shared" si="45"/>
        <v>9016.7720000000063</v>
      </c>
      <c r="J299" s="177">
        <f t="shared" si="43"/>
        <v>2600.7979999999934</v>
      </c>
      <c r="K299" s="235">
        <f t="shared" si="44"/>
        <v>275.37856725439281</v>
      </c>
      <c r="L299" s="569"/>
      <c r="M299" s="570"/>
      <c r="N299" s="11"/>
    </row>
    <row r="300" spans="2:14" ht="15" customHeight="1">
      <c r="B300" s="176">
        <f t="shared" si="46"/>
        <v>276</v>
      </c>
      <c r="C300" s="173"/>
      <c r="D300" s="174">
        <v>7</v>
      </c>
      <c r="E300" s="168">
        <f t="shared" si="49"/>
        <v>278</v>
      </c>
      <c r="F300" s="286">
        <f t="shared" si="50"/>
        <v>32.44</v>
      </c>
      <c r="G300" s="175">
        <f t="shared" si="48"/>
        <v>32.041999999999994</v>
      </c>
      <c r="H300" s="175" t="str">
        <f t="shared" si="47"/>
        <v>IN</v>
      </c>
      <c r="I300" s="177">
        <f t="shared" si="45"/>
        <v>9048.8140000000058</v>
      </c>
      <c r="J300" s="177">
        <f t="shared" si="43"/>
        <v>2568.7559999999939</v>
      </c>
      <c r="K300" s="235">
        <f t="shared" si="44"/>
        <v>276.05509651031338</v>
      </c>
      <c r="L300" s="569"/>
      <c r="M300" s="570"/>
      <c r="N300" s="11"/>
    </row>
    <row r="301" spans="2:14" ht="15" customHeight="1">
      <c r="B301" s="176">
        <f t="shared" si="46"/>
        <v>277</v>
      </c>
      <c r="C301" s="173"/>
      <c r="D301" s="174">
        <v>7</v>
      </c>
      <c r="E301" s="168">
        <f t="shared" si="49"/>
        <v>279</v>
      </c>
      <c r="F301" s="286">
        <f t="shared" si="50"/>
        <v>32.479999999999997</v>
      </c>
      <c r="G301" s="175">
        <f t="shared" si="48"/>
        <v>32.081999999999994</v>
      </c>
      <c r="H301" s="175" t="str">
        <f t="shared" si="47"/>
        <v>IN</v>
      </c>
      <c r="I301" s="177">
        <f t="shared" si="45"/>
        <v>9080.8960000000061</v>
      </c>
      <c r="J301" s="177">
        <f t="shared" si="43"/>
        <v>2536.6739999999936</v>
      </c>
      <c r="K301" s="235">
        <f t="shared" si="44"/>
        <v>276.73247031932783</v>
      </c>
      <c r="L301" s="569"/>
      <c r="M301" s="570"/>
      <c r="N301" s="11"/>
    </row>
    <row r="302" spans="2:14" ht="15" customHeight="1">
      <c r="B302" s="176">
        <f t="shared" si="46"/>
        <v>278</v>
      </c>
      <c r="C302" s="173"/>
      <c r="D302" s="174">
        <v>7</v>
      </c>
      <c r="E302" s="168">
        <f t="shared" si="49"/>
        <v>280</v>
      </c>
      <c r="F302" s="286">
        <f t="shared" si="50"/>
        <v>32.72</v>
      </c>
      <c r="G302" s="175">
        <f t="shared" si="48"/>
        <v>32.321999999999996</v>
      </c>
      <c r="H302" s="175" t="str">
        <f t="shared" si="47"/>
        <v>IN</v>
      </c>
      <c r="I302" s="177">
        <f t="shared" si="45"/>
        <v>9113.2180000000062</v>
      </c>
      <c r="J302" s="177">
        <f t="shared" si="43"/>
        <v>2504.3519999999935</v>
      </c>
      <c r="K302" s="235">
        <f t="shared" si="44"/>
        <v>277.41491144690616</v>
      </c>
      <c r="L302" s="569"/>
      <c r="M302" s="570"/>
      <c r="N302" s="11"/>
    </row>
    <row r="303" spans="2:14" ht="15" customHeight="1">
      <c r="B303" s="176">
        <f t="shared" si="46"/>
        <v>279</v>
      </c>
      <c r="C303" s="173"/>
      <c r="D303" s="174">
        <v>7</v>
      </c>
      <c r="E303" s="168">
        <f t="shared" si="49"/>
        <v>281</v>
      </c>
      <c r="F303" s="286">
        <f t="shared" si="50"/>
        <v>32.78</v>
      </c>
      <c r="G303" s="175">
        <f t="shared" si="48"/>
        <v>32.381999999999998</v>
      </c>
      <c r="H303" s="175" t="str">
        <f t="shared" si="47"/>
        <v>IN</v>
      </c>
      <c r="I303" s="177">
        <f t="shared" si="45"/>
        <v>9145.6000000000058</v>
      </c>
      <c r="J303" s="177">
        <f t="shared" si="43"/>
        <v>2471.9699999999939</v>
      </c>
      <c r="K303" s="235">
        <f t="shared" si="44"/>
        <v>278.09861940412543</v>
      </c>
      <c r="L303" s="569"/>
      <c r="M303" s="570"/>
      <c r="N303" s="11"/>
    </row>
    <row r="304" spans="2:14" ht="15" customHeight="1">
      <c r="B304" s="176">
        <f t="shared" si="46"/>
        <v>280</v>
      </c>
      <c r="C304" s="173"/>
      <c r="D304" s="174">
        <v>7</v>
      </c>
      <c r="E304" s="168">
        <f t="shared" si="49"/>
        <v>282</v>
      </c>
      <c r="F304" s="286">
        <f t="shared" si="50"/>
        <v>32.97</v>
      </c>
      <c r="G304" s="175">
        <f t="shared" si="48"/>
        <v>32.571999999999996</v>
      </c>
      <c r="H304" s="175" t="str">
        <f t="shared" si="47"/>
        <v>IN</v>
      </c>
      <c r="I304" s="177">
        <f t="shared" si="45"/>
        <v>9178.1720000000059</v>
      </c>
      <c r="J304" s="177">
        <f t="shared" si="43"/>
        <v>2439.3979999999938</v>
      </c>
      <c r="K304" s="235">
        <f t="shared" si="44"/>
        <v>278.78633898854105</v>
      </c>
      <c r="L304" s="569"/>
      <c r="M304" s="570"/>
      <c r="N304" s="11"/>
    </row>
    <row r="305" spans="2:14" ht="15" customHeight="1">
      <c r="B305" s="176">
        <f t="shared" si="46"/>
        <v>281</v>
      </c>
      <c r="C305" s="173"/>
      <c r="D305" s="174">
        <v>7</v>
      </c>
      <c r="E305" s="168">
        <f t="shared" si="49"/>
        <v>283</v>
      </c>
      <c r="F305" s="286">
        <f t="shared" si="50"/>
        <v>33.33</v>
      </c>
      <c r="G305" s="175">
        <f t="shared" si="48"/>
        <v>32.931999999999995</v>
      </c>
      <c r="H305" s="175" t="str">
        <f t="shared" si="47"/>
        <v>IN</v>
      </c>
      <c r="I305" s="177">
        <f t="shared" si="45"/>
        <v>9211.1040000000066</v>
      </c>
      <c r="J305" s="177">
        <f t="shared" si="43"/>
        <v>2406.4659999999931</v>
      </c>
      <c r="K305" s="235">
        <f t="shared" si="44"/>
        <v>279.48165955080231</v>
      </c>
      <c r="L305" s="569"/>
      <c r="M305" s="570"/>
      <c r="N305" s="11"/>
    </row>
    <row r="306" spans="2:14" ht="15" customHeight="1">
      <c r="B306" s="176">
        <f t="shared" si="46"/>
        <v>282</v>
      </c>
      <c r="C306" s="173"/>
      <c r="D306" s="174">
        <v>7</v>
      </c>
      <c r="E306" s="168">
        <f t="shared" si="49"/>
        <v>284</v>
      </c>
      <c r="F306" s="286">
        <f t="shared" si="50"/>
        <v>32.869999999999997</v>
      </c>
      <c r="G306" s="175">
        <f t="shared" si="48"/>
        <v>32.471999999999994</v>
      </c>
      <c r="H306" s="175" t="str">
        <f t="shared" si="47"/>
        <v>IN</v>
      </c>
      <c r="I306" s="177">
        <f t="shared" si="45"/>
        <v>9243.5760000000064</v>
      </c>
      <c r="J306" s="177">
        <f t="shared" si="43"/>
        <v>2373.9939999999933</v>
      </c>
      <c r="K306" s="235">
        <f t="shared" si="44"/>
        <v>280.16726775248299</v>
      </c>
      <c r="L306" s="569"/>
      <c r="M306" s="570"/>
      <c r="N306" s="11"/>
    </row>
    <row r="307" spans="2:14" ht="15" customHeight="1">
      <c r="B307" s="176">
        <f t="shared" ref="B307:B341" si="51">B306+1</f>
        <v>283</v>
      </c>
      <c r="C307" s="173"/>
      <c r="D307" s="174">
        <v>7</v>
      </c>
      <c r="E307" s="168">
        <f t="shared" si="49"/>
        <v>285</v>
      </c>
      <c r="F307" s="286">
        <f t="shared" si="50"/>
        <v>33.020000000000003</v>
      </c>
      <c r="G307" s="175">
        <f t="shared" si="48"/>
        <v>32.622</v>
      </c>
      <c r="H307" s="175" t="str">
        <f t="shared" ref="H307:H314" si="52">IF(F307="","OUT","IN")</f>
        <v>IN</v>
      </c>
      <c r="I307" s="177">
        <f t="shared" si="45"/>
        <v>9276.1980000000058</v>
      </c>
      <c r="J307" s="177">
        <f t="shared" si="43"/>
        <v>2341.3719999999939</v>
      </c>
      <c r="K307" s="235">
        <f t="shared" si="44"/>
        <v>280.85604302826596</v>
      </c>
      <c r="L307" s="569"/>
      <c r="M307" s="570"/>
      <c r="N307" s="11"/>
    </row>
    <row r="308" spans="2:14" ht="15" customHeight="1">
      <c r="B308" s="176">
        <f t="shared" si="51"/>
        <v>284</v>
      </c>
      <c r="C308" s="173"/>
      <c r="D308" s="174">
        <v>7</v>
      </c>
      <c r="E308" s="168">
        <f t="shared" si="49"/>
        <v>286</v>
      </c>
      <c r="F308" s="286">
        <f t="shared" si="50"/>
        <v>33.229999999999997</v>
      </c>
      <c r="G308" s="175">
        <f t="shared" si="48"/>
        <v>32.831999999999994</v>
      </c>
      <c r="H308" s="175" t="str">
        <f t="shared" si="52"/>
        <v>IN</v>
      </c>
      <c r="I308" s="177">
        <f t="shared" si="45"/>
        <v>9309.0300000000061</v>
      </c>
      <c r="J308" s="177">
        <f t="shared" si="43"/>
        <v>2308.5399999999936</v>
      </c>
      <c r="K308" s="235">
        <f t="shared" si="44"/>
        <v>281.54925220779234</v>
      </c>
      <c r="L308" s="546"/>
      <c r="M308" s="547"/>
      <c r="N308" s="11"/>
    </row>
    <row r="309" spans="2:14" ht="15" customHeight="1">
      <c r="B309" s="176">
        <f t="shared" si="51"/>
        <v>285</v>
      </c>
      <c r="C309" s="173"/>
      <c r="D309" s="174">
        <v>7</v>
      </c>
      <c r="E309" s="168">
        <f t="shared" si="49"/>
        <v>287</v>
      </c>
      <c r="F309" s="286">
        <f t="shared" si="50"/>
        <v>33.26</v>
      </c>
      <c r="G309" s="175">
        <f t="shared" si="48"/>
        <v>32.861999999999995</v>
      </c>
      <c r="H309" s="175" t="str">
        <f t="shared" si="52"/>
        <v>IN</v>
      </c>
      <c r="I309" s="177">
        <f t="shared" si="45"/>
        <v>9341.8920000000053</v>
      </c>
      <c r="J309" s="177">
        <f t="shared" si="43"/>
        <v>2275.6779999999944</v>
      </c>
      <c r="K309" s="235">
        <f t="shared" si="44"/>
        <v>282.24309480213913</v>
      </c>
      <c r="L309" s="225"/>
      <c r="M309" s="226"/>
      <c r="N309" s="11"/>
    </row>
    <row r="310" spans="2:14" ht="15" customHeight="1">
      <c r="B310" s="176">
        <f t="shared" si="51"/>
        <v>286</v>
      </c>
      <c r="C310" s="173"/>
      <c r="D310" s="174">
        <v>7</v>
      </c>
      <c r="E310" s="168">
        <f t="shared" si="49"/>
        <v>288</v>
      </c>
      <c r="F310" s="286">
        <f t="shared" si="50"/>
        <v>33.26</v>
      </c>
      <c r="G310" s="175">
        <f t="shared" si="48"/>
        <v>32.861999999999995</v>
      </c>
      <c r="H310" s="175" t="str">
        <f t="shared" si="52"/>
        <v>IN</v>
      </c>
      <c r="I310" s="177">
        <f t="shared" si="45"/>
        <v>9374.7540000000045</v>
      </c>
      <c r="J310" s="177">
        <f t="shared" si="43"/>
        <v>2242.8159999999953</v>
      </c>
      <c r="K310" s="235">
        <f t="shared" si="44"/>
        <v>282.93693739648597</v>
      </c>
      <c r="L310" s="225"/>
      <c r="M310" s="226"/>
      <c r="N310" s="11"/>
    </row>
    <row r="311" spans="2:14" ht="15" customHeight="1">
      <c r="B311" s="176">
        <f t="shared" si="51"/>
        <v>287</v>
      </c>
      <c r="C311" s="173"/>
      <c r="D311" s="174">
        <v>7</v>
      </c>
      <c r="E311" s="168">
        <f t="shared" si="49"/>
        <v>289</v>
      </c>
      <c r="F311" s="286">
        <f t="shared" si="50"/>
        <v>31.78</v>
      </c>
      <c r="G311" s="175">
        <f t="shared" si="48"/>
        <v>31.382000000000001</v>
      </c>
      <c r="H311" s="175" t="str">
        <f t="shared" si="52"/>
        <v>IN</v>
      </c>
      <c r="I311" s="177">
        <f t="shared" si="45"/>
        <v>9406.1360000000041</v>
      </c>
      <c r="J311" s="177">
        <f t="shared" si="43"/>
        <v>2211.4339999999956</v>
      </c>
      <c r="K311" s="235">
        <f t="shared" si="44"/>
        <v>283.59953152635609</v>
      </c>
      <c r="L311" s="225"/>
      <c r="M311" s="226"/>
      <c r="N311" s="11"/>
    </row>
    <row r="312" spans="2:14" ht="15" customHeight="1">
      <c r="B312" s="176">
        <f t="shared" si="51"/>
        <v>288</v>
      </c>
      <c r="C312" s="173"/>
      <c r="D312" s="174">
        <v>7</v>
      </c>
      <c r="E312" s="168">
        <f t="shared" si="49"/>
        <v>290</v>
      </c>
      <c r="F312" s="286">
        <f t="shared" si="50"/>
        <v>33.47</v>
      </c>
      <c r="G312" s="175">
        <f t="shared" si="48"/>
        <v>33.071999999999996</v>
      </c>
      <c r="H312" s="175" t="str">
        <f t="shared" si="52"/>
        <v>IN</v>
      </c>
      <c r="I312" s="177">
        <f t="shared" si="45"/>
        <v>9439.2080000000042</v>
      </c>
      <c r="J312" s="177">
        <f t="shared" si="43"/>
        <v>2178.3619999999955</v>
      </c>
      <c r="K312" s="235">
        <f t="shared" si="44"/>
        <v>284.29780802444623</v>
      </c>
      <c r="L312" s="225"/>
      <c r="M312" s="226"/>
      <c r="N312" s="11"/>
    </row>
    <row r="313" spans="2:14" ht="15" customHeight="1">
      <c r="B313" s="176">
        <f t="shared" si="51"/>
        <v>289</v>
      </c>
      <c r="C313" s="173"/>
      <c r="D313" s="174">
        <v>7</v>
      </c>
      <c r="E313" s="168">
        <f t="shared" si="49"/>
        <v>291</v>
      </c>
      <c r="F313" s="286">
        <f t="shared" si="50"/>
        <v>33.229999999999997</v>
      </c>
      <c r="G313" s="175">
        <f t="shared" si="48"/>
        <v>32.831999999999994</v>
      </c>
      <c r="H313" s="175" t="str">
        <f t="shared" si="52"/>
        <v>IN</v>
      </c>
      <c r="I313" s="177">
        <f t="shared" si="45"/>
        <v>9472.0400000000045</v>
      </c>
      <c r="J313" s="177">
        <f t="shared" si="43"/>
        <v>2145.5299999999952</v>
      </c>
      <c r="K313" s="235">
        <f t="shared" si="44"/>
        <v>284.9910172039726</v>
      </c>
      <c r="L313" s="225"/>
      <c r="M313" s="226"/>
      <c r="N313" s="11"/>
    </row>
    <row r="314" spans="2:14" ht="15" customHeight="1">
      <c r="B314" s="176">
        <f t="shared" si="51"/>
        <v>290</v>
      </c>
      <c r="C314" s="173"/>
      <c r="D314" s="174">
        <v>7</v>
      </c>
      <c r="E314" s="168">
        <f t="shared" si="49"/>
        <v>292</v>
      </c>
      <c r="F314" s="286">
        <f t="shared" si="50"/>
        <v>33.25</v>
      </c>
      <c r="G314" s="175">
        <f t="shared" si="48"/>
        <v>32.851999999999997</v>
      </c>
      <c r="H314" s="175" t="str">
        <f t="shared" si="52"/>
        <v>IN</v>
      </c>
      <c r="I314" s="177">
        <f t="shared" si="45"/>
        <v>9504.8920000000053</v>
      </c>
      <c r="J314" s="177">
        <f t="shared" si="43"/>
        <v>2112.6779999999944</v>
      </c>
      <c r="K314" s="235">
        <f t="shared" si="44"/>
        <v>285.68464866004592</v>
      </c>
      <c r="L314" s="225"/>
      <c r="M314" s="226"/>
      <c r="N314" s="11"/>
    </row>
    <row r="315" spans="2:14" ht="15" customHeight="1">
      <c r="B315" s="176">
        <f t="shared" si="51"/>
        <v>291</v>
      </c>
      <c r="C315" s="173"/>
      <c r="D315" s="174">
        <v>7</v>
      </c>
      <c r="E315" s="168">
        <f t="shared" si="49"/>
        <v>293</v>
      </c>
      <c r="F315" s="286">
        <f t="shared" si="50"/>
        <v>33.25</v>
      </c>
      <c r="G315" s="175">
        <f t="shared" si="48"/>
        <v>32.851999999999997</v>
      </c>
      <c r="H315" s="175" t="s">
        <v>131</v>
      </c>
      <c r="I315" s="175">
        <f t="shared" si="45"/>
        <v>9537.7440000000061</v>
      </c>
      <c r="J315" s="175">
        <f t="shared" si="43"/>
        <v>2079.8259999999937</v>
      </c>
      <c r="K315" s="262">
        <f t="shared" si="44"/>
        <v>286.3782801161193</v>
      </c>
      <c r="L315" s="567"/>
      <c r="M315" s="567"/>
      <c r="N315" s="11"/>
    </row>
    <row r="316" spans="2:14" ht="15" customHeight="1">
      <c r="B316" s="176">
        <f t="shared" si="51"/>
        <v>292</v>
      </c>
      <c r="C316" s="173"/>
      <c r="D316" s="174">
        <v>7</v>
      </c>
      <c r="E316" s="168">
        <f t="shared" si="49"/>
        <v>294</v>
      </c>
      <c r="F316" s="286">
        <f t="shared" si="50"/>
        <v>33.340000000000003</v>
      </c>
      <c r="G316" s="175">
        <f t="shared" si="48"/>
        <v>32.942</v>
      </c>
      <c r="H316" s="175" t="str">
        <f t="shared" ref="H316:H341" si="53">IF(F316="","OUT","IN")</f>
        <v>IN</v>
      </c>
      <c r="I316" s="177">
        <f t="shared" si="45"/>
        <v>9570.6860000000052</v>
      </c>
      <c r="J316" s="177">
        <f t="shared" si="43"/>
        <v>2046.8839999999946</v>
      </c>
      <c r="K316" s="235">
        <f t="shared" si="44"/>
        <v>287.07381181665403</v>
      </c>
      <c r="L316" s="567"/>
      <c r="M316" s="567"/>
      <c r="N316" s="11"/>
    </row>
    <row r="317" spans="2:14" ht="15" customHeight="1">
      <c r="B317" s="176">
        <f t="shared" si="51"/>
        <v>293</v>
      </c>
      <c r="C317" s="173"/>
      <c r="D317" s="174">
        <v>7</v>
      </c>
      <c r="E317" s="168">
        <f t="shared" si="49"/>
        <v>295</v>
      </c>
      <c r="F317" s="286">
        <f t="shared" si="50"/>
        <v>33.51</v>
      </c>
      <c r="G317" s="175">
        <f t="shared" si="48"/>
        <v>33.111999999999995</v>
      </c>
      <c r="H317" s="175" t="str">
        <f t="shared" si="53"/>
        <v>IN</v>
      </c>
      <c r="I317" s="177">
        <f t="shared" si="45"/>
        <v>9603.7980000000043</v>
      </c>
      <c r="J317" s="177">
        <f t="shared" si="43"/>
        <v>2013.7719999999954</v>
      </c>
      <c r="K317" s="235">
        <f t="shared" si="44"/>
        <v>287.77293286783816</v>
      </c>
      <c r="L317" s="567"/>
      <c r="M317" s="567"/>
      <c r="N317" s="11"/>
    </row>
    <row r="318" spans="2:14" ht="15" customHeight="1">
      <c r="B318" s="176">
        <f t="shared" si="51"/>
        <v>294</v>
      </c>
      <c r="C318" s="173"/>
      <c r="D318" s="174">
        <v>7</v>
      </c>
      <c r="E318" s="168">
        <f t="shared" si="49"/>
        <v>296</v>
      </c>
      <c r="F318" s="286">
        <f t="shared" si="50"/>
        <v>32.61</v>
      </c>
      <c r="G318" s="175">
        <f t="shared" si="48"/>
        <v>32.211999999999996</v>
      </c>
      <c r="H318" s="175" t="str">
        <f t="shared" si="53"/>
        <v>IN</v>
      </c>
      <c r="I318" s="177">
        <f t="shared" si="45"/>
        <v>9636.0100000000039</v>
      </c>
      <c r="J318" s="177">
        <f t="shared" si="43"/>
        <v>1981.5599999999959</v>
      </c>
      <c r="K318" s="235">
        <f t="shared" si="44"/>
        <v>288.45305147440808</v>
      </c>
      <c r="L318" s="567"/>
      <c r="M318" s="567"/>
      <c r="N318" s="11"/>
    </row>
    <row r="319" spans="2:14" ht="15" customHeight="1">
      <c r="B319" s="176">
        <f t="shared" si="51"/>
        <v>295</v>
      </c>
      <c r="C319" s="176"/>
      <c r="D319" s="232">
        <v>7</v>
      </c>
      <c r="E319" s="168">
        <f t="shared" si="49"/>
        <v>297</v>
      </c>
      <c r="F319" s="286">
        <f t="shared" si="50"/>
        <v>33.57</v>
      </c>
      <c r="G319" s="177">
        <f t="shared" si="48"/>
        <v>33.171999999999997</v>
      </c>
      <c r="H319" s="175" t="str">
        <f t="shared" si="53"/>
        <v>IN</v>
      </c>
      <c r="I319" s="177">
        <f t="shared" si="45"/>
        <v>9669.1820000000043</v>
      </c>
      <c r="J319" s="177">
        <f t="shared" si="43"/>
        <v>1948.3879999999954</v>
      </c>
      <c r="K319" s="235">
        <f t="shared" si="44"/>
        <v>289.1534393552331</v>
      </c>
      <c r="L319" s="566"/>
      <c r="M319" s="566"/>
      <c r="N319" s="11"/>
    </row>
    <row r="320" spans="2:14" ht="15" customHeight="1">
      <c r="B320" s="176">
        <f t="shared" si="51"/>
        <v>296</v>
      </c>
      <c r="C320" s="173"/>
      <c r="D320" s="174">
        <v>7</v>
      </c>
      <c r="E320" s="168">
        <f t="shared" si="49"/>
        <v>298</v>
      </c>
      <c r="F320" s="286">
        <f t="shared" si="50"/>
        <v>32.68</v>
      </c>
      <c r="G320" s="175">
        <f t="shared" si="48"/>
        <v>32.281999999999996</v>
      </c>
      <c r="H320" s="175" t="str">
        <f t="shared" si="53"/>
        <v>IN</v>
      </c>
      <c r="I320" s="177">
        <f t="shared" si="45"/>
        <v>9701.4640000000036</v>
      </c>
      <c r="J320" s="177">
        <f t="shared" si="43"/>
        <v>1916.1059999999961</v>
      </c>
      <c r="K320" s="235">
        <f t="shared" si="44"/>
        <v>289.83503592971744</v>
      </c>
      <c r="L320" s="567"/>
      <c r="M320" s="567"/>
      <c r="N320" s="11"/>
    </row>
    <row r="321" spans="1:14" ht="13.15" customHeight="1">
      <c r="B321" s="176">
        <f t="shared" si="51"/>
        <v>297</v>
      </c>
      <c r="C321" s="173"/>
      <c r="D321" s="174">
        <v>7</v>
      </c>
      <c r="E321" s="168">
        <f t="shared" si="49"/>
        <v>299</v>
      </c>
      <c r="F321" s="286">
        <f t="shared" si="50"/>
        <v>33.06</v>
      </c>
      <c r="G321" s="175">
        <f t="shared" si="48"/>
        <v>32.661999999999999</v>
      </c>
      <c r="H321" s="175" t="str">
        <f t="shared" si="53"/>
        <v>IN</v>
      </c>
      <c r="I321" s="177">
        <f t="shared" si="45"/>
        <v>9734.1260000000038</v>
      </c>
      <c r="J321" s="177">
        <f t="shared" si="43"/>
        <v>1883.4439999999959</v>
      </c>
      <c r="K321" s="235">
        <f t="shared" si="44"/>
        <v>290.52465575859446</v>
      </c>
      <c r="L321" s="567"/>
      <c r="M321" s="567"/>
      <c r="N321" s="11"/>
    </row>
    <row r="322" spans="1:14" ht="13.15" customHeight="1">
      <c r="B322" s="176">
        <f t="shared" si="51"/>
        <v>298</v>
      </c>
      <c r="C322" s="173"/>
      <c r="D322" s="174">
        <v>7</v>
      </c>
      <c r="E322" s="168">
        <f t="shared" si="49"/>
        <v>300</v>
      </c>
      <c r="F322" s="286">
        <f t="shared" si="50"/>
        <v>33.04</v>
      </c>
      <c r="G322" s="175">
        <f t="shared" si="48"/>
        <v>32.641999999999996</v>
      </c>
      <c r="H322" s="175" t="str">
        <f t="shared" si="53"/>
        <v>IN</v>
      </c>
      <c r="I322" s="177">
        <f t="shared" si="45"/>
        <v>9766.7680000000037</v>
      </c>
      <c r="J322" s="177">
        <f t="shared" si="43"/>
        <v>1850.801999999996</v>
      </c>
      <c r="K322" s="235">
        <f t="shared" si="44"/>
        <v>291.21385331092449</v>
      </c>
      <c r="L322" s="567"/>
      <c r="M322" s="567"/>
      <c r="N322" s="11"/>
    </row>
    <row r="323" spans="1:14" ht="13.15" customHeight="1">
      <c r="B323" s="176">
        <f t="shared" si="51"/>
        <v>299</v>
      </c>
      <c r="C323" s="173"/>
      <c r="D323" s="174">
        <v>7</v>
      </c>
      <c r="E323" s="168">
        <f t="shared" si="49"/>
        <v>301</v>
      </c>
      <c r="F323" s="286">
        <f t="shared" si="50"/>
        <v>33.229999999999997</v>
      </c>
      <c r="G323" s="175">
        <f t="shared" si="48"/>
        <v>32.831999999999994</v>
      </c>
      <c r="H323" s="175" t="str">
        <f t="shared" si="53"/>
        <v>IN</v>
      </c>
      <c r="I323" s="177">
        <f t="shared" si="45"/>
        <v>9799.600000000004</v>
      </c>
      <c r="J323" s="177">
        <f t="shared" si="43"/>
        <v>1817.9699999999957</v>
      </c>
      <c r="K323" s="235">
        <f t="shared" si="44"/>
        <v>291.90706249045081</v>
      </c>
      <c r="L323" s="546"/>
      <c r="M323" s="547"/>
      <c r="N323" s="11"/>
    </row>
    <row r="324" spans="1:14" ht="12.6" customHeight="1">
      <c r="B324" s="176">
        <f t="shared" si="51"/>
        <v>300</v>
      </c>
      <c r="C324" s="173"/>
      <c r="D324" s="174">
        <v>7</v>
      </c>
      <c r="E324" s="168">
        <f t="shared" si="49"/>
        <v>302</v>
      </c>
      <c r="F324" s="286">
        <f t="shared" si="50"/>
        <v>33.03</v>
      </c>
      <c r="G324" s="175">
        <f t="shared" si="48"/>
        <v>32.631999999999998</v>
      </c>
      <c r="H324" s="175" t="str">
        <f t="shared" si="53"/>
        <v>IN</v>
      </c>
      <c r="I324" s="175">
        <f t="shared" si="45"/>
        <v>9832.2320000000036</v>
      </c>
      <c r="J324" s="175">
        <f t="shared" si="43"/>
        <v>1785.3379999999961</v>
      </c>
      <c r="K324" s="262">
        <f t="shared" si="44"/>
        <v>292.59604890450737</v>
      </c>
      <c r="L324" s="568"/>
      <c r="M324" s="568"/>
      <c r="N324" s="11"/>
    </row>
    <row r="325" spans="1:14" ht="13.15" customHeight="1">
      <c r="B325" s="176">
        <f t="shared" si="51"/>
        <v>301</v>
      </c>
      <c r="C325" s="173"/>
      <c r="D325" s="174">
        <v>7</v>
      </c>
      <c r="E325" s="168">
        <f t="shared" si="49"/>
        <v>303</v>
      </c>
      <c r="F325" s="286">
        <f t="shared" si="50"/>
        <v>33.270000000000003</v>
      </c>
      <c r="G325" s="175">
        <f t="shared" si="48"/>
        <v>32.872</v>
      </c>
      <c r="H325" s="175" t="str">
        <f t="shared" si="53"/>
        <v>IN</v>
      </c>
      <c r="I325" s="175">
        <f t="shared" si="45"/>
        <v>9865.104000000003</v>
      </c>
      <c r="J325" s="175">
        <f t="shared" si="43"/>
        <v>1752.4659999999967</v>
      </c>
      <c r="K325" s="262">
        <f t="shared" si="44"/>
        <v>293.29010263712769</v>
      </c>
      <c r="L325" s="567"/>
      <c r="M325" s="567"/>
      <c r="N325" s="11"/>
    </row>
    <row r="326" spans="1:14" ht="13.15" customHeight="1">
      <c r="B326" s="176">
        <f t="shared" si="51"/>
        <v>302</v>
      </c>
      <c r="C326" s="173"/>
      <c r="D326" s="174">
        <v>7</v>
      </c>
      <c r="E326" s="168">
        <f t="shared" si="49"/>
        <v>304</v>
      </c>
      <c r="F326" s="286">
        <f t="shared" si="50"/>
        <v>32.56</v>
      </c>
      <c r="G326" s="175">
        <f t="shared" si="48"/>
        <v>32.161999999999999</v>
      </c>
      <c r="H326" s="175" t="str">
        <f t="shared" si="53"/>
        <v>IN</v>
      </c>
      <c r="I326" s="175">
        <f t="shared" si="45"/>
        <v>9897.2660000000033</v>
      </c>
      <c r="J326" s="175">
        <f t="shared" si="43"/>
        <v>1720.3039999999964</v>
      </c>
      <c r="K326" s="262">
        <f t="shared" si="44"/>
        <v>293.96916555233008</v>
      </c>
      <c r="L326" s="546"/>
      <c r="M326" s="547"/>
      <c r="N326" s="11"/>
    </row>
    <row r="327" spans="1:14" s="246" customFormat="1" ht="13.15" customHeight="1">
      <c r="A327" s="231"/>
      <c r="B327" s="176">
        <f t="shared" si="51"/>
        <v>303</v>
      </c>
      <c r="C327" s="173"/>
      <c r="D327" s="174">
        <v>7</v>
      </c>
      <c r="E327" s="168">
        <f t="shared" si="49"/>
        <v>305</v>
      </c>
      <c r="F327" s="286">
        <f t="shared" si="50"/>
        <v>31.48</v>
      </c>
      <c r="G327" s="175">
        <f t="shared" si="48"/>
        <v>31.082000000000001</v>
      </c>
      <c r="H327" s="175" t="str">
        <f t="shared" si="53"/>
        <v>IN</v>
      </c>
      <c r="I327" s="175">
        <f t="shared" si="45"/>
        <v>9928.3480000000036</v>
      </c>
      <c r="J327" s="175">
        <f t="shared" si="43"/>
        <v>1689.2219999999961</v>
      </c>
      <c r="K327" s="262">
        <f t="shared" si="44"/>
        <v>294.6254255339955</v>
      </c>
      <c r="L327" s="546"/>
      <c r="M327" s="547"/>
      <c r="N327" s="272"/>
    </row>
    <row r="328" spans="1:14" ht="15" customHeight="1">
      <c r="B328" s="176">
        <f t="shared" si="51"/>
        <v>304</v>
      </c>
      <c r="C328" s="173"/>
      <c r="D328" s="174">
        <v>7</v>
      </c>
      <c r="E328" s="168">
        <f t="shared" si="49"/>
        <v>306</v>
      </c>
      <c r="F328" s="286">
        <f t="shared" si="50"/>
        <v>33.24</v>
      </c>
      <c r="G328" s="175">
        <f t="shared" si="48"/>
        <v>32.841999999999999</v>
      </c>
      <c r="H328" s="175" t="str">
        <f t="shared" si="53"/>
        <v>IN</v>
      </c>
      <c r="I328" s="175">
        <f t="shared" si="45"/>
        <v>9961.1900000000041</v>
      </c>
      <c r="J328" s="175">
        <f t="shared" si="43"/>
        <v>1656.3799999999956</v>
      </c>
      <c r="K328" s="262">
        <f t="shared" si="44"/>
        <v>295.31884585179534</v>
      </c>
      <c r="L328" s="546"/>
      <c r="M328" s="547"/>
      <c r="N328" s="11"/>
    </row>
    <row r="329" spans="1:14" ht="15" customHeight="1">
      <c r="B329" s="176">
        <f t="shared" si="51"/>
        <v>305</v>
      </c>
      <c r="C329" s="173"/>
      <c r="D329" s="174">
        <v>7</v>
      </c>
      <c r="E329" s="168">
        <f t="shared" si="49"/>
        <v>307</v>
      </c>
      <c r="F329" s="286">
        <f t="shared" si="50"/>
        <v>33.479999999999997</v>
      </c>
      <c r="G329" s="175">
        <f t="shared" si="48"/>
        <v>33.081999999999994</v>
      </c>
      <c r="H329" s="175" t="str">
        <f t="shared" si="53"/>
        <v>IN</v>
      </c>
      <c r="I329" s="175">
        <f t="shared" si="45"/>
        <v>9994.2720000000045</v>
      </c>
      <c r="J329" s="175">
        <f t="shared" si="43"/>
        <v>1623.2979999999952</v>
      </c>
      <c r="K329" s="262">
        <f t="shared" si="44"/>
        <v>296.01733348815901</v>
      </c>
      <c r="L329" s="546"/>
      <c r="M329" s="547"/>
      <c r="N329" s="11"/>
    </row>
    <row r="330" spans="1:14" ht="15" customHeight="1">
      <c r="B330" s="176">
        <f t="shared" si="51"/>
        <v>306</v>
      </c>
      <c r="C330" s="173"/>
      <c r="D330" s="174">
        <v>7</v>
      </c>
      <c r="E330" s="168">
        <f t="shared" si="49"/>
        <v>308</v>
      </c>
      <c r="F330" s="286">
        <f t="shared" si="50"/>
        <v>33.270000000000003</v>
      </c>
      <c r="G330" s="175">
        <f t="shared" si="48"/>
        <v>32.872</v>
      </c>
      <c r="H330" s="175" t="str">
        <f t="shared" si="53"/>
        <v>IN</v>
      </c>
      <c r="I330" s="175">
        <f t="shared" si="45"/>
        <v>10027.144000000004</v>
      </c>
      <c r="J330" s="175">
        <f t="shared" si="43"/>
        <v>1590.4259999999958</v>
      </c>
      <c r="K330" s="262">
        <f t="shared" si="44"/>
        <v>296.71138722077933</v>
      </c>
      <c r="L330" s="546"/>
      <c r="M330" s="547"/>
      <c r="N330" s="11"/>
    </row>
    <row r="331" spans="1:14" ht="17.45" customHeight="1">
      <c r="B331" s="176">
        <f t="shared" si="51"/>
        <v>307</v>
      </c>
      <c r="C331" s="173"/>
      <c r="D331" s="174">
        <v>7</v>
      </c>
      <c r="E331" s="168">
        <f t="shared" si="49"/>
        <v>309</v>
      </c>
      <c r="F331" s="286">
        <f t="shared" si="50"/>
        <v>33.03</v>
      </c>
      <c r="G331" s="175">
        <f t="shared" si="48"/>
        <v>32.631999999999998</v>
      </c>
      <c r="H331" s="175" t="str">
        <f t="shared" si="53"/>
        <v>IN</v>
      </c>
      <c r="I331" s="175">
        <f t="shared" si="45"/>
        <v>10059.776000000003</v>
      </c>
      <c r="J331" s="175">
        <f t="shared" si="43"/>
        <v>1557.7939999999962</v>
      </c>
      <c r="K331" s="262">
        <f t="shared" si="44"/>
        <v>297.40037363483589</v>
      </c>
      <c r="L331" s="546"/>
      <c r="M331" s="547"/>
      <c r="N331" s="11"/>
    </row>
    <row r="332" spans="1:14" ht="15" customHeight="1">
      <c r="B332" s="176">
        <f t="shared" si="51"/>
        <v>308</v>
      </c>
      <c r="C332" s="173"/>
      <c r="D332" s="174">
        <v>7</v>
      </c>
      <c r="E332" s="168">
        <f t="shared" si="49"/>
        <v>310</v>
      </c>
      <c r="F332" s="286">
        <f t="shared" si="50"/>
        <v>33.340000000000003</v>
      </c>
      <c r="G332" s="175">
        <f t="shared" si="48"/>
        <v>32.942</v>
      </c>
      <c r="H332" s="175" t="str">
        <f t="shared" si="53"/>
        <v>IN</v>
      </c>
      <c r="I332" s="175">
        <f t="shared" si="45"/>
        <v>10092.718000000003</v>
      </c>
      <c r="J332" s="175">
        <f t="shared" si="43"/>
        <v>1524.8519999999971</v>
      </c>
      <c r="K332" s="262">
        <f t="shared" si="44"/>
        <v>298.09590533537056</v>
      </c>
    </row>
    <row r="333" spans="1:14" ht="15" customHeight="1">
      <c r="B333" s="176">
        <f t="shared" si="51"/>
        <v>309</v>
      </c>
      <c r="C333" s="173"/>
      <c r="D333" s="174">
        <v>7</v>
      </c>
      <c r="E333" s="168">
        <f t="shared" si="49"/>
        <v>311</v>
      </c>
      <c r="F333" s="286">
        <f t="shared" si="50"/>
        <v>33.28</v>
      </c>
      <c r="G333" s="175">
        <f t="shared" si="48"/>
        <v>32.881999999999998</v>
      </c>
      <c r="H333" s="175" t="str">
        <f t="shared" si="53"/>
        <v>IN</v>
      </c>
      <c r="I333" s="175">
        <f t="shared" si="45"/>
        <v>10125.600000000002</v>
      </c>
      <c r="J333" s="175">
        <f t="shared" si="43"/>
        <v>1491.9699999999975</v>
      </c>
      <c r="K333" s="262">
        <f t="shared" si="44"/>
        <v>298.79017020626435</v>
      </c>
      <c r="L333" s="431"/>
      <c r="M333" s="432"/>
      <c r="N333" s="11"/>
    </row>
    <row r="334" spans="1:14" ht="15" customHeight="1">
      <c r="B334" s="176">
        <f t="shared" si="51"/>
        <v>310</v>
      </c>
      <c r="C334" s="173"/>
      <c r="D334" s="174">
        <v>7</v>
      </c>
      <c r="E334" s="168">
        <f t="shared" si="49"/>
        <v>312</v>
      </c>
      <c r="F334" s="286">
        <f t="shared" si="50"/>
        <v>33.36</v>
      </c>
      <c r="G334" s="175">
        <f t="shared" si="48"/>
        <v>32.961999999999996</v>
      </c>
      <c r="H334" s="175" t="str">
        <f t="shared" si="53"/>
        <v>IN</v>
      </c>
      <c r="I334" s="175">
        <f t="shared" si="45"/>
        <v>10158.562000000002</v>
      </c>
      <c r="J334" s="175">
        <f t="shared" si="43"/>
        <v>1459.007999999998</v>
      </c>
      <c r="K334" s="262">
        <f t="shared" si="44"/>
        <v>299.48612418334608</v>
      </c>
      <c r="L334" s="431"/>
      <c r="M334" s="432"/>
      <c r="N334" s="11"/>
    </row>
    <row r="335" spans="1:14" ht="15" customHeight="1">
      <c r="B335" s="176">
        <f t="shared" si="51"/>
        <v>311</v>
      </c>
      <c r="C335" s="173"/>
      <c r="D335" s="174">
        <v>7</v>
      </c>
      <c r="E335" s="168">
        <f t="shared" si="49"/>
        <v>313</v>
      </c>
      <c r="F335" s="286">
        <f t="shared" si="50"/>
        <v>33.200000000000003</v>
      </c>
      <c r="G335" s="175">
        <f t="shared" si="48"/>
        <v>32.802</v>
      </c>
      <c r="H335" s="175" t="str">
        <f t="shared" si="53"/>
        <v>IN</v>
      </c>
      <c r="I335" s="175">
        <f t="shared" si="45"/>
        <v>10191.364000000001</v>
      </c>
      <c r="J335" s="175">
        <f t="shared" ref="J335:J398" si="54">IF(I335="","",$L$9-I335)</f>
        <v>1426.2059999999983</v>
      </c>
      <c r="K335" s="262">
        <f t="shared" ref="K335:K398" si="55">$H$9+(I335*$E$10*$H$11/1000)</f>
        <v>300.17869994805199</v>
      </c>
      <c r="L335" s="431"/>
      <c r="M335" s="432"/>
      <c r="N335" s="11"/>
    </row>
    <row r="336" spans="1:14" ht="15" customHeight="1">
      <c r="B336" s="176">
        <f t="shared" si="51"/>
        <v>312</v>
      </c>
      <c r="C336" s="173"/>
      <c r="D336" s="174">
        <v>7</v>
      </c>
      <c r="E336" s="168">
        <f t="shared" si="49"/>
        <v>314</v>
      </c>
      <c r="F336" s="286">
        <f t="shared" si="50"/>
        <v>33.17</v>
      </c>
      <c r="G336" s="175">
        <f t="shared" si="48"/>
        <v>32.771999999999998</v>
      </c>
      <c r="H336" s="175" t="str">
        <f t="shared" si="53"/>
        <v>IN</v>
      </c>
      <c r="I336" s="175">
        <f t="shared" ref="I336:I399" si="56">IF(H336="IN",I335+G336,I335)</f>
        <v>10224.136000000002</v>
      </c>
      <c r="J336" s="175">
        <f t="shared" si="54"/>
        <v>1393.4339999999975</v>
      </c>
      <c r="K336" s="262">
        <f t="shared" si="55"/>
        <v>300.87064229793748</v>
      </c>
      <c r="L336" s="431"/>
      <c r="M336" s="432"/>
      <c r="N336" s="11"/>
    </row>
    <row r="337" spans="1:14" ht="15" customHeight="1">
      <c r="B337" s="176">
        <f t="shared" si="51"/>
        <v>313</v>
      </c>
      <c r="C337" s="173"/>
      <c r="D337" s="174">
        <v>7</v>
      </c>
      <c r="E337" s="168">
        <f t="shared" si="49"/>
        <v>315</v>
      </c>
      <c r="F337" s="286">
        <f t="shared" si="50"/>
        <v>33.380000000000003</v>
      </c>
      <c r="G337" s="175">
        <f t="shared" si="48"/>
        <v>32.981999999999999</v>
      </c>
      <c r="H337" s="175" t="str">
        <f t="shared" si="53"/>
        <v>IN</v>
      </c>
      <c r="I337" s="175">
        <f t="shared" si="56"/>
        <v>10257.118000000002</v>
      </c>
      <c r="J337" s="175">
        <f t="shared" si="54"/>
        <v>1360.4519999999975</v>
      </c>
      <c r="K337" s="262">
        <f t="shared" si="55"/>
        <v>301.56701855156621</v>
      </c>
      <c r="L337" s="548" t="s">
        <v>132</v>
      </c>
      <c r="M337" s="549"/>
      <c r="N337" s="11"/>
    </row>
    <row r="338" spans="1:14" ht="15" customHeight="1">
      <c r="A338" s="231"/>
      <c r="B338" s="176">
        <f t="shared" si="51"/>
        <v>314</v>
      </c>
      <c r="C338" s="173"/>
      <c r="D338" s="174">
        <v>7</v>
      </c>
      <c r="E338" s="168">
        <f t="shared" si="49"/>
        <v>316</v>
      </c>
      <c r="F338" s="286">
        <f t="shared" si="50"/>
        <v>33.25</v>
      </c>
      <c r="G338" s="175">
        <f t="shared" si="48"/>
        <v>32.851999999999997</v>
      </c>
      <c r="H338" s="175" t="str">
        <f t="shared" si="53"/>
        <v>IN</v>
      </c>
      <c r="I338" s="175">
        <f t="shared" si="56"/>
        <v>10289.970000000003</v>
      </c>
      <c r="J338" s="175">
        <f t="shared" si="54"/>
        <v>1327.5999999999967</v>
      </c>
      <c r="K338" s="262">
        <f t="shared" si="55"/>
        <v>302.26065000763953</v>
      </c>
      <c r="L338" s="441"/>
      <c r="M338" s="442"/>
      <c r="N338" s="11"/>
    </row>
    <row r="339" spans="1:14" ht="15" customHeight="1">
      <c r="A339" s="231"/>
      <c r="B339" s="176">
        <f t="shared" si="51"/>
        <v>315</v>
      </c>
      <c r="C339" s="173"/>
      <c r="D339" s="174">
        <v>7</v>
      </c>
      <c r="E339" s="168">
        <f t="shared" si="49"/>
        <v>317</v>
      </c>
      <c r="F339" s="286">
        <f t="shared" si="50"/>
        <v>33.58</v>
      </c>
      <c r="G339" s="175">
        <f t="shared" si="48"/>
        <v>33.181999999999995</v>
      </c>
      <c r="H339" s="175" t="str">
        <f t="shared" si="53"/>
        <v>IN</v>
      </c>
      <c r="I339" s="175">
        <f t="shared" si="56"/>
        <v>10323.152000000004</v>
      </c>
      <c r="J339" s="175">
        <f t="shared" si="54"/>
        <v>1294.417999999996</v>
      </c>
      <c r="K339" s="262">
        <f t="shared" si="55"/>
        <v>302.96124902673807</v>
      </c>
      <c r="L339" s="441"/>
      <c r="M339" s="442"/>
      <c r="N339" s="11"/>
    </row>
    <row r="340" spans="1:14" ht="15" customHeight="1">
      <c r="A340" s="231"/>
      <c r="B340" s="176">
        <f t="shared" si="51"/>
        <v>316</v>
      </c>
      <c r="C340" s="173"/>
      <c r="D340" s="174">
        <v>7</v>
      </c>
      <c r="E340" s="168">
        <f t="shared" si="49"/>
        <v>318</v>
      </c>
      <c r="F340" s="286">
        <f t="shared" si="50"/>
        <v>32.93</v>
      </c>
      <c r="G340" s="175">
        <f t="shared" si="48"/>
        <v>32.531999999999996</v>
      </c>
      <c r="H340" s="175" t="str">
        <f t="shared" si="53"/>
        <v>IN</v>
      </c>
      <c r="I340" s="175">
        <f t="shared" si="56"/>
        <v>10355.684000000003</v>
      </c>
      <c r="J340" s="175">
        <f t="shared" si="54"/>
        <v>1261.8859999999968</v>
      </c>
      <c r="K340" s="262">
        <f t="shared" si="55"/>
        <v>303.64812405805969</v>
      </c>
      <c r="L340" s="441"/>
      <c r="M340" s="442"/>
      <c r="N340" s="11"/>
    </row>
    <row r="341" spans="1:14" ht="15" customHeight="1">
      <c r="A341" s="231"/>
      <c r="B341" s="176">
        <f t="shared" si="51"/>
        <v>317</v>
      </c>
      <c r="C341" s="407"/>
      <c r="D341" s="174">
        <v>7</v>
      </c>
      <c r="E341" s="168">
        <f t="shared" si="49"/>
        <v>319</v>
      </c>
      <c r="F341" s="286">
        <f t="shared" si="50"/>
        <v>33.42</v>
      </c>
      <c r="G341" s="175">
        <f t="shared" si="48"/>
        <v>33.021999999999998</v>
      </c>
      <c r="H341" s="175" t="str">
        <f t="shared" si="53"/>
        <v>IN</v>
      </c>
      <c r="I341" s="175">
        <f t="shared" si="56"/>
        <v>10388.706000000004</v>
      </c>
      <c r="J341" s="175">
        <f t="shared" si="54"/>
        <v>1228.8639999999959</v>
      </c>
      <c r="K341" s="262">
        <f t="shared" si="55"/>
        <v>304.34534486478236</v>
      </c>
      <c r="L341" s="466"/>
      <c r="M341" s="466"/>
      <c r="N341" s="11"/>
    </row>
    <row r="342" spans="1:14">
      <c r="A342" s="231"/>
      <c r="B342" s="550" t="s">
        <v>135</v>
      </c>
      <c r="C342" s="553">
        <v>11880127</v>
      </c>
      <c r="D342" s="556" t="s">
        <v>136</v>
      </c>
      <c r="E342" s="556"/>
      <c r="F342" s="170">
        <v>6.21</v>
      </c>
      <c r="G342" s="233">
        <f t="shared" si="48"/>
        <v>5.8120000000000003</v>
      </c>
      <c r="H342" s="233" t="s">
        <v>131</v>
      </c>
      <c r="I342" s="233">
        <f t="shared" si="56"/>
        <v>10394.518000000004</v>
      </c>
      <c r="J342" s="233">
        <f t="shared" si="54"/>
        <v>1223.051999999996</v>
      </c>
      <c r="K342" s="234">
        <f t="shared" si="55"/>
        <v>304.46805842933549</v>
      </c>
      <c r="L342" s="557" t="s">
        <v>137</v>
      </c>
      <c r="M342" s="558"/>
      <c r="N342" s="11"/>
    </row>
    <row r="343" spans="1:14">
      <c r="A343" s="231"/>
      <c r="B343" s="551"/>
      <c r="C343" s="554"/>
      <c r="D343" s="556" t="s">
        <v>138</v>
      </c>
      <c r="E343" s="556"/>
      <c r="F343" s="289">
        <v>5.61</v>
      </c>
      <c r="G343" s="170">
        <f>F343</f>
        <v>5.61</v>
      </c>
      <c r="H343" s="233" t="str">
        <f t="shared" ref="H343:H358" si="57">IF(F343="","OUT","IN")</f>
        <v>IN</v>
      </c>
      <c r="I343" s="233">
        <f t="shared" si="56"/>
        <v>10400.128000000004</v>
      </c>
      <c r="J343" s="233">
        <f t="shared" si="54"/>
        <v>1217.4419999999955</v>
      </c>
      <c r="K343" s="234">
        <f t="shared" si="55"/>
        <v>304.58650700076402</v>
      </c>
      <c r="L343" s="557" t="s">
        <v>139</v>
      </c>
      <c r="M343" s="558"/>
      <c r="N343" s="11"/>
    </row>
    <row r="344" spans="1:14">
      <c r="A344" s="231"/>
      <c r="B344" s="551"/>
      <c r="C344" s="554"/>
      <c r="D344" s="559" t="s">
        <v>164</v>
      </c>
      <c r="E344" s="559"/>
      <c r="F344" s="427">
        <v>8.4700000000000006</v>
      </c>
      <c r="G344" s="171">
        <f>F344</f>
        <v>8.4700000000000006</v>
      </c>
      <c r="H344" s="171" t="str">
        <f t="shared" si="57"/>
        <v>IN</v>
      </c>
      <c r="I344" s="171">
        <f t="shared" si="56"/>
        <v>10408.598000000004</v>
      </c>
      <c r="J344" s="171">
        <f t="shared" si="54"/>
        <v>1208.9719999999961</v>
      </c>
      <c r="K344" s="428">
        <f t="shared" si="55"/>
        <v>304.76534111841107</v>
      </c>
      <c r="L344" s="560"/>
      <c r="M344" s="561"/>
      <c r="N344" s="11"/>
    </row>
    <row r="345" spans="1:14">
      <c r="A345" s="231"/>
      <c r="B345" s="551"/>
      <c r="C345" s="554"/>
      <c r="D345" s="556" t="s">
        <v>138</v>
      </c>
      <c r="E345" s="556"/>
      <c r="F345" s="289">
        <v>11.615</v>
      </c>
      <c r="G345" s="170">
        <f>F345</f>
        <v>11.615</v>
      </c>
      <c r="H345" s="233" t="str">
        <f t="shared" si="57"/>
        <v>IN</v>
      </c>
      <c r="I345" s="233">
        <f t="shared" si="56"/>
        <v>10420.213000000003</v>
      </c>
      <c r="J345" s="233">
        <f t="shared" si="54"/>
        <v>1197.3569999999963</v>
      </c>
      <c r="K345" s="234">
        <f t="shared" si="55"/>
        <v>305.01057822307109</v>
      </c>
      <c r="L345" s="562" t="s">
        <v>141</v>
      </c>
      <c r="M345" s="563"/>
      <c r="N345" s="11"/>
    </row>
    <row r="346" spans="1:14" ht="13.5" customHeight="1">
      <c r="A346" s="231"/>
      <c r="B346" s="552"/>
      <c r="C346" s="555"/>
      <c r="D346" s="556" t="s">
        <v>136</v>
      </c>
      <c r="E346" s="556"/>
      <c r="F346" s="289">
        <v>9.82</v>
      </c>
      <c r="G346" s="170">
        <f>F346</f>
        <v>9.82</v>
      </c>
      <c r="H346" s="233" t="str">
        <f t="shared" si="57"/>
        <v>IN</v>
      </c>
      <c r="I346" s="233">
        <f t="shared" si="56"/>
        <v>10430.033000000003</v>
      </c>
      <c r="J346" s="233">
        <f t="shared" si="54"/>
        <v>1187.5369999999966</v>
      </c>
      <c r="K346" s="234">
        <f t="shared" si="55"/>
        <v>305.21791600763947</v>
      </c>
      <c r="L346" s="564" t="s">
        <v>142</v>
      </c>
      <c r="M346" s="565"/>
      <c r="N346" s="11"/>
    </row>
    <row r="347" spans="1:14" ht="15" customHeight="1">
      <c r="A347" s="231"/>
      <c r="B347" s="173">
        <f>B341+1</f>
        <v>318</v>
      </c>
      <c r="C347" s="173"/>
      <c r="D347" s="174">
        <v>7</v>
      </c>
      <c r="E347" s="168">
        <f>E341+1</f>
        <v>320</v>
      </c>
      <c r="F347" s="286">
        <f t="shared" ref="F347:F378" si="58">VLOOKUP(E347,tubing1,2,FALSE)</f>
        <v>32.93</v>
      </c>
      <c r="G347" s="175">
        <f t="shared" ref="G347:G378" si="59">F347-($E$12)</f>
        <v>32.531999999999996</v>
      </c>
      <c r="H347" s="175" t="str">
        <f t="shared" si="57"/>
        <v>IN</v>
      </c>
      <c r="I347" s="175">
        <f t="shared" si="56"/>
        <v>10462.565000000002</v>
      </c>
      <c r="J347" s="175">
        <f t="shared" si="54"/>
        <v>1155.0049999999974</v>
      </c>
      <c r="K347" s="262">
        <f t="shared" si="55"/>
        <v>305.90479103896109</v>
      </c>
      <c r="L347" s="441"/>
      <c r="M347" s="442"/>
      <c r="N347" s="11"/>
    </row>
    <row r="348" spans="1:14" ht="15" customHeight="1">
      <c r="A348" s="231"/>
      <c r="B348" s="173">
        <f t="shared" ref="B348:B358" si="60">B347+1</f>
        <v>319</v>
      </c>
      <c r="C348" s="173"/>
      <c r="D348" s="174">
        <v>7</v>
      </c>
      <c r="E348" s="168">
        <f t="shared" ref="E348:E379" si="61">E347+1</f>
        <v>321</v>
      </c>
      <c r="F348" s="286">
        <f t="shared" si="58"/>
        <v>33.36</v>
      </c>
      <c r="G348" s="175">
        <f t="shared" si="59"/>
        <v>32.961999999999996</v>
      </c>
      <c r="H348" s="175" t="str">
        <f t="shared" si="57"/>
        <v>IN</v>
      </c>
      <c r="I348" s="175">
        <f t="shared" si="56"/>
        <v>10495.527000000002</v>
      </c>
      <c r="J348" s="175">
        <f t="shared" si="54"/>
        <v>1122.0429999999978</v>
      </c>
      <c r="K348" s="262">
        <f t="shared" si="55"/>
        <v>306.60074501604288</v>
      </c>
      <c r="L348" s="441"/>
      <c r="M348" s="442"/>
      <c r="N348" s="11"/>
    </row>
    <row r="349" spans="1:14" ht="15" customHeight="1">
      <c r="A349" s="231"/>
      <c r="B349" s="173">
        <f t="shared" si="60"/>
        <v>320</v>
      </c>
      <c r="C349" s="173"/>
      <c r="D349" s="174">
        <v>7</v>
      </c>
      <c r="E349" s="168">
        <f t="shared" si="61"/>
        <v>322</v>
      </c>
      <c r="F349" s="286">
        <f t="shared" si="58"/>
        <v>32.57</v>
      </c>
      <c r="G349" s="175">
        <f t="shared" si="59"/>
        <v>32.171999999999997</v>
      </c>
      <c r="H349" s="175" t="str">
        <f t="shared" si="57"/>
        <v>IN</v>
      </c>
      <c r="I349" s="175">
        <f t="shared" si="56"/>
        <v>10527.699000000002</v>
      </c>
      <c r="J349" s="175">
        <f t="shared" si="54"/>
        <v>1089.8709999999974</v>
      </c>
      <c r="K349" s="262">
        <f t="shared" si="55"/>
        <v>307.28001906951874</v>
      </c>
      <c r="L349" s="441"/>
      <c r="M349" s="442"/>
      <c r="N349" s="11"/>
    </row>
    <row r="350" spans="1:14" ht="15" customHeight="1">
      <c r="A350" s="231"/>
      <c r="B350" s="173">
        <f t="shared" si="60"/>
        <v>321</v>
      </c>
      <c r="C350" s="173"/>
      <c r="D350" s="174">
        <v>7</v>
      </c>
      <c r="E350" s="168">
        <f t="shared" si="61"/>
        <v>323</v>
      </c>
      <c r="F350" s="286">
        <f t="shared" si="58"/>
        <v>31.38</v>
      </c>
      <c r="G350" s="175">
        <f t="shared" si="59"/>
        <v>30.981999999999999</v>
      </c>
      <c r="H350" s="175" t="str">
        <f t="shared" si="57"/>
        <v>IN</v>
      </c>
      <c r="I350" s="175">
        <f t="shared" si="56"/>
        <v>10558.681000000002</v>
      </c>
      <c r="J350" s="175">
        <f t="shared" si="54"/>
        <v>1058.8889999999974</v>
      </c>
      <c r="K350" s="262">
        <f t="shared" si="55"/>
        <v>307.93416766844928</v>
      </c>
      <c r="L350" s="441"/>
      <c r="M350" s="442"/>
      <c r="N350" s="11"/>
    </row>
    <row r="351" spans="1:14" ht="15" customHeight="1">
      <c r="A351" s="231"/>
      <c r="B351" s="173">
        <f t="shared" si="60"/>
        <v>322</v>
      </c>
      <c r="C351" s="173"/>
      <c r="D351" s="174">
        <v>7</v>
      </c>
      <c r="E351" s="168">
        <f t="shared" si="61"/>
        <v>324</v>
      </c>
      <c r="F351" s="286">
        <f t="shared" si="58"/>
        <v>32.44</v>
      </c>
      <c r="G351" s="175">
        <f t="shared" si="59"/>
        <v>32.041999999999994</v>
      </c>
      <c r="H351" s="175" t="str">
        <f t="shared" si="57"/>
        <v>IN</v>
      </c>
      <c r="I351" s="175">
        <f t="shared" si="56"/>
        <v>10590.723000000002</v>
      </c>
      <c r="J351" s="175">
        <f t="shared" si="54"/>
        <v>1026.8469999999979</v>
      </c>
      <c r="K351" s="262">
        <f t="shared" si="55"/>
        <v>308.61069692436979</v>
      </c>
      <c r="L351" s="441"/>
      <c r="M351" s="442"/>
      <c r="N351" s="11"/>
    </row>
    <row r="352" spans="1:14" ht="15" customHeight="1">
      <c r="A352" s="231"/>
      <c r="B352" s="173">
        <f t="shared" si="60"/>
        <v>323</v>
      </c>
      <c r="C352" s="173"/>
      <c r="D352" s="174">
        <v>7</v>
      </c>
      <c r="E352" s="168">
        <f t="shared" si="61"/>
        <v>325</v>
      </c>
      <c r="F352" s="286">
        <f t="shared" si="58"/>
        <v>33.4</v>
      </c>
      <c r="G352" s="175">
        <f t="shared" si="59"/>
        <v>33.001999999999995</v>
      </c>
      <c r="H352" s="175" t="str">
        <f t="shared" si="57"/>
        <v>IN</v>
      </c>
      <c r="I352" s="175">
        <f t="shared" si="56"/>
        <v>10623.725000000002</v>
      </c>
      <c r="J352" s="175">
        <f t="shared" si="54"/>
        <v>993.84499999999753</v>
      </c>
      <c r="K352" s="262">
        <f t="shared" si="55"/>
        <v>309.30749545454546</v>
      </c>
      <c r="L352" s="441"/>
      <c r="M352" s="442"/>
      <c r="N352" s="11"/>
    </row>
    <row r="353" spans="1:15" ht="15" customHeight="1">
      <c r="A353" s="231"/>
      <c r="B353" s="173">
        <f t="shared" si="60"/>
        <v>324</v>
      </c>
      <c r="C353" s="173"/>
      <c r="D353" s="174">
        <v>7</v>
      </c>
      <c r="E353" s="168">
        <f t="shared" si="61"/>
        <v>326</v>
      </c>
      <c r="F353" s="286">
        <f t="shared" si="58"/>
        <v>33.090000000000003</v>
      </c>
      <c r="G353" s="175">
        <f t="shared" si="59"/>
        <v>32.692</v>
      </c>
      <c r="H353" s="175" t="str">
        <f t="shared" si="57"/>
        <v>IN</v>
      </c>
      <c r="I353" s="175">
        <f t="shared" si="56"/>
        <v>10656.417000000001</v>
      </c>
      <c r="J353" s="175">
        <f t="shared" si="54"/>
        <v>961.15299999999843</v>
      </c>
      <c r="K353" s="262">
        <f t="shared" si="55"/>
        <v>309.99774869824296</v>
      </c>
      <c r="L353" s="441"/>
      <c r="M353" s="442"/>
      <c r="N353" s="11"/>
    </row>
    <row r="354" spans="1:15" ht="15" customHeight="1">
      <c r="A354" s="231"/>
      <c r="B354" s="173">
        <f t="shared" si="60"/>
        <v>325</v>
      </c>
      <c r="C354" s="173"/>
      <c r="D354" s="174">
        <v>7</v>
      </c>
      <c r="E354" s="168">
        <f t="shared" si="61"/>
        <v>327</v>
      </c>
      <c r="F354" s="286">
        <f t="shared" si="58"/>
        <v>32.74</v>
      </c>
      <c r="G354" s="175">
        <f t="shared" si="59"/>
        <v>32.341999999999999</v>
      </c>
      <c r="H354" s="175" t="str">
        <f t="shared" si="57"/>
        <v>IN</v>
      </c>
      <c r="I354" s="175">
        <f t="shared" si="56"/>
        <v>10688.759000000002</v>
      </c>
      <c r="J354" s="175">
        <f t="shared" si="54"/>
        <v>928.81099999999788</v>
      </c>
      <c r="K354" s="262">
        <f t="shared" si="55"/>
        <v>310.68061210236829</v>
      </c>
      <c r="L354" s="441"/>
      <c r="M354" s="442"/>
      <c r="N354" s="11"/>
    </row>
    <row r="355" spans="1:15" ht="15" customHeight="1">
      <c r="A355" s="231"/>
      <c r="B355" s="173">
        <f t="shared" si="60"/>
        <v>326</v>
      </c>
      <c r="C355" s="173"/>
      <c r="D355" s="174">
        <v>7</v>
      </c>
      <c r="E355" s="168">
        <f t="shared" si="61"/>
        <v>328</v>
      </c>
      <c r="F355" s="286">
        <f t="shared" si="58"/>
        <v>32.68</v>
      </c>
      <c r="G355" s="175">
        <f t="shared" si="59"/>
        <v>32.281999999999996</v>
      </c>
      <c r="H355" s="175" t="str">
        <f t="shared" si="57"/>
        <v>IN</v>
      </c>
      <c r="I355" s="175">
        <f t="shared" si="56"/>
        <v>10721.041000000001</v>
      </c>
      <c r="J355" s="175">
        <f t="shared" si="54"/>
        <v>896.52899999999863</v>
      </c>
      <c r="K355" s="262">
        <f t="shared" si="55"/>
        <v>311.36220867685262</v>
      </c>
      <c r="L355" s="441"/>
      <c r="M355" s="442"/>
      <c r="N355" s="11"/>
    </row>
    <row r="356" spans="1:15" ht="15" customHeight="1">
      <c r="A356" s="231"/>
      <c r="B356" s="173">
        <f t="shared" si="60"/>
        <v>327</v>
      </c>
      <c r="C356" s="173"/>
      <c r="D356" s="174">
        <v>7</v>
      </c>
      <c r="E356" s="168">
        <f t="shared" si="61"/>
        <v>329</v>
      </c>
      <c r="F356" s="286">
        <f t="shared" si="58"/>
        <v>32.26</v>
      </c>
      <c r="G356" s="175">
        <f t="shared" si="59"/>
        <v>31.861999999999998</v>
      </c>
      <c r="H356" s="175" t="str">
        <f t="shared" si="57"/>
        <v>IN</v>
      </c>
      <c r="I356" s="175">
        <f t="shared" si="56"/>
        <v>10752.903</v>
      </c>
      <c r="J356" s="175">
        <f t="shared" si="54"/>
        <v>864.66699999999946</v>
      </c>
      <c r="K356" s="262">
        <f t="shared" si="55"/>
        <v>312.03493744385025</v>
      </c>
      <c r="L356" s="441"/>
      <c r="M356" s="442"/>
      <c r="N356" s="11"/>
    </row>
    <row r="357" spans="1:15" ht="15" customHeight="1">
      <c r="A357" s="231"/>
      <c r="B357" s="173">
        <f t="shared" si="60"/>
        <v>328</v>
      </c>
      <c r="C357" s="173"/>
      <c r="D357" s="174">
        <v>7</v>
      </c>
      <c r="E357" s="168">
        <f t="shared" si="61"/>
        <v>330</v>
      </c>
      <c r="F357" s="286">
        <f t="shared" si="58"/>
        <v>33.03</v>
      </c>
      <c r="G357" s="175">
        <f t="shared" si="59"/>
        <v>32.631999999999998</v>
      </c>
      <c r="H357" s="175" t="str">
        <f t="shared" si="57"/>
        <v>IN</v>
      </c>
      <c r="I357" s="175">
        <f t="shared" si="56"/>
        <v>10785.535</v>
      </c>
      <c r="J357" s="175">
        <f t="shared" si="54"/>
        <v>832.03499999999985</v>
      </c>
      <c r="K357" s="262">
        <f t="shared" si="55"/>
        <v>312.72392385790681</v>
      </c>
      <c r="L357" s="441"/>
      <c r="M357" s="442"/>
      <c r="N357" s="11"/>
    </row>
    <row r="358" spans="1:15" ht="15" customHeight="1">
      <c r="A358" s="231"/>
      <c r="B358" s="173">
        <f t="shared" si="60"/>
        <v>329</v>
      </c>
      <c r="C358" s="173"/>
      <c r="D358" s="174">
        <v>7</v>
      </c>
      <c r="E358" s="168">
        <f t="shared" si="61"/>
        <v>331</v>
      </c>
      <c r="F358" s="286">
        <f t="shared" si="58"/>
        <v>33.22</v>
      </c>
      <c r="G358" s="175">
        <f t="shared" si="59"/>
        <v>32.821999999999996</v>
      </c>
      <c r="H358" s="175" t="str">
        <f t="shared" si="57"/>
        <v>IN</v>
      </c>
      <c r="I358" s="175">
        <f t="shared" si="56"/>
        <v>10818.357</v>
      </c>
      <c r="J358" s="175">
        <f t="shared" si="54"/>
        <v>799.21299999999974</v>
      </c>
      <c r="K358" s="262">
        <f t="shared" si="55"/>
        <v>313.41692189915966</v>
      </c>
      <c r="L358" s="441"/>
      <c r="M358" s="442"/>
      <c r="N358" s="11"/>
    </row>
    <row r="359" spans="1:15" ht="15" customHeight="1">
      <c r="A359" s="231"/>
      <c r="B359" s="263"/>
      <c r="C359" s="263"/>
      <c r="D359" s="241">
        <v>7</v>
      </c>
      <c r="E359" s="264">
        <f t="shared" si="61"/>
        <v>332</v>
      </c>
      <c r="F359" s="285">
        <f t="shared" si="58"/>
        <v>30.96</v>
      </c>
      <c r="G359" s="233">
        <f t="shared" si="59"/>
        <v>30.562000000000001</v>
      </c>
      <c r="H359" s="233" t="s">
        <v>97</v>
      </c>
      <c r="I359" s="233">
        <f t="shared" si="56"/>
        <v>10818.357</v>
      </c>
      <c r="J359" s="233">
        <f t="shared" si="54"/>
        <v>799.21299999999974</v>
      </c>
      <c r="K359" s="234">
        <f t="shared" si="55"/>
        <v>313.41692189915966</v>
      </c>
      <c r="L359" s="426" t="s">
        <v>143</v>
      </c>
      <c r="M359" s="382"/>
      <c r="N359" s="11"/>
    </row>
    <row r="360" spans="1:15" ht="15" customHeight="1">
      <c r="A360" s="231"/>
      <c r="B360" s="173">
        <v>330</v>
      </c>
      <c r="C360" s="173"/>
      <c r="D360" s="174">
        <v>7</v>
      </c>
      <c r="E360" s="168">
        <f t="shared" si="61"/>
        <v>333</v>
      </c>
      <c r="F360" s="286">
        <f t="shared" si="58"/>
        <v>33.35</v>
      </c>
      <c r="G360" s="175">
        <f t="shared" si="59"/>
        <v>32.951999999999998</v>
      </c>
      <c r="H360" s="175" t="str">
        <f t="shared" ref="H360:H377" si="62">IF(F360="","OUT","IN")</f>
        <v>IN</v>
      </c>
      <c r="I360" s="175">
        <f t="shared" si="56"/>
        <v>10851.308999999999</v>
      </c>
      <c r="J360" s="175">
        <f t="shared" si="54"/>
        <v>766.26100000000042</v>
      </c>
      <c r="K360" s="262">
        <f t="shared" si="55"/>
        <v>314.11266473796792</v>
      </c>
      <c r="L360" s="441"/>
      <c r="M360" s="442"/>
      <c r="N360" s="11"/>
    </row>
    <row r="361" spans="1:15" ht="15" customHeight="1">
      <c r="A361" s="231"/>
      <c r="B361" s="173">
        <f t="shared" ref="B361:B392" si="63">B360+1</f>
        <v>331</v>
      </c>
      <c r="C361" s="173"/>
      <c r="D361" s="174">
        <v>7</v>
      </c>
      <c r="E361" s="168">
        <f t="shared" si="61"/>
        <v>334</v>
      </c>
      <c r="F361" s="286">
        <f t="shared" si="58"/>
        <v>33.1</v>
      </c>
      <c r="G361" s="175">
        <f t="shared" si="59"/>
        <v>32.701999999999998</v>
      </c>
      <c r="H361" s="175" t="str">
        <f t="shared" si="62"/>
        <v>IN</v>
      </c>
      <c r="I361" s="175">
        <f t="shared" si="56"/>
        <v>10884.010999999999</v>
      </c>
      <c r="J361" s="175">
        <f t="shared" si="54"/>
        <v>733.55900000000111</v>
      </c>
      <c r="K361" s="262">
        <f t="shared" si="55"/>
        <v>314.80312911993889</v>
      </c>
      <c r="L361" s="441"/>
      <c r="M361" s="442"/>
      <c r="N361" s="11"/>
    </row>
    <row r="362" spans="1:15" ht="15" customHeight="1">
      <c r="A362" s="231"/>
      <c r="B362" s="173">
        <f t="shared" si="63"/>
        <v>332</v>
      </c>
      <c r="C362" s="173"/>
      <c r="D362" s="174">
        <v>7</v>
      </c>
      <c r="E362" s="168">
        <f t="shared" si="61"/>
        <v>335</v>
      </c>
      <c r="F362" s="286">
        <f t="shared" si="58"/>
        <v>33.33</v>
      </c>
      <c r="G362" s="175">
        <f t="shared" si="59"/>
        <v>32.931999999999995</v>
      </c>
      <c r="H362" s="175" t="str">
        <f t="shared" si="62"/>
        <v>IN</v>
      </c>
      <c r="I362" s="175">
        <f t="shared" si="56"/>
        <v>10916.942999999999</v>
      </c>
      <c r="J362" s="175">
        <f t="shared" si="54"/>
        <v>700.62700000000041</v>
      </c>
      <c r="K362" s="262">
        <f t="shared" si="55"/>
        <v>315.49844968220015</v>
      </c>
      <c r="L362" s="441"/>
      <c r="M362" s="442"/>
      <c r="N362" s="11"/>
    </row>
    <row r="363" spans="1:15" ht="15" customHeight="1">
      <c r="A363" s="231"/>
      <c r="B363" s="173">
        <f t="shared" si="63"/>
        <v>333</v>
      </c>
      <c r="C363" s="173"/>
      <c r="D363" s="174">
        <v>7</v>
      </c>
      <c r="E363" s="168">
        <f t="shared" si="61"/>
        <v>336</v>
      </c>
      <c r="F363" s="286">
        <f t="shared" si="58"/>
        <v>33.35</v>
      </c>
      <c r="G363" s="175">
        <f t="shared" si="59"/>
        <v>32.951999999999998</v>
      </c>
      <c r="H363" s="175" t="str">
        <f t="shared" si="62"/>
        <v>IN</v>
      </c>
      <c r="I363" s="175">
        <f t="shared" si="56"/>
        <v>10949.894999999999</v>
      </c>
      <c r="J363" s="175">
        <f t="shared" si="54"/>
        <v>667.67500000000109</v>
      </c>
      <c r="K363" s="262">
        <f t="shared" si="55"/>
        <v>316.1941925210084</v>
      </c>
      <c r="L363" s="441"/>
      <c r="M363" s="442"/>
      <c r="N363" s="11"/>
    </row>
    <row r="364" spans="1:15" ht="15" customHeight="1">
      <c r="A364" s="231"/>
      <c r="B364" s="173">
        <f t="shared" si="63"/>
        <v>334</v>
      </c>
      <c r="C364" s="173"/>
      <c r="D364" s="174">
        <v>7</v>
      </c>
      <c r="E364" s="168">
        <f t="shared" si="61"/>
        <v>337</v>
      </c>
      <c r="F364" s="286">
        <f t="shared" si="58"/>
        <v>33.65</v>
      </c>
      <c r="G364" s="175">
        <f t="shared" si="59"/>
        <v>33.251999999999995</v>
      </c>
      <c r="H364" s="175" t="str">
        <f t="shared" si="62"/>
        <v>IN</v>
      </c>
      <c r="I364" s="175">
        <f t="shared" si="56"/>
        <v>10983.146999999999</v>
      </c>
      <c r="J364" s="175">
        <f t="shared" si="54"/>
        <v>634.42300000000068</v>
      </c>
      <c r="K364" s="262">
        <f t="shared" si="55"/>
        <v>316.89626950802142</v>
      </c>
      <c r="L364" s="441"/>
      <c r="M364" s="442"/>
      <c r="N364" s="11"/>
    </row>
    <row r="365" spans="1:15" s="231" customFormat="1" ht="15" customHeight="1">
      <c r="B365" s="173">
        <f t="shared" si="63"/>
        <v>335</v>
      </c>
      <c r="C365" s="173"/>
      <c r="D365" s="174">
        <v>7</v>
      </c>
      <c r="E365" s="168">
        <f t="shared" si="61"/>
        <v>338</v>
      </c>
      <c r="F365" s="286">
        <f t="shared" si="58"/>
        <v>33.340000000000003</v>
      </c>
      <c r="G365" s="175">
        <f t="shared" si="59"/>
        <v>32.942</v>
      </c>
      <c r="H365" s="175" t="str">
        <f t="shared" si="62"/>
        <v>IN</v>
      </c>
      <c r="I365" s="175">
        <f t="shared" si="56"/>
        <v>11016.088999999998</v>
      </c>
      <c r="J365" s="175">
        <f t="shared" si="54"/>
        <v>601.48100000000159</v>
      </c>
      <c r="K365" s="262">
        <f t="shared" si="55"/>
        <v>317.59180120855615</v>
      </c>
      <c r="L365" s="441"/>
      <c r="M365" s="442"/>
      <c r="N365" s="260"/>
    </row>
    <row r="366" spans="1:15" ht="15" customHeight="1">
      <c r="A366" s="231"/>
      <c r="B366" s="173">
        <f t="shared" si="63"/>
        <v>336</v>
      </c>
      <c r="C366" s="173"/>
      <c r="D366" s="174">
        <v>7</v>
      </c>
      <c r="E366" s="168">
        <f t="shared" si="61"/>
        <v>339</v>
      </c>
      <c r="F366" s="286">
        <f t="shared" si="58"/>
        <v>33.36</v>
      </c>
      <c r="G366" s="175">
        <f t="shared" si="59"/>
        <v>32.961999999999996</v>
      </c>
      <c r="H366" s="175" t="str">
        <f t="shared" si="62"/>
        <v>IN</v>
      </c>
      <c r="I366" s="175">
        <f t="shared" si="56"/>
        <v>11049.050999999998</v>
      </c>
      <c r="J366" s="175">
        <f t="shared" si="54"/>
        <v>568.51900000000205</v>
      </c>
      <c r="K366" s="262">
        <f t="shared" si="55"/>
        <v>318.28775518563782</v>
      </c>
      <c r="L366" s="441"/>
      <c r="M366" s="442"/>
      <c r="N366" s="11"/>
    </row>
    <row r="367" spans="1:15" ht="15" customHeight="1">
      <c r="A367" s="231"/>
      <c r="B367" s="173">
        <f t="shared" si="63"/>
        <v>337</v>
      </c>
      <c r="C367" s="173"/>
      <c r="D367" s="174">
        <v>7</v>
      </c>
      <c r="E367" s="168">
        <f t="shared" si="61"/>
        <v>340</v>
      </c>
      <c r="F367" s="286">
        <f t="shared" si="58"/>
        <v>33.43</v>
      </c>
      <c r="G367" s="175">
        <f t="shared" si="59"/>
        <v>33.031999999999996</v>
      </c>
      <c r="H367" s="175" t="str">
        <f t="shared" si="62"/>
        <v>IN</v>
      </c>
      <c r="I367" s="175">
        <f t="shared" si="56"/>
        <v>11082.082999999997</v>
      </c>
      <c r="J367" s="175">
        <f t="shared" si="54"/>
        <v>535.48700000000281</v>
      </c>
      <c r="K367" s="262">
        <f t="shared" si="55"/>
        <v>318.98518713063402</v>
      </c>
      <c r="L367" s="441"/>
      <c r="M367" s="442"/>
      <c r="N367" s="11"/>
    </row>
    <row r="368" spans="1:15" ht="15" customHeight="1">
      <c r="A368" s="231"/>
      <c r="B368" s="173">
        <f t="shared" si="63"/>
        <v>338</v>
      </c>
      <c r="C368" s="173"/>
      <c r="D368" s="174">
        <v>7</v>
      </c>
      <c r="E368" s="168">
        <f t="shared" si="61"/>
        <v>341</v>
      </c>
      <c r="F368" s="286">
        <f t="shared" si="58"/>
        <v>31.25</v>
      </c>
      <c r="G368" s="175">
        <f t="shared" si="59"/>
        <v>30.852</v>
      </c>
      <c r="H368" s="175" t="str">
        <f t="shared" si="62"/>
        <v>IN</v>
      </c>
      <c r="I368" s="175">
        <f t="shared" si="56"/>
        <v>11112.934999999998</v>
      </c>
      <c r="J368" s="175">
        <f t="shared" si="54"/>
        <v>504.63500000000204</v>
      </c>
      <c r="K368" s="262">
        <f t="shared" si="55"/>
        <v>319.63659093200914</v>
      </c>
      <c r="L368" s="441"/>
      <c r="M368" s="442"/>
      <c r="N368" s="11"/>
      <c r="O368" s="274"/>
    </row>
    <row r="369" spans="1:14" ht="15" customHeight="1">
      <c r="A369" s="231"/>
      <c r="B369" s="173">
        <f t="shared" si="63"/>
        <v>339</v>
      </c>
      <c r="C369" s="173"/>
      <c r="D369" s="174">
        <v>7</v>
      </c>
      <c r="E369" s="168">
        <f t="shared" si="61"/>
        <v>342</v>
      </c>
      <c r="F369" s="286">
        <f t="shared" si="58"/>
        <v>33.1</v>
      </c>
      <c r="G369" s="175">
        <f t="shared" si="59"/>
        <v>32.701999999999998</v>
      </c>
      <c r="H369" s="175" t="str">
        <f t="shared" si="62"/>
        <v>IN</v>
      </c>
      <c r="I369" s="175">
        <f t="shared" si="56"/>
        <v>11145.636999999997</v>
      </c>
      <c r="J369" s="175">
        <f t="shared" si="54"/>
        <v>471.93300000000272</v>
      </c>
      <c r="K369" s="262">
        <f t="shared" si="55"/>
        <v>320.32705531398005</v>
      </c>
      <c r="L369" s="441"/>
      <c r="M369" s="442"/>
      <c r="N369" s="11"/>
    </row>
    <row r="370" spans="1:14" ht="13.15" customHeight="1">
      <c r="A370" s="231"/>
      <c r="B370" s="173">
        <f t="shared" si="63"/>
        <v>340</v>
      </c>
      <c r="C370" s="173"/>
      <c r="D370" s="174">
        <v>7</v>
      </c>
      <c r="E370" s="168">
        <f t="shared" si="61"/>
        <v>343</v>
      </c>
      <c r="F370" s="286">
        <f t="shared" si="58"/>
        <v>33.130000000000003</v>
      </c>
      <c r="G370" s="175">
        <f t="shared" si="59"/>
        <v>32.731999999999999</v>
      </c>
      <c r="H370" s="175" t="str">
        <f t="shared" si="62"/>
        <v>IN</v>
      </c>
      <c r="I370" s="175">
        <f t="shared" si="56"/>
        <v>11178.368999999997</v>
      </c>
      <c r="J370" s="175">
        <f t="shared" si="54"/>
        <v>439.20100000000275</v>
      </c>
      <c r="K370" s="262">
        <f t="shared" si="55"/>
        <v>321.01815311077155</v>
      </c>
      <c r="L370" s="441"/>
      <c r="M370" s="442"/>
      <c r="N370" s="11"/>
    </row>
    <row r="371" spans="1:14" ht="13.15" customHeight="1">
      <c r="A371" s="231"/>
      <c r="B371" s="173">
        <f t="shared" si="63"/>
        <v>341</v>
      </c>
      <c r="C371" s="173"/>
      <c r="D371" s="174">
        <v>7</v>
      </c>
      <c r="E371" s="168">
        <f t="shared" si="61"/>
        <v>344</v>
      </c>
      <c r="F371" s="286">
        <f t="shared" si="58"/>
        <v>33.380000000000003</v>
      </c>
      <c r="G371" s="175">
        <f t="shared" si="59"/>
        <v>32.981999999999999</v>
      </c>
      <c r="H371" s="175" t="str">
        <f t="shared" si="62"/>
        <v>IN</v>
      </c>
      <c r="I371" s="175">
        <f t="shared" si="56"/>
        <v>11211.350999999997</v>
      </c>
      <c r="J371" s="175">
        <f t="shared" si="54"/>
        <v>406.21900000000278</v>
      </c>
      <c r="K371" s="262">
        <f t="shared" si="55"/>
        <v>321.71452936440028</v>
      </c>
      <c r="L371" s="441"/>
      <c r="M371" s="442"/>
      <c r="N371" s="11"/>
    </row>
    <row r="372" spans="1:14" ht="13.15" customHeight="1">
      <c r="A372" s="231"/>
      <c r="B372" s="173">
        <f t="shared" si="63"/>
        <v>342</v>
      </c>
      <c r="C372" s="173"/>
      <c r="D372" s="174">
        <v>7</v>
      </c>
      <c r="E372" s="168">
        <f t="shared" si="61"/>
        <v>345</v>
      </c>
      <c r="F372" s="286">
        <f t="shared" si="58"/>
        <v>32.92</v>
      </c>
      <c r="G372" s="175">
        <f t="shared" si="59"/>
        <v>32.521999999999998</v>
      </c>
      <c r="H372" s="175" t="str">
        <f t="shared" si="62"/>
        <v>IN</v>
      </c>
      <c r="I372" s="175">
        <f t="shared" si="56"/>
        <v>11243.872999999998</v>
      </c>
      <c r="J372" s="175">
        <f t="shared" si="54"/>
        <v>373.69700000000194</v>
      </c>
      <c r="K372" s="262">
        <f t="shared" si="55"/>
        <v>322.40119325744837</v>
      </c>
      <c r="L372" s="441"/>
      <c r="M372" s="442"/>
      <c r="N372" s="11"/>
    </row>
    <row r="373" spans="1:14" ht="13.15" customHeight="1">
      <c r="A373" s="231"/>
      <c r="B373" s="173">
        <f t="shared" si="63"/>
        <v>343</v>
      </c>
      <c r="C373" s="173"/>
      <c r="D373" s="174">
        <v>7</v>
      </c>
      <c r="E373" s="168">
        <f t="shared" si="61"/>
        <v>346</v>
      </c>
      <c r="F373" s="286">
        <f t="shared" si="58"/>
        <v>33.04</v>
      </c>
      <c r="G373" s="175">
        <f t="shared" si="59"/>
        <v>32.641999999999996</v>
      </c>
      <c r="H373" s="175" t="str">
        <f t="shared" si="62"/>
        <v>IN</v>
      </c>
      <c r="I373" s="175">
        <f t="shared" si="56"/>
        <v>11276.514999999998</v>
      </c>
      <c r="J373" s="175">
        <f t="shared" si="54"/>
        <v>341.05500000000211</v>
      </c>
      <c r="K373" s="262">
        <f t="shared" si="55"/>
        <v>323.09039080977846</v>
      </c>
      <c r="L373" s="441"/>
      <c r="M373" s="442"/>
      <c r="N373" s="11"/>
    </row>
    <row r="374" spans="1:14" ht="13.15" customHeight="1">
      <c r="A374" s="231"/>
      <c r="B374" s="173">
        <f t="shared" si="63"/>
        <v>344</v>
      </c>
      <c r="C374" s="173"/>
      <c r="D374" s="174">
        <v>7</v>
      </c>
      <c r="E374" s="168">
        <f t="shared" si="61"/>
        <v>347</v>
      </c>
      <c r="F374" s="286">
        <f t="shared" si="58"/>
        <v>32.99</v>
      </c>
      <c r="G374" s="175">
        <f t="shared" si="59"/>
        <v>32.591999999999999</v>
      </c>
      <c r="H374" s="175" t="str">
        <f t="shared" si="62"/>
        <v>IN</v>
      </c>
      <c r="I374" s="175">
        <f t="shared" si="56"/>
        <v>11309.106999999998</v>
      </c>
      <c r="J374" s="175">
        <f t="shared" si="54"/>
        <v>308.46300000000156</v>
      </c>
      <c r="K374" s="262">
        <f t="shared" si="55"/>
        <v>323.77853267074101</v>
      </c>
      <c r="L374" s="441"/>
      <c r="M374" s="442"/>
      <c r="N374" s="11"/>
    </row>
    <row r="375" spans="1:14" ht="16.149999999999999" customHeight="1">
      <c r="A375" s="231"/>
      <c r="B375" s="173">
        <f t="shared" si="63"/>
        <v>345</v>
      </c>
      <c r="C375" s="173"/>
      <c r="D375" s="174">
        <v>7</v>
      </c>
      <c r="E375" s="168">
        <f t="shared" si="61"/>
        <v>348</v>
      </c>
      <c r="F375" s="286">
        <f t="shared" si="58"/>
        <v>33.28</v>
      </c>
      <c r="G375" s="175">
        <f t="shared" si="59"/>
        <v>32.881999999999998</v>
      </c>
      <c r="H375" s="175" t="str">
        <f t="shared" si="62"/>
        <v>IN</v>
      </c>
      <c r="I375" s="175">
        <f t="shared" si="56"/>
        <v>11341.988999999998</v>
      </c>
      <c r="J375" s="175">
        <f t="shared" si="54"/>
        <v>275.58100000000195</v>
      </c>
      <c r="K375" s="262">
        <f t="shared" si="55"/>
        <v>324.4727975416348</v>
      </c>
      <c r="L375" s="441"/>
      <c r="M375" s="442"/>
      <c r="N375" s="11"/>
    </row>
    <row r="376" spans="1:14" ht="13.15" customHeight="1">
      <c r="A376" s="231"/>
      <c r="B376" s="173">
        <f t="shared" si="63"/>
        <v>346</v>
      </c>
      <c r="C376" s="173"/>
      <c r="D376" s="174">
        <v>7</v>
      </c>
      <c r="E376" s="168">
        <f t="shared" si="61"/>
        <v>349</v>
      </c>
      <c r="F376" s="286">
        <f t="shared" si="58"/>
        <v>33.6</v>
      </c>
      <c r="G376" s="175">
        <f t="shared" si="59"/>
        <v>33.201999999999998</v>
      </c>
      <c r="H376" s="175" t="str">
        <f t="shared" si="62"/>
        <v>IN</v>
      </c>
      <c r="I376" s="175">
        <f t="shared" si="56"/>
        <v>11375.190999999997</v>
      </c>
      <c r="J376" s="175">
        <f t="shared" si="54"/>
        <v>242.37900000000263</v>
      </c>
      <c r="K376" s="262">
        <f t="shared" si="55"/>
        <v>325.17381883728029</v>
      </c>
      <c r="L376" s="441"/>
      <c r="M376" s="442"/>
      <c r="N376" s="11"/>
    </row>
    <row r="377" spans="1:14" ht="13.15" customHeight="1">
      <c r="A377" s="231"/>
      <c r="B377" s="173">
        <f t="shared" si="63"/>
        <v>347</v>
      </c>
      <c r="C377" s="173"/>
      <c r="D377" s="174">
        <v>7</v>
      </c>
      <c r="E377" s="168">
        <f t="shared" si="61"/>
        <v>350</v>
      </c>
      <c r="F377" s="286">
        <f t="shared" si="58"/>
        <v>33.65</v>
      </c>
      <c r="G377" s="175">
        <f t="shared" si="59"/>
        <v>33.251999999999995</v>
      </c>
      <c r="H377" s="175" t="str">
        <f t="shared" si="62"/>
        <v>IN</v>
      </c>
      <c r="I377" s="175">
        <f t="shared" si="56"/>
        <v>11408.442999999997</v>
      </c>
      <c r="J377" s="175">
        <f t="shared" si="54"/>
        <v>209.12700000000223</v>
      </c>
      <c r="K377" s="262">
        <f t="shared" si="55"/>
        <v>325.87589582429331</v>
      </c>
      <c r="L377" s="441"/>
      <c r="M377" s="442"/>
      <c r="N377" s="11"/>
    </row>
    <row r="378" spans="1:14" ht="13.15" customHeight="1">
      <c r="A378" s="231"/>
      <c r="B378" s="173">
        <f t="shared" si="63"/>
        <v>348</v>
      </c>
      <c r="C378" s="173"/>
      <c r="D378" s="174">
        <v>7</v>
      </c>
      <c r="E378" s="168">
        <f t="shared" si="61"/>
        <v>351</v>
      </c>
      <c r="F378" s="286">
        <f t="shared" si="58"/>
        <v>33.33</v>
      </c>
      <c r="G378" s="175">
        <f t="shared" si="59"/>
        <v>32.931999999999995</v>
      </c>
      <c r="H378" s="175" t="s">
        <v>131</v>
      </c>
      <c r="I378" s="175">
        <f t="shared" si="56"/>
        <v>11441.374999999998</v>
      </c>
      <c r="J378" s="175">
        <f t="shared" si="54"/>
        <v>176.19500000000153</v>
      </c>
      <c r="K378" s="262">
        <f t="shared" si="55"/>
        <v>326.57121638655462</v>
      </c>
      <c r="L378" s="431"/>
      <c r="M378" s="442"/>
      <c r="N378" s="11"/>
    </row>
    <row r="379" spans="1:14" ht="13.15" customHeight="1">
      <c r="A379" s="231"/>
      <c r="B379" s="176">
        <f t="shared" si="63"/>
        <v>349</v>
      </c>
      <c r="C379" s="176"/>
      <c r="D379" s="232">
        <v>7</v>
      </c>
      <c r="E379" s="242">
        <f t="shared" si="61"/>
        <v>352</v>
      </c>
      <c r="F379" s="467">
        <f t="shared" ref="F379:F410" si="64">VLOOKUP(E379,tubing1,2,FALSE)</f>
        <v>32.729999999999997</v>
      </c>
      <c r="G379" s="177">
        <f t="shared" ref="G379:G410" si="65">F379-($E$12)</f>
        <v>32.331999999999994</v>
      </c>
      <c r="H379" s="177" t="s">
        <v>131</v>
      </c>
      <c r="I379" s="177">
        <f t="shared" si="56"/>
        <v>11473.706999999999</v>
      </c>
      <c r="J379" s="177">
        <f t="shared" si="54"/>
        <v>143.86300000000119</v>
      </c>
      <c r="K379" s="235">
        <f t="shared" si="55"/>
        <v>327.25386865240642</v>
      </c>
      <c r="L379" s="644" t="s">
        <v>144</v>
      </c>
      <c r="M379" s="646"/>
      <c r="N379" s="11"/>
    </row>
    <row r="380" spans="1:14" ht="13.15" customHeight="1">
      <c r="A380" s="231"/>
      <c r="B380" s="263">
        <f t="shared" si="63"/>
        <v>350</v>
      </c>
      <c r="C380" s="263"/>
      <c r="D380" s="241">
        <v>7</v>
      </c>
      <c r="E380" s="264">
        <f t="shared" ref="E380:E411" si="66">E379+1</f>
        <v>353</v>
      </c>
      <c r="F380" s="285">
        <f t="shared" si="64"/>
        <v>33.130000000000003</v>
      </c>
      <c r="G380" s="233">
        <f t="shared" si="65"/>
        <v>32.731999999999999</v>
      </c>
      <c r="H380" s="233" t="s">
        <v>97</v>
      </c>
      <c r="I380" s="233">
        <f t="shared" si="56"/>
        <v>11473.706999999999</v>
      </c>
      <c r="J380" s="233">
        <f t="shared" si="54"/>
        <v>143.86300000000119</v>
      </c>
      <c r="K380" s="234">
        <f t="shared" si="55"/>
        <v>327.25386865240642</v>
      </c>
      <c r="L380" s="381"/>
      <c r="M380" s="382"/>
      <c r="N380" s="11"/>
    </row>
    <row r="381" spans="1:14" ht="13.15" customHeight="1">
      <c r="A381" s="231"/>
      <c r="B381" s="263">
        <f t="shared" si="63"/>
        <v>351</v>
      </c>
      <c r="C381" s="263"/>
      <c r="D381" s="241">
        <v>7</v>
      </c>
      <c r="E381" s="264">
        <f t="shared" si="66"/>
        <v>354</v>
      </c>
      <c r="F381" s="285">
        <f t="shared" si="64"/>
        <v>33.69</v>
      </c>
      <c r="G381" s="233">
        <f t="shared" si="65"/>
        <v>33.291999999999994</v>
      </c>
      <c r="H381" s="233" t="s">
        <v>97</v>
      </c>
      <c r="I381" s="233">
        <f t="shared" si="56"/>
        <v>11473.706999999999</v>
      </c>
      <c r="J381" s="233">
        <f t="shared" si="54"/>
        <v>143.86300000000119</v>
      </c>
      <c r="K381" s="234">
        <f t="shared" si="55"/>
        <v>327.25386865240642</v>
      </c>
      <c r="L381" s="381"/>
      <c r="M381" s="382"/>
      <c r="N381" s="11"/>
    </row>
    <row r="382" spans="1:14" ht="13.15" customHeight="1">
      <c r="A382" s="231"/>
      <c r="B382" s="263">
        <f t="shared" si="63"/>
        <v>352</v>
      </c>
      <c r="C382" s="263"/>
      <c r="D382" s="241">
        <v>7</v>
      </c>
      <c r="E382" s="264">
        <f t="shared" si="66"/>
        <v>355</v>
      </c>
      <c r="F382" s="285">
        <f t="shared" si="64"/>
        <v>33.76</v>
      </c>
      <c r="G382" s="233">
        <f t="shared" si="65"/>
        <v>33.361999999999995</v>
      </c>
      <c r="H382" s="233" t="s">
        <v>97</v>
      </c>
      <c r="I382" s="233">
        <f t="shared" si="56"/>
        <v>11473.706999999999</v>
      </c>
      <c r="J382" s="233">
        <f t="shared" si="54"/>
        <v>143.86300000000119</v>
      </c>
      <c r="K382" s="234">
        <f t="shared" si="55"/>
        <v>327.25386865240642</v>
      </c>
      <c r="L382" s="381"/>
      <c r="M382" s="382"/>
      <c r="N382" s="11"/>
    </row>
    <row r="383" spans="1:14" ht="13.15" customHeight="1">
      <c r="A383" s="231"/>
      <c r="B383" s="263">
        <f t="shared" si="63"/>
        <v>353</v>
      </c>
      <c r="C383" s="263"/>
      <c r="D383" s="241">
        <v>7</v>
      </c>
      <c r="E383" s="264">
        <f t="shared" si="66"/>
        <v>356</v>
      </c>
      <c r="F383" s="285">
        <f t="shared" si="64"/>
        <v>33.36</v>
      </c>
      <c r="G383" s="233">
        <f t="shared" si="65"/>
        <v>32.961999999999996</v>
      </c>
      <c r="H383" s="233" t="s">
        <v>97</v>
      </c>
      <c r="I383" s="233">
        <f t="shared" si="56"/>
        <v>11473.706999999999</v>
      </c>
      <c r="J383" s="233">
        <f t="shared" si="54"/>
        <v>143.86300000000119</v>
      </c>
      <c r="K383" s="234">
        <f t="shared" si="55"/>
        <v>327.25386865240642</v>
      </c>
      <c r="L383" s="381"/>
      <c r="M383" s="382"/>
      <c r="N383" s="11"/>
    </row>
    <row r="384" spans="1:14" ht="13.15" customHeight="1">
      <c r="A384" s="231"/>
      <c r="B384" s="263">
        <f t="shared" si="63"/>
        <v>354</v>
      </c>
      <c r="C384" s="263"/>
      <c r="D384" s="241">
        <v>7</v>
      </c>
      <c r="E384" s="264">
        <f t="shared" si="66"/>
        <v>357</v>
      </c>
      <c r="F384" s="285">
        <f t="shared" si="64"/>
        <v>33.619999999999997</v>
      </c>
      <c r="G384" s="233">
        <f t="shared" si="65"/>
        <v>33.221999999999994</v>
      </c>
      <c r="H384" s="233" t="s">
        <v>97</v>
      </c>
      <c r="I384" s="233">
        <f t="shared" si="56"/>
        <v>11473.706999999999</v>
      </c>
      <c r="J384" s="233">
        <f t="shared" si="54"/>
        <v>143.86300000000119</v>
      </c>
      <c r="K384" s="234">
        <f t="shared" si="55"/>
        <v>327.25386865240642</v>
      </c>
      <c r="L384" s="381"/>
      <c r="M384" s="382"/>
      <c r="N384" s="11"/>
    </row>
    <row r="385" spans="1:14" ht="13.15" customHeight="1">
      <c r="A385" s="231"/>
      <c r="B385" s="263">
        <f t="shared" si="63"/>
        <v>355</v>
      </c>
      <c r="C385" s="263"/>
      <c r="D385" s="241">
        <v>7</v>
      </c>
      <c r="E385" s="264">
        <f t="shared" si="66"/>
        <v>358</v>
      </c>
      <c r="F385" s="285">
        <f t="shared" si="64"/>
        <v>33.57</v>
      </c>
      <c r="G385" s="233">
        <f t="shared" si="65"/>
        <v>33.171999999999997</v>
      </c>
      <c r="H385" s="233" t="s">
        <v>97</v>
      </c>
      <c r="I385" s="233">
        <f t="shared" si="56"/>
        <v>11473.706999999999</v>
      </c>
      <c r="J385" s="233">
        <f t="shared" si="54"/>
        <v>143.86300000000119</v>
      </c>
      <c r="K385" s="234">
        <f t="shared" si="55"/>
        <v>327.25386865240642</v>
      </c>
      <c r="L385" s="381"/>
      <c r="M385" s="382"/>
      <c r="N385" s="11"/>
    </row>
    <row r="386" spans="1:14" ht="13.15" customHeight="1">
      <c r="A386" s="231"/>
      <c r="B386" s="263">
        <f t="shared" si="63"/>
        <v>356</v>
      </c>
      <c r="C386" s="263"/>
      <c r="D386" s="241">
        <v>7</v>
      </c>
      <c r="E386" s="264">
        <f t="shared" si="66"/>
        <v>359</v>
      </c>
      <c r="F386" s="285">
        <f t="shared" si="64"/>
        <v>33.54</v>
      </c>
      <c r="G386" s="233">
        <f t="shared" si="65"/>
        <v>33.141999999999996</v>
      </c>
      <c r="H386" s="233" t="s">
        <v>97</v>
      </c>
      <c r="I386" s="233">
        <f t="shared" si="56"/>
        <v>11473.706999999999</v>
      </c>
      <c r="J386" s="233">
        <f t="shared" si="54"/>
        <v>143.86300000000119</v>
      </c>
      <c r="K386" s="234">
        <f t="shared" si="55"/>
        <v>327.25386865240642</v>
      </c>
      <c r="L386" s="381"/>
      <c r="M386" s="382"/>
      <c r="N386" s="11"/>
    </row>
    <row r="387" spans="1:14" ht="13.15" customHeight="1">
      <c r="A387" s="231"/>
      <c r="B387" s="263">
        <f t="shared" si="63"/>
        <v>357</v>
      </c>
      <c r="C387" s="263"/>
      <c r="D387" s="241">
        <v>7</v>
      </c>
      <c r="E387" s="264">
        <f t="shared" si="66"/>
        <v>360</v>
      </c>
      <c r="F387" s="285">
        <f t="shared" si="64"/>
        <v>33.549999999999997</v>
      </c>
      <c r="G387" s="233">
        <f t="shared" si="65"/>
        <v>33.151999999999994</v>
      </c>
      <c r="H387" s="233" t="s">
        <v>97</v>
      </c>
      <c r="I387" s="233">
        <f t="shared" si="56"/>
        <v>11473.706999999999</v>
      </c>
      <c r="J387" s="233">
        <f t="shared" si="54"/>
        <v>143.86300000000119</v>
      </c>
      <c r="K387" s="234">
        <f t="shared" si="55"/>
        <v>327.25386865240642</v>
      </c>
      <c r="L387" s="381"/>
      <c r="M387" s="382"/>
      <c r="N387" s="11"/>
    </row>
    <row r="388" spans="1:14" ht="15" customHeight="1">
      <c r="A388" s="231"/>
      <c r="B388" s="263">
        <f t="shared" si="63"/>
        <v>358</v>
      </c>
      <c r="C388" s="263"/>
      <c r="D388" s="241">
        <v>7</v>
      </c>
      <c r="E388" s="264">
        <f t="shared" si="66"/>
        <v>361</v>
      </c>
      <c r="F388" s="285">
        <f t="shared" si="64"/>
        <v>33.380000000000003</v>
      </c>
      <c r="G388" s="233">
        <f t="shared" si="65"/>
        <v>32.981999999999999</v>
      </c>
      <c r="H388" s="233" t="s">
        <v>97</v>
      </c>
      <c r="I388" s="233">
        <f t="shared" si="56"/>
        <v>11473.706999999999</v>
      </c>
      <c r="J388" s="233">
        <f t="shared" si="54"/>
        <v>143.86300000000119</v>
      </c>
      <c r="K388" s="234">
        <f t="shared" si="55"/>
        <v>327.25386865240642</v>
      </c>
      <c r="L388" s="381"/>
      <c r="M388" s="382"/>
      <c r="N388" s="11"/>
    </row>
    <row r="389" spans="1:14" ht="15" customHeight="1">
      <c r="A389" s="231"/>
      <c r="B389" s="263">
        <f t="shared" si="63"/>
        <v>359</v>
      </c>
      <c r="C389" s="263"/>
      <c r="D389" s="241">
        <v>7</v>
      </c>
      <c r="E389" s="264">
        <f t="shared" si="66"/>
        <v>362</v>
      </c>
      <c r="F389" s="285">
        <f t="shared" si="64"/>
        <v>33.29</v>
      </c>
      <c r="G389" s="233">
        <f t="shared" si="65"/>
        <v>32.891999999999996</v>
      </c>
      <c r="H389" s="233" t="s">
        <v>97</v>
      </c>
      <c r="I389" s="233">
        <f t="shared" si="56"/>
        <v>11473.706999999999</v>
      </c>
      <c r="J389" s="233">
        <f t="shared" si="54"/>
        <v>143.86300000000119</v>
      </c>
      <c r="K389" s="234">
        <f t="shared" si="55"/>
        <v>327.25386865240642</v>
      </c>
      <c r="L389" s="381"/>
      <c r="M389" s="382"/>
      <c r="N389" s="11"/>
    </row>
    <row r="390" spans="1:14" ht="13.15" customHeight="1">
      <c r="A390" s="231"/>
      <c r="B390" s="263">
        <f t="shared" si="63"/>
        <v>360</v>
      </c>
      <c r="C390" s="263"/>
      <c r="D390" s="241">
        <v>7</v>
      </c>
      <c r="E390" s="264">
        <f t="shared" si="66"/>
        <v>363</v>
      </c>
      <c r="F390" s="285">
        <f t="shared" si="64"/>
        <v>33.31</v>
      </c>
      <c r="G390" s="233">
        <f t="shared" si="65"/>
        <v>32.911999999999999</v>
      </c>
      <c r="H390" s="233" t="s">
        <v>97</v>
      </c>
      <c r="I390" s="233">
        <f t="shared" si="56"/>
        <v>11473.706999999999</v>
      </c>
      <c r="J390" s="233">
        <f t="shared" si="54"/>
        <v>143.86300000000119</v>
      </c>
      <c r="K390" s="234">
        <f t="shared" si="55"/>
        <v>327.25386865240642</v>
      </c>
      <c r="L390" s="381"/>
      <c r="M390" s="382"/>
      <c r="N390" s="11"/>
    </row>
    <row r="391" spans="1:14" ht="13.15" customHeight="1">
      <c r="A391" s="231"/>
      <c r="B391" s="263">
        <f t="shared" si="63"/>
        <v>361</v>
      </c>
      <c r="C391" s="263"/>
      <c r="D391" s="241">
        <v>7</v>
      </c>
      <c r="E391" s="264">
        <f t="shared" si="66"/>
        <v>364</v>
      </c>
      <c r="F391" s="285">
        <f t="shared" si="64"/>
        <v>32.96</v>
      </c>
      <c r="G391" s="233">
        <f t="shared" si="65"/>
        <v>32.561999999999998</v>
      </c>
      <c r="H391" s="233" t="s">
        <v>97</v>
      </c>
      <c r="I391" s="233">
        <f t="shared" si="56"/>
        <v>11473.706999999999</v>
      </c>
      <c r="J391" s="233">
        <f t="shared" si="54"/>
        <v>143.86300000000119</v>
      </c>
      <c r="K391" s="234">
        <f t="shared" si="55"/>
        <v>327.25386865240642</v>
      </c>
      <c r="L391" s="381"/>
      <c r="M391" s="382"/>
      <c r="N391" s="11"/>
    </row>
    <row r="392" spans="1:14" ht="13.15" customHeight="1">
      <c r="A392" s="231"/>
      <c r="B392" s="263">
        <f t="shared" si="63"/>
        <v>362</v>
      </c>
      <c r="C392" s="263"/>
      <c r="D392" s="241">
        <v>7</v>
      </c>
      <c r="E392" s="264">
        <f t="shared" si="66"/>
        <v>365</v>
      </c>
      <c r="F392" s="285">
        <f t="shared" si="64"/>
        <v>32.909999999999997</v>
      </c>
      <c r="G392" s="233">
        <f t="shared" si="65"/>
        <v>32.511999999999993</v>
      </c>
      <c r="H392" s="233" t="s">
        <v>97</v>
      </c>
      <c r="I392" s="233">
        <f t="shared" si="56"/>
        <v>11473.706999999999</v>
      </c>
      <c r="J392" s="233">
        <f t="shared" si="54"/>
        <v>143.86300000000119</v>
      </c>
      <c r="K392" s="234">
        <f t="shared" si="55"/>
        <v>327.25386865240642</v>
      </c>
      <c r="L392" s="381"/>
      <c r="M392" s="382"/>
      <c r="N392" s="11"/>
    </row>
    <row r="393" spans="1:14" ht="13.15" customHeight="1">
      <c r="A393" s="231"/>
      <c r="B393" s="263">
        <f t="shared" ref="B393:B429" si="67">B392+1</f>
        <v>363</v>
      </c>
      <c r="C393" s="263"/>
      <c r="D393" s="241">
        <v>7</v>
      </c>
      <c r="E393" s="264">
        <f t="shared" si="66"/>
        <v>366</v>
      </c>
      <c r="F393" s="285">
        <f t="shared" si="64"/>
        <v>33.29</v>
      </c>
      <c r="G393" s="233">
        <f t="shared" si="65"/>
        <v>32.891999999999996</v>
      </c>
      <c r="H393" s="233" t="s">
        <v>97</v>
      </c>
      <c r="I393" s="233">
        <f t="shared" si="56"/>
        <v>11473.706999999999</v>
      </c>
      <c r="J393" s="233">
        <f t="shared" si="54"/>
        <v>143.86300000000119</v>
      </c>
      <c r="K393" s="234">
        <f t="shared" si="55"/>
        <v>327.25386865240642</v>
      </c>
      <c r="L393" s="381"/>
      <c r="M393" s="382"/>
      <c r="N393" s="11"/>
    </row>
    <row r="394" spans="1:14" ht="13.15" customHeight="1">
      <c r="A394" s="231"/>
      <c r="B394" s="263">
        <f t="shared" si="67"/>
        <v>364</v>
      </c>
      <c r="C394" s="263"/>
      <c r="D394" s="241">
        <v>7</v>
      </c>
      <c r="E394" s="264">
        <f t="shared" si="66"/>
        <v>367</v>
      </c>
      <c r="F394" s="285">
        <f t="shared" si="64"/>
        <v>33.19</v>
      </c>
      <c r="G394" s="233">
        <f t="shared" si="65"/>
        <v>32.791999999999994</v>
      </c>
      <c r="H394" s="233" t="s">
        <v>97</v>
      </c>
      <c r="I394" s="233">
        <f t="shared" si="56"/>
        <v>11473.706999999999</v>
      </c>
      <c r="J394" s="233">
        <f t="shared" si="54"/>
        <v>143.86300000000119</v>
      </c>
      <c r="K394" s="234">
        <f t="shared" si="55"/>
        <v>327.25386865240642</v>
      </c>
      <c r="L394" s="381"/>
      <c r="M394" s="382"/>
      <c r="N394" s="11"/>
    </row>
    <row r="395" spans="1:14" ht="15" customHeight="1">
      <c r="A395" s="231"/>
      <c r="B395" s="263">
        <f t="shared" si="67"/>
        <v>365</v>
      </c>
      <c r="C395" s="263"/>
      <c r="D395" s="241">
        <v>7</v>
      </c>
      <c r="E395" s="264">
        <f t="shared" si="66"/>
        <v>368</v>
      </c>
      <c r="F395" s="285">
        <f t="shared" si="64"/>
        <v>33.08</v>
      </c>
      <c r="G395" s="233">
        <f t="shared" si="65"/>
        <v>32.681999999999995</v>
      </c>
      <c r="H395" s="233" t="s">
        <v>97</v>
      </c>
      <c r="I395" s="233">
        <f t="shared" si="56"/>
        <v>11473.706999999999</v>
      </c>
      <c r="J395" s="233">
        <f t="shared" si="54"/>
        <v>143.86300000000119</v>
      </c>
      <c r="K395" s="234">
        <f t="shared" si="55"/>
        <v>327.25386865240642</v>
      </c>
      <c r="L395" s="381"/>
      <c r="M395" s="382"/>
      <c r="N395" s="11"/>
    </row>
    <row r="396" spans="1:14" ht="15" customHeight="1">
      <c r="A396" s="231"/>
      <c r="B396" s="263">
        <f t="shared" si="67"/>
        <v>366</v>
      </c>
      <c r="C396" s="263"/>
      <c r="D396" s="241">
        <v>7</v>
      </c>
      <c r="E396" s="264">
        <f t="shared" si="66"/>
        <v>369</v>
      </c>
      <c r="F396" s="285">
        <f t="shared" si="64"/>
        <v>33.32</v>
      </c>
      <c r="G396" s="233">
        <f t="shared" si="65"/>
        <v>32.921999999999997</v>
      </c>
      <c r="H396" s="233" t="s">
        <v>97</v>
      </c>
      <c r="I396" s="233">
        <f t="shared" si="56"/>
        <v>11473.706999999999</v>
      </c>
      <c r="J396" s="233">
        <f t="shared" si="54"/>
        <v>143.86300000000119</v>
      </c>
      <c r="K396" s="234">
        <f t="shared" si="55"/>
        <v>327.25386865240642</v>
      </c>
      <c r="L396" s="381"/>
      <c r="M396" s="382"/>
      <c r="N396" s="11"/>
    </row>
    <row r="397" spans="1:14" ht="15" customHeight="1">
      <c r="A397" s="231"/>
      <c r="B397" s="263">
        <f t="shared" si="67"/>
        <v>367</v>
      </c>
      <c r="C397" s="263"/>
      <c r="D397" s="241">
        <v>7</v>
      </c>
      <c r="E397" s="264">
        <f t="shared" si="66"/>
        <v>370</v>
      </c>
      <c r="F397" s="285">
        <f t="shared" si="64"/>
        <v>31.02</v>
      </c>
      <c r="G397" s="233">
        <f t="shared" si="65"/>
        <v>30.622</v>
      </c>
      <c r="H397" s="233" t="s">
        <v>97</v>
      </c>
      <c r="I397" s="233">
        <f t="shared" si="56"/>
        <v>11473.706999999999</v>
      </c>
      <c r="J397" s="233">
        <f t="shared" si="54"/>
        <v>143.86300000000119</v>
      </c>
      <c r="K397" s="234">
        <f t="shared" si="55"/>
        <v>327.25386865240642</v>
      </c>
      <c r="L397" s="381"/>
      <c r="M397" s="382"/>
      <c r="N397" s="11"/>
    </row>
    <row r="398" spans="1:14" ht="15" customHeight="1">
      <c r="A398" s="231"/>
      <c r="B398" s="263">
        <f t="shared" si="67"/>
        <v>368</v>
      </c>
      <c r="C398" s="263"/>
      <c r="D398" s="241">
        <v>7</v>
      </c>
      <c r="E398" s="264">
        <f t="shared" si="66"/>
        <v>371</v>
      </c>
      <c r="F398" s="285">
        <f t="shared" si="64"/>
        <v>31.08</v>
      </c>
      <c r="G398" s="233">
        <f t="shared" si="65"/>
        <v>30.681999999999999</v>
      </c>
      <c r="H398" s="233" t="s">
        <v>97</v>
      </c>
      <c r="I398" s="233">
        <f t="shared" si="56"/>
        <v>11473.706999999999</v>
      </c>
      <c r="J398" s="233">
        <f t="shared" si="54"/>
        <v>143.86300000000119</v>
      </c>
      <c r="K398" s="234">
        <f t="shared" si="55"/>
        <v>327.25386865240642</v>
      </c>
      <c r="L398" s="381"/>
      <c r="M398" s="382"/>
      <c r="N398" s="11"/>
    </row>
    <row r="399" spans="1:14" ht="15" customHeight="1">
      <c r="A399" s="231"/>
      <c r="B399" s="263">
        <f t="shared" si="67"/>
        <v>369</v>
      </c>
      <c r="C399" s="263"/>
      <c r="D399" s="241">
        <v>7</v>
      </c>
      <c r="E399" s="264">
        <f t="shared" si="66"/>
        <v>372</v>
      </c>
      <c r="F399" s="285">
        <f t="shared" si="64"/>
        <v>31.33</v>
      </c>
      <c r="G399" s="233">
        <f t="shared" si="65"/>
        <v>30.931999999999999</v>
      </c>
      <c r="H399" s="233" t="s">
        <v>97</v>
      </c>
      <c r="I399" s="233">
        <f t="shared" si="56"/>
        <v>11473.706999999999</v>
      </c>
      <c r="J399" s="233">
        <f t="shared" ref="J399:J436" si="68">IF(I399="","",$L$9-I399)</f>
        <v>143.86300000000119</v>
      </c>
      <c r="K399" s="234">
        <f t="shared" ref="K399:K436" si="69">$H$9+(I399*$E$10*$H$11/1000)</f>
        <v>327.25386865240642</v>
      </c>
      <c r="L399" s="381"/>
      <c r="M399" s="382"/>
      <c r="N399" s="11"/>
    </row>
    <row r="400" spans="1:14" ht="15" customHeight="1">
      <c r="A400" s="231"/>
      <c r="B400" s="263">
        <f t="shared" si="67"/>
        <v>370</v>
      </c>
      <c r="C400" s="263"/>
      <c r="D400" s="241">
        <v>7</v>
      </c>
      <c r="E400" s="264">
        <f t="shared" si="66"/>
        <v>373</v>
      </c>
      <c r="F400" s="285">
        <f t="shared" si="64"/>
        <v>33.19</v>
      </c>
      <c r="G400" s="233">
        <f t="shared" si="65"/>
        <v>32.791999999999994</v>
      </c>
      <c r="H400" s="233" t="s">
        <v>97</v>
      </c>
      <c r="I400" s="233">
        <f t="shared" ref="I400:I436" si="70">IF(H400="IN",I399+G400,I399)</f>
        <v>11473.706999999999</v>
      </c>
      <c r="J400" s="233">
        <f t="shared" si="68"/>
        <v>143.86300000000119</v>
      </c>
      <c r="K400" s="234">
        <f t="shared" si="69"/>
        <v>327.25386865240642</v>
      </c>
      <c r="L400" s="381"/>
      <c r="M400" s="382"/>
      <c r="N400" s="11"/>
    </row>
    <row r="401" spans="1:14" ht="15" customHeight="1">
      <c r="A401" s="231"/>
      <c r="B401" s="263">
        <f t="shared" si="67"/>
        <v>371</v>
      </c>
      <c r="C401" s="263"/>
      <c r="D401" s="241">
        <v>7</v>
      </c>
      <c r="E401" s="264">
        <f t="shared" si="66"/>
        <v>374</v>
      </c>
      <c r="F401" s="285">
        <f t="shared" si="64"/>
        <v>31.22</v>
      </c>
      <c r="G401" s="233">
        <f t="shared" si="65"/>
        <v>30.821999999999999</v>
      </c>
      <c r="H401" s="233" t="s">
        <v>97</v>
      </c>
      <c r="I401" s="233">
        <f t="shared" si="70"/>
        <v>11473.706999999999</v>
      </c>
      <c r="J401" s="233">
        <f t="shared" si="68"/>
        <v>143.86300000000119</v>
      </c>
      <c r="K401" s="234">
        <f t="shared" si="69"/>
        <v>327.25386865240642</v>
      </c>
      <c r="L401" s="381"/>
      <c r="M401" s="382"/>
      <c r="N401" s="11"/>
    </row>
    <row r="402" spans="1:14" ht="15" customHeight="1">
      <c r="A402" s="231"/>
      <c r="B402" s="263">
        <f t="shared" si="67"/>
        <v>372</v>
      </c>
      <c r="C402" s="263"/>
      <c r="D402" s="241">
        <v>7</v>
      </c>
      <c r="E402" s="264">
        <f t="shared" si="66"/>
        <v>375</v>
      </c>
      <c r="F402" s="285">
        <f t="shared" si="64"/>
        <v>31.51</v>
      </c>
      <c r="G402" s="233">
        <f t="shared" si="65"/>
        <v>31.112000000000002</v>
      </c>
      <c r="H402" s="233" t="s">
        <v>97</v>
      </c>
      <c r="I402" s="233">
        <f t="shared" si="70"/>
        <v>11473.706999999999</v>
      </c>
      <c r="J402" s="233">
        <f t="shared" si="68"/>
        <v>143.86300000000119</v>
      </c>
      <c r="K402" s="234">
        <f t="shared" si="69"/>
        <v>327.25386865240642</v>
      </c>
      <c r="L402" s="381"/>
      <c r="M402" s="382"/>
      <c r="N402" s="11"/>
    </row>
    <row r="403" spans="1:14" ht="15" customHeight="1">
      <c r="A403" s="231"/>
      <c r="B403" s="263">
        <f t="shared" si="67"/>
        <v>373</v>
      </c>
      <c r="C403" s="263"/>
      <c r="D403" s="241">
        <v>7</v>
      </c>
      <c r="E403" s="264">
        <f t="shared" si="66"/>
        <v>376</v>
      </c>
      <c r="F403" s="285">
        <f t="shared" si="64"/>
        <v>33</v>
      </c>
      <c r="G403" s="233">
        <f t="shared" si="65"/>
        <v>32.601999999999997</v>
      </c>
      <c r="H403" s="233" t="s">
        <v>97</v>
      </c>
      <c r="I403" s="233">
        <f t="shared" si="70"/>
        <v>11473.706999999999</v>
      </c>
      <c r="J403" s="233">
        <f t="shared" si="68"/>
        <v>143.86300000000119</v>
      </c>
      <c r="K403" s="234">
        <f t="shared" si="69"/>
        <v>327.25386865240642</v>
      </c>
      <c r="L403" s="381"/>
      <c r="M403" s="382"/>
      <c r="N403" s="11"/>
    </row>
    <row r="404" spans="1:14" ht="15" customHeight="1">
      <c r="A404" s="231"/>
      <c r="B404" s="263">
        <f t="shared" si="67"/>
        <v>374</v>
      </c>
      <c r="C404" s="263"/>
      <c r="D404" s="241">
        <v>7</v>
      </c>
      <c r="E404" s="264">
        <f t="shared" si="66"/>
        <v>377</v>
      </c>
      <c r="F404" s="285">
        <f t="shared" si="64"/>
        <v>31.31</v>
      </c>
      <c r="G404" s="233">
        <f t="shared" si="65"/>
        <v>30.911999999999999</v>
      </c>
      <c r="H404" s="233" t="s">
        <v>97</v>
      </c>
      <c r="I404" s="233">
        <f t="shared" si="70"/>
        <v>11473.706999999999</v>
      </c>
      <c r="J404" s="233">
        <f t="shared" si="68"/>
        <v>143.86300000000119</v>
      </c>
      <c r="K404" s="234">
        <f t="shared" si="69"/>
        <v>327.25386865240642</v>
      </c>
      <c r="L404" s="381"/>
      <c r="M404" s="382"/>
      <c r="N404" s="11"/>
    </row>
    <row r="405" spans="1:14" ht="15" customHeight="1">
      <c r="A405" s="231"/>
      <c r="B405" s="263">
        <f t="shared" si="67"/>
        <v>375</v>
      </c>
      <c r="C405" s="263"/>
      <c r="D405" s="241">
        <v>7</v>
      </c>
      <c r="E405" s="264">
        <f t="shared" si="66"/>
        <v>378</v>
      </c>
      <c r="F405" s="285">
        <f t="shared" si="64"/>
        <v>33.43</v>
      </c>
      <c r="G405" s="233">
        <f t="shared" si="65"/>
        <v>33.031999999999996</v>
      </c>
      <c r="H405" s="233" t="s">
        <v>97</v>
      </c>
      <c r="I405" s="233">
        <f t="shared" si="70"/>
        <v>11473.706999999999</v>
      </c>
      <c r="J405" s="233">
        <f t="shared" si="68"/>
        <v>143.86300000000119</v>
      </c>
      <c r="K405" s="234">
        <f t="shared" si="69"/>
        <v>327.25386865240642</v>
      </c>
      <c r="L405" s="381"/>
      <c r="M405" s="382"/>
      <c r="N405" s="11"/>
    </row>
    <row r="406" spans="1:14" ht="15" customHeight="1">
      <c r="A406" s="231"/>
      <c r="B406" s="263">
        <f t="shared" si="67"/>
        <v>376</v>
      </c>
      <c r="C406" s="263"/>
      <c r="D406" s="241">
        <v>7</v>
      </c>
      <c r="E406" s="264">
        <f t="shared" si="66"/>
        <v>379</v>
      </c>
      <c r="F406" s="285">
        <f t="shared" si="64"/>
        <v>33.340000000000003</v>
      </c>
      <c r="G406" s="233">
        <f t="shared" si="65"/>
        <v>32.942</v>
      </c>
      <c r="H406" s="233" t="s">
        <v>97</v>
      </c>
      <c r="I406" s="233">
        <f t="shared" si="70"/>
        <v>11473.706999999999</v>
      </c>
      <c r="J406" s="233">
        <f t="shared" si="68"/>
        <v>143.86300000000119</v>
      </c>
      <c r="K406" s="234">
        <f t="shared" si="69"/>
        <v>327.25386865240642</v>
      </c>
      <c r="L406" s="381"/>
      <c r="M406" s="382"/>
      <c r="N406" s="11"/>
    </row>
    <row r="407" spans="1:14" ht="15" customHeight="1">
      <c r="A407" s="231"/>
      <c r="B407" s="263">
        <f t="shared" si="67"/>
        <v>377</v>
      </c>
      <c r="C407" s="263"/>
      <c r="D407" s="241">
        <v>7</v>
      </c>
      <c r="E407" s="264">
        <f t="shared" si="66"/>
        <v>380</v>
      </c>
      <c r="F407" s="285">
        <f t="shared" si="64"/>
        <v>33.54</v>
      </c>
      <c r="G407" s="233">
        <f t="shared" si="65"/>
        <v>33.141999999999996</v>
      </c>
      <c r="H407" s="233" t="s">
        <v>97</v>
      </c>
      <c r="I407" s="233">
        <f t="shared" si="70"/>
        <v>11473.706999999999</v>
      </c>
      <c r="J407" s="233">
        <f t="shared" si="68"/>
        <v>143.86300000000119</v>
      </c>
      <c r="K407" s="234">
        <f t="shared" si="69"/>
        <v>327.25386865240642</v>
      </c>
      <c r="L407" s="381"/>
      <c r="M407" s="382"/>
      <c r="N407" s="11"/>
    </row>
    <row r="408" spans="1:14" ht="15" customHeight="1">
      <c r="A408" s="231"/>
      <c r="B408" s="263">
        <f t="shared" si="67"/>
        <v>378</v>
      </c>
      <c r="C408" s="263"/>
      <c r="D408" s="241">
        <v>7</v>
      </c>
      <c r="E408" s="264">
        <f t="shared" si="66"/>
        <v>381</v>
      </c>
      <c r="F408" s="285">
        <f t="shared" si="64"/>
        <v>33.14</v>
      </c>
      <c r="G408" s="233">
        <f t="shared" si="65"/>
        <v>32.741999999999997</v>
      </c>
      <c r="H408" s="233" t="s">
        <v>97</v>
      </c>
      <c r="I408" s="233">
        <f t="shared" si="70"/>
        <v>11473.706999999999</v>
      </c>
      <c r="J408" s="233">
        <f t="shared" si="68"/>
        <v>143.86300000000119</v>
      </c>
      <c r="K408" s="234">
        <f t="shared" si="69"/>
        <v>327.25386865240642</v>
      </c>
      <c r="L408" s="381"/>
      <c r="M408" s="382"/>
      <c r="N408" s="11"/>
    </row>
    <row r="409" spans="1:14" ht="15" customHeight="1">
      <c r="A409" s="231"/>
      <c r="B409" s="263">
        <f t="shared" si="67"/>
        <v>379</v>
      </c>
      <c r="C409" s="263"/>
      <c r="D409" s="241">
        <v>7</v>
      </c>
      <c r="E409" s="264">
        <f t="shared" si="66"/>
        <v>382</v>
      </c>
      <c r="F409" s="285">
        <f t="shared" si="64"/>
        <v>33.36</v>
      </c>
      <c r="G409" s="233">
        <f t="shared" si="65"/>
        <v>32.961999999999996</v>
      </c>
      <c r="H409" s="233" t="s">
        <v>97</v>
      </c>
      <c r="I409" s="233">
        <f t="shared" si="70"/>
        <v>11473.706999999999</v>
      </c>
      <c r="J409" s="233">
        <f t="shared" si="68"/>
        <v>143.86300000000119</v>
      </c>
      <c r="K409" s="234">
        <f t="shared" si="69"/>
        <v>327.25386865240642</v>
      </c>
      <c r="L409" s="381"/>
      <c r="M409" s="382"/>
      <c r="N409" s="11"/>
    </row>
    <row r="410" spans="1:14" ht="15" customHeight="1">
      <c r="A410" s="231"/>
      <c r="B410" s="263">
        <f t="shared" si="67"/>
        <v>380</v>
      </c>
      <c r="C410" s="263"/>
      <c r="D410" s="241">
        <v>7</v>
      </c>
      <c r="E410" s="264">
        <f t="shared" si="66"/>
        <v>383</v>
      </c>
      <c r="F410" s="285">
        <f t="shared" si="64"/>
        <v>33.47</v>
      </c>
      <c r="G410" s="233">
        <f t="shared" si="65"/>
        <v>33.071999999999996</v>
      </c>
      <c r="H410" s="233" t="s">
        <v>97</v>
      </c>
      <c r="I410" s="233">
        <f t="shared" si="70"/>
        <v>11473.706999999999</v>
      </c>
      <c r="J410" s="233">
        <f t="shared" si="68"/>
        <v>143.86300000000119</v>
      </c>
      <c r="K410" s="234">
        <f t="shared" si="69"/>
        <v>327.25386865240642</v>
      </c>
      <c r="L410" s="381"/>
      <c r="M410" s="382"/>
      <c r="N410" s="11"/>
    </row>
    <row r="411" spans="1:14" ht="15" customHeight="1">
      <c r="A411" s="231"/>
      <c r="B411" s="263">
        <f t="shared" si="67"/>
        <v>381</v>
      </c>
      <c r="C411" s="263"/>
      <c r="D411" s="241">
        <v>7</v>
      </c>
      <c r="E411" s="264">
        <f t="shared" si="66"/>
        <v>384</v>
      </c>
      <c r="F411" s="285">
        <f t="shared" ref="F411:F429" si="71">VLOOKUP(E411,tubing1,2,FALSE)</f>
        <v>33.5</v>
      </c>
      <c r="G411" s="233">
        <f t="shared" ref="G411:G430" si="72">F411-($E$12)</f>
        <v>33.101999999999997</v>
      </c>
      <c r="H411" s="233" t="s">
        <v>97</v>
      </c>
      <c r="I411" s="233">
        <f t="shared" si="70"/>
        <v>11473.706999999999</v>
      </c>
      <c r="J411" s="233">
        <f t="shared" si="68"/>
        <v>143.86300000000119</v>
      </c>
      <c r="K411" s="234">
        <f t="shared" si="69"/>
        <v>327.25386865240642</v>
      </c>
      <c r="L411" s="381"/>
      <c r="M411" s="382"/>
      <c r="N411" s="11"/>
    </row>
    <row r="412" spans="1:14" ht="15" customHeight="1">
      <c r="A412" s="231"/>
      <c r="B412" s="263">
        <f t="shared" si="67"/>
        <v>382</v>
      </c>
      <c r="C412" s="263"/>
      <c r="D412" s="241">
        <v>7</v>
      </c>
      <c r="E412" s="264">
        <f t="shared" ref="E412:E429" si="73">E411+1</f>
        <v>385</v>
      </c>
      <c r="F412" s="285">
        <f t="shared" si="71"/>
        <v>33.44</v>
      </c>
      <c r="G412" s="233">
        <f t="shared" si="72"/>
        <v>33.041999999999994</v>
      </c>
      <c r="H412" s="233" t="s">
        <v>97</v>
      </c>
      <c r="I412" s="233">
        <f t="shared" si="70"/>
        <v>11473.706999999999</v>
      </c>
      <c r="J412" s="233">
        <f t="shared" si="68"/>
        <v>143.86300000000119</v>
      </c>
      <c r="K412" s="234">
        <f t="shared" si="69"/>
        <v>327.25386865240642</v>
      </c>
      <c r="L412" s="381"/>
      <c r="M412" s="382"/>
      <c r="N412" s="11"/>
    </row>
    <row r="413" spans="1:14" ht="15" customHeight="1">
      <c r="A413" s="231"/>
      <c r="B413" s="263">
        <f t="shared" si="67"/>
        <v>383</v>
      </c>
      <c r="C413" s="263"/>
      <c r="D413" s="241">
        <v>7</v>
      </c>
      <c r="E413" s="264">
        <f t="shared" si="73"/>
        <v>386</v>
      </c>
      <c r="F413" s="285">
        <f t="shared" si="71"/>
        <v>31.67</v>
      </c>
      <c r="G413" s="233">
        <f t="shared" si="72"/>
        <v>31.272000000000002</v>
      </c>
      <c r="H413" s="233" t="s">
        <v>97</v>
      </c>
      <c r="I413" s="233">
        <f t="shared" si="70"/>
        <v>11473.706999999999</v>
      </c>
      <c r="J413" s="233">
        <f t="shared" si="68"/>
        <v>143.86300000000119</v>
      </c>
      <c r="K413" s="234">
        <f t="shared" si="69"/>
        <v>327.25386865240642</v>
      </c>
      <c r="L413" s="381"/>
      <c r="M413" s="382"/>
      <c r="N413" s="11"/>
    </row>
    <row r="414" spans="1:14" ht="15" customHeight="1">
      <c r="A414" s="231"/>
      <c r="B414" s="263">
        <f t="shared" si="67"/>
        <v>384</v>
      </c>
      <c r="C414" s="263"/>
      <c r="D414" s="241">
        <v>7</v>
      </c>
      <c r="E414" s="264">
        <f t="shared" si="73"/>
        <v>387</v>
      </c>
      <c r="F414" s="285">
        <f t="shared" si="71"/>
        <v>33.39</v>
      </c>
      <c r="G414" s="233">
        <f t="shared" si="72"/>
        <v>32.991999999999997</v>
      </c>
      <c r="H414" s="233" t="s">
        <v>97</v>
      </c>
      <c r="I414" s="233">
        <f t="shared" si="70"/>
        <v>11473.706999999999</v>
      </c>
      <c r="J414" s="233">
        <f t="shared" si="68"/>
        <v>143.86300000000119</v>
      </c>
      <c r="K414" s="234">
        <f t="shared" si="69"/>
        <v>327.25386865240642</v>
      </c>
      <c r="L414" s="381"/>
      <c r="M414" s="382"/>
      <c r="N414" s="11"/>
    </row>
    <row r="415" spans="1:14" ht="15" customHeight="1">
      <c r="A415" s="231"/>
      <c r="B415" s="263">
        <f t="shared" si="67"/>
        <v>385</v>
      </c>
      <c r="C415" s="263"/>
      <c r="D415" s="241">
        <v>7</v>
      </c>
      <c r="E415" s="264">
        <f t="shared" si="73"/>
        <v>388</v>
      </c>
      <c r="F415" s="285">
        <f t="shared" si="71"/>
        <v>33.22</v>
      </c>
      <c r="G415" s="233">
        <f t="shared" si="72"/>
        <v>32.821999999999996</v>
      </c>
      <c r="H415" s="233" t="s">
        <v>97</v>
      </c>
      <c r="I415" s="233">
        <f t="shared" si="70"/>
        <v>11473.706999999999</v>
      </c>
      <c r="J415" s="233">
        <f t="shared" si="68"/>
        <v>143.86300000000119</v>
      </c>
      <c r="K415" s="234">
        <f t="shared" si="69"/>
        <v>327.25386865240642</v>
      </c>
      <c r="L415" s="381"/>
      <c r="M415" s="382"/>
      <c r="N415" s="11"/>
    </row>
    <row r="416" spans="1:14" ht="17.45" customHeight="1">
      <c r="A416" s="231"/>
      <c r="B416" s="263">
        <f t="shared" si="67"/>
        <v>386</v>
      </c>
      <c r="C416" s="263"/>
      <c r="D416" s="241">
        <v>7</v>
      </c>
      <c r="E416" s="264">
        <f t="shared" si="73"/>
        <v>389</v>
      </c>
      <c r="F416" s="285">
        <f t="shared" si="71"/>
        <v>33.200000000000003</v>
      </c>
      <c r="G416" s="233">
        <f t="shared" si="72"/>
        <v>32.802</v>
      </c>
      <c r="H416" s="233" t="s">
        <v>97</v>
      </c>
      <c r="I416" s="233">
        <f t="shared" si="70"/>
        <v>11473.706999999999</v>
      </c>
      <c r="J416" s="233">
        <f t="shared" si="68"/>
        <v>143.86300000000119</v>
      </c>
      <c r="K416" s="234">
        <f t="shared" si="69"/>
        <v>327.25386865240642</v>
      </c>
      <c r="L416" s="381"/>
      <c r="M416" s="382"/>
      <c r="N416" s="11"/>
    </row>
    <row r="417" spans="1:17" ht="15" customHeight="1">
      <c r="A417" s="231"/>
      <c r="B417" s="263">
        <f t="shared" si="67"/>
        <v>387</v>
      </c>
      <c r="C417" s="263"/>
      <c r="D417" s="241">
        <v>7</v>
      </c>
      <c r="E417" s="264">
        <f t="shared" si="73"/>
        <v>390</v>
      </c>
      <c r="F417" s="285">
        <f t="shared" si="71"/>
        <v>32.950000000000003</v>
      </c>
      <c r="G417" s="233">
        <f t="shared" si="72"/>
        <v>32.552</v>
      </c>
      <c r="H417" s="233" t="s">
        <v>97</v>
      </c>
      <c r="I417" s="233">
        <f t="shared" si="70"/>
        <v>11473.706999999999</v>
      </c>
      <c r="J417" s="233">
        <f t="shared" si="68"/>
        <v>143.86300000000119</v>
      </c>
      <c r="K417" s="234">
        <f t="shared" si="69"/>
        <v>327.25386865240642</v>
      </c>
      <c r="L417" s="381"/>
      <c r="M417" s="382"/>
      <c r="N417" s="11"/>
    </row>
    <row r="418" spans="1:17" ht="15" customHeight="1">
      <c r="A418" s="231"/>
      <c r="B418" s="263">
        <f t="shared" si="67"/>
        <v>388</v>
      </c>
      <c r="C418" s="263"/>
      <c r="D418" s="241">
        <v>7</v>
      </c>
      <c r="E418" s="264">
        <f t="shared" si="73"/>
        <v>391</v>
      </c>
      <c r="F418" s="285">
        <f t="shared" si="71"/>
        <v>33.590000000000003</v>
      </c>
      <c r="G418" s="233">
        <f t="shared" si="72"/>
        <v>33.192</v>
      </c>
      <c r="H418" s="233" t="s">
        <v>97</v>
      </c>
      <c r="I418" s="233">
        <f t="shared" si="70"/>
        <v>11473.706999999999</v>
      </c>
      <c r="J418" s="233">
        <f t="shared" si="68"/>
        <v>143.86300000000119</v>
      </c>
      <c r="K418" s="234">
        <f t="shared" si="69"/>
        <v>327.25386865240642</v>
      </c>
      <c r="L418" s="381"/>
      <c r="M418" s="382"/>
      <c r="N418" s="11"/>
    </row>
    <row r="419" spans="1:17" ht="15" customHeight="1">
      <c r="A419" s="231"/>
      <c r="B419" s="263">
        <f t="shared" si="67"/>
        <v>389</v>
      </c>
      <c r="C419" s="263"/>
      <c r="D419" s="241">
        <v>7</v>
      </c>
      <c r="E419" s="264">
        <f t="shared" si="73"/>
        <v>392</v>
      </c>
      <c r="F419" s="285">
        <f t="shared" si="71"/>
        <v>33.090000000000003</v>
      </c>
      <c r="G419" s="233">
        <f t="shared" si="72"/>
        <v>32.692</v>
      </c>
      <c r="H419" s="233" t="s">
        <v>97</v>
      </c>
      <c r="I419" s="233">
        <f t="shared" si="70"/>
        <v>11473.706999999999</v>
      </c>
      <c r="J419" s="233">
        <f t="shared" si="68"/>
        <v>143.86300000000119</v>
      </c>
      <c r="K419" s="234">
        <f t="shared" si="69"/>
        <v>327.25386865240642</v>
      </c>
      <c r="L419" s="381"/>
      <c r="M419" s="382"/>
      <c r="N419" s="11"/>
    </row>
    <row r="420" spans="1:17" ht="15" customHeight="1">
      <c r="A420" s="231"/>
      <c r="B420" s="263">
        <f t="shared" si="67"/>
        <v>390</v>
      </c>
      <c r="C420" s="263"/>
      <c r="D420" s="241">
        <v>7</v>
      </c>
      <c r="E420" s="264">
        <f t="shared" si="73"/>
        <v>393</v>
      </c>
      <c r="F420" s="285">
        <f t="shared" si="71"/>
        <v>33.39</v>
      </c>
      <c r="G420" s="233">
        <f t="shared" si="72"/>
        <v>32.991999999999997</v>
      </c>
      <c r="H420" s="233" t="s">
        <v>97</v>
      </c>
      <c r="I420" s="233">
        <f t="shared" si="70"/>
        <v>11473.706999999999</v>
      </c>
      <c r="J420" s="233">
        <f t="shared" si="68"/>
        <v>143.86300000000119</v>
      </c>
      <c r="K420" s="234">
        <f t="shared" si="69"/>
        <v>327.25386865240642</v>
      </c>
      <c r="L420" s="381"/>
      <c r="M420" s="382"/>
      <c r="N420" s="11"/>
    </row>
    <row r="421" spans="1:17" ht="15" customHeight="1">
      <c r="A421" s="231"/>
      <c r="B421" s="263">
        <f t="shared" si="67"/>
        <v>391</v>
      </c>
      <c r="C421" s="263"/>
      <c r="D421" s="241">
        <v>7</v>
      </c>
      <c r="E421" s="264">
        <f t="shared" si="73"/>
        <v>394</v>
      </c>
      <c r="F421" s="285">
        <f t="shared" si="71"/>
        <v>33.11</v>
      </c>
      <c r="G421" s="233">
        <f t="shared" si="72"/>
        <v>32.711999999999996</v>
      </c>
      <c r="H421" s="233" t="s">
        <v>97</v>
      </c>
      <c r="I421" s="233">
        <f t="shared" si="70"/>
        <v>11473.706999999999</v>
      </c>
      <c r="J421" s="233">
        <f t="shared" si="68"/>
        <v>143.86300000000119</v>
      </c>
      <c r="K421" s="234">
        <f t="shared" si="69"/>
        <v>327.25386865240642</v>
      </c>
      <c r="L421" s="381"/>
      <c r="M421" s="382"/>
      <c r="N421" s="11"/>
    </row>
    <row r="422" spans="1:17" ht="15" customHeight="1">
      <c r="A422" s="231"/>
      <c r="B422" s="263">
        <f t="shared" si="67"/>
        <v>392</v>
      </c>
      <c r="C422" s="263"/>
      <c r="D422" s="241">
        <v>7</v>
      </c>
      <c r="E422" s="264">
        <f t="shared" si="73"/>
        <v>395</v>
      </c>
      <c r="F422" s="285">
        <f t="shared" si="71"/>
        <v>31.28</v>
      </c>
      <c r="G422" s="233">
        <f t="shared" si="72"/>
        <v>30.882000000000001</v>
      </c>
      <c r="H422" s="233" t="s">
        <v>97</v>
      </c>
      <c r="I422" s="233">
        <f t="shared" si="70"/>
        <v>11473.706999999999</v>
      </c>
      <c r="J422" s="233">
        <f t="shared" si="68"/>
        <v>143.86300000000119</v>
      </c>
      <c r="K422" s="234">
        <f t="shared" si="69"/>
        <v>327.25386865240642</v>
      </c>
      <c r="L422" s="381"/>
      <c r="M422" s="382"/>
      <c r="N422" s="11"/>
    </row>
    <row r="423" spans="1:17" ht="15" customHeight="1">
      <c r="A423" s="231"/>
      <c r="B423" s="263">
        <f t="shared" si="67"/>
        <v>393</v>
      </c>
      <c r="C423" s="263"/>
      <c r="D423" s="241">
        <v>7</v>
      </c>
      <c r="E423" s="264">
        <f t="shared" si="73"/>
        <v>396</v>
      </c>
      <c r="F423" s="285">
        <f t="shared" si="71"/>
        <v>33.18</v>
      </c>
      <c r="G423" s="233">
        <f t="shared" si="72"/>
        <v>32.781999999999996</v>
      </c>
      <c r="H423" s="233" t="s">
        <v>97</v>
      </c>
      <c r="I423" s="233">
        <f t="shared" si="70"/>
        <v>11473.706999999999</v>
      </c>
      <c r="J423" s="233">
        <f t="shared" si="68"/>
        <v>143.86300000000119</v>
      </c>
      <c r="K423" s="234">
        <f t="shared" si="69"/>
        <v>327.25386865240642</v>
      </c>
      <c r="L423" s="381"/>
      <c r="M423" s="382"/>
      <c r="N423" s="11"/>
    </row>
    <row r="424" spans="1:17" ht="15" customHeight="1">
      <c r="A424" s="231"/>
      <c r="B424" s="263">
        <f t="shared" si="67"/>
        <v>394</v>
      </c>
      <c r="C424" s="263"/>
      <c r="D424" s="241">
        <v>7</v>
      </c>
      <c r="E424" s="264">
        <f t="shared" si="73"/>
        <v>397</v>
      </c>
      <c r="F424" s="285">
        <f t="shared" si="71"/>
        <v>32</v>
      </c>
      <c r="G424" s="233">
        <f t="shared" si="72"/>
        <v>31.602</v>
      </c>
      <c r="H424" s="233" t="s">
        <v>97</v>
      </c>
      <c r="I424" s="233">
        <f t="shared" si="70"/>
        <v>11473.706999999999</v>
      </c>
      <c r="J424" s="233">
        <f t="shared" si="68"/>
        <v>143.86300000000119</v>
      </c>
      <c r="K424" s="234">
        <f t="shared" si="69"/>
        <v>327.25386865240642</v>
      </c>
      <c r="L424" s="381"/>
      <c r="M424" s="382"/>
      <c r="N424" s="11"/>
    </row>
    <row r="425" spans="1:17" ht="15" customHeight="1">
      <c r="A425" s="231"/>
      <c r="B425" s="263">
        <f t="shared" si="67"/>
        <v>395</v>
      </c>
      <c r="C425" s="263"/>
      <c r="D425" s="241">
        <v>7</v>
      </c>
      <c r="E425" s="264">
        <f t="shared" si="73"/>
        <v>398</v>
      </c>
      <c r="F425" s="285">
        <f t="shared" si="71"/>
        <v>33.29</v>
      </c>
      <c r="G425" s="233">
        <f t="shared" si="72"/>
        <v>32.891999999999996</v>
      </c>
      <c r="H425" s="233" t="s">
        <v>97</v>
      </c>
      <c r="I425" s="233">
        <f t="shared" si="70"/>
        <v>11473.706999999999</v>
      </c>
      <c r="J425" s="233">
        <f t="shared" si="68"/>
        <v>143.86300000000119</v>
      </c>
      <c r="K425" s="234">
        <f t="shared" si="69"/>
        <v>327.25386865240642</v>
      </c>
      <c r="L425" s="381"/>
      <c r="M425" s="382"/>
      <c r="N425" s="11"/>
    </row>
    <row r="426" spans="1:17" ht="15" customHeight="1">
      <c r="A426" s="231"/>
      <c r="B426" s="263">
        <f t="shared" si="67"/>
        <v>396</v>
      </c>
      <c r="C426" s="263"/>
      <c r="D426" s="241">
        <v>7</v>
      </c>
      <c r="E426" s="264">
        <f t="shared" si="73"/>
        <v>399</v>
      </c>
      <c r="F426" s="285">
        <f t="shared" si="71"/>
        <v>33.14</v>
      </c>
      <c r="G426" s="233">
        <f t="shared" si="72"/>
        <v>32.741999999999997</v>
      </c>
      <c r="H426" s="233" t="s">
        <v>97</v>
      </c>
      <c r="I426" s="233">
        <f t="shared" si="70"/>
        <v>11473.706999999999</v>
      </c>
      <c r="J426" s="233">
        <f t="shared" si="68"/>
        <v>143.86300000000119</v>
      </c>
      <c r="K426" s="234">
        <f t="shared" si="69"/>
        <v>327.25386865240642</v>
      </c>
      <c r="L426" s="381"/>
      <c r="M426" s="382"/>
      <c r="N426" s="11"/>
    </row>
    <row r="427" spans="1:17" ht="15" customHeight="1">
      <c r="A427" s="231"/>
      <c r="B427" s="263">
        <f t="shared" si="67"/>
        <v>397</v>
      </c>
      <c r="C427" s="263"/>
      <c r="D427" s="241">
        <v>7</v>
      </c>
      <c r="E427" s="264">
        <f t="shared" si="73"/>
        <v>400</v>
      </c>
      <c r="F427" s="285">
        <f t="shared" si="71"/>
        <v>33.39</v>
      </c>
      <c r="G427" s="233">
        <f t="shared" si="72"/>
        <v>32.991999999999997</v>
      </c>
      <c r="H427" s="233" t="s">
        <v>97</v>
      </c>
      <c r="I427" s="233">
        <f t="shared" si="70"/>
        <v>11473.706999999999</v>
      </c>
      <c r="J427" s="233">
        <f t="shared" si="68"/>
        <v>143.86300000000119</v>
      </c>
      <c r="K427" s="234">
        <f t="shared" si="69"/>
        <v>327.25386865240642</v>
      </c>
      <c r="L427" s="381"/>
      <c r="M427" s="382"/>
      <c r="N427" s="11"/>
    </row>
    <row r="428" spans="1:17" ht="15" customHeight="1">
      <c r="A428" s="231"/>
      <c r="B428" s="263">
        <f t="shared" si="67"/>
        <v>398</v>
      </c>
      <c r="C428" s="263"/>
      <c r="D428" s="241">
        <v>7</v>
      </c>
      <c r="E428" s="264">
        <f t="shared" si="73"/>
        <v>401</v>
      </c>
      <c r="F428" s="285">
        <f t="shared" si="71"/>
        <v>33.03</v>
      </c>
      <c r="G428" s="233">
        <f t="shared" si="72"/>
        <v>32.631999999999998</v>
      </c>
      <c r="H428" s="233" t="s">
        <v>97</v>
      </c>
      <c r="I428" s="233">
        <f t="shared" si="70"/>
        <v>11473.706999999999</v>
      </c>
      <c r="J428" s="233">
        <f t="shared" si="68"/>
        <v>143.86300000000119</v>
      </c>
      <c r="K428" s="234">
        <f t="shared" si="69"/>
        <v>327.25386865240642</v>
      </c>
      <c r="L428" s="381"/>
      <c r="M428" s="382"/>
      <c r="N428" s="11"/>
    </row>
    <row r="429" spans="1:17" ht="15" customHeight="1">
      <c r="A429" s="231"/>
      <c r="B429" s="263">
        <f t="shared" si="67"/>
        <v>399</v>
      </c>
      <c r="C429" s="263"/>
      <c r="D429" s="241">
        <v>7</v>
      </c>
      <c r="E429" s="264">
        <f t="shared" si="73"/>
        <v>402</v>
      </c>
      <c r="F429" s="285">
        <f t="shared" si="71"/>
        <v>33.03</v>
      </c>
      <c r="G429" s="233">
        <f t="shared" si="72"/>
        <v>32.631999999999998</v>
      </c>
      <c r="H429" s="233" t="s">
        <v>97</v>
      </c>
      <c r="I429" s="233">
        <f t="shared" si="70"/>
        <v>11473.706999999999</v>
      </c>
      <c r="J429" s="233">
        <f t="shared" si="68"/>
        <v>143.86300000000119</v>
      </c>
      <c r="K429" s="234">
        <f t="shared" si="69"/>
        <v>327.25386865240642</v>
      </c>
      <c r="L429" s="381"/>
      <c r="M429" s="382"/>
      <c r="N429" s="11"/>
    </row>
    <row r="430" spans="1:17" ht="24" customHeight="1">
      <c r="A430" s="231"/>
      <c r="B430" s="383" t="s">
        <v>145</v>
      </c>
      <c r="C430" s="525" t="s">
        <v>146</v>
      </c>
      <c r="D430" s="526"/>
      <c r="E430" s="265" t="s">
        <v>38</v>
      </c>
      <c r="F430" s="469">
        <v>2.95</v>
      </c>
      <c r="G430" s="266">
        <f t="shared" si="72"/>
        <v>2.552</v>
      </c>
      <c r="H430" s="266" t="str">
        <f t="shared" ref="H430:H436" si="74">IF(F430="","OUT","IN")</f>
        <v>IN</v>
      </c>
      <c r="I430" s="266">
        <f t="shared" si="70"/>
        <v>11476.258999999998</v>
      </c>
      <c r="J430" s="266">
        <f t="shared" si="68"/>
        <v>141.31100000000151</v>
      </c>
      <c r="K430" s="470">
        <f t="shared" si="69"/>
        <v>327.30775113980133</v>
      </c>
      <c r="L430" s="535"/>
      <c r="M430" s="536"/>
      <c r="N430" s="11"/>
    </row>
    <row r="431" spans="1:17">
      <c r="A431" s="231"/>
      <c r="B431" s="541" t="s">
        <v>147</v>
      </c>
      <c r="C431" s="525" t="s">
        <v>148</v>
      </c>
      <c r="D431" s="526"/>
      <c r="E431" s="265">
        <v>1</v>
      </c>
      <c r="F431" s="384">
        <v>30.8</v>
      </c>
      <c r="G431" s="266">
        <f t="shared" ref="G431:G436" si="75">F431</f>
        <v>30.8</v>
      </c>
      <c r="H431" s="313" t="str">
        <f t="shared" si="74"/>
        <v>IN</v>
      </c>
      <c r="I431" s="313">
        <f t="shared" si="70"/>
        <v>11507.058999999997</v>
      </c>
      <c r="J431" s="313">
        <f t="shared" si="68"/>
        <v>110.51100000000224</v>
      </c>
      <c r="K431" s="468">
        <f t="shared" si="69"/>
        <v>327.95805702215426</v>
      </c>
      <c r="L431" s="367"/>
      <c r="M431" s="368"/>
      <c r="N431" s="11"/>
      <c r="Q431" s="274"/>
    </row>
    <row r="432" spans="1:17">
      <c r="A432" s="231"/>
      <c r="B432" s="542"/>
      <c r="C432" s="525" t="s">
        <v>149</v>
      </c>
      <c r="D432" s="526"/>
      <c r="E432" s="265">
        <v>2</v>
      </c>
      <c r="F432" s="384">
        <v>30.01</v>
      </c>
      <c r="G432" s="266">
        <f t="shared" si="75"/>
        <v>30.01</v>
      </c>
      <c r="H432" s="313" t="str">
        <f t="shared" si="74"/>
        <v>IN</v>
      </c>
      <c r="I432" s="313">
        <f t="shared" si="70"/>
        <v>11537.068999999998</v>
      </c>
      <c r="J432" s="313">
        <f t="shared" si="68"/>
        <v>80.501000000002023</v>
      </c>
      <c r="K432" s="468">
        <f t="shared" si="69"/>
        <v>328.5916829809014</v>
      </c>
      <c r="L432" s="367"/>
      <c r="M432" s="368"/>
      <c r="N432" s="11"/>
      <c r="Q432" s="274"/>
    </row>
    <row r="433" spans="1:14">
      <c r="A433" s="231"/>
      <c r="B433" s="543"/>
      <c r="C433" s="525" t="s">
        <v>150</v>
      </c>
      <c r="D433" s="526"/>
      <c r="E433" s="265">
        <v>3</v>
      </c>
      <c r="F433" s="384">
        <v>30.9</v>
      </c>
      <c r="G433" s="266">
        <f t="shared" si="75"/>
        <v>30.9</v>
      </c>
      <c r="H433" s="266" t="str">
        <f t="shared" si="74"/>
        <v>IN</v>
      </c>
      <c r="I433" s="313">
        <f t="shared" si="70"/>
        <v>11567.968999999997</v>
      </c>
      <c r="J433" s="313">
        <f t="shared" si="68"/>
        <v>49.601000000002387</v>
      </c>
      <c r="K433" s="468">
        <f t="shared" si="69"/>
        <v>329.24410024598922</v>
      </c>
      <c r="L433" s="267"/>
      <c r="M433" s="314"/>
      <c r="N433" s="11"/>
    </row>
    <row r="434" spans="1:14">
      <c r="A434" s="231"/>
      <c r="B434" s="544" t="s">
        <v>151</v>
      </c>
      <c r="C434" s="525" t="s">
        <v>152</v>
      </c>
      <c r="D434" s="526"/>
      <c r="E434" s="265">
        <v>1</v>
      </c>
      <c r="F434" s="384">
        <v>30.85</v>
      </c>
      <c r="G434" s="266">
        <f t="shared" si="75"/>
        <v>30.85</v>
      </c>
      <c r="H434" s="266" t="str">
        <f t="shared" si="74"/>
        <v>IN</v>
      </c>
      <c r="I434" s="313">
        <f t="shared" si="70"/>
        <v>11598.818999999998</v>
      </c>
      <c r="J434" s="313">
        <f t="shared" si="68"/>
        <v>18.751000000002023</v>
      </c>
      <c r="K434" s="468">
        <f t="shared" si="69"/>
        <v>329.89546181970968</v>
      </c>
      <c r="L434" s="644" t="s">
        <v>165</v>
      </c>
      <c r="M434" s="645"/>
      <c r="N434" s="11"/>
    </row>
    <row r="435" spans="1:14">
      <c r="A435" s="231"/>
      <c r="B435" s="545"/>
      <c r="C435" s="525" t="s">
        <v>154</v>
      </c>
      <c r="D435" s="526"/>
      <c r="E435" s="265">
        <v>2</v>
      </c>
      <c r="F435" s="384">
        <v>30.96</v>
      </c>
      <c r="G435" s="266">
        <f t="shared" si="75"/>
        <v>30.96</v>
      </c>
      <c r="H435" s="266" t="str">
        <f t="shared" si="74"/>
        <v>IN</v>
      </c>
      <c r="I435" s="313">
        <f t="shared" si="70"/>
        <v>11629.778999999997</v>
      </c>
      <c r="J435" s="313">
        <f t="shared" si="68"/>
        <v>-12.208999999997104</v>
      </c>
      <c r="K435" s="468">
        <f t="shared" si="69"/>
        <v>330.54914591443844</v>
      </c>
      <c r="L435" s="527"/>
      <c r="M435" s="528"/>
      <c r="N435" s="11"/>
    </row>
    <row r="436" spans="1:14">
      <c r="A436" s="231"/>
      <c r="B436" s="545"/>
      <c r="C436" s="529" t="s">
        <v>155</v>
      </c>
      <c r="D436" s="530"/>
      <c r="E436" s="270">
        <v>3</v>
      </c>
      <c r="F436" s="384">
        <v>30.98</v>
      </c>
      <c r="G436" s="271">
        <f t="shared" si="75"/>
        <v>30.98</v>
      </c>
      <c r="H436" s="271" t="str">
        <f t="shared" si="74"/>
        <v>IN</v>
      </c>
      <c r="I436" s="313">
        <f t="shared" si="70"/>
        <v>11660.758999999996</v>
      </c>
      <c r="J436" s="313">
        <f t="shared" si="68"/>
        <v>-43.188999999996668</v>
      </c>
      <c r="K436" s="468">
        <f t="shared" si="69"/>
        <v>331.2032522857142</v>
      </c>
      <c r="L436" s="531" t="s">
        <v>166</v>
      </c>
      <c r="M436" s="532"/>
      <c r="N436" s="11"/>
    </row>
    <row r="437" spans="1:14">
      <c r="A437" s="231"/>
      <c r="B437" s="537" t="s">
        <v>157</v>
      </c>
      <c r="C437" s="538" t="s">
        <v>158</v>
      </c>
      <c r="D437" s="538"/>
      <c r="E437" s="538"/>
      <c r="F437" s="386">
        <v>7.25</v>
      </c>
      <c r="G437" s="386">
        <f>F437-($E$12)</f>
        <v>6.8520000000000003</v>
      </c>
      <c r="H437" s="386" t="s">
        <v>97</v>
      </c>
      <c r="I437" s="386"/>
      <c r="J437" s="386"/>
      <c r="K437" s="539" t="s">
        <v>159</v>
      </c>
      <c r="L437" s="539"/>
      <c r="M437" s="540"/>
      <c r="N437" s="11"/>
    </row>
    <row r="438" spans="1:14">
      <c r="A438" s="231"/>
      <c r="B438" s="537"/>
      <c r="C438" s="538" t="s">
        <v>160</v>
      </c>
      <c r="D438" s="538"/>
      <c r="E438" s="538"/>
      <c r="F438" s="386">
        <v>99.7</v>
      </c>
      <c r="G438" s="386">
        <f>F438</f>
        <v>99.7</v>
      </c>
      <c r="H438" s="386" t="s">
        <v>97</v>
      </c>
      <c r="I438" s="386"/>
      <c r="J438" s="386"/>
      <c r="K438" s="539"/>
      <c r="L438" s="539"/>
      <c r="M438" s="539"/>
      <c r="N438" s="11"/>
    </row>
    <row r="439" spans="1:14" ht="13.5" customHeight="1">
      <c r="A439" s="231"/>
      <c r="B439" s="387"/>
      <c r="C439" s="519" t="s">
        <v>161</v>
      </c>
      <c r="D439" s="520"/>
      <c r="E439" s="520"/>
      <c r="F439" s="521"/>
      <c r="G439" s="388"/>
      <c r="H439" s="389" t="s">
        <v>97</v>
      </c>
      <c r="I439" s="388"/>
      <c r="J439" s="390"/>
      <c r="K439" s="391"/>
      <c r="L439" s="392"/>
      <c r="M439" s="393"/>
      <c r="N439" s="11"/>
    </row>
    <row r="440" spans="1:14">
      <c r="A440" s="231"/>
      <c r="B440" s="8"/>
      <c r="C440" s="8"/>
      <c r="D440" s="222"/>
      <c r="E440" s="222"/>
      <c r="F440" s="223"/>
      <c r="K440" s="224"/>
      <c r="L440" s="522"/>
      <c r="M440" s="522"/>
      <c r="N440" s="11"/>
    </row>
    <row r="441" spans="1:14">
      <c r="A441" s="231"/>
      <c r="D441" s="14"/>
      <c r="G441" s="17"/>
      <c r="M441" s="9"/>
      <c r="N441" s="11"/>
    </row>
    <row r="442" spans="1:14">
      <c r="A442" s="231"/>
      <c r="D442" s="14"/>
      <c r="G442" s="17"/>
      <c r="M442" s="9"/>
      <c r="N442" s="11"/>
    </row>
    <row r="443" spans="1:14">
      <c r="A443" s="231"/>
      <c r="D443" s="14"/>
      <c r="G443" s="17"/>
      <c r="K443" s="11"/>
      <c r="M443" s="9"/>
      <c r="N443" s="11"/>
    </row>
    <row r="444" spans="1:14">
      <c r="A444" s="231"/>
      <c r="D444" s="14"/>
      <c r="G444" s="17"/>
      <c r="M444" s="9"/>
      <c r="N444" s="11"/>
    </row>
    <row r="445" spans="1:14">
      <c r="A445" s="231"/>
      <c r="D445" s="14"/>
      <c r="G445" s="17"/>
      <c r="M445" s="9"/>
      <c r="N445" s="11"/>
    </row>
    <row r="446" spans="1:14">
      <c r="A446" s="231"/>
      <c r="D446" s="14"/>
      <c r="G446" s="17"/>
      <c r="M446" s="9"/>
      <c r="N446" s="11"/>
    </row>
    <row r="447" spans="1:14">
      <c r="A447" s="231"/>
      <c r="D447" s="14"/>
      <c r="G447" s="17"/>
      <c r="M447" s="9"/>
      <c r="N447" s="11"/>
    </row>
    <row r="448" spans="1:14">
      <c r="A448" s="231"/>
      <c r="D448" s="14"/>
      <c r="G448" s="17"/>
      <c r="M448" s="9"/>
      <c r="N448" s="11"/>
    </row>
    <row r="449" spans="1:16">
      <c r="A449" s="231"/>
      <c r="D449" s="14"/>
      <c r="G449" s="17"/>
      <c r="M449" s="9"/>
      <c r="N449" s="11"/>
    </row>
    <row r="450" spans="1:16">
      <c r="A450" s="231"/>
      <c r="N450" s="11"/>
    </row>
    <row r="451" spans="1:16">
      <c r="A451" s="231"/>
      <c r="N451" s="11"/>
    </row>
    <row r="452" spans="1:16">
      <c r="A452" s="231"/>
      <c r="N452" s="11"/>
    </row>
    <row r="453" spans="1:16">
      <c r="A453" s="231"/>
      <c r="N453" s="11"/>
    </row>
    <row r="454" spans="1:16">
      <c r="A454" s="231"/>
      <c r="N454" s="11"/>
    </row>
    <row r="455" spans="1:16">
      <c r="A455" s="231"/>
      <c r="N455" s="11"/>
    </row>
    <row r="456" spans="1:16">
      <c r="A456" s="231"/>
      <c r="N456" s="11"/>
    </row>
    <row r="457" spans="1:16">
      <c r="A457" s="231"/>
      <c r="N457" s="11"/>
    </row>
    <row r="458" spans="1:16">
      <c r="A458" s="231"/>
      <c r="N458" s="11"/>
    </row>
    <row r="459" spans="1:16">
      <c r="A459" s="231"/>
      <c r="N459" s="11"/>
    </row>
    <row r="460" spans="1:16" s="268" customFormat="1" ht="19.149999999999999" customHeight="1">
      <c r="B460" s="1"/>
      <c r="C460" s="17"/>
      <c r="D460" s="4"/>
      <c r="E460" s="4"/>
      <c r="F460" s="153"/>
      <c r="G460" s="153"/>
      <c r="H460" s="153"/>
      <c r="I460" s="153"/>
      <c r="J460" s="153"/>
      <c r="K460" s="161"/>
      <c r="L460" s="9"/>
    </row>
    <row r="461" spans="1:16" s="164" customFormat="1" ht="19.149999999999999" customHeight="1">
      <c r="B461" s="1"/>
      <c r="C461" s="17"/>
      <c r="D461" s="4"/>
      <c r="E461" s="4"/>
      <c r="F461" s="153"/>
      <c r="G461" s="153"/>
      <c r="H461" s="153"/>
      <c r="I461" s="153"/>
      <c r="J461" s="153"/>
      <c r="K461" s="161"/>
      <c r="L461" s="9"/>
    </row>
    <row r="462" spans="1:16" s="268" customFormat="1" ht="19.149999999999999" customHeight="1">
      <c r="B462" s="1"/>
      <c r="C462" s="17"/>
      <c r="D462" s="4"/>
      <c r="E462" s="4"/>
      <c r="F462" s="153"/>
      <c r="G462" s="153"/>
      <c r="H462" s="153"/>
      <c r="I462" s="153"/>
      <c r="J462" s="153"/>
      <c r="K462" s="161"/>
      <c r="L462" s="9"/>
    </row>
    <row r="463" spans="1:16" s="164" customFormat="1" ht="19.149999999999999" customHeight="1">
      <c r="B463" s="1"/>
      <c r="C463" s="17"/>
      <c r="D463" s="4"/>
      <c r="E463" s="4"/>
      <c r="F463" s="153"/>
      <c r="G463" s="153"/>
      <c r="H463" s="153"/>
      <c r="I463" s="153"/>
      <c r="J463" s="153"/>
      <c r="K463" s="161"/>
      <c r="L463" s="9"/>
      <c r="N463" s="178"/>
    </row>
    <row r="464" spans="1:16" s="268" customFormat="1" ht="19.149999999999999" customHeight="1">
      <c r="B464" s="1"/>
      <c r="C464" s="17"/>
      <c r="D464" s="4"/>
      <c r="E464" s="4"/>
      <c r="F464" s="153"/>
      <c r="G464" s="153"/>
      <c r="H464" s="153"/>
      <c r="I464" s="153"/>
      <c r="J464" s="153"/>
      <c r="K464" s="161"/>
      <c r="L464" s="9"/>
      <c r="N464" s="315"/>
      <c r="O464" s="164"/>
      <c r="P464" s="164"/>
    </row>
    <row r="465" spans="14:16" ht="13.15" customHeight="1">
      <c r="N465" s="316"/>
      <c r="O465" s="268"/>
      <c r="P465" s="268"/>
    </row>
    <row r="466" spans="14:16" ht="13.15" customHeight="1">
      <c r="N466" s="280"/>
      <c r="O466" s="268"/>
      <c r="P466" s="268"/>
    </row>
    <row r="467" spans="14:16">
      <c r="N467" s="269"/>
      <c r="P467" s="164"/>
    </row>
    <row r="468" spans="14:16" ht="13.15" customHeight="1"/>
  </sheetData>
  <mergeCells count="353">
    <mergeCell ref="L323:M323"/>
    <mergeCell ref="L331:M331"/>
    <mergeCell ref="L326:M326"/>
    <mergeCell ref="L328:M328"/>
    <mergeCell ref="L327:M327"/>
    <mergeCell ref="L440:M440"/>
    <mergeCell ref="L324:M324"/>
    <mergeCell ref="C438:E438"/>
    <mergeCell ref="C439:F439"/>
    <mergeCell ref="L436:M436"/>
    <mergeCell ref="L329:M329"/>
    <mergeCell ref="L435:M435"/>
    <mergeCell ref="C437:E437"/>
    <mergeCell ref="L430:M430"/>
    <mergeCell ref="C430:D430"/>
    <mergeCell ref="L337:M337"/>
    <mergeCell ref="L379:M379"/>
    <mergeCell ref="L343:M343"/>
    <mergeCell ref="L345:M345"/>
    <mergeCell ref="L346:M346"/>
    <mergeCell ref="L342:M342"/>
    <mergeCell ref="L344:M344"/>
    <mergeCell ref="D346:E346"/>
    <mergeCell ref="B431:B433"/>
    <mergeCell ref="C432:D432"/>
    <mergeCell ref="C431:D431"/>
    <mergeCell ref="B342:B346"/>
    <mergeCell ref="D344:E344"/>
    <mergeCell ref="D345:E345"/>
    <mergeCell ref="C342:C346"/>
    <mergeCell ref="D342:E342"/>
    <mergeCell ref="D343:E343"/>
    <mergeCell ref="B437:B438"/>
    <mergeCell ref="K437:M438"/>
    <mergeCell ref="B434:B436"/>
    <mergeCell ref="C433:D433"/>
    <mergeCell ref="C434:D434"/>
    <mergeCell ref="C435:D435"/>
    <mergeCell ref="C436:D436"/>
    <mergeCell ref="L434:M434"/>
    <mergeCell ref="L288:M288"/>
    <mergeCell ref="L289:M289"/>
    <mergeCell ref="L290:M290"/>
    <mergeCell ref="L291:M291"/>
    <mergeCell ref="L292:M292"/>
    <mergeCell ref="L304:M304"/>
    <mergeCell ref="L300:M300"/>
    <mergeCell ref="L330:M330"/>
    <mergeCell ref="L325:M325"/>
    <mergeCell ref="L320:M320"/>
    <mergeCell ref="L321:M321"/>
    <mergeCell ref="L317:M317"/>
    <mergeCell ref="L316:M316"/>
    <mergeCell ref="L319:M319"/>
    <mergeCell ref="L318:M318"/>
    <mergeCell ref="L303:M303"/>
    <mergeCell ref="L308:M308"/>
    <mergeCell ref="L307:M307"/>
    <mergeCell ref="L306:M306"/>
    <mergeCell ref="L301:M301"/>
    <mergeCell ref="L322:M322"/>
    <mergeCell ref="L305:M305"/>
    <mergeCell ref="L13:M14"/>
    <mergeCell ref="L244:M244"/>
    <mergeCell ref="L245:M245"/>
    <mergeCell ref="L246:M246"/>
    <mergeCell ref="L247:M247"/>
    <mergeCell ref="L236:M236"/>
    <mergeCell ref="L237:M237"/>
    <mergeCell ref="L238:M238"/>
    <mergeCell ref="L239:M239"/>
    <mergeCell ref="L240:M240"/>
    <mergeCell ref="L241:M241"/>
    <mergeCell ref="L263:M263"/>
    <mergeCell ref="L264:M264"/>
    <mergeCell ref="L265:M265"/>
    <mergeCell ref="L266:M266"/>
    <mergeCell ref="L214:M214"/>
    <mergeCell ref="L215:M215"/>
    <mergeCell ref="L216:M216"/>
    <mergeCell ref="O19:P20"/>
    <mergeCell ref="O23:P24"/>
    <mergeCell ref="L296:M296"/>
    <mergeCell ref="L297:M297"/>
    <mergeCell ref="L302:M302"/>
    <mergeCell ref="L293:M293"/>
    <mergeCell ref="L294:M294"/>
    <mergeCell ref="L298:M298"/>
    <mergeCell ref="L267:M267"/>
    <mergeCell ref="L268:M268"/>
    <mergeCell ref="L299:M299"/>
    <mergeCell ref="L284:M284"/>
    <mergeCell ref="L285:M285"/>
    <mergeCell ref="L295:M295"/>
    <mergeCell ref="L286:M286"/>
    <mergeCell ref="L287:M287"/>
    <mergeCell ref="L242:M242"/>
    <mergeCell ref="L243:M243"/>
    <mergeCell ref="L232:M232"/>
    <mergeCell ref="L233:M233"/>
    <mergeCell ref="L234:M234"/>
    <mergeCell ref="L223:M223"/>
    <mergeCell ref="L212:M212"/>
    <mergeCell ref="L213:M213"/>
    <mergeCell ref="R29:S29"/>
    <mergeCell ref="L26:M26"/>
    <mergeCell ref="L24:M24"/>
    <mergeCell ref="N28:P31"/>
    <mergeCell ref="L261:M261"/>
    <mergeCell ref="L262:M262"/>
    <mergeCell ref="L248:M248"/>
    <mergeCell ref="L249:M249"/>
    <mergeCell ref="L250:M250"/>
    <mergeCell ref="L251:M251"/>
    <mergeCell ref="L252:M252"/>
    <mergeCell ref="L253:M253"/>
    <mergeCell ref="L256:M256"/>
    <mergeCell ref="L257:M257"/>
    <mergeCell ref="L258:M258"/>
    <mergeCell ref="L259:M259"/>
    <mergeCell ref="L260:M260"/>
    <mergeCell ref="L225:M225"/>
    <mergeCell ref="L226:M226"/>
    <mergeCell ref="L227:M227"/>
    <mergeCell ref="L228:M228"/>
    <mergeCell ref="L229:M229"/>
    <mergeCell ref="L230:M230"/>
    <mergeCell ref="L231:M231"/>
    <mergeCell ref="E6:F6"/>
    <mergeCell ref="E8:F8"/>
    <mergeCell ref="E9:F9"/>
    <mergeCell ref="E10:F10"/>
    <mergeCell ref="E11:F11"/>
    <mergeCell ref="E7:F7"/>
    <mergeCell ref="L254:M254"/>
    <mergeCell ref="L255:M255"/>
    <mergeCell ref="L282:M282"/>
    <mergeCell ref="L269:M269"/>
    <mergeCell ref="L272:M272"/>
    <mergeCell ref="L271:M271"/>
    <mergeCell ref="L276:M276"/>
    <mergeCell ref="L277:M277"/>
    <mergeCell ref="L278:M278"/>
    <mergeCell ref="L273:M273"/>
    <mergeCell ref="L274:M274"/>
    <mergeCell ref="L270:M270"/>
    <mergeCell ref="L275:M275"/>
    <mergeCell ref="L279:M279"/>
    <mergeCell ref="L280:M280"/>
    <mergeCell ref="L281:M281"/>
    <mergeCell ref="L235:M235"/>
    <mergeCell ref="L224:M224"/>
    <mergeCell ref="L217:M217"/>
    <mergeCell ref="L218:M218"/>
    <mergeCell ref="L219:M219"/>
    <mergeCell ref="L220:M220"/>
    <mergeCell ref="L221:M221"/>
    <mergeCell ref="L222:M222"/>
    <mergeCell ref="L210:M210"/>
    <mergeCell ref="L211:M211"/>
    <mergeCell ref="L200:M200"/>
    <mergeCell ref="L201:M201"/>
    <mergeCell ref="L202:M202"/>
    <mergeCell ref="L203:M203"/>
    <mergeCell ref="L204:M204"/>
    <mergeCell ref="L205:M205"/>
    <mergeCell ref="L144:M144"/>
    <mergeCell ref="L158:M158"/>
    <mergeCell ref="L159:M159"/>
    <mergeCell ref="L160:M160"/>
    <mergeCell ref="L153:M153"/>
    <mergeCell ref="L149:M149"/>
    <mergeCell ref="L154:M154"/>
    <mergeCell ref="L155:M155"/>
    <mergeCell ref="L156:M156"/>
    <mergeCell ref="L157:M157"/>
    <mergeCell ref="L146:M146"/>
    <mergeCell ref="L147:M147"/>
    <mergeCell ref="L148:M148"/>
    <mergeCell ref="L150:M150"/>
    <mergeCell ref="L151:M151"/>
    <mergeCell ref="L152:M152"/>
    <mergeCell ref="L139:M139"/>
    <mergeCell ref="L140:M140"/>
    <mergeCell ref="L141:M141"/>
    <mergeCell ref="L142:M142"/>
    <mergeCell ref="L143:M143"/>
    <mergeCell ref="L138:M138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26:M126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14:M114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02:M102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90:M90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B15:B17"/>
    <mergeCell ref="L20:M20"/>
    <mergeCell ref="C15:C17"/>
    <mergeCell ref="L32:M32"/>
    <mergeCell ref="L31:M31"/>
    <mergeCell ref="D17:E17"/>
    <mergeCell ref="D16:E16"/>
    <mergeCell ref="D15:E15"/>
    <mergeCell ref="L16:M16"/>
    <mergeCell ref="L21:M21"/>
    <mergeCell ref="L15:M15"/>
    <mergeCell ref="L23:M23"/>
    <mergeCell ref="L17:M17"/>
    <mergeCell ref="L18:M18"/>
    <mergeCell ref="B19:B23"/>
    <mergeCell ref="C19:C23"/>
    <mergeCell ref="D20:E20"/>
    <mergeCell ref="D19:E19"/>
    <mergeCell ref="D23:E23"/>
    <mergeCell ref="L75:M75"/>
    <mergeCell ref="L40:M40"/>
    <mergeCell ref="L50:M50"/>
    <mergeCell ref="L38:M38"/>
    <mergeCell ref="L39:M39"/>
    <mergeCell ref="L19:M19"/>
    <mergeCell ref="L33:M37"/>
    <mergeCell ref="L22:M22"/>
    <mergeCell ref="L175:M175"/>
    <mergeCell ref="L164:M164"/>
    <mergeCell ref="L59:M59"/>
    <mergeCell ref="L61:M62"/>
    <mergeCell ref="L64:M64"/>
    <mergeCell ref="L63:M63"/>
    <mergeCell ref="L56:M56"/>
    <mergeCell ref="L77:M77"/>
    <mergeCell ref="L78:M78"/>
    <mergeCell ref="L67:M67"/>
    <mergeCell ref="L68:M68"/>
    <mergeCell ref="L69:M69"/>
    <mergeCell ref="L70:M70"/>
    <mergeCell ref="L71:M71"/>
    <mergeCell ref="L72:M72"/>
    <mergeCell ref="L76:M76"/>
    <mergeCell ref="L57:M57"/>
    <mergeCell ref="L58:M58"/>
    <mergeCell ref="L52:M52"/>
    <mergeCell ref="L53:M53"/>
    <mergeCell ref="L54:M54"/>
    <mergeCell ref="L46:M46"/>
    <mergeCell ref="L41:M41"/>
    <mergeCell ref="L42:M42"/>
    <mergeCell ref="L43:M43"/>
    <mergeCell ref="L45:M45"/>
    <mergeCell ref="L44:M44"/>
    <mergeCell ref="L51:M51"/>
    <mergeCell ref="L47:M47"/>
    <mergeCell ref="L48:M48"/>
    <mergeCell ref="L49:M49"/>
    <mergeCell ref="L65:M65"/>
    <mergeCell ref="L66:M66"/>
    <mergeCell ref="L55:M55"/>
    <mergeCell ref="L60:M60"/>
    <mergeCell ref="L209:M209"/>
    <mergeCell ref="L188:M188"/>
    <mergeCell ref="L189:M189"/>
    <mergeCell ref="L190:M190"/>
    <mergeCell ref="L191:M191"/>
    <mergeCell ref="L192:M192"/>
    <mergeCell ref="L183:M183"/>
    <mergeCell ref="L168:M168"/>
    <mergeCell ref="L169:M169"/>
    <mergeCell ref="L161:M161"/>
    <mergeCell ref="L162:M162"/>
    <mergeCell ref="L163:M163"/>
    <mergeCell ref="L170:M170"/>
    <mergeCell ref="L171:M171"/>
    <mergeCell ref="L172:M172"/>
    <mergeCell ref="L173:M173"/>
    <mergeCell ref="L174:M174"/>
    <mergeCell ref="L182:M182"/>
    <mergeCell ref="L73:M73"/>
    <mergeCell ref="L74:M74"/>
    <mergeCell ref="L165:M165"/>
    <mergeCell ref="L166:M166"/>
    <mergeCell ref="L167:M167"/>
    <mergeCell ref="L187:M187"/>
    <mergeCell ref="L176:M176"/>
    <mergeCell ref="L315:M315"/>
    <mergeCell ref="L177:M177"/>
    <mergeCell ref="L178:M178"/>
    <mergeCell ref="L179:M179"/>
    <mergeCell ref="L180:M180"/>
    <mergeCell ref="L181:M181"/>
    <mergeCell ref="L194:M194"/>
    <mergeCell ref="L195:M195"/>
    <mergeCell ref="L196:M196"/>
    <mergeCell ref="L197:M197"/>
    <mergeCell ref="L198:M198"/>
    <mergeCell ref="L199:M199"/>
    <mergeCell ref="L184:M184"/>
    <mergeCell ref="L185:M185"/>
    <mergeCell ref="L186:M186"/>
    <mergeCell ref="L193:M193"/>
    <mergeCell ref="L206:M206"/>
    <mergeCell ref="L207:M207"/>
    <mergeCell ref="L208:M208"/>
  </mergeCells>
  <dataValidations count="1">
    <dataValidation showInputMessage="1" showErrorMessage="1" sqref="F434:F436" xr:uid="{00000000-0002-0000-0300-000000000000}"/>
  </dataValidations>
  <printOptions horizontalCentered="1" verticalCentered="1"/>
  <pageMargins left="0.25" right="0.25" top="0.75" bottom="0.75" header="0.3" footer="0.3"/>
  <pageSetup scale="66" fitToHeight="8" orientation="portrait" r:id="rId1"/>
  <headerFooter alignWithMargins="0">
    <oddHeader>&amp;L&amp;"Calibri"&amp;9&amp;K000000Classification: Internal&amp;1#</oddHeader>
    <oddFooter>Page &amp;P</oddFooter>
  </headerFooter>
  <rowBreaks count="2" manualBreakCount="2">
    <brk id="58" max="27" man="1"/>
    <brk id="319" max="2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Z414"/>
  <sheetViews>
    <sheetView showGridLines="0" zoomScale="90" zoomScaleNormal="90" zoomScaleSheetLayoutView="115" workbookViewId="0">
      <selection activeCell="J2" sqref="J2"/>
    </sheetView>
  </sheetViews>
  <sheetFormatPr defaultColWidth="11.42578125" defaultRowHeight="12.75"/>
  <cols>
    <col min="1" max="1" width="1.42578125" customWidth="1"/>
    <col min="2" max="2" width="15" style="1" customWidth="1"/>
    <col min="3" max="3" width="5.5703125" style="17" customWidth="1"/>
    <col min="4" max="4" width="14.85546875" style="4" customWidth="1"/>
    <col min="5" max="5" width="11.28515625" style="4" customWidth="1"/>
    <col min="6" max="6" width="8.42578125" style="153" customWidth="1"/>
    <col min="7" max="7" width="10.5703125" style="153" customWidth="1"/>
    <col min="8" max="8" width="9.42578125" style="153" customWidth="1"/>
    <col min="9" max="9" width="9.5703125" style="153" customWidth="1"/>
    <col min="10" max="10" width="12.28515625" style="153" customWidth="1"/>
    <col min="11" max="12" width="17.42578125" style="161" customWidth="1"/>
    <col min="13" max="13" width="13.42578125" style="9" customWidth="1"/>
    <col min="14" max="14" width="27.7109375" customWidth="1"/>
    <col min="18" max="18" width="14.42578125" customWidth="1"/>
    <col min="19" max="19" width="35.5703125" customWidth="1"/>
  </cols>
  <sheetData>
    <row r="2" spans="1:21" ht="15.75" customHeight="1">
      <c r="A2" s="18"/>
      <c r="B2" s="5"/>
      <c r="C2" s="16"/>
      <c r="D2" s="13"/>
      <c r="E2" s="3"/>
      <c r="F2" s="194"/>
      <c r="G2" s="195"/>
      <c r="H2" s="194"/>
      <c r="I2" s="194" t="s">
        <v>44</v>
      </c>
      <c r="J2" s="159"/>
      <c r="K2" s="159"/>
      <c r="L2" s="159"/>
      <c r="M2" s="207"/>
      <c r="N2" s="443" t="s">
        <v>167</v>
      </c>
      <c r="O2" s="15"/>
    </row>
    <row r="3" spans="1:21" ht="2.25" customHeight="1">
      <c r="B3" s="6"/>
      <c r="C3" s="8"/>
      <c r="D3" s="12"/>
      <c r="E3" s="163"/>
      <c r="F3" s="191"/>
      <c r="G3" s="192"/>
      <c r="H3" s="197"/>
      <c r="I3" s="193"/>
      <c r="K3" s="160"/>
      <c r="L3" s="160"/>
      <c r="M3" s="208" t="s">
        <v>46</v>
      </c>
      <c r="N3" s="150"/>
    </row>
    <row r="4" spans="1:21" ht="17.25" customHeight="1">
      <c r="B4" s="6"/>
      <c r="C4" s="8"/>
      <c r="D4" s="12"/>
      <c r="E4" s="12"/>
      <c r="F4" s="152"/>
      <c r="G4" s="196"/>
      <c r="H4" s="198" t="s">
        <v>47</v>
      </c>
      <c r="I4" s="196"/>
      <c r="K4" s="160"/>
      <c r="L4" s="160"/>
      <c r="M4" s="20"/>
      <c r="N4" s="19"/>
    </row>
    <row r="5" spans="1:21" ht="21.75" customHeight="1">
      <c r="B5" s="6"/>
      <c r="C5" s="8"/>
      <c r="D5" s="12"/>
      <c r="E5" s="12"/>
      <c r="F5" s="152"/>
      <c r="G5" s="154"/>
      <c r="H5" s="152"/>
      <c r="I5" s="154"/>
      <c r="K5" s="200"/>
      <c r="L5" s="200" t="s">
        <v>48</v>
      </c>
      <c r="M5" s="206">
        <v>44439</v>
      </c>
      <c r="N5" s="19"/>
    </row>
    <row r="6" spans="1:21" ht="18" customHeight="1">
      <c r="B6" s="10"/>
      <c r="C6" s="228"/>
      <c r="D6" s="181" t="s">
        <v>50</v>
      </c>
      <c r="E6" s="636" t="s">
        <v>51</v>
      </c>
      <c r="F6" s="637"/>
      <c r="G6" s="213" t="s">
        <v>52</v>
      </c>
      <c r="H6" s="214" t="s">
        <v>53</v>
      </c>
      <c r="K6" s="199"/>
      <c r="L6" s="199" t="s">
        <v>54</v>
      </c>
      <c r="M6" s="201" t="s">
        <v>168</v>
      </c>
      <c r="N6" s="7"/>
    </row>
    <row r="7" spans="1:21">
      <c r="B7" s="21"/>
      <c r="C7" s="8"/>
      <c r="D7" s="181" t="s">
        <v>56</v>
      </c>
      <c r="E7" s="636" t="s">
        <v>169</v>
      </c>
      <c r="F7" s="637"/>
      <c r="G7" s="213" t="s">
        <v>58</v>
      </c>
      <c r="H7" s="215" t="s">
        <v>59</v>
      </c>
      <c r="I7" s="162"/>
      <c r="J7" s="17"/>
      <c r="K7" s="199"/>
      <c r="L7" s="199" t="s">
        <v>60</v>
      </c>
      <c r="M7" s="201" t="s">
        <v>61</v>
      </c>
      <c r="N7" s="7"/>
    </row>
    <row r="8" spans="1:21">
      <c r="B8" s="6"/>
      <c r="C8" s="8"/>
      <c r="D8" s="181" t="s">
        <v>62</v>
      </c>
      <c r="E8" s="636" t="s">
        <v>63</v>
      </c>
      <c r="F8" s="637"/>
      <c r="G8" s="213"/>
      <c r="H8" s="214"/>
      <c r="I8" s="158"/>
      <c r="K8" s="200"/>
      <c r="L8" s="200" t="s">
        <v>64</v>
      </c>
      <c r="M8" s="446">
        <v>1312.32</v>
      </c>
      <c r="N8" s="7" t="s">
        <v>65</v>
      </c>
    </row>
    <row r="9" spans="1:21">
      <c r="B9" s="6"/>
      <c r="C9" s="8"/>
      <c r="D9" s="181" t="s">
        <v>66</v>
      </c>
      <c r="E9" s="638" t="s">
        <v>67</v>
      </c>
      <c r="F9" s="639"/>
      <c r="G9" s="213" t="s">
        <v>68</v>
      </c>
      <c r="H9" s="445">
        <v>85</v>
      </c>
      <c r="I9" s="156"/>
      <c r="J9" s="156"/>
      <c r="K9" s="200"/>
      <c r="L9" s="200" t="s">
        <v>69</v>
      </c>
      <c r="M9" s="230">
        <v>11617.57</v>
      </c>
      <c r="N9" s="2" t="s">
        <v>65</v>
      </c>
    </row>
    <row r="10" spans="1:21">
      <c r="B10" s="6"/>
      <c r="C10" s="8"/>
      <c r="D10" s="181" t="s">
        <v>70</v>
      </c>
      <c r="E10" s="640">
        <v>26</v>
      </c>
      <c r="F10" s="641"/>
      <c r="G10" s="213" t="s">
        <v>71</v>
      </c>
      <c r="H10" s="444">
        <v>12.3</v>
      </c>
      <c r="I10" s="157"/>
      <c r="K10" s="200"/>
      <c r="L10" s="200" t="s">
        <v>72</v>
      </c>
      <c r="M10" s="229">
        <v>21304</v>
      </c>
      <c r="N10" s="2" t="s">
        <v>65</v>
      </c>
    </row>
    <row r="11" spans="1:21">
      <c r="B11" s="6"/>
      <c r="C11" s="8"/>
      <c r="D11" s="181" t="s">
        <v>73</v>
      </c>
      <c r="E11" s="609" t="s">
        <v>74</v>
      </c>
      <c r="F11" s="610"/>
      <c r="G11" s="213" t="s">
        <v>75</v>
      </c>
      <c r="H11" s="216">
        <f>(65.45-H10)/65.45</f>
        <v>0.81207028265851799</v>
      </c>
      <c r="I11" s="157"/>
      <c r="K11" s="200"/>
      <c r="L11" s="200" t="s">
        <v>76</v>
      </c>
      <c r="M11" s="229">
        <v>21294</v>
      </c>
      <c r="N11" s="2" t="s">
        <v>65</v>
      </c>
      <c r="P11" s="11"/>
    </row>
    <row r="12" spans="1:21">
      <c r="B12" s="6"/>
      <c r="C12" s="173"/>
      <c r="D12" s="181" t="s">
        <v>77</v>
      </c>
      <c r="E12" s="184">
        <f>F12/12</f>
        <v>0.39799999999999996</v>
      </c>
      <c r="F12" s="183">
        <v>4.7759999999999998</v>
      </c>
      <c r="G12" s="155"/>
      <c r="H12" s="182"/>
      <c r="I12" s="157"/>
      <c r="K12" s="200"/>
      <c r="L12" s="200" t="s">
        <v>78</v>
      </c>
      <c r="M12" s="230">
        <f>F16+J16</f>
        <v>11634.02</v>
      </c>
      <c r="N12" s="2" t="s">
        <v>65</v>
      </c>
      <c r="R12" s="179"/>
    </row>
    <row r="13" spans="1:21" ht="13.15" customHeight="1">
      <c r="B13" s="247" t="s">
        <v>79</v>
      </c>
      <c r="C13" s="248"/>
      <c r="D13" s="249"/>
      <c r="E13" s="248" t="s">
        <v>80</v>
      </c>
      <c r="F13" s="249" t="s">
        <v>80</v>
      </c>
      <c r="G13" s="250" t="s">
        <v>81</v>
      </c>
      <c r="H13" s="250" t="s">
        <v>80</v>
      </c>
      <c r="I13" s="251" t="s">
        <v>82</v>
      </c>
      <c r="J13" s="249" t="s">
        <v>83</v>
      </c>
      <c r="K13" s="252" t="s">
        <v>84</v>
      </c>
      <c r="L13" s="647" t="s">
        <v>170</v>
      </c>
      <c r="M13" s="611" t="s">
        <v>85</v>
      </c>
      <c r="N13" s="612"/>
    </row>
    <row r="14" spans="1:21" ht="14.1" customHeight="1">
      <c r="B14" s="253" t="s">
        <v>86</v>
      </c>
      <c r="C14" s="253" t="s">
        <v>87</v>
      </c>
      <c r="D14" s="254" t="s">
        <v>88</v>
      </c>
      <c r="E14" s="254" t="s">
        <v>89</v>
      </c>
      <c r="F14" s="255" t="s">
        <v>90</v>
      </c>
      <c r="G14" s="256" t="s">
        <v>90</v>
      </c>
      <c r="H14" s="256" t="s">
        <v>91</v>
      </c>
      <c r="I14" s="257" t="s">
        <v>90</v>
      </c>
      <c r="J14" s="255" t="s">
        <v>92</v>
      </c>
      <c r="K14" s="258" t="s">
        <v>93</v>
      </c>
      <c r="L14" s="648"/>
      <c r="M14" s="613"/>
      <c r="N14" s="614"/>
    </row>
    <row r="15" spans="1:21" ht="14.1" customHeight="1">
      <c r="B15" s="253"/>
      <c r="C15" s="649" t="s">
        <v>171</v>
      </c>
      <c r="D15" s="650"/>
      <c r="E15" s="651"/>
      <c r="F15" s="476">
        <v>3.23</v>
      </c>
      <c r="G15" s="477">
        <f>F15</f>
        <v>3.23</v>
      </c>
      <c r="H15" s="477" t="s">
        <v>131</v>
      </c>
      <c r="I15" s="155">
        <f>F15</f>
        <v>3.23</v>
      </c>
      <c r="J15" s="475">
        <f t="shared" ref="J15:J78" si="0">IF(I15="","",$M$9-I15)</f>
        <v>11614.34</v>
      </c>
      <c r="K15" s="258" t="s">
        <v>42</v>
      </c>
      <c r="L15" s="511" t="s">
        <v>42</v>
      </c>
      <c r="M15" s="473"/>
      <c r="N15" s="474"/>
    </row>
    <row r="16" spans="1:21" ht="17.100000000000001" customHeight="1">
      <c r="B16" s="628" t="s">
        <v>94</v>
      </c>
      <c r="C16" s="629" t="s">
        <v>95</v>
      </c>
      <c r="D16" s="630" t="s">
        <v>96</v>
      </c>
      <c r="E16" s="630"/>
      <c r="F16" s="170">
        <v>19.68</v>
      </c>
      <c r="G16" s="170">
        <f>F16</f>
        <v>19.68</v>
      </c>
      <c r="H16" s="171" t="s">
        <v>97</v>
      </c>
      <c r="I16" s="170">
        <f>I15</f>
        <v>3.23</v>
      </c>
      <c r="J16" s="171">
        <f t="shared" si="0"/>
        <v>11614.34</v>
      </c>
      <c r="K16" s="172">
        <f t="shared" ref="K16:K79" si="1">$H$9+(I16*$E$10*$H$11/1000)</f>
        <v>85.068197662337667</v>
      </c>
      <c r="L16" s="481">
        <v>0</v>
      </c>
      <c r="M16" s="631" t="s">
        <v>98</v>
      </c>
      <c r="N16" s="631"/>
      <c r="O16" s="11"/>
      <c r="U16" s="179"/>
    </row>
    <row r="17" spans="2:26" ht="17.850000000000001" customHeight="1">
      <c r="B17" s="628"/>
      <c r="C17" s="629"/>
      <c r="D17" s="632" t="s">
        <v>99</v>
      </c>
      <c r="E17" s="633"/>
      <c r="F17" s="170">
        <v>2.69</v>
      </c>
      <c r="G17" s="170">
        <f>F17</f>
        <v>2.69</v>
      </c>
      <c r="H17" s="170" t="str">
        <f t="shared" ref="H17:H53" si="2">IF(F17="","OUT","IN")</f>
        <v>IN</v>
      </c>
      <c r="I17" s="170">
        <f t="shared" ref="I17:I80" si="3">IF(H17="IN",I16+G17,I16)</f>
        <v>5.92</v>
      </c>
      <c r="J17" s="170">
        <f t="shared" si="0"/>
        <v>11611.65</v>
      </c>
      <c r="K17" s="172">
        <f t="shared" si="1"/>
        <v>85.124993857906802</v>
      </c>
      <c r="L17" s="481">
        <v>0</v>
      </c>
      <c r="M17" s="634" t="s">
        <v>100</v>
      </c>
      <c r="N17" s="634"/>
      <c r="O17" s="11"/>
    </row>
    <row r="18" spans="2:26" ht="18" customHeight="1">
      <c r="B18" s="628"/>
      <c r="C18" s="629"/>
      <c r="D18" s="630" t="s">
        <v>101</v>
      </c>
      <c r="E18" s="630"/>
      <c r="F18" s="170">
        <v>9.81</v>
      </c>
      <c r="G18" s="170">
        <v>9.81</v>
      </c>
      <c r="H18" s="170" t="str">
        <f t="shared" si="2"/>
        <v>IN</v>
      </c>
      <c r="I18" s="170">
        <f t="shared" si="3"/>
        <v>15.73</v>
      </c>
      <c r="J18" s="170">
        <f t="shared" si="0"/>
        <v>11601.84</v>
      </c>
      <c r="K18" s="172">
        <f t="shared" si="1"/>
        <v>85.332120504201683</v>
      </c>
      <c r="L18" s="481">
        <v>0</v>
      </c>
      <c r="M18" s="635"/>
      <c r="N18" s="635"/>
      <c r="O18" s="11"/>
    </row>
    <row r="19" spans="2:26" ht="13.5" customHeight="1">
      <c r="B19" s="321">
        <v>1</v>
      </c>
      <c r="C19" s="320"/>
      <c r="D19" s="174">
        <v>7</v>
      </c>
      <c r="E19" s="227">
        <v>1</v>
      </c>
      <c r="F19" s="175">
        <v>33.409999999999997</v>
      </c>
      <c r="G19" s="288">
        <f>F19-($E$12)</f>
        <v>33.011999999999993</v>
      </c>
      <c r="H19" s="175" t="str">
        <f t="shared" si="2"/>
        <v>IN</v>
      </c>
      <c r="I19" s="177">
        <f t="shared" si="3"/>
        <v>48.74199999999999</v>
      </c>
      <c r="J19" s="177">
        <f t="shared" si="0"/>
        <v>11568.828</v>
      </c>
      <c r="K19" s="235">
        <f t="shared" si="1"/>
        <v>86.029130172650881</v>
      </c>
      <c r="L19" s="479">
        <v>0</v>
      </c>
      <c r="M19" s="578"/>
      <c r="N19" s="579"/>
      <c r="O19" s="11"/>
      <c r="Q19" s="189"/>
      <c r="R19" s="189"/>
      <c r="S19" s="11"/>
      <c r="X19" s="11"/>
    </row>
    <row r="20" spans="2:26" ht="13.5" customHeight="1">
      <c r="B20" s="615" t="s">
        <v>102</v>
      </c>
      <c r="C20" s="616">
        <v>11958736</v>
      </c>
      <c r="D20" s="617" t="s">
        <v>101</v>
      </c>
      <c r="E20" s="617"/>
      <c r="F20" s="374">
        <v>6.21</v>
      </c>
      <c r="G20" s="375">
        <f>F20-($E$12)</f>
        <v>5.8120000000000003</v>
      </c>
      <c r="H20" s="374" t="str">
        <f t="shared" si="2"/>
        <v>IN</v>
      </c>
      <c r="I20" s="374">
        <f t="shared" si="3"/>
        <v>54.553999999999988</v>
      </c>
      <c r="J20" s="374">
        <f t="shared" si="0"/>
        <v>11563.016</v>
      </c>
      <c r="K20" s="376">
        <f t="shared" si="1"/>
        <v>86.151843737203976</v>
      </c>
      <c r="L20" s="487">
        <v>0</v>
      </c>
      <c r="M20" s="618" t="s">
        <v>103</v>
      </c>
      <c r="N20" s="618"/>
      <c r="O20" s="11"/>
      <c r="P20" s="604"/>
      <c r="Q20" s="604"/>
      <c r="R20" s="189"/>
      <c r="S20" s="11"/>
      <c r="X20" s="11"/>
    </row>
    <row r="21" spans="2:26" ht="13.35" customHeight="1">
      <c r="B21" s="615"/>
      <c r="C21" s="616"/>
      <c r="D21" s="605" t="s">
        <v>104</v>
      </c>
      <c r="E21" s="605"/>
      <c r="F21" s="374">
        <v>12</v>
      </c>
      <c r="G21" s="374">
        <f>F21</f>
        <v>12</v>
      </c>
      <c r="H21" s="374" t="str">
        <f t="shared" si="2"/>
        <v>IN</v>
      </c>
      <c r="I21" s="374">
        <f t="shared" si="3"/>
        <v>66.553999999999988</v>
      </c>
      <c r="J21" s="170">
        <f t="shared" si="0"/>
        <v>11551.016</v>
      </c>
      <c r="K21" s="376">
        <f t="shared" si="1"/>
        <v>86.405209665393429</v>
      </c>
      <c r="L21" s="487">
        <v>0</v>
      </c>
      <c r="M21" s="606" t="s">
        <v>105</v>
      </c>
      <c r="N21" s="606"/>
      <c r="O21" s="11"/>
      <c r="P21" s="604"/>
      <c r="Q21" s="604"/>
      <c r="W21" s="179"/>
      <c r="X21" s="11"/>
    </row>
    <row r="22" spans="2:26" ht="13.35" customHeight="1">
      <c r="B22" s="615"/>
      <c r="C22" s="616"/>
      <c r="D22" s="377" t="s">
        <v>106</v>
      </c>
      <c r="E22" s="377"/>
      <c r="F22" s="374">
        <v>3.68</v>
      </c>
      <c r="G22" s="374">
        <f>F22</f>
        <v>3.68</v>
      </c>
      <c r="H22" s="374" t="str">
        <f t="shared" si="2"/>
        <v>IN</v>
      </c>
      <c r="I22" s="374">
        <f t="shared" si="3"/>
        <v>70.233999999999995</v>
      </c>
      <c r="J22" s="374">
        <f t="shared" si="0"/>
        <v>11547.335999999999</v>
      </c>
      <c r="K22" s="376">
        <f t="shared" si="1"/>
        <v>86.482908550038204</v>
      </c>
      <c r="L22" s="487">
        <v>0</v>
      </c>
      <c r="M22" s="607" t="s">
        <v>107</v>
      </c>
      <c r="N22" s="608"/>
      <c r="O22" s="11"/>
      <c r="P22" s="318"/>
      <c r="Q22" s="319"/>
      <c r="R22" s="189"/>
    </row>
    <row r="23" spans="2:26" ht="13.35" customHeight="1">
      <c r="B23" s="615"/>
      <c r="C23" s="616"/>
      <c r="D23" s="377" t="s">
        <v>108</v>
      </c>
      <c r="E23" s="377"/>
      <c r="F23" s="374">
        <v>0.97</v>
      </c>
      <c r="G23" s="374">
        <f>F23</f>
        <v>0.97</v>
      </c>
      <c r="H23" s="374" t="str">
        <f t="shared" si="2"/>
        <v>IN</v>
      </c>
      <c r="I23" s="374">
        <f t="shared" si="3"/>
        <v>71.203999999999994</v>
      </c>
      <c r="J23" s="374">
        <f t="shared" si="0"/>
        <v>11546.366</v>
      </c>
      <c r="K23" s="376">
        <f t="shared" si="1"/>
        <v>86.503388962566845</v>
      </c>
      <c r="L23" s="487">
        <v>0</v>
      </c>
      <c r="M23" s="607" t="s">
        <v>109</v>
      </c>
      <c r="N23" s="608"/>
      <c r="O23" s="11"/>
      <c r="P23" s="190"/>
      <c r="Q23" s="190"/>
      <c r="R23" s="190"/>
    </row>
    <row r="24" spans="2:26" ht="13.35" customHeight="1">
      <c r="B24" s="615"/>
      <c r="C24" s="616"/>
      <c r="D24" s="617" t="s">
        <v>101</v>
      </c>
      <c r="E24" s="619"/>
      <c r="F24" s="378">
        <v>9.82</v>
      </c>
      <c r="G24" s="378">
        <f>F24</f>
        <v>9.82</v>
      </c>
      <c r="H24" s="374" t="str">
        <f t="shared" si="2"/>
        <v>IN</v>
      </c>
      <c r="I24" s="374">
        <f t="shared" si="3"/>
        <v>81.024000000000001</v>
      </c>
      <c r="J24" s="374">
        <f t="shared" si="0"/>
        <v>11536.546</v>
      </c>
      <c r="K24" s="376">
        <f t="shared" si="1"/>
        <v>86.710726747135212</v>
      </c>
      <c r="L24" s="487">
        <v>0</v>
      </c>
      <c r="M24" s="620" t="s">
        <v>110</v>
      </c>
      <c r="N24" s="621"/>
      <c r="O24" s="11"/>
      <c r="P24" s="622" t="s">
        <v>111</v>
      </c>
      <c r="Q24" s="623"/>
      <c r="W24" s="11"/>
    </row>
    <row r="25" spans="2:26" ht="14.1" customHeight="1">
      <c r="B25" s="173">
        <v>2</v>
      </c>
      <c r="C25" s="173"/>
      <c r="D25" s="174">
        <v>7</v>
      </c>
      <c r="E25" s="168">
        <f>E19+1</f>
        <v>2</v>
      </c>
      <c r="F25" s="286">
        <f t="shared" ref="F25:F56" si="4">VLOOKUP(E25,tubing1,2,FALSE)</f>
        <v>33.22</v>
      </c>
      <c r="G25" s="175">
        <f t="shared" ref="G25:G88" si="5">F25-($E$12)</f>
        <v>32.821999999999996</v>
      </c>
      <c r="H25" s="175" t="str">
        <f t="shared" si="2"/>
        <v>IN</v>
      </c>
      <c r="I25" s="175">
        <f t="shared" si="3"/>
        <v>113.846</v>
      </c>
      <c r="J25" s="175">
        <f t="shared" si="0"/>
        <v>11503.724</v>
      </c>
      <c r="K25" s="317">
        <f t="shared" si="1"/>
        <v>87.403724788388089</v>
      </c>
      <c r="L25" s="479">
        <v>0</v>
      </c>
      <c r="M25" s="626" t="s">
        <v>112</v>
      </c>
      <c r="N25" s="627"/>
      <c r="O25" s="11"/>
      <c r="P25" s="624"/>
      <c r="Q25" s="625"/>
      <c r="S25" s="379" t="s">
        <v>113</v>
      </c>
      <c r="T25" s="380">
        <v>2.74</v>
      </c>
    </row>
    <row r="26" spans="2:26" ht="14.1" customHeight="1">
      <c r="B26" s="173">
        <f t="shared" ref="B26:B57" si="6">B25+1</f>
        <v>3</v>
      </c>
      <c r="C26" s="173"/>
      <c r="D26" s="174">
        <v>7</v>
      </c>
      <c r="E26" s="168">
        <f t="shared" ref="E26:E89" si="7">E25+1</f>
        <v>3</v>
      </c>
      <c r="F26" s="286">
        <f t="shared" si="4"/>
        <v>33.24</v>
      </c>
      <c r="G26" s="175">
        <f t="shared" si="5"/>
        <v>32.841999999999999</v>
      </c>
      <c r="H26" s="175" t="str">
        <f t="shared" si="2"/>
        <v>IN</v>
      </c>
      <c r="I26" s="177">
        <f t="shared" si="3"/>
        <v>146.68799999999999</v>
      </c>
      <c r="J26" s="177">
        <f t="shared" si="0"/>
        <v>11470.882</v>
      </c>
      <c r="K26" s="235">
        <f t="shared" si="1"/>
        <v>88.097145106187924</v>
      </c>
      <c r="L26" s="479">
        <v>0</v>
      </c>
      <c r="M26" s="209">
        <v>11536.49</v>
      </c>
      <c r="N26" s="209">
        <v>11583.1</v>
      </c>
      <c r="O26" s="11"/>
      <c r="P26" s="187" t="s">
        <v>114</v>
      </c>
      <c r="Q26" s="188" t="s">
        <v>115</v>
      </c>
      <c r="S26" s="203" t="s">
        <v>116</v>
      </c>
      <c r="T26" s="204">
        <f>T25+4.12</f>
        <v>6.86</v>
      </c>
      <c r="W26" s="179"/>
      <c r="Y26" s="11"/>
      <c r="Z26" s="11"/>
    </row>
    <row r="27" spans="2:26" ht="14.1" customHeight="1">
      <c r="B27" s="173">
        <f t="shared" si="6"/>
        <v>4</v>
      </c>
      <c r="C27" s="173"/>
      <c r="D27" s="174">
        <v>7</v>
      </c>
      <c r="E27" s="168">
        <f t="shared" si="7"/>
        <v>4</v>
      </c>
      <c r="F27" s="286">
        <f t="shared" si="4"/>
        <v>33.4</v>
      </c>
      <c r="G27" s="175">
        <f t="shared" si="5"/>
        <v>33.001999999999995</v>
      </c>
      <c r="H27" s="175" t="str">
        <f t="shared" si="2"/>
        <v>IN</v>
      </c>
      <c r="I27" s="177">
        <f t="shared" si="3"/>
        <v>179.69</v>
      </c>
      <c r="J27" s="177">
        <f t="shared" si="0"/>
        <v>11437.88</v>
      </c>
      <c r="K27" s="235">
        <f t="shared" si="1"/>
        <v>88.793943636363636</v>
      </c>
      <c r="L27" s="479">
        <v>0</v>
      </c>
      <c r="M27" s="574"/>
      <c r="N27" s="574"/>
      <c r="O27" s="11"/>
      <c r="P27" s="185">
        <f>J21-M26</f>
        <v>14.52599999999984</v>
      </c>
      <c r="Q27" s="186">
        <f>N26-J21</f>
        <v>32.084000000000742</v>
      </c>
      <c r="S27" s="203" t="s">
        <v>117</v>
      </c>
      <c r="T27" s="205">
        <v>8.86</v>
      </c>
      <c r="W27" s="179"/>
      <c r="Y27" s="11"/>
      <c r="Z27" s="11"/>
    </row>
    <row r="28" spans="2:26" ht="14.1" customHeight="1">
      <c r="B28" s="173">
        <f t="shared" si="6"/>
        <v>5</v>
      </c>
      <c r="C28" s="173"/>
      <c r="D28" s="174">
        <v>7</v>
      </c>
      <c r="E28" s="168">
        <f t="shared" si="7"/>
        <v>5</v>
      </c>
      <c r="F28" s="286">
        <f t="shared" si="4"/>
        <v>32.909999999999997</v>
      </c>
      <c r="G28" s="175">
        <f t="shared" si="5"/>
        <v>32.511999999999993</v>
      </c>
      <c r="H28" s="175" t="str">
        <f t="shared" si="2"/>
        <v>IN</v>
      </c>
      <c r="I28" s="177">
        <f t="shared" si="3"/>
        <v>212.202</v>
      </c>
      <c r="J28" s="177">
        <f t="shared" si="0"/>
        <v>11405.368</v>
      </c>
      <c r="K28" s="261">
        <f t="shared" si="1"/>
        <v>89.480396391138271</v>
      </c>
      <c r="L28" s="479">
        <v>0</v>
      </c>
      <c r="M28" s="369" t="s">
        <v>118</v>
      </c>
      <c r="N28" s="370">
        <f>J23+T25</f>
        <v>11549.106</v>
      </c>
      <c r="O28" s="11"/>
      <c r="S28" s="203" t="s">
        <v>119</v>
      </c>
      <c r="T28" s="204">
        <v>14.73</v>
      </c>
    </row>
    <row r="29" spans="2:26" ht="14.1" customHeight="1">
      <c r="B29" s="173">
        <f t="shared" si="6"/>
        <v>6</v>
      </c>
      <c r="C29" s="173"/>
      <c r="D29" s="174">
        <v>7</v>
      </c>
      <c r="E29" s="168">
        <f t="shared" si="7"/>
        <v>6</v>
      </c>
      <c r="F29" s="286">
        <f t="shared" si="4"/>
        <v>33.340000000000003</v>
      </c>
      <c r="G29" s="175">
        <f t="shared" si="5"/>
        <v>32.942</v>
      </c>
      <c r="H29" s="175" t="str">
        <f t="shared" si="2"/>
        <v>IN</v>
      </c>
      <c r="I29" s="177">
        <f t="shared" si="3"/>
        <v>245.14400000000001</v>
      </c>
      <c r="J29" s="177">
        <f t="shared" si="0"/>
        <v>11372.425999999999</v>
      </c>
      <c r="K29" s="261">
        <f t="shared" si="1"/>
        <v>90.175928091673029</v>
      </c>
      <c r="L29" s="479">
        <v>0</v>
      </c>
      <c r="M29" s="369" t="s">
        <v>120</v>
      </c>
      <c r="N29" s="370">
        <f>J23+T28</f>
        <v>11561.096</v>
      </c>
      <c r="O29" s="598"/>
      <c r="P29" s="598"/>
      <c r="Q29" s="598"/>
      <c r="S29" s="9"/>
      <c r="T29" s="9"/>
    </row>
    <row r="30" spans="2:26" ht="14.1" customHeight="1">
      <c r="B30" s="173">
        <f t="shared" si="6"/>
        <v>7</v>
      </c>
      <c r="C30" s="173"/>
      <c r="D30" s="174">
        <v>7</v>
      </c>
      <c r="E30" s="168">
        <f t="shared" si="7"/>
        <v>7</v>
      </c>
      <c r="F30" s="286">
        <f t="shared" si="4"/>
        <v>33.21</v>
      </c>
      <c r="G30" s="175">
        <f t="shared" si="5"/>
        <v>32.811999999999998</v>
      </c>
      <c r="H30" s="175" t="str">
        <f t="shared" si="2"/>
        <v>IN</v>
      </c>
      <c r="I30" s="177">
        <f t="shared" si="3"/>
        <v>277.95600000000002</v>
      </c>
      <c r="J30" s="177">
        <f t="shared" si="0"/>
        <v>11339.614</v>
      </c>
      <c r="K30" s="261">
        <f t="shared" si="1"/>
        <v>90.868714994652407</v>
      </c>
      <c r="L30" s="479">
        <v>0</v>
      </c>
      <c r="M30" s="369" t="s">
        <v>121</v>
      </c>
      <c r="N30" s="370">
        <f>J23+T26</f>
        <v>11553.226000000001</v>
      </c>
      <c r="O30" s="598"/>
      <c r="P30" s="598"/>
      <c r="Q30" s="598"/>
      <c r="S30" s="591"/>
      <c r="T30" s="591"/>
    </row>
    <row r="31" spans="2:26" ht="14.1" customHeight="1">
      <c r="B31" s="173">
        <f t="shared" si="6"/>
        <v>8</v>
      </c>
      <c r="C31" s="173"/>
      <c r="D31" s="174">
        <v>7</v>
      </c>
      <c r="E31" s="168">
        <f t="shared" si="7"/>
        <v>8</v>
      </c>
      <c r="F31" s="286">
        <f t="shared" si="4"/>
        <v>33.58</v>
      </c>
      <c r="G31" s="175">
        <f t="shared" si="5"/>
        <v>33.181999999999995</v>
      </c>
      <c r="H31" s="175" t="str">
        <f t="shared" si="2"/>
        <v>IN</v>
      </c>
      <c r="I31" s="177">
        <f t="shared" si="3"/>
        <v>311.13800000000003</v>
      </c>
      <c r="J31" s="177">
        <f t="shared" si="0"/>
        <v>11306.431999999999</v>
      </c>
      <c r="K31" s="261">
        <f t="shared" si="1"/>
        <v>91.569314013750954</v>
      </c>
      <c r="L31" s="479">
        <v>0</v>
      </c>
      <c r="M31" s="369" t="s">
        <v>122</v>
      </c>
      <c r="N31" s="370">
        <f>J23+T27</f>
        <v>11555.226000000001</v>
      </c>
      <c r="O31" s="598"/>
      <c r="P31" s="598"/>
      <c r="Q31" s="598"/>
      <c r="S31" s="202" t="s">
        <v>123</v>
      </c>
      <c r="T31" s="210" t="s">
        <v>124</v>
      </c>
    </row>
    <row r="32" spans="2:26" ht="13.35" customHeight="1">
      <c r="B32" s="173">
        <f t="shared" si="6"/>
        <v>9</v>
      </c>
      <c r="C32" s="173"/>
      <c r="D32" s="174">
        <v>7</v>
      </c>
      <c r="E32" s="168">
        <f t="shared" si="7"/>
        <v>9</v>
      </c>
      <c r="F32" s="286">
        <f t="shared" si="4"/>
        <v>33.200000000000003</v>
      </c>
      <c r="G32" s="175">
        <f t="shared" si="5"/>
        <v>32.802</v>
      </c>
      <c r="H32" s="175" t="str">
        <f t="shared" si="2"/>
        <v>IN</v>
      </c>
      <c r="I32" s="177">
        <f t="shared" si="3"/>
        <v>343.94000000000005</v>
      </c>
      <c r="J32" s="177">
        <f t="shared" si="0"/>
        <v>11273.63</v>
      </c>
      <c r="K32" s="235">
        <f t="shared" si="1"/>
        <v>92.261889778456833</v>
      </c>
      <c r="L32" s="479">
        <v>0</v>
      </c>
      <c r="M32" s="575"/>
      <c r="N32" s="575"/>
      <c r="O32" s="599"/>
      <c r="P32" s="598"/>
      <c r="Q32" s="598"/>
      <c r="S32" s="203" t="s">
        <v>125</v>
      </c>
      <c r="T32" s="204">
        <v>3.68</v>
      </c>
    </row>
    <row r="33" spans="2:20" ht="13.35" customHeight="1">
      <c r="B33" s="173">
        <f t="shared" si="6"/>
        <v>10</v>
      </c>
      <c r="C33" s="173"/>
      <c r="D33" s="174">
        <v>7</v>
      </c>
      <c r="E33" s="168">
        <f t="shared" si="7"/>
        <v>10</v>
      </c>
      <c r="F33" s="286">
        <f t="shared" si="4"/>
        <v>33.6</v>
      </c>
      <c r="G33" s="175">
        <f t="shared" si="5"/>
        <v>33.201999999999998</v>
      </c>
      <c r="H33" s="175" t="str">
        <f t="shared" si="2"/>
        <v>IN</v>
      </c>
      <c r="I33" s="177">
        <f t="shared" si="3"/>
        <v>377.14200000000005</v>
      </c>
      <c r="J33" s="177">
        <f t="shared" si="0"/>
        <v>11240.428</v>
      </c>
      <c r="K33" s="235">
        <f t="shared" si="1"/>
        <v>92.962911074102365</v>
      </c>
      <c r="L33" s="479">
        <v>0</v>
      </c>
      <c r="M33" s="567"/>
      <c r="N33" s="567"/>
      <c r="O33" s="11"/>
      <c r="S33" s="203" t="s">
        <v>126</v>
      </c>
      <c r="T33" s="205">
        <v>16</v>
      </c>
    </row>
    <row r="34" spans="2:20" ht="13.35" customHeight="1">
      <c r="B34" s="173">
        <f t="shared" si="6"/>
        <v>11</v>
      </c>
      <c r="C34" s="173"/>
      <c r="D34" s="174">
        <v>7</v>
      </c>
      <c r="E34" s="168">
        <f t="shared" si="7"/>
        <v>11</v>
      </c>
      <c r="F34" s="286">
        <f t="shared" si="4"/>
        <v>33.46</v>
      </c>
      <c r="G34" s="175">
        <f t="shared" si="5"/>
        <v>33.061999999999998</v>
      </c>
      <c r="H34" s="175" t="str">
        <f t="shared" si="2"/>
        <v>IN</v>
      </c>
      <c r="I34" s="177">
        <f t="shared" si="3"/>
        <v>410.20400000000006</v>
      </c>
      <c r="J34" s="177">
        <f t="shared" si="0"/>
        <v>11207.366</v>
      </c>
      <c r="K34" s="235">
        <f t="shared" si="1"/>
        <v>93.660976433919018</v>
      </c>
      <c r="L34" s="479">
        <v>0</v>
      </c>
      <c r="M34" s="592" t="s">
        <v>127</v>
      </c>
      <c r="N34" s="593"/>
      <c r="O34" s="11"/>
      <c r="S34" s="203" t="s">
        <v>128</v>
      </c>
      <c r="T34" s="204">
        <f>22.35/2</f>
        <v>11.175000000000001</v>
      </c>
    </row>
    <row r="35" spans="2:20" ht="13.35" customHeight="1">
      <c r="B35" s="173">
        <f t="shared" si="6"/>
        <v>12</v>
      </c>
      <c r="C35" s="173"/>
      <c r="D35" s="174">
        <v>7</v>
      </c>
      <c r="E35" s="168">
        <f t="shared" si="7"/>
        <v>12</v>
      </c>
      <c r="F35" s="286">
        <f t="shared" si="4"/>
        <v>32.89</v>
      </c>
      <c r="G35" s="175">
        <f t="shared" si="5"/>
        <v>32.491999999999997</v>
      </c>
      <c r="H35" s="175" t="str">
        <f t="shared" si="2"/>
        <v>IN</v>
      </c>
      <c r="I35" s="177">
        <f t="shared" si="3"/>
        <v>442.69600000000008</v>
      </c>
      <c r="J35" s="177">
        <f t="shared" si="0"/>
        <v>11174.874</v>
      </c>
      <c r="K35" s="235">
        <f t="shared" si="1"/>
        <v>94.347006912146682</v>
      </c>
      <c r="L35" s="479">
        <v>0</v>
      </c>
      <c r="M35" s="594"/>
      <c r="N35" s="595"/>
      <c r="O35" s="11"/>
      <c r="S35" s="212"/>
      <c r="T35" s="211"/>
    </row>
    <row r="36" spans="2:20" ht="13.35" customHeight="1">
      <c r="B36" s="173">
        <f t="shared" si="6"/>
        <v>13</v>
      </c>
      <c r="C36" s="173"/>
      <c r="D36" s="174">
        <v>7</v>
      </c>
      <c r="E36" s="168">
        <f t="shared" si="7"/>
        <v>13</v>
      </c>
      <c r="F36" s="286">
        <f t="shared" si="4"/>
        <v>33.11</v>
      </c>
      <c r="G36" s="175">
        <f t="shared" si="5"/>
        <v>32.711999999999996</v>
      </c>
      <c r="H36" s="175" t="str">
        <f t="shared" si="2"/>
        <v>IN</v>
      </c>
      <c r="I36" s="177">
        <f t="shared" si="3"/>
        <v>475.40800000000007</v>
      </c>
      <c r="J36" s="177">
        <f t="shared" si="0"/>
        <v>11142.162</v>
      </c>
      <c r="K36" s="235">
        <f t="shared" si="1"/>
        <v>95.037682432391136</v>
      </c>
      <c r="L36" s="479">
        <v>0</v>
      </c>
      <c r="M36" s="594"/>
      <c r="N36" s="595"/>
      <c r="O36" s="11"/>
    </row>
    <row r="37" spans="2:20" ht="13.15" customHeight="1">
      <c r="B37" s="173">
        <f t="shared" si="6"/>
        <v>14</v>
      </c>
      <c r="C37" s="173"/>
      <c r="D37" s="174">
        <v>7</v>
      </c>
      <c r="E37" s="168">
        <f t="shared" si="7"/>
        <v>14</v>
      </c>
      <c r="F37" s="286">
        <f t="shared" si="4"/>
        <v>33.200000000000003</v>
      </c>
      <c r="G37" s="175">
        <f t="shared" si="5"/>
        <v>32.802</v>
      </c>
      <c r="H37" s="175" t="str">
        <f t="shared" si="2"/>
        <v>IN</v>
      </c>
      <c r="I37" s="177">
        <f t="shared" si="3"/>
        <v>508.21000000000009</v>
      </c>
      <c r="J37" s="177">
        <f t="shared" si="0"/>
        <v>11109.359999999999</v>
      </c>
      <c r="K37" s="235">
        <f t="shared" si="1"/>
        <v>95.730258197097029</v>
      </c>
      <c r="L37" s="479">
        <v>0</v>
      </c>
      <c r="M37" s="594"/>
      <c r="N37" s="595"/>
      <c r="O37" s="11"/>
      <c r="Q37" s="281"/>
    </row>
    <row r="38" spans="2:20" ht="13.15" customHeight="1">
      <c r="B38" s="173">
        <f t="shared" si="6"/>
        <v>15</v>
      </c>
      <c r="C38" s="173"/>
      <c r="D38" s="174">
        <v>7</v>
      </c>
      <c r="E38" s="168">
        <f t="shared" si="7"/>
        <v>15</v>
      </c>
      <c r="F38" s="286">
        <f t="shared" si="4"/>
        <v>33.18</v>
      </c>
      <c r="G38" s="175">
        <f t="shared" si="5"/>
        <v>32.781999999999996</v>
      </c>
      <c r="H38" s="175" t="str">
        <f t="shared" si="2"/>
        <v>IN</v>
      </c>
      <c r="I38" s="177">
        <f t="shared" si="3"/>
        <v>540.99200000000008</v>
      </c>
      <c r="J38" s="177">
        <f t="shared" si="0"/>
        <v>11076.578</v>
      </c>
      <c r="K38" s="235">
        <f t="shared" si="1"/>
        <v>96.422411685255923</v>
      </c>
      <c r="L38" s="479">
        <v>0</v>
      </c>
      <c r="M38" s="596"/>
      <c r="N38" s="597"/>
      <c r="O38" s="11"/>
    </row>
    <row r="39" spans="2:20" ht="13.35" customHeight="1">
      <c r="B39" s="173">
        <f t="shared" si="6"/>
        <v>16</v>
      </c>
      <c r="C39" s="173"/>
      <c r="D39" s="174">
        <v>7</v>
      </c>
      <c r="E39" s="168">
        <f t="shared" si="7"/>
        <v>16</v>
      </c>
      <c r="F39" s="286">
        <f t="shared" si="4"/>
        <v>33.520000000000003</v>
      </c>
      <c r="G39" s="175">
        <f t="shared" si="5"/>
        <v>33.122</v>
      </c>
      <c r="H39" s="175" t="str">
        <f t="shared" si="2"/>
        <v>IN</v>
      </c>
      <c r="I39" s="177">
        <f t="shared" si="3"/>
        <v>574.11400000000003</v>
      </c>
      <c r="J39" s="177">
        <f t="shared" si="0"/>
        <v>11043.456</v>
      </c>
      <c r="K39" s="235">
        <f t="shared" si="1"/>
        <v>97.121743874713516</v>
      </c>
      <c r="L39" s="479">
        <v>0</v>
      </c>
      <c r="M39" s="567"/>
      <c r="N39" s="567"/>
      <c r="O39" s="11"/>
    </row>
    <row r="40" spans="2:20" ht="13.35" customHeight="1">
      <c r="B40" s="173">
        <f t="shared" si="6"/>
        <v>17</v>
      </c>
      <c r="C40" s="173"/>
      <c r="D40" s="174">
        <v>7</v>
      </c>
      <c r="E40" s="168">
        <f t="shared" si="7"/>
        <v>17</v>
      </c>
      <c r="F40" s="286">
        <f t="shared" si="4"/>
        <v>33.229999999999997</v>
      </c>
      <c r="G40" s="175">
        <f t="shared" si="5"/>
        <v>32.831999999999994</v>
      </c>
      <c r="H40" s="175" t="str">
        <f t="shared" si="2"/>
        <v>IN</v>
      </c>
      <c r="I40" s="177">
        <f t="shared" si="3"/>
        <v>606.94600000000003</v>
      </c>
      <c r="J40" s="177">
        <f t="shared" si="0"/>
        <v>11010.624</v>
      </c>
      <c r="K40" s="235">
        <f t="shared" si="1"/>
        <v>97.814953054239879</v>
      </c>
      <c r="L40" s="479">
        <v>0</v>
      </c>
      <c r="M40" s="567"/>
      <c r="N40" s="567"/>
      <c r="O40" s="11"/>
    </row>
    <row r="41" spans="2:20" ht="13.35" customHeight="1">
      <c r="B41" s="173">
        <f t="shared" si="6"/>
        <v>18</v>
      </c>
      <c r="C41" s="173"/>
      <c r="D41" s="174">
        <v>7</v>
      </c>
      <c r="E41" s="168">
        <f t="shared" si="7"/>
        <v>18</v>
      </c>
      <c r="F41" s="286">
        <f t="shared" si="4"/>
        <v>31.57</v>
      </c>
      <c r="G41" s="175">
        <f t="shared" si="5"/>
        <v>31.172000000000001</v>
      </c>
      <c r="H41" s="175" t="str">
        <f t="shared" si="2"/>
        <v>IN</v>
      </c>
      <c r="I41" s="177">
        <f t="shared" si="3"/>
        <v>638.11800000000005</v>
      </c>
      <c r="J41" s="177">
        <f t="shared" si="0"/>
        <v>10979.451999999999</v>
      </c>
      <c r="K41" s="235">
        <f t="shared" si="1"/>
        <v>98.47311328036669</v>
      </c>
      <c r="L41" s="479">
        <v>0</v>
      </c>
      <c r="M41" s="600" t="s">
        <v>129</v>
      </c>
      <c r="N41" s="601"/>
      <c r="O41" s="11"/>
    </row>
    <row r="42" spans="2:20" ht="13.35" customHeight="1">
      <c r="B42" s="173">
        <f t="shared" si="6"/>
        <v>19</v>
      </c>
      <c r="C42" s="173"/>
      <c r="D42" s="174">
        <v>7</v>
      </c>
      <c r="E42" s="168">
        <f t="shared" si="7"/>
        <v>19</v>
      </c>
      <c r="F42" s="286">
        <f t="shared" si="4"/>
        <v>33.42</v>
      </c>
      <c r="G42" s="175">
        <f t="shared" si="5"/>
        <v>33.021999999999998</v>
      </c>
      <c r="H42" s="175" t="str">
        <f t="shared" si="2"/>
        <v>IN</v>
      </c>
      <c r="I42" s="177">
        <f t="shared" si="3"/>
        <v>671.1400000000001</v>
      </c>
      <c r="J42" s="177">
        <f t="shared" si="0"/>
        <v>10946.43</v>
      </c>
      <c r="K42" s="235">
        <f t="shared" si="1"/>
        <v>99.170334087089387</v>
      </c>
      <c r="L42" s="479">
        <v>0</v>
      </c>
      <c r="M42" s="602" t="s">
        <v>130</v>
      </c>
      <c r="N42" s="603"/>
      <c r="O42" s="11"/>
    </row>
    <row r="43" spans="2:20" ht="13.35" customHeight="1">
      <c r="B43" s="173">
        <f t="shared" si="6"/>
        <v>20</v>
      </c>
      <c r="C43" s="173"/>
      <c r="D43" s="174">
        <v>7</v>
      </c>
      <c r="E43" s="168">
        <f t="shared" si="7"/>
        <v>20</v>
      </c>
      <c r="F43" s="286">
        <f t="shared" si="4"/>
        <v>33.28</v>
      </c>
      <c r="G43" s="175">
        <f t="shared" si="5"/>
        <v>32.881999999999998</v>
      </c>
      <c r="H43" s="175" t="str">
        <f t="shared" si="2"/>
        <v>IN</v>
      </c>
      <c r="I43" s="177">
        <f t="shared" si="3"/>
        <v>704.02200000000005</v>
      </c>
      <c r="J43" s="177">
        <f t="shared" si="0"/>
        <v>10913.547999999999</v>
      </c>
      <c r="K43" s="235">
        <f t="shared" si="1"/>
        <v>99.864598957983191</v>
      </c>
      <c r="L43" s="479">
        <v>0</v>
      </c>
      <c r="M43" s="567"/>
      <c r="N43" s="567"/>
      <c r="O43" s="11"/>
    </row>
    <row r="44" spans="2:20" ht="13.35" customHeight="1">
      <c r="B44" s="173">
        <f t="shared" si="6"/>
        <v>21</v>
      </c>
      <c r="C44" s="173"/>
      <c r="D44" s="174">
        <v>7</v>
      </c>
      <c r="E44" s="168">
        <f t="shared" si="7"/>
        <v>21</v>
      </c>
      <c r="F44" s="286">
        <f t="shared" si="4"/>
        <v>32.47</v>
      </c>
      <c r="G44" s="175">
        <f t="shared" si="5"/>
        <v>32.071999999999996</v>
      </c>
      <c r="H44" s="175" t="str">
        <f t="shared" si="2"/>
        <v>IN</v>
      </c>
      <c r="I44" s="177">
        <f t="shared" si="3"/>
        <v>736.09400000000005</v>
      </c>
      <c r="J44" s="177">
        <f t="shared" si="0"/>
        <v>10881.475999999999</v>
      </c>
      <c r="K44" s="235">
        <f t="shared" si="1"/>
        <v>100.54176162872422</v>
      </c>
      <c r="L44" s="479">
        <v>0</v>
      </c>
      <c r="M44" s="567"/>
      <c r="N44" s="567"/>
      <c r="O44" s="11"/>
    </row>
    <row r="45" spans="2:20" ht="13.35" customHeight="1">
      <c r="B45" s="173">
        <f t="shared" si="6"/>
        <v>22</v>
      </c>
      <c r="C45" s="173"/>
      <c r="D45" s="174">
        <v>7</v>
      </c>
      <c r="E45" s="168">
        <f t="shared" si="7"/>
        <v>22</v>
      </c>
      <c r="F45" s="286">
        <f t="shared" si="4"/>
        <v>33.409999999999997</v>
      </c>
      <c r="G45" s="175">
        <f t="shared" si="5"/>
        <v>33.011999999999993</v>
      </c>
      <c r="H45" s="175" t="str">
        <f t="shared" si="2"/>
        <v>IN</v>
      </c>
      <c r="I45" s="177">
        <f t="shared" si="3"/>
        <v>769.10599999999999</v>
      </c>
      <c r="J45" s="177">
        <f t="shared" si="0"/>
        <v>10848.464</v>
      </c>
      <c r="K45" s="235">
        <f t="shared" si="1"/>
        <v>101.23877129717341</v>
      </c>
      <c r="L45" s="479">
        <v>0</v>
      </c>
      <c r="M45" s="567"/>
      <c r="N45" s="567"/>
      <c r="O45" s="11"/>
    </row>
    <row r="46" spans="2:20" ht="13.35" customHeight="1">
      <c r="B46" s="173">
        <f t="shared" si="6"/>
        <v>23</v>
      </c>
      <c r="C46" s="173"/>
      <c r="D46" s="174">
        <v>7</v>
      </c>
      <c r="E46" s="168">
        <f t="shared" si="7"/>
        <v>23</v>
      </c>
      <c r="F46" s="286">
        <f t="shared" si="4"/>
        <v>33.020000000000003</v>
      </c>
      <c r="G46" s="175">
        <f t="shared" si="5"/>
        <v>32.622</v>
      </c>
      <c r="H46" s="175" t="str">
        <f t="shared" si="2"/>
        <v>IN</v>
      </c>
      <c r="I46" s="177">
        <f t="shared" si="3"/>
        <v>801.72799999999995</v>
      </c>
      <c r="J46" s="177">
        <f t="shared" si="0"/>
        <v>10815.842000000001</v>
      </c>
      <c r="K46" s="235">
        <f t="shared" si="1"/>
        <v>101.92754657295646</v>
      </c>
      <c r="L46" s="479">
        <v>0</v>
      </c>
      <c r="M46" s="567"/>
      <c r="N46" s="567"/>
      <c r="O46" s="11"/>
    </row>
    <row r="47" spans="2:20" ht="13.35" customHeight="1">
      <c r="B47" s="173">
        <f t="shared" si="6"/>
        <v>24</v>
      </c>
      <c r="C47" s="173"/>
      <c r="D47" s="174">
        <v>7</v>
      </c>
      <c r="E47" s="168">
        <f t="shared" si="7"/>
        <v>24</v>
      </c>
      <c r="F47" s="286">
        <f t="shared" si="4"/>
        <v>32.479999999999997</v>
      </c>
      <c r="G47" s="175">
        <f t="shared" si="5"/>
        <v>32.081999999999994</v>
      </c>
      <c r="H47" s="175" t="str">
        <f t="shared" si="2"/>
        <v>IN</v>
      </c>
      <c r="I47" s="177">
        <f t="shared" si="3"/>
        <v>833.81</v>
      </c>
      <c r="J47" s="177">
        <f t="shared" si="0"/>
        <v>10783.76</v>
      </c>
      <c r="K47" s="235">
        <f t="shared" si="1"/>
        <v>102.60492038197097</v>
      </c>
      <c r="L47" s="479">
        <v>0</v>
      </c>
      <c r="M47" s="567"/>
      <c r="N47" s="567"/>
      <c r="O47" s="11"/>
    </row>
    <row r="48" spans="2:20" ht="13.35" customHeight="1">
      <c r="B48" s="173">
        <f t="shared" si="6"/>
        <v>25</v>
      </c>
      <c r="C48" s="173"/>
      <c r="D48" s="174">
        <v>7</v>
      </c>
      <c r="E48" s="168">
        <f t="shared" si="7"/>
        <v>25</v>
      </c>
      <c r="F48" s="286">
        <f t="shared" si="4"/>
        <v>33.549999999999997</v>
      </c>
      <c r="G48" s="175">
        <f t="shared" si="5"/>
        <v>33.151999999999994</v>
      </c>
      <c r="H48" s="175" t="str">
        <f t="shared" si="2"/>
        <v>IN</v>
      </c>
      <c r="I48" s="177">
        <f t="shared" si="3"/>
        <v>866.96199999999999</v>
      </c>
      <c r="J48" s="177">
        <f t="shared" si="0"/>
        <v>10750.608</v>
      </c>
      <c r="K48" s="235">
        <f t="shared" si="1"/>
        <v>103.30488598624905</v>
      </c>
      <c r="L48" s="479">
        <v>0</v>
      </c>
      <c r="M48" s="567"/>
      <c r="N48" s="567"/>
      <c r="O48" s="11"/>
    </row>
    <row r="49" spans="2:16" ht="13.35" customHeight="1">
      <c r="B49" s="173">
        <f t="shared" si="6"/>
        <v>26</v>
      </c>
      <c r="C49" s="173"/>
      <c r="D49" s="174">
        <v>7</v>
      </c>
      <c r="E49" s="168">
        <f t="shared" si="7"/>
        <v>26</v>
      </c>
      <c r="F49" s="286">
        <f t="shared" si="4"/>
        <v>33.21</v>
      </c>
      <c r="G49" s="175">
        <f t="shared" si="5"/>
        <v>32.811999999999998</v>
      </c>
      <c r="H49" s="175" t="str">
        <f t="shared" si="2"/>
        <v>IN</v>
      </c>
      <c r="I49" s="177">
        <f t="shared" si="3"/>
        <v>899.774</v>
      </c>
      <c r="J49" s="177">
        <f t="shared" si="0"/>
        <v>10717.796</v>
      </c>
      <c r="K49" s="235">
        <f t="shared" si="1"/>
        <v>103.99767288922843</v>
      </c>
      <c r="L49" s="479">
        <v>0</v>
      </c>
      <c r="M49" s="567"/>
      <c r="N49" s="567"/>
      <c r="O49" s="11"/>
    </row>
    <row r="50" spans="2:16" ht="13.35" customHeight="1">
      <c r="B50" s="173">
        <f t="shared" si="6"/>
        <v>27</v>
      </c>
      <c r="C50" s="173"/>
      <c r="D50" s="174">
        <v>7</v>
      </c>
      <c r="E50" s="168">
        <f t="shared" si="7"/>
        <v>27</v>
      </c>
      <c r="F50" s="286">
        <f t="shared" si="4"/>
        <v>32.71</v>
      </c>
      <c r="G50" s="175">
        <f t="shared" si="5"/>
        <v>32.311999999999998</v>
      </c>
      <c r="H50" s="175" t="str">
        <f t="shared" si="2"/>
        <v>IN</v>
      </c>
      <c r="I50" s="177">
        <f t="shared" si="3"/>
        <v>932.08600000000001</v>
      </c>
      <c r="J50" s="177">
        <f t="shared" si="0"/>
        <v>10685.484</v>
      </c>
      <c r="K50" s="235">
        <f t="shared" si="1"/>
        <v>104.67990287853323</v>
      </c>
      <c r="L50" s="479">
        <v>0</v>
      </c>
      <c r="M50" s="567"/>
      <c r="N50" s="567"/>
      <c r="O50" s="11"/>
    </row>
    <row r="51" spans="2:16" ht="13.35" customHeight="1">
      <c r="B51" s="173">
        <f t="shared" si="6"/>
        <v>28</v>
      </c>
      <c r="C51" s="173"/>
      <c r="D51" s="174">
        <v>7</v>
      </c>
      <c r="E51" s="168">
        <f t="shared" si="7"/>
        <v>28</v>
      </c>
      <c r="F51" s="286">
        <f t="shared" si="4"/>
        <v>33.51</v>
      </c>
      <c r="G51" s="175">
        <f t="shared" si="5"/>
        <v>33.111999999999995</v>
      </c>
      <c r="H51" s="175" t="str">
        <f t="shared" si="2"/>
        <v>IN</v>
      </c>
      <c r="I51" s="177">
        <f t="shared" si="3"/>
        <v>965.19799999999998</v>
      </c>
      <c r="J51" s="177">
        <f t="shared" si="0"/>
        <v>10652.371999999999</v>
      </c>
      <c r="K51" s="235">
        <f t="shared" si="1"/>
        <v>105.37902392971733</v>
      </c>
      <c r="L51" s="479">
        <v>0</v>
      </c>
      <c r="M51" s="567"/>
      <c r="N51" s="567"/>
      <c r="O51" s="11"/>
    </row>
    <row r="52" spans="2:16" ht="13.35" customHeight="1">
      <c r="B52" s="173">
        <f t="shared" si="6"/>
        <v>29</v>
      </c>
      <c r="C52" s="173"/>
      <c r="D52" s="174">
        <v>7</v>
      </c>
      <c r="E52" s="168">
        <f t="shared" si="7"/>
        <v>29</v>
      </c>
      <c r="F52" s="286">
        <f t="shared" si="4"/>
        <v>33.409999999999997</v>
      </c>
      <c r="G52" s="175">
        <f t="shared" si="5"/>
        <v>33.011999999999993</v>
      </c>
      <c r="H52" s="175" t="str">
        <f t="shared" si="2"/>
        <v>IN</v>
      </c>
      <c r="I52" s="177">
        <f t="shared" si="3"/>
        <v>998.20999999999992</v>
      </c>
      <c r="J52" s="177">
        <f t="shared" si="0"/>
        <v>10619.36</v>
      </c>
      <c r="K52" s="235">
        <f t="shared" si="1"/>
        <v>106.07603359816655</v>
      </c>
      <c r="L52" s="479">
        <v>0</v>
      </c>
      <c r="M52" s="567"/>
      <c r="N52" s="567"/>
      <c r="O52" s="11"/>
    </row>
    <row r="53" spans="2:16" ht="13.35" customHeight="1">
      <c r="B53" s="173">
        <f t="shared" si="6"/>
        <v>30</v>
      </c>
      <c r="C53" s="173"/>
      <c r="D53" s="174">
        <v>7</v>
      </c>
      <c r="E53" s="168">
        <f t="shared" si="7"/>
        <v>30</v>
      </c>
      <c r="F53" s="286">
        <f t="shared" si="4"/>
        <v>33.14</v>
      </c>
      <c r="G53" s="175">
        <f t="shared" si="5"/>
        <v>32.741999999999997</v>
      </c>
      <c r="H53" s="175" t="str">
        <f t="shared" si="2"/>
        <v>IN</v>
      </c>
      <c r="I53" s="177">
        <f t="shared" si="3"/>
        <v>1030.952</v>
      </c>
      <c r="J53" s="177">
        <f t="shared" si="0"/>
        <v>10586.618</v>
      </c>
      <c r="K53" s="235">
        <f t="shared" si="1"/>
        <v>106.76734253323147</v>
      </c>
      <c r="L53" s="479">
        <v>0</v>
      </c>
      <c r="M53" s="567"/>
      <c r="N53" s="567"/>
      <c r="O53" s="11"/>
    </row>
    <row r="54" spans="2:16" ht="13.35" customHeight="1">
      <c r="B54" s="173">
        <f t="shared" si="6"/>
        <v>31</v>
      </c>
      <c r="C54" s="173"/>
      <c r="D54" s="174">
        <v>7</v>
      </c>
      <c r="E54" s="168">
        <f t="shared" si="7"/>
        <v>31</v>
      </c>
      <c r="F54" s="286">
        <f t="shared" si="4"/>
        <v>33.130000000000003</v>
      </c>
      <c r="G54" s="175">
        <f t="shared" si="5"/>
        <v>32.731999999999999</v>
      </c>
      <c r="H54" s="175" t="s">
        <v>131</v>
      </c>
      <c r="I54" s="175">
        <f t="shared" si="3"/>
        <v>1063.684</v>
      </c>
      <c r="J54" s="175">
        <f t="shared" si="0"/>
        <v>10553.886</v>
      </c>
      <c r="K54" s="262">
        <f t="shared" si="1"/>
        <v>107.45844033002292</v>
      </c>
      <c r="L54" s="479">
        <v>0</v>
      </c>
      <c r="M54" s="567"/>
      <c r="N54" s="567"/>
      <c r="O54" s="11"/>
    </row>
    <row r="55" spans="2:16" ht="13.35" customHeight="1">
      <c r="B55" s="173">
        <f t="shared" si="6"/>
        <v>32</v>
      </c>
      <c r="C55" s="173"/>
      <c r="D55" s="174">
        <v>7</v>
      </c>
      <c r="E55" s="168">
        <f t="shared" si="7"/>
        <v>32</v>
      </c>
      <c r="F55" s="286">
        <f t="shared" si="4"/>
        <v>33.43</v>
      </c>
      <c r="G55" s="175">
        <f t="shared" si="5"/>
        <v>33.031999999999996</v>
      </c>
      <c r="H55" s="175" t="str">
        <f t="shared" ref="H55:H97" si="8">IF(F55="","OUT","IN")</f>
        <v>IN</v>
      </c>
      <c r="I55" s="177">
        <f t="shared" si="3"/>
        <v>1096.7159999999999</v>
      </c>
      <c r="J55" s="177">
        <f t="shared" si="0"/>
        <v>10520.853999999999</v>
      </c>
      <c r="K55" s="235">
        <f t="shared" si="1"/>
        <v>108.15587227501909</v>
      </c>
      <c r="L55" s="479">
        <v>0</v>
      </c>
      <c r="M55" s="567"/>
      <c r="N55" s="567"/>
      <c r="O55" s="11"/>
    </row>
    <row r="56" spans="2:16" ht="13.35" customHeight="1">
      <c r="B56" s="173">
        <f t="shared" si="6"/>
        <v>33</v>
      </c>
      <c r="C56" s="173"/>
      <c r="D56" s="174">
        <v>7</v>
      </c>
      <c r="E56" s="168">
        <f t="shared" si="7"/>
        <v>33</v>
      </c>
      <c r="F56" s="286">
        <f t="shared" si="4"/>
        <v>31.04</v>
      </c>
      <c r="G56" s="175">
        <f t="shared" si="5"/>
        <v>30.641999999999999</v>
      </c>
      <c r="H56" s="175" t="str">
        <f t="shared" si="8"/>
        <v>IN</v>
      </c>
      <c r="I56" s="177">
        <f t="shared" si="3"/>
        <v>1127.3579999999999</v>
      </c>
      <c r="J56" s="177">
        <f t="shared" si="0"/>
        <v>10490.212</v>
      </c>
      <c r="K56" s="235">
        <f t="shared" si="1"/>
        <v>108.80284217265088</v>
      </c>
      <c r="L56" s="479">
        <v>0</v>
      </c>
      <c r="M56" s="567"/>
      <c r="N56" s="567"/>
      <c r="O56" s="11"/>
    </row>
    <row r="57" spans="2:16" ht="13.35" customHeight="1">
      <c r="B57" s="173">
        <f t="shared" si="6"/>
        <v>34</v>
      </c>
      <c r="C57" s="173"/>
      <c r="D57" s="174">
        <v>7</v>
      </c>
      <c r="E57" s="168">
        <f t="shared" si="7"/>
        <v>34</v>
      </c>
      <c r="F57" s="286">
        <f t="shared" ref="F57:F88" si="9">VLOOKUP(E57,tubing1,2,FALSE)</f>
        <v>33.64</v>
      </c>
      <c r="G57" s="175">
        <f t="shared" si="5"/>
        <v>33.241999999999997</v>
      </c>
      <c r="H57" s="175" t="str">
        <f t="shared" si="8"/>
        <v>IN</v>
      </c>
      <c r="I57" s="177">
        <f t="shared" si="3"/>
        <v>1160.5999999999999</v>
      </c>
      <c r="J57" s="177">
        <f t="shared" si="0"/>
        <v>10456.969999999999</v>
      </c>
      <c r="K57" s="235">
        <f t="shared" si="1"/>
        <v>109.50470802139037</v>
      </c>
      <c r="L57" s="479">
        <v>0</v>
      </c>
      <c r="M57" s="567"/>
      <c r="N57" s="567"/>
      <c r="O57" s="11"/>
    </row>
    <row r="58" spans="2:16" ht="13.35" customHeight="1">
      <c r="B58" s="173">
        <f t="shared" ref="B58:B89" si="10">B57+1</f>
        <v>35</v>
      </c>
      <c r="C58" s="173"/>
      <c r="D58" s="174">
        <v>7</v>
      </c>
      <c r="E58" s="168">
        <f t="shared" si="7"/>
        <v>35</v>
      </c>
      <c r="F58" s="286">
        <f t="shared" si="9"/>
        <v>33.340000000000003</v>
      </c>
      <c r="G58" s="175">
        <f t="shared" si="5"/>
        <v>32.942</v>
      </c>
      <c r="H58" s="175" t="str">
        <f t="shared" si="8"/>
        <v>IN</v>
      </c>
      <c r="I58" s="177">
        <f t="shared" si="3"/>
        <v>1193.5419999999999</v>
      </c>
      <c r="J58" s="177">
        <f t="shared" si="0"/>
        <v>10424.028</v>
      </c>
      <c r="K58" s="235">
        <f t="shared" si="1"/>
        <v>110.20023972192513</v>
      </c>
      <c r="L58" s="479">
        <v>0</v>
      </c>
      <c r="M58" s="567"/>
      <c r="N58" s="567"/>
      <c r="O58" s="11"/>
    </row>
    <row r="59" spans="2:16" ht="13.35" customHeight="1">
      <c r="B59" s="173">
        <f t="shared" si="10"/>
        <v>36</v>
      </c>
      <c r="C59" s="173"/>
      <c r="D59" s="174">
        <v>7</v>
      </c>
      <c r="E59" s="168">
        <f t="shared" si="7"/>
        <v>36</v>
      </c>
      <c r="F59" s="286">
        <f t="shared" si="9"/>
        <v>31.62</v>
      </c>
      <c r="G59" s="175">
        <f t="shared" si="5"/>
        <v>31.222000000000001</v>
      </c>
      <c r="H59" s="175" t="str">
        <f t="shared" si="8"/>
        <v>IN</v>
      </c>
      <c r="I59" s="177">
        <f t="shared" si="3"/>
        <v>1224.7639999999999</v>
      </c>
      <c r="J59" s="177">
        <f t="shared" si="0"/>
        <v>10392.806</v>
      </c>
      <c r="K59" s="235">
        <f t="shared" si="1"/>
        <v>110.85945563941941</v>
      </c>
      <c r="L59" s="479">
        <v>0</v>
      </c>
      <c r="M59" s="567"/>
      <c r="N59" s="567"/>
      <c r="O59" s="11"/>
    </row>
    <row r="60" spans="2:16" ht="13.35" customHeight="1">
      <c r="B60" s="173">
        <f t="shared" si="10"/>
        <v>37</v>
      </c>
      <c r="C60" s="173"/>
      <c r="D60" s="174">
        <v>7</v>
      </c>
      <c r="E60" s="168">
        <f t="shared" si="7"/>
        <v>37</v>
      </c>
      <c r="F60" s="286">
        <f t="shared" si="9"/>
        <v>32.619999999999997</v>
      </c>
      <c r="G60" s="175">
        <f t="shared" si="5"/>
        <v>32.221999999999994</v>
      </c>
      <c r="H60" s="175" t="str">
        <f t="shared" si="8"/>
        <v>IN</v>
      </c>
      <c r="I60" s="177">
        <f t="shared" si="3"/>
        <v>1256.9859999999999</v>
      </c>
      <c r="J60" s="177">
        <f t="shared" si="0"/>
        <v>10360.583999999999</v>
      </c>
      <c r="K60" s="235">
        <f t="shared" si="1"/>
        <v>111.5397853842628</v>
      </c>
      <c r="L60" s="479">
        <v>0</v>
      </c>
      <c r="M60" s="582"/>
      <c r="N60" s="583"/>
      <c r="O60" s="11"/>
    </row>
    <row r="61" spans="2:16" ht="13.35" customHeight="1">
      <c r="B61" s="173">
        <f t="shared" si="10"/>
        <v>38</v>
      </c>
      <c r="C61" s="173"/>
      <c r="D61" s="174">
        <v>7</v>
      </c>
      <c r="E61" s="168">
        <f t="shared" si="7"/>
        <v>38</v>
      </c>
      <c r="F61" s="286">
        <f t="shared" si="9"/>
        <v>33.01</v>
      </c>
      <c r="G61" s="175">
        <f t="shared" si="5"/>
        <v>32.611999999999995</v>
      </c>
      <c r="H61" s="175" t="str">
        <f t="shared" si="8"/>
        <v>IN</v>
      </c>
      <c r="I61" s="177">
        <f t="shared" si="3"/>
        <v>1289.598</v>
      </c>
      <c r="J61" s="177">
        <f t="shared" si="0"/>
        <v>10327.972</v>
      </c>
      <c r="K61" s="235">
        <f t="shared" si="1"/>
        <v>112.22834952177234</v>
      </c>
      <c r="L61" s="479">
        <v>0</v>
      </c>
      <c r="M61" s="582"/>
      <c r="N61" s="583"/>
      <c r="P61" s="275"/>
    </row>
    <row r="62" spans="2:16" ht="13.35" customHeight="1">
      <c r="B62" s="173">
        <f t="shared" si="10"/>
        <v>39</v>
      </c>
      <c r="C62" s="173"/>
      <c r="D62" s="174">
        <v>7</v>
      </c>
      <c r="E62" s="168">
        <f t="shared" si="7"/>
        <v>39</v>
      </c>
      <c r="F62" s="286">
        <f t="shared" si="9"/>
        <v>33.450000000000003</v>
      </c>
      <c r="G62" s="175">
        <f t="shared" si="5"/>
        <v>33.052</v>
      </c>
      <c r="H62" s="175" t="str">
        <f t="shared" si="8"/>
        <v>IN</v>
      </c>
      <c r="I62" s="177">
        <f t="shared" si="3"/>
        <v>1322.6499999999999</v>
      </c>
      <c r="J62" s="177">
        <f t="shared" si="0"/>
        <v>10294.92</v>
      </c>
      <c r="K62" s="235">
        <f t="shared" si="1"/>
        <v>112.92620374331551</v>
      </c>
      <c r="L62" s="479">
        <v>0</v>
      </c>
      <c r="M62" s="582"/>
      <c r="N62" s="583"/>
      <c r="P62" s="275"/>
    </row>
    <row r="63" spans="2:16" ht="13.35" customHeight="1">
      <c r="B63" s="173">
        <f t="shared" si="10"/>
        <v>40</v>
      </c>
      <c r="C63" s="173"/>
      <c r="D63" s="174">
        <v>7</v>
      </c>
      <c r="E63" s="168">
        <f t="shared" si="7"/>
        <v>40</v>
      </c>
      <c r="F63" s="286">
        <f t="shared" si="9"/>
        <v>33.21</v>
      </c>
      <c r="G63" s="175">
        <f t="shared" si="5"/>
        <v>32.811999999999998</v>
      </c>
      <c r="H63" s="175" t="str">
        <f t="shared" si="8"/>
        <v>IN</v>
      </c>
      <c r="I63" s="177">
        <f t="shared" si="3"/>
        <v>1355.4619999999998</v>
      </c>
      <c r="J63" s="177">
        <f t="shared" si="0"/>
        <v>10262.108</v>
      </c>
      <c r="K63" s="235">
        <f t="shared" si="1"/>
        <v>113.61899064629488</v>
      </c>
      <c r="L63" s="479">
        <v>0</v>
      </c>
      <c r="M63" s="582"/>
      <c r="N63" s="583"/>
      <c r="O63" s="275"/>
      <c r="P63" s="275"/>
    </row>
    <row r="64" spans="2:16" ht="13.35" customHeight="1">
      <c r="B64" s="173">
        <f t="shared" si="10"/>
        <v>41</v>
      </c>
      <c r="C64" s="173"/>
      <c r="D64" s="174">
        <v>7</v>
      </c>
      <c r="E64" s="168">
        <f t="shared" si="7"/>
        <v>41</v>
      </c>
      <c r="F64" s="286">
        <f t="shared" si="9"/>
        <v>33.06</v>
      </c>
      <c r="G64" s="175">
        <f t="shared" si="5"/>
        <v>32.661999999999999</v>
      </c>
      <c r="H64" s="175" t="str">
        <f t="shared" si="8"/>
        <v>IN</v>
      </c>
      <c r="I64" s="177">
        <f t="shared" si="3"/>
        <v>1388.1239999999998</v>
      </c>
      <c r="J64" s="177">
        <f t="shared" si="0"/>
        <v>10229.446</v>
      </c>
      <c r="K64" s="261">
        <f t="shared" si="1"/>
        <v>114.30861047517189</v>
      </c>
      <c r="L64" s="479">
        <v>0</v>
      </c>
      <c r="M64" s="588"/>
      <c r="N64" s="589"/>
      <c r="O64" s="11"/>
    </row>
    <row r="65" spans="2:15" ht="13.35" customHeight="1">
      <c r="B65" s="173">
        <f t="shared" si="10"/>
        <v>42</v>
      </c>
      <c r="C65" s="173"/>
      <c r="D65" s="174">
        <v>7</v>
      </c>
      <c r="E65" s="168">
        <f t="shared" si="7"/>
        <v>42</v>
      </c>
      <c r="F65" s="286">
        <f t="shared" si="9"/>
        <v>33.549999999999997</v>
      </c>
      <c r="G65" s="175">
        <f t="shared" si="5"/>
        <v>33.151999999999994</v>
      </c>
      <c r="H65" s="175" t="str">
        <f t="shared" si="8"/>
        <v>IN</v>
      </c>
      <c r="I65" s="177">
        <f t="shared" si="3"/>
        <v>1421.2759999999998</v>
      </c>
      <c r="J65" s="177">
        <f t="shared" si="0"/>
        <v>10196.294</v>
      </c>
      <c r="K65" s="261">
        <f t="shared" si="1"/>
        <v>115.00857607944997</v>
      </c>
      <c r="L65" s="479">
        <v>0</v>
      </c>
      <c r="M65" s="588"/>
      <c r="N65" s="589"/>
      <c r="O65" s="11"/>
    </row>
    <row r="66" spans="2:15" ht="13.35" customHeight="1">
      <c r="B66" s="173">
        <f t="shared" si="10"/>
        <v>43</v>
      </c>
      <c r="C66" s="173"/>
      <c r="D66" s="174">
        <v>7</v>
      </c>
      <c r="E66" s="168">
        <f t="shared" si="7"/>
        <v>43</v>
      </c>
      <c r="F66" s="286">
        <f t="shared" si="9"/>
        <v>33.76</v>
      </c>
      <c r="G66" s="175">
        <f t="shared" si="5"/>
        <v>33.361999999999995</v>
      </c>
      <c r="H66" s="175" t="str">
        <f t="shared" si="8"/>
        <v>IN</v>
      </c>
      <c r="I66" s="175">
        <f t="shared" si="3"/>
        <v>1454.6379999999999</v>
      </c>
      <c r="J66" s="175">
        <f t="shared" si="0"/>
        <v>10162.932000000001</v>
      </c>
      <c r="K66" s="262">
        <f t="shared" si="1"/>
        <v>115.71297558747135</v>
      </c>
      <c r="L66" s="479">
        <v>0</v>
      </c>
      <c r="M66" s="590"/>
      <c r="N66" s="590"/>
      <c r="O66" s="11"/>
    </row>
    <row r="67" spans="2:15" ht="13.35" customHeight="1">
      <c r="B67" s="173">
        <f t="shared" si="10"/>
        <v>44</v>
      </c>
      <c r="C67" s="173"/>
      <c r="D67" s="174">
        <v>7</v>
      </c>
      <c r="E67" s="168">
        <f t="shared" si="7"/>
        <v>44</v>
      </c>
      <c r="F67" s="286">
        <f t="shared" si="9"/>
        <v>32.950000000000003</v>
      </c>
      <c r="G67" s="175">
        <f t="shared" si="5"/>
        <v>32.552</v>
      </c>
      <c r="H67" s="175" t="str">
        <f t="shared" si="8"/>
        <v>IN</v>
      </c>
      <c r="I67" s="177">
        <f t="shared" si="3"/>
        <v>1487.1899999999998</v>
      </c>
      <c r="J67" s="177">
        <f t="shared" si="0"/>
        <v>10130.379999999999</v>
      </c>
      <c r="K67" s="235">
        <f t="shared" si="1"/>
        <v>116.40027289533995</v>
      </c>
      <c r="L67" s="479">
        <v>0</v>
      </c>
      <c r="M67" s="567"/>
      <c r="N67" s="567"/>
      <c r="O67" s="11"/>
    </row>
    <row r="68" spans="2:15" ht="13.35" customHeight="1">
      <c r="B68" s="173">
        <f t="shared" si="10"/>
        <v>45</v>
      </c>
      <c r="C68" s="173"/>
      <c r="D68" s="174">
        <v>7</v>
      </c>
      <c r="E68" s="168">
        <f t="shared" si="7"/>
        <v>45</v>
      </c>
      <c r="F68" s="286">
        <f t="shared" si="9"/>
        <v>31.58</v>
      </c>
      <c r="G68" s="175">
        <f t="shared" si="5"/>
        <v>31.181999999999999</v>
      </c>
      <c r="H68" s="175" t="str">
        <f t="shared" si="8"/>
        <v>IN</v>
      </c>
      <c r="I68" s="177">
        <f t="shared" si="3"/>
        <v>1518.3719999999998</v>
      </c>
      <c r="J68" s="177">
        <f t="shared" si="0"/>
        <v>10099.198</v>
      </c>
      <c r="K68" s="235">
        <f t="shared" si="1"/>
        <v>117.05864425974026</v>
      </c>
      <c r="L68" s="479">
        <v>0</v>
      </c>
      <c r="M68" s="567"/>
      <c r="N68" s="567"/>
      <c r="O68" s="11"/>
    </row>
    <row r="69" spans="2:15" ht="13.35" customHeight="1">
      <c r="B69" s="173">
        <f t="shared" si="10"/>
        <v>46</v>
      </c>
      <c r="C69" s="173"/>
      <c r="D69" s="174">
        <v>7</v>
      </c>
      <c r="E69" s="168">
        <f t="shared" si="7"/>
        <v>46</v>
      </c>
      <c r="F69" s="286">
        <f t="shared" si="9"/>
        <v>33.15</v>
      </c>
      <c r="G69" s="175">
        <f t="shared" si="5"/>
        <v>32.751999999999995</v>
      </c>
      <c r="H69" s="175" t="str">
        <f t="shared" si="8"/>
        <v>IN</v>
      </c>
      <c r="I69" s="177">
        <f t="shared" si="3"/>
        <v>1551.1239999999998</v>
      </c>
      <c r="J69" s="177">
        <f t="shared" si="0"/>
        <v>10066.446</v>
      </c>
      <c r="K69" s="235">
        <f t="shared" si="1"/>
        <v>117.75016433307869</v>
      </c>
      <c r="L69" s="479">
        <v>0</v>
      </c>
      <c r="M69" s="566"/>
      <c r="N69" s="566"/>
      <c r="O69" s="11"/>
    </row>
    <row r="70" spans="2:15" ht="13.35" customHeight="1">
      <c r="B70" s="173">
        <f t="shared" si="10"/>
        <v>47</v>
      </c>
      <c r="C70" s="173"/>
      <c r="D70" s="174">
        <v>7</v>
      </c>
      <c r="E70" s="168">
        <f t="shared" si="7"/>
        <v>47</v>
      </c>
      <c r="F70" s="286">
        <f t="shared" si="9"/>
        <v>33.33</v>
      </c>
      <c r="G70" s="175">
        <f t="shared" si="5"/>
        <v>32.931999999999995</v>
      </c>
      <c r="H70" s="175" t="str">
        <f t="shared" si="8"/>
        <v>IN</v>
      </c>
      <c r="I70" s="177">
        <f t="shared" si="3"/>
        <v>1584.0559999999998</v>
      </c>
      <c r="J70" s="177">
        <f t="shared" si="0"/>
        <v>10033.513999999999</v>
      </c>
      <c r="K70" s="235">
        <f t="shared" si="1"/>
        <v>118.44548489533996</v>
      </c>
      <c r="L70" s="479">
        <v>0</v>
      </c>
      <c r="M70" s="566"/>
      <c r="N70" s="566"/>
      <c r="O70" s="11"/>
    </row>
    <row r="71" spans="2:15" ht="13.35" customHeight="1">
      <c r="B71" s="173">
        <f t="shared" si="10"/>
        <v>48</v>
      </c>
      <c r="C71" s="173"/>
      <c r="D71" s="174">
        <v>7</v>
      </c>
      <c r="E71" s="168">
        <f t="shared" si="7"/>
        <v>48</v>
      </c>
      <c r="F71" s="286">
        <f t="shared" si="9"/>
        <v>33.36</v>
      </c>
      <c r="G71" s="175">
        <f t="shared" si="5"/>
        <v>32.961999999999996</v>
      </c>
      <c r="H71" s="175" t="str">
        <f t="shared" si="8"/>
        <v>IN</v>
      </c>
      <c r="I71" s="177">
        <f t="shared" si="3"/>
        <v>1617.0179999999998</v>
      </c>
      <c r="J71" s="177">
        <f t="shared" si="0"/>
        <v>10000.552</v>
      </c>
      <c r="K71" s="235">
        <f t="shared" si="1"/>
        <v>119.1414388724217</v>
      </c>
      <c r="L71" s="479">
        <v>0</v>
      </c>
      <c r="M71" s="566"/>
      <c r="N71" s="566"/>
      <c r="O71" s="11"/>
    </row>
    <row r="72" spans="2:15" ht="13.35" customHeight="1">
      <c r="B72" s="173">
        <f t="shared" si="10"/>
        <v>49</v>
      </c>
      <c r="C72" s="173"/>
      <c r="D72" s="174">
        <v>7</v>
      </c>
      <c r="E72" s="168">
        <f t="shared" si="7"/>
        <v>49</v>
      </c>
      <c r="F72" s="286">
        <f t="shared" si="9"/>
        <v>32.32</v>
      </c>
      <c r="G72" s="175">
        <f t="shared" si="5"/>
        <v>31.922000000000001</v>
      </c>
      <c r="H72" s="175" t="str">
        <f t="shared" si="8"/>
        <v>IN</v>
      </c>
      <c r="I72" s="177">
        <f t="shared" si="3"/>
        <v>1648.9399999999998</v>
      </c>
      <c r="J72" s="177">
        <f t="shared" si="0"/>
        <v>9968.6299999999992</v>
      </c>
      <c r="K72" s="235">
        <f t="shared" si="1"/>
        <v>119.81543446906035</v>
      </c>
      <c r="L72" s="479">
        <v>0</v>
      </c>
      <c r="M72" s="566"/>
      <c r="N72" s="566"/>
      <c r="O72" s="11"/>
    </row>
    <row r="73" spans="2:15" ht="13.35" customHeight="1">
      <c r="B73" s="173">
        <f t="shared" si="10"/>
        <v>50</v>
      </c>
      <c r="C73" s="173"/>
      <c r="D73" s="174">
        <v>7</v>
      </c>
      <c r="E73" s="168">
        <f t="shared" si="7"/>
        <v>50</v>
      </c>
      <c r="F73" s="286">
        <f t="shared" si="9"/>
        <v>33.21</v>
      </c>
      <c r="G73" s="175">
        <f t="shared" si="5"/>
        <v>32.811999999999998</v>
      </c>
      <c r="H73" s="175" t="str">
        <f t="shared" si="8"/>
        <v>IN</v>
      </c>
      <c r="I73" s="177">
        <f t="shared" si="3"/>
        <v>1681.7519999999997</v>
      </c>
      <c r="J73" s="177">
        <f t="shared" si="0"/>
        <v>9935.8179999999993</v>
      </c>
      <c r="K73" s="235">
        <f t="shared" si="1"/>
        <v>120.50822137203973</v>
      </c>
      <c r="L73" s="479">
        <v>0</v>
      </c>
      <c r="M73" s="566"/>
      <c r="N73" s="566"/>
      <c r="O73" s="11"/>
    </row>
    <row r="74" spans="2:15" ht="13.35" customHeight="1">
      <c r="B74" s="173">
        <f t="shared" si="10"/>
        <v>51</v>
      </c>
      <c r="C74" s="173"/>
      <c r="D74" s="174">
        <v>7</v>
      </c>
      <c r="E74" s="168">
        <f t="shared" si="7"/>
        <v>51</v>
      </c>
      <c r="F74" s="286">
        <f t="shared" si="9"/>
        <v>31.08</v>
      </c>
      <c r="G74" s="175">
        <f t="shared" si="5"/>
        <v>30.681999999999999</v>
      </c>
      <c r="H74" s="175" t="str">
        <f t="shared" si="8"/>
        <v>IN</v>
      </c>
      <c r="I74" s="177">
        <f t="shared" si="3"/>
        <v>1712.4339999999997</v>
      </c>
      <c r="J74" s="177">
        <f t="shared" si="0"/>
        <v>9905.1360000000004</v>
      </c>
      <c r="K74" s="235">
        <f t="shared" si="1"/>
        <v>121.15603582276546</v>
      </c>
      <c r="L74" s="479">
        <v>0</v>
      </c>
      <c r="M74" s="581"/>
      <c r="N74" s="581"/>
      <c r="O74" s="11"/>
    </row>
    <row r="75" spans="2:15" ht="13.35" customHeight="1">
      <c r="B75" s="173">
        <f t="shared" si="10"/>
        <v>52</v>
      </c>
      <c r="C75" s="173"/>
      <c r="D75" s="174">
        <v>7</v>
      </c>
      <c r="E75" s="168">
        <f t="shared" si="7"/>
        <v>52</v>
      </c>
      <c r="F75" s="286">
        <f t="shared" si="9"/>
        <v>33.19</v>
      </c>
      <c r="G75" s="175">
        <f t="shared" si="5"/>
        <v>32.791999999999994</v>
      </c>
      <c r="H75" s="175" t="str">
        <f t="shared" si="8"/>
        <v>IN</v>
      </c>
      <c r="I75" s="177">
        <f t="shared" si="3"/>
        <v>1745.2259999999997</v>
      </c>
      <c r="J75" s="177">
        <f t="shared" si="0"/>
        <v>9872.344000000001</v>
      </c>
      <c r="K75" s="235">
        <f t="shared" si="1"/>
        <v>121.84840044919785</v>
      </c>
      <c r="L75" s="479">
        <v>0</v>
      </c>
      <c r="M75" s="566"/>
      <c r="N75" s="566"/>
      <c r="O75" s="11"/>
    </row>
    <row r="76" spans="2:15" ht="13.35" customHeight="1">
      <c r="B76" s="173">
        <f t="shared" si="10"/>
        <v>53</v>
      </c>
      <c r="C76" s="173"/>
      <c r="D76" s="174">
        <v>7</v>
      </c>
      <c r="E76" s="168">
        <f t="shared" si="7"/>
        <v>53</v>
      </c>
      <c r="F76" s="286">
        <f t="shared" si="9"/>
        <v>33.26</v>
      </c>
      <c r="G76" s="175">
        <f t="shared" si="5"/>
        <v>32.861999999999995</v>
      </c>
      <c r="H76" s="175" t="str">
        <f t="shared" si="8"/>
        <v>IN</v>
      </c>
      <c r="I76" s="177">
        <f t="shared" si="3"/>
        <v>1778.0879999999997</v>
      </c>
      <c r="J76" s="177">
        <f t="shared" si="0"/>
        <v>9839.482</v>
      </c>
      <c r="K76" s="235">
        <f t="shared" si="1"/>
        <v>122.54224304354469</v>
      </c>
      <c r="L76" s="479">
        <v>0</v>
      </c>
      <c r="M76" s="566"/>
      <c r="N76" s="566"/>
      <c r="O76" s="11"/>
    </row>
    <row r="77" spans="2:15" ht="13.35" customHeight="1">
      <c r="B77" s="173">
        <f t="shared" si="10"/>
        <v>54</v>
      </c>
      <c r="C77" s="176"/>
      <c r="D77" s="232">
        <v>7</v>
      </c>
      <c r="E77" s="168">
        <f t="shared" si="7"/>
        <v>54</v>
      </c>
      <c r="F77" s="286">
        <f t="shared" si="9"/>
        <v>33.46</v>
      </c>
      <c r="G77" s="175">
        <f t="shared" si="5"/>
        <v>33.061999999999998</v>
      </c>
      <c r="H77" s="175" t="str">
        <f t="shared" si="8"/>
        <v>IN</v>
      </c>
      <c r="I77" s="177">
        <f t="shared" si="3"/>
        <v>1811.1499999999996</v>
      </c>
      <c r="J77" s="177">
        <f t="shared" si="0"/>
        <v>9806.42</v>
      </c>
      <c r="K77" s="235">
        <f t="shared" si="1"/>
        <v>123.24030840336134</v>
      </c>
      <c r="L77" s="479">
        <v>0</v>
      </c>
      <c r="M77" s="566"/>
      <c r="N77" s="566"/>
      <c r="O77" s="11"/>
    </row>
    <row r="78" spans="2:15" ht="13.35" customHeight="1">
      <c r="B78" s="173">
        <f t="shared" si="10"/>
        <v>55</v>
      </c>
      <c r="C78" s="173"/>
      <c r="D78" s="174">
        <v>7</v>
      </c>
      <c r="E78" s="168">
        <f t="shared" si="7"/>
        <v>55</v>
      </c>
      <c r="F78" s="286">
        <f t="shared" si="9"/>
        <v>33.28</v>
      </c>
      <c r="G78" s="175">
        <f t="shared" si="5"/>
        <v>32.881999999999998</v>
      </c>
      <c r="H78" s="175" t="str">
        <f t="shared" si="8"/>
        <v>IN</v>
      </c>
      <c r="I78" s="177">
        <f t="shared" si="3"/>
        <v>1844.0319999999997</v>
      </c>
      <c r="J78" s="177">
        <f t="shared" si="0"/>
        <v>9773.5380000000005</v>
      </c>
      <c r="K78" s="235">
        <f t="shared" si="1"/>
        <v>123.93457327425516</v>
      </c>
      <c r="L78" s="479">
        <v>0</v>
      </c>
      <c r="M78" s="566"/>
      <c r="N78" s="566"/>
      <c r="O78" s="11"/>
    </row>
    <row r="79" spans="2:15" ht="13.35" customHeight="1">
      <c r="B79" s="173">
        <f t="shared" si="10"/>
        <v>56</v>
      </c>
      <c r="C79" s="173"/>
      <c r="D79" s="174">
        <v>7</v>
      </c>
      <c r="E79" s="168">
        <f t="shared" si="7"/>
        <v>56</v>
      </c>
      <c r="F79" s="286">
        <f t="shared" si="9"/>
        <v>33.18</v>
      </c>
      <c r="G79" s="175">
        <f t="shared" si="5"/>
        <v>32.781999999999996</v>
      </c>
      <c r="H79" s="175" t="str">
        <f t="shared" si="8"/>
        <v>IN</v>
      </c>
      <c r="I79" s="177">
        <f t="shared" si="3"/>
        <v>1876.8139999999996</v>
      </c>
      <c r="J79" s="177">
        <f t="shared" ref="J79:J142" si="11">IF(I79="","",$M$9-I79)</f>
        <v>9740.7559999999994</v>
      </c>
      <c r="K79" s="235">
        <f t="shared" si="1"/>
        <v>124.62672676241405</v>
      </c>
      <c r="L79" s="479">
        <v>0</v>
      </c>
      <c r="M79" s="566"/>
      <c r="N79" s="566"/>
      <c r="O79" s="11"/>
    </row>
    <row r="80" spans="2:15" ht="13.35" customHeight="1">
      <c r="B80" s="173">
        <f t="shared" si="10"/>
        <v>57</v>
      </c>
      <c r="C80" s="173"/>
      <c r="D80" s="174">
        <v>7</v>
      </c>
      <c r="E80" s="168">
        <f t="shared" si="7"/>
        <v>57</v>
      </c>
      <c r="F80" s="286">
        <f t="shared" si="9"/>
        <v>33.33</v>
      </c>
      <c r="G80" s="175">
        <f t="shared" si="5"/>
        <v>32.931999999999995</v>
      </c>
      <c r="H80" s="175" t="str">
        <f t="shared" si="8"/>
        <v>IN</v>
      </c>
      <c r="I80" s="177">
        <f t="shared" si="3"/>
        <v>1909.7459999999996</v>
      </c>
      <c r="J80" s="177">
        <f t="shared" si="11"/>
        <v>9707.8240000000005</v>
      </c>
      <c r="K80" s="235">
        <f t="shared" ref="K80:K143" si="12">$H$9+(I80*$E$10*$H$11/1000)</f>
        <v>125.32204732467532</v>
      </c>
      <c r="L80" s="479">
        <v>0</v>
      </c>
      <c r="M80" s="566"/>
      <c r="N80" s="566"/>
      <c r="O80" s="11"/>
    </row>
    <row r="81" spans="2:15" ht="13.35" customHeight="1">
      <c r="B81" s="173">
        <f t="shared" si="10"/>
        <v>58</v>
      </c>
      <c r="C81" s="173"/>
      <c r="D81" s="174">
        <v>7</v>
      </c>
      <c r="E81" s="168">
        <f t="shared" si="7"/>
        <v>58</v>
      </c>
      <c r="F81" s="286">
        <f t="shared" si="9"/>
        <v>33.36</v>
      </c>
      <c r="G81" s="175">
        <f t="shared" si="5"/>
        <v>32.961999999999996</v>
      </c>
      <c r="H81" s="175" t="str">
        <f t="shared" si="8"/>
        <v>IN</v>
      </c>
      <c r="I81" s="177">
        <f t="shared" ref="I81:I144" si="13">IF(H81="IN",I80+G81,I80)</f>
        <v>1942.7079999999996</v>
      </c>
      <c r="J81" s="177">
        <f t="shared" si="11"/>
        <v>9674.862000000001</v>
      </c>
      <c r="K81" s="235">
        <f t="shared" si="12"/>
        <v>126.01800130175707</v>
      </c>
      <c r="L81" s="479">
        <v>0</v>
      </c>
      <c r="M81" s="567"/>
      <c r="N81" s="567"/>
      <c r="O81" s="11"/>
    </row>
    <row r="82" spans="2:15" ht="13.35" customHeight="1">
      <c r="B82" s="173">
        <f t="shared" si="10"/>
        <v>59</v>
      </c>
      <c r="C82" s="173"/>
      <c r="D82" s="174">
        <v>7</v>
      </c>
      <c r="E82" s="168">
        <f t="shared" si="7"/>
        <v>59</v>
      </c>
      <c r="F82" s="286">
        <f t="shared" si="9"/>
        <v>33.21</v>
      </c>
      <c r="G82" s="175">
        <f t="shared" si="5"/>
        <v>32.811999999999998</v>
      </c>
      <c r="H82" s="175" t="str">
        <f t="shared" si="8"/>
        <v>IN</v>
      </c>
      <c r="I82" s="177">
        <f t="shared" si="13"/>
        <v>1975.5199999999995</v>
      </c>
      <c r="J82" s="177">
        <f t="shared" si="11"/>
        <v>9642.0499999999993</v>
      </c>
      <c r="K82" s="235">
        <f t="shared" si="12"/>
        <v>126.71078820473643</v>
      </c>
      <c r="L82" s="479">
        <v>0</v>
      </c>
      <c r="M82" s="566"/>
      <c r="N82" s="566"/>
      <c r="O82" s="11"/>
    </row>
    <row r="83" spans="2:15" ht="13.35" customHeight="1">
      <c r="B83" s="173">
        <f t="shared" si="10"/>
        <v>60</v>
      </c>
      <c r="C83" s="173"/>
      <c r="D83" s="174">
        <v>7</v>
      </c>
      <c r="E83" s="168">
        <f t="shared" si="7"/>
        <v>60</v>
      </c>
      <c r="F83" s="286">
        <f t="shared" si="9"/>
        <v>31.38</v>
      </c>
      <c r="G83" s="175">
        <f t="shared" si="5"/>
        <v>30.981999999999999</v>
      </c>
      <c r="H83" s="175" t="str">
        <f t="shared" si="8"/>
        <v>IN</v>
      </c>
      <c r="I83" s="177">
        <f t="shared" si="13"/>
        <v>2006.5019999999995</v>
      </c>
      <c r="J83" s="177">
        <f t="shared" si="11"/>
        <v>9611.0679999999993</v>
      </c>
      <c r="K83" s="235">
        <f t="shared" si="12"/>
        <v>127.36493680366692</v>
      </c>
      <c r="L83" s="479">
        <v>0</v>
      </c>
      <c r="M83" s="566"/>
      <c r="N83" s="566"/>
      <c r="O83" s="11"/>
    </row>
    <row r="84" spans="2:15" ht="13.35" customHeight="1">
      <c r="B84" s="173">
        <f t="shared" si="10"/>
        <v>61</v>
      </c>
      <c r="C84" s="173"/>
      <c r="D84" s="174">
        <v>7</v>
      </c>
      <c r="E84" s="168">
        <f t="shared" si="7"/>
        <v>61</v>
      </c>
      <c r="F84" s="286">
        <f t="shared" si="9"/>
        <v>33.51</v>
      </c>
      <c r="G84" s="175">
        <f t="shared" si="5"/>
        <v>33.111999999999995</v>
      </c>
      <c r="H84" s="175" t="str">
        <f t="shared" si="8"/>
        <v>IN</v>
      </c>
      <c r="I84" s="177">
        <f t="shared" si="13"/>
        <v>2039.6139999999996</v>
      </c>
      <c r="J84" s="177">
        <f t="shared" si="11"/>
        <v>9577.9560000000001</v>
      </c>
      <c r="K84" s="235">
        <f t="shared" si="12"/>
        <v>128.06405785485103</v>
      </c>
      <c r="L84" s="479">
        <v>0</v>
      </c>
      <c r="M84" s="566"/>
      <c r="N84" s="566"/>
      <c r="O84" s="11"/>
    </row>
    <row r="85" spans="2:15" ht="13.35" customHeight="1">
      <c r="B85" s="173">
        <f t="shared" si="10"/>
        <v>62</v>
      </c>
      <c r="C85" s="173"/>
      <c r="D85" s="174">
        <v>7</v>
      </c>
      <c r="E85" s="168">
        <f t="shared" si="7"/>
        <v>62</v>
      </c>
      <c r="F85" s="286">
        <f t="shared" si="9"/>
        <v>33.06</v>
      </c>
      <c r="G85" s="175">
        <f t="shared" si="5"/>
        <v>32.661999999999999</v>
      </c>
      <c r="H85" s="175" t="str">
        <f t="shared" si="8"/>
        <v>IN</v>
      </c>
      <c r="I85" s="177">
        <f t="shared" si="13"/>
        <v>2072.2759999999994</v>
      </c>
      <c r="J85" s="177">
        <f t="shared" si="11"/>
        <v>9545.2939999999999</v>
      </c>
      <c r="K85" s="235">
        <f t="shared" si="12"/>
        <v>128.75367768372803</v>
      </c>
      <c r="L85" s="479">
        <v>0</v>
      </c>
      <c r="M85" s="566"/>
      <c r="N85" s="566"/>
      <c r="O85" s="11"/>
    </row>
    <row r="86" spans="2:15" ht="13.35" customHeight="1">
      <c r="B86" s="173">
        <f t="shared" si="10"/>
        <v>63</v>
      </c>
      <c r="C86" s="173"/>
      <c r="D86" s="174">
        <v>7</v>
      </c>
      <c r="E86" s="168">
        <f t="shared" si="7"/>
        <v>63</v>
      </c>
      <c r="F86" s="286">
        <f t="shared" si="9"/>
        <v>32.880000000000003</v>
      </c>
      <c r="G86" s="175">
        <f t="shared" si="5"/>
        <v>32.481999999999999</v>
      </c>
      <c r="H86" s="175" t="str">
        <f t="shared" si="8"/>
        <v>IN</v>
      </c>
      <c r="I86" s="177">
        <f t="shared" si="13"/>
        <v>2104.7579999999994</v>
      </c>
      <c r="J86" s="177">
        <f t="shared" si="11"/>
        <v>9512.8119999999999</v>
      </c>
      <c r="K86" s="235">
        <f t="shared" si="12"/>
        <v>129.43949702368218</v>
      </c>
      <c r="L86" s="479">
        <v>0</v>
      </c>
      <c r="M86" s="566"/>
      <c r="N86" s="566"/>
      <c r="O86" s="11"/>
    </row>
    <row r="87" spans="2:15" ht="13.35" customHeight="1">
      <c r="B87" s="173">
        <f t="shared" si="10"/>
        <v>64</v>
      </c>
      <c r="C87" s="173"/>
      <c r="D87" s="174">
        <v>7</v>
      </c>
      <c r="E87" s="168">
        <f t="shared" si="7"/>
        <v>64</v>
      </c>
      <c r="F87" s="286">
        <f t="shared" si="9"/>
        <v>33.08</v>
      </c>
      <c r="G87" s="175">
        <f t="shared" si="5"/>
        <v>32.681999999999995</v>
      </c>
      <c r="H87" s="175" t="str">
        <f t="shared" si="8"/>
        <v>IN</v>
      </c>
      <c r="I87" s="177">
        <f t="shared" si="13"/>
        <v>2137.4399999999991</v>
      </c>
      <c r="J87" s="177">
        <f t="shared" si="11"/>
        <v>9480.130000000001</v>
      </c>
      <c r="K87" s="235">
        <f t="shared" si="12"/>
        <v>130.12953912910618</v>
      </c>
      <c r="L87" s="479">
        <v>0</v>
      </c>
      <c r="M87" s="566"/>
      <c r="N87" s="566"/>
      <c r="O87" s="11"/>
    </row>
    <row r="88" spans="2:15" ht="13.35" customHeight="1">
      <c r="B88" s="173">
        <f t="shared" si="10"/>
        <v>65</v>
      </c>
      <c r="C88" s="173"/>
      <c r="D88" s="174">
        <v>7</v>
      </c>
      <c r="E88" s="168">
        <f t="shared" si="7"/>
        <v>65</v>
      </c>
      <c r="F88" s="286">
        <f t="shared" si="9"/>
        <v>33</v>
      </c>
      <c r="G88" s="175">
        <f t="shared" si="5"/>
        <v>32.601999999999997</v>
      </c>
      <c r="H88" s="175" t="str">
        <f t="shared" si="8"/>
        <v>IN</v>
      </c>
      <c r="I88" s="177">
        <f t="shared" si="13"/>
        <v>2170.041999999999</v>
      </c>
      <c r="J88" s="177">
        <f t="shared" si="11"/>
        <v>9447.5280000000002</v>
      </c>
      <c r="K88" s="235">
        <f t="shared" si="12"/>
        <v>130.81789212834224</v>
      </c>
      <c r="L88" s="479">
        <v>0</v>
      </c>
      <c r="M88" s="566"/>
      <c r="N88" s="566"/>
      <c r="O88" s="11"/>
    </row>
    <row r="89" spans="2:15" ht="13.35" customHeight="1">
      <c r="B89" s="173">
        <f t="shared" si="10"/>
        <v>66</v>
      </c>
      <c r="C89" s="173"/>
      <c r="D89" s="174">
        <v>7</v>
      </c>
      <c r="E89" s="168">
        <f t="shared" si="7"/>
        <v>66</v>
      </c>
      <c r="F89" s="286">
        <f t="shared" ref="F89:F101" si="14">VLOOKUP(E89,tubing1,2,FALSE)</f>
        <v>32.729999999999997</v>
      </c>
      <c r="G89" s="175">
        <f t="shared" ref="G89:G152" si="15">F89-($E$12)</f>
        <v>32.331999999999994</v>
      </c>
      <c r="H89" s="175" t="str">
        <f t="shared" si="8"/>
        <v>IN</v>
      </c>
      <c r="I89" s="177">
        <f t="shared" si="13"/>
        <v>2202.3739999999989</v>
      </c>
      <c r="J89" s="177">
        <f t="shared" si="11"/>
        <v>9415.1959999999999</v>
      </c>
      <c r="K89" s="235">
        <f t="shared" si="12"/>
        <v>131.50054439419404</v>
      </c>
      <c r="L89" s="479">
        <v>0</v>
      </c>
      <c r="M89" s="566"/>
      <c r="N89" s="566"/>
      <c r="O89" s="11"/>
    </row>
    <row r="90" spans="2:15" ht="13.35" customHeight="1">
      <c r="B90" s="173">
        <f t="shared" ref="B90:B101" si="16">B89+1</f>
        <v>67</v>
      </c>
      <c r="C90" s="173"/>
      <c r="D90" s="174">
        <v>7</v>
      </c>
      <c r="E90" s="168">
        <f t="shared" ref="E90:E153" si="17">E89+1</f>
        <v>67</v>
      </c>
      <c r="F90" s="286">
        <f t="shared" si="14"/>
        <v>33.049999999999997</v>
      </c>
      <c r="G90" s="175">
        <f t="shared" si="15"/>
        <v>32.651999999999994</v>
      </c>
      <c r="H90" s="175" t="str">
        <f t="shared" si="8"/>
        <v>IN</v>
      </c>
      <c r="I90" s="177">
        <f t="shared" si="13"/>
        <v>2235.0259999999989</v>
      </c>
      <c r="J90" s="177">
        <f t="shared" si="11"/>
        <v>9382.5440000000017</v>
      </c>
      <c r="K90" s="235">
        <f t="shared" si="12"/>
        <v>132.18995308479754</v>
      </c>
      <c r="L90" s="479">
        <v>0</v>
      </c>
      <c r="M90" s="566"/>
      <c r="N90" s="566"/>
      <c r="O90" s="11"/>
    </row>
    <row r="91" spans="2:15" ht="13.35" customHeight="1">
      <c r="B91" s="173">
        <f t="shared" si="16"/>
        <v>68</v>
      </c>
      <c r="C91" s="173"/>
      <c r="D91" s="174">
        <v>7</v>
      </c>
      <c r="E91" s="168">
        <f t="shared" si="17"/>
        <v>68</v>
      </c>
      <c r="F91" s="286">
        <f t="shared" si="14"/>
        <v>32.89</v>
      </c>
      <c r="G91" s="175">
        <f t="shared" si="15"/>
        <v>32.491999999999997</v>
      </c>
      <c r="H91" s="175" t="str">
        <f t="shared" si="8"/>
        <v>IN</v>
      </c>
      <c r="I91" s="177">
        <f t="shared" si="13"/>
        <v>2267.5179999999991</v>
      </c>
      <c r="J91" s="177">
        <f t="shared" si="11"/>
        <v>9350.0519999999997</v>
      </c>
      <c r="K91" s="235">
        <f t="shared" si="12"/>
        <v>132.87598356302522</v>
      </c>
      <c r="L91" s="479">
        <v>0</v>
      </c>
      <c r="M91" s="566"/>
      <c r="N91" s="566"/>
      <c r="O91" s="11"/>
    </row>
    <row r="92" spans="2:15" ht="13.35" customHeight="1">
      <c r="B92" s="173">
        <f t="shared" si="16"/>
        <v>69</v>
      </c>
      <c r="C92" s="173"/>
      <c r="D92" s="174">
        <v>7</v>
      </c>
      <c r="E92" s="168">
        <f t="shared" si="17"/>
        <v>69</v>
      </c>
      <c r="F92" s="286">
        <f t="shared" si="14"/>
        <v>32.93</v>
      </c>
      <c r="G92" s="175">
        <f t="shared" si="15"/>
        <v>32.531999999999996</v>
      </c>
      <c r="H92" s="175" t="str">
        <f t="shared" si="8"/>
        <v>IN</v>
      </c>
      <c r="I92" s="177">
        <f t="shared" si="13"/>
        <v>2300.0499999999993</v>
      </c>
      <c r="J92" s="177">
        <f t="shared" si="11"/>
        <v>9317.52</v>
      </c>
      <c r="K92" s="235">
        <f t="shared" si="12"/>
        <v>133.56285859434681</v>
      </c>
      <c r="L92" s="479">
        <v>0</v>
      </c>
      <c r="M92" s="566"/>
      <c r="N92" s="566"/>
      <c r="O92" s="11"/>
    </row>
    <row r="93" spans="2:15" ht="13.35" customHeight="1">
      <c r="B93" s="173">
        <f t="shared" si="16"/>
        <v>70</v>
      </c>
      <c r="C93" s="173"/>
      <c r="D93" s="174">
        <v>7</v>
      </c>
      <c r="E93" s="168">
        <f t="shared" si="17"/>
        <v>70</v>
      </c>
      <c r="F93" s="286">
        <f t="shared" si="14"/>
        <v>32.89</v>
      </c>
      <c r="G93" s="175">
        <f t="shared" si="15"/>
        <v>32.491999999999997</v>
      </c>
      <c r="H93" s="175" t="str">
        <f t="shared" si="8"/>
        <v>IN</v>
      </c>
      <c r="I93" s="177">
        <f t="shared" si="13"/>
        <v>2332.5419999999995</v>
      </c>
      <c r="J93" s="177">
        <f t="shared" si="11"/>
        <v>9285.0280000000002</v>
      </c>
      <c r="K93" s="235">
        <f t="shared" si="12"/>
        <v>134.24888907257449</v>
      </c>
      <c r="L93" s="479">
        <v>0</v>
      </c>
      <c r="M93" s="566"/>
      <c r="N93" s="566"/>
      <c r="O93" s="11"/>
    </row>
    <row r="94" spans="2:15" ht="13.35" customHeight="1">
      <c r="B94" s="173">
        <f t="shared" si="16"/>
        <v>71</v>
      </c>
      <c r="C94" s="176"/>
      <c r="D94" s="174">
        <v>7</v>
      </c>
      <c r="E94" s="168">
        <f t="shared" si="17"/>
        <v>71</v>
      </c>
      <c r="F94" s="286">
        <f t="shared" si="14"/>
        <v>33.08</v>
      </c>
      <c r="G94" s="175">
        <f t="shared" si="15"/>
        <v>32.681999999999995</v>
      </c>
      <c r="H94" s="175" t="str">
        <f t="shared" si="8"/>
        <v>IN</v>
      </c>
      <c r="I94" s="177">
        <f t="shared" si="13"/>
        <v>2365.2239999999993</v>
      </c>
      <c r="J94" s="177">
        <f t="shared" si="11"/>
        <v>9252.3460000000014</v>
      </c>
      <c r="K94" s="235">
        <f t="shared" si="12"/>
        <v>134.93893117799846</v>
      </c>
      <c r="L94" s="479">
        <v>0</v>
      </c>
      <c r="M94" s="566"/>
      <c r="N94" s="566"/>
      <c r="O94" s="11"/>
    </row>
    <row r="95" spans="2:15" ht="13.35" customHeight="1">
      <c r="B95" s="173">
        <f t="shared" si="16"/>
        <v>72</v>
      </c>
      <c r="C95" s="176"/>
      <c r="D95" s="174">
        <v>7</v>
      </c>
      <c r="E95" s="168">
        <f t="shared" si="17"/>
        <v>72</v>
      </c>
      <c r="F95" s="286">
        <f t="shared" si="14"/>
        <v>33.33</v>
      </c>
      <c r="G95" s="175">
        <f t="shared" si="15"/>
        <v>32.931999999999995</v>
      </c>
      <c r="H95" s="175" t="str">
        <f t="shared" si="8"/>
        <v>IN</v>
      </c>
      <c r="I95" s="177">
        <f t="shared" si="13"/>
        <v>2398.155999999999</v>
      </c>
      <c r="J95" s="177">
        <f t="shared" si="11"/>
        <v>9219.4140000000007</v>
      </c>
      <c r="K95" s="235">
        <f t="shared" si="12"/>
        <v>135.63425174025971</v>
      </c>
      <c r="L95" s="479">
        <v>0</v>
      </c>
      <c r="M95" s="566"/>
      <c r="N95" s="566"/>
      <c r="O95" s="11"/>
    </row>
    <row r="96" spans="2:15" ht="13.35" customHeight="1">
      <c r="B96" s="173">
        <f t="shared" si="16"/>
        <v>73</v>
      </c>
      <c r="C96" s="176"/>
      <c r="D96" s="174">
        <v>7</v>
      </c>
      <c r="E96" s="168">
        <f t="shared" si="17"/>
        <v>73</v>
      </c>
      <c r="F96" s="286">
        <f t="shared" si="14"/>
        <v>32.49</v>
      </c>
      <c r="G96" s="175">
        <f t="shared" si="15"/>
        <v>32.091999999999999</v>
      </c>
      <c r="H96" s="175" t="str">
        <f t="shared" si="8"/>
        <v>IN</v>
      </c>
      <c r="I96" s="177">
        <f t="shared" si="13"/>
        <v>2430.2479999999991</v>
      </c>
      <c r="J96" s="177">
        <f t="shared" si="11"/>
        <v>9187.3220000000001</v>
      </c>
      <c r="K96" s="235">
        <f t="shared" si="12"/>
        <v>136.31183668754772</v>
      </c>
      <c r="L96" s="479">
        <v>0</v>
      </c>
      <c r="M96" s="566"/>
      <c r="N96" s="566"/>
      <c r="O96" s="11"/>
    </row>
    <row r="97" spans="1:15" ht="13.35" customHeight="1">
      <c r="B97" s="173">
        <f t="shared" si="16"/>
        <v>74</v>
      </c>
      <c r="C97" s="176"/>
      <c r="D97" s="174">
        <v>7</v>
      </c>
      <c r="E97" s="168">
        <f t="shared" si="17"/>
        <v>74</v>
      </c>
      <c r="F97" s="286">
        <f t="shared" si="14"/>
        <v>31.46</v>
      </c>
      <c r="G97" s="175">
        <f t="shared" si="15"/>
        <v>31.062000000000001</v>
      </c>
      <c r="H97" s="175" t="str">
        <f t="shared" si="8"/>
        <v>IN</v>
      </c>
      <c r="I97" s="177">
        <f t="shared" si="13"/>
        <v>2461.309999999999</v>
      </c>
      <c r="J97" s="177">
        <f t="shared" si="11"/>
        <v>9156.26</v>
      </c>
      <c r="K97" s="235">
        <f t="shared" si="12"/>
        <v>136.96767439266614</v>
      </c>
      <c r="L97" s="479">
        <v>0</v>
      </c>
      <c r="M97" s="566"/>
      <c r="N97" s="566"/>
      <c r="O97" s="11"/>
    </row>
    <row r="98" spans="1:15" ht="13.35" customHeight="1">
      <c r="A98" s="231"/>
      <c r="B98" s="173">
        <f t="shared" si="16"/>
        <v>75</v>
      </c>
      <c r="C98" s="176"/>
      <c r="D98" s="232">
        <v>7</v>
      </c>
      <c r="E98" s="168">
        <f t="shared" si="17"/>
        <v>75</v>
      </c>
      <c r="F98" s="286">
        <f t="shared" si="14"/>
        <v>33.21</v>
      </c>
      <c r="G98" s="177">
        <f t="shared" si="15"/>
        <v>32.811999999999998</v>
      </c>
      <c r="H98" s="177" t="s">
        <v>131</v>
      </c>
      <c r="I98" s="177">
        <f t="shared" si="13"/>
        <v>2494.1219999999989</v>
      </c>
      <c r="J98" s="177">
        <f t="shared" si="11"/>
        <v>9123.4480000000003</v>
      </c>
      <c r="K98" s="235">
        <f t="shared" si="12"/>
        <v>137.66046129564552</v>
      </c>
      <c r="L98" s="479">
        <v>0</v>
      </c>
      <c r="M98" s="566"/>
      <c r="N98" s="566"/>
      <c r="O98" s="11"/>
    </row>
    <row r="99" spans="1:15" ht="15" customHeight="1">
      <c r="B99" s="173">
        <f t="shared" si="16"/>
        <v>76</v>
      </c>
      <c r="C99" s="176"/>
      <c r="D99" s="174">
        <v>7</v>
      </c>
      <c r="E99" s="168">
        <f t="shared" si="17"/>
        <v>76</v>
      </c>
      <c r="F99" s="286">
        <f t="shared" si="14"/>
        <v>32.659999999999997</v>
      </c>
      <c r="G99" s="175">
        <f t="shared" si="15"/>
        <v>32.261999999999993</v>
      </c>
      <c r="H99" s="175" t="str">
        <f>IF(F99="","OUT","IN")</f>
        <v>IN</v>
      </c>
      <c r="I99" s="177">
        <f t="shared" si="13"/>
        <v>2526.3839999999991</v>
      </c>
      <c r="J99" s="177">
        <f t="shared" si="11"/>
        <v>9091.1860000000015</v>
      </c>
      <c r="K99" s="235">
        <f t="shared" si="12"/>
        <v>138.34163559358288</v>
      </c>
      <c r="L99" s="479">
        <v>0</v>
      </c>
      <c r="M99" s="566"/>
      <c r="N99" s="566"/>
      <c r="O99" s="11"/>
    </row>
    <row r="100" spans="1:15" ht="15" customHeight="1">
      <c r="B100" s="173">
        <f t="shared" si="16"/>
        <v>77</v>
      </c>
      <c r="C100" s="176"/>
      <c r="D100" s="174">
        <v>7</v>
      </c>
      <c r="E100" s="168">
        <f t="shared" si="17"/>
        <v>77</v>
      </c>
      <c r="F100" s="286">
        <f t="shared" si="14"/>
        <v>31.41</v>
      </c>
      <c r="G100" s="175">
        <f t="shared" si="15"/>
        <v>31.012</v>
      </c>
      <c r="H100" s="175" t="str">
        <f>IF(F100="","OUT","IN")</f>
        <v>IN</v>
      </c>
      <c r="I100" s="177">
        <f t="shared" si="13"/>
        <v>2557.3959999999993</v>
      </c>
      <c r="J100" s="177">
        <f t="shared" si="11"/>
        <v>9060.1740000000009</v>
      </c>
      <c r="K100" s="235">
        <f t="shared" si="12"/>
        <v>138.99641760733385</v>
      </c>
      <c r="L100" s="479">
        <v>0</v>
      </c>
      <c r="M100" s="566"/>
      <c r="N100" s="566"/>
      <c r="O100" s="11"/>
    </row>
    <row r="101" spans="1:15" ht="15" customHeight="1">
      <c r="B101" s="173">
        <f t="shared" si="16"/>
        <v>78</v>
      </c>
      <c r="C101" s="176"/>
      <c r="D101" s="174">
        <v>7</v>
      </c>
      <c r="E101" s="168">
        <f t="shared" si="17"/>
        <v>78</v>
      </c>
      <c r="F101" s="286">
        <f t="shared" si="14"/>
        <v>33.46</v>
      </c>
      <c r="G101" s="175">
        <f t="shared" si="15"/>
        <v>33.061999999999998</v>
      </c>
      <c r="H101" s="175" t="str">
        <f>IF(F101="","OUT","IN")</f>
        <v>IN</v>
      </c>
      <c r="I101" s="177">
        <f t="shared" si="13"/>
        <v>2590.4579999999992</v>
      </c>
      <c r="J101" s="177">
        <f t="shared" si="11"/>
        <v>9027.112000000001</v>
      </c>
      <c r="K101" s="235">
        <f t="shared" si="12"/>
        <v>139.69448296715049</v>
      </c>
      <c r="L101" s="479">
        <v>0</v>
      </c>
      <c r="M101" s="566"/>
      <c r="N101" s="566"/>
      <c r="O101" s="11"/>
    </row>
    <row r="102" spans="1:15" ht="15" hidden="1" customHeight="1">
      <c r="B102" s="263"/>
      <c r="C102" s="263"/>
      <c r="D102" s="241">
        <v>7</v>
      </c>
      <c r="E102" s="264">
        <f t="shared" si="17"/>
        <v>79</v>
      </c>
      <c r="F102" s="285">
        <v>0</v>
      </c>
      <c r="G102" s="233">
        <f t="shared" si="15"/>
        <v>-0.39799999999999996</v>
      </c>
      <c r="H102" s="233" t="s">
        <v>97</v>
      </c>
      <c r="I102" s="233">
        <f t="shared" si="13"/>
        <v>2590.4579999999992</v>
      </c>
      <c r="J102" s="233">
        <f t="shared" si="11"/>
        <v>9027.112000000001</v>
      </c>
      <c r="K102" s="234">
        <f t="shared" si="12"/>
        <v>139.69448296715049</v>
      </c>
      <c r="L102" s="481">
        <v>0</v>
      </c>
      <c r="M102" s="671" t="s">
        <v>134</v>
      </c>
      <c r="N102" s="671"/>
      <c r="O102" s="11"/>
    </row>
    <row r="103" spans="1:15" ht="15" customHeight="1">
      <c r="B103" s="173">
        <v>79</v>
      </c>
      <c r="C103" s="176"/>
      <c r="D103" s="174">
        <v>7</v>
      </c>
      <c r="E103" s="168">
        <f t="shared" si="17"/>
        <v>80</v>
      </c>
      <c r="F103" s="286">
        <f t="shared" ref="F103:F166" si="18">VLOOKUP(E103,tubing1,2,FALSE)</f>
        <v>33.049999999999997</v>
      </c>
      <c r="G103" s="175">
        <f t="shared" si="15"/>
        <v>32.651999999999994</v>
      </c>
      <c r="H103" s="175" t="str">
        <f t="shared" ref="H103:H115" si="19">IF(F103="","OUT","IN")</f>
        <v>IN</v>
      </c>
      <c r="I103" s="177">
        <f t="shared" si="13"/>
        <v>2623.1099999999992</v>
      </c>
      <c r="J103" s="177">
        <f t="shared" si="11"/>
        <v>8994.4600000000009</v>
      </c>
      <c r="K103" s="235">
        <f t="shared" si="12"/>
        <v>140.38389165775399</v>
      </c>
      <c r="L103" s="479">
        <v>0</v>
      </c>
      <c r="M103" s="566"/>
      <c r="N103" s="566"/>
      <c r="O103" s="11"/>
    </row>
    <row r="104" spans="1:15" ht="15" customHeight="1">
      <c r="B104" s="173">
        <f t="shared" ref="B104:B135" si="20">B103+1</f>
        <v>80</v>
      </c>
      <c r="C104" s="176"/>
      <c r="D104" s="174">
        <v>7</v>
      </c>
      <c r="E104" s="168">
        <f t="shared" si="17"/>
        <v>81</v>
      </c>
      <c r="F104" s="286">
        <f t="shared" si="18"/>
        <v>32.700000000000003</v>
      </c>
      <c r="G104" s="175">
        <f t="shared" si="15"/>
        <v>32.302</v>
      </c>
      <c r="H104" s="175" t="str">
        <f t="shared" si="19"/>
        <v>IN</v>
      </c>
      <c r="I104" s="177">
        <f t="shared" si="13"/>
        <v>2655.4119999999994</v>
      </c>
      <c r="J104" s="177">
        <f t="shared" si="11"/>
        <v>8962.1579999999994</v>
      </c>
      <c r="K104" s="235">
        <f t="shared" si="12"/>
        <v>141.06591050878532</v>
      </c>
      <c r="L104" s="479">
        <v>0</v>
      </c>
      <c r="M104" s="566"/>
      <c r="N104" s="566"/>
      <c r="O104" s="11"/>
    </row>
    <row r="105" spans="1:15" ht="15" customHeight="1">
      <c r="B105" s="173">
        <f t="shared" si="20"/>
        <v>81</v>
      </c>
      <c r="C105" s="176"/>
      <c r="D105" s="174">
        <v>7</v>
      </c>
      <c r="E105" s="168">
        <f t="shared" si="17"/>
        <v>82</v>
      </c>
      <c r="F105" s="286">
        <f t="shared" si="18"/>
        <v>33</v>
      </c>
      <c r="G105" s="175">
        <f t="shared" si="15"/>
        <v>32.601999999999997</v>
      </c>
      <c r="H105" s="175" t="str">
        <f t="shared" si="19"/>
        <v>IN</v>
      </c>
      <c r="I105" s="177">
        <f t="shared" si="13"/>
        <v>2688.0139999999992</v>
      </c>
      <c r="J105" s="177">
        <f t="shared" si="11"/>
        <v>8929.5560000000005</v>
      </c>
      <c r="K105" s="235">
        <f t="shared" si="12"/>
        <v>141.75426350802138</v>
      </c>
      <c r="L105" s="479">
        <v>0</v>
      </c>
      <c r="M105" s="566"/>
      <c r="N105" s="566"/>
      <c r="O105" s="11"/>
    </row>
    <row r="106" spans="1:15" ht="15" customHeight="1">
      <c r="B106" s="173">
        <f t="shared" si="20"/>
        <v>82</v>
      </c>
      <c r="C106" s="176"/>
      <c r="D106" s="174">
        <v>7</v>
      </c>
      <c r="E106" s="168">
        <f t="shared" si="17"/>
        <v>83</v>
      </c>
      <c r="F106" s="286">
        <f t="shared" si="18"/>
        <v>33.049999999999997</v>
      </c>
      <c r="G106" s="175">
        <f t="shared" si="15"/>
        <v>32.651999999999994</v>
      </c>
      <c r="H106" s="175" t="str">
        <f t="shared" si="19"/>
        <v>IN</v>
      </c>
      <c r="I106" s="177">
        <f t="shared" si="13"/>
        <v>2720.6659999999993</v>
      </c>
      <c r="J106" s="177">
        <f t="shared" si="11"/>
        <v>8896.9040000000005</v>
      </c>
      <c r="K106" s="235">
        <f t="shared" si="12"/>
        <v>142.44367219862488</v>
      </c>
      <c r="L106" s="479">
        <v>0</v>
      </c>
      <c r="M106" s="566"/>
      <c r="N106" s="566"/>
      <c r="O106" s="11"/>
    </row>
    <row r="107" spans="1:15" ht="15" customHeight="1">
      <c r="B107" s="173">
        <f t="shared" si="20"/>
        <v>83</v>
      </c>
      <c r="C107" s="176"/>
      <c r="D107" s="174">
        <v>7</v>
      </c>
      <c r="E107" s="168">
        <f t="shared" si="17"/>
        <v>84</v>
      </c>
      <c r="F107" s="286">
        <f t="shared" si="18"/>
        <v>31.19</v>
      </c>
      <c r="G107" s="175">
        <f t="shared" si="15"/>
        <v>30.792000000000002</v>
      </c>
      <c r="H107" s="175" t="str">
        <f t="shared" si="19"/>
        <v>IN</v>
      </c>
      <c r="I107" s="177">
        <f t="shared" si="13"/>
        <v>2751.4579999999992</v>
      </c>
      <c r="J107" s="177">
        <f t="shared" si="11"/>
        <v>8866.112000000001</v>
      </c>
      <c r="K107" s="235">
        <f t="shared" si="12"/>
        <v>143.09380917035904</v>
      </c>
      <c r="L107" s="479">
        <v>0</v>
      </c>
      <c r="M107" s="566"/>
      <c r="N107" s="566"/>
      <c r="O107" s="11"/>
    </row>
    <row r="108" spans="1:15" ht="15" customHeight="1">
      <c r="B108" s="173">
        <f t="shared" si="20"/>
        <v>84</v>
      </c>
      <c r="C108" s="176"/>
      <c r="D108" s="174">
        <v>7</v>
      </c>
      <c r="E108" s="168">
        <f t="shared" si="17"/>
        <v>85</v>
      </c>
      <c r="F108" s="286">
        <f t="shared" si="18"/>
        <v>33</v>
      </c>
      <c r="G108" s="175">
        <f t="shared" si="15"/>
        <v>32.601999999999997</v>
      </c>
      <c r="H108" s="175" t="str">
        <f t="shared" si="19"/>
        <v>IN</v>
      </c>
      <c r="I108" s="177">
        <f t="shared" si="13"/>
        <v>2784.059999999999</v>
      </c>
      <c r="J108" s="177">
        <f t="shared" si="11"/>
        <v>8833.51</v>
      </c>
      <c r="K108" s="235">
        <f t="shared" si="12"/>
        <v>143.7821621695951</v>
      </c>
      <c r="L108" s="479">
        <v>0</v>
      </c>
      <c r="M108" s="566"/>
      <c r="N108" s="566"/>
      <c r="O108" s="11"/>
    </row>
    <row r="109" spans="1:15" ht="15" customHeight="1">
      <c r="B109" s="173">
        <f t="shared" si="20"/>
        <v>85</v>
      </c>
      <c r="C109" s="176"/>
      <c r="D109" s="174">
        <v>7</v>
      </c>
      <c r="E109" s="168">
        <f t="shared" si="17"/>
        <v>86</v>
      </c>
      <c r="F109" s="286">
        <f t="shared" si="18"/>
        <v>33.07</v>
      </c>
      <c r="G109" s="175">
        <f t="shared" si="15"/>
        <v>32.671999999999997</v>
      </c>
      <c r="H109" s="175" t="str">
        <f t="shared" si="19"/>
        <v>IN</v>
      </c>
      <c r="I109" s="177">
        <f t="shared" si="13"/>
        <v>2816.7319999999991</v>
      </c>
      <c r="J109" s="177">
        <f t="shared" si="11"/>
        <v>8800.8379999999997</v>
      </c>
      <c r="K109" s="235">
        <f t="shared" si="12"/>
        <v>144.4719931367456</v>
      </c>
      <c r="L109" s="479">
        <v>0</v>
      </c>
      <c r="M109" s="566"/>
      <c r="N109" s="566"/>
      <c r="O109" s="11"/>
    </row>
    <row r="110" spans="1:15" ht="15" customHeight="1">
      <c r="B110" s="173">
        <f t="shared" si="20"/>
        <v>86</v>
      </c>
      <c r="C110" s="176"/>
      <c r="D110" s="174">
        <v>7</v>
      </c>
      <c r="E110" s="168">
        <f t="shared" si="17"/>
        <v>87</v>
      </c>
      <c r="F110" s="286">
        <f t="shared" si="18"/>
        <v>32.700000000000003</v>
      </c>
      <c r="G110" s="175">
        <f t="shared" si="15"/>
        <v>32.302</v>
      </c>
      <c r="H110" s="175" t="str">
        <f t="shared" si="19"/>
        <v>IN</v>
      </c>
      <c r="I110" s="177">
        <f t="shared" si="13"/>
        <v>2849.0339999999992</v>
      </c>
      <c r="J110" s="177">
        <f t="shared" si="11"/>
        <v>8768.5360000000001</v>
      </c>
      <c r="K110" s="235">
        <f t="shared" si="12"/>
        <v>145.15401198777693</v>
      </c>
      <c r="L110" s="479">
        <v>0</v>
      </c>
      <c r="M110" s="566"/>
      <c r="N110" s="566"/>
      <c r="O110" s="11"/>
    </row>
    <row r="111" spans="1:15" ht="15" customHeight="1">
      <c r="B111" s="173">
        <f t="shared" si="20"/>
        <v>87</v>
      </c>
      <c r="C111" s="173"/>
      <c r="D111" s="174">
        <v>7</v>
      </c>
      <c r="E111" s="168">
        <f t="shared" si="17"/>
        <v>88</v>
      </c>
      <c r="F111" s="286">
        <f t="shared" si="18"/>
        <v>32.909999999999997</v>
      </c>
      <c r="G111" s="175">
        <f t="shared" si="15"/>
        <v>32.511999999999993</v>
      </c>
      <c r="H111" s="175" t="str">
        <f t="shared" si="19"/>
        <v>IN</v>
      </c>
      <c r="I111" s="177">
        <f t="shared" si="13"/>
        <v>2881.5459999999994</v>
      </c>
      <c r="J111" s="177">
        <f t="shared" si="11"/>
        <v>8736.0240000000013</v>
      </c>
      <c r="K111" s="235">
        <f t="shared" si="12"/>
        <v>145.84046474255155</v>
      </c>
      <c r="L111" s="479">
        <v>0</v>
      </c>
      <c r="M111" s="566"/>
      <c r="N111" s="566"/>
      <c r="O111" s="11"/>
    </row>
    <row r="112" spans="1:15" ht="15" customHeight="1">
      <c r="B112" s="173">
        <f t="shared" si="20"/>
        <v>88</v>
      </c>
      <c r="C112" s="173"/>
      <c r="D112" s="174">
        <v>7</v>
      </c>
      <c r="E112" s="168">
        <f t="shared" si="17"/>
        <v>89</v>
      </c>
      <c r="F112" s="286">
        <f t="shared" si="18"/>
        <v>33.47</v>
      </c>
      <c r="G112" s="175">
        <f t="shared" si="15"/>
        <v>33.071999999999996</v>
      </c>
      <c r="H112" s="175" t="str">
        <f t="shared" si="19"/>
        <v>IN</v>
      </c>
      <c r="I112" s="177">
        <f t="shared" si="13"/>
        <v>2914.6179999999995</v>
      </c>
      <c r="J112" s="177">
        <f t="shared" si="11"/>
        <v>8702.9520000000011</v>
      </c>
      <c r="K112" s="235">
        <f t="shared" si="12"/>
        <v>146.53874124064168</v>
      </c>
      <c r="L112" s="479">
        <v>0</v>
      </c>
      <c r="M112" s="566"/>
      <c r="N112" s="566"/>
      <c r="O112" s="11"/>
    </row>
    <row r="113" spans="2:15" ht="13.35" customHeight="1">
      <c r="B113" s="173">
        <f t="shared" si="20"/>
        <v>89</v>
      </c>
      <c r="C113" s="173"/>
      <c r="D113" s="174">
        <v>7</v>
      </c>
      <c r="E113" s="168">
        <f t="shared" si="17"/>
        <v>90</v>
      </c>
      <c r="F113" s="286">
        <f t="shared" si="18"/>
        <v>32.97</v>
      </c>
      <c r="G113" s="175">
        <f t="shared" si="15"/>
        <v>32.571999999999996</v>
      </c>
      <c r="H113" s="175" t="str">
        <f t="shared" si="19"/>
        <v>IN</v>
      </c>
      <c r="I113" s="177">
        <f t="shared" si="13"/>
        <v>2947.1899999999996</v>
      </c>
      <c r="J113" s="177">
        <f t="shared" si="11"/>
        <v>8670.380000000001</v>
      </c>
      <c r="K113" s="235">
        <f t="shared" si="12"/>
        <v>147.2264608250573</v>
      </c>
      <c r="L113" s="479">
        <v>0</v>
      </c>
      <c r="M113" s="566"/>
      <c r="N113" s="566"/>
      <c r="O113" s="11"/>
    </row>
    <row r="114" spans="2:15" ht="13.35" customHeight="1">
      <c r="B114" s="173">
        <f t="shared" si="20"/>
        <v>90</v>
      </c>
      <c r="C114" s="173"/>
      <c r="D114" s="174">
        <v>7</v>
      </c>
      <c r="E114" s="168">
        <f t="shared" si="17"/>
        <v>91</v>
      </c>
      <c r="F114" s="286">
        <f t="shared" si="18"/>
        <v>33.479999999999997</v>
      </c>
      <c r="G114" s="175">
        <f t="shared" si="15"/>
        <v>33.081999999999994</v>
      </c>
      <c r="H114" s="175" t="str">
        <f t="shared" si="19"/>
        <v>IN</v>
      </c>
      <c r="I114" s="177">
        <f t="shared" si="13"/>
        <v>2980.2719999999995</v>
      </c>
      <c r="J114" s="177">
        <f t="shared" si="11"/>
        <v>8637.2980000000007</v>
      </c>
      <c r="K114" s="235">
        <f t="shared" si="12"/>
        <v>147.92494846142091</v>
      </c>
      <c r="L114" s="479">
        <v>0</v>
      </c>
      <c r="M114" s="566"/>
      <c r="N114" s="566"/>
      <c r="O114" s="11"/>
    </row>
    <row r="115" spans="2:15" ht="13.35" customHeight="1">
      <c r="B115" s="173">
        <f t="shared" si="20"/>
        <v>91</v>
      </c>
      <c r="C115" s="173"/>
      <c r="D115" s="174">
        <v>7</v>
      </c>
      <c r="E115" s="168">
        <f t="shared" si="17"/>
        <v>92</v>
      </c>
      <c r="F115" s="286">
        <f t="shared" si="18"/>
        <v>33.270000000000003</v>
      </c>
      <c r="G115" s="175">
        <f t="shared" si="15"/>
        <v>32.872</v>
      </c>
      <c r="H115" s="175" t="str">
        <f t="shared" si="19"/>
        <v>IN</v>
      </c>
      <c r="I115" s="177">
        <f t="shared" si="13"/>
        <v>3013.1439999999993</v>
      </c>
      <c r="J115" s="177">
        <f t="shared" si="11"/>
        <v>8604.4259999999995</v>
      </c>
      <c r="K115" s="235">
        <f t="shared" si="12"/>
        <v>148.61900219404123</v>
      </c>
      <c r="L115" s="479">
        <v>0</v>
      </c>
      <c r="M115" s="566"/>
      <c r="N115" s="566"/>
      <c r="O115" s="11"/>
    </row>
    <row r="116" spans="2:15" ht="13.35" customHeight="1">
      <c r="B116" s="173">
        <f t="shared" si="20"/>
        <v>92</v>
      </c>
      <c r="C116" s="173"/>
      <c r="D116" s="174">
        <v>7</v>
      </c>
      <c r="E116" s="168">
        <f t="shared" si="17"/>
        <v>93</v>
      </c>
      <c r="F116" s="286">
        <f t="shared" si="18"/>
        <v>33.39</v>
      </c>
      <c r="G116" s="175">
        <f t="shared" si="15"/>
        <v>32.991999999999997</v>
      </c>
      <c r="H116" s="175" t="s">
        <v>131</v>
      </c>
      <c r="I116" s="175">
        <f t="shared" si="13"/>
        <v>3046.1359999999995</v>
      </c>
      <c r="J116" s="175">
        <f t="shared" si="11"/>
        <v>8571.4340000000011</v>
      </c>
      <c r="K116" s="262">
        <f t="shared" si="12"/>
        <v>149.31558958594348</v>
      </c>
      <c r="L116" s="479">
        <v>0</v>
      </c>
      <c r="M116" s="567"/>
      <c r="N116" s="567"/>
      <c r="O116" s="11"/>
    </row>
    <row r="117" spans="2:15" ht="13.35" customHeight="1">
      <c r="B117" s="173">
        <f t="shared" si="20"/>
        <v>93</v>
      </c>
      <c r="C117" s="176"/>
      <c r="D117" s="174">
        <v>7</v>
      </c>
      <c r="E117" s="168">
        <f t="shared" si="17"/>
        <v>94</v>
      </c>
      <c r="F117" s="286">
        <f t="shared" si="18"/>
        <v>33.42</v>
      </c>
      <c r="G117" s="175">
        <f t="shared" si="15"/>
        <v>33.021999999999998</v>
      </c>
      <c r="H117" s="175" t="str">
        <f t="shared" ref="H117:H140" si="21">IF(F117="","OUT","IN")</f>
        <v>IN</v>
      </c>
      <c r="I117" s="177">
        <f t="shared" si="13"/>
        <v>3079.1579999999994</v>
      </c>
      <c r="J117" s="177">
        <f t="shared" si="11"/>
        <v>8538.4120000000003</v>
      </c>
      <c r="K117" s="235">
        <f t="shared" si="12"/>
        <v>150.01281039266615</v>
      </c>
      <c r="L117" s="479">
        <v>0</v>
      </c>
      <c r="M117" s="566"/>
      <c r="N117" s="566"/>
      <c r="O117" s="11"/>
    </row>
    <row r="118" spans="2:15" ht="13.35" customHeight="1">
      <c r="B118" s="173">
        <f t="shared" si="20"/>
        <v>94</v>
      </c>
      <c r="C118" s="176"/>
      <c r="D118" s="174">
        <v>7</v>
      </c>
      <c r="E118" s="168">
        <f t="shared" si="17"/>
        <v>95</v>
      </c>
      <c r="F118" s="286">
        <f t="shared" si="18"/>
        <v>33.57</v>
      </c>
      <c r="G118" s="175">
        <f t="shared" si="15"/>
        <v>33.171999999999997</v>
      </c>
      <c r="H118" s="175" t="str">
        <f t="shared" si="21"/>
        <v>IN</v>
      </c>
      <c r="I118" s="177">
        <f t="shared" si="13"/>
        <v>3112.3299999999995</v>
      </c>
      <c r="J118" s="177">
        <f t="shared" si="11"/>
        <v>8505.24</v>
      </c>
      <c r="K118" s="235">
        <f t="shared" si="12"/>
        <v>150.7131982734912</v>
      </c>
      <c r="L118" s="479">
        <v>0</v>
      </c>
      <c r="M118" s="566"/>
      <c r="N118" s="566"/>
      <c r="O118" s="11"/>
    </row>
    <row r="119" spans="2:15" ht="13.35" customHeight="1">
      <c r="B119" s="173">
        <f t="shared" si="20"/>
        <v>95</v>
      </c>
      <c r="C119" s="176"/>
      <c r="D119" s="174">
        <v>7</v>
      </c>
      <c r="E119" s="168">
        <f t="shared" si="17"/>
        <v>96</v>
      </c>
      <c r="F119" s="286">
        <f t="shared" si="18"/>
        <v>33.39</v>
      </c>
      <c r="G119" s="175">
        <f t="shared" si="15"/>
        <v>32.991999999999997</v>
      </c>
      <c r="H119" s="175" t="str">
        <f t="shared" si="21"/>
        <v>IN</v>
      </c>
      <c r="I119" s="177">
        <f t="shared" si="13"/>
        <v>3145.3219999999997</v>
      </c>
      <c r="J119" s="177">
        <f t="shared" si="11"/>
        <v>8472.2479999999996</v>
      </c>
      <c r="K119" s="235">
        <f t="shared" si="12"/>
        <v>151.40978566539343</v>
      </c>
      <c r="L119" s="479">
        <v>0</v>
      </c>
      <c r="M119" s="566"/>
      <c r="N119" s="566"/>
      <c r="O119" s="11"/>
    </row>
    <row r="120" spans="2:15" ht="13.35" customHeight="1">
      <c r="B120" s="173">
        <f t="shared" si="20"/>
        <v>96</v>
      </c>
      <c r="C120" s="176"/>
      <c r="D120" s="174">
        <v>7</v>
      </c>
      <c r="E120" s="168">
        <f t="shared" si="17"/>
        <v>97</v>
      </c>
      <c r="F120" s="286">
        <f t="shared" si="18"/>
        <v>33.39</v>
      </c>
      <c r="G120" s="175">
        <f t="shared" si="15"/>
        <v>32.991999999999997</v>
      </c>
      <c r="H120" s="175" t="str">
        <f t="shared" si="21"/>
        <v>IN</v>
      </c>
      <c r="I120" s="177">
        <f t="shared" si="13"/>
        <v>3178.3139999999999</v>
      </c>
      <c r="J120" s="177">
        <f t="shared" si="11"/>
        <v>8439.2559999999994</v>
      </c>
      <c r="K120" s="235">
        <f t="shared" si="12"/>
        <v>152.10637305729563</v>
      </c>
      <c r="L120" s="479">
        <v>0</v>
      </c>
      <c r="M120" s="566"/>
      <c r="N120" s="566"/>
      <c r="O120" s="11"/>
    </row>
    <row r="121" spans="2:15" ht="15" customHeight="1">
      <c r="B121" s="173">
        <f t="shared" si="20"/>
        <v>97</v>
      </c>
      <c r="C121" s="176"/>
      <c r="D121" s="174">
        <v>7</v>
      </c>
      <c r="E121" s="168">
        <f t="shared" si="17"/>
        <v>98</v>
      </c>
      <c r="F121" s="286">
        <f t="shared" si="18"/>
        <v>33.32</v>
      </c>
      <c r="G121" s="175">
        <f t="shared" si="15"/>
        <v>32.921999999999997</v>
      </c>
      <c r="H121" s="175" t="str">
        <f t="shared" si="21"/>
        <v>IN</v>
      </c>
      <c r="I121" s="177">
        <f t="shared" si="13"/>
        <v>3211.2359999999999</v>
      </c>
      <c r="J121" s="177">
        <f t="shared" si="11"/>
        <v>8406.3339999999989</v>
      </c>
      <c r="K121" s="235">
        <f t="shared" si="12"/>
        <v>152.80148248128341</v>
      </c>
      <c r="L121" s="479">
        <v>0</v>
      </c>
      <c r="M121" s="566"/>
      <c r="N121" s="566"/>
      <c r="O121" s="11"/>
    </row>
    <row r="122" spans="2:15" ht="15" customHeight="1">
      <c r="B122" s="173">
        <f t="shared" si="20"/>
        <v>98</v>
      </c>
      <c r="C122" s="176"/>
      <c r="D122" s="174">
        <v>7</v>
      </c>
      <c r="E122" s="168">
        <f t="shared" si="17"/>
        <v>99</v>
      </c>
      <c r="F122" s="286">
        <f t="shared" si="18"/>
        <v>32.700000000000003</v>
      </c>
      <c r="G122" s="175">
        <f t="shared" si="15"/>
        <v>32.302</v>
      </c>
      <c r="H122" s="175" t="str">
        <f t="shared" si="21"/>
        <v>IN</v>
      </c>
      <c r="I122" s="177">
        <f t="shared" si="13"/>
        <v>3243.538</v>
      </c>
      <c r="J122" s="177">
        <f t="shared" si="11"/>
        <v>8374.0319999999992</v>
      </c>
      <c r="K122" s="235">
        <f t="shared" si="12"/>
        <v>153.48350133231475</v>
      </c>
      <c r="L122" s="479">
        <v>0</v>
      </c>
      <c r="M122" s="566"/>
      <c r="N122" s="566"/>
      <c r="O122" s="11"/>
    </row>
    <row r="123" spans="2:15" ht="15" customHeight="1">
      <c r="B123" s="173">
        <f t="shared" si="20"/>
        <v>99</v>
      </c>
      <c r="C123" s="176"/>
      <c r="D123" s="174">
        <v>7</v>
      </c>
      <c r="E123" s="168">
        <f t="shared" si="17"/>
        <v>100</v>
      </c>
      <c r="F123" s="286">
        <f t="shared" si="18"/>
        <v>33.409999999999997</v>
      </c>
      <c r="G123" s="175">
        <f t="shared" si="15"/>
        <v>33.011999999999993</v>
      </c>
      <c r="H123" s="175" t="str">
        <f t="shared" si="21"/>
        <v>IN</v>
      </c>
      <c r="I123" s="177">
        <f t="shared" si="13"/>
        <v>3276.55</v>
      </c>
      <c r="J123" s="177">
        <f t="shared" si="11"/>
        <v>8341.02</v>
      </c>
      <c r="K123" s="235">
        <f t="shared" si="12"/>
        <v>154.18051100076394</v>
      </c>
      <c r="L123" s="479">
        <v>0</v>
      </c>
      <c r="M123" s="566"/>
      <c r="N123" s="566"/>
      <c r="O123" s="11"/>
    </row>
    <row r="124" spans="2:15" ht="15" customHeight="1">
      <c r="B124" s="173">
        <f t="shared" si="20"/>
        <v>100</v>
      </c>
      <c r="C124" s="176"/>
      <c r="D124" s="174">
        <v>7</v>
      </c>
      <c r="E124" s="168">
        <f t="shared" si="17"/>
        <v>101</v>
      </c>
      <c r="F124" s="286">
        <f t="shared" si="18"/>
        <v>33.409999999999997</v>
      </c>
      <c r="G124" s="175">
        <f t="shared" si="15"/>
        <v>33.011999999999993</v>
      </c>
      <c r="H124" s="175" t="str">
        <f t="shared" si="21"/>
        <v>IN</v>
      </c>
      <c r="I124" s="177">
        <f t="shared" si="13"/>
        <v>3309.5620000000004</v>
      </c>
      <c r="J124" s="177">
        <f t="shared" si="11"/>
        <v>8308.0079999999998</v>
      </c>
      <c r="K124" s="235">
        <f t="shared" si="12"/>
        <v>154.87752066921314</v>
      </c>
      <c r="L124" s="479">
        <v>0</v>
      </c>
      <c r="M124" s="566"/>
      <c r="N124" s="566"/>
      <c r="O124" s="11"/>
    </row>
    <row r="125" spans="2:15" ht="15" customHeight="1">
      <c r="B125" s="173">
        <f t="shared" si="20"/>
        <v>101</v>
      </c>
      <c r="C125" s="176"/>
      <c r="D125" s="174">
        <v>7</v>
      </c>
      <c r="E125" s="168">
        <f t="shared" si="17"/>
        <v>102</v>
      </c>
      <c r="F125" s="286">
        <f t="shared" si="18"/>
        <v>33.07</v>
      </c>
      <c r="G125" s="175">
        <f t="shared" si="15"/>
        <v>32.671999999999997</v>
      </c>
      <c r="H125" s="175" t="str">
        <f t="shared" si="21"/>
        <v>IN</v>
      </c>
      <c r="I125" s="177">
        <f t="shared" si="13"/>
        <v>3342.2340000000004</v>
      </c>
      <c r="J125" s="177">
        <f t="shared" si="11"/>
        <v>8275.3359999999993</v>
      </c>
      <c r="K125" s="235">
        <f t="shared" si="12"/>
        <v>155.56735163636364</v>
      </c>
      <c r="L125" s="479">
        <v>0</v>
      </c>
      <c r="M125" s="566"/>
      <c r="N125" s="566"/>
      <c r="O125" s="11"/>
    </row>
    <row r="126" spans="2:15" ht="15" customHeight="1">
      <c r="B126" s="173">
        <f t="shared" si="20"/>
        <v>102</v>
      </c>
      <c r="C126" s="173"/>
      <c r="D126" s="174">
        <v>7</v>
      </c>
      <c r="E126" s="168">
        <f t="shared" si="17"/>
        <v>103</v>
      </c>
      <c r="F126" s="286">
        <f t="shared" si="18"/>
        <v>33.72</v>
      </c>
      <c r="G126" s="175">
        <f t="shared" si="15"/>
        <v>33.321999999999996</v>
      </c>
      <c r="H126" s="175" t="str">
        <f t="shared" si="21"/>
        <v>IN</v>
      </c>
      <c r="I126" s="177">
        <f t="shared" si="13"/>
        <v>3375.5560000000005</v>
      </c>
      <c r="J126" s="177">
        <f t="shared" si="11"/>
        <v>8242.0139999999992</v>
      </c>
      <c r="K126" s="235">
        <f t="shared" si="12"/>
        <v>156.27090659129107</v>
      </c>
      <c r="L126" s="479">
        <v>0</v>
      </c>
      <c r="M126" s="566"/>
      <c r="N126" s="566"/>
      <c r="O126" s="11"/>
    </row>
    <row r="127" spans="2:15" ht="15" customHeight="1">
      <c r="B127" s="173">
        <f t="shared" si="20"/>
        <v>103</v>
      </c>
      <c r="C127" s="173"/>
      <c r="D127" s="174">
        <v>7</v>
      </c>
      <c r="E127" s="168">
        <f t="shared" si="17"/>
        <v>104</v>
      </c>
      <c r="F127" s="286">
        <f t="shared" si="18"/>
        <v>33.26</v>
      </c>
      <c r="G127" s="175">
        <f t="shared" si="15"/>
        <v>32.861999999999995</v>
      </c>
      <c r="H127" s="175" t="str">
        <f t="shared" si="21"/>
        <v>IN</v>
      </c>
      <c r="I127" s="177">
        <f t="shared" si="13"/>
        <v>3408.4180000000006</v>
      </c>
      <c r="J127" s="177">
        <f t="shared" si="11"/>
        <v>8209.1519999999982</v>
      </c>
      <c r="K127" s="235">
        <f t="shared" si="12"/>
        <v>156.96474918563791</v>
      </c>
      <c r="L127" s="479">
        <v>0</v>
      </c>
      <c r="M127" s="567"/>
      <c r="N127" s="567"/>
      <c r="O127" s="11"/>
    </row>
    <row r="128" spans="2:15" ht="15" customHeight="1">
      <c r="B128" s="173">
        <f t="shared" si="20"/>
        <v>104</v>
      </c>
      <c r="C128" s="173"/>
      <c r="D128" s="174">
        <v>7</v>
      </c>
      <c r="E128" s="168">
        <f t="shared" si="17"/>
        <v>105</v>
      </c>
      <c r="F128" s="286">
        <f t="shared" si="18"/>
        <v>33.090000000000003</v>
      </c>
      <c r="G128" s="175">
        <f t="shared" si="15"/>
        <v>32.692</v>
      </c>
      <c r="H128" s="175" t="str">
        <f t="shared" si="21"/>
        <v>IN</v>
      </c>
      <c r="I128" s="177">
        <f t="shared" si="13"/>
        <v>3441.1100000000006</v>
      </c>
      <c r="J128" s="177">
        <f t="shared" si="11"/>
        <v>8176.4599999999991</v>
      </c>
      <c r="K128" s="235">
        <f t="shared" si="12"/>
        <v>157.65500242933541</v>
      </c>
      <c r="L128" s="479">
        <v>0</v>
      </c>
      <c r="M128" s="567"/>
      <c r="N128" s="567"/>
      <c r="O128" s="11"/>
    </row>
    <row r="129" spans="2:15" ht="15" customHeight="1">
      <c r="B129" s="173">
        <f t="shared" si="20"/>
        <v>105</v>
      </c>
      <c r="C129" s="173"/>
      <c r="D129" s="174">
        <v>7</v>
      </c>
      <c r="E129" s="168">
        <f t="shared" si="17"/>
        <v>106</v>
      </c>
      <c r="F129" s="286">
        <f t="shared" si="18"/>
        <v>33.21</v>
      </c>
      <c r="G129" s="175">
        <f t="shared" si="15"/>
        <v>32.811999999999998</v>
      </c>
      <c r="H129" s="175" t="str">
        <f t="shared" si="21"/>
        <v>IN</v>
      </c>
      <c r="I129" s="177">
        <f t="shared" si="13"/>
        <v>3473.9220000000005</v>
      </c>
      <c r="J129" s="177">
        <f t="shared" si="11"/>
        <v>8143.6479999999992</v>
      </c>
      <c r="K129" s="235">
        <f t="shared" si="12"/>
        <v>158.34778933231476</v>
      </c>
      <c r="L129" s="479">
        <v>0</v>
      </c>
      <c r="M129" s="567"/>
      <c r="N129" s="567"/>
      <c r="O129" s="11"/>
    </row>
    <row r="130" spans="2:15" ht="15" customHeight="1">
      <c r="B130" s="173">
        <f t="shared" si="20"/>
        <v>106</v>
      </c>
      <c r="C130" s="173"/>
      <c r="D130" s="174">
        <v>7</v>
      </c>
      <c r="E130" s="168">
        <f t="shared" si="17"/>
        <v>107</v>
      </c>
      <c r="F130" s="286">
        <f t="shared" si="18"/>
        <v>33.049999999999997</v>
      </c>
      <c r="G130" s="175">
        <f t="shared" si="15"/>
        <v>32.651999999999994</v>
      </c>
      <c r="H130" s="175" t="str">
        <f t="shared" si="21"/>
        <v>IN</v>
      </c>
      <c r="I130" s="177">
        <f t="shared" si="13"/>
        <v>3506.5740000000005</v>
      </c>
      <c r="J130" s="177">
        <f t="shared" si="11"/>
        <v>8110.9959999999992</v>
      </c>
      <c r="K130" s="235">
        <f t="shared" si="12"/>
        <v>159.03719802291826</v>
      </c>
      <c r="L130" s="479">
        <v>0</v>
      </c>
      <c r="M130" s="567"/>
      <c r="N130" s="567"/>
      <c r="O130" s="11"/>
    </row>
    <row r="131" spans="2:15" ht="15" customHeight="1">
      <c r="B131" s="173">
        <f t="shared" si="20"/>
        <v>107</v>
      </c>
      <c r="C131" s="176"/>
      <c r="D131" s="174">
        <v>7</v>
      </c>
      <c r="E131" s="168">
        <f t="shared" si="17"/>
        <v>108</v>
      </c>
      <c r="F131" s="286">
        <f t="shared" si="18"/>
        <v>32.700000000000003</v>
      </c>
      <c r="G131" s="175">
        <f t="shared" si="15"/>
        <v>32.302</v>
      </c>
      <c r="H131" s="175" t="str">
        <f t="shared" si="21"/>
        <v>IN</v>
      </c>
      <c r="I131" s="177">
        <f t="shared" si="13"/>
        <v>3538.8760000000007</v>
      </c>
      <c r="J131" s="177">
        <f t="shared" si="11"/>
        <v>8078.6939999999995</v>
      </c>
      <c r="K131" s="235">
        <f t="shared" si="12"/>
        <v>159.71921687394959</v>
      </c>
      <c r="L131" s="479">
        <v>0</v>
      </c>
      <c r="M131" s="567"/>
      <c r="N131" s="567"/>
      <c r="O131" s="11"/>
    </row>
    <row r="132" spans="2:15" ht="15" customHeight="1">
      <c r="B132" s="173">
        <f t="shared" si="20"/>
        <v>108</v>
      </c>
      <c r="C132" s="176"/>
      <c r="D132" s="174">
        <v>7</v>
      </c>
      <c r="E132" s="168">
        <f t="shared" si="17"/>
        <v>109</v>
      </c>
      <c r="F132" s="286">
        <f t="shared" si="18"/>
        <v>32.880000000000003</v>
      </c>
      <c r="G132" s="175">
        <f t="shared" si="15"/>
        <v>32.481999999999999</v>
      </c>
      <c r="H132" s="175" t="str">
        <f t="shared" si="21"/>
        <v>IN</v>
      </c>
      <c r="I132" s="177">
        <f t="shared" si="13"/>
        <v>3571.3580000000006</v>
      </c>
      <c r="J132" s="177">
        <f t="shared" si="11"/>
        <v>8046.2119999999995</v>
      </c>
      <c r="K132" s="235">
        <f t="shared" si="12"/>
        <v>160.40503621390377</v>
      </c>
      <c r="L132" s="479">
        <v>0</v>
      </c>
      <c r="M132" s="566"/>
      <c r="N132" s="566"/>
      <c r="O132" s="11"/>
    </row>
    <row r="133" spans="2:15" ht="15" customHeight="1">
      <c r="B133" s="173">
        <f t="shared" si="20"/>
        <v>109</v>
      </c>
      <c r="C133" s="176"/>
      <c r="D133" s="174">
        <v>7</v>
      </c>
      <c r="E133" s="168">
        <f t="shared" si="17"/>
        <v>110</v>
      </c>
      <c r="F133" s="286">
        <f t="shared" si="18"/>
        <v>32.909999999999997</v>
      </c>
      <c r="G133" s="175">
        <f t="shared" si="15"/>
        <v>32.511999999999993</v>
      </c>
      <c r="H133" s="175" t="str">
        <f t="shared" si="21"/>
        <v>IN</v>
      </c>
      <c r="I133" s="177">
        <f t="shared" si="13"/>
        <v>3603.8700000000008</v>
      </c>
      <c r="J133" s="177">
        <f t="shared" si="11"/>
        <v>8013.6999999999989</v>
      </c>
      <c r="K133" s="235">
        <f t="shared" si="12"/>
        <v>161.09148896867839</v>
      </c>
      <c r="L133" s="479">
        <v>0</v>
      </c>
      <c r="M133" s="566"/>
      <c r="N133" s="566"/>
      <c r="O133" s="11"/>
    </row>
    <row r="134" spans="2:15" ht="13.35" customHeight="1">
      <c r="B134" s="173">
        <f t="shared" si="20"/>
        <v>110</v>
      </c>
      <c r="C134" s="176"/>
      <c r="D134" s="174">
        <v>7</v>
      </c>
      <c r="E134" s="168">
        <f t="shared" si="17"/>
        <v>111</v>
      </c>
      <c r="F134" s="286">
        <f t="shared" si="18"/>
        <v>32.909999999999997</v>
      </c>
      <c r="G134" s="175">
        <f t="shared" si="15"/>
        <v>32.511999999999993</v>
      </c>
      <c r="H134" s="175" t="str">
        <f t="shared" si="21"/>
        <v>IN</v>
      </c>
      <c r="I134" s="177">
        <f t="shared" si="13"/>
        <v>3636.382000000001</v>
      </c>
      <c r="J134" s="177">
        <f t="shared" si="11"/>
        <v>7981.1879999999983</v>
      </c>
      <c r="K134" s="235">
        <f t="shared" si="12"/>
        <v>161.77794172345304</v>
      </c>
      <c r="L134" s="479">
        <v>0</v>
      </c>
      <c r="M134" s="566"/>
      <c r="N134" s="566"/>
      <c r="O134" s="11"/>
    </row>
    <row r="135" spans="2:15" ht="13.35" customHeight="1">
      <c r="B135" s="173">
        <f t="shared" si="20"/>
        <v>111</v>
      </c>
      <c r="C135" s="176"/>
      <c r="D135" s="174">
        <v>7</v>
      </c>
      <c r="E135" s="168">
        <f t="shared" si="17"/>
        <v>112</v>
      </c>
      <c r="F135" s="286">
        <f t="shared" si="18"/>
        <v>32.99</v>
      </c>
      <c r="G135" s="175">
        <f t="shared" si="15"/>
        <v>32.591999999999999</v>
      </c>
      <c r="H135" s="175" t="str">
        <f t="shared" si="21"/>
        <v>IN</v>
      </c>
      <c r="I135" s="177">
        <f t="shared" si="13"/>
        <v>3668.9740000000011</v>
      </c>
      <c r="J135" s="177">
        <f t="shared" si="11"/>
        <v>7948.5959999999986</v>
      </c>
      <c r="K135" s="235">
        <f t="shared" si="12"/>
        <v>162.46608358441563</v>
      </c>
      <c r="L135" s="479">
        <v>0</v>
      </c>
      <c r="M135" s="566"/>
      <c r="N135" s="566"/>
      <c r="O135" s="11"/>
    </row>
    <row r="136" spans="2:15" ht="15" customHeight="1">
      <c r="B136" s="173">
        <f t="shared" ref="B136:B167" si="22">B135+1</f>
        <v>112</v>
      </c>
      <c r="C136" s="176"/>
      <c r="D136" s="174">
        <v>7</v>
      </c>
      <c r="E136" s="168">
        <f t="shared" si="17"/>
        <v>113</v>
      </c>
      <c r="F136" s="286">
        <f t="shared" si="18"/>
        <v>33.17</v>
      </c>
      <c r="G136" s="175">
        <f t="shared" si="15"/>
        <v>32.771999999999998</v>
      </c>
      <c r="H136" s="175" t="str">
        <f t="shared" si="21"/>
        <v>IN</v>
      </c>
      <c r="I136" s="177">
        <f t="shared" si="13"/>
        <v>3701.746000000001</v>
      </c>
      <c r="J136" s="177">
        <f t="shared" si="11"/>
        <v>7915.8239999999987</v>
      </c>
      <c r="K136" s="235">
        <f t="shared" si="12"/>
        <v>163.15802593430101</v>
      </c>
      <c r="L136" s="479">
        <v>0</v>
      </c>
      <c r="M136" s="566"/>
      <c r="N136" s="566"/>
      <c r="O136" s="11"/>
    </row>
    <row r="137" spans="2:15" ht="15" customHeight="1">
      <c r="B137" s="173">
        <f t="shared" si="22"/>
        <v>113</v>
      </c>
      <c r="C137" s="173"/>
      <c r="D137" s="174">
        <v>7</v>
      </c>
      <c r="E137" s="168">
        <f t="shared" si="17"/>
        <v>114</v>
      </c>
      <c r="F137" s="286">
        <f t="shared" si="18"/>
        <v>32.92</v>
      </c>
      <c r="G137" s="175">
        <f t="shared" si="15"/>
        <v>32.521999999999998</v>
      </c>
      <c r="H137" s="175" t="str">
        <f t="shared" si="21"/>
        <v>IN</v>
      </c>
      <c r="I137" s="177">
        <f t="shared" si="13"/>
        <v>3734.2680000000009</v>
      </c>
      <c r="J137" s="177">
        <f t="shared" si="11"/>
        <v>7883.3019999999988</v>
      </c>
      <c r="K137" s="235">
        <f t="shared" si="12"/>
        <v>163.84468982734916</v>
      </c>
      <c r="L137" s="479">
        <v>0</v>
      </c>
      <c r="M137" s="566"/>
      <c r="N137" s="566"/>
      <c r="O137" s="11"/>
    </row>
    <row r="138" spans="2:15" ht="15" customHeight="1">
      <c r="B138" s="173">
        <f t="shared" si="22"/>
        <v>114</v>
      </c>
      <c r="C138" s="176"/>
      <c r="D138" s="174">
        <v>7</v>
      </c>
      <c r="E138" s="168">
        <f t="shared" si="17"/>
        <v>115</v>
      </c>
      <c r="F138" s="286">
        <f t="shared" si="18"/>
        <v>33.08</v>
      </c>
      <c r="G138" s="175">
        <f t="shared" si="15"/>
        <v>32.681999999999995</v>
      </c>
      <c r="H138" s="175" t="str">
        <f t="shared" si="21"/>
        <v>IN</v>
      </c>
      <c r="I138" s="177">
        <f t="shared" si="13"/>
        <v>3766.9500000000007</v>
      </c>
      <c r="J138" s="177">
        <f t="shared" si="11"/>
        <v>7850.619999999999</v>
      </c>
      <c r="K138" s="235">
        <f t="shared" si="12"/>
        <v>164.53473193277313</v>
      </c>
      <c r="L138" s="479">
        <v>0</v>
      </c>
      <c r="M138" s="567"/>
      <c r="N138" s="567"/>
      <c r="O138" s="11"/>
    </row>
    <row r="139" spans="2:15" ht="15" customHeight="1">
      <c r="B139" s="173">
        <f t="shared" si="22"/>
        <v>115</v>
      </c>
      <c r="C139" s="176"/>
      <c r="D139" s="174">
        <v>7</v>
      </c>
      <c r="E139" s="168">
        <f t="shared" si="17"/>
        <v>116</v>
      </c>
      <c r="F139" s="286">
        <f t="shared" si="18"/>
        <v>33.39</v>
      </c>
      <c r="G139" s="175">
        <f t="shared" si="15"/>
        <v>32.991999999999997</v>
      </c>
      <c r="H139" s="175" t="str">
        <f t="shared" si="21"/>
        <v>IN</v>
      </c>
      <c r="I139" s="177">
        <f t="shared" si="13"/>
        <v>3799.9420000000009</v>
      </c>
      <c r="J139" s="177">
        <f t="shared" si="11"/>
        <v>7817.6279999999988</v>
      </c>
      <c r="K139" s="235">
        <f t="shared" si="12"/>
        <v>165.23131932467535</v>
      </c>
      <c r="L139" s="479">
        <v>0</v>
      </c>
      <c r="M139" s="566"/>
      <c r="N139" s="566"/>
      <c r="O139" s="11"/>
    </row>
    <row r="140" spans="2:15" ht="15" customHeight="1">
      <c r="B140" s="173">
        <f t="shared" si="22"/>
        <v>116</v>
      </c>
      <c r="C140" s="176"/>
      <c r="D140" s="174">
        <v>7</v>
      </c>
      <c r="E140" s="168">
        <f t="shared" si="17"/>
        <v>117</v>
      </c>
      <c r="F140" s="286">
        <f t="shared" si="18"/>
        <v>32.880000000000003</v>
      </c>
      <c r="G140" s="175">
        <f t="shared" si="15"/>
        <v>32.481999999999999</v>
      </c>
      <c r="H140" s="175" t="str">
        <f t="shared" si="21"/>
        <v>IN</v>
      </c>
      <c r="I140" s="177">
        <f t="shared" si="13"/>
        <v>3832.4240000000009</v>
      </c>
      <c r="J140" s="177">
        <f t="shared" si="11"/>
        <v>7785.1459999999988</v>
      </c>
      <c r="K140" s="235">
        <f t="shared" si="12"/>
        <v>165.91713866462953</v>
      </c>
      <c r="L140" s="479">
        <v>0</v>
      </c>
      <c r="M140" s="566"/>
      <c r="N140" s="566"/>
      <c r="O140" s="11"/>
    </row>
    <row r="141" spans="2:15" ht="15" customHeight="1">
      <c r="B141" s="173">
        <f t="shared" si="22"/>
        <v>117</v>
      </c>
      <c r="C141" s="173"/>
      <c r="D141" s="174">
        <v>7</v>
      </c>
      <c r="E141" s="168">
        <f t="shared" si="17"/>
        <v>118</v>
      </c>
      <c r="F141" s="286">
        <f t="shared" si="18"/>
        <v>33.24</v>
      </c>
      <c r="G141" s="175">
        <f t="shared" si="15"/>
        <v>32.841999999999999</v>
      </c>
      <c r="H141" s="175" t="s">
        <v>131</v>
      </c>
      <c r="I141" s="175">
        <f t="shared" si="13"/>
        <v>3865.266000000001</v>
      </c>
      <c r="J141" s="175">
        <f t="shared" si="11"/>
        <v>7752.3039999999983</v>
      </c>
      <c r="K141" s="262">
        <f t="shared" si="12"/>
        <v>166.61055898242935</v>
      </c>
      <c r="L141" s="479">
        <v>0</v>
      </c>
      <c r="M141" s="573"/>
      <c r="N141" s="573"/>
      <c r="O141" s="11"/>
    </row>
    <row r="142" spans="2:15" ht="15" customHeight="1">
      <c r="B142" s="173">
        <f t="shared" si="22"/>
        <v>118</v>
      </c>
      <c r="C142" s="176"/>
      <c r="D142" s="174">
        <v>7</v>
      </c>
      <c r="E142" s="168">
        <f t="shared" si="17"/>
        <v>119</v>
      </c>
      <c r="F142" s="286">
        <f t="shared" si="18"/>
        <v>33.22</v>
      </c>
      <c r="G142" s="175">
        <f t="shared" si="15"/>
        <v>32.821999999999996</v>
      </c>
      <c r="H142" s="175" t="str">
        <f t="shared" ref="H142:H173" si="23">IF(F142="","OUT","IN")</f>
        <v>IN</v>
      </c>
      <c r="I142" s="177">
        <f t="shared" si="13"/>
        <v>3898.0880000000011</v>
      </c>
      <c r="J142" s="177">
        <f t="shared" si="11"/>
        <v>7719.4819999999982</v>
      </c>
      <c r="K142" s="235">
        <f t="shared" si="12"/>
        <v>167.30355702368223</v>
      </c>
      <c r="L142" s="479">
        <v>0</v>
      </c>
      <c r="M142" s="566"/>
      <c r="N142" s="566"/>
      <c r="O142" s="11"/>
    </row>
    <row r="143" spans="2:15" ht="15" customHeight="1">
      <c r="B143" s="173">
        <f t="shared" si="22"/>
        <v>119</v>
      </c>
      <c r="C143" s="176"/>
      <c r="D143" s="174">
        <v>7</v>
      </c>
      <c r="E143" s="168">
        <f t="shared" si="17"/>
        <v>120</v>
      </c>
      <c r="F143" s="286">
        <f t="shared" si="18"/>
        <v>33.130000000000003</v>
      </c>
      <c r="G143" s="175">
        <f t="shared" si="15"/>
        <v>32.731999999999999</v>
      </c>
      <c r="H143" s="175" t="str">
        <f t="shared" si="23"/>
        <v>IN</v>
      </c>
      <c r="I143" s="177">
        <f t="shared" si="13"/>
        <v>3930.8200000000011</v>
      </c>
      <c r="J143" s="177">
        <f t="shared" ref="J143:J206" si="24">IF(I143="","",$M$9-I143)</f>
        <v>7686.7499999999982</v>
      </c>
      <c r="K143" s="235">
        <f t="shared" si="12"/>
        <v>167.99465482047367</v>
      </c>
      <c r="L143" s="479">
        <v>0</v>
      </c>
      <c r="M143" s="566"/>
      <c r="N143" s="566"/>
      <c r="O143" s="11"/>
    </row>
    <row r="144" spans="2:15" ht="15" customHeight="1">
      <c r="B144" s="173">
        <f t="shared" si="22"/>
        <v>120</v>
      </c>
      <c r="C144" s="176"/>
      <c r="D144" s="174">
        <v>7</v>
      </c>
      <c r="E144" s="168">
        <f t="shared" si="17"/>
        <v>121</v>
      </c>
      <c r="F144" s="286">
        <f t="shared" si="18"/>
        <v>32.71</v>
      </c>
      <c r="G144" s="175">
        <f t="shared" si="15"/>
        <v>32.311999999999998</v>
      </c>
      <c r="H144" s="175" t="str">
        <f t="shared" si="23"/>
        <v>IN</v>
      </c>
      <c r="I144" s="177">
        <f t="shared" si="13"/>
        <v>3963.132000000001</v>
      </c>
      <c r="J144" s="177">
        <f t="shared" si="24"/>
        <v>7654.4379999999983</v>
      </c>
      <c r="K144" s="235">
        <f t="shared" ref="K144:K207" si="25">$H$9+(I144*$E$10*$H$11/1000)</f>
        <v>168.67688480977847</v>
      </c>
      <c r="L144" s="479">
        <v>0</v>
      </c>
      <c r="M144" s="566"/>
      <c r="N144" s="566"/>
      <c r="O144" s="11"/>
    </row>
    <row r="145" spans="2:15" ht="15" customHeight="1">
      <c r="B145" s="173">
        <f t="shared" si="22"/>
        <v>121</v>
      </c>
      <c r="C145" s="176"/>
      <c r="D145" s="174">
        <v>7</v>
      </c>
      <c r="E145" s="168">
        <f t="shared" si="17"/>
        <v>122</v>
      </c>
      <c r="F145" s="286">
        <f t="shared" si="18"/>
        <v>33.54</v>
      </c>
      <c r="G145" s="175">
        <f t="shared" si="15"/>
        <v>33.141999999999996</v>
      </c>
      <c r="H145" s="175" t="str">
        <f t="shared" si="23"/>
        <v>IN</v>
      </c>
      <c r="I145" s="177">
        <f t="shared" ref="I145:I208" si="26">IF(H145="IN",I144+G145,I144)</f>
        <v>3996.2740000000008</v>
      </c>
      <c r="J145" s="177">
        <f t="shared" si="24"/>
        <v>7621.2959999999985</v>
      </c>
      <c r="K145" s="235">
        <f t="shared" si="25"/>
        <v>169.37663927578308</v>
      </c>
      <c r="L145" s="479">
        <v>0</v>
      </c>
      <c r="M145" s="566"/>
      <c r="N145" s="566"/>
      <c r="O145" s="11"/>
    </row>
    <row r="146" spans="2:15" ht="15" customHeight="1">
      <c r="B146" s="173">
        <f t="shared" si="22"/>
        <v>122</v>
      </c>
      <c r="C146" s="176"/>
      <c r="D146" s="174">
        <v>7</v>
      </c>
      <c r="E146" s="168">
        <f t="shared" si="17"/>
        <v>123</v>
      </c>
      <c r="F146" s="286">
        <f t="shared" si="18"/>
        <v>31.15</v>
      </c>
      <c r="G146" s="175">
        <f t="shared" si="15"/>
        <v>30.751999999999999</v>
      </c>
      <c r="H146" s="175" t="str">
        <f t="shared" si="23"/>
        <v>IN</v>
      </c>
      <c r="I146" s="177">
        <f t="shared" si="26"/>
        <v>4027.0260000000007</v>
      </c>
      <c r="J146" s="177">
        <f t="shared" si="24"/>
        <v>7590.543999999999</v>
      </c>
      <c r="K146" s="235">
        <f t="shared" si="25"/>
        <v>170.02593169442324</v>
      </c>
      <c r="L146" s="479">
        <v>0</v>
      </c>
      <c r="M146" s="225"/>
      <c r="N146" s="226"/>
      <c r="O146" s="11"/>
    </row>
    <row r="147" spans="2:15" ht="15" customHeight="1">
      <c r="B147" s="173">
        <f t="shared" si="22"/>
        <v>123</v>
      </c>
      <c r="C147" s="176"/>
      <c r="D147" s="174">
        <v>7</v>
      </c>
      <c r="E147" s="168">
        <f t="shared" si="17"/>
        <v>124</v>
      </c>
      <c r="F147" s="286">
        <f t="shared" si="18"/>
        <v>33.299999999999997</v>
      </c>
      <c r="G147" s="175">
        <f t="shared" si="15"/>
        <v>32.901999999999994</v>
      </c>
      <c r="H147" s="175" t="str">
        <f t="shared" si="23"/>
        <v>IN</v>
      </c>
      <c r="I147" s="177">
        <f t="shared" si="26"/>
        <v>4059.9280000000008</v>
      </c>
      <c r="J147" s="177">
        <f t="shared" si="24"/>
        <v>7557.6419999999989</v>
      </c>
      <c r="K147" s="235">
        <f t="shared" si="25"/>
        <v>170.72061884186405</v>
      </c>
      <c r="L147" s="479">
        <v>0</v>
      </c>
      <c r="M147" s="576"/>
      <c r="N147" s="577"/>
      <c r="O147" s="11"/>
    </row>
    <row r="148" spans="2:15" ht="15" customHeight="1">
      <c r="B148" s="173">
        <f t="shared" si="22"/>
        <v>124</v>
      </c>
      <c r="C148" s="176"/>
      <c r="D148" s="174">
        <v>7</v>
      </c>
      <c r="E148" s="168">
        <f t="shared" si="17"/>
        <v>125</v>
      </c>
      <c r="F148" s="286">
        <f t="shared" si="18"/>
        <v>33.5</v>
      </c>
      <c r="G148" s="175">
        <f t="shared" si="15"/>
        <v>33.101999999999997</v>
      </c>
      <c r="H148" s="175" t="str">
        <f t="shared" si="23"/>
        <v>IN</v>
      </c>
      <c r="I148" s="177">
        <f t="shared" si="26"/>
        <v>4093.0300000000007</v>
      </c>
      <c r="J148" s="177">
        <f t="shared" si="24"/>
        <v>7524.5399999999991</v>
      </c>
      <c r="K148" s="235">
        <f t="shared" si="25"/>
        <v>171.41952875477466</v>
      </c>
      <c r="L148" s="479">
        <v>0</v>
      </c>
      <c r="M148" s="578"/>
      <c r="N148" s="579"/>
      <c r="O148" s="11"/>
    </row>
    <row r="149" spans="2:15" ht="15" customHeight="1">
      <c r="B149" s="173">
        <f t="shared" si="22"/>
        <v>125</v>
      </c>
      <c r="C149" s="173"/>
      <c r="D149" s="174">
        <v>7</v>
      </c>
      <c r="E149" s="168">
        <f t="shared" si="17"/>
        <v>126</v>
      </c>
      <c r="F149" s="286">
        <f t="shared" si="18"/>
        <v>33.03</v>
      </c>
      <c r="G149" s="175">
        <f t="shared" si="15"/>
        <v>32.631999999999998</v>
      </c>
      <c r="H149" s="175" t="str">
        <f t="shared" si="23"/>
        <v>IN</v>
      </c>
      <c r="I149" s="177">
        <f t="shared" si="26"/>
        <v>4125.6620000000003</v>
      </c>
      <c r="J149" s="177">
        <f t="shared" si="24"/>
        <v>7491.9079999999994</v>
      </c>
      <c r="K149" s="235">
        <f t="shared" si="25"/>
        <v>172.10851516883116</v>
      </c>
      <c r="L149" s="479">
        <v>0</v>
      </c>
      <c r="M149" s="566"/>
      <c r="N149" s="566"/>
      <c r="O149" s="11"/>
    </row>
    <row r="150" spans="2:15" ht="15" customHeight="1">
      <c r="B150" s="173">
        <f t="shared" si="22"/>
        <v>126</v>
      </c>
      <c r="C150" s="173"/>
      <c r="D150" s="174">
        <v>7</v>
      </c>
      <c r="E150" s="168">
        <f t="shared" si="17"/>
        <v>127</v>
      </c>
      <c r="F150" s="286">
        <f t="shared" si="18"/>
        <v>33.44</v>
      </c>
      <c r="G150" s="175">
        <f t="shared" si="15"/>
        <v>33.041999999999994</v>
      </c>
      <c r="H150" s="175" t="str">
        <f t="shared" si="23"/>
        <v>IN</v>
      </c>
      <c r="I150" s="175">
        <f t="shared" si="26"/>
        <v>4158.7040000000006</v>
      </c>
      <c r="J150" s="175">
        <f t="shared" si="24"/>
        <v>7458.8659999999991</v>
      </c>
      <c r="K150" s="262">
        <f t="shared" si="25"/>
        <v>172.80615825210086</v>
      </c>
      <c r="L150" s="479">
        <v>0</v>
      </c>
      <c r="M150" s="567"/>
      <c r="N150" s="567"/>
      <c r="O150" s="11"/>
    </row>
    <row r="151" spans="2:15" ht="15" customHeight="1">
      <c r="B151" s="173">
        <f t="shared" si="22"/>
        <v>127</v>
      </c>
      <c r="C151" s="173"/>
      <c r="D151" s="174">
        <v>7</v>
      </c>
      <c r="E151" s="168">
        <f t="shared" si="17"/>
        <v>128</v>
      </c>
      <c r="F151" s="286">
        <f t="shared" si="18"/>
        <v>33.33</v>
      </c>
      <c r="G151" s="175">
        <f t="shared" si="15"/>
        <v>32.931999999999995</v>
      </c>
      <c r="H151" s="175" t="str">
        <f t="shared" si="23"/>
        <v>IN</v>
      </c>
      <c r="I151" s="175">
        <f t="shared" si="26"/>
        <v>4191.6360000000004</v>
      </c>
      <c r="J151" s="175">
        <f t="shared" si="24"/>
        <v>7425.9339999999993</v>
      </c>
      <c r="K151" s="262">
        <f t="shared" si="25"/>
        <v>173.50147881436212</v>
      </c>
      <c r="L151" s="479">
        <v>0</v>
      </c>
      <c r="M151" s="567"/>
      <c r="N151" s="567"/>
      <c r="O151" s="11"/>
    </row>
    <row r="152" spans="2:15" ht="15" customHeight="1">
      <c r="B152" s="173">
        <f t="shared" si="22"/>
        <v>128</v>
      </c>
      <c r="C152" s="173"/>
      <c r="D152" s="174">
        <v>7</v>
      </c>
      <c r="E152" s="168">
        <f t="shared" si="17"/>
        <v>129</v>
      </c>
      <c r="F152" s="286">
        <f t="shared" si="18"/>
        <v>33.369999999999997</v>
      </c>
      <c r="G152" s="175">
        <f t="shared" si="15"/>
        <v>32.971999999999994</v>
      </c>
      <c r="H152" s="175" t="str">
        <f t="shared" si="23"/>
        <v>IN</v>
      </c>
      <c r="I152" s="177">
        <f t="shared" si="26"/>
        <v>4224.6080000000002</v>
      </c>
      <c r="J152" s="177">
        <f t="shared" si="24"/>
        <v>7392.9619999999995</v>
      </c>
      <c r="K152" s="235">
        <f t="shared" si="25"/>
        <v>174.19764392971734</v>
      </c>
      <c r="L152" s="479">
        <v>0</v>
      </c>
      <c r="M152" s="566"/>
      <c r="N152" s="566"/>
      <c r="O152" s="11"/>
    </row>
    <row r="153" spans="2:15" ht="15" customHeight="1">
      <c r="B153" s="173">
        <f t="shared" si="22"/>
        <v>129</v>
      </c>
      <c r="C153" s="173"/>
      <c r="D153" s="174">
        <v>7</v>
      </c>
      <c r="E153" s="168">
        <f t="shared" si="17"/>
        <v>130</v>
      </c>
      <c r="F153" s="286">
        <f t="shared" si="18"/>
        <v>33.22</v>
      </c>
      <c r="G153" s="175">
        <f t="shared" ref="G153:G216" si="27">F153-($E$12)</f>
        <v>32.821999999999996</v>
      </c>
      <c r="H153" s="175" t="str">
        <f t="shared" si="23"/>
        <v>IN</v>
      </c>
      <c r="I153" s="177">
        <f t="shared" si="26"/>
        <v>4257.43</v>
      </c>
      <c r="J153" s="177">
        <f t="shared" si="24"/>
        <v>7360.1399999999994</v>
      </c>
      <c r="K153" s="235">
        <f t="shared" si="25"/>
        <v>174.89064197097022</v>
      </c>
      <c r="L153" s="479">
        <v>0</v>
      </c>
      <c r="M153" s="566"/>
      <c r="N153" s="566"/>
      <c r="O153" s="11"/>
    </row>
    <row r="154" spans="2:15" ht="15" customHeight="1">
      <c r="B154" s="173">
        <f t="shared" si="22"/>
        <v>130</v>
      </c>
      <c r="C154" s="173"/>
      <c r="D154" s="174">
        <v>7</v>
      </c>
      <c r="E154" s="168">
        <f t="shared" ref="E154:E217" si="28">E153+1</f>
        <v>131</v>
      </c>
      <c r="F154" s="286">
        <f t="shared" si="18"/>
        <v>33.299999999999997</v>
      </c>
      <c r="G154" s="175">
        <f t="shared" si="27"/>
        <v>32.901999999999994</v>
      </c>
      <c r="H154" s="175" t="str">
        <f t="shared" si="23"/>
        <v>IN</v>
      </c>
      <c r="I154" s="177">
        <f t="shared" si="26"/>
        <v>4290.3320000000003</v>
      </c>
      <c r="J154" s="177">
        <f t="shared" si="24"/>
        <v>7327.2379999999994</v>
      </c>
      <c r="K154" s="235">
        <f t="shared" si="25"/>
        <v>175.58532911841101</v>
      </c>
      <c r="L154" s="479">
        <v>0</v>
      </c>
      <c r="M154" s="566"/>
      <c r="N154" s="566"/>
      <c r="O154" s="11"/>
    </row>
    <row r="155" spans="2:15" ht="15" customHeight="1">
      <c r="B155" s="173">
        <f t="shared" si="22"/>
        <v>131</v>
      </c>
      <c r="C155" s="173"/>
      <c r="D155" s="174">
        <v>7</v>
      </c>
      <c r="E155" s="168">
        <f t="shared" si="28"/>
        <v>132</v>
      </c>
      <c r="F155" s="286">
        <f t="shared" si="18"/>
        <v>33.159999999999997</v>
      </c>
      <c r="G155" s="175">
        <f t="shared" si="27"/>
        <v>32.761999999999993</v>
      </c>
      <c r="H155" s="175" t="str">
        <f t="shared" si="23"/>
        <v>IN</v>
      </c>
      <c r="I155" s="175">
        <f t="shared" si="26"/>
        <v>4323.0940000000001</v>
      </c>
      <c r="J155" s="175">
        <f t="shared" si="24"/>
        <v>7294.4759999999997</v>
      </c>
      <c r="K155" s="262">
        <f t="shared" si="25"/>
        <v>176.27706033002292</v>
      </c>
      <c r="L155" s="479">
        <v>0</v>
      </c>
      <c r="M155" s="567"/>
      <c r="N155" s="567"/>
      <c r="O155" s="11"/>
    </row>
    <row r="156" spans="2:15" ht="15" customHeight="1">
      <c r="B156" s="173">
        <f t="shared" si="22"/>
        <v>132</v>
      </c>
      <c r="C156" s="173"/>
      <c r="D156" s="174">
        <v>7</v>
      </c>
      <c r="E156" s="168">
        <f t="shared" si="28"/>
        <v>133</v>
      </c>
      <c r="F156" s="286">
        <f t="shared" si="18"/>
        <v>33.5</v>
      </c>
      <c r="G156" s="175">
        <f t="shared" si="27"/>
        <v>33.101999999999997</v>
      </c>
      <c r="H156" s="175" t="str">
        <f t="shared" si="23"/>
        <v>IN</v>
      </c>
      <c r="I156" s="177">
        <f t="shared" si="26"/>
        <v>4356.1959999999999</v>
      </c>
      <c r="J156" s="177">
        <f t="shared" si="24"/>
        <v>7261.3739999999998</v>
      </c>
      <c r="K156" s="235">
        <f t="shared" si="25"/>
        <v>176.97597024293353</v>
      </c>
      <c r="L156" s="479">
        <v>0</v>
      </c>
      <c r="M156" s="566"/>
      <c r="N156" s="566"/>
      <c r="O156" s="11"/>
    </row>
    <row r="157" spans="2:15" ht="15" customHeight="1">
      <c r="B157" s="173">
        <f t="shared" si="22"/>
        <v>133</v>
      </c>
      <c r="C157" s="173"/>
      <c r="D157" s="174">
        <v>7</v>
      </c>
      <c r="E157" s="168">
        <f t="shared" si="28"/>
        <v>134</v>
      </c>
      <c r="F157" s="286">
        <f t="shared" si="18"/>
        <v>33.08</v>
      </c>
      <c r="G157" s="175">
        <f t="shared" si="27"/>
        <v>32.681999999999995</v>
      </c>
      <c r="H157" s="175" t="str">
        <f t="shared" si="23"/>
        <v>IN</v>
      </c>
      <c r="I157" s="177">
        <f t="shared" si="26"/>
        <v>4388.8779999999997</v>
      </c>
      <c r="J157" s="177">
        <f t="shared" si="24"/>
        <v>7228.692</v>
      </c>
      <c r="K157" s="235">
        <f t="shared" si="25"/>
        <v>177.66601234835753</v>
      </c>
      <c r="L157" s="479">
        <v>0</v>
      </c>
      <c r="M157" s="566"/>
      <c r="N157" s="566"/>
      <c r="O157" s="11"/>
    </row>
    <row r="158" spans="2:15" ht="15" customHeight="1">
      <c r="B158" s="173">
        <f t="shared" si="22"/>
        <v>134</v>
      </c>
      <c r="C158" s="173"/>
      <c r="D158" s="174">
        <v>7</v>
      </c>
      <c r="E158" s="168">
        <f t="shared" si="28"/>
        <v>135</v>
      </c>
      <c r="F158" s="286">
        <f t="shared" si="18"/>
        <v>32.57</v>
      </c>
      <c r="G158" s="175">
        <f t="shared" si="27"/>
        <v>32.171999999999997</v>
      </c>
      <c r="H158" s="175" t="str">
        <f t="shared" si="23"/>
        <v>IN</v>
      </c>
      <c r="I158" s="177">
        <f t="shared" si="26"/>
        <v>4421.0499999999993</v>
      </c>
      <c r="J158" s="177">
        <f t="shared" si="24"/>
        <v>7196.52</v>
      </c>
      <c r="K158" s="235">
        <f t="shared" si="25"/>
        <v>178.34528640183345</v>
      </c>
      <c r="L158" s="479">
        <v>0</v>
      </c>
      <c r="M158" s="566"/>
      <c r="N158" s="566"/>
      <c r="O158" s="11"/>
    </row>
    <row r="159" spans="2:15" ht="15" customHeight="1">
      <c r="B159" s="173">
        <f t="shared" si="22"/>
        <v>135</v>
      </c>
      <c r="C159" s="173"/>
      <c r="D159" s="174">
        <v>7</v>
      </c>
      <c r="E159" s="168">
        <f t="shared" si="28"/>
        <v>136</v>
      </c>
      <c r="F159" s="286">
        <f t="shared" si="18"/>
        <v>33.11</v>
      </c>
      <c r="G159" s="175">
        <f t="shared" si="27"/>
        <v>32.711999999999996</v>
      </c>
      <c r="H159" s="175" t="str">
        <f t="shared" si="23"/>
        <v>IN</v>
      </c>
      <c r="I159" s="177">
        <f t="shared" si="26"/>
        <v>4453.7619999999997</v>
      </c>
      <c r="J159" s="177">
        <f t="shared" si="24"/>
        <v>7163.808</v>
      </c>
      <c r="K159" s="235">
        <f t="shared" si="25"/>
        <v>179.03596192207792</v>
      </c>
      <c r="L159" s="479">
        <v>0</v>
      </c>
      <c r="M159" s="566"/>
      <c r="N159" s="566"/>
      <c r="O159" s="11"/>
    </row>
    <row r="160" spans="2:15" ht="15" customHeight="1">
      <c r="B160" s="173">
        <f t="shared" si="22"/>
        <v>136</v>
      </c>
      <c r="C160" s="173"/>
      <c r="D160" s="174">
        <v>7</v>
      </c>
      <c r="E160" s="168">
        <f t="shared" si="28"/>
        <v>137</v>
      </c>
      <c r="F160" s="286">
        <f t="shared" si="18"/>
        <v>33.18</v>
      </c>
      <c r="G160" s="175">
        <f t="shared" si="27"/>
        <v>32.781999999999996</v>
      </c>
      <c r="H160" s="175" t="str">
        <f t="shared" si="23"/>
        <v>IN</v>
      </c>
      <c r="I160" s="177">
        <f t="shared" si="26"/>
        <v>4486.5439999999999</v>
      </c>
      <c r="J160" s="177">
        <f t="shared" si="24"/>
        <v>7131.0259999999998</v>
      </c>
      <c r="K160" s="235">
        <f t="shared" si="25"/>
        <v>179.72811541023682</v>
      </c>
      <c r="L160" s="479">
        <v>0</v>
      </c>
      <c r="M160" s="566"/>
      <c r="N160" s="566"/>
      <c r="O160" s="11"/>
    </row>
    <row r="161" spans="2:15" ht="15" customHeight="1">
      <c r="B161" s="173">
        <f t="shared" si="22"/>
        <v>137</v>
      </c>
      <c r="C161" s="173"/>
      <c r="D161" s="174">
        <v>7</v>
      </c>
      <c r="E161" s="168">
        <f t="shared" si="28"/>
        <v>138</v>
      </c>
      <c r="F161" s="286">
        <f t="shared" si="18"/>
        <v>32.57</v>
      </c>
      <c r="G161" s="175">
        <f t="shared" si="27"/>
        <v>32.171999999999997</v>
      </c>
      <c r="H161" s="175" t="str">
        <f t="shared" si="23"/>
        <v>IN</v>
      </c>
      <c r="I161" s="177">
        <f t="shared" si="26"/>
        <v>4518.7159999999994</v>
      </c>
      <c r="J161" s="177">
        <f t="shared" si="24"/>
        <v>7098.8540000000003</v>
      </c>
      <c r="K161" s="235">
        <f t="shared" si="25"/>
        <v>180.40738946371275</v>
      </c>
      <c r="L161" s="479">
        <v>0</v>
      </c>
      <c r="M161" s="566"/>
      <c r="N161" s="566"/>
      <c r="O161" s="11"/>
    </row>
    <row r="162" spans="2:15" ht="15" customHeight="1">
      <c r="B162" s="173">
        <f t="shared" si="22"/>
        <v>138</v>
      </c>
      <c r="C162" s="173"/>
      <c r="D162" s="174">
        <v>7</v>
      </c>
      <c r="E162" s="168">
        <f t="shared" si="28"/>
        <v>139</v>
      </c>
      <c r="F162" s="286">
        <f t="shared" si="18"/>
        <v>33.11</v>
      </c>
      <c r="G162" s="175">
        <f t="shared" si="27"/>
        <v>32.711999999999996</v>
      </c>
      <c r="H162" s="175" t="str">
        <f t="shared" si="23"/>
        <v>IN</v>
      </c>
      <c r="I162" s="177">
        <f t="shared" si="26"/>
        <v>4551.4279999999999</v>
      </c>
      <c r="J162" s="177">
        <f t="shared" si="24"/>
        <v>7066.1419999999998</v>
      </c>
      <c r="K162" s="235">
        <f t="shared" si="25"/>
        <v>181.09806498395722</v>
      </c>
      <c r="L162" s="479">
        <v>0</v>
      </c>
      <c r="M162" s="566"/>
      <c r="N162" s="566"/>
      <c r="O162" s="11"/>
    </row>
    <row r="163" spans="2:15" ht="15" customHeight="1">
      <c r="B163" s="173">
        <f t="shared" si="22"/>
        <v>139</v>
      </c>
      <c r="C163" s="173"/>
      <c r="D163" s="174">
        <v>7</v>
      </c>
      <c r="E163" s="168">
        <f t="shared" si="28"/>
        <v>140</v>
      </c>
      <c r="F163" s="286">
        <f t="shared" si="18"/>
        <v>33.130000000000003</v>
      </c>
      <c r="G163" s="175">
        <f t="shared" si="27"/>
        <v>32.731999999999999</v>
      </c>
      <c r="H163" s="175" t="str">
        <f t="shared" si="23"/>
        <v>IN</v>
      </c>
      <c r="I163" s="177">
        <f t="shared" si="26"/>
        <v>4584.16</v>
      </c>
      <c r="J163" s="177">
        <f t="shared" si="24"/>
        <v>7033.41</v>
      </c>
      <c r="K163" s="235">
        <f t="shared" si="25"/>
        <v>181.78916278074865</v>
      </c>
      <c r="L163" s="479">
        <v>0</v>
      </c>
      <c r="M163" s="566"/>
      <c r="N163" s="566"/>
      <c r="O163" s="11"/>
    </row>
    <row r="164" spans="2:15" ht="15" customHeight="1">
      <c r="B164" s="173">
        <f t="shared" si="22"/>
        <v>140</v>
      </c>
      <c r="C164" s="173"/>
      <c r="D164" s="174">
        <v>7</v>
      </c>
      <c r="E164" s="168">
        <f t="shared" si="28"/>
        <v>141</v>
      </c>
      <c r="F164" s="286">
        <f t="shared" si="18"/>
        <v>32.520000000000003</v>
      </c>
      <c r="G164" s="175">
        <f t="shared" si="27"/>
        <v>32.122</v>
      </c>
      <c r="H164" s="175" t="str">
        <f t="shared" si="23"/>
        <v>IN</v>
      </c>
      <c r="I164" s="177">
        <f t="shared" si="26"/>
        <v>4616.2820000000002</v>
      </c>
      <c r="J164" s="177">
        <f t="shared" si="24"/>
        <v>7001.2879999999996</v>
      </c>
      <c r="K164" s="235">
        <f t="shared" si="25"/>
        <v>182.46738114285716</v>
      </c>
      <c r="L164" s="479">
        <v>0</v>
      </c>
      <c r="M164" s="566"/>
      <c r="N164" s="566"/>
      <c r="O164" s="11"/>
    </row>
    <row r="165" spans="2:15" ht="15" customHeight="1">
      <c r="B165" s="173">
        <f t="shared" si="22"/>
        <v>141</v>
      </c>
      <c r="C165" s="173"/>
      <c r="D165" s="174">
        <v>7</v>
      </c>
      <c r="E165" s="168">
        <f t="shared" si="28"/>
        <v>142</v>
      </c>
      <c r="F165" s="286">
        <f t="shared" si="18"/>
        <v>33.17</v>
      </c>
      <c r="G165" s="175">
        <f t="shared" si="27"/>
        <v>32.771999999999998</v>
      </c>
      <c r="H165" s="175" t="str">
        <f t="shared" si="23"/>
        <v>IN</v>
      </c>
      <c r="I165" s="177">
        <f t="shared" si="26"/>
        <v>4649.0540000000001</v>
      </c>
      <c r="J165" s="177">
        <f t="shared" si="24"/>
        <v>6968.5159999999996</v>
      </c>
      <c r="K165" s="235">
        <f t="shared" si="25"/>
        <v>183.15932349274257</v>
      </c>
      <c r="L165" s="479">
        <v>0</v>
      </c>
      <c r="M165" s="566"/>
      <c r="N165" s="566"/>
      <c r="O165" s="11"/>
    </row>
    <row r="166" spans="2:15" ht="15" customHeight="1">
      <c r="B166" s="173">
        <f t="shared" si="22"/>
        <v>142</v>
      </c>
      <c r="C166" s="173"/>
      <c r="D166" s="174">
        <v>7</v>
      </c>
      <c r="E166" s="168">
        <f t="shared" si="28"/>
        <v>143</v>
      </c>
      <c r="F166" s="286">
        <f t="shared" si="18"/>
        <v>33.5</v>
      </c>
      <c r="G166" s="175">
        <f t="shared" si="27"/>
        <v>33.101999999999997</v>
      </c>
      <c r="H166" s="175" t="str">
        <f t="shared" si="23"/>
        <v>IN</v>
      </c>
      <c r="I166" s="177">
        <f t="shared" si="26"/>
        <v>4682.1559999999999</v>
      </c>
      <c r="J166" s="177">
        <f t="shared" si="24"/>
        <v>6935.4139999999998</v>
      </c>
      <c r="K166" s="235">
        <f t="shared" si="25"/>
        <v>183.85823340565315</v>
      </c>
      <c r="L166" s="479">
        <v>0</v>
      </c>
      <c r="M166" s="566"/>
      <c r="N166" s="566"/>
      <c r="O166" s="11"/>
    </row>
    <row r="167" spans="2:15" ht="15" customHeight="1">
      <c r="B167" s="173">
        <f t="shared" si="22"/>
        <v>143</v>
      </c>
      <c r="C167" s="173"/>
      <c r="D167" s="174">
        <v>7</v>
      </c>
      <c r="E167" s="168">
        <f t="shared" si="28"/>
        <v>144</v>
      </c>
      <c r="F167" s="286">
        <f t="shared" ref="F167:F230" si="29">VLOOKUP(E167,tubing1,2,FALSE)</f>
        <v>33.299999999999997</v>
      </c>
      <c r="G167" s="175">
        <f t="shared" si="27"/>
        <v>32.901999999999994</v>
      </c>
      <c r="H167" s="175" t="str">
        <f t="shared" si="23"/>
        <v>IN</v>
      </c>
      <c r="I167" s="177">
        <f t="shared" si="26"/>
        <v>4715.058</v>
      </c>
      <c r="J167" s="177">
        <f t="shared" si="24"/>
        <v>6902.5119999999997</v>
      </c>
      <c r="K167" s="235">
        <f t="shared" si="25"/>
        <v>184.55292055309397</v>
      </c>
      <c r="L167" s="479">
        <v>0</v>
      </c>
      <c r="M167" s="566"/>
      <c r="N167" s="566"/>
      <c r="O167" s="11"/>
    </row>
    <row r="168" spans="2:15" ht="15" customHeight="1">
      <c r="B168" s="173">
        <f t="shared" ref="B168:B199" si="30">B167+1</f>
        <v>144</v>
      </c>
      <c r="C168" s="173"/>
      <c r="D168" s="174">
        <v>7</v>
      </c>
      <c r="E168" s="168">
        <f t="shared" si="28"/>
        <v>145</v>
      </c>
      <c r="F168" s="286">
        <f t="shared" si="29"/>
        <v>33.380000000000003</v>
      </c>
      <c r="G168" s="175">
        <f t="shared" si="27"/>
        <v>32.981999999999999</v>
      </c>
      <c r="H168" s="175" t="str">
        <f t="shared" si="23"/>
        <v>IN</v>
      </c>
      <c r="I168" s="175">
        <f t="shared" si="26"/>
        <v>4748.04</v>
      </c>
      <c r="J168" s="175">
        <f t="shared" si="24"/>
        <v>6869.53</v>
      </c>
      <c r="K168" s="262">
        <f t="shared" si="25"/>
        <v>185.2492968067227</v>
      </c>
      <c r="L168" s="479">
        <v>0</v>
      </c>
      <c r="M168" s="567"/>
      <c r="N168" s="567"/>
      <c r="O168" s="11"/>
    </row>
    <row r="169" spans="2:15" ht="15" customHeight="1">
      <c r="B169" s="173">
        <f t="shared" si="30"/>
        <v>145</v>
      </c>
      <c r="C169" s="173"/>
      <c r="D169" s="174">
        <v>7</v>
      </c>
      <c r="E169" s="168">
        <f t="shared" si="28"/>
        <v>146</v>
      </c>
      <c r="F169" s="286">
        <f t="shared" si="29"/>
        <v>33.450000000000003</v>
      </c>
      <c r="G169" s="175">
        <f t="shared" si="27"/>
        <v>33.052</v>
      </c>
      <c r="H169" s="175" t="str">
        <f t="shared" si="23"/>
        <v>IN</v>
      </c>
      <c r="I169" s="177">
        <f t="shared" si="26"/>
        <v>4781.0919999999996</v>
      </c>
      <c r="J169" s="177">
        <f t="shared" si="24"/>
        <v>6836.4780000000001</v>
      </c>
      <c r="K169" s="235">
        <f t="shared" si="25"/>
        <v>185.94715102826586</v>
      </c>
      <c r="L169" s="479">
        <v>0</v>
      </c>
      <c r="M169" s="566"/>
      <c r="N169" s="566"/>
      <c r="O169" s="11"/>
    </row>
    <row r="170" spans="2:15" ht="15" customHeight="1">
      <c r="B170" s="173">
        <f t="shared" si="30"/>
        <v>146</v>
      </c>
      <c r="C170" s="173"/>
      <c r="D170" s="174">
        <v>7</v>
      </c>
      <c r="E170" s="168">
        <f t="shared" si="28"/>
        <v>147</v>
      </c>
      <c r="F170" s="286">
        <f t="shared" si="29"/>
        <v>33.35</v>
      </c>
      <c r="G170" s="175">
        <f t="shared" si="27"/>
        <v>32.951999999999998</v>
      </c>
      <c r="H170" s="175" t="str">
        <f t="shared" si="23"/>
        <v>IN</v>
      </c>
      <c r="I170" s="175">
        <f t="shared" si="26"/>
        <v>4814.0439999999999</v>
      </c>
      <c r="J170" s="175">
        <f t="shared" si="24"/>
        <v>6803.5259999999998</v>
      </c>
      <c r="K170" s="262">
        <f t="shared" si="25"/>
        <v>186.64289386707412</v>
      </c>
      <c r="L170" s="479">
        <v>0</v>
      </c>
      <c r="M170" s="567"/>
      <c r="N170" s="567"/>
      <c r="O170" s="11"/>
    </row>
    <row r="171" spans="2:15" ht="15" customHeight="1">
      <c r="B171" s="173">
        <f t="shared" si="30"/>
        <v>147</v>
      </c>
      <c r="C171" s="173"/>
      <c r="D171" s="174">
        <v>7</v>
      </c>
      <c r="E171" s="168">
        <f t="shared" si="28"/>
        <v>148</v>
      </c>
      <c r="F171" s="286">
        <f t="shared" si="29"/>
        <v>33.700000000000003</v>
      </c>
      <c r="G171" s="175">
        <f t="shared" si="27"/>
        <v>33.302</v>
      </c>
      <c r="H171" s="175" t="str">
        <f t="shared" si="23"/>
        <v>IN</v>
      </c>
      <c r="I171" s="177">
        <f t="shared" si="26"/>
        <v>4847.3459999999995</v>
      </c>
      <c r="J171" s="177">
        <f t="shared" si="24"/>
        <v>6770.2240000000002</v>
      </c>
      <c r="K171" s="235">
        <f t="shared" si="25"/>
        <v>187.34602654545455</v>
      </c>
      <c r="L171" s="479">
        <v>0</v>
      </c>
      <c r="M171" s="566"/>
      <c r="N171" s="566"/>
      <c r="O171" s="11"/>
    </row>
    <row r="172" spans="2:15" ht="15" customHeight="1">
      <c r="B172" s="173">
        <f t="shared" si="30"/>
        <v>148</v>
      </c>
      <c r="C172" s="173"/>
      <c r="D172" s="174">
        <v>7</v>
      </c>
      <c r="E172" s="168">
        <f t="shared" si="28"/>
        <v>149</v>
      </c>
      <c r="F172" s="286">
        <f t="shared" si="29"/>
        <v>33.43</v>
      </c>
      <c r="G172" s="175">
        <f t="shared" si="27"/>
        <v>33.031999999999996</v>
      </c>
      <c r="H172" s="175" t="str">
        <f t="shared" si="23"/>
        <v>IN</v>
      </c>
      <c r="I172" s="177">
        <f t="shared" si="26"/>
        <v>4880.3779999999997</v>
      </c>
      <c r="J172" s="177">
        <f t="shared" si="24"/>
        <v>6737.192</v>
      </c>
      <c r="K172" s="235">
        <f t="shared" si="25"/>
        <v>188.04345849045072</v>
      </c>
      <c r="L172" s="479">
        <v>0</v>
      </c>
      <c r="M172" s="566"/>
      <c r="N172" s="566"/>
      <c r="O172" s="11"/>
    </row>
    <row r="173" spans="2:15" ht="15" customHeight="1">
      <c r="B173" s="173">
        <f t="shared" si="30"/>
        <v>149</v>
      </c>
      <c r="C173" s="173"/>
      <c r="D173" s="174">
        <v>7</v>
      </c>
      <c r="E173" s="168">
        <f t="shared" si="28"/>
        <v>150</v>
      </c>
      <c r="F173" s="286">
        <f t="shared" si="29"/>
        <v>32.99</v>
      </c>
      <c r="G173" s="175">
        <f t="shared" si="27"/>
        <v>32.591999999999999</v>
      </c>
      <c r="H173" s="175" t="str">
        <f t="shared" si="23"/>
        <v>IN</v>
      </c>
      <c r="I173" s="177">
        <f t="shared" si="26"/>
        <v>4912.9699999999993</v>
      </c>
      <c r="J173" s="177">
        <f t="shared" si="24"/>
        <v>6704.6</v>
      </c>
      <c r="K173" s="235">
        <f t="shared" si="25"/>
        <v>188.73160035141331</v>
      </c>
      <c r="L173" s="479">
        <v>0</v>
      </c>
      <c r="M173" s="566"/>
      <c r="N173" s="566"/>
      <c r="O173" s="11"/>
    </row>
    <row r="174" spans="2:15" ht="15" customHeight="1">
      <c r="B174" s="173">
        <f t="shared" si="30"/>
        <v>150</v>
      </c>
      <c r="C174" s="173"/>
      <c r="D174" s="174">
        <v>7</v>
      </c>
      <c r="E174" s="168">
        <f t="shared" si="28"/>
        <v>151</v>
      </c>
      <c r="F174" s="286">
        <f t="shared" si="29"/>
        <v>33.520000000000003</v>
      </c>
      <c r="G174" s="175">
        <f t="shared" si="27"/>
        <v>33.122</v>
      </c>
      <c r="H174" s="175" t="str">
        <f t="shared" ref="H174:H205" si="31">IF(F174="","OUT","IN")</f>
        <v>IN</v>
      </c>
      <c r="I174" s="177">
        <f t="shared" si="26"/>
        <v>4946.0919999999996</v>
      </c>
      <c r="J174" s="177">
        <f t="shared" si="24"/>
        <v>6671.4780000000001</v>
      </c>
      <c r="K174" s="235">
        <f t="shared" si="25"/>
        <v>189.43093254087091</v>
      </c>
      <c r="L174" s="479">
        <v>0</v>
      </c>
      <c r="M174" s="566"/>
      <c r="N174" s="566"/>
      <c r="O174" s="11"/>
    </row>
    <row r="175" spans="2:15" ht="15" customHeight="1">
      <c r="B175" s="173">
        <f t="shared" si="30"/>
        <v>151</v>
      </c>
      <c r="C175" s="173"/>
      <c r="D175" s="174">
        <v>7</v>
      </c>
      <c r="E175" s="168">
        <f t="shared" si="28"/>
        <v>152</v>
      </c>
      <c r="F175" s="286">
        <f t="shared" si="29"/>
        <v>33.42</v>
      </c>
      <c r="G175" s="175">
        <f t="shared" si="27"/>
        <v>33.021999999999998</v>
      </c>
      <c r="H175" s="175" t="str">
        <f t="shared" si="31"/>
        <v>IN</v>
      </c>
      <c r="I175" s="177">
        <f t="shared" si="26"/>
        <v>4979.1139999999996</v>
      </c>
      <c r="J175" s="177">
        <f t="shared" si="24"/>
        <v>6638.4560000000001</v>
      </c>
      <c r="K175" s="235">
        <f t="shared" si="25"/>
        <v>190.12815334759358</v>
      </c>
      <c r="L175" s="479">
        <v>0</v>
      </c>
      <c r="M175" s="566"/>
      <c r="N175" s="566"/>
      <c r="O175" s="11"/>
    </row>
    <row r="176" spans="2:15" ht="15" customHeight="1">
      <c r="B176" s="173">
        <f t="shared" si="30"/>
        <v>152</v>
      </c>
      <c r="C176" s="173"/>
      <c r="D176" s="174">
        <v>7</v>
      </c>
      <c r="E176" s="168">
        <f t="shared" si="28"/>
        <v>153</v>
      </c>
      <c r="F176" s="286">
        <f t="shared" si="29"/>
        <v>33.299999999999997</v>
      </c>
      <c r="G176" s="175">
        <f t="shared" si="27"/>
        <v>32.901999999999994</v>
      </c>
      <c r="H176" s="175" t="str">
        <f t="shared" si="31"/>
        <v>IN</v>
      </c>
      <c r="I176" s="177">
        <f t="shared" si="26"/>
        <v>5012.0159999999996</v>
      </c>
      <c r="J176" s="177">
        <f t="shared" si="24"/>
        <v>6605.5540000000001</v>
      </c>
      <c r="K176" s="235">
        <f t="shared" si="25"/>
        <v>190.82284049503437</v>
      </c>
      <c r="L176" s="479">
        <v>0</v>
      </c>
      <c r="M176" s="566"/>
      <c r="N176" s="566"/>
      <c r="O176" s="11"/>
    </row>
    <row r="177" spans="2:15" ht="15" customHeight="1">
      <c r="B177" s="173">
        <f t="shared" si="30"/>
        <v>153</v>
      </c>
      <c r="C177" s="173"/>
      <c r="D177" s="174">
        <v>7</v>
      </c>
      <c r="E177" s="168">
        <f t="shared" si="28"/>
        <v>154</v>
      </c>
      <c r="F177" s="286">
        <f t="shared" si="29"/>
        <v>33.549999999999997</v>
      </c>
      <c r="G177" s="175">
        <f t="shared" si="27"/>
        <v>33.151999999999994</v>
      </c>
      <c r="H177" s="175" t="str">
        <f t="shared" si="31"/>
        <v>IN</v>
      </c>
      <c r="I177" s="177">
        <f t="shared" si="26"/>
        <v>5045.1679999999997</v>
      </c>
      <c r="J177" s="177">
        <f t="shared" si="24"/>
        <v>6572.402</v>
      </c>
      <c r="K177" s="235">
        <f t="shared" si="25"/>
        <v>191.52280609931245</v>
      </c>
      <c r="L177" s="479">
        <v>0</v>
      </c>
      <c r="M177" s="566"/>
      <c r="N177" s="566"/>
      <c r="O177" s="11"/>
    </row>
    <row r="178" spans="2:15" ht="15" customHeight="1">
      <c r="B178" s="173">
        <f t="shared" si="30"/>
        <v>154</v>
      </c>
      <c r="C178" s="173"/>
      <c r="D178" s="174">
        <v>7</v>
      </c>
      <c r="E178" s="168">
        <f t="shared" si="28"/>
        <v>155</v>
      </c>
      <c r="F178" s="286">
        <f t="shared" si="29"/>
        <v>32.17</v>
      </c>
      <c r="G178" s="175">
        <f t="shared" si="27"/>
        <v>31.772000000000002</v>
      </c>
      <c r="H178" s="175" t="str">
        <f t="shared" si="31"/>
        <v>IN</v>
      </c>
      <c r="I178" s="177">
        <f t="shared" si="26"/>
        <v>5076.9399999999996</v>
      </c>
      <c r="J178" s="177">
        <f t="shared" si="24"/>
        <v>6540.63</v>
      </c>
      <c r="K178" s="235">
        <f t="shared" si="25"/>
        <v>192.19363462184873</v>
      </c>
      <c r="L178" s="479">
        <v>0</v>
      </c>
      <c r="M178" s="566"/>
      <c r="N178" s="566"/>
      <c r="O178" s="11"/>
    </row>
    <row r="179" spans="2:15" ht="15" customHeight="1">
      <c r="B179" s="173">
        <f t="shared" si="30"/>
        <v>155</v>
      </c>
      <c r="C179" s="173"/>
      <c r="D179" s="174">
        <v>7</v>
      </c>
      <c r="E179" s="168">
        <f t="shared" si="28"/>
        <v>156</v>
      </c>
      <c r="F179" s="286">
        <f t="shared" si="29"/>
        <v>31.33</v>
      </c>
      <c r="G179" s="175">
        <f t="shared" si="27"/>
        <v>30.931999999999999</v>
      </c>
      <c r="H179" s="175" t="str">
        <f t="shared" si="31"/>
        <v>IN</v>
      </c>
      <c r="I179" s="175">
        <f t="shared" si="26"/>
        <v>5107.8719999999994</v>
      </c>
      <c r="J179" s="175">
        <f t="shared" si="24"/>
        <v>6509.6980000000003</v>
      </c>
      <c r="K179" s="262">
        <f t="shared" si="25"/>
        <v>192.84672752941174</v>
      </c>
      <c r="L179" s="479">
        <v>0</v>
      </c>
      <c r="M179" s="567"/>
      <c r="N179" s="567"/>
      <c r="O179" s="11"/>
    </row>
    <row r="180" spans="2:15" ht="15" customHeight="1">
      <c r="B180" s="173">
        <f t="shared" si="30"/>
        <v>156</v>
      </c>
      <c r="C180" s="173"/>
      <c r="D180" s="174">
        <v>7</v>
      </c>
      <c r="E180" s="168">
        <f t="shared" si="28"/>
        <v>157</v>
      </c>
      <c r="F180" s="286">
        <f t="shared" si="29"/>
        <v>33.03</v>
      </c>
      <c r="G180" s="175">
        <f t="shared" si="27"/>
        <v>32.631999999999998</v>
      </c>
      <c r="H180" s="175" t="str">
        <f t="shared" si="31"/>
        <v>IN</v>
      </c>
      <c r="I180" s="177">
        <f t="shared" si="26"/>
        <v>5140.503999999999</v>
      </c>
      <c r="J180" s="177">
        <f t="shared" si="24"/>
        <v>6477.0660000000007</v>
      </c>
      <c r="K180" s="235">
        <f t="shared" si="25"/>
        <v>193.53571394346829</v>
      </c>
      <c r="L180" s="479">
        <v>0</v>
      </c>
      <c r="M180" s="566"/>
      <c r="N180" s="566"/>
      <c r="O180" s="11"/>
    </row>
    <row r="181" spans="2:15" ht="15" customHeight="1">
      <c r="B181" s="173">
        <f t="shared" si="30"/>
        <v>157</v>
      </c>
      <c r="C181" s="173"/>
      <c r="D181" s="174">
        <v>7</v>
      </c>
      <c r="E181" s="168">
        <f t="shared" si="28"/>
        <v>158</v>
      </c>
      <c r="F181" s="286">
        <f t="shared" si="29"/>
        <v>33.43</v>
      </c>
      <c r="G181" s="175">
        <f t="shared" si="27"/>
        <v>33.031999999999996</v>
      </c>
      <c r="H181" s="175" t="str">
        <f t="shared" si="31"/>
        <v>IN</v>
      </c>
      <c r="I181" s="177">
        <f t="shared" si="26"/>
        <v>5173.5359999999991</v>
      </c>
      <c r="J181" s="177">
        <f t="shared" si="24"/>
        <v>6444.0340000000006</v>
      </c>
      <c r="K181" s="235">
        <f t="shared" si="25"/>
        <v>194.23314588846446</v>
      </c>
      <c r="L181" s="479">
        <v>0</v>
      </c>
      <c r="M181" s="566"/>
      <c r="N181" s="566"/>
      <c r="O181" s="11"/>
    </row>
    <row r="182" spans="2:15" ht="15" customHeight="1">
      <c r="B182" s="173">
        <f t="shared" si="30"/>
        <v>158</v>
      </c>
      <c r="C182" s="173"/>
      <c r="D182" s="174">
        <v>7</v>
      </c>
      <c r="E182" s="168">
        <f t="shared" si="28"/>
        <v>159</v>
      </c>
      <c r="F182" s="286">
        <f t="shared" si="29"/>
        <v>33</v>
      </c>
      <c r="G182" s="175">
        <f t="shared" si="27"/>
        <v>32.601999999999997</v>
      </c>
      <c r="H182" s="175" t="str">
        <f t="shared" si="31"/>
        <v>IN</v>
      </c>
      <c r="I182" s="177">
        <f t="shared" si="26"/>
        <v>5206.137999999999</v>
      </c>
      <c r="J182" s="177">
        <f t="shared" si="24"/>
        <v>6411.4320000000007</v>
      </c>
      <c r="K182" s="235">
        <f t="shared" si="25"/>
        <v>194.92149888770052</v>
      </c>
      <c r="L182" s="479">
        <v>0</v>
      </c>
      <c r="M182" s="566"/>
      <c r="N182" s="566"/>
      <c r="O182" s="11"/>
    </row>
    <row r="183" spans="2:15" ht="15" customHeight="1">
      <c r="B183" s="173">
        <f t="shared" si="30"/>
        <v>159</v>
      </c>
      <c r="C183" s="173"/>
      <c r="D183" s="174">
        <v>7</v>
      </c>
      <c r="E183" s="168">
        <f t="shared" si="28"/>
        <v>160</v>
      </c>
      <c r="F183" s="286">
        <f t="shared" si="29"/>
        <v>33.33</v>
      </c>
      <c r="G183" s="175">
        <f t="shared" si="27"/>
        <v>32.931999999999995</v>
      </c>
      <c r="H183" s="175" t="str">
        <f t="shared" si="31"/>
        <v>IN</v>
      </c>
      <c r="I183" s="177">
        <f t="shared" si="26"/>
        <v>5239.0699999999988</v>
      </c>
      <c r="J183" s="177">
        <f t="shared" si="24"/>
        <v>6378.5000000000009</v>
      </c>
      <c r="K183" s="235">
        <f t="shared" si="25"/>
        <v>195.61681944996178</v>
      </c>
      <c r="L183" s="479">
        <v>0</v>
      </c>
      <c r="M183" s="566"/>
      <c r="N183" s="566"/>
      <c r="O183" s="11"/>
    </row>
    <row r="184" spans="2:15" ht="15" customHeight="1">
      <c r="B184" s="407">
        <f t="shared" si="30"/>
        <v>160</v>
      </c>
      <c r="C184" s="407"/>
      <c r="D184" s="408">
        <v>7</v>
      </c>
      <c r="E184" s="168">
        <f t="shared" si="28"/>
        <v>161</v>
      </c>
      <c r="F184" s="409">
        <f t="shared" si="29"/>
        <v>32.69</v>
      </c>
      <c r="G184" s="410">
        <f t="shared" si="27"/>
        <v>32.291999999999994</v>
      </c>
      <c r="H184" s="410" t="str">
        <f t="shared" si="31"/>
        <v>IN</v>
      </c>
      <c r="I184" s="411">
        <f t="shared" si="26"/>
        <v>5271.3619999999992</v>
      </c>
      <c r="J184" s="411">
        <f t="shared" si="24"/>
        <v>6346.2080000000005</v>
      </c>
      <c r="K184" s="412">
        <f t="shared" si="25"/>
        <v>196.29862716271964</v>
      </c>
      <c r="L184" s="479">
        <v>0</v>
      </c>
      <c r="M184" s="574"/>
      <c r="N184" s="574"/>
      <c r="O184" s="11"/>
    </row>
    <row r="185" spans="2:15" ht="18.600000000000001" customHeight="1">
      <c r="B185" s="173">
        <f t="shared" si="30"/>
        <v>161</v>
      </c>
      <c r="C185" s="173"/>
      <c r="D185" s="174">
        <v>7</v>
      </c>
      <c r="E185" s="168">
        <f t="shared" si="28"/>
        <v>162</v>
      </c>
      <c r="F185" s="286">
        <f t="shared" si="29"/>
        <v>32.44</v>
      </c>
      <c r="G185" s="175">
        <f t="shared" si="27"/>
        <v>32.041999999999994</v>
      </c>
      <c r="H185" s="175" t="str">
        <f t="shared" si="31"/>
        <v>IN</v>
      </c>
      <c r="I185" s="175">
        <f t="shared" si="26"/>
        <v>5303.4039999999995</v>
      </c>
      <c r="J185" s="175">
        <f t="shared" si="24"/>
        <v>6314.1660000000002</v>
      </c>
      <c r="K185" s="262">
        <f t="shared" si="25"/>
        <v>196.97515641864018</v>
      </c>
      <c r="L185" s="479">
        <v>0</v>
      </c>
      <c r="M185" s="568"/>
      <c r="N185" s="568"/>
      <c r="O185" s="11"/>
    </row>
    <row r="186" spans="2:15" ht="15" customHeight="1">
      <c r="B186" s="413">
        <f t="shared" si="30"/>
        <v>162</v>
      </c>
      <c r="C186" s="413"/>
      <c r="D186" s="414">
        <v>7</v>
      </c>
      <c r="E186" s="168">
        <f t="shared" si="28"/>
        <v>163</v>
      </c>
      <c r="F186" s="415">
        <f t="shared" si="29"/>
        <v>33.17</v>
      </c>
      <c r="G186" s="416">
        <f t="shared" si="27"/>
        <v>32.771999999999998</v>
      </c>
      <c r="H186" s="416" t="str">
        <f t="shared" si="31"/>
        <v>IN</v>
      </c>
      <c r="I186" s="245">
        <f t="shared" si="26"/>
        <v>5336.1759999999995</v>
      </c>
      <c r="J186" s="245">
        <f t="shared" si="24"/>
        <v>6281.3940000000002</v>
      </c>
      <c r="K186" s="417">
        <f t="shared" si="25"/>
        <v>197.66709876852559</v>
      </c>
      <c r="L186" s="479">
        <v>0</v>
      </c>
      <c r="M186" s="575"/>
      <c r="N186" s="575"/>
      <c r="O186" s="11"/>
    </row>
    <row r="187" spans="2:15" ht="15" customHeight="1">
      <c r="B187" s="173">
        <f t="shared" si="30"/>
        <v>163</v>
      </c>
      <c r="C187" s="173"/>
      <c r="D187" s="174">
        <v>7</v>
      </c>
      <c r="E187" s="168">
        <f t="shared" si="28"/>
        <v>164</v>
      </c>
      <c r="F187" s="286">
        <f t="shared" si="29"/>
        <v>33.340000000000003</v>
      </c>
      <c r="G187" s="175">
        <f t="shared" si="27"/>
        <v>32.942</v>
      </c>
      <c r="H187" s="175" t="str">
        <f t="shared" si="31"/>
        <v>IN</v>
      </c>
      <c r="I187" s="177">
        <f t="shared" si="26"/>
        <v>5369.1179999999995</v>
      </c>
      <c r="J187" s="177">
        <f t="shared" si="24"/>
        <v>6248.4520000000002</v>
      </c>
      <c r="K187" s="235">
        <f t="shared" si="25"/>
        <v>198.36263046906038</v>
      </c>
      <c r="L187" s="479">
        <v>0</v>
      </c>
      <c r="M187" s="566"/>
      <c r="N187" s="566"/>
      <c r="O187" s="11"/>
    </row>
    <row r="188" spans="2:15" ht="15" customHeight="1">
      <c r="B188" s="173">
        <f t="shared" si="30"/>
        <v>164</v>
      </c>
      <c r="C188" s="173"/>
      <c r="D188" s="174">
        <v>7</v>
      </c>
      <c r="E188" s="168">
        <f t="shared" si="28"/>
        <v>165</v>
      </c>
      <c r="F188" s="286">
        <f t="shared" si="29"/>
        <v>31.17</v>
      </c>
      <c r="G188" s="175">
        <f t="shared" si="27"/>
        <v>30.772000000000002</v>
      </c>
      <c r="H188" s="175" t="str">
        <f t="shared" si="31"/>
        <v>IN</v>
      </c>
      <c r="I188" s="175">
        <f t="shared" si="26"/>
        <v>5399.8899999999994</v>
      </c>
      <c r="J188" s="175">
        <f t="shared" si="24"/>
        <v>6217.68</v>
      </c>
      <c r="K188" s="262">
        <f t="shared" si="25"/>
        <v>199.01234516424751</v>
      </c>
      <c r="L188" s="479">
        <v>0</v>
      </c>
      <c r="M188" s="567"/>
      <c r="N188" s="567"/>
      <c r="O188" s="11"/>
    </row>
    <row r="189" spans="2:15" ht="15" customHeight="1">
      <c r="B189" s="173">
        <f t="shared" si="30"/>
        <v>165</v>
      </c>
      <c r="C189" s="173"/>
      <c r="D189" s="174">
        <v>7</v>
      </c>
      <c r="E189" s="168">
        <f t="shared" si="28"/>
        <v>166</v>
      </c>
      <c r="F189" s="286">
        <f t="shared" si="29"/>
        <v>33</v>
      </c>
      <c r="G189" s="175">
        <f t="shared" si="27"/>
        <v>32.601999999999997</v>
      </c>
      <c r="H189" s="175" t="str">
        <f t="shared" si="31"/>
        <v>IN</v>
      </c>
      <c r="I189" s="177">
        <f t="shared" si="26"/>
        <v>5432.4919999999993</v>
      </c>
      <c r="J189" s="177">
        <f t="shared" si="24"/>
        <v>6185.0780000000004</v>
      </c>
      <c r="K189" s="235">
        <f t="shared" si="25"/>
        <v>199.70069816348357</v>
      </c>
      <c r="L189" s="479">
        <v>0</v>
      </c>
      <c r="M189" s="566"/>
      <c r="N189" s="566"/>
      <c r="O189" s="11"/>
    </row>
    <row r="190" spans="2:15" ht="15" customHeight="1">
      <c r="B190" s="173">
        <f t="shared" si="30"/>
        <v>166</v>
      </c>
      <c r="C190" s="173"/>
      <c r="D190" s="174">
        <v>7</v>
      </c>
      <c r="E190" s="168">
        <f t="shared" si="28"/>
        <v>167</v>
      </c>
      <c r="F190" s="286">
        <f t="shared" si="29"/>
        <v>32.68</v>
      </c>
      <c r="G190" s="175">
        <f t="shared" si="27"/>
        <v>32.281999999999996</v>
      </c>
      <c r="H190" s="175" t="str">
        <f t="shared" si="31"/>
        <v>IN</v>
      </c>
      <c r="I190" s="175">
        <f t="shared" si="26"/>
        <v>5464.7739999999994</v>
      </c>
      <c r="J190" s="175">
        <f t="shared" si="24"/>
        <v>6152.7960000000003</v>
      </c>
      <c r="K190" s="262">
        <f t="shared" si="25"/>
        <v>200.38229473796792</v>
      </c>
      <c r="L190" s="479">
        <v>0</v>
      </c>
      <c r="M190" s="567"/>
      <c r="N190" s="567"/>
      <c r="O190" s="11"/>
    </row>
    <row r="191" spans="2:15" ht="15" customHeight="1">
      <c r="B191" s="173">
        <f t="shared" si="30"/>
        <v>167</v>
      </c>
      <c r="C191" s="173"/>
      <c r="D191" s="174">
        <v>7</v>
      </c>
      <c r="E191" s="168">
        <f t="shared" si="28"/>
        <v>168</v>
      </c>
      <c r="F191" s="286">
        <f t="shared" si="29"/>
        <v>32.729999999999997</v>
      </c>
      <c r="G191" s="175">
        <f t="shared" si="27"/>
        <v>32.331999999999994</v>
      </c>
      <c r="H191" s="175" t="str">
        <f t="shared" si="31"/>
        <v>IN</v>
      </c>
      <c r="I191" s="177">
        <f t="shared" si="26"/>
        <v>5497.1059999999998</v>
      </c>
      <c r="J191" s="177">
        <f t="shared" si="24"/>
        <v>6120.4639999999999</v>
      </c>
      <c r="K191" s="235">
        <f t="shared" si="25"/>
        <v>201.06494700381973</v>
      </c>
      <c r="L191" s="479">
        <v>0</v>
      </c>
      <c r="M191" s="566"/>
      <c r="N191" s="566"/>
      <c r="O191" s="11"/>
    </row>
    <row r="192" spans="2:15" ht="15" customHeight="1">
      <c r="B192" s="173">
        <f t="shared" si="30"/>
        <v>168</v>
      </c>
      <c r="C192" s="173"/>
      <c r="D192" s="174">
        <v>7</v>
      </c>
      <c r="E192" s="168">
        <f t="shared" si="28"/>
        <v>169</v>
      </c>
      <c r="F192" s="286">
        <f t="shared" si="29"/>
        <v>33.42</v>
      </c>
      <c r="G192" s="175">
        <f t="shared" si="27"/>
        <v>33.021999999999998</v>
      </c>
      <c r="H192" s="175" t="str">
        <f t="shared" si="31"/>
        <v>IN</v>
      </c>
      <c r="I192" s="177">
        <f t="shared" si="26"/>
        <v>5530.1279999999997</v>
      </c>
      <c r="J192" s="177">
        <f t="shared" si="24"/>
        <v>6087.442</v>
      </c>
      <c r="K192" s="235">
        <f t="shared" si="25"/>
        <v>201.76216781054239</v>
      </c>
      <c r="L192" s="479">
        <v>0</v>
      </c>
      <c r="M192" s="566"/>
      <c r="N192" s="566"/>
      <c r="O192" s="11"/>
    </row>
    <row r="193" spans="2:15" ht="15" customHeight="1">
      <c r="B193" s="173">
        <f t="shared" si="30"/>
        <v>169</v>
      </c>
      <c r="C193" s="173"/>
      <c r="D193" s="174">
        <v>7</v>
      </c>
      <c r="E193" s="168">
        <f t="shared" si="28"/>
        <v>170</v>
      </c>
      <c r="F193" s="286">
        <f t="shared" si="29"/>
        <v>32.94</v>
      </c>
      <c r="G193" s="175">
        <f t="shared" si="27"/>
        <v>32.541999999999994</v>
      </c>
      <c r="H193" s="175" t="str">
        <f t="shared" si="31"/>
        <v>IN</v>
      </c>
      <c r="I193" s="177">
        <f t="shared" si="26"/>
        <v>5562.67</v>
      </c>
      <c r="J193" s="177">
        <f t="shared" si="24"/>
        <v>6054.9</v>
      </c>
      <c r="K193" s="235">
        <f t="shared" si="25"/>
        <v>202.44925398013754</v>
      </c>
      <c r="L193" s="479">
        <v>0</v>
      </c>
      <c r="M193" s="566"/>
      <c r="N193" s="566"/>
      <c r="O193" s="11"/>
    </row>
    <row r="194" spans="2:15" ht="15" customHeight="1">
      <c r="B194" s="173">
        <f t="shared" si="30"/>
        <v>170</v>
      </c>
      <c r="C194" s="173"/>
      <c r="D194" s="174">
        <v>7</v>
      </c>
      <c r="E194" s="168">
        <f t="shared" si="28"/>
        <v>171</v>
      </c>
      <c r="F194" s="286">
        <f t="shared" si="29"/>
        <v>32.81</v>
      </c>
      <c r="G194" s="175">
        <f t="shared" si="27"/>
        <v>32.411999999999999</v>
      </c>
      <c r="H194" s="175" t="str">
        <f t="shared" si="31"/>
        <v>IN</v>
      </c>
      <c r="I194" s="177">
        <f t="shared" si="26"/>
        <v>5595.0820000000003</v>
      </c>
      <c r="J194" s="177">
        <f t="shared" si="24"/>
        <v>6022.4879999999994</v>
      </c>
      <c r="K194" s="235">
        <f t="shared" si="25"/>
        <v>203.13359535217725</v>
      </c>
      <c r="L194" s="479">
        <v>0</v>
      </c>
      <c r="M194" s="566"/>
      <c r="N194" s="566"/>
      <c r="O194" s="11"/>
    </row>
    <row r="195" spans="2:15" ht="15" customHeight="1">
      <c r="B195" s="173">
        <f t="shared" si="30"/>
        <v>171</v>
      </c>
      <c r="C195" s="173"/>
      <c r="D195" s="174">
        <v>7</v>
      </c>
      <c r="E195" s="168">
        <f t="shared" si="28"/>
        <v>172</v>
      </c>
      <c r="F195" s="286">
        <f t="shared" si="29"/>
        <v>31.28</v>
      </c>
      <c r="G195" s="175">
        <f t="shared" si="27"/>
        <v>30.882000000000001</v>
      </c>
      <c r="H195" s="175" t="str">
        <f t="shared" si="31"/>
        <v>IN</v>
      </c>
      <c r="I195" s="177">
        <f t="shared" si="26"/>
        <v>5625.9639999999999</v>
      </c>
      <c r="J195" s="177">
        <f t="shared" si="24"/>
        <v>5991.6059999999998</v>
      </c>
      <c r="K195" s="235">
        <f t="shared" si="25"/>
        <v>203.78563256837282</v>
      </c>
      <c r="L195" s="479">
        <v>0</v>
      </c>
      <c r="M195" s="566"/>
      <c r="N195" s="566"/>
      <c r="O195" s="11"/>
    </row>
    <row r="196" spans="2:15" ht="15" customHeight="1">
      <c r="B196" s="173">
        <f t="shared" si="30"/>
        <v>172</v>
      </c>
      <c r="C196" s="173"/>
      <c r="D196" s="174">
        <v>7</v>
      </c>
      <c r="E196" s="168">
        <f t="shared" si="28"/>
        <v>173</v>
      </c>
      <c r="F196" s="286">
        <f t="shared" si="29"/>
        <v>33.659999999999997</v>
      </c>
      <c r="G196" s="175">
        <f t="shared" si="27"/>
        <v>33.261999999999993</v>
      </c>
      <c r="H196" s="175" t="str">
        <f t="shared" si="31"/>
        <v>IN</v>
      </c>
      <c r="I196" s="177">
        <f t="shared" si="26"/>
        <v>5659.2259999999997</v>
      </c>
      <c r="J196" s="177">
        <f t="shared" si="24"/>
        <v>5958.3440000000001</v>
      </c>
      <c r="K196" s="235">
        <f t="shared" si="25"/>
        <v>204.48792069365928</v>
      </c>
      <c r="L196" s="479">
        <v>0</v>
      </c>
      <c r="M196" s="566"/>
      <c r="N196" s="566"/>
      <c r="O196" s="11"/>
    </row>
    <row r="197" spans="2:15" ht="15" customHeight="1">
      <c r="B197" s="173">
        <f t="shared" si="30"/>
        <v>173</v>
      </c>
      <c r="C197" s="173"/>
      <c r="D197" s="174">
        <v>7</v>
      </c>
      <c r="E197" s="168">
        <f t="shared" si="28"/>
        <v>174</v>
      </c>
      <c r="F197" s="286">
        <f t="shared" si="29"/>
        <v>33.21</v>
      </c>
      <c r="G197" s="175">
        <f t="shared" si="27"/>
        <v>32.811999999999998</v>
      </c>
      <c r="H197" s="175" t="str">
        <f t="shared" si="31"/>
        <v>IN</v>
      </c>
      <c r="I197" s="177">
        <f t="shared" si="26"/>
        <v>5692.0379999999996</v>
      </c>
      <c r="J197" s="177">
        <f t="shared" si="24"/>
        <v>5925.5320000000002</v>
      </c>
      <c r="K197" s="235">
        <f t="shared" si="25"/>
        <v>205.18070759663863</v>
      </c>
      <c r="L197" s="479">
        <v>0</v>
      </c>
      <c r="M197" s="566"/>
      <c r="N197" s="566"/>
      <c r="O197" s="11"/>
    </row>
    <row r="198" spans="2:15" ht="15" customHeight="1">
      <c r="B198" s="173">
        <f t="shared" si="30"/>
        <v>174</v>
      </c>
      <c r="C198" s="173"/>
      <c r="D198" s="174">
        <v>7</v>
      </c>
      <c r="E198" s="168">
        <f t="shared" si="28"/>
        <v>175</v>
      </c>
      <c r="F198" s="286">
        <f t="shared" si="29"/>
        <v>33.33</v>
      </c>
      <c r="G198" s="175">
        <f t="shared" si="27"/>
        <v>32.931999999999995</v>
      </c>
      <c r="H198" s="175" t="str">
        <f t="shared" si="31"/>
        <v>IN</v>
      </c>
      <c r="I198" s="177">
        <f t="shared" si="26"/>
        <v>5724.9699999999993</v>
      </c>
      <c r="J198" s="177">
        <f t="shared" si="24"/>
        <v>5892.6</v>
      </c>
      <c r="K198" s="235">
        <f t="shared" si="25"/>
        <v>205.87602815889989</v>
      </c>
      <c r="L198" s="479">
        <v>0</v>
      </c>
      <c r="M198" s="566"/>
      <c r="N198" s="566"/>
      <c r="O198" s="11"/>
    </row>
    <row r="199" spans="2:15" ht="15" customHeight="1">
      <c r="B199" s="173">
        <f t="shared" si="30"/>
        <v>175</v>
      </c>
      <c r="C199" s="173"/>
      <c r="D199" s="174">
        <v>7</v>
      </c>
      <c r="E199" s="168">
        <f t="shared" si="28"/>
        <v>176</v>
      </c>
      <c r="F199" s="286">
        <f t="shared" si="29"/>
        <v>32.950000000000003</v>
      </c>
      <c r="G199" s="175">
        <f t="shared" si="27"/>
        <v>32.552</v>
      </c>
      <c r="H199" s="175" t="str">
        <f t="shared" si="31"/>
        <v>IN</v>
      </c>
      <c r="I199" s="177">
        <f t="shared" si="26"/>
        <v>5757.521999999999</v>
      </c>
      <c r="J199" s="177">
        <f t="shared" si="24"/>
        <v>5860.0480000000007</v>
      </c>
      <c r="K199" s="235">
        <f t="shared" si="25"/>
        <v>206.56332546676853</v>
      </c>
      <c r="L199" s="479">
        <v>0</v>
      </c>
      <c r="M199" s="566"/>
      <c r="N199" s="566"/>
      <c r="O199" s="11"/>
    </row>
    <row r="200" spans="2:15" ht="15" customHeight="1">
      <c r="B200" s="173">
        <f t="shared" ref="B200:B231" si="32">B199+1</f>
        <v>176</v>
      </c>
      <c r="C200" s="173"/>
      <c r="D200" s="174">
        <v>7</v>
      </c>
      <c r="E200" s="168">
        <f t="shared" si="28"/>
        <v>177</v>
      </c>
      <c r="F200" s="286">
        <f t="shared" si="29"/>
        <v>33.29</v>
      </c>
      <c r="G200" s="175">
        <f t="shared" si="27"/>
        <v>32.891999999999996</v>
      </c>
      <c r="H200" s="175" t="str">
        <f t="shared" si="31"/>
        <v>IN</v>
      </c>
      <c r="I200" s="177">
        <f t="shared" si="26"/>
        <v>5790.4139999999989</v>
      </c>
      <c r="J200" s="177">
        <f t="shared" si="24"/>
        <v>5827.1560000000009</v>
      </c>
      <c r="K200" s="235">
        <f t="shared" si="25"/>
        <v>207.25780147593582</v>
      </c>
      <c r="L200" s="479">
        <v>0</v>
      </c>
      <c r="M200" s="566"/>
      <c r="N200" s="566"/>
      <c r="O200" s="11"/>
    </row>
    <row r="201" spans="2:15" ht="15" customHeight="1">
      <c r="B201" s="173">
        <f t="shared" si="32"/>
        <v>177</v>
      </c>
      <c r="C201" s="173"/>
      <c r="D201" s="174">
        <v>7</v>
      </c>
      <c r="E201" s="168">
        <f t="shared" si="28"/>
        <v>178</v>
      </c>
      <c r="F201" s="286">
        <f t="shared" si="29"/>
        <v>32.92</v>
      </c>
      <c r="G201" s="175">
        <f t="shared" si="27"/>
        <v>32.521999999999998</v>
      </c>
      <c r="H201" s="175" t="str">
        <f t="shared" si="31"/>
        <v>IN</v>
      </c>
      <c r="I201" s="177">
        <f t="shared" si="26"/>
        <v>5822.9359999999988</v>
      </c>
      <c r="J201" s="177">
        <f t="shared" si="24"/>
        <v>5794.6340000000009</v>
      </c>
      <c r="K201" s="235">
        <f t="shared" si="25"/>
        <v>207.94446536898394</v>
      </c>
      <c r="L201" s="479">
        <v>0</v>
      </c>
      <c r="M201" s="566"/>
      <c r="N201" s="566"/>
      <c r="O201" s="11"/>
    </row>
    <row r="202" spans="2:15" ht="15" customHeight="1">
      <c r="B202" s="173">
        <f t="shared" si="32"/>
        <v>178</v>
      </c>
      <c r="C202" s="173"/>
      <c r="D202" s="174">
        <v>7</v>
      </c>
      <c r="E202" s="168">
        <f t="shared" si="28"/>
        <v>179</v>
      </c>
      <c r="F202" s="286">
        <f t="shared" si="29"/>
        <v>32.75</v>
      </c>
      <c r="G202" s="175">
        <f t="shared" si="27"/>
        <v>32.351999999999997</v>
      </c>
      <c r="H202" s="175" t="str">
        <f t="shared" si="31"/>
        <v>IN</v>
      </c>
      <c r="I202" s="177">
        <f t="shared" si="26"/>
        <v>5855.2879999999986</v>
      </c>
      <c r="J202" s="177">
        <f t="shared" si="24"/>
        <v>5762.2820000000011</v>
      </c>
      <c r="K202" s="235">
        <f t="shared" si="25"/>
        <v>208.62753991138271</v>
      </c>
      <c r="L202" s="479">
        <v>0</v>
      </c>
      <c r="M202" s="566"/>
      <c r="N202" s="566"/>
      <c r="O202" s="11"/>
    </row>
    <row r="203" spans="2:15" ht="15" customHeight="1">
      <c r="B203" s="173">
        <f t="shared" si="32"/>
        <v>179</v>
      </c>
      <c r="C203" s="173"/>
      <c r="D203" s="174">
        <v>7</v>
      </c>
      <c r="E203" s="168">
        <f t="shared" si="28"/>
        <v>180</v>
      </c>
      <c r="F203" s="286">
        <f t="shared" si="29"/>
        <v>33.229999999999997</v>
      </c>
      <c r="G203" s="175">
        <f t="shared" si="27"/>
        <v>32.831999999999994</v>
      </c>
      <c r="H203" s="175" t="str">
        <f t="shared" si="31"/>
        <v>IN</v>
      </c>
      <c r="I203" s="177">
        <f t="shared" si="26"/>
        <v>5888.119999999999</v>
      </c>
      <c r="J203" s="177">
        <f t="shared" si="24"/>
        <v>5729.4500000000007</v>
      </c>
      <c r="K203" s="235">
        <f t="shared" si="25"/>
        <v>209.32074909090909</v>
      </c>
      <c r="L203" s="479">
        <v>0</v>
      </c>
      <c r="M203" s="566"/>
      <c r="N203" s="566"/>
      <c r="O203" s="11"/>
    </row>
    <row r="204" spans="2:15" ht="15" customHeight="1">
      <c r="B204" s="173">
        <f t="shared" si="32"/>
        <v>180</v>
      </c>
      <c r="C204" s="173"/>
      <c r="D204" s="174">
        <v>7</v>
      </c>
      <c r="E204" s="168">
        <f t="shared" si="28"/>
        <v>181</v>
      </c>
      <c r="F204" s="286">
        <f t="shared" si="29"/>
        <v>32.69</v>
      </c>
      <c r="G204" s="175">
        <f t="shared" si="27"/>
        <v>32.291999999999994</v>
      </c>
      <c r="H204" s="175" t="str">
        <f t="shared" si="31"/>
        <v>IN</v>
      </c>
      <c r="I204" s="177">
        <f t="shared" si="26"/>
        <v>5920.4119999999994</v>
      </c>
      <c r="J204" s="177">
        <f t="shared" si="24"/>
        <v>5697.1580000000004</v>
      </c>
      <c r="K204" s="235">
        <f t="shared" si="25"/>
        <v>210.00255680366689</v>
      </c>
      <c r="L204" s="479">
        <v>0</v>
      </c>
      <c r="M204" s="566"/>
      <c r="N204" s="566"/>
      <c r="O204" s="11"/>
    </row>
    <row r="205" spans="2:15" ht="15" customHeight="1">
      <c r="B205" s="173">
        <f t="shared" si="32"/>
        <v>181</v>
      </c>
      <c r="C205" s="173"/>
      <c r="D205" s="174">
        <v>7</v>
      </c>
      <c r="E205" s="168">
        <f t="shared" si="28"/>
        <v>182</v>
      </c>
      <c r="F205" s="286">
        <f t="shared" si="29"/>
        <v>33.130000000000003</v>
      </c>
      <c r="G205" s="175">
        <f t="shared" si="27"/>
        <v>32.731999999999999</v>
      </c>
      <c r="H205" s="175" t="str">
        <f t="shared" si="31"/>
        <v>IN</v>
      </c>
      <c r="I205" s="177">
        <f t="shared" si="26"/>
        <v>5953.1439999999993</v>
      </c>
      <c r="J205" s="177">
        <f t="shared" si="24"/>
        <v>5664.4260000000004</v>
      </c>
      <c r="K205" s="235">
        <f t="shared" si="25"/>
        <v>210.69365460045833</v>
      </c>
      <c r="L205" s="479">
        <v>0</v>
      </c>
      <c r="M205" s="566"/>
      <c r="N205" s="566"/>
      <c r="O205" s="11"/>
    </row>
    <row r="206" spans="2:15" ht="15" customHeight="1">
      <c r="B206" s="173">
        <f t="shared" si="32"/>
        <v>182</v>
      </c>
      <c r="C206" s="173"/>
      <c r="D206" s="174">
        <v>7</v>
      </c>
      <c r="E206" s="168">
        <f t="shared" si="28"/>
        <v>183</v>
      </c>
      <c r="F206" s="286">
        <f t="shared" si="29"/>
        <v>32.68</v>
      </c>
      <c r="G206" s="175">
        <f t="shared" si="27"/>
        <v>32.281999999999996</v>
      </c>
      <c r="H206" s="175" t="str">
        <f t="shared" ref="H206:H241" si="33">IF(F206="","OUT","IN")</f>
        <v>IN</v>
      </c>
      <c r="I206" s="177">
        <f t="shared" si="26"/>
        <v>5985.4259999999995</v>
      </c>
      <c r="J206" s="177">
        <f t="shared" si="24"/>
        <v>5632.1440000000002</v>
      </c>
      <c r="K206" s="235">
        <f t="shared" si="25"/>
        <v>211.37525117494272</v>
      </c>
      <c r="L206" s="479">
        <v>0</v>
      </c>
      <c r="M206" s="566"/>
      <c r="N206" s="566"/>
      <c r="O206" s="11"/>
    </row>
    <row r="207" spans="2:15" ht="15" customHeight="1">
      <c r="B207" s="173">
        <f t="shared" si="32"/>
        <v>183</v>
      </c>
      <c r="C207" s="176"/>
      <c r="D207" s="174">
        <v>7</v>
      </c>
      <c r="E207" s="168">
        <f t="shared" si="28"/>
        <v>184</v>
      </c>
      <c r="F207" s="286">
        <f t="shared" si="29"/>
        <v>32.86</v>
      </c>
      <c r="G207" s="175">
        <f t="shared" si="27"/>
        <v>32.461999999999996</v>
      </c>
      <c r="H207" s="175" t="str">
        <f t="shared" si="33"/>
        <v>IN</v>
      </c>
      <c r="I207" s="177">
        <f t="shared" si="26"/>
        <v>6017.8879999999999</v>
      </c>
      <c r="J207" s="177">
        <f t="shared" ref="J207:J270" si="34">IF(I207="","",$M$9-I207)</f>
        <v>5599.6819999999998</v>
      </c>
      <c r="K207" s="235">
        <f t="shared" si="25"/>
        <v>212.06064823834987</v>
      </c>
      <c r="L207" s="479">
        <v>0</v>
      </c>
      <c r="M207" s="566"/>
      <c r="N207" s="566"/>
      <c r="O207" s="11"/>
    </row>
    <row r="208" spans="2:15" ht="15" customHeight="1">
      <c r="B208" s="173">
        <f t="shared" si="32"/>
        <v>184</v>
      </c>
      <c r="C208" s="176"/>
      <c r="D208" s="174">
        <v>7</v>
      </c>
      <c r="E208" s="168">
        <f t="shared" si="28"/>
        <v>185</v>
      </c>
      <c r="F208" s="286">
        <f t="shared" si="29"/>
        <v>32.57</v>
      </c>
      <c r="G208" s="175">
        <f t="shared" si="27"/>
        <v>32.171999999999997</v>
      </c>
      <c r="H208" s="175" t="str">
        <f t="shared" si="33"/>
        <v>IN</v>
      </c>
      <c r="I208" s="177">
        <f t="shared" si="26"/>
        <v>6050.0599999999995</v>
      </c>
      <c r="J208" s="177">
        <f t="shared" si="34"/>
        <v>5567.51</v>
      </c>
      <c r="K208" s="235">
        <f t="shared" ref="K208:K271" si="35">$H$9+(I208*$E$10*$H$11/1000)</f>
        <v>212.73992229182585</v>
      </c>
      <c r="L208" s="479">
        <v>0</v>
      </c>
      <c r="M208" s="566"/>
      <c r="N208" s="566"/>
      <c r="O208" s="11"/>
    </row>
    <row r="209" spans="2:15" ht="15" customHeight="1">
      <c r="B209" s="173">
        <f t="shared" si="32"/>
        <v>185</v>
      </c>
      <c r="C209" s="176"/>
      <c r="D209" s="174">
        <v>7</v>
      </c>
      <c r="E209" s="168">
        <f t="shared" si="28"/>
        <v>186</v>
      </c>
      <c r="F209" s="286">
        <f t="shared" si="29"/>
        <v>33.409999999999997</v>
      </c>
      <c r="G209" s="175">
        <f t="shared" si="27"/>
        <v>33.011999999999993</v>
      </c>
      <c r="H209" s="175" t="str">
        <f t="shared" si="33"/>
        <v>IN</v>
      </c>
      <c r="I209" s="177">
        <f t="shared" ref="I209:I272" si="36">IF(H209="IN",I208+G209,I208)</f>
        <v>6083.0719999999992</v>
      </c>
      <c r="J209" s="177">
        <f t="shared" si="34"/>
        <v>5534.4980000000005</v>
      </c>
      <c r="K209" s="235">
        <f t="shared" si="35"/>
        <v>213.43693196027499</v>
      </c>
      <c r="L209" s="479">
        <v>0</v>
      </c>
      <c r="M209" s="566"/>
      <c r="N209" s="566"/>
      <c r="O209" s="11"/>
    </row>
    <row r="210" spans="2:15" ht="15" customHeight="1">
      <c r="B210" s="173">
        <f t="shared" si="32"/>
        <v>186</v>
      </c>
      <c r="C210" s="176"/>
      <c r="D210" s="174">
        <v>7</v>
      </c>
      <c r="E210" s="168">
        <f t="shared" si="28"/>
        <v>187</v>
      </c>
      <c r="F210" s="286">
        <f t="shared" si="29"/>
        <v>33.25</v>
      </c>
      <c r="G210" s="175">
        <f t="shared" si="27"/>
        <v>32.851999999999997</v>
      </c>
      <c r="H210" s="175" t="str">
        <f t="shared" si="33"/>
        <v>IN</v>
      </c>
      <c r="I210" s="177">
        <f t="shared" si="36"/>
        <v>6115.9239999999991</v>
      </c>
      <c r="J210" s="177">
        <f t="shared" si="34"/>
        <v>5501.6460000000006</v>
      </c>
      <c r="K210" s="235">
        <f t="shared" si="35"/>
        <v>214.13056341634834</v>
      </c>
      <c r="L210" s="479">
        <v>0</v>
      </c>
      <c r="M210" s="566"/>
      <c r="N210" s="566"/>
      <c r="O210" s="11"/>
    </row>
    <row r="211" spans="2:15" ht="15" customHeight="1">
      <c r="B211" s="173">
        <f t="shared" si="32"/>
        <v>187</v>
      </c>
      <c r="C211" s="176"/>
      <c r="D211" s="174">
        <v>7</v>
      </c>
      <c r="E211" s="168">
        <f t="shared" si="28"/>
        <v>188</v>
      </c>
      <c r="F211" s="286">
        <f t="shared" si="29"/>
        <v>32.9</v>
      </c>
      <c r="G211" s="175">
        <f t="shared" si="27"/>
        <v>32.501999999999995</v>
      </c>
      <c r="H211" s="175" t="str">
        <f t="shared" si="33"/>
        <v>IN</v>
      </c>
      <c r="I211" s="177">
        <f t="shared" si="36"/>
        <v>6148.4259999999995</v>
      </c>
      <c r="J211" s="177">
        <f t="shared" si="34"/>
        <v>5469.1440000000002</v>
      </c>
      <c r="K211" s="235">
        <f t="shared" si="35"/>
        <v>214.81680503284952</v>
      </c>
      <c r="L211" s="479">
        <v>0</v>
      </c>
      <c r="M211" s="566"/>
      <c r="N211" s="566"/>
      <c r="O211" s="11"/>
    </row>
    <row r="212" spans="2:15" ht="15" customHeight="1">
      <c r="B212" s="173">
        <f t="shared" si="32"/>
        <v>188</v>
      </c>
      <c r="C212" s="176"/>
      <c r="D212" s="174">
        <v>7</v>
      </c>
      <c r="E212" s="168">
        <f t="shared" si="28"/>
        <v>189</v>
      </c>
      <c r="F212" s="286">
        <f t="shared" si="29"/>
        <v>33.270000000000003</v>
      </c>
      <c r="G212" s="175">
        <f t="shared" si="27"/>
        <v>32.872</v>
      </c>
      <c r="H212" s="175" t="str">
        <f t="shared" si="33"/>
        <v>IN</v>
      </c>
      <c r="I212" s="177">
        <f t="shared" si="36"/>
        <v>6181.2979999999998</v>
      </c>
      <c r="J212" s="177">
        <f t="shared" si="34"/>
        <v>5436.2719999999999</v>
      </c>
      <c r="K212" s="235">
        <f t="shared" si="35"/>
        <v>215.51085876546983</v>
      </c>
      <c r="L212" s="479">
        <v>0</v>
      </c>
      <c r="M212" s="566"/>
      <c r="N212" s="566"/>
      <c r="O212" s="11"/>
    </row>
    <row r="213" spans="2:15" ht="15" customHeight="1">
      <c r="B213" s="173">
        <f t="shared" si="32"/>
        <v>189</v>
      </c>
      <c r="C213" s="176"/>
      <c r="D213" s="232">
        <v>7</v>
      </c>
      <c r="E213" s="168">
        <f t="shared" si="28"/>
        <v>190</v>
      </c>
      <c r="F213" s="286">
        <f t="shared" si="29"/>
        <v>33.58</v>
      </c>
      <c r="G213" s="175">
        <f t="shared" si="27"/>
        <v>33.181999999999995</v>
      </c>
      <c r="H213" s="175" t="str">
        <f t="shared" si="33"/>
        <v>IN</v>
      </c>
      <c r="I213" s="177">
        <f t="shared" si="36"/>
        <v>6214.48</v>
      </c>
      <c r="J213" s="177">
        <f t="shared" si="34"/>
        <v>5403.09</v>
      </c>
      <c r="K213" s="235">
        <f t="shared" si="35"/>
        <v>216.21145778456838</v>
      </c>
      <c r="L213" s="479">
        <v>0</v>
      </c>
      <c r="M213" s="566"/>
      <c r="N213" s="566"/>
      <c r="O213" s="11"/>
    </row>
    <row r="214" spans="2:15" ht="15" customHeight="1">
      <c r="B214" s="173">
        <f t="shared" si="32"/>
        <v>190</v>
      </c>
      <c r="C214" s="173"/>
      <c r="D214" s="174">
        <v>7</v>
      </c>
      <c r="E214" s="168">
        <f t="shared" si="28"/>
        <v>191</v>
      </c>
      <c r="F214" s="286">
        <f t="shared" si="29"/>
        <v>33.03</v>
      </c>
      <c r="G214" s="175">
        <f t="shared" si="27"/>
        <v>32.631999999999998</v>
      </c>
      <c r="H214" s="175" t="str">
        <f t="shared" si="33"/>
        <v>IN</v>
      </c>
      <c r="I214" s="177">
        <f t="shared" si="36"/>
        <v>6247.1119999999992</v>
      </c>
      <c r="J214" s="177">
        <f t="shared" si="34"/>
        <v>5370.4580000000005</v>
      </c>
      <c r="K214" s="235">
        <f t="shared" si="35"/>
        <v>216.90044419862491</v>
      </c>
      <c r="L214" s="479">
        <v>0</v>
      </c>
      <c r="M214" s="566"/>
      <c r="N214" s="566"/>
      <c r="O214" s="11"/>
    </row>
    <row r="215" spans="2:15" ht="15" customHeight="1">
      <c r="B215" s="173">
        <f t="shared" si="32"/>
        <v>191</v>
      </c>
      <c r="C215" s="173"/>
      <c r="D215" s="174">
        <v>7</v>
      </c>
      <c r="E215" s="168">
        <f t="shared" si="28"/>
        <v>192</v>
      </c>
      <c r="F215" s="286">
        <f t="shared" si="29"/>
        <v>33.21</v>
      </c>
      <c r="G215" s="175">
        <f t="shared" si="27"/>
        <v>32.811999999999998</v>
      </c>
      <c r="H215" s="175" t="str">
        <f t="shared" si="33"/>
        <v>IN</v>
      </c>
      <c r="I215" s="177">
        <f t="shared" si="36"/>
        <v>6279.9239999999991</v>
      </c>
      <c r="J215" s="177">
        <f t="shared" si="34"/>
        <v>5337.6460000000006</v>
      </c>
      <c r="K215" s="235">
        <f t="shared" si="35"/>
        <v>217.59323110160426</v>
      </c>
      <c r="L215" s="479">
        <v>0</v>
      </c>
      <c r="M215" s="566"/>
      <c r="N215" s="566"/>
      <c r="O215" s="11"/>
    </row>
    <row r="216" spans="2:15" ht="15" customHeight="1">
      <c r="B216" s="173">
        <f t="shared" si="32"/>
        <v>192</v>
      </c>
      <c r="C216" s="173"/>
      <c r="D216" s="174">
        <v>7</v>
      </c>
      <c r="E216" s="168">
        <f t="shared" si="28"/>
        <v>193</v>
      </c>
      <c r="F216" s="286">
        <f t="shared" si="29"/>
        <v>33.479999999999997</v>
      </c>
      <c r="G216" s="175">
        <f t="shared" si="27"/>
        <v>33.081999999999994</v>
      </c>
      <c r="H216" s="175" t="str">
        <f t="shared" si="33"/>
        <v>IN</v>
      </c>
      <c r="I216" s="177">
        <f t="shared" si="36"/>
        <v>6313.0059999999994</v>
      </c>
      <c r="J216" s="177">
        <f t="shared" si="34"/>
        <v>5304.5640000000003</v>
      </c>
      <c r="K216" s="235">
        <f t="shared" si="35"/>
        <v>218.29171873796793</v>
      </c>
      <c r="L216" s="479">
        <v>0</v>
      </c>
      <c r="M216" s="566"/>
      <c r="N216" s="566"/>
      <c r="O216" s="11"/>
    </row>
    <row r="217" spans="2:15" ht="15" customHeight="1">
      <c r="B217" s="173">
        <f t="shared" si="32"/>
        <v>193</v>
      </c>
      <c r="C217" s="173"/>
      <c r="D217" s="174">
        <v>7</v>
      </c>
      <c r="E217" s="168">
        <f t="shared" si="28"/>
        <v>194</v>
      </c>
      <c r="F217" s="286">
        <f t="shared" si="29"/>
        <v>31.49</v>
      </c>
      <c r="G217" s="175">
        <f t="shared" ref="G217:G280" si="37">F217-($E$12)</f>
        <v>31.091999999999999</v>
      </c>
      <c r="H217" s="175" t="str">
        <f t="shared" si="33"/>
        <v>IN</v>
      </c>
      <c r="I217" s="177">
        <f t="shared" si="36"/>
        <v>6344.097999999999</v>
      </c>
      <c r="J217" s="177">
        <f t="shared" si="34"/>
        <v>5273.4720000000007</v>
      </c>
      <c r="K217" s="235">
        <f t="shared" si="35"/>
        <v>218.94818985790678</v>
      </c>
      <c r="L217" s="479">
        <v>0</v>
      </c>
      <c r="M217" s="566"/>
      <c r="N217" s="566"/>
      <c r="O217" s="11"/>
    </row>
    <row r="218" spans="2:15" ht="15" customHeight="1">
      <c r="B218" s="173">
        <f t="shared" si="32"/>
        <v>194</v>
      </c>
      <c r="C218" s="173"/>
      <c r="D218" s="174">
        <v>7</v>
      </c>
      <c r="E218" s="168">
        <f t="shared" ref="E218:E281" si="38">E217+1</f>
        <v>195</v>
      </c>
      <c r="F218" s="286">
        <f t="shared" si="29"/>
        <v>33.409999999999997</v>
      </c>
      <c r="G218" s="175">
        <f t="shared" si="37"/>
        <v>33.011999999999993</v>
      </c>
      <c r="H218" s="175" t="str">
        <f t="shared" si="33"/>
        <v>IN</v>
      </c>
      <c r="I218" s="177">
        <f t="shared" si="36"/>
        <v>6377.1099999999988</v>
      </c>
      <c r="J218" s="177">
        <f t="shared" si="34"/>
        <v>5240.4600000000009</v>
      </c>
      <c r="K218" s="235">
        <f t="shared" si="35"/>
        <v>219.64519952635598</v>
      </c>
      <c r="L218" s="479">
        <v>0</v>
      </c>
      <c r="M218" s="566"/>
      <c r="N218" s="566"/>
      <c r="O218" s="11"/>
    </row>
    <row r="219" spans="2:15" ht="15" customHeight="1">
      <c r="B219" s="173">
        <f t="shared" si="32"/>
        <v>195</v>
      </c>
      <c r="C219" s="173"/>
      <c r="D219" s="174">
        <v>7</v>
      </c>
      <c r="E219" s="168">
        <f t="shared" si="38"/>
        <v>196</v>
      </c>
      <c r="F219" s="286">
        <f t="shared" si="29"/>
        <v>33.54</v>
      </c>
      <c r="G219" s="175">
        <f t="shared" si="37"/>
        <v>33.141999999999996</v>
      </c>
      <c r="H219" s="175" t="str">
        <f t="shared" si="33"/>
        <v>IN</v>
      </c>
      <c r="I219" s="177">
        <f t="shared" si="36"/>
        <v>6410.2519999999986</v>
      </c>
      <c r="J219" s="177">
        <f t="shared" si="34"/>
        <v>5207.3180000000011</v>
      </c>
      <c r="K219" s="235">
        <f t="shared" si="35"/>
        <v>220.34495399236056</v>
      </c>
      <c r="L219" s="479">
        <v>0</v>
      </c>
      <c r="M219" s="566"/>
      <c r="N219" s="566"/>
      <c r="O219" s="11"/>
    </row>
    <row r="220" spans="2:15" ht="15" customHeight="1">
      <c r="B220" s="173">
        <f t="shared" si="32"/>
        <v>196</v>
      </c>
      <c r="C220" s="173"/>
      <c r="D220" s="174">
        <v>7</v>
      </c>
      <c r="E220" s="168">
        <f t="shared" si="38"/>
        <v>197</v>
      </c>
      <c r="F220" s="286">
        <f t="shared" si="29"/>
        <v>33.33</v>
      </c>
      <c r="G220" s="175">
        <f t="shared" si="37"/>
        <v>32.931999999999995</v>
      </c>
      <c r="H220" s="175" t="str">
        <f t="shared" si="33"/>
        <v>IN</v>
      </c>
      <c r="I220" s="177">
        <f t="shared" si="36"/>
        <v>6443.1839999999984</v>
      </c>
      <c r="J220" s="177">
        <f t="shared" si="34"/>
        <v>5174.3860000000013</v>
      </c>
      <c r="K220" s="235">
        <f t="shared" si="35"/>
        <v>221.04027455462182</v>
      </c>
      <c r="L220" s="479">
        <v>0</v>
      </c>
      <c r="M220" s="566"/>
      <c r="N220" s="566"/>
      <c r="O220" s="11"/>
    </row>
    <row r="221" spans="2:15" ht="15" customHeight="1">
      <c r="B221" s="173">
        <f t="shared" si="32"/>
        <v>197</v>
      </c>
      <c r="C221" s="176"/>
      <c r="D221" s="174">
        <v>7</v>
      </c>
      <c r="E221" s="168">
        <f t="shared" si="38"/>
        <v>198</v>
      </c>
      <c r="F221" s="286">
        <f t="shared" si="29"/>
        <v>33.369999999999997</v>
      </c>
      <c r="G221" s="175">
        <f t="shared" si="37"/>
        <v>32.971999999999994</v>
      </c>
      <c r="H221" s="175" t="str">
        <f t="shared" si="33"/>
        <v>IN</v>
      </c>
      <c r="I221" s="177">
        <f t="shared" si="36"/>
        <v>6476.1559999999981</v>
      </c>
      <c r="J221" s="177">
        <f t="shared" si="34"/>
        <v>5141.4140000000016</v>
      </c>
      <c r="K221" s="235">
        <f t="shared" si="35"/>
        <v>221.73643966997705</v>
      </c>
      <c r="L221" s="479">
        <v>0</v>
      </c>
      <c r="M221" s="566"/>
      <c r="N221" s="566"/>
      <c r="O221" s="11"/>
    </row>
    <row r="222" spans="2:15" ht="15" customHeight="1">
      <c r="B222" s="173">
        <f t="shared" si="32"/>
        <v>198</v>
      </c>
      <c r="C222" s="173"/>
      <c r="D222" s="174">
        <v>7</v>
      </c>
      <c r="E222" s="168">
        <f t="shared" si="38"/>
        <v>199</v>
      </c>
      <c r="F222" s="286">
        <f t="shared" si="29"/>
        <v>33.479999999999997</v>
      </c>
      <c r="G222" s="175">
        <f t="shared" si="37"/>
        <v>33.081999999999994</v>
      </c>
      <c r="H222" s="175" t="str">
        <f t="shared" si="33"/>
        <v>IN</v>
      </c>
      <c r="I222" s="177">
        <f t="shared" si="36"/>
        <v>6509.2379999999985</v>
      </c>
      <c r="J222" s="177">
        <f t="shared" si="34"/>
        <v>5108.3320000000012</v>
      </c>
      <c r="K222" s="235">
        <f t="shared" si="35"/>
        <v>222.43492730634068</v>
      </c>
      <c r="L222" s="479">
        <v>0</v>
      </c>
      <c r="M222" s="566"/>
      <c r="N222" s="566"/>
      <c r="O222" s="11"/>
    </row>
    <row r="223" spans="2:15" ht="15" customHeight="1">
      <c r="B223" s="173">
        <f t="shared" si="32"/>
        <v>199</v>
      </c>
      <c r="C223" s="173"/>
      <c r="D223" s="174">
        <v>7</v>
      </c>
      <c r="E223" s="168">
        <f t="shared" si="38"/>
        <v>200</v>
      </c>
      <c r="F223" s="286">
        <f t="shared" si="29"/>
        <v>33.32</v>
      </c>
      <c r="G223" s="175">
        <f t="shared" si="37"/>
        <v>32.921999999999997</v>
      </c>
      <c r="H223" s="175" t="str">
        <f t="shared" si="33"/>
        <v>IN</v>
      </c>
      <c r="I223" s="177">
        <f t="shared" si="36"/>
        <v>6542.159999999998</v>
      </c>
      <c r="J223" s="177">
        <f t="shared" si="34"/>
        <v>5075.4100000000017</v>
      </c>
      <c r="K223" s="235">
        <f t="shared" si="35"/>
        <v>223.13003673032847</v>
      </c>
      <c r="L223" s="479">
        <v>0</v>
      </c>
      <c r="M223" s="566"/>
      <c r="N223" s="566"/>
      <c r="O223" s="11"/>
    </row>
    <row r="224" spans="2:15" ht="15" customHeight="1">
      <c r="B224" s="173">
        <f t="shared" si="32"/>
        <v>200</v>
      </c>
      <c r="C224" s="173"/>
      <c r="D224" s="174">
        <v>7</v>
      </c>
      <c r="E224" s="168">
        <f t="shared" si="38"/>
        <v>201</v>
      </c>
      <c r="F224" s="286">
        <f t="shared" si="29"/>
        <v>33.020000000000003</v>
      </c>
      <c r="G224" s="175">
        <f t="shared" si="37"/>
        <v>32.622</v>
      </c>
      <c r="H224" s="175" t="str">
        <f t="shared" si="33"/>
        <v>IN</v>
      </c>
      <c r="I224" s="177">
        <f t="shared" si="36"/>
        <v>6574.7819999999983</v>
      </c>
      <c r="J224" s="177">
        <f t="shared" si="34"/>
        <v>5042.7880000000014</v>
      </c>
      <c r="K224" s="235">
        <f t="shared" si="35"/>
        <v>223.81881200611153</v>
      </c>
      <c r="L224" s="479">
        <v>0</v>
      </c>
      <c r="M224" s="566"/>
      <c r="N224" s="566"/>
      <c r="O224" s="11"/>
    </row>
    <row r="225" spans="2:15" ht="15" customHeight="1">
      <c r="B225" s="173">
        <f t="shared" si="32"/>
        <v>201</v>
      </c>
      <c r="C225" s="173"/>
      <c r="D225" s="174">
        <v>7</v>
      </c>
      <c r="E225" s="168">
        <f t="shared" si="38"/>
        <v>202</v>
      </c>
      <c r="F225" s="286">
        <f t="shared" si="29"/>
        <v>33.43</v>
      </c>
      <c r="G225" s="175">
        <f t="shared" si="37"/>
        <v>33.031999999999996</v>
      </c>
      <c r="H225" s="175" t="str">
        <f t="shared" si="33"/>
        <v>IN</v>
      </c>
      <c r="I225" s="177">
        <f t="shared" si="36"/>
        <v>6607.8139999999985</v>
      </c>
      <c r="J225" s="177">
        <f t="shared" si="34"/>
        <v>5009.7560000000012</v>
      </c>
      <c r="K225" s="235">
        <f t="shared" si="35"/>
        <v>224.5162439511077</v>
      </c>
      <c r="L225" s="479">
        <v>0</v>
      </c>
      <c r="M225" s="566"/>
      <c r="N225" s="566"/>
      <c r="O225" s="11"/>
    </row>
    <row r="226" spans="2:15" ht="15" customHeight="1">
      <c r="B226" s="173">
        <f t="shared" si="32"/>
        <v>202</v>
      </c>
      <c r="C226" s="173"/>
      <c r="D226" s="174">
        <v>7</v>
      </c>
      <c r="E226" s="168">
        <f t="shared" si="38"/>
        <v>203</v>
      </c>
      <c r="F226" s="286">
        <f t="shared" si="29"/>
        <v>31.93</v>
      </c>
      <c r="G226" s="175">
        <f t="shared" si="37"/>
        <v>31.532</v>
      </c>
      <c r="H226" s="175" t="str">
        <f t="shared" si="33"/>
        <v>IN</v>
      </c>
      <c r="I226" s="177">
        <f t="shared" si="36"/>
        <v>6639.3459999999986</v>
      </c>
      <c r="J226" s="177">
        <f t="shared" si="34"/>
        <v>4978.2240000000011</v>
      </c>
      <c r="K226" s="235">
        <f t="shared" si="35"/>
        <v>225.18200515508016</v>
      </c>
      <c r="L226" s="479">
        <v>0</v>
      </c>
      <c r="M226" s="566"/>
      <c r="N226" s="566"/>
      <c r="O226" s="11"/>
    </row>
    <row r="227" spans="2:15" ht="15" customHeight="1">
      <c r="B227" s="173">
        <f t="shared" si="32"/>
        <v>203</v>
      </c>
      <c r="C227" s="173"/>
      <c r="D227" s="174">
        <v>7</v>
      </c>
      <c r="E227" s="168">
        <f t="shared" si="38"/>
        <v>204</v>
      </c>
      <c r="F227" s="286">
        <f t="shared" si="29"/>
        <v>33.36</v>
      </c>
      <c r="G227" s="175">
        <f t="shared" si="37"/>
        <v>32.961999999999996</v>
      </c>
      <c r="H227" s="175" t="str">
        <f t="shared" si="33"/>
        <v>IN</v>
      </c>
      <c r="I227" s="177">
        <f t="shared" si="36"/>
        <v>6672.3079999999991</v>
      </c>
      <c r="J227" s="177">
        <f t="shared" si="34"/>
        <v>4945.2620000000006</v>
      </c>
      <c r="K227" s="235">
        <f t="shared" si="35"/>
        <v>225.87795913216195</v>
      </c>
      <c r="L227" s="479">
        <v>0</v>
      </c>
      <c r="M227" s="566"/>
      <c r="N227" s="566"/>
      <c r="O227" s="11"/>
    </row>
    <row r="228" spans="2:15" ht="15" customHeight="1">
      <c r="B228" s="173">
        <f t="shared" si="32"/>
        <v>204</v>
      </c>
      <c r="C228" s="173"/>
      <c r="D228" s="174">
        <v>7</v>
      </c>
      <c r="E228" s="168">
        <f t="shared" si="38"/>
        <v>205</v>
      </c>
      <c r="F228" s="286">
        <f t="shared" si="29"/>
        <v>33.409999999999997</v>
      </c>
      <c r="G228" s="175">
        <f t="shared" si="37"/>
        <v>33.011999999999993</v>
      </c>
      <c r="H228" s="175" t="str">
        <f t="shared" si="33"/>
        <v>IN</v>
      </c>
      <c r="I228" s="177">
        <f t="shared" si="36"/>
        <v>6705.3199999999988</v>
      </c>
      <c r="J228" s="177">
        <f t="shared" si="34"/>
        <v>4912.2500000000009</v>
      </c>
      <c r="K228" s="235">
        <f t="shared" si="35"/>
        <v>226.57496880061115</v>
      </c>
      <c r="L228" s="479">
        <v>0</v>
      </c>
      <c r="M228" s="566"/>
      <c r="N228" s="566"/>
      <c r="O228" s="11"/>
    </row>
    <row r="229" spans="2:15" ht="15" customHeight="1">
      <c r="B229" s="173">
        <f t="shared" si="32"/>
        <v>205</v>
      </c>
      <c r="C229" s="173"/>
      <c r="D229" s="174">
        <v>7</v>
      </c>
      <c r="E229" s="168">
        <f t="shared" si="38"/>
        <v>206</v>
      </c>
      <c r="F229" s="286">
        <f t="shared" si="29"/>
        <v>32.65</v>
      </c>
      <c r="G229" s="175">
        <f t="shared" si="37"/>
        <v>32.251999999999995</v>
      </c>
      <c r="H229" s="175" t="str">
        <f t="shared" si="33"/>
        <v>IN</v>
      </c>
      <c r="I229" s="177">
        <f t="shared" si="36"/>
        <v>6737.5719999999992</v>
      </c>
      <c r="J229" s="177">
        <f t="shared" si="34"/>
        <v>4879.9980000000005</v>
      </c>
      <c r="K229" s="235">
        <f t="shared" si="35"/>
        <v>227.25593196027501</v>
      </c>
      <c r="L229" s="479">
        <v>0</v>
      </c>
      <c r="M229" s="566"/>
      <c r="N229" s="566"/>
      <c r="O229" s="11"/>
    </row>
    <row r="230" spans="2:15" ht="15" customHeight="1">
      <c r="B230" s="173">
        <f t="shared" si="32"/>
        <v>206</v>
      </c>
      <c r="C230" s="173"/>
      <c r="D230" s="174">
        <v>7</v>
      </c>
      <c r="E230" s="168">
        <f t="shared" si="38"/>
        <v>207</v>
      </c>
      <c r="F230" s="286">
        <f t="shared" si="29"/>
        <v>33.159999999999997</v>
      </c>
      <c r="G230" s="175">
        <f t="shared" si="37"/>
        <v>32.761999999999993</v>
      </c>
      <c r="H230" s="175" t="str">
        <f t="shared" si="33"/>
        <v>IN</v>
      </c>
      <c r="I230" s="177">
        <f t="shared" si="36"/>
        <v>6770.3339999999989</v>
      </c>
      <c r="J230" s="177">
        <f t="shared" si="34"/>
        <v>4847.2360000000008</v>
      </c>
      <c r="K230" s="235">
        <f t="shared" si="35"/>
        <v>227.94766317188694</v>
      </c>
      <c r="L230" s="479">
        <v>0</v>
      </c>
      <c r="M230" s="566"/>
      <c r="N230" s="566"/>
      <c r="O230" s="11"/>
    </row>
    <row r="231" spans="2:15" ht="15" customHeight="1">
      <c r="B231" s="173">
        <f t="shared" si="32"/>
        <v>207</v>
      </c>
      <c r="C231" s="173"/>
      <c r="D231" s="174">
        <v>7</v>
      </c>
      <c r="E231" s="168">
        <f t="shared" si="38"/>
        <v>208</v>
      </c>
      <c r="F231" s="286">
        <f t="shared" ref="F231:F294" si="39">VLOOKUP(E231,tubing1,2,FALSE)</f>
        <v>33.19</v>
      </c>
      <c r="G231" s="175">
        <f t="shared" si="37"/>
        <v>32.791999999999994</v>
      </c>
      <c r="H231" s="175" t="str">
        <f t="shared" si="33"/>
        <v>IN</v>
      </c>
      <c r="I231" s="177">
        <f t="shared" si="36"/>
        <v>6803.1259999999993</v>
      </c>
      <c r="J231" s="177">
        <f t="shared" si="34"/>
        <v>4814.4440000000004</v>
      </c>
      <c r="K231" s="235">
        <f t="shared" si="35"/>
        <v>228.64002779831932</v>
      </c>
      <c r="L231" s="479">
        <v>0</v>
      </c>
      <c r="M231" s="566"/>
      <c r="N231" s="566"/>
      <c r="O231" s="11"/>
    </row>
    <row r="232" spans="2:15" ht="15" customHeight="1">
      <c r="B232" s="173">
        <f t="shared" ref="B232:B241" si="40">B231+1</f>
        <v>208</v>
      </c>
      <c r="C232" s="173"/>
      <c r="D232" s="174">
        <v>7</v>
      </c>
      <c r="E232" s="168">
        <f t="shared" si="38"/>
        <v>209</v>
      </c>
      <c r="F232" s="286">
        <f t="shared" si="39"/>
        <v>32.58</v>
      </c>
      <c r="G232" s="175">
        <f t="shared" si="37"/>
        <v>32.181999999999995</v>
      </c>
      <c r="H232" s="175" t="str">
        <f t="shared" si="33"/>
        <v>IN</v>
      </c>
      <c r="I232" s="177">
        <f t="shared" si="36"/>
        <v>6835.3079999999991</v>
      </c>
      <c r="J232" s="177">
        <f t="shared" si="34"/>
        <v>4782.2620000000006</v>
      </c>
      <c r="K232" s="235">
        <f t="shared" si="35"/>
        <v>229.31951299006874</v>
      </c>
      <c r="L232" s="479">
        <v>0</v>
      </c>
      <c r="M232" s="566"/>
      <c r="N232" s="566"/>
      <c r="O232" s="11"/>
    </row>
    <row r="233" spans="2:15" ht="15" customHeight="1">
      <c r="B233" s="173">
        <f t="shared" si="40"/>
        <v>209</v>
      </c>
      <c r="C233" s="173"/>
      <c r="D233" s="174">
        <v>7</v>
      </c>
      <c r="E233" s="168">
        <f t="shared" si="38"/>
        <v>210</v>
      </c>
      <c r="F233" s="286">
        <f t="shared" si="39"/>
        <v>33.4</v>
      </c>
      <c r="G233" s="175">
        <f t="shared" si="37"/>
        <v>33.001999999999995</v>
      </c>
      <c r="H233" s="175" t="str">
        <f t="shared" si="33"/>
        <v>IN</v>
      </c>
      <c r="I233" s="177">
        <f t="shared" si="36"/>
        <v>6868.3099999999995</v>
      </c>
      <c r="J233" s="177">
        <f t="shared" si="34"/>
        <v>4749.26</v>
      </c>
      <c r="K233" s="235">
        <f t="shared" si="35"/>
        <v>230.01631152024447</v>
      </c>
      <c r="L233" s="479">
        <v>0</v>
      </c>
      <c r="M233" s="566"/>
      <c r="N233" s="566"/>
      <c r="O233" s="11"/>
    </row>
    <row r="234" spans="2:15" ht="15" customHeight="1">
      <c r="B234" s="173">
        <f t="shared" si="40"/>
        <v>210</v>
      </c>
      <c r="C234" s="173"/>
      <c r="D234" s="174">
        <v>7</v>
      </c>
      <c r="E234" s="168">
        <f t="shared" si="38"/>
        <v>211</v>
      </c>
      <c r="F234" s="286">
        <f t="shared" si="39"/>
        <v>33.270000000000003</v>
      </c>
      <c r="G234" s="175">
        <f t="shared" si="37"/>
        <v>32.872</v>
      </c>
      <c r="H234" s="175" t="str">
        <f t="shared" si="33"/>
        <v>IN</v>
      </c>
      <c r="I234" s="177">
        <f t="shared" si="36"/>
        <v>6901.1819999999998</v>
      </c>
      <c r="J234" s="177">
        <f t="shared" si="34"/>
        <v>4716.3879999999999</v>
      </c>
      <c r="K234" s="235">
        <f t="shared" si="35"/>
        <v>230.71036525286479</v>
      </c>
      <c r="L234" s="479">
        <v>0</v>
      </c>
      <c r="M234" s="566"/>
      <c r="N234" s="566"/>
      <c r="O234" s="11"/>
    </row>
    <row r="235" spans="2:15" ht="15" customHeight="1">
      <c r="B235" s="173">
        <f t="shared" si="40"/>
        <v>211</v>
      </c>
      <c r="C235" s="173"/>
      <c r="D235" s="174">
        <v>7</v>
      </c>
      <c r="E235" s="168">
        <f t="shared" si="38"/>
        <v>212</v>
      </c>
      <c r="F235" s="286">
        <f t="shared" si="39"/>
        <v>32.69</v>
      </c>
      <c r="G235" s="175">
        <f t="shared" si="37"/>
        <v>32.291999999999994</v>
      </c>
      <c r="H235" s="175" t="str">
        <f t="shared" si="33"/>
        <v>IN</v>
      </c>
      <c r="I235" s="177">
        <f t="shared" si="36"/>
        <v>6933.4740000000002</v>
      </c>
      <c r="J235" s="177">
        <f t="shared" si="34"/>
        <v>4684.0959999999995</v>
      </c>
      <c r="K235" s="235">
        <f t="shared" si="35"/>
        <v>231.39217296562262</v>
      </c>
      <c r="L235" s="479">
        <v>0</v>
      </c>
      <c r="M235" s="566"/>
      <c r="N235" s="566"/>
      <c r="O235" s="11"/>
    </row>
    <row r="236" spans="2:15" ht="15" customHeight="1">
      <c r="B236" s="173">
        <f t="shared" si="40"/>
        <v>212</v>
      </c>
      <c r="C236" s="173"/>
      <c r="D236" s="174">
        <v>7</v>
      </c>
      <c r="E236" s="168">
        <f t="shared" si="38"/>
        <v>213</v>
      </c>
      <c r="F236" s="286">
        <f t="shared" si="39"/>
        <v>33.479999999999997</v>
      </c>
      <c r="G236" s="175">
        <f t="shared" si="37"/>
        <v>33.081999999999994</v>
      </c>
      <c r="H236" s="175" t="str">
        <f t="shared" si="33"/>
        <v>IN</v>
      </c>
      <c r="I236" s="177">
        <f t="shared" si="36"/>
        <v>6966.5560000000005</v>
      </c>
      <c r="J236" s="177">
        <f t="shared" si="34"/>
        <v>4651.0139999999992</v>
      </c>
      <c r="K236" s="235">
        <f t="shared" si="35"/>
        <v>232.09066060198626</v>
      </c>
      <c r="L236" s="479">
        <v>0</v>
      </c>
      <c r="M236" s="566"/>
      <c r="N236" s="566"/>
      <c r="O236" s="11"/>
    </row>
    <row r="237" spans="2:15" ht="15" customHeight="1">
      <c r="B237" s="173">
        <f t="shared" si="40"/>
        <v>213</v>
      </c>
      <c r="C237" s="173"/>
      <c r="D237" s="174">
        <v>7</v>
      </c>
      <c r="E237" s="168">
        <f t="shared" si="38"/>
        <v>214</v>
      </c>
      <c r="F237" s="286">
        <f t="shared" si="39"/>
        <v>33.33</v>
      </c>
      <c r="G237" s="175">
        <f t="shared" si="37"/>
        <v>32.931999999999995</v>
      </c>
      <c r="H237" s="175" t="str">
        <f t="shared" si="33"/>
        <v>IN</v>
      </c>
      <c r="I237" s="177">
        <f t="shared" si="36"/>
        <v>6999.4880000000003</v>
      </c>
      <c r="J237" s="177">
        <f t="shared" si="34"/>
        <v>4618.0819999999994</v>
      </c>
      <c r="K237" s="235">
        <f t="shared" si="35"/>
        <v>232.78598116424752</v>
      </c>
      <c r="L237" s="479">
        <v>0</v>
      </c>
      <c r="M237" s="566"/>
      <c r="N237" s="566"/>
      <c r="O237" s="11"/>
    </row>
    <row r="238" spans="2:15" ht="15" customHeight="1">
      <c r="B238" s="173">
        <f t="shared" si="40"/>
        <v>214</v>
      </c>
      <c r="C238" s="173"/>
      <c r="D238" s="174">
        <v>7</v>
      </c>
      <c r="E238" s="168">
        <f t="shared" si="38"/>
        <v>215</v>
      </c>
      <c r="F238" s="286">
        <f t="shared" si="39"/>
        <v>32.68</v>
      </c>
      <c r="G238" s="175">
        <f t="shared" si="37"/>
        <v>32.281999999999996</v>
      </c>
      <c r="H238" s="175" t="str">
        <f t="shared" si="33"/>
        <v>IN</v>
      </c>
      <c r="I238" s="177">
        <f t="shared" si="36"/>
        <v>7031.77</v>
      </c>
      <c r="J238" s="177">
        <f t="shared" si="34"/>
        <v>4585.7999999999993</v>
      </c>
      <c r="K238" s="235">
        <f t="shared" si="35"/>
        <v>233.46757773873188</v>
      </c>
      <c r="L238" s="479">
        <v>0</v>
      </c>
      <c r="M238" s="566"/>
      <c r="N238" s="566"/>
      <c r="O238" s="11"/>
    </row>
    <row r="239" spans="2:15" ht="15" customHeight="1">
      <c r="B239" s="173">
        <f t="shared" si="40"/>
        <v>215</v>
      </c>
      <c r="C239" s="173"/>
      <c r="D239" s="174">
        <v>7</v>
      </c>
      <c r="E239" s="168">
        <f t="shared" si="38"/>
        <v>216</v>
      </c>
      <c r="F239" s="286">
        <f t="shared" si="39"/>
        <v>33</v>
      </c>
      <c r="G239" s="175">
        <f t="shared" si="37"/>
        <v>32.601999999999997</v>
      </c>
      <c r="H239" s="175" t="str">
        <f t="shared" si="33"/>
        <v>IN</v>
      </c>
      <c r="I239" s="175">
        <f t="shared" si="36"/>
        <v>7064.3720000000003</v>
      </c>
      <c r="J239" s="175">
        <f t="shared" si="34"/>
        <v>4553.1979999999994</v>
      </c>
      <c r="K239" s="262">
        <f t="shared" si="35"/>
        <v>234.15593073796796</v>
      </c>
      <c r="L239" s="479">
        <v>0</v>
      </c>
      <c r="M239" s="573"/>
      <c r="N239" s="573"/>
      <c r="O239" s="11"/>
    </row>
    <row r="240" spans="2:15" ht="15" customHeight="1">
      <c r="B240" s="173">
        <f t="shared" si="40"/>
        <v>216</v>
      </c>
      <c r="C240" s="173"/>
      <c r="D240" s="174">
        <v>7</v>
      </c>
      <c r="E240" s="168">
        <f t="shared" si="38"/>
        <v>217</v>
      </c>
      <c r="F240" s="286">
        <f t="shared" si="39"/>
        <v>32.44</v>
      </c>
      <c r="G240" s="175">
        <f t="shared" si="37"/>
        <v>32.041999999999994</v>
      </c>
      <c r="H240" s="175" t="str">
        <f t="shared" si="33"/>
        <v>IN</v>
      </c>
      <c r="I240" s="177">
        <f t="shared" si="36"/>
        <v>7096.4140000000007</v>
      </c>
      <c r="J240" s="177">
        <f t="shared" si="34"/>
        <v>4521.155999999999</v>
      </c>
      <c r="K240" s="235">
        <f t="shared" si="35"/>
        <v>234.83245999388848</v>
      </c>
      <c r="L240" s="479">
        <v>0</v>
      </c>
      <c r="M240" s="566"/>
      <c r="N240" s="566"/>
      <c r="O240" s="11"/>
    </row>
    <row r="241" spans="2:15" ht="15" customHeight="1">
      <c r="B241" s="173">
        <f t="shared" si="40"/>
        <v>217</v>
      </c>
      <c r="C241" s="173"/>
      <c r="D241" s="174">
        <v>7</v>
      </c>
      <c r="E241" s="168">
        <f t="shared" si="38"/>
        <v>218</v>
      </c>
      <c r="F241" s="286">
        <f t="shared" si="39"/>
        <v>33.11</v>
      </c>
      <c r="G241" s="175">
        <f t="shared" si="37"/>
        <v>32.711999999999996</v>
      </c>
      <c r="H241" s="175" t="str">
        <f t="shared" si="33"/>
        <v>IN</v>
      </c>
      <c r="I241" s="177">
        <f t="shared" si="36"/>
        <v>7129.1260000000011</v>
      </c>
      <c r="J241" s="177">
        <f t="shared" si="34"/>
        <v>4488.4439999999986</v>
      </c>
      <c r="K241" s="235">
        <f t="shared" si="35"/>
        <v>235.52313551413297</v>
      </c>
      <c r="L241" s="479">
        <v>0</v>
      </c>
      <c r="M241" s="566"/>
      <c r="N241" s="566"/>
      <c r="O241" s="11"/>
    </row>
    <row r="242" spans="2:15" ht="15" hidden="1" customHeight="1">
      <c r="B242" s="460"/>
      <c r="C242" s="460"/>
      <c r="D242" s="461">
        <v>7</v>
      </c>
      <c r="E242" s="462">
        <f t="shared" si="38"/>
        <v>219</v>
      </c>
      <c r="F242" s="463">
        <f t="shared" si="39"/>
        <v>32.590000000000003</v>
      </c>
      <c r="G242" s="464">
        <f t="shared" si="37"/>
        <v>32.192</v>
      </c>
      <c r="H242" s="496" t="s">
        <v>97</v>
      </c>
      <c r="I242" s="464">
        <f t="shared" si="36"/>
        <v>7129.1260000000011</v>
      </c>
      <c r="J242" s="464">
        <f t="shared" si="34"/>
        <v>4488.4439999999986</v>
      </c>
      <c r="K242" s="465">
        <f t="shared" si="35"/>
        <v>235.52313551413297</v>
      </c>
      <c r="L242" s="480">
        <v>0</v>
      </c>
      <c r="M242" s="643" t="s">
        <v>163</v>
      </c>
      <c r="N242" s="643"/>
      <c r="O242" s="11"/>
    </row>
    <row r="243" spans="2:15" ht="15" customHeight="1">
      <c r="B243" s="176">
        <f>B241+1</f>
        <v>218</v>
      </c>
      <c r="C243" s="176"/>
      <c r="D243" s="232">
        <v>7</v>
      </c>
      <c r="E243" s="242">
        <f t="shared" si="38"/>
        <v>220</v>
      </c>
      <c r="F243" s="467">
        <f t="shared" si="39"/>
        <v>32.72</v>
      </c>
      <c r="G243" s="177">
        <f t="shared" si="37"/>
        <v>32.321999999999996</v>
      </c>
      <c r="H243" s="177" t="s">
        <v>131</v>
      </c>
      <c r="I243" s="177">
        <f t="shared" si="36"/>
        <v>7161.4480000000012</v>
      </c>
      <c r="J243" s="177">
        <f t="shared" si="34"/>
        <v>4456.1219999999985</v>
      </c>
      <c r="K243" s="235">
        <f t="shared" si="35"/>
        <v>236.20557664171127</v>
      </c>
      <c r="L243" s="479">
        <v>0</v>
      </c>
      <c r="M243" s="642"/>
      <c r="N243" s="642"/>
      <c r="O243" s="11"/>
    </row>
    <row r="244" spans="2:15" ht="15" customHeight="1">
      <c r="B244" s="173">
        <f t="shared" ref="B244:B275" si="41">B243+1</f>
        <v>219</v>
      </c>
      <c r="C244" s="173"/>
      <c r="D244" s="174">
        <v>7</v>
      </c>
      <c r="E244" s="168">
        <f t="shared" si="38"/>
        <v>221</v>
      </c>
      <c r="F244" s="286">
        <f t="shared" si="39"/>
        <v>32.25</v>
      </c>
      <c r="G244" s="175">
        <f t="shared" si="37"/>
        <v>31.852</v>
      </c>
      <c r="H244" s="175" t="str">
        <f t="shared" ref="H244:H275" si="42">IF(F244="","OUT","IN")</f>
        <v>IN</v>
      </c>
      <c r="I244" s="177">
        <f t="shared" si="36"/>
        <v>7193.3000000000011</v>
      </c>
      <c r="J244" s="177">
        <f t="shared" si="34"/>
        <v>4424.2699999999986</v>
      </c>
      <c r="K244" s="235">
        <f t="shared" si="35"/>
        <v>236.87809427043547</v>
      </c>
      <c r="L244" s="479">
        <v>0</v>
      </c>
      <c r="M244" s="566"/>
      <c r="N244" s="566"/>
      <c r="O244" s="11"/>
    </row>
    <row r="245" spans="2:15" ht="15" customHeight="1">
      <c r="B245" s="173">
        <f t="shared" si="41"/>
        <v>220</v>
      </c>
      <c r="C245" s="173"/>
      <c r="D245" s="174">
        <v>7</v>
      </c>
      <c r="E245" s="168">
        <f t="shared" si="38"/>
        <v>222</v>
      </c>
      <c r="F245" s="286">
        <f t="shared" si="39"/>
        <v>32.68</v>
      </c>
      <c r="G245" s="175">
        <f t="shared" si="37"/>
        <v>32.281999999999996</v>
      </c>
      <c r="H245" s="175" t="str">
        <f t="shared" si="42"/>
        <v>IN</v>
      </c>
      <c r="I245" s="177">
        <f t="shared" si="36"/>
        <v>7225.5820000000012</v>
      </c>
      <c r="J245" s="177">
        <f t="shared" si="34"/>
        <v>4391.9879999999985</v>
      </c>
      <c r="K245" s="235">
        <f t="shared" si="35"/>
        <v>237.55969084491983</v>
      </c>
      <c r="L245" s="479">
        <v>0</v>
      </c>
      <c r="M245" s="566"/>
      <c r="N245" s="566"/>
      <c r="O245" s="11"/>
    </row>
    <row r="246" spans="2:15" ht="15" customHeight="1">
      <c r="B246" s="173">
        <f t="shared" si="41"/>
        <v>221</v>
      </c>
      <c r="C246" s="173"/>
      <c r="D246" s="174">
        <v>7</v>
      </c>
      <c r="E246" s="168">
        <f t="shared" si="38"/>
        <v>223</v>
      </c>
      <c r="F246" s="286">
        <f t="shared" si="39"/>
        <v>32.86</v>
      </c>
      <c r="G246" s="175">
        <f t="shared" si="37"/>
        <v>32.461999999999996</v>
      </c>
      <c r="H246" s="175" t="str">
        <f t="shared" si="42"/>
        <v>IN</v>
      </c>
      <c r="I246" s="177">
        <f t="shared" si="36"/>
        <v>7258.0440000000017</v>
      </c>
      <c r="J246" s="177">
        <f t="shared" si="34"/>
        <v>4359.525999999998</v>
      </c>
      <c r="K246" s="235">
        <f t="shared" si="35"/>
        <v>238.24508790832701</v>
      </c>
      <c r="L246" s="479">
        <v>0</v>
      </c>
      <c r="M246" s="566"/>
      <c r="N246" s="566"/>
      <c r="O246" s="11"/>
    </row>
    <row r="247" spans="2:15" ht="15" customHeight="1">
      <c r="B247" s="173">
        <f t="shared" si="41"/>
        <v>222</v>
      </c>
      <c r="C247" s="173"/>
      <c r="D247" s="174">
        <v>7</v>
      </c>
      <c r="E247" s="168">
        <f t="shared" si="38"/>
        <v>224</v>
      </c>
      <c r="F247" s="286">
        <f t="shared" si="39"/>
        <v>32.58</v>
      </c>
      <c r="G247" s="175">
        <f t="shared" si="37"/>
        <v>32.181999999999995</v>
      </c>
      <c r="H247" s="175" t="str">
        <f t="shared" si="42"/>
        <v>IN</v>
      </c>
      <c r="I247" s="177">
        <f t="shared" si="36"/>
        <v>7290.2260000000015</v>
      </c>
      <c r="J247" s="177">
        <f t="shared" si="34"/>
        <v>4327.3439999999982</v>
      </c>
      <c r="K247" s="235">
        <f t="shared" si="35"/>
        <v>238.92457310007643</v>
      </c>
      <c r="L247" s="479">
        <v>0</v>
      </c>
      <c r="M247" s="566"/>
      <c r="N247" s="566"/>
      <c r="O247" s="11"/>
    </row>
    <row r="248" spans="2:15" ht="15" customHeight="1">
      <c r="B248" s="173">
        <f t="shared" si="41"/>
        <v>223</v>
      </c>
      <c r="C248" s="173"/>
      <c r="D248" s="174">
        <v>7</v>
      </c>
      <c r="E248" s="168">
        <f t="shared" si="38"/>
        <v>225</v>
      </c>
      <c r="F248" s="286">
        <f t="shared" si="39"/>
        <v>33.29</v>
      </c>
      <c r="G248" s="175">
        <f t="shared" si="37"/>
        <v>32.891999999999996</v>
      </c>
      <c r="H248" s="175" t="str">
        <f t="shared" si="42"/>
        <v>IN</v>
      </c>
      <c r="I248" s="177">
        <f t="shared" si="36"/>
        <v>7323.1180000000013</v>
      </c>
      <c r="J248" s="177">
        <f t="shared" si="34"/>
        <v>4294.4519999999984</v>
      </c>
      <c r="K248" s="235">
        <f t="shared" si="35"/>
        <v>239.61904910924372</v>
      </c>
      <c r="L248" s="479">
        <v>0</v>
      </c>
      <c r="M248" s="566"/>
      <c r="N248" s="566"/>
      <c r="O248" s="11"/>
    </row>
    <row r="249" spans="2:15" ht="15" customHeight="1">
      <c r="B249" s="173">
        <f t="shared" si="41"/>
        <v>224</v>
      </c>
      <c r="C249" s="173"/>
      <c r="D249" s="174">
        <v>7</v>
      </c>
      <c r="E249" s="168">
        <f t="shared" si="38"/>
        <v>226</v>
      </c>
      <c r="F249" s="286">
        <f t="shared" si="39"/>
        <v>33.04</v>
      </c>
      <c r="G249" s="175">
        <f t="shared" si="37"/>
        <v>32.641999999999996</v>
      </c>
      <c r="H249" s="175" t="str">
        <f t="shared" si="42"/>
        <v>IN</v>
      </c>
      <c r="I249" s="177">
        <f t="shared" si="36"/>
        <v>7355.7600000000011</v>
      </c>
      <c r="J249" s="177">
        <f t="shared" si="34"/>
        <v>4261.8099999999986</v>
      </c>
      <c r="K249" s="235">
        <f t="shared" si="35"/>
        <v>240.30824666157378</v>
      </c>
      <c r="L249" s="479">
        <v>0</v>
      </c>
      <c r="M249" s="566"/>
      <c r="N249" s="566"/>
      <c r="O249" s="11"/>
    </row>
    <row r="250" spans="2:15" ht="15" customHeight="1">
      <c r="B250" s="173">
        <f t="shared" si="41"/>
        <v>225</v>
      </c>
      <c r="C250" s="173"/>
      <c r="D250" s="174">
        <v>7</v>
      </c>
      <c r="E250" s="168">
        <f t="shared" si="38"/>
        <v>227</v>
      </c>
      <c r="F250" s="286">
        <f t="shared" si="39"/>
        <v>33.11</v>
      </c>
      <c r="G250" s="175">
        <f t="shared" si="37"/>
        <v>32.711999999999996</v>
      </c>
      <c r="H250" s="175" t="str">
        <f t="shared" si="42"/>
        <v>IN</v>
      </c>
      <c r="I250" s="177">
        <f t="shared" si="36"/>
        <v>7388.4720000000016</v>
      </c>
      <c r="J250" s="177">
        <f t="shared" si="34"/>
        <v>4229.0979999999981</v>
      </c>
      <c r="K250" s="235">
        <f t="shared" si="35"/>
        <v>240.99892218181822</v>
      </c>
      <c r="L250" s="479">
        <v>0</v>
      </c>
      <c r="M250" s="566"/>
      <c r="N250" s="566"/>
      <c r="O250" s="11"/>
    </row>
    <row r="251" spans="2:15" ht="15" customHeight="1">
      <c r="B251" s="173">
        <f t="shared" si="41"/>
        <v>226</v>
      </c>
      <c r="C251" s="173"/>
      <c r="D251" s="174">
        <v>7</v>
      </c>
      <c r="E251" s="168">
        <f t="shared" si="38"/>
        <v>228</v>
      </c>
      <c r="F251" s="286">
        <f t="shared" si="39"/>
        <v>32.76</v>
      </c>
      <c r="G251" s="175">
        <f t="shared" si="37"/>
        <v>32.361999999999995</v>
      </c>
      <c r="H251" s="175" t="str">
        <f t="shared" si="42"/>
        <v>IN</v>
      </c>
      <c r="I251" s="177">
        <f t="shared" si="36"/>
        <v>7420.8340000000017</v>
      </c>
      <c r="J251" s="177">
        <f t="shared" si="34"/>
        <v>4196.7359999999981</v>
      </c>
      <c r="K251" s="235">
        <f t="shared" si="35"/>
        <v>241.68220786249049</v>
      </c>
      <c r="L251" s="479">
        <v>0</v>
      </c>
      <c r="M251" s="566"/>
      <c r="N251" s="566"/>
      <c r="O251" s="11"/>
    </row>
    <row r="252" spans="2:15" ht="15" customHeight="1">
      <c r="B252" s="173">
        <f t="shared" si="41"/>
        <v>227</v>
      </c>
      <c r="C252" s="173"/>
      <c r="D252" s="174">
        <v>7</v>
      </c>
      <c r="E252" s="168">
        <f t="shared" si="38"/>
        <v>229</v>
      </c>
      <c r="F252" s="286">
        <f t="shared" si="39"/>
        <v>33.32</v>
      </c>
      <c r="G252" s="175">
        <f t="shared" si="37"/>
        <v>32.921999999999997</v>
      </c>
      <c r="H252" s="175" t="str">
        <f t="shared" si="42"/>
        <v>IN</v>
      </c>
      <c r="I252" s="177">
        <f t="shared" si="36"/>
        <v>7453.7560000000012</v>
      </c>
      <c r="J252" s="177">
        <f t="shared" si="34"/>
        <v>4163.8139999999985</v>
      </c>
      <c r="K252" s="235">
        <f t="shared" si="35"/>
        <v>242.37731728647825</v>
      </c>
      <c r="L252" s="479">
        <v>0</v>
      </c>
      <c r="M252" s="566"/>
      <c r="N252" s="566"/>
      <c r="O252" s="11"/>
    </row>
    <row r="253" spans="2:15" ht="15" customHeight="1">
      <c r="B253" s="173">
        <f t="shared" si="41"/>
        <v>228</v>
      </c>
      <c r="C253" s="173"/>
      <c r="D253" s="174">
        <v>7</v>
      </c>
      <c r="E253" s="168">
        <f t="shared" si="38"/>
        <v>230</v>
      </c>
      <c r="F253" s="286">
        <f t="shared" si="39"/>
        <v>33.090000000000003</v>
      </c>
      <c r="G253" s="175">
        <f t="shared" si="37"/>
        <v>32.692</v>
      </c>
      <c r="H253" s="175" t="str">
        <f t="shared" si="42"/>
        <v>IN</v>
      </c>
      <c r="I253" s="177">
        <f t="shared" si="36"/>
        <v>7486.4480000000012</v>
      </c>
      <c r="J253" s="177">
        <f t="shared" si="34"/>
        <v>4131.1219999999985</v>
      </c>
      <c r="K253" s="235">
        <f t="shared" si="35"/>
        <v>243.06757053017574</v>
      </c>
      <c r="L253" s="479">
        <v>0</v>
      </c>
      <c r="M253" s="566"/>
      <c r="N253" s="566"/>
      <c r="O253" s="11"/>
    </row>
    <row r="254" spans="2:15" ht="15" customHeight="1">
      <c r="B254" s="173">
        <f t="shared" si="41"/>
        <v>229</v>
      </c>
      <c r="C254" s="173"/>
      <c r="D254" s="174">
        <v>7</v>
      </c>
      <c r="E254" s="168">
        <f t="shared" si="38"/>
        <v>231</v>
      </c>
      <c r="F254" s="286">
        <f t="shared" si="39"/>
        <v>33.08</v>
      </c>
      <c r="G254" s="175">
        <f t="shared" si="37"/>
        <v>32.681999999999995</v>
      </c>
      <c r="H254" s="175" t="str">
        <f t="shared" si="42"/>
        <v>IN</v>
      </c>
      <c r="I254" s="177">
        <f t="shared" si="36"/>
        <v>7519.130000000001</v>
      </c>
      <c r="J254" s="177">
        <f t="shared" si="34"/>
        <v>4098.4399999999987</v>
      </c>
      <c r="K254" s="235">
        <f t="shared" si="35"/>
        <v>243.75761263559974</v>
      </c>
      <c r="L254" s="479">
        <v>0</v>
      </c>
      <c r="M254" s="566"/>
      <c r="N254" s="566"/>
      <c r="O254" s="11"/>
    </row>
    <row r="255" spans="2:15" ht="15" customHeight="1">
      <c r="B255" s="173">
        <f t="shared" si="41"/>
        <v>230</v>
      </c>
      <c r="C255" s="173"/>
      <c r="D255" s="174">
        <v>7</v>
      </c>
      <c r="E255" s="168">
        <f t="shared" si="38"/>
        <v>232</v>
      </c>
      <c r="F255" s="286">
        <f t="shared" si="39"/>
        <v>33.340000000000003</v>
      </c>
      <c r="G255" s="175">
        <f t="shared" si="37"/>
        <v>32.942</v>
      </c>
      <c r="H255" s="175" t="str">
        <f t="shared" si="42"/>
        <v>IN</v>
      </c>
      <c r="I255" s="177">
        <f t="shared" si="36"/>
        <v>7552.072000000001</v>
      </c>
      <c r="J255" s="177">
        <f t="shared" si="34"/>
        <v>4065.4979999999987</v>
      </c>
      <c r="K255" s="235">
        <f t="shared" si="35"/>
        <v>244.4531443361345</v>
      </c>
      <c r="L255" s="479">
        <v>0</v>
      </c>
      <c r="M255" s="566"/>
      <c r="N255" s="566"/>
      <c r="O255" s="11"/>
    </row>
    <row r="256" spans="2:15" ht="15" customHeight="1">
      <c r="B256" s="173">
        <f t="shared" si="41"/>
        <v>231</v>
      </c>
      <c r="C256" s="173"/>
      <c r="D256" s="174">
        <v>7</v>
      </c>
      <c r="E256" s="168">
        <f t="shared" si="38"/>
        <v>233</v>
      </c>
      <c r="F256" s="286">
        <f t="shared" si="39"/>
        <v>32.57</v>
      </c>
      <c r="G256" s="175">
        <f t="shared" si="37"/>
        <v>32.171999999999997</v>
      </c>
      <c r="H256" s="175" t="str">
        <f t="shared" si="42"/>
        <v>IN</v>
      </c>
      <c r="I256" s="177">
        <f t="shared" si="36"/>
        <v>7584.2440000000006</v>
      </c>
      <c r="J256" s="177">
        <f t="shared" si="34"/>
        <v>4033.3259999999991</v>
      </c>
      <c r="K256" s="235">
        <f t="shared" si="35"/>
        <v>245.13241838961039</v>
      </c>
      <c r="L256" s="479">
        <v>0</v>
      </c>
      <c r="M256" s="566"/>
      <c r="N256" s="566"/>
      <c r="O256" s="11"/>
    </row>
    <row r="257" spans="2:15" ht="15" customHeight="1">
      <c r="B257" s="173">
        <f t="shared" si="41"/>
        <v>232</v>
      </c>
      <c r="C257" s="173"/>
      <c r="D257" s="174">
        <v>7</v>
      </c>
      <c r="E257" s="168">
        <f t="shared" si="38"/>
        <v>234</v>
      </c>
      <c r="F257" s="286">
        <f t="shared" si="39"/>
        <v>33.24</v>
      </c>
      <c r="G257" s="175">
        <f t="shared" si="37"/>
        <v>32.841999999999999</v>
      </c>
      <c r="H257" s="175" t="str">
        <f t="shared" si="42"/>
        <v>IN</v>
      </c>
      <c r="I257" s="177">
        <f t="shared" si="36"/>
        <v>7617.0860000000002</v>
      </c>
      <c r="J257" s="177">
        <f t="shared" si="34"/>
        <v>4000.4839999999995</v>
      </c>
      <c r="K257" s="235">
        <f t="shared" si="35"/>
        <v>245.82583870741024</v>
      </c>
      <c r="L257" s="479">
        <v>0</v>
      </c>
      <c r="M257" s="566"/>
      <c r="N257" s="566"/>
      <c r="O257" s="11"/>
    </row>
    <row r="258" spans="2:15" ht="15" customHeight="1">
      <c r="B258" s="173">
        <f t="shared" si="41"/>
        <v>233</v>
      </c>
      <c r="C258" s="173"/>
      <c r="D258" s="174">
        <v>7</v>
      </c>
      <c r="E258" s="168">
        <f t="shared" si="38"/>
        <v>235</v>
      </c>
      <c r="F258" s="286">
        <f t="shared" si="39"/>
        <v>33.31</v>
      </c>
      <c r="G258" s="175">
        <f t="shared" si="37"/>
        <v>32.911999999999999</v>
      </c>
      <c r="H258" s="175" t="str">
        <f t="shared" si="42"/>
        <v>IN</v>
      </c>
      <c r="I258" s="177">
        <f t="shared" si="36"/>
        <v>7649.9980000000005</v>
      </c>
      <c r="J258" s="177">
        <f t="shared" si="34"/>
        <v>3967.5719999999992</v>
      </c>
      <c r="K258" s="235">
        <f t="shared" si="35"/>
        <v>246.52073699312453</v>
      </c>
      <c r="L258" s="479">
        <v>0</v>
      </c>
      <c r="M258" s="566"/>
      <c r="N258" s="566"/>
      <c r="O258" s="11"/>
    </row>
    <row r="259" spans="2:15" ht="15" customHeight="1">
      <c r="B259" s="173">
        <f t="shared" si="41"/>
        <v>234</v>
      </c>
      <c r="C259" s="173"/>
      <c r="D259" s="174">
        <v>7</v>
      </c>
      <c r="E259" s="168">
        <f t="shared" si="38"/>
        <v>236</v>
      </c>
      <c r="F259" s="286">
        <f t="shared" si="39"/>
        <v>33.380000000000003</v>
      </c>
      <c r="G259" s="175">
        <f t="shared" si="37"/>
        <v>32.981999999999999</v>
      </c>
      <c r="H259" s="175" t="str">
        <f t="shared" si="42"/>
        <v>IN</v>
      </c>
      <c r="I259" s="177">
        <f t="shared" si="36"/>
        <v>7682.9800000000005</v>
      </c>
      <c r="J259" s="177">
        <f t="shared" si="34"/>
        <v>3934.5899999999992</v>
      </c>
      <c r="K259" s="235">
        <f t="shared" si="35"/>
        <v>247.21711324675326</v>
      </c>
      <c r="L259" s="479">
        <v>0</v>
      </c>
      <c r="M259" s="566"/>
      <c r="N259" s="566"/>
      <c r="O259" s="11"/>
    </row>
    <row r="260" spans="2:15" ht="15" customHeight="1">
      <c r="B260" s="173">
        <f t="shared" si="41"/>
        <v>235</v>
      </c>
      <c r="C260" s="173"/>
      <c r="D260" s="174">
        <v>7</v>
      </c>
      <c r="E260" s="168">
        <f t="shared" si="38"/>
        <v>237</v>
      </c>
      <c r="F260" s="286">
        <f t="shared" si="39"/>
        <v>33.01</v>
      </c>
      <c r="G260" s="175">
        <f t="shared" si="37"/>
        <v>32.611999999999995</v>
      </c>
      <c r="H260" s="175" t="str">
        <f t="shared" si="42"/>
        <v>IN</v>
      </c>
      <c r="I260" s="175">
        <f t="shared" si="36"/>
        <v>7715.5920000000006</v>
      </c>
      <c r="J260" s="175">
        <f t="shared" si="34"/>
        <v>3901.9779999999992</v>
      </c>
      <c r="K260" s="262">
        <f t="shared" si="35"/>
        <v>247.90567738426282</v>
      </c>
      <c r="L260" s="479">
        <v>0</v>
      </c>
      <c r="M260" s="567"/>
      <c r="N260" s="567"/>
      <c r="O260" s="11"/>
    </row>
    <row r="261" spans="2:15" ht="15" customHeight="1">
      <c r="B261" s="173">
        <f t="shared" si="41"/>
        <v>236</v>
      </c>
      <c r="C261" s="173"/>
      <c r="D261" s="174">
        <v>7</v>
      </c>
      <c r="E261" s="168">
        <f t="shared" si="38"/>
        <v>238</v>
      </c>
      <c r="F261" s="286">
        <f t="shared" si="39"/>
        <v>33.17</v>
      </c>
      <c r="G261" s="175">
        <f t="shared" si="37"/>
        <v>32.771999999999998</v>
      </c>
      <c r="H261" s="175" t="str">
        <f t="shared" si="42"/>
        <v>IN</v>
      </c>
      <c r="I261" s="177">
        <f t="shared" si="36"/>
        <v>7748.3640000000005</v>
      </c>
      <c r="J261" s="177">
        <f t="shared" si="34"/>
        <v>3869.2059999999992</v>
      </c>
      <c r="K261" s="235">
        <f t="shared" si="35"/>
        <v>248.59761973414822</v>
      </c>
      <c r="L261" s="479">
        <v>0</v>
      </c>
      <c r="M261" s="566"/>
      <c r="N261" s="566"/>
      <c r="O261" s="11"/>
    </row>
    <row r="262" spans="2:15" ht="15" customHeight="1">
      <c r="B262" s="173">
        <f t="shared" si="41"/>
        <v>237</v>
      </c>
      <c r="C262" s="173"/>
      <c r="D262" s="174">
        <v>7</v>
      </c>
      <c r="E262" s="168">
        <f t="shared" si="38"/>
        <v>239</v>
      </c>
      <c r="F262" s="286">
        <f t="shared" si="39"/>
        <v>33.18</v>
      </c>
      <c r="G262" s="175">
        <f t="shared" si="37"/>
        <v>32.781999999999996</v>
      </c>
      <c r="H262" s="175" t="str">
        <f t="shared" si="42"/>
        <v>IN</v>
      </c>
      <c r="I262" s="177">
        <f t="shared" si="36"/>
        <v>7781.1460000000006</v>
      </c>
      <c r="J262" s="177">
        <f t="shared" si="34"/>
        <v>3836.4239999999991</v>
      </c>
      <c r="K262" s="235">
        <f t="shared" si="35"/>
        <v>249.28977322230716</v>
      </c>
      <c r="L262" s="479">
        <v>0</v>
      </c>
      <c r="M262" s="566"/>
      <c r="N262" s="566"/>
      <c r="O262" s="11"/>
    </row>
    <row r="263" spans="2:15" ht="15" customHeight="1">
      <c r="B263" s="173">
        <f t="shared" si="41"/>
        <v>238</v>
      </c>
      <c r="C263" s="173"/>
      <c r="D263" s="174">
        <v>7</v>
      </c>
      <c r="E263" s="168">
        <f t="shared" si="38"/>
        <v>240</v>
      </c>
      <c r="F263" s="286">
        <f t="shared" si="39"/>
        <v>33.380000000000003</v>
      </c>
      <c r="G263" s="175">
        <f t="shared" si="37"/>
        <v>32.981999999999999</v>
      </c>
      <c r="H263" s="175" t="str">
        <f t="shared" si="42"/>
        <v>IN</v>
      </c>
      <c r="I263" s="177">
        <f t="shared" si="36"/>
        <v>7814.1280000000006</v>
      </c>
      <c r="J263" s="177">
        <f t="shared" si="34"/>
        <v>3803.4419999999991</v>
      </c>
      <c r="K263" s="235">
        <f t="shared" si="35"/>
        <v>249.98614947593586</v>
      </c>
      <c r="L263" s="479">
        <v>0</v>
      </c>
      <c r="M263" s="566"/>
      <c r="N263" s="566"/>
      <c r="O263" s="11"/>
    </row>
    <row r="264" spans="2:15" ht="15" customHeight="1">
      <c r="B264" s="173">
        <f t="shared" si="41"/>
        <v>239</v>
      </c>
      <c r="C264" s="173"/>
      <c r="D264" s="174">
        <v>7</v>
      </c>
      <c r="E264" s="168">
        <f t="shared" si="38"/>
        <v>241</v>
      </c>
      <c r="F264" s="286">
        <f t="shared" si="39"/>
        <v>33.07</v>
      </c>
      <c r="G264" s="175">
        <f t="shared" si="37"/>
        <v>32.671999999999997</v>
      </c>
      <c r="H264" s="175" t="str">
        <f t="shared" si="42"/>
        <v>IN</v>
      </c>
      <c r="I264" s="177">
        <f t="shared" si="36"/>
        <v>7846.8</v>
      </c>
      <c r="J264" s="177">
        <f t="shared" si="34"/>
        <v>3770.7699999999995</v>
      </c>
      <c r="K264" s="235">
        <f t="shared" si="35"/>
        <v>250.67598044308636</v>
      </c>
      <c r="L264" s="479">
        <v>0</v>
      </c>
      <c r="M264" s="566"/>
      <c r="N264" s="566"/>
      <c r="O264" s="11"/>
    </row>
    <row r="265" spans="2:15" ht="15" customHeight="1">
      <c r="B265" s="173">
        <f t="shared" si="41"/>
        <v>240</v>
      </c>
      <c r="C265" s="173"/>
      <c r="D265" s="174">
        <v>7</v>
      </c>
      <c r="E265" s="168">
        <f t="shared" si="38"/>
        <v>242</v>
      </c>
      <c r="F265" s="286">
        <f t="shared" si="39"/>
        <v>32.869999999999997</v>
      </c>
      <c r="G265" s="175">
        <f t="shared" si="37"/>
        <v>32.471999999999994</v>
      </c>
      <c r="H265" s="175" t="str">
        <f t="shared" si="42"/>
        <v>IN</v>
      </c>
      <c r="I265" s="177">
        <f t="shared" si="36"/>
        <v>7879.2719999999999</v>
      </c>
      <c r="J265" s="177">
        <f t="shared" si="34"/>
        <v>3738.2979999999998</v>
      </c>
      <c r="K265" s="235">
        <f t="shared" si="35"/>
        <v>251.36158864476701</v>
      </c>
      <c r="L265" s="479">
        <v>0</v>
      </c>
      <c r="M265" s="569"/>
      <c r="N265" s="570"/>
      <c r="O265" s="11"/>
    </row>
    <row r="266" spans="2:15" ht="15" customHeight="1">
      <c r="B266" s="173">
        <f t="shared" si="41"/>
        <v>241</v>
      </c>
      <c r="C266" s="173"/>
      <c r="D266" s="174">
        <v>7</v>
      </c>
      <c r="E266" s="168">
        <f t="shared" si="38"/>
        <v>243</v>
      </c>
      <c r="F266" s="286">
        <f t="shared" si="39"/>
        <v>33.18</v>
      </c>
      <c r="G266" s="175">
        <f t="shared" si="37"/>
        <v>32.781999999999996</v>
      </c>
      <c r="H266" s="175" t="str">
        <f t="shared" si="42"/>
        <v>IN</v>
      </c>
      <c r="I266" s="177">
        <f t="shared" si="36"/>
        <v>7912.0540000000001</v>
      </c>
      <c r="J266" s="177">
        <f t="shared" si="34"/>
        <v>3705.5159999999996</v>
      </c>
      <c r="K266" s="235">
        <f t="shared" si="35"/>
        <v>252.05374213292592</v>
      </c>
      <c r="L266" s="479">
        <v>0</v>
      </c>
      <c r="M266" s="569"/>
      <c r="N266" s="570"/>
      <c r="O266" s="11"/>
    </row>
    <row r="267" spans="2:15" ht="15" customHeight="1">
      <c r="B267" s="173">
        <f t="shared" si="41"/>
        <v>242</v>
      </c>
      <c r="C267" s="173"/>
      <c r="D267" s="174">
        <v>7</v>
      </c>
      <c r="E267" s="168">
        <f t="shared" si="38"/>
        <v>244</v>
      </c>
      <c r="F267" s="286">
        <f t="shared" si="39"/>
        <v>32.86</v>
      </c>
      <c r="G267" s="175">
        <f t="shared" si="37"/>
        <v>32.461999999999996</v>
      </c>
      <c r="H267" s="175" t="str">
        <f t="shared" si="42"/>
        <v>IN</v>
      </c>
      <c r="I267" s="177">
        <f t="shared" si="36"/>
        <v>7944.5160000000005</v>
      </c>
      <c r="J267" s="177">
        <f t="shared" si="34"/>
        <v>3673.0539999999992</v>
      </c>
      <c r="K267" s="235">
        <f t="shared" si="35"/>
        <v>252.7391391963331</v>
      </c>
      <c r="L267" s="479">
        <v>0</v>
      </c>
      <c r="M267" s="569"/>
      <c r="N267" s="570"/>
      <c r="O267" s="11"/>
    </row>
    <row r="268" spans="2:15" ht="15" customHeight="1">
      <c r="B268" s="173">
        <f t="shared" si="41"/>
        <v>243</v>
      </c>
      <c r="C268" s="173"/>
      <c r="D268" s="174">
        <v>7</v>
      </c>
      <c r="E268" s="168">
        <f t="shared" si="38"/>
        <v>245</v>
      </c>
      <c r="F268" s="286">
        <f t="shared" si="39"/>
        <v>32.9</v>
      </c>
      <c r="G268" s="175">
        <f t="shared" si="37"/>
        <v>32.501999999999995</v>
      </c>
      <c r="H268" s="175" t="str">
        <f t="shared" si="42"/>
        <v>IN</v>
      </c>
      <c r="I268" s="177">
        <f t="shared" si="36"/>
        <v>7977.0180000000009</v>
      </c>
      <c r="J268" s="177">
        <f t="shared" si="34"/>
        <v>3640.5519999999988</v>
      </c>
      <c r="K268" s="235">
        <f t="shared" si="35"/>
        <v>253.42538081283425</v>
      </c>
      <c r="L268" s="479">
        <v>0</v>
      </c>
      <c r="M268" s="569"/>
      <c r="N268" s="570"/>
      <c r="O268" s="11"/>
    </row>
    <row r="269" spans="2:15" ht="15" customHeight="1">
      <c r="B269" s="173">
        <f t="shared" si="41"/>
        <v>244</v>
      </c>
      <c r="C269" s="173"/>
      <c r="D269" s="174">
        <v>7</v>
      </c>
      <c r="E269" s="168">
        <f t="shared" si="38"/>
        <v>246</v>
      </c>
      <c r="F269" s="286">
        <f t="shared" si="39"/>
        <v>32.659999999999997</v>
      </c>
      <c r="G269" s="175">
        <f t="shared" si="37"/>
        <v>32.261999999999993</v>
      </c>
      <c r="H269" s="175" t="str">
        <f t="shared" si="42"/>
        <v>IN</v>
      </c>
      <c r="I269" s="177">
        <f t="shared" si="36"/>
        <v>8009.2800000000007</v>
      </c>
      <c r="J269" s="177">
        <f t="shared" si="34"/>
        <v>3608.2899999999991</v>
      </c>
      <c r="K269" s="235">
        <f t="shared" si="35"/>
        <v>254.10655511077161</v>
      </c>
      <c r="L269" s="479">
        <v>0</v>
      </c>
      <c r="M269" s="569"/>
      <c r="N269" s="570"/>
      <c r="O269" s="11"/>
    </row>
    <row r="270" spans="2:15" ht="15" customHeight="1">
      <c r="B270" s="173">
        <f t="shared" si="41"/>
        <v>245</v>
      </c>
      <c r="C270" s="173"/>
      <c r="D270" s="174">
        <v>7</v>
      </c>
      <c r="E270" s="168">
        <f t="shared" si="38"/>
        <v>247</v>
      </c>
      <c r="F270" s="286">
        <f t="shared" si="39"/>
        <v>32.92</v>
      </c>
      <c r="G270" s="175">
        <f t="shared" si="37"/>
        <v>32.521999999999998</v>
      </c>
      <c r="H270" s="175" t="str">
        <f t="shared" si="42"/>
        <v>IN</v>
      </c>
      <c r="I270" s="177">
        <f t="shared" si="36"/>
        <v>8041.8020000000006</v>
      </c>
      <c r="J270" s="177">
        <f t="shared" si="34"/>
        <v>3575.7679999999991</v>
      </c>
      <c r="K270" s="235">
        <f t="shared" si="35"/>
        <v>254.79321900381973</v>
      </c>
      <c r="L270" s="479">
        <v>0</v>
      </c>
      <c r="M270" s="569"/>
      <c r="N270" s="570"/>
      <c r="O270" s="11"/>
    </row>
    <row r="271" spans="2:15" ht="15" customHeight="1">
      <c r="B271" s="173">
        <f t="shared" si="41"/>
        <v>246</v>
      </c>
      <c r="C271" s="173"/>
      <c r="D271" s="174">
        <v>7</v>
      </c>
      <c r="E271" s="168">
        <f t="shared" si="38"/>
        <v>248</v>
      </c>
      <c r="F271" s="286">
        <f t="shared" si="39"/>
        <v>30.98</v>
      </c>
      <c r="G271" s="175">
        <f t="shared" si="37"/>
        <v>30.582000000000001</v>
      </c>
      <c r="H271" s="175" t="str">
        <f t="shared" si="42"/>
        <v>IN</v>
      </c>
      <c r="I271" s="177">
        <f t="shared" si="36"/>
        <v>8072.3840000000009</v>
      </c>
      <c r="J271" s="177">
        <f t="shared" ref="J271:J334" si="43">IF(I271="","",$M$9-I271)</f>
        <v>3545.1859999999988</v>
      </c>
      <c r="K271" s="235">
        <f t="shared" si="35"/>
        <v>255.43892207181057</v>
      </c>
      <c r="L271" s="479">
        <v>0</v>
      </c>
      <c r="M271" s="569"/>
      <c r="N271" s="570"/>
      <c r="O271" s="11"/>
    </row>
    <row r="272" spans="2:15" ht="15" customHeight="1">
      <c r="B272" s="173">
        <f t="shared" si="41"/>
        <v>247</v>
      </c>
      <c r="C272" s="173"/>
      <c r="D272" s="174">
        <v>7</v>
      </c>
      <c r="E272" s="168">
        <f t="shared" si="38"/>
        <v>249</v>
      </c>
      <c r="F272" s="286">
        <f t="shared" si="39"/>
        <v>32.99</v>
      </c>
      <c r="G272" s="175">
        <f t="shared" si="37"/>
        <v>32.591999999999999</v>
      </c>
      <c r="H272" s="175" t="str">
        <f t="shared" si="42"/>
        <v>IN</v>
      </c>
      <c r="I272" s="177">
        <f t="shared" si="36"/>
        <v>8104.9760000000006</v>
      </c>
      <c r="J272" s="177">
        <f t="shared" si="43"/>
        <v>3512.5939999999991</v>
      </c>
      <c r="K272" s="235">
        <f t="shared" ref="K272:K335" si="44">$H$9+(I272*$E$10*$H$11/1000)</f>
        <v>256.12706393277313</v>
      </c>
      <c r="L272" s="479">
        <v>0</v>
      </c>
      <c r="M272" s="569"/>
      <c r="N272" s="570"/>
      <c r="O272" s="11"/>
    </row>
    <row r="273" spans="2:15" ht="15" customHeight="1">
      <c r="B273" s="173">
        <f t="shared" si="41"/>
        <v>248</v>
      </c>
      <c r="C273" s="173"/>
      <c r="D273" s="174">
        <v>7</v>
      </c>
      <c r="E273" s="168">
        <f t="shared" si="38"/>
        <v>250</v>
      </c>
      <c r="F273" s="286">
        <f t="shared" si="39"/>
        <v>33.07</v>
      </c>
      <c r="G273" s="175">
        <f t="shared" si="37"/>
        <v>32.671999999999997</v>
      </c>
      <c r="H273" s="175" t="str">
        <f t="shared" si="42"/>
        <v>IN</v>
      </c>
      <c r="I273" s="177">
        <f t="shared" ref="I273:I336" si="45">IF(H273="IN",I272+G273,I272)</f>
        <v>8137.6480000000001</v>
      </c>
      <c r="J273" s="177">
        <f t="shared" si="43"/>
        <v>3479.9219999999996</v>
      </c>
      <c r="K273" s="235">
        <f t="shared" si="44"/>
        <v>256.81689489992362</v>
      </c>
      <c r="L273" s="479">
        <v>0</v>
      </c>
      <c r="M273" s="569"/>
      <c r="N273" s="570"/>
      <c r="O273" s="11"/>
    </row>
    <row r="274" spans="2:15" ht="15" customHeight="1">
      <c r="B274" s="173">
        <f t="shared" si="41"/>
        <v>249</v>
      </c>
      <c r="C274" s="173"/>
      <c r="D274" s="174">
        <v>7</v>
      </c>
      <c r="E274" s="168">
        <f t="shared" si="38"/>
        <v>251</v>
      </c>
      <c r="F274" s="286">
        <f t="shared" si="39"/>
        <v>31.29</v>
      </c>
      <c r="G274" s="175">
        <f t="shared" si="37"/>
        <v>30.891999999999999</v>
      </c>
      <c r="H274" s="175" t="str">
        <f t="shared" si="42"/>
        <v>IN</v>
      </c>
      <c r="I274" s="177">
        <f t="shared" si="45"/>
        <v>8168.54</v>
      </c>
      <c r="J274" s="177">
        <f t="shared" si="43"/>
        <v>3449.0299999999997</v>
      </c>
      <c r="K274" s="235">
        <f t="shared" si="44"/>
        <v>257.46914325439269</v>
      </c>
      <c r="L274" s="479">
        <v>0</v>
      </c>
      <c r="M274" s="569"/>
      <c r="N274" s="570"/>
      <c r="O274" s="11"/>
    </row>
    <row r="275" spans="2:15" ht="15" customHeight="1">
      <c r="B275" s="173">
        <f t="shared" si="41"/>
        <v>250</v>
      </c>
      <c r="C275" s="173"/>
      <c r="D275" s="174">
        <v>7</v>
      </c>
      <c r="E275" s="168">
        <f t="shared" si="38"/>
        <v>252</v>
      </c>
      <c r="F275" s="286">
        <f t="shared" si="39"/>
        <v>33.44</v>
      </c>
      <c r="G275" s="175">
        <f t="shared" si="37"/>
        <v>33.041999999999994</v>
      </c>
      <c r="H275" s="175" t="str">
        <f t="shared" si="42"/>
        <v>IN</v>
      </c>
      <c r="I275" s="175">
        <f t="shared" si="45"/>
        <v>8201.5820000000003</v>
      </c>
      <c r="J275" s="175">
        <f t="shared" si="43"/>
        <v>3415.9879999999994</v>
      </c>
      <c r="K275" s="262">
        <f t="shared" si="44"/>
        <v>258.1667863376623</v>
      </c>
      <c r="L275" s="479">
        <v>0</v>
      </c>
      <c r="M275" s="546"/>
      <c r="N275" s="547"/>
      <c r="O275" s="11"/>
    </row>
    <row r="276" spans="2:15" ht="15" customHeight="1">
      <c r="B276" s="173">
        <f t="shared" ref="B276:B307" si="46">B275+1</f>
        <v>251</v>
      </c>
      <c r="C276" s="173"/>
      <c r="D276" s="174">
        <v>7</v>
      </c>
      <c r="E276" s="168">
        <f t="shared" si="38"/>
        <v>253</v>
      </c>
      <c r="F276" s="286">
        <f t="shared" si="39"/>
        <v>32.68</v>
      </c>
      <c r="G276" s="175">
        <f t="shared" si="37"/>
        <v>32.281999999999996</v>
      </c>
      <c r="H276" s="175" t="str">
        <f t="shared" ref="H276:H307" si="47">IF(F276="","OUT","IN")</f>
        <v>IN</v>
      </c>
      <c r="I276" s="177">
        <f t="shared" si="45"/>
        <v>8233.8639999999996</v>
      </c>
      <c r="J276" s="177">
        <f t="shared" si="43"/>
        <v>3383.7060000000001</v>
      </c>
      <c r="K276" s="262">
        <f t="shared" si="44"/>
        <v>258.84838291214669</v>
      </c>
      <c r="L276" s="479">
        <v>0</v>
      </c>
      <c r="M276" s="546"/>
      <c r="N276" s="547"/>
      <c r="O276" s="11"/>
    </row>
    <row r="277" spans="2:15" ht="15" customHeight="1">
      <c r="B277" s="173">
        <f t="shared" si="46"/>
        <v>252</v>
      </c>
      <c r="C277" s="173"/>
      <c r="D277" s="174">
        <v>7</v>
      </c>
      <c r="E277" s="168">
        <f t="shared" si="38"/>
        <v>254</v>
      </c>
      <c r="F277" s="286">
        <f t="shared" si="39"/>
        <v>33.17</v>
      </c>
      <c r="G277" s="175">
        <f t="shared" si="37"/>
        <v>32.771999999999998</v>
      </c>
      <c r="H277" s="175" t="str">
        <f t="shared" si="47"/>
        <v>IN</v>
      </c>
      <c r="I277" s="177">
        <f t="shared" si="45"/>
        <v>8266.6360000000004</v>
      </c>
      <c r="J277" s="177">
        <f t="shared" si="43"/>
        <v>3350.9339999999993</v>
      </c>
      <c r="K277" s="235">
        <f t="shared" si="44"/>
        <v>259.54032526203207</v>
      </c>
      <c r="L277" s="479">
        <v>0</v>
      </c>
      <c r="M277" s="569"/>
      <c r="N277" s="570"/>
      <c r="O277" s="11"/>
    </row>
    <row r="278" spans="2:15" ht="15" customHeight="1">
      <c r="B278" s="173">
        <f t="shared" si="46"/>
        <v>253</v>
      </c>
      <c r="C278" s="173"/>
      <c r="D278" s="174">
        <v>7</v>
      </c>
      <c r="E278" s="168">
        <f t="shared" si="38"/>
        <v>255</v>
      </c>
      <c r="F278" s="286">
        <f t="shared" si="39"/>
        <v>33.07</v>
      </c>
      <c r="G278" s="175">
        <f t="shared" si="37"/>
        <v>32.671999999999997</v>
      </c>
      <c r="H278" s="175" t="str">
        <f t="shared" si="47"/>
        <v>IN</v>
      </c>
      <c r="I278" s="177">
        <f t="shared" si="45"/>
        <v>8299.3080000000009</v>
      </c>
      <c r="J278" s="177">
        <f t="shared" si="43"/>
        <v>3318.2619999999988</v>
      </c>
      <c r="K278" s="235">
        <f t="shared" si="44"/>
        <v>260.23015622918263</v>
      </c>
      <c r="L278" s="479">
        <v>0</v>
      </c>
      <c r="M278" s="569"/>
      <c r="N278" s="570"/>
      <c r="O278" s="11"/>
    </row>
    <row r="279" spans="2:15" ht="15" customHeight="1">
      <c r="B279" s="173">
        <f t="shared" si="46"/>
        <v>254</v>
      </c>
      <c r="C279" s="173"/>
      <c r="D279" s="174">
        <v>7</v>
      </c>
      <c r="E279" s="168">
        <f t="shared" si="38"/>
        <v>256</v>
      </c>
      <c r="F279" s="286">
        <f t="shared" si="39"/>
        <v>33.229999999999997</v>
      </c>
      <c r="G279" s="175">
        <f t="shared" si="37"/>
        <v>32.831999999999994</v>
      </c>
      <c r="H279" s="175" t="str">
        <f t="shared" si="47"/>
        <v>IN</v>
      </c>
      <c r="I279" s="177">
        <f t="shared" si="45"/>
        <v>8332.1400000000012</v>
      </c>
      <c r="J279" s="177">
        <f t="shared" si="43"/>
        <v>3285.4299999999985</v>
      </c>
      <c r="K279" s="235">
        <f t="shared" si="44"/>
        <v>260.92336540870895</v>
      </c>
      <c r="L279" s="479">
        <v>0</v>
      </c>
      <c r="M279" s="569"/>
      <c r="N279" s="570"/>
      <c r="O279" s="11"/>
    </row>
    <row r="280" spans="2:15" ht="15" customHeight="1">
      <c r="B280" s="173">
        <f t="shared" si="46"/>
        <v>255</v>
      </c>
      <c r="C280" s="173"/>
      <c r="D280" s="174">
        <v>7</v>
      </c>
      <c r="E280" s="168">
        <f t="shared" si="38"/>
        <v>257</v>
      </c>
      <c r="F280" s="286">
        <f t="shared" si="39"/>
        <v>33</v>
      </c>
      <c r="G280" s="175">
        <f t="shared" si="37"/>
        <v>32.601999999999997</v>
      </c>
      <c r="H280" s="175" t="str">
        <f t="shared" si="47"/>
        <v>IN</v>
      </c>
      <c r="I280" s="177">
        <f t="shared" si="45"/>
        <v>8364.742000000002</v>
      </c>
      <c r="J280" s="177">
        <f t="shared" si="43"/>
        <v>3252.8279999999977</v>
      </c>
      <c r="K280" s="235">
        <f t="shared" si="44"/>
        <v>261.61171840794503</v>
      </c>
      <c r="L280" s="479">
        <v>0</v>
      </c>
      <c r="M280" s="569"/>
      <c r="N280" s="570"/>
      <c r="O280" s="11"/>
    </row>
    <row r="281" spans="2:15" ht="15" customHeight="1">
      <c r="B281" s="173">
        <f t="shared" si="46"/>
        <v>256</v>
      </c>
      <c r="C281" s="173"/>
      <c r="D281" s="174">
        <v>7</v>
      </c>
      <c r="E281" s="168">
        <f t="shared" si="38"/>
        <v>258</v>
      </c>
      <c r="F281" s="286">
        <f t="shared" si="39"/>
        <v>33.04</v>
      </c>
      <c r="G281" s="175">
        <f t="shared" ref="G281:G343" si="48">F281-($E$12)</f>
        <v>32.641999999999996</v>
      </c>
      <c r="H281" s="175" t="str">
        <f t="shared" si="47"/>
        <v>IN</v>
      </c>
      <c r="I281" s="177">
        <f t="shared" si="45"/>
        <v>8397.3840000000018</v>
      </c>
      <c r="J281" s="177">
        <f t="shared" si="43"/>
        <v>3220.1859999999979</v>
      </c>
      <c r="K281" s="235">
        <f t="shared" si="44"/>
        <v>262.30091596027506</v>
      </c>
      <c r="L281" s="479">
        <v>0</v>
      </c>
      <c r="M281" s="569"/>
      <c r="N281" s="570"/>
      <c r="O281" s="11"/>
    </row>
    <row r="282" spans="2:15" ht="15" customHeight="1">
      <c r="B282" s="173">
        <f t="shared" si="46"/>
        <v>257</v>
      </c>
      <c r="C282" s="173"/>
      <c r="D282" s="174">
        <v>7</v>
      </c>
      <c r="E282" s="168">
        <f t="shared" ref="E282:E342" si="49">E281+1</f>
        <v>259</v>
      </c>
      <c r="F282" s="286">
        <f t="shared" si="39"/>
        <v>33.270000000000003</v>
      </c>
      <c r="G282" s="175">
        <f t="shared" si="48"/>
        <v>32.872</v>
      </c>
      <c r="H282" s="175" t="str">
        <f t="shared" si="47"/>
        <v>IN</v>
      </c>
      <c r="I282" s="177">
        <f t="shared" si="45"/>
        <v>8430.2560000000012</v>
      </c>
      <c r="J282" s="177">
        <f t="shared" si="43"/>
        <v>3187.3139999999985</v>
      </c>
      <c r="K282" s="235">
        <f t="shared" si="44"/>
        <v>262.99496969289532</v>
      </c>
      <c r="L282" s="479">
        <v>0</v>
      </c>
      <c r="M282" s="569"/>
      <c r="N282" s="570"/>
      <c r="O282" s="11"/>
    </row>
    <row r="283" spans="2:15" ht="15" customHeight="1">
      <c r="B283" s="173">
        <f t="shared" si="46"/>
        <v>258</v>
      </c>
      <c r="C283" s="173"/>
      <c r="D283" s="174">
        <v>7</v>
      </c>
      <c r="E283" s="168">
        <f t="shared" si="49"/>
        <v>260</v>
      </c>
      <c r="F283" s="286">
        <f t="shared" si="39"/>
        <v>33.270000000000003</v>
      </c>
      <c r="G283" s="175">
        <f t="shared" si="48"/>
        <v>32.872</v>
      </c>
      <c r="H283" s="175" t="str">
        <f t="shared" si="47"/>
        <v>IN</v>
      </c>
      <c r="I283" s="177">
        <f t="shared" si="45"/>
        <v>8463.1280000000006</v>
      </c>
      <c r="J283" s="177">
        <f t="shared" si="43"/>
        <v>3154.4419999999991</v>
      </c>
      <c r="K283" s="235">
        <f t="shared" si="44"/>
        <v>263.68902342551564</v>
      </c>
      <c r="L283" s="479">
        <v>0</v>
      </c>
      <c r="M283" s="569"/>
      <c r="N283" s="570"/>
      <c r="O283" s="11"/>
    </row>
    <row r="284" spans="2:15" ht="15" customHeight="1">
      <c r="B284" s="173">
        <f t="shared" si="46"/>
        <v>259</v>
      </c>
      <c r="C284" s="173"/>
      <c r="D284" s="174">
        <v>7</v>
      </c>
      <c r="E284" s="168">
        <f t="shared" si="49"/>
        <v>261</v>
      </c>
      <c r="F284" s="286">
        <f t="shared" si="39"/>
        <v>33.409999999999997</v>
      </c>
      <c r="G284" s="175">
        <f t="shared" si="48"/>
        <v>33.011999999999993</v>
      </c>
      <c r="H284" s="175" t="str">
        <f t="shared" si="47"/>
        <v>IN</v>
      </c>
      <c r="I284" s="177">
        <f t="shared" si="45"/>
        <v>8496.1400000000012</v>
      </c>
      <c r="J284" s="177">
        <f t="shared" si="43"/>
        <v>3121.4299999999985</v>
      </c>
      <c r="K284" s="235">
        <f t="shared" si="44"/>
        <v>264.3860330939649</v>
      </c>
      <c r="L284" s="479">
        <v>0</v>
      </c>
      <c r="M284" s="569"/>
      <c r="N284" s="570"/>
    </row>
    <row r="285" spans="2:15" ht="15" customHeight="1">
      <c r="B285" s="173">
        <f t="shared" si="46"/>
        <v>260</v>
      </c>
      <c r="C285" s="173"/>
      <c r="D285" s="174">
        <v>7</v>
      </c>
      <c r="E285" s="168">
        <f t="shared" si="49"/>
        <v>262</v>
      </c>
      <c r="F285" s="286">
        <f t="shared" si="39"/>
        <v>32.9</v>
      </c>
      <c r="G285" s="175">
        <f t="shared" si="48"/>
        <v>32.501999999999995</v>
      </c>
      <c r="H285" s="175" t="str">
        <f t="shared" si="47"/>
        <v>IN</v>
      </c>
      <c r="I285" s="177">
        <f t="shared" si="45"/>
        <v>8528.6420000000016</v>
      </c>
      <c r="J285" s="177">
        <f t="shared" si="43"/>
        <v>3088.9279999999981</v>
      </c>
      <c r="K285" s="235">
        <f t="shared" si="44"/>
        <v>265.07227471046605</v>
      </c>
      <c r="L285" s="479">
        <v>0</v>
      </c>
      <c r="M285" s="569"/>
      <c r="N285" s="570"/>
      <c r="O285" s="11"/>
    </row>
    <row r="286" spans="2:15" ht="16.149999999999999" customHeight="1">
      <c r="B286" s="173">
        <f t="shared" si="46"/>
        <v>261</v>
      </c>
      <c r="C286" s="173"/>
      <c r="D286" s="174">
        <v>7</v>
      </c>
      <c r="E286" s="168">
        <f t="shared" si="49"/>
        <v>263</v>
      </c>
      <c r="F286" s="286">
        <f t="shared" si="39"/>
        <v>32.659999999999997</v>
      </c>
      <c r="G286" s="175">
        <f t="shared" si="48"/>
        <v>32.261999999999993</v>
      </c>
      <c r="H286" s="175" t="str">
        <f t="shared" si="47"/>
        <v>IN</v>
      </c>
      <c r="I286" s="175">
        <f t="shared" si="45"/>
        <v>8560.9040000000023</v>
      </c>
      <c r="J286" s="175">
        <f t="shared" si="43"/>
        <v>3056.6659999999974</v>
      </c>
      <c r="K286" s="262">
        <f t="shared" si="44"/>
        <v>265.75344900840344</v>
      </c>
      <c r="L286" s="479">
        <v>0</v>
      </c>
      <c r="M286" s="571"/>
      <c r="N286" s="572"/>
      <c r="O286" s="11"/>
    </row>
    <row r="287" spans="2:15" ht="15" customHeight="1">
      <c r="B287" s="173">
        <f t="shared" si="46"/>
        <v>262</v>
      </c>
      <c r="C287" s="173"/>
      <c r="D287" s="174">
        <v>7</v>
      </c>
      <c r="E287" s="168">
        <f t="shared" si="49"/>
        <v>264</v>
      </c>
      <c r="F287" s="286">
        <f t="shared" si="39"/>
        <v>33.159999999999997</v>
      </c>
      <c r="G287" s="175">
        <f t="shared" si="48"/>
        <v>32.761999999999993</v>
      </c>
      <c r="H287" s="175" t="str">
        <f t="shared" si="47"/>
        <v>IN</v>
      </c>
      <c r="I287" s="177">
        <f t="shared" si="45"/>
        <v>8593.6660000000029</v>
      </c>
      <c r="J287" s="177">
        <f t="shared" si="43"/>
        <v>3023.9039999999968</v>
      </c>
      <c r="K287" s="235">
        <f t="shared" si="44"/>
        <v>266.44518022001535</v>
      </c>
      <c r="L287" s="479">
        <v>0</v>
      </c>
      <c r="M287" s="569"/>
      <c r="N287" s="570"/>
      <c r="O287" s="11"/>
    </row>
    <row r="288" spans="2:15" ht="15" customHeight="1">
      <c r="B288" s="173">
        <f t="shared" si="46"/>
        <v>263</v>
      </c>
      <c r="C288" s="173"/>
      <c r="D288" s="174">
        <v>7</v>
      </c>
      <c r="E288" s="168">
        <f t="shared" si="49"/>
        <v>265</v>
      </c>
      <c r="F288" s="286">
        <f t="shared" si="39"/>
        <v>33.409999999999997</v>
      </c>
      <c r="G288" s="175">
        <f t="shared" si="48"/>
        <v>33.011999999999993</v>
      </c>
      <c r="H288" s="175" t="str">
        <f t="shared" si="47"/>
        <v>IN</v>
      </c>
      <c r="I288" s="177">
        <f t="shared" si="45"/>
        <v>8626.6780000000035</v>
      </c>
      <c r="J288" s="177">
        <f t="shared" si="43"/>
        <v>2990.8919999999962</v>
      </c>
      <c r="K288" s="235">
        <f t="shared" si="44"/>
        <v>267.14218988846454</v>
      </c>
      <c r="L288" s="479">
        <v>0</v>
      </c>
      <c r="M288" s="569"/>
      <c r="N288" s="570"/>
      <c r="O288" s="11"/>
    </row>
    <row r="289" spans="2:15" ht="15" customHeight="1">
      <c r="B289" s="173">
        <f t="shared" si="46"/>
        <v>264</v>
      </c>
      <c r="C289" s="173"/>
      <c r="D289" s="174">
        <v>7</v>
      </c>
      <c r="E289" s="168">
        <f t="shared" si="49"/>
        <v>266</v>
      </c>
      <c r="F289" s="286">
        <f t="shared" si="39"/>
        <v>33.229999999999997</v>
      </c>
      <c r="G289" s="175">
        <f t="shared" si="48"/>
        <v>32.831999999999994</v>
      </c>
      <c r="H289" s="175" t="str">
        <f t="shared" si="47"/>
        <v>IN</v>
      </c>
      <c r="I289" s="177">
        <f t="shared" si="45"/>
        <v>8659.5100000000039</v>
      </c>
      <c r="J289" s="177">
        <f t="shared" si="43"/>
        <v>2958.0599999999959</v>
      </c>
      <c r="K289" s="235">
        <f t="shared" si="44"/>
        <v>267.83539906799092</v>
      </c>
      <c r="L289" s="479">
        <v>0</v>
      </c>
      <c r="M289" s="569"/>
      <c r="N289" s="570"/>
      <c r="O289" s="11"/>
    </row>
    <row r="290" spans="2:15" ht="15" customHeight="1">
      <c r="B290" s="173">
        <f t="shared" si="46"/>
        <v>265</v>
      </c>
      <c r="C290" s="173"/>
      <c r="D290" s="174">
        <v>7</v>
      </c>
      <c r="E290" s="168">
        <f t="shared" si="49"/>
        <v>267</v>
      </c>
      <c r="F290" s="286">
        <f t="shared" si="39"/>
        <v>33.409999999999997</v>
      </c>
      <c r="G290" s="175">
        <f t="shared" si="48"/>
        <v>33.011999999999993</v>
      </c>
      <c r="H290" s="175" t="str">
        <f t="shared" si="47"/>
        <v>IN</v>
      </c>
      <c r="I290" s="177">
        <f t="shared" si="45"/>
        <v>8692.5220000000045</v>
      </c>
      <c r="J290" s="177">
        <f t="shared" si="43"/>
        <v>2925.0479999999952</v>
      </c>
      <c r="K290" s="235">
        <f t="shared" si="44"/>
        <v>268.53240873644012</v>
      </c>
      <c r="L290" s="479">
        <v>0</v>
      </c>
      <c r="M290" s="569"/>
      <c r="N290" s="570"/>
      <c r="O290" s="11"/>
    </row>
    <row r="291" spans="2:15" ht="15" customHeight="1">
      <c r="B291" s="173">
        <f t="shared" si="46"/>
        <v>266</v>
      </c>
      <c r="C291" s="173"/>
      <c r="D291" s="174">
        <v>7</v>
      </c>
      <c r="E291" s="168">
        <f t="shared" si="49"/>
        <v>268</v>
      </c>
      <c r="F291" s="286">
        <f t="shared" si="39"/>
        <v>33.39</v>
      </c>
      <c r="G291" s="175">
        <f t="shared" si="48"/>
        <v>32.991999999999997</v>
      </c>
      <c r="H291" s="175" t="str">
        <f t="shared" si="47"/>
        <v>IN</v>
      </c>
      <c r="I291" s="177">
        <f t="shared" si="45"/>
        <v>8725.5140000000047</v>
      </c>
      <c r="J291" s="177">
        <f t="shared" si="43"/>
        <v>2892.055999999995</v>
      </c>
      <c r="K291" s="235">
        <f t="shared" si="44"/>
        <v>269.22899612834237</v>
      </c>
      <c r="L291" s="479">
        <v>0</v>
      </c>
      <c r="M291" s="569"/>
      <c r="N291" s="570"/>
      <c r="O291" s="11"/>
    </row>
    <row r="292" spans="2:15" ht="15" customHeight="1">
      <c r="B292" s="173">
        <f t="shared" si="46"/>
        <v>267</v>
      </c>
      <c r="C292" s="173"/>
      <c r="D292" s="174">
        <v>7</v>
      </c>
      <c r="E292" s="168">
        <f t="shared" si="49"/>
        <v>269</v>
      </c>
      <c r="F292" s="286">
        <f t="shared" si="39"/>
        <v>33.39</v>
      </c>
      <c r="G292" s="175">
        <f t="shared" si="48"/>
        <v>32.991999999999997</v>
      </c>
      <c r="H292" s="175" t="str">
        <f t="shared" si="47"/>
        <v>IN</v>
      </c>
      <c r="I292" s="177">
        <f t="shared" si="45"/>
        <v>8758.5060000000049</v>
      </c>
      <c r="J292" s="177">
        <f t="shared" si="43"/>
        <v>2859.0639999999948</v>
      </c>
      <c r="K292" s="235">
        <f t="shared" si="44"/>
        <v>269.92558352024457</v>
      </c>
      <c r="L292" s="479">
        <v>0</v>
      </c>
      <c r="M292" s="569"/>
      <c r="N292" s="570"/>
      <c r="O292" s="11"/>
    </row>
    <row r="293" spans="2:15" ht="15" customHeight="1">
      <c r="B293" s="173">
        <f t="shared" si="46"/>
        <v>268</v>
      </c>
      <c r="C293" s="173"/>
      <c r="D293" s="174">
        <v>7</v>
      </c>
      <c r="E293" s="168">
        <f t="shared" si="49"/>
        <v>270</v>
      </c>
      <c r="F293" s="286">
        <f t="shared" si="39"/>
        <v>33.22</v>
      </c>
      <c r="G293" s="175">
        <f t="shared" si="48"/>
        <v>32.821999999999996</v>
      </c>
      <c r="H293" s="175" t="str">
        <f t="shared" si="47"/>
        <v>IN</v>
      </c>
      <c r="I293" s="177">
        <f t="shared" si="45"/>
        <v>8791.328000000005</v>
      </c>
      <c r="J293" s="177">
        <f t="shared" si="43"/>
        <v>2826.2419999999947</v>
      </c>
      <c r="K293" s="235">
        <f t="shared" si="44"/>
        <v>270.61858156149742</v>
      </c>
      <c r="L293" s="479">
        <v>0</v>
      </c>
      <c r="M293" s="569"/>
      <c r="N293" s="570"/>
      <c r="O293" s="11"/>
    </row>
    <row r="294" spans="2:15" ht="15" customHeight="1">
      <c r="B294" s="173">
        <f t="shared" si="46"/>
        <v>269</v>
      </c>
      <c r="C294" s="173"/>
      <c r="D294" s="174">
        <v>7</v>
      </c>
      <c r="E294" s="168">
        <f t="shared" si="49"/>
        <v>271</v>
      </c>
      <c r="F294" s="286">
        <f t="shared" si="39"/>
        <v>33.090000000000003</v>
      </c>
      <c r="G294" s="175">
        <f t="shared" si="48"/>
        <v>32.692</v>
      </c>
      <c r="H294" s="175" t="str">
        <f t="shared" si="47"/>
        <v>IN</v>
      </c>
      <c r="I294" s="177">
        <f t="shared" si="45"/>
        <v>8824.0200000000041</v>
      </c>
      <c r="J294" s="177">
        <f t="shared" si="43"/>
        <v>2793.5499999999956</v>
      </c>
      <c r="K294" s="235">
        <f t="shared" si="44"/>
        <v>271.30883480519492</v>
      </c>
      <c r="L294" s="479">
        <v>0</v>
      </c>
      <c r="M294" s="569"/>
      <c r="N294" s="570"/>
      <c r="O294" s="11"/>
    </row>
    <row r="295" spans="2:15" ht="15" customHeight="1">
      <c r="B295" s="173">
        <f t="shared" si="46"/>
        <v>270</v>
      </c>
      <c r="C295" s="173"/>
      <c r="D295" s="174">
        <v>7</v>
      </c>
      <c r="E295" s="168">
        <f t="shared" si="49"/>
        <v>272</v>
      </c>
      <c r="F295" s="286">
        <f t="shared" ref="F295:F342" si="50">VLOOKUP(E295,tubing1,2,FALSE)</f>
        <v>33.21</v>
      </c>
      <c r="G295" s="175">
        <f t="shared" si="48"/>
        <v>32.811999999999998</v>
      </c>
      <c r="H295" s="175" t="str">
        <f t="shared" si="47"/>
        <v>IN</v>
      </c>
      <c r="I295" s="177">
        <f t="shared" si="45"/>
        <v>8856.832000000004</v>
      </c>
      <c r="J295" s="177">
        <f t="shared" si="43"/>
        <v>2760.7379999999957</v>
      </c>
      <c r="K295" s="235">
        <f t="shared" si="44"/>
        <v>272.0016217081743</v>
      </c>
      <c r="L295" s="479">
        <v>0</v>
      </c>
      <c r="M295" s="569"/>
      <c r="N295" s="570"/>
      <c r="O295" s="11"/>
    </row>
    <row r="296" spans="2:15" ht="15" customHeight="1">
      <c r="B296" s="173">
        <f t="shared" si="46"/>
        <v>271</v>
      </c>
      <c r="C296" s="173"/>
      <c r="D296" s="174">
        <v>7</v>
      </c>
      <c r="E296" s="168">
        <f t="shared" si="49"/>
        <v>273</v>
      </c>
      <c r="F296" s="286">
        <f t="shared" si="50"/>
        <v>32.9</v>
      </c>
      <c r="G296" s="175">
        <f t="shared" si="48"/>
        <v>32.501999999999995</v>
      </c>
      <c r="H296" s="175" t="str">
        <f t="shared" si="47"/>
        <v>IN</v>
      </c>
      <c r="I296" s="177">
        <f t="shared" si="45"/>
        <v>8889.3340000000044</v>
      </c>
      <c r="J296" s="177">
        <f t="shared" si="43"/>
        <v>2728.2359999999953</v>
      </c>
      <c r="K296" s="235">
        <f t="shared" si="44"/>
        <v>272.68786332467545</v>
      </c>
      <c r="L296" s="479">
        <v>0</v>
      </c>
      <c r="M296" s="569"/>
      <c r="N296" s="570"/>
      <c r="O296" s="11"/>
    </row>
    <row r="297" spans="2:15" ht="15" customHeight="1">
      <c r="B297" s="173">
        <f t="shared" si="46"/>
        <v>272</v>
      </c>
      <c r="C297" s="173"/>
      <c r="D297" s="174">
        <v>7</v>
      </c>
      <c r="E297" s="168">
        <f t="shared" si="49"/>
        <v>274</v>
      </c>
      <c r="F297" s="286">
        <f t="shared" si="50"/>
        <v>33.159999999999997</v>
      </c>
      <c r="G297" s="175">
        <f t="shared" si="48"/>
        <v>32.761999999999993</v>
      </c>
      <c r="H297" s="175" t="str">
        <f t="shared" si="47"/>
        <v>IN</v>
      </c>
      <c r="I297" s="177">
        <f t="shared" si="45"/>
        <v>8922.096000000005</v>
      </c>
      <c r="J297" s="177">
        <f t="shared" si="43"/>
        <v>2695.4739999999947</v>
      </c>
      <c r="K297" s="235">
        <f t="shared" si="44"/>
        <v>273.37959453628736</v>
      </c>
      <c r="L297" s="479">
        <v>0</v>
      </c>
      <c r="M297" s="569"/>
      <c r="N297" s="570"/>
      <c r="O297" s="11"/>
    </row>
    <row r="298" spans="2:15" ht="15" customHeight="1">
      <c r="B298" s="173">
        <f t="shared" si="46"/>
        <v>273</v>
      </c>
      <c r="C298" s="173"/>
      <c r="D298" s="174">
        <v>7</v>
      </c>
      <c r="E298" s="168">
        <f t="shared" si="49"/>
        <v>275</v>
      </c>
      <c r="F298" s="286">
        <f t="shared" si="50"/>
        <v>33.08</v>
      </c>
      <c r="G298" s="175">
        <f t="shared" si="48"/>
        <v>32.681999999999995</v>
      </c>
      <c r="H298" s="175" t="str">
        <f t="shared" si="47"/>
        <v>IN</v>
      </c>
      <c r="I298" s="177">
        <f t="shared" si="45"/>
        <v>8954.7780000000057</v>
      </c>
      <c r="J298" s="177">
        <f t="shared" si="43"/>
        <v>2662.791999999994</v>
      </c>
      <c r="K298" s="235">
        <f t="shared" si="44"/>
        <v>274.06963664171133</v>
      </c>
      <c r="L298" s="479">
        <v>0</v>
      </c>
      <c r="M298" s="569"/>
      <c r="N298" s="570"/>
      <c r="O298" s="11"/>
    </row>
    <row r="299" spans="2:15" ht="15" customHeight="1">
      <c r="B299" s="173">
        <f t="shared" si="46"/>
        <v>274</v>
      </c>
      <c r="C299" s="173"/>
      <c r="D299" s="174">
        <v>7</v>
      </c>
      <c r="E299" s="168">
        <f t="shared" si="49"/>
        <v>276</v>
      </c>
      <c r="F299" s="286">
        <f t="shared" si="50"/>
        <v>33.31</v>
      </c>
      <c r="G299" s="175">
        <f t="shared" si="48"/>
        <v>32.911999999999999</v>
      </c>
      <c r="H299" s="175" t="str">
        <f t="shared" si="47"/>
        <v>IN</v>
      </c>
      <c r="I299" s="177">
        <f t="shared" si="45"/>
        <v>8987.690000000006</v>
      </c>
      <c r="J299" s="177">
        <f t="shared" si="43"/>
        <v>2629.8799999999937</v>
      </c>
      <c r="K299" s="235">
        <f t="shared" si="44"/>
        <v>274.76453492742564</v>
      </c>
      <c r="L299" s="479">
        <v>0</v>
      </c>
      <c r="M299" s="569"/>
      <c r="N299" s="570"/>
      <c r="O299" s="11"/>
    </row>
    <row r="300" spans="2:15" ht="15" customHeight="1">
      <c r="B300" s="173">
        <f t="shared" si="46"/>
        <v>275</v>
      </c>
      <c r="C300" s="173"/>
      <c r="D300" s="174">
        <v>7</v>
      </c>
      <c r="E300" s="168">
        <f t="shared" si="49"/>
        <v>277</v>
      </c>
      <c r="F300" s="286">
        <f t="shared" si="50"/>
        <v>32.71</v>
      </c>
      <c r="G300" s="175">
        <f t="shared" si="48"/>
        <v>32.311999999999998</v>
      </c>
      <c r="H300" s="175" t="str">
        <f t="shared" si="47"/>
        <v>IN</v>
      </c>
      <c r="I300" s="177">
        <f t="shared" si="45"/>
        <v>9020.0020000000059</v>
      </c>
      <c r="J300" s="177">
        <f t="shared" si="43"/>
        <v>2597.5679999999938</v>
      </c>
      <c r="K300" s="235">
        <f t="shared" si="44"/>
        <v>275.44676491673044</v>
      </c>
      <c r="L300" s="479">
        <v>0</v>
      </c>
      <c r="M300" s="569"/>
      <c r="N300" s="570"/>
      <c r="O300" s="11"/>
    </row>
    <row r="301" spans="2:15" ht="15" customHeight="1">
      <c r="B301" s="173">
        <f t="shared" si="46"/>
        <v>276</v>
      </c>
      <c r="C301" s="173"/>
      <c r="D301" s="174">
        <v>7</v>
      </c>
      <c r="E301" s="168">
        <f t="shared" si="49"/>
        <v>278</v>
      </c>
      <c r="F301" s="286">
        <f t="shared" si="50"/>
        <v>32.44</v>
      </c>
      <c r="G301" s="175">
        <f t="shared" si="48"/>
        <v>32.041999999999994</v>
      </c>
      <c r="H301" s="175" t="str">
        <f t="shared" si="47"/>
        <v>IN</v>
      </c>
      <c r="I301" s="177">
        <f t="shared" si="45"/>
        <v>9052.0440000000053</v>
      </c>
      <c r="J301" s="177">
        <f t="shared" si="43"/>
        <v>2565.5259999999944</v>
      </c>
      <c r="K301" s="235">
        <f t="shared" si="44"/>
        <v>276.12329417265101</v>
      </c>
      <c r="L301" s="479">
        <v>0</v>
      </c>
      <c r="M301" s="569"/>
      <c r="N301" s="570"/>
      <c r="O301" s="11"/>
    </row>
    <row r="302" spans="2:15" ht="15" customHeight="1">
      <c r="B302" s="173">
        <f t="shared" si="46"/>
        <v>277</v>
      </c>
      <c r="C302" s="173"/>
      <c r="D302" s="174">
        <v>7</v>
      </c>
      <c r="E302" s="168">
        <f t="shared" si="49"/>
        <v>279</v>
      </c>
      <c r="F302" s="286">
        <f t="shared" si="50"/>
        <v>32.479999999999997</v>
      </c>
      <c r="G302" s="175">
        <f t="shared" si="48"/>
        <v>32.081999999999994</v>
      </c>
      <c r="H302" s="175" t="str">
        <f t="shared" si="47"/>
        <v>IN</v>
      </c>
      <c r="I302" s="177">
        <f t="shared" si="45"/>
        <v>9084.1260000000057</v>
      </c>
      <c r="J302" s="177">
        <f t="shared" si="43"/>
        <v>2533.443999999994</v>
      </c>
      <c r="K302" s="235">
        <f t="shared" si="44"/>
        <v>276.80066798166553</v>
      </c>
      <c r="L302" s="479">
        <v>0</v>
      </c>
      <c r="M302" s="569"/>
      <c r="N302" s="570"/>
      <c r="O302" s="11"/>
    </row>
    <row r="303" spans="2:15" ht="15" customHeight="1">
      <c r="B303" s="173">
        <f t="shared" si="46"/>
        <v>278</v>
      </c>
      <c r="C303" s="173"/>
      <c r="D303" s="174">
        <v>7</v>
      </c>
      <c r="E303" s="168">
        <f t="shared" si="49"/>
        <v>280</v>
      </c>
      <c r="F303" s="286">
        <f t="shared" si="50"/>
        <v>32.72</v>
      </c>
      <c r="G303" s="175">
        <f t="shared" si="48"/>
        <v>32.321999999999996</v>
      </c>
      <c r="H303" s="175" t="str">
        <f t="shared" si="47"/>
        <v>IN</v>
      </c>
      <c r="I303" s="177">
        <f t="shared" si="45"/>
        <v>9116.4480000000058</v>
      </c>
      <c r="J303" s="177">
        <f t="shared" si="43"/>
        <v>2501.1219999999939</v>
      </c>
      <c r="K303" s="235">
        <f t="shared" si="44"/>
        <v>277.48310910924386</v>
      </c>
      <c r="L303" s="479">
        <v>0</v>
      </c>
      <c r="M303" s="569"/>
      <c r="N303" s="570"/>
      <c r="O303" s="11"/>
    </row>
    <row r="304" spans="2:15" ht="15" customHeight="1">
      <c r="B304" s="173">
        <f t="shared" si="46"/>
        <v>279</v>
      </c>
      <c r="C304" s="173"/>
      <c r="D304" s="174">
        <v>7</v>
      </c>
      <c r="E304" s="168">
        <f t="shared" si="49"/>
        <v>281</v>
      </c>
      <c r="F304" s="286">
        <f t="shared" si="50"/>
        <v>32.78</v>
      </c>
      <c r="G304" s="175">
        <f t="shared" si="48"/>
        <v>32.381999999999998</v>
      </c>
      <c r="H304" s="175" t="str">
        <f t="shared" si="47"/>
        <v>IN</v>
      </c>
      <c r="I304" s="177">
        <f t="shared" si="45"/>
        <v>9148.8300000000054</v>
      </c>
      <c r="J304" s="177">
        <f t="shared" si="43"/>
        <v>2468.7399999999943</v>
      </c>
      <c r="K304" s="235">
        <f t="shared" si="44"/>
        <v>278.16681706646307</v>
      </c>
      <c r="L304" s="479">
        <v>0</v>
      </c>
      <c r="M304" s="569"/>
      <c r="N304" s="570"/>
      <c r="O304" s="11"/>
    </row>
    <row r="305" spans="2:15" ht="15" customHeight="1">
      <c r="B305" s="173">
        <f t="shared" si="46"/>
        <v>280</v>
      </c>
      <c r="C305" s="173"/>
      <c r="D305" s="174">
        <v>7</v>
      </c>
      <c r="E305" s="168">
        <f t="shared" si="49"/>
        <v>282</v>
      </c>
      <c r="F305" s="286">
        <f t="shared" si="50"/>
        <v>32.97</v>
      </c>
      <c r="G305" s="175">
        <f t="shared" si="48"/>
        <v>32.571999999999996</v>
      </c>
      <c r="H305" s="175" t="str">
        <f t="shared" si="47"/>
        <v>IN</v>
      </c>
      <c r="I305" s="177">
        <f t="shared" si="45"/>
        <v>9181.4020000000055</v>
      </c>
      <c r="J305" s="177">
        <f t="shared" si="43"/>
        <v>2436.1679999999942</v>
      </c>
      <c r="K305" s="235">
        <f t="shared" si="44"/>
        <v>278.85453665087863</v>
      </c>
      <c r="L305" s="479">
        <v>0</v>
      </c>
      <c r="M305" s="569"/>
      <c r="N305" s="570"/>
      <c r="O305" s="11"/>
    </row>
    <row r="306" spans="2:15" ht="15" customHeight="1">
      <c r="B306" s="173">
        <f t="shared" si="46"/>
        <v>281</v>
      </c>
      <c r="C306" s="173"/>
      <c r="D306" s="174">
        <v>7</v>
      </c>
      <c r="E306" s="168">
        <f t="shared" si="49"/>
        <v>283</v>
      </c>
      <c r="F306" s="286">
        <f t="shared" si="50"/>
        <v>33.33</v>
      </c>
      <c r="G306" s="175">
        <f t="shared" si="48"/>
        <v>32.931999999999995</v>
      </c>
      <c r="H306" s="175" t="str">
        <f t="shared" si="47"/>
        <v>IN</v>
      </c>
      <c r="I306" s="177">
        <f t="shared" si="45"/>
        <v>9214.3340000000062</v>
      </c>
      <c r="J306" s="177">
        <f t="shared" si="43"/>
        <v>2403.2359999999935</v>
      </c>
      <c r="K306" s="235">
        <f t="shared" si="44"/>
        <v>279.54985721313994</v>
      </c>
      <c r="L306" s="479">
        <v>0</v>
      </c>
      <c r="M306" s="569"/>
      <c r="N306" s="570"/>
      <c r="O306" s="11"/>
    </row>
    <row r="307" spans="2:15" ht="15" customHeight="1">
      <c r="B307" s="173">
        <f t="shared" si="46"/>
        <v>282</v>
      </c>
      <c r="C307" s="173"/>
      <c r="D307" s="174">
        <v>7</v>
      </c>
      <c r="E307" s="168">
        <f t="shared" si="49"/>
        <v>284</v>
      </c>
      <c r="F307" s="286">
        <f t="shared" si="50"/>
        <v>32.869999999999997</v>
      </c>
      <c r="G307" s="175">
        <f t="shared" si="48"/>
        <v>32.471999999999994</v>
      </c>
      <c r="H307" s="175" t="str">
        <f t="shared" si="47"/>
        <v>IN</v>
      </c>
      <c r="I307" s="177">
        <f t="shared" si="45"/>
        <v>9246.806000000006</v>
      </c>
      <c r="J307" s="177">
        <f t="shared" si="43"/>
        <v>2370.7639999999938</v>
      </c>
      <c r="K307" s="235">
        <f t="shared" si="44"/>
        <v>280.23546541482062</v>
      </c>
      <c r="L307" s="479">
        <v>0</v>
      </c>
      <c r="M307" s="569"/>
      <c r="N307" s="570"/>
      <c r="O307" s="11"/>
    </row>
    <row r="308" spans="2:15" ht="15" customHeight="1">
      <c r="B308" s="173">
        <f t="shared" ref="B308:B342" si="51">B307+1</f>
        <v>283</v>
      </c>
      <c r="C308" s="173"/>
      <c r="D308" s="174">
        <v>7</v>
      </c>
      <c r="E308" s="168">
        <f t="shared" si="49"/>
        <v>285</v>
      </c>
      <c r="F308" s="286">
        <f t="shared" si="50"/>
        <v>33.020000000000003</v>
      </c>
      <c r="G308" s="175">
        <f t="shared" si="48"/>
        <v>32.622</v>
      </c>
      <c r="H308" s="175" t="str">
        <f t="shared" ref="H308:H315" si="52">IF(F308="","OUT","IN")</f>
        <v>IN</v>
      </c>
      <c r="I308" s="177">
        <f t="shared" si="45"/>
        <v>9279.4280000000053</v>
      </c>
      <c r="J308" s="177">
        <f t="shared" si="43"/>
        <v>2338.1419999999944</v>
      </c>
      <c r="K308" s="235">
        <f t="shared" si="44"/>
        <v>280.92424069060365</v>
      </c>
      <c r="L308" s="479">
        <v>0</v>
      </c>
      <c r="M308" s="569"/>
      <c r="N308" s="570"/>
      <c r="O308" s="11"/>
    </row>
    <row r="309" spans="2:15" ht="15" customHeight="1">
      <c r="B309" s="173">
        <f t="shared" si="51"/>
        <v>284</v>
      </c>
      <c r="C309" s="173"/>
      <c r="D309" s="174">
        <v>7</v>
      </c>
      <c r="E309" s="168">
        <f t="shared" si="49"/>
        <v>286</v>
      </c>
      <c r="F309" s="286">
        <f t="shared" si="50"/>
        <v>33.229999999999997</v>
      </c>
      <c r="G309" s="175">
        <f t="shared" si="48"/>
        <v>32.831999999999994</v>
      </c>
      <c r="H309" s="175" t="str">
        <f t="shared" si="52"/>
        <v>IN</v>
      </c>
      <c r="I309" s="177">
        <f t="shared" si="45"/>
        <v>9312.2600000000057</v>
      </c>
      <c r="J309" s="177">
        <f t="shared" si="43"/>
        <v>2305.309999999994</v>
      </c>
      <c r="K309" s="235">
        <f t="shared" si="44"/>
        <v>281.61744987013003</v>
      </c>
      <c r="L309" s="479">
        <v>0</v>
      </c>
      <c r="M309" s="546"/>
      <c r="N309" s="547"/>
      <c r="O309" s="11"/>
    </row>
    <row r="310" spans="2:15" ht="15" customHeight="1">
      <c r="B310" s="173">
        <f t="shared" si="51"/>
        <v>285</v>
      </c>
      <c r="C310" s="173"/>
      <c r="D310" s="174">
        <v>7</v>
      </c>
      <c r="E310" s="168">
        <f t="shared" si="49"/>
        <v>287</v>
      </c>
      <c r="F310" s="286">
        <f t="shared" si="50"/>
        <v>33.26</v>
      </c>
      <c r="G310" s="175">
        <f t="shared" si="48"/>
        <v>32.861999999999995</v>
      </c>
      <c r="H310" s="175" t="str">
        <f t="shared" si="52"/>
        <v>IN</v>
      </c>
      <c r="I310" s="177">
        <f t="shared" si="45"/>
        <v>9345.1220000000048</v>
      </c>
      <c r="J310" s="177">
        <f t="shared" si="43"/>
        <v>2272.4479999999949</v>
      </c>
      <c r="K310" s="235">
        <f t="shared" si="44"/>
        <v>282.31129246447682</v>
      </c>
      <c r="L310" s="479">
        <v>0</v>
      </c>
      <c r="M310" s="225"/>
      <c r="N310" s="226"/>
      <c r="O310" s="11"/>
    </row>
    <row r="311" spans="2:15" ht="15" customHeight="1">
      <c r="B311" s="173">
        <f t="shared" si="51"/>
        <v>286</v>
      </c>
      <c r="C311" s="173"/>
      <c r="D311" s="174">
        <v>7</v>
      </c>
      <c r="E311" s="168">
        <f t="shared" si="49"/>
        <v>288</v>
      </c>
      <c r="F311" s="286">
        <f t="shared" si="50"/>
        <v>33.26</v>
      </c>
      <c r="G311" s="175">
        <f t="shared" si="48"/>
        <v>32.861999999999995</v>
      </c>
      <c r="H311" s="175" t="str">
        <f t="shared" si="52"/>
        <v>IN</v>
      </c>
      <c r="I311" s="177">
        <f t="shared" si="45"/>
        <v>9377.984000000004</v>
      </c>
      <c r="J311" s="177">
        <f t="shared" si="43"/>
        <v>2239.5859999999957</v>
      </c>
      <c r="K311" s="235">
        <f t="shared" si="44"/>
        <v>283.00513505882361</v>
      </c>
      <c r="L311" s="479">
        <v>0</v>
      </c>
      <c r="M311" s="225"/>
      <c r="N311" s="226"/>
      <c r="O311" s="11"/>
    </row>
    <row r="312" spans="2:15" ht="15" customHeight="1">
      <c r="B312" s="173">
        <f t="shared" si="51"/>
        <v>287</v>
      </c>
      <c r="C312" s="173"/>
      <c r="D312" s="174">
        <v>7</v>
      </c>
      <c r="E312" s="168">
        <f t="shared" si="49"/>
        <v>289</v>
      </c>
      <c r="F312" s="286">
        <f t="shared" si="50"/>
        <v>31.78</v>
      </c>
      <c r="G312" s="175">
        <f t="shared" si="48"/>
        <v>31.382000000000001</v>
      </c>
      <c r="H312" s="175" t="str">
        <f t="shared" si="52"/>
        <v>IN</v>
      </c>
      <c r="I312" s="177">
        <f t="shared" si="45"/>
        <v>9409.3660000000036</v>
      </c>
      <c r="J312" s="177">
        <f t="shared" si="43"/>
        <v>2208.2039999999961</v>
      </c>
      <c r="K312" s="235">
        <f t="shared" si="44"/>
        <v>283.66772918869378</v>
      </c>
      <c r="L312" s="479">
        <v>0</v>
      </c>
      <c r="M312" s="225"/>
      <c r="N312" s="226"/>
      <c r="O312" s="11"/>
    </row>
    <row r="313" spans="2:15" ht="15" customHeight="1">
      <c r="B313" s="173">
        <f t="shared" si="51"/>
        <v>288</v>
      </c>
      <c r="C313" s="173"/>
      <c r="D313" s="174">
        <v>7</v>
      </c>
      <c r="E313" s="168">
        <f t="shared" si="49"/>
        <v>290</v>
      </c>
      <c r="F313" s="286">
        <f t="shared" si="50"/>
        <v>33.47</v>
      </c>
      <c r="G313" s="175">
        <f t="shared" si="48"/>
        <v>33.071999999999996</v>
      </c>
      <c r="H313" s="175" t="str">
        <f t="shared" si="52"/>
        <v>IN</v>
      </c>
      <c r="I313" s="177">
        <f t="shared" si="45"/>
        <v>9442.4380000000037</v>
      </c>
      <c r="J313" s="177">
        <f t="shared" si="43"/>
        <v>2175.131999999996</v>
      </c>
      <c r="K313" s="235">
        <f t="shared" si="44"/>
        <v>284.36600568678386</v>
      </c>
      <c r="L313" s="479">
        <v>0</v>
      </c>
      <c r="M313" s="225"/>
      <c r="N313" s="226"/>
      <c r="O313" s="11"/>
    </row>
    <row r="314" spans="2:15" ht="15" customHeight="1">
      <c r="B314" s="173">
        <f t="shared" si="51"/>
        <v>289</v>
      </c>
      <c r="C314" s="173"/>
      <c r="D314" s="174">
        <v>7</v>
      </c>
      <c r="E314" s="168">
        <f t="shared" si="49"/>
        <v>291</v>
      </c>
      <c r="F314" s="286">
        <f t="shared" si="50"/>
        <v>33.229999999999997</v>
      </c>
      <c r="G314" s="175">
        <f t="shared" si="48"/>
        <v>32.831999999999994</v>
      </c>
      <c r="H314" s="175" t="str">
        <f t="shared" si="52"/>
        <v>IN</v>
      </c>
      <c r="I314" s="177">
        <f t="shared" si="45"/>
        <v>9475.2700000000041</v>
      </c>
      <c r="J314" s="177">
        <f t="shared" si="43"/>
        <v>2142.2999999999956</v>
      </c>
      <c r="K314" s="235">
        <f t="shared" si="44"/>
        <v>285.0592148663103</v>
      </c>
      <c r="L314" s="479">
        <v>0</v>
      </c>
      <c r="M314" s="225"/>
      <c r="N314" s="226"/>
      <c r="O314" s="11"/>
    </row>
    <row r="315" spans="2:15" ht="15" customHeight="1">
      <c r="B315" s="173">
        <f t="shared" si="51"/>
        <v>290</v>
      </c>
      <c r="C315" s="173"/>
      <c r="D315" s="174">
        <v>7</v>
      </c>
      <c r="E315" s="168">
        <f t="shared" si="49"/>
        <v>292</v>
      </c>
      <c r="F315" s="286">
        <f t="shared" si="50"/>
        <v>33.25</v>
      </c>
      <c r="G315" s="175">
        <f t="shared" si="48"/>
        <v>32.851999999999997</v>
      </c>
      <c r="H315" s="175" t="str">
        <f t="shared" si="52"/>
        <v>IN</v>
      </c>
      <c r="I315" s="177">
        <f t="shared" si="45"/>
        <v>9508.1220000000048</v>
      </c>
      <c r="J315" s="177">
        <f t="shared" si="43"/>
        <v>2109.4479999999949</v>
      </c>
      <c r="K315" s="235">
        <f t="shared" si="44"/>
        <v>285.75284632238362</v>
      </c>
      <c r="L315" s="479">
        <v>0</v>
      </c>
      <c r="M315" s="225"/>
      <c r="N315" s="226"/>
      <c r="O315" s="11"/>
    </row>
    <row r="316" spans="2:15" ht="15" customHeight="1">
      <c r="B316" s="173">
        <f t="shared" si="51"/>
        <v>291</v>
      </c>
      <c r="C316" s="173"/>
      <c r="D316" s="174">
        <v>7</v>
      </c>
      <c r="E316" s="168">
        <f t="shared" si="49"/>
        <v>293</v>
      </c>
      <c r="F316" s="286">
        <f t="shared" si="50"/>
        <v>33.25</v>
      </c>
      <c r="G316" s="175">
        <f t="shared" si="48"/>
        <v>32.851999999999997</v>
      </c>
      <c r="H316" s="175" t="s">
        <v>131</v>
      </c>
      <c r="I316" s="175">
        <f t="shared" si="45"/>
        <v>9540.9740000000056</v>
      </c>
      <c r="J316" s="175">
        <f t="shared" si="43"/>
        <v>2076.5959999999941</v>
      </c>
      <c r="K316" s="262">
        <f t="shared" si="44"/>
        <v>286.44647777845694</v>
      </c>
      <c r="L316" s="479">
        <v>0</v>
      </c>
      <c r="M316" s="567"/>
      <c r="N316" s="567"/>
      <c r="O316" s="11"/>
    </row>
    <row r="317" spans="2:15" ht="15" customHeight="1">
      <c r="B317" s="173">
        <f t="shared" si="51"/>
        <v>292</v>
      </c>
      <c r="C317" s="173"/>
      <c r="D317" s="174">
        <v>7</v>
      </c>
      <c r="E317" s="168">
        <f t="shared" si="49"/>
        <v>294</v>
      </c>
      <c r="F317" s="286">
        <f t="shared" si="50"/>
        <v>33.340000000000003</v>
      </c>
      <c r="G317" s="175">
        <f t="shared" si="48"/>
        <v>32.942</v>
      </c>
      <c r="H317" s="175" t="str">
        <f t="shared" ref="H317:H342" si="53">IF(F317="","OUT","IN")</f>
        <v>IN</v>
      </c>
      <c r="I317" s="177">
        <f t="shared" si="45"/>
        <v>9573.9160000000047</v>
      </c>
      <c r="J317" s="177">
        <f t="shared" si="43"/>
        <v>2043.653999999995</v>
      </c>
      <c r="K317" s="235">
        <f t="shared" si="44"/>
        <v>287.14200947899167</v>
      </c>
      <c r="L317" s="479">
        <v>0</v>
      </c>
      <c r="M317" s="567"/>
      <c r="N317" s="567"/>
      <c r="O317" s="11"/>
    </row>
    <row r="318" spans="2:15" ht="15" customHeight="1">
      <c r="B318" s="173">
        <f t="shared" si="51"/>
        <v>293</v>
      </c>
      <c r="C318" s="173"/>
      <c r="D318" s="174">
        <v>7</v>
      </c>
      <c r="E318" s="168">
        <f t="shared" si="49"/>
        <v>295</v>
      </c>
      <c r="F318" s="286">
        <f t="shared" si="50"/>
        <v>33.51</v>
      </c>
      <c r="G318" s="175">
        <f t="shared" si="48"/>
        <v>33.111999999999995</v>
      </c>
      <c r="H318" s="175" t="str">
        <f t="shared" si="53"/>
        <v>IN</v>
      </c>
      <c r="I318" s="177">
        <f t="shared" si="45"/>
        <v>9607.0280000000039</v>
      </c>
      <c r="J318" s="177">
        <f t="shared" si="43"/>
        <v>2010.5419999999958</v>
      </c>
      <c r="K318" s="235">
        <f t="shared" si="44"/>
        <v>287.84113053017575</v>
      </c>
      <c r="L318" s="479">
        <v>0</v>
      </c>
      <c r="M318" s="567"/>
      <c r="N318" s="567"/>
      <c r="O318" s="11"/>
    </row>
    <row r="319" spans="2:15" ht="15" customHeight="1">
      <c r="B319" s="173">
        <f t="shared" si="51"/>
        <v>294</v>
      </c>
      <c r="C319" s="173"/>
      <c r="D319" s="174">
        <v>7</v>
      </c>
      <c r="E319" s="168">
        <f t="shared" si="49"/>
        <v>296</v>
      </c>
      <c r="F319" s="286">
        <f t="shared" si="50"/>
        <v>32.61</v>
      </c>
      <c r="G319" s="175">
        <f t="shared" si="48"/>
        <v>32.211999999999996</v>
      </c>
      <c r="H319" s="175" t="str">
        <f t="shared" si="53"/>
        <v>IN</v>
      </c>
      <c r="I319" s="177">
        <f t="shared" si="45"/>
        <v>9639.2400000000034</v>
      </c>
      <c r="J319" s="177">
        <f t="shared" si="43"/>
        <v>1978.3299999999963</v>
      </c>
      <c r="K319" s="235">
        <f t="shared" si="44"/>
        <v>288.52124913674567</v>
      </c>
      <c r="L319" s="479">
        <v>0</v>
      </c>
      <c r="M319" s="567"/>
      <c r="N319" s="567"/>
      <c r="O319" s="11"/>
    </row>
    <row r="320" spans="2:15" ht="15" customHeight="1">
      <c r="B320" s="173">
        <f t="shared" si="51"/>
        <v>295</v>
      </c>
      <c r="C320" s="176"/>
      <c r="D320" s="232">
        <v>7</v>
      </c>
      <c r="E320" s="168">
        <f t="shared" si="49"/>
        <v>297</v>
      </c>
      <c r="F320" s="286">
        <f t="shared" si="50"/>
        <v>33.57</v>
      </c>
      <c r="G320" s="177">
        <f t="shared" si="48"/>
        <v>33.171999999999997</v>
      </c>
      <c r="H320" s="175" t="str">
        <f t="shared" si="53"/>
        <v>IN</v>
      </c>
      <c r="I320" s="177">
        <f t="shared" si="45"/>
        <v>9672.4120000000039</v>
      </c>
      <c r="J320" s="177">
        <f t="shared" si="43"/>
        <v>1945.1579999999958</v>
      </c>
      <c r="K320" s="235">
        <f t="shared" si="44"/>
        <v>289.22163701757074</v>
      </c>
      <c r="L320" s="479">
        <v>0</v>
      </c>
      <c r="M320" s="566"/>
      <c r="N320" s="566"/>
      <c r="O320" s="11"/>
    </row>
    <row r="321" spans="1:15" ht="15" customHeight="1">
      <c r="B321" s="173">
        <f t="shared" si="51"/>
        <v>296</v>
      </c>
      <c r="C321" s="173"/>
      <c r="D321" s="174">
        <v>7</v>
      </c>
      <c r="E321" s="168">
        <f t="shared" si="49"/>
        <v>298</v>
      </c>
      <c r="F321" s="286">
        <f t="shared" si="50"/>
        <v>32.68</v>
      </c>
      <c r="G321" s="175">
        <f t="shared" si="48"/>
        <v>32.281999999999996</v>
      </c>
      <c r="H321" s="175" t="str">
        <f t="shared" si="53"/>
        <v>IN</v>
      </c>
      <c r="I321" s="177">
        <f t="shared" si="45"/>
        <v>9704.6940000000031</v>
      </c>
      <c r="J321" s="177">
        <f t="shared" si="43"/>
        <v>1912.8759999999966</v>
      </c>
      <c r="K321" s="235">
        <f t="shared" si="44"/>
        <v>289.90323359205507</v>
      </c>
      <c r="L321" s="479">
        <v>0</v>
      </c>
      <c r="M321" s="567"/>
      <c r="N321" s="567"/>
      <c r="O321" s="11"/>
    </row>
    <row r="322" spans="1:15" ht="13.15" customHeight="1">
      <c r="B322" s="173">
        <f t="shared" si="51"/>
        <v>297</v>
      </c>
      <c r="C322" s="173"/>
      <c r="D322" s="174">
        <v>7</v>
      </c>
      <c r="E322" s="168">
        <f t="shared" si="49"/>
        <v>299</v>
      </c>
      <c r="F322" s="286">
        <f t="shared" si="50"/>
        <v>33.06</v>
      </c>
      <c r="G322" s="175">
        <f t="shared" si="48"/>
        <v>32.661999999999999</v>
      </c>
      <c r="H322" s="175" t="str">
        <f t="shared" si="53"/>
        <v>IN</v>
      </c>
      <c r="I322" s="177">
        <f t="shared" si="45"/>
        <v>9737.3560000000034</v>
      </c>
      <c r="J322" s="177">
        <f t="shared" si="43"/>
        <v>1880.2139999999963</v>
      </c>
      <c r="K322" s="235">
        <f t="shared" si="44"/>
        <v>290.5928534209321</v>
      </c>
      <c r="L322" s="479">
        <v>0</v>
      </c>
      <c r="M322" s="567"/>
      <c r="N322" s="567"/>
      <c r="O322" s="11"/>
    </row>
    <row r="323" spans="1:15" ht="13.15" customHeight="1">
      <c r="B323" s="173">
        <f t="shared" si="51"/>
        <v>298</v>
      </c>
      <c r="C323" s="173"/>
      <c r="D323" s="174">
        <v>7</v>
      </c>
      <c r="E323" s="168">
        <f t="shared" si="49"/>
        <v>300</v>
      </c>
      <c r="F323" s="286">
        <f t="shared" si="50"/>
        <v>33.04</v>
      </c>
      <c r="G323" s="175">
        <f t="shared" si="48"/>
        <v>32.641999999999996</v>
      </c>
      <c r="H323" s="175" t="str">
        <f t="shared" si="53"/>
        <v>IN</v>
      </c>
      <c r="I323" s="177">
        <f t="shared" si="45"/>
        <v>9769.9980000000032</v>
      </c>
      <c r="J323" s="177">
        <f t="shared" si="43"/>
        <v>1847.5719999999965</v>
      </c>
      <c r="K323" s="235">
        <f t="shared" si="44"/>
        <v>291.28205097326213</v>
      </c>
      <c r="L323" s="479">
        <v>0</v>
      </c>
      <c r="M323" s="567"/>
      <c r="N323" s="567"/>
      <c r="O323" s="11"/>
    </row>
    <row r="324" spans="1:15" ht="13.15" customHeight="1">
      <c r="B324" s="173">
        <f t="shared" si="51"/>
        <v>299</v>
      </c>
      <c r="C324" s="173"/>
      <c r="D324" s="174">
        <v>7</v>
      </c>
      <c r="E324" s="168">
        <f t="shared" si="49"/>
        <v>301</v>
      </c>
      <c r="F324" s="286">
        <f t="shared" si="50"/>
        <v>33.229999999999997</v>
      </c>
      <c r="G324" s="175">
        <f t="shared" si="48"/>
        <v>32.831999999999994</v>
      </c>
      <c r="H324" s="175" t="str">
        <f t="shared" si="53"/>
        <v>IN</v>
      </c>
      <c r="I324" s="177">
        <f t="shared" si="45"/>
        <v>9802.8300000000036</v>
      </c>
      <c r="J324" s="177">
        <f t="shared" si="43"/>
        <v>1814.7399999999961</v>
      </c>
      <c r="K324" s="235">
        <f t="shared" si="44"/>
        <v>291.97526015278845</v>
      </c>
      <c r="L324" s="479">
        <v>0</v>
      </c>
      <c r="M324" s="546"/>
      <c r="N324" s="547"/>
      <c r="O324" s="11"/>
    </row>
    <row r="325" spans="1:15" ht="12.6" customHeight="1">
      <c r="B325" s="173">
        <f t="shared" si="51"/>
        <v>300</v>
      </c>
      <c r="C325" s="173"/>
      <c r="D325" s="174">
        <v>7</v>
      </c>
      <c r="E325" s="168">
        <f t="shared" si="49"/>
        <v>302</v>
      </c>
      <c r="F325" s="286">
        <f t="shared" si="50"/>
        <v>33.03</v>
      </c>
      <c r="G325" s="175">
        <f t="shared" si="48"/>
        <v>32.631999999999998</v>
      </c>
      <c r="H325" s="175" t="str">
        <f t="shared" si="53"/>
        <v>IN</v>
      </c>
      <c r="I325" s="175">
        <f t="shared" si="45"/>
        <v>9835.4620000000032</v>
      </c>
      <c r="J325" s="175">
        <f t="shared" si="43"/>
        <v>1782.1079999999965</v>
      </c>
      <c r="K325" s="262">
        <f t="shared" si="44"/>
        <v>292.66424656684501</v>
      </c>
      <c r="L325" s="479">
        <v>0</v>
      </c>
      <c r="M325" s="568"/>
      <c r="N325" s="568"/>
      <c r="O325" s="11"/>
    </row>
    <row r="326" spans="1:15" ht="13.15" customHeight="1">
      <c r="B326" s="173">
        <f t="shared" si="51"/>
        <v>301</v>
      </c>
      <c r="C326" s="173"/>
      <c r="D326" s="174">
        <v>7</v>
      </c>
      <c r="E326" s="168">
        <f t="shared" si="49"/>
        <v>303</v>
      </c>
      <c r="F326" s="286">
        <f t="shared" si="50"/>
        <v>33.270000000000003</v>
      </c>
      <c r="G326" s="175">
        <f t="shared" si="48"/>
        <v>32.872</v>
      </c>
      <c r="H326" s="175" t="str">
        <f t="shared" si="53"/>
        <v>IN</v>
      </c>
      <c r="I326" s="175">
        <f t="shared" si="45"/>
        <v>9868.3340000000026</v>
      </c>
      <c r="J326" s="175">
        <f t="shared" si="43"/>
        <v>1749.2359999999971</v>
      </c>
      <c r="K326" s="262">
        <f t="shared" si="44"/>
        <v>293.35830029946533</v>
      </c>
      <c r="L326" s="479">
        <v>0</v>
      </c>
      <c r="M326" s="567"/>
      <c r="N326" s="567"/>
      <c r="O326" s="11"/>
    </row>
    <row r="327" spans="1:15" ht="13.15" customHeight="1">
      <c r="B327" s="173">
        <f t="shared" si="51"/>
        <v>302</v>
      </c>
      <c r="C327" s="173"/>
      <c r="D327" s="174">
        <v>7</v>
      </c>
      <c r="E327" s="168">
        <f t="shared" si="49"/>
        <v>304</v>
      </c>
      <c r="F327" s="286">
        <f t="shared" si="50"/>
        <v>32.56</v>
      </c>
      <c r="G327" s="175">
        <f t="shared" si="48"/>
        <v>32.161999999999999</v>
      </c>
      <c r="H327" s="175" t="str">
        <f t="shared" si="53"/>
        <v>IN</v>
      </c>
      <c r="I327" s="175">
        <f t="shared" si="45"/>
        <v>9900.4960000000028</v>
      </c>
      <c r="J327" s="175">
        <f t="shared" si="43"/>
        <v>1717.0739999999969</v>
      </c>
      <c r="K327" s="262">
        <f t="shared" si="44"/>
        <v>294.03736321466772</v>
      </c>
      <c r="L327" s="479">
        <v>0</v>
      </c>
      <c r="M327" s="546"/>
      <c r="N327" s="547"/>
      <c r="O327" s="11"/>
    </row>
    <row r="328" spans="1:15" s="246" customFormat="1" ht="13.15" customHeight="1">
      <c r="A328" s="231"/>
      <c r="B328" s="173">
        <f t="shared" si="51"/>
        <v>303</v>
      </c>
      <c r="C328" s="173"/>
      <c r="D328" s="174">
        <v>7</v>
      </c>
      <c r="E328" s="168">
        <f t="shared" si="49"/>
        <v>305</v>
      </c>
      <c r="F328" s="286">
        <f t="shared" si="50"/>
        <v>31.48</v>
      </c>
      <c r="G328" s="175">
        <f t="shared" si="48"/>
        <v>31.082000000000001</v>
      </c>
      <c r="H328" s="175" t="str">
        <f t="shared" si="53"/>
        <v>IN</v>
      </c>
      <c r="I328" s="175">
        <f t="shared" si="45"/>
        <v>9931.5780000000032</v>
      </c>
      <c r="J328" s="175">
        <f t="shared" si="43"/>
        <v>1685.9919999999966</v>
      </c>
      <c r="K328" s="262">
        <f t="shared" si="44"/>
        <v>294.69362319633319</v>
      </c>
      <c r="L328" s="479">
        <v>0</v>
      </c>
      <c r="M328" s="546"/>
      <c r="N328" s="547"/>
      <c r="O328" s="272"/>
    </row>
    <row r="329" spans="1:15" ht="15" customHeight="1">
      <c r="B329" s="173">
        <f t="shared" si="51"/>
        <v>304</v>
      </c>
      <c r="C329" s="173"/>
      <c r="D329" s="174">
        <v>7</v>
      </c>
      <c r="E329" s="168">
        <f t="shared" si="49"/>
        <v>306</v>
      </c>
      <c r="F329" s="286">
        <f t="shared" si="50"/>
        <v>33.24</v>
      </c>
      <c r="G329" s="175">
        <f t="shared" si="48"/>
        <v>32.841999999999999</v>
      </c>
      <c r="H329" s="175" t="str">
        <f t="shared" si="53"/>
        <v>IN</v>
      </c>
      <c r="I329" s="175">
        <f t="shared" si="45"/>
        <v>9964.4200000000037</v>
      </c>
      <c r="J329" s="175">
        <f t="shared" si="43"/>
        <v>1653.149999999996</v>
      </c>
      <c r="K329" s="262">
        <f t="shared" si="44"/>
        <v>295.38704351413298</v>
      </c>
      <c r="L329" s="479">
        <v>0</v>
      </c>
      <c r="M329" s="546"/>
      <c r="N329" s="547"/>
      <c r="O329" s="11"/>
    </row>
    <row r="330" spans="1:15" ht="15" customHeight="1">
      <c r="B330" s="173">
        <f t="shared" si="51"/>
        <v>305</v>
      </c>
      <c r="C330" s="173"/>
      <c r="D330" s="174">
        <v>7</v>
      </c>
      <c r="E330" s="168">
        <f t="shared" si="49"/>
        <v>307</v>
      </c>
      <c r="F330" s="286">
        <f t="shared" si="50"/>
        <v>33.479999999999997</v>
      </c>
      <c r="G330" s="175">
        <f t="shared" si="48"/>
        <v>33.081999999999994</v>
      </c>
      <c r="H330" s="175" t="str">
        <f t="shared" si="53"/>
        <v>IN</v>
      </c>
      <c r="I330" s="175">
        <f t="shared" si="45"/>
        <v>9997.502000000004</v>
      </c>
      <c r="J330" s="175">
        <f t="shared" si="43"/>
        <v>1620.0679999999957</v>
      </c>
      <c r="K330" s="262">
        <f t="shared" si="44"/>
        <v>296.08553115049665</v>
      </c>
      <c r="L330" s="479">
        <v>0</v>
      </c>
      <c r="M330" s="546"/>
      <c r="N330" s="547"/>
      <c r="O330" s="11"/>
    </row>
    <row r="331" spans="1:15" ht="15" customHeight="1">
      <c r="B331" s="173">
        <f t="shared" si="51"/>
        <v>306</v>
      </c>
      <c r="C331" s="173"/>
      <c r="D331" s="174">
        <v>7</v>
      </c>
      <c r="E331" s="168">
        <f t="shared" si="49"/>
        <v>308</v>
      </c>
      <c r="F331" s="286">
        <f t="shared" si="50"/>
        <v>33.270000000000003</v>
      </c>
      <c r="G331" s="175">
        <f t="shared" si="48"/>
        <v>32.872</v>
      </c>
      <c r="H331" s="175" t="str">
        <f t="shared" si="53"/>
        <v>IN</v>
      </c>
      <c r="I331" s="175">
        <f t="shared" si="45"/>
        <v>10030.374000000003</v>
      </c>
      <c r="J331" s="175">
        <f t="shared" si="43"/>
        <v>1587.1959999999963</v>
      </c>
      <c r="K331" s="262">
        <f t="shared" si="44"/>
        <v>296.77958488311697</v>
      </c>
      <c r="L331" s="479">
        <v>0</v>
      </c>
      <c r="M331" s="546"/>
      <c r="N331" s="547"/>
      <c r="O331" s="11"/>
    </row>
    <row r="332" spans="1:15" ht="17.45" customHeight="1">
      <c r="B332" s="173">
        <f t="shared" si="51"/>
        <v>307</v>
      </c>
      <c r="C332" s="173"/>
      <c r="D332" s="174">
        <v>7</v>
      </c>
      <c r="E332" s="168">
        <f t="shared" si="49"/>
        <v>309</v>
      </c>
      <c r="F332" s="286">
        <f t="shared" si="50"/>
        <v>33.03</v>
      </c>
      <c r="G332" s="175">
        <f t="shared" si="48"/>
        <v>32.631999999999998</v>
      </c>
      <c r="H332" s="175" t="str">
        <f t="shared" si="53"/>
        <v>IN</v>
      </c>
      <c r="I332" s="175">
        <f t="shared" si="45"/>
        <v>10063.006000000003</v>
      </c>
      <c r="J332" s="175">
        <f t="shared" si="43"/>
        <v>1554.5639999999967</v>
      </c>
      <c r="K332" s="262">
        <f t="shared" si="44"/>
        <v>297.46857129717347</v>
      </c>
      <c r="L332" s="479">
        <v>0</v>
      </c>
      <c r="M332" s="546"/>
      <c r="N332" s="547"/>
      <c r="O332" s="11"/>
    </row>
    <row r="333" spans="1:15" ht="15" customHeight="1">
      <c r="B333" s="173">
        <f t="shared" si="51"/>
        <v>308</v>
      </c>
      <c r="C333" s="173"/>
      <c r="D333" s="174">
        <v>7</v>
      </c>
      <c r="E333" s="168">
        <f t="shared" si="49"/>
        <v>310</v>
      </c>
      <c r="F333" s="286">
        <f t="shared" si="50"/>
        <v>33.340000000000003</v>
      </c>
      <c r="G333" s="175">
        <f t="shared" si="48"/>
        <v>32.942</v>
      </c>
      <c r="H333" s="175" t="str">
        <f t="shared" si="53"/>
        <v>IN</v>
      </c>
      <c r="I333" s="175">
        <f t="shared" si="45"/>
        <v>10095.948000000002</v>
      </c>
      <c r="J333" s="175">
        <f t="shared" si="43"/>
        <v>1521.6219999999976</v>
      </c>
      <c r="K333" s="262">
        <f t="shared" si="44"/>
        <v>298.16410299770826</v>
      </c>
      <c r="L333" s="508">
        <v>0</v>
      </c>
      <c r="M333" s="509"/>
      <c r="N333" s="510"/>
    </row>
    <row r="334" spans="1:15" ht="15" customHeight="1">
      <c r="B334" s="173">
        <f t="shared" si="51"/>
        <v>309</v>
      </c>
      <c r="C334" s="173"/>
      <c r="D334" s="174">
        <v>7</v>
      </c>
      <c r="E334" s="168">
        <f t="shared" si="49"/>
        <v>311</v>
      </c>
      <c r="F334" s="286">
        <f t="shared" si="50"/>
        <v>33.28</v>
      </c>
      <c r="G334" s="175">
        <f t="shared" si="48"/>
        <v>32.881999999999998</v>
      </c>
      <c r="H334" s="175" t="str">
        <f t="shared" si="53"/>
        <v>IN</v>
      </c>
      <c r="I334" s="175">
        <f t="shared" si="45"/>
        <v>10128.830000000002</v>
      </c>
      <c r="J334" s="175">
        <f t="shared" si="43"/>
        <v>1488.739999999998</v>
      </c>
      <c r="K334" s="262">
        <f t="shared" si="44"/>
        <v>298.85836786860204</v>
      </c>
      <c r="L334" s="479">
        <v>0</v>
      </c>
      <c r="M334" s="431"/>
      <c r="N334" s="432"/>
      <c r="O334" s="11"/>
    </row>
    <row r="335" spans="1:15" ht="15" customHeight="1">
      <c r="B335" s="173">
        <f t="shared" si="51"/>
        <v>310</v>
      </c>
      <c r="C335" s="173"/>
      <c r="D335" s="174">
        <v>7</v>
      </c>
      <c r="E335" s="168">
        <f t="shared" si="49"/>
        <v>312</v>
      </c>
      <c r="F335" s="286">
        <f t="shared" si="50"/>
        <v>33.36</v>
      </c>
      <c r="G335" s="175">
        <f t="shared" si="48"/>
        <v>32.961999999999996</v>
      </c>
      <c r="H335" s="175" t="str">
        <f t="shared" si="53"/>
        <v>IN</v>
      </c>
      <c r="I335" s="175">
        <f t="shared" si="45"/>
        <v>10161.792000000001</v>
      </c>
      <c r="J335" s="175">
        <f t="shared" ref="J335:J385" si="54">IF(I335="","",$M$9-I335)</f>
        <v>1455.7779999999984</v>
      </c>
      <c r="K335" s="262">
        <f t="shared" si="44"/>
        <v>299.55432184568383</v>
      </c>
      <c r="L335" s="479">
        <v>0</v>
      </c>
      <c r="M335" s="431"/>
      <c r="N335" s="432"/>
      <c r="O335" s="11"/>
    </row>
    <row r="336" spans="1:15" ht="15" customHeight="1">
      <c r="B336" s="173">
        <f t="shared" si="51"/>
        <v>311</v>
      </c>
      <c r="C336" s="173"/>
      <c r="D336" s="174">
        <v>7</v>
      </c>
      <c r="E336" s="168">
        <f t="shared" si="49"/>
        <v>313</v>
      </c>
      <c r="F336" s="286">
        <f t="shared" si="50"/>
        <v>33.200000000000003</v>
      </c>
      <c r="G336" s="175">
        <f t="shared" si="48"/>
        <v>32.802</v>
      </c>
      <c r="H336" s="175" t="str">
        <f t="shared" si="53"/>
        <v>IN</v>
      </c>
      <c r="I336" s="175">
        <f t="shared" si="45"/>
        <v>10194.594000000001</v>
      </c>
      <c r="J336" s="175">
        <f t="shared" si="54"/>
        <v>1422.9759999999987</v>
      </c>
      <c r="K336" s="262">
        <f t="shared" ref="K336:K384" si="55">$H$9+(I336*$E$10*$H$11/1000)</f>
        <v>300.24689761038962</v>
      </c>
      <c r="L336" s="479">
        <v>0</v>
      </c>
      <c r="M336" s="431"/>
      <c r="N336" s="432"/>
      <c r="O336" s="11"/>
    </row>
    <row r="337" spans="1:15" ht="15" customHeight="1">
      <c r="B337" s="173">
        <f t="shared" si="51"/>
        <v>312</v>
      </c>
      <c r="C337" s="173"/>
      <c r="D337" s="174">
        <v>7</v>
      </c>
      <c r="E337" s="168">
        <f t="shared" si="49"/>
        <v>314</v>
      </c>
      <c r="F337" s="286">
        <f t="shared" si="50"/>
        <v>33.17</v>
      </c>
      <c r="G337" s="175">
        <f t="shared" si="48"/>
        <v>32.771999999999998</v>
      </c>
      <c r="H337" s="175" t="str">
        <f t="shared" si="53"/>
        <v>IN</v>
      </c>
      <c r="I337" s="175">
        <f t="shared" ref="I337:I385" si="56">IF(H337="IN",I336+G337,I336)</f>
        <v>10227.366000000002</v>
      </c>
      <c r="J337" s="175">
        <f t="shared" si="54"/>
        <v>1390.2039999999979</v>
      </c>
      <c r="K337" s="262">
        <f t="shared" si="55"/>
        <v>300.93883996027506</v>
      </c>
      <c r="L337" s="479">
        <v>0</v>
      </c>
      <c r="M337" s="431"/>
      <c r="N337" s="432"/>
      <c r="O337" s="11"/>
    </row>
    <row r="338" spans="1:15" ht="15" customHeight="1">
      <c r="B338" s="173">
        <f t="shared" si="51"/>
        <v>313</v>
      </c>
      <c r="C338" s="173"/>
      <c r="D338" s="174">
        <v>7</v>
      </c>
      <c r="E338" s="168">
        <f t="shared" si="49"/>
        <v>315</v>
      </c>
      <c r="F338" s="286">
        <f t="shared" si="50"/>
        <v>33.380000000000003</v>
      </c>
      <c r="G338" s="175">
        <f t="shared" si="48"/>
        <v>32.981999999999999</v>
      </c>
      <c r="H338" s="175" t="str">
        <f t="shared" si="53"/>
        <v>IN</v>
      </c>
      <c r="I338" s="175">
        <f t="shared" si="56"/>
        <v>10260.348000000002</v>
      </c>
      <c r="J338" s="175">
        <f t="shared" si="54"/>
        <v>1357.2219999999979</v>
      </c>
      <c r="K338" s="262">
        <f t="shared" si="55"/>
        <v>301.63521621390379</v>
      </c>
      <c r="L338" s="479">
        <v>0</v>
      </c>
      <c r="M338" s="431"/>
      <c r="N338" s="432"/>
      <c r="O338" s="11"/>
    </row>
    <row r="339" spans="1:15" ht="15" customHeight="1">
      <c r="A339" s="231"/>
      <c r="B339" s="173">
        <f t="shared" si="51"/>
        <v>314</v>
      </c>
      <c r="C339" s="173"/>
      <c r="D339" s="174">
        <v>7</v>
      </c>
      <c r="E339" s="168">
        <f t="shared" si="49"/>
        <v>316</v>
      </c>
      <c r="F339" s="286">
        <f t="shared" si="50"/>
        <v>33.25</v>
      </c>
      <c r="G339" s="175">
        <f t="shared" si="48"/>
        <v>32.851999999999997</v>
      </c>
      <c r="H339" s="175" t="str">
        <f t="shared" si="53"/>
        <v>IN</v>
      </c>
      <c r="I339" s="175">
        <f t="shared" si="56"/>
        <v>10293.200000000003</v>
      </c>
      <c r="J339" s="175">
        <f t="shared" si="54"/>
        <v>1324.3699999999972</v>
      </c>
      <c r="K339" s="262">
        <f t="shared" si="55"/>
        <v>302.32884766997711</v>
      </c>
      <c r="L339" s="479">
        <v>0</v>
      </c>
      <c r="M339" s="667" t="s">
        <v>132</v>
      </c>
      <c r="N339" s="668"/>
      <c r="O339" s="11"/>
    </row>
    <row r="340" spans="1:15" ht="15" customHeight="1">
      <c r="A340" s="231"/>
      <c r="B340" s="173">
        <f t="shared" si="51"/>
        <v>315</v>
      </c>
      <c r="C340" s="173"/>
      <c r="D340" s="174">
        <v>7</v>
      </c>
      <c r="E340" s="168">
        <f t="shared" si="49"/>
        <v>317</v>
      </c>
      <c r="F340" s="286">
        <f t="shared" si="50"/>
        <v>33.58</v>
      </c>
      <c r="G340" s="175">
        <f t="shared" si="48"/>
        <v>33.181999999999995</v>
      </c>
      <c r="H340" s="175" t="str">
        <f t="shared" si="53"/>
        <v>IN</v>
      </c>
      <c r="I340" s="175">
        <f t="shared" si="56"/>
        <v>10326.382000000003</v>
      </c>
      <c r="J340" s="175">
        <f t="shared" si="54"/>
        <v>1291.1879999999965</v>
      </c>
      <c r="K340" s="262">
        <f t="shared" si="55"/>
        <v>303.02944668907571</v>
      </c>
      <c r="L340" s="479">
        <v>0</v>
      </c>
      <c r="M340" s="441"/>
      <c r="N340" s="442"/>
      <c r="O340" s="11"/>
    </row>
    <row r="341" spans="1:15" ht="15" customHeight="1">
      <c r="A341" s="231"/>
      <c r="B341" s="173">
        <f t="shared" si="51"/>
        <v>316</v>
      </c>
      <c r="C341" s="173"/>
      <c r="D341" s="174">
        <v>7</v>
      </c>
      <c r="E341" s="168">
        <f t="shared" si="49"/>
        <v>318</v>
      </c>
      <c r="F341" s="286">
        <f t="shared" si="50"/>
        <v>32.93</v>
      </c>
      <c r="G341" s="175">
        <f t="shared" si="48"/>
        <v>32.531999999999996</v>
      </c>
      <c r="H341" s="175" t="str">
        <f t="shared" si="53"/>
        <v>IN</v>
      </c>
      <c r="I341" s="175">
        <f t="shared" si="56"/>
        <v>10358.914000000002</v>
      </c>
      <c r="J341" s="175">
        <f t="shared" si="54"/>
        <v>1258.6559999999972</v>
      </c>
      <c r="K341" s="262">
        <f t="shared" si="55"/>
        <v>303.71632172039733</v>
      </c>
      <c r="L341" s="479">
        <v>0</v>
      </c>
      <c r="M341" s="652"/>
      <c r="N341" s="653"/>
      <c r="O341" s="11"/>
    </row>
    <row r="342" spans="1:15" ht="15" customHeight="1">
      <c r="A342" s="231"/>
      <c r="B342" s="173">
        <f t="shared" si="51"/>
        <v>317</v>
      </c>
      <c r="C342" s="407"/>
      <c r="D342" s="174">
        <v>7</v>
      </c>
      <c r="E342" s="168">
        <f t="shared" si="49"/>
        <v>319</v>
      </c>
      <c r="F342" s="286">
        <f t="shared" si="50"/>
        <v>33.42</v>
      </c>
      <c r="G342" s="175">
        <f t="shared" si="48"/>
        <v>33.021999999999998</v>
      </c>
      <c r="H342" s="175" t="str">
        <f t="shared" si="53"/>
        <v>IN</v>
      </c>
      <c r="I342" s="175">
        <f t="shared" si="56"/>
        <v>10391.936000000003</v>
      </c>
      <c r="J342" s="175">
        <f t="shared" si="54"/>
        <v>1225.6339999999964</v>
      </c>
      <c r="K342" s="262">
        <f t="shared" si="55"/>
        <v>304.41354252712</v>
      </c>
      <c r="L342" s="479">
        <v>0</v>
      </c>
      <c r="M342" s="652"/>
      <c r="N342" s="653"/>
      <c r="O342" s="11"/>
    </row>
    <row r="343" spans="1:15">
      <c r="A343" s="231"/>
      <c r="B343" s="550" t="s">
        <v>172</v>
      </c>
      <c r="C343" s="553">
        <v>11880127</v>
      </c>
      <c r="D343" s="556" t="s">
        <v>136</v>
      </c>
      <c r="E343" s="556"/>
      <c r="F343" s="170">
        <v>6.21</v>
      </c>
      <c r="G343" s="233">
        <f t="shared" si="48"/>
        <v>5.8120000000000003</v>
      </c>
      <c r="H343" s="233" t="s">
        <v>131</v>
      </c>
      <c r="I343" s="233">
        <f t="shared" si="56"/>
        <v>10397.748000000003</v>
      </c>
      <c r="J343" s="233">
        <f t="shared" si="54"/>
        <v>1219.8219999999965</v>
      </c>
      <c r="K343" s="234">
        <f t="shared" si="55"/>
        <v>304.53625609167312</v>
      </c>
      <c r="L343" s="481">
        <v>0</v>
      </c>
      <c r="M343" s="557" t="s">
        <v>137</v>
      </c>
      <c r="N343" s="558"/>
      <c r="O343" s="11"/>
    </row>
    <row r="344" spans="1:15">
      <c r="A344" s="231"/>
      <c r="B344" s="551"/>
      <c r="C344" s="554"/>
      <c r="D344" s="556" t="s">
        <v>138</v>
      </c>
      <c r="E344" s="556"/>
      <c r="F344" s="289">
        <v>5.61</v>
      </c>
      <c r="G344" s="170">
        <f>F344</f>
        <v>5.61</v>
      </c>
      <c r="H344" s="233" t="str">
        <f t="shared" ref="H344:H359" si="57">IF(F344="","OUT","IN")</f>
        <v>IN</v>
      </c>
      <c r="I344" s="233">
        <f t="shared" si="56"/>
        <v>10403.358000000004</v>
      </c>
      <c r="J344" s="233">
        <f t="shared" si="54"/>
        <v>1214.2119999999959</v>
      </c>
      <c r="K344" s="234">
        <f t="shared" si="55"/>
        <v>304.65470466310171</v>
      </c>
      <c r="L344" s="481">
        <v>0</v>
      </c>
      <c r="M344" s="557" t="s">
        <v>139</v>
      </c>
      <c r="N344" s="558"/>
      <c r="O344" s="11"/>
    </row>
    <row r="345" spans="1:15">
      <c r="A345" s="231"/>
      <c r="B345" s="551"/>
      <c r="C345" s="554"/>
      <c r="D345" s="559" t="s">
        <v>164</v>
      </c>
      <c r="E345" s="559"/>
      <c r="F345" s="427">
        <v>8.4700000000000006</v>
      </c>
      <c r="G345" s="171">
        <f>F345</f>
        <v>8.4700000000000006</v>
      </c>
      <c r="H345" s="171" t="str">
        <f t="shared" si="57"/>
        <v>IN</v>
      </c>
      <c r="I345" s="171">
        <f t="shared" si="56"/>
        <v>10411.828000000003</v>
      </c>
      <c r="J345" s="171">
        <f t="shared" si="54"/>
        <v>1205.7419999999966</v>
      </c>
      <c r="K345" s="428">
        <f t="shared" si="55"/>
        <v>304.83353878074877</v>
      </c>
      <c r="L345" s="489">
        <v>0</v>
      </c>
      <c r="M345" s="560"/>
      <c r="N345" s="561"/>
      <c r="O345" s="11"/>
    </row>
    <row r="346" spans="1:15">
      <c r="A346" s="231"/>
      <c r="B346" s="551"/>
      <c r="C346" s="554"/>
      <c r="D346" s="556" t="s">
        <v>138</v>
      </c>
      <c r="E346" s="556"/>
      <c r="F346" s="289">
        <v>11.615</v>
      </c>
      <c r="G346" s="170">
        <f>F346</f>
        <v>11.615</v>
      </c>
      <c r="H346" s="233" t="str">
        <f t="shared" si="57"/>
        <v>IN</v>
      </c>
      <c r="I346" s="233">
        <f t="shared" si="56"/>
        <v>10423.443000000003</v>
      </c>
      <c r="J346" s="233">
        <f t="shared" si="54"/>
        <v>1194.1269999999968</v>
      </c>
      <c r="K346" s="234">
        <f t="shared" si="55"/>
        <v>305.07877588540879</v>
      </c>
      <c r="L346" s="481">
        <v>0</v>
      </c>
      <c r="M346" s="562" t="s">
        <v>141</v>
      </c>
      <c r="N346" s="563"/>
      <c r="O346" s="11"/>
    </row>
    <row r="347" spans="1:15" ht="13.5" customHeight="1">
      <c r="A347" s="231"/>
      <c r="B347" s="552"/>
      <c r="C347" s="555"/>
      <c r="D347" s="556" t="s">
        <v>136</v>
      </c>
      <c r="E347" s="556"/>
      <c r="F347" s="289">
        <v>9.82</v>
      </c>
      <c r="G347" s="170">
        <f>F347</f>
        <v>9.82</v>
      </c>
      <c r="H347" s="233" t="str">
        <f t="shared" si="57"/>
        <v>IN</v>
      </c>
      <c r="I347" s="233">
        <f t="shared" si="56"/>
        <v>10433.263000000003</v>
      </c>
      <c r="J347" s="233">
        <f t="shared" si="54"/>
        <v>1184.3069999999971</v>
      </c>
      <c r="K347" s="234">
        <f t="shared" si="55"/>
        <v>305.28611366997711</v>
      </c>
      <c r="L347" s="482">
        <v>1</v>
      </c>
      <c r="M347" s="564" t="s">
        <v>142</v>
      </c>
      <c r="N347" s="565"/>
      <c r="O347" s="11"/>
    </row>
    <row r="348" spans="1:15" ht="15" customHeight="1">
      <c r="A348" s="231"/>
      <c r="B348" s="173">
        <f>B342+1</f>
        <v>318</v>
      </c>
      <c r="C348" s="173"/>
      <c r="D348" s="174">
        <v>7</v>
      </c>
      <c r="E348" s="168">
        <f>E342+1</f>
        <v>320</v>
      </c>
      <c r="F348" s="286">
        <f t="shared" ref="F348:F380" si="58">VLOOKUP(E348,tubing1,2,FALSE)</f>
        <v>32.93</v>
      </c>
      <c r="G348" s="175">
        <f t="shared" ref="G348:G383" si="59">F348-($E$12)</f>
        <v>32.531999999999996</v>
      </c>
      <c r="H348" s="175" t="str">
        <f t="shared" si="57"/>
        <v>IN</v>
      </c>
      <c r="I348" s="175">
        <f t="shared" si="56"/>
        <v>10465.795000000002</v>
      </c>
      <c r="J348" s="175">
        <f t="shared" si="54"/>
        <v>1151.7749999999978</v>
      </c>
      <c r="K348" s="262">
        <f t="shared" si="55"/>
        <v>305.97298870129873</v>
      </c>
      <c r="L348" s="478">
        <v>1</v>
      </c>
      <c r="M348" s="441"/>
      <c r="N348" s="442"/>
      <c r="O348" s="11"/>
    </row>
    <row r="349" spans="1:15" ht="15" customHeight="1">
      <c r="A349" s="231"/>
      <c r="B349" s="173">
        <f t="shared" ref="B349:B359" si="60">B348+1</f>
        <v>319</v>
      </c>
      <c r="C349" s="173"/>
      <c r="D349" s="174">
        <v>7</v>
      </c>
      <c r="E349" s="168">
        <f t="shared" ref="E349:E379" si="61">E348+1</f>
        <v>321</v>
      </c>
      <c r="F349" s="286">
        <f t="shared" si="58"/>
        <v>33.36</v>
      </c>
      <c r="G349" s="175">
        <f t="shared" si="59"/>
        <v>32.961999999999996</v>
      </c>
      <c r="H349" s="175" t="str">
        <f t="shared" si="57"/>
        <v>IN</v>
      </c>
      <c r="I349" s="175">
        <f t="shared" si="56"/>
        <v>10498.757000000001</v>
      </c>
      <c r="J349" s="175">
        <f t="shared" si="54"/>
        <v>1118.8129999999983</v>
      </c>
      <c r="K349" s="262">
        <f t="shared" si="55"/>
        <v>306.66894267838046</v>
      </c>
      <c r="L349" s="478">
        <v>1</v>
      </c>
      <c r="M349" s="441"/>
      <c r="N349" s="442"/>
      <c r="O349" s="11"/>
    </row>
    <row r="350" spans="1:15" ht="15" customHeight="1">
      <c r="A350" s="231"/>
      <c r="B350" s="173">
        <f t="shared" si="60"/>
        <v>320</v>
      </c>
      <c r="C350" s="173"/>
      <c r="D350" s="174">
        <v>7</v>
      </c>
      <c r="E350" s="168">
        <f t="shared" si="61"/>
        <v>322</v>
      </c>
      <c r="F350" s="286">
        <f t="shared" si="58"/>
        <v>32.57</v>
      </c>
      <c r="G350" s="175">
        <f t="shared" si="59"/>
        <v>32.171999999999997</v>
      </c>
      <c r="H350" s="175" t="str">
        <f t="shared" si="57"/>
        <v>IN</v>
      </c>
      <c r="I350" s="175">
        <f t="shared" si="56"/>
        <v>10530.929000000002</v>
      </c>
      <c r="J350" s="175">
        <f t="shared" si="54"/>
        <v>1086.6409999999978</v>
      </c>
      <c r="K350" s="262">
        <f t="shared" si="55"/>
        <v>307.34821673185644</v>
      </c>
      <c r="L350" s="478">
        <v>1</v>
      </c>
      <c r="M350" s="441"/>
      <c r="N350" s="442"/>
      <c r="O350" s="11"/>
    </row>
    <row r="351" spans="1:15" ht="15" customHeight="1">
      <c r="A351" s="231"/>
      <c r="B351" s="173">
        <f t="shared" si="60"/>
        <v>321</v>
      </c>
      <c r="C351" s="173"/>
      <c r="D351" s="174">
        <v>7</v>
      </c>
      <c r="E351" s="168">
        <f t="shared" si="61"/>
        <v>323</v>
      </c>
      <c r="F351" s="286">
        <f t="shared" si="58"/>
        <v>31.38</v>
      </c>
      <c r="G351" s="175">
        <f t="shared" si="59"/>
        <v>30.981999999999999</v>
      </c>
      <c r="H351" s="175" t="str">
        <f t="shared" si="57"/>
        <v>IN</v>
      </c>
      <c r="I351" s="175">
        <f t="shared" si="56"/>
        <v>10561.911000000002</v>
      </c>
      <c r="J351" s="175">
        <f t="shared" si="54"/>
        <v>1055.6589999999978</v>
      </c>
      <c r="K351" s="262">
        <f t="shared" si="55"/>
        <v>308.00236533078692</v>
      </c>
      <c r="L351" s="478">
        <v>1</v>
      </c>
      <c r="M351" s="441"/>
      <c r="N351" s="442"/>
      <c r="O351" s="11"/>
    </row>
    <row r="352" spans="1:15" ht="15" customHeight="1">
      <c r="A352" s="231"/>
      <c r="B352" s="173">
        <f t="shared" si="60"/>
        <v>322</v>
      </c>
      <c r="C352" s="173"/>
      <c r="D352" s="174">
        <v>7</v>
      </c>
      <c r="E352" s="168">
        <f t="shared" si="61"/>
        <v>324</v>
      </c>
      <c r="F352" s="286">
        <f t="shared" si="58"/>
        <v>32.44</v>
      </c>
      <c r="G352" s="175">
        <f t="shared" si="59"/>
        <v>32.041999999999994</v>
      </c>
      <c r="H352" s="175" t="str">
        <f t="shared" si="57"/>
        <v>IN</v>
      </c>
      <c r="I352" s="175">
        <f t="shared" si="56"/>
        <v>10593.953000000001</v>
      </c>
      <c r="J352" s="175">
        <f t="shared" si="54"/>
        <v>1023.6169999999984</v>
      </c>
      <c r="K352" s="262">
        <f t="shared" si="55"/>
        <v>308.67889458670743</v>
      </c>
      <c r="L352" s="478">
        <v>1</v>
      </c>
      <c r="M352" s="441"/>
      <c r="N352" s="442"/>
      <c r="O352" s="11"/>
    </row>
    <row r="353" spans="1:15" ht="15" customHeight="1">
      <c r="A353" s="231"/>
      <c r="B353" s="173">
        <f t="shared" si="60"/>
        <v>323</v>
      </c>
      <c r="C353" s="173"/>
      <c r="D353" s="174">
        <v>7</v>
      </c>
      <c r="E353" s="168">
        <f t="shared" si="61"/>
        <v>325</v>
      </c>
      <c r="F353" s="286">
        <f t="shared" si="58"/>
        <v>33.4</v>
      </c>
      <c r="G353" s="175">
        <f t="shared" si="59"/>
        <v>33.001999999999995</v>
      </c>
      <c r="H353" s="175" t="str">
        <f t="shared" si="57"/>
        <v>IN</v>
      </c>
      <c r="I353" s="175">
        <f t="shared" si="56"/>
        <v>10626.955000000002</v>
      </c>
      <c r="J353" s="175">
        <f t="shared" si="54"/>
        <v>990.61499999999796</v>
      </c>
      <c r="K353" s="262">
        <f t="shared" si="55"/>
        <v>309.37569311688321</v>
      </c>
      <c r="L353" s="478">
        <v>1</v>
      </c>
      <c r="M353" s="441"/>
      <c r="N353" s="442"/>
      <c r="O353" s="11"/>
    </row>
    <row r="354" spans="1:15" ht="15" customHeight="1">
      <c r="A354" s="231"/>
      <c r="B354" s="173">
        <f t="shared" si="60"/>
        <v>324</v>
      </c>
      <c r="C354" s="173"/>
      <c r="D354" s="174">
        <v>7</v>
      </c>
      <c r="E354" s="168">
        <f t="shared" si="61"/>
        <v>326</v>
      </c>
      <c r="F354" s="286">
        <f t="shared" si="58"/>
        <v>33.090000000000003</v>
      </c>
      <c r="G354" s="175">
        <f t="shared" si="59"/>
        <v>32.692</v>
      </c>
      <c r="H354" s="175" t="str">
        <f t="shared" si="57"/>
        <v>IN</v>
      </c>
      <c r="I354" s="175">
        <f t="shared" si="56"/>
        <v>10659.647000000001</v>
      </c>
      <c r="J354" s="175">
        <f t="shared" si="54"/>
        <v>957.92299999999886</v>
      </c>
      <c r="K354" s="262">
        <f t="shared" si="55"/>
        <v>310.06594636058065</v>
      </c>
      <c r="L354" s="478">
        <v>1</v>
      </c>
      <c r="M354" s="441"/>
      <c r="N354" s="442"/>
      <c r="O354" s="11"/>
    </row>
    <row r="355" spans="1:15" ht="15" customHeight="1">
      <c r="A355" s="231"/>
      <c r="B355" s="173">
        <f t="shared" si="60"/>
        <v>325</v>
      </c>
      <c r="C355" s="173"/>
      <c r="D355" s="174">
        <v>7</v>
      </c>
      <c r="E355" s="168">
        <f t="shared" si="61"/>
        <v>327</v>
      </c>
      <c r="F355" s="286">
        <f t="shared" si="58"/>
        <v>32.74</v>
      </c>
      <c r="G355" s="175">
        <f t="shared" si="59"/>
        <v>32.341999999999999</v>
      </c>
      <c r="H355" s="175" t="str">
        <f t="shared" si="57"/>
        <v>IN</v>
      </c>
      <c r="I355" s="175">
        <f t="shared" si="56"/>
        <v>10691.989000000001</v>
      </c>
      <c r="J355" s="175">
        <f t="shared" si="54"/>
        <v>925.58099999999831</v>
      </c>
      <c r="K355" s="262">
        <f t="shared" si="55"/>
        <v>310.74880976470592</v>
      </c>
      <c r="L355" s="478">
        <v>1</v>
      </c>
      <c r="M355" s="441"/>
      <c r="N355" s="442"/>
      <c r="O355" s="11"/>
    </row>
    <row r="356" spans="1:15" ht="15" customHeight="1">
      <c r="A356" s="231"/>
      <c r="B356" s="173">
        <f t="shared" si="60"/>
        <v>326</v>
      </c>
      <c r="C356" s="173"/>
      <c r="D356" s="174">
        <v>7</v>
      </c>
      <c r="E356" s="168">
        <f t="shared" si="61"/>
        <v>328</v>
      </c>
      <c r="F356" s="286">
        <f t="shared" si="58"/>
        <v>32.68</v>
      </c>
      <c r="G356" s="175">
        <f t="shared" si="59"/>
        <v>32.281999999999996</v>
      </c>
      <c r="H356" s="175" t="str">
        <f t="shared" si="57"/>
        <v>IN</v>
      </c>
      <c r="I356" s="175">
        <f t="shared" si="56"/>
        <v>10724.271000000001</v>
      </c>
      <c r="J356" s="175">
        <f t="shared" si="54"/>
        <v>893.29899999999907</v>
      </c>
      <c r="K356" s="262">
        <f t="shared" si="55"/>
        <v>311.43040633919026</v>
      </c>
      <c r="L356" s="478">
        <v>1</v>
      </c>
      <c r="M356" s="441"/>
      <c r="N356" s="442"/>
      <c r="O356" s="11"/>
    </row>
    <row r="357" spans="1:15" ht="15" customHeight="1">
      <c r="A357" s="231"/>
      <c r="B357" s="173">
        <f t="shared" si="60"/>
        <v>327</v>
      </c>
      <c r="C357" s="173"/>
      <c r="D357" s="174">
        <v>7</v>
      </c>
      <c r="E357" s="168">
        <f t="shared" si="61"/>
        <v>329</v>
      </c>
      <c r="F357" s="286">
        <f t="shared" si="58"/>
        <v>32.26</v>
      </c>
      <c r="G357" s="175">
        <f t="shared" si="59"/>
        <v>31.861999999999998</v>
      </c>
      <c r="H357" s="175" t="str">
        <f t="shared" si="57"/>
        <v>IN</v>
      </c>
      <c r="I357" s="175">
        <f t="shared" si="56"/>
        <v>10756.133</v>
      </c>
      <c r="J357" s="175">
        <f t="shared" si="54"/>
        <v>861.4369999999999</v>
      </c>
      <c r="K357" s="262">
        <f t="shared" si="55"/>
        <v>312.10313510618789</v>
      </c>
      <c r="L357" s="478">
        <v>1</v>
      </c>
      <c r="M357" s="441"/>
      <c r="N357" s="442"/>
      <c r="O357" s="11"/>
    </row>
    <row r="358" spans="1:15" ht="15" customHeight="1">
      <c r="A358" s="231"/>
      <c r="B358" s="173">
        <f t="shared" si="60"/>
        <v>328</v>
      </c>
      <c r="C358" s="173"/>
      <c r="D358" s="174">
        <v>7</v>
      </c>
      <c r="E358" s="168">
        <f t="shared" si="61"/>
        <v>330</v>
      </c>
      <c r="F358" s="286">
        <f t="shared" si="58"/>
        <v>33.03</v>
      </c>
      <c r="G358" s="175">
        <f t="shared" si="59"/>
        <v>32.631999999999998</v>
      </c>
      <c r="H358" s="175" t="str">
        <f t="shared" si="57"/>
        <v>IN</v>
      </c>
      <c r="I358" s="175">
        <f t="shared" si="56"/>
        <v>10788.764999999999</v>
      </c>
      <c r="J358" s="175">
        <f t="shared" si="54"/>
        <v>828.80500000000029</v>
      </c>
      <c r="K358" s="262">
        <f t="shared" si="55"/>
        <v>312.79212152024445</v>
      </c>
      <c r="L358" s="478">
        <v>1</v>
      </c>
      <c r="M358" s="441"/>
      <c r="N358" s="442"/>
      <c r="O358" s="11"/>
    </row>
    <row r="359" spans="1:15" ht="15" customHeight="1">
      <c r="A359" s="231"/>
      <c r="B359" s="173">
        <f t="shared" si="60"/>
        <v>329</v>
      </c>
      <c r="C359" s="173"/>
      <c r="D359" s="174">
        <v>7</v>
      </c>
      <c r="E359" s="168">
        <f t="shared" si="61"/>
        <v>331</v>
      </c>
      <c r="F359" s="286">
        <f t="shared" si="58"/>
        <v>33.22</v>
      </c>
      <c r="G359" s="175">
        <f t="shared" si="59"/>
        <v>32.821999999999996</v>
      </c>
      <c r="H359" s="175" t="str">
        <f t="shared" si="57"/>
        <v>IN</v>
      </c>
      <c r="I359" s="175">
        <f t="shared" si="56"/>
        <v>10821.587</v>
      </c>
      <c r="J359" s="175">
        <f t="shared" si="54"/>
        <v>795.98300000000017</v>
      </c>
      <c r="K359" s="262">
        <f t="shared" si="55"/>
        <v>313.4851195614973</v>
      </c>
      <c r="L359" s="478">
        <v>1</v>
      </c>
      <c r="M359" s="441"/>
      <c r="N359" s="442"/>
      <c r="O359" s="11"/>
    </row>
    <row r="360" spans="1:15" ht="15" hidden="1" customHeight="1">
      <c r="A360" s="231"/>
      <c r="B360" s="263"/>
      <c r="C360" s="263"/>
      <c r="D360" s="241">
        <v>7</v>
      </c>
      <c r="E360" s="264">
        <f t="shared" si="61"/>
        <v>332</v>
      </c>
      <c r="F360" s="285">
        <f t="shared" si="58"/>
        <v>30.96</v>
      </c>
      <c r="G360" s="233">
        <f t="shared" si="59"/>
        <v>30.562000000000001</v>
      </c>
      <c r="H360" s="233" t="s">
        <v>97</v>
      </c>
      <c r="I360" s="233">
        <f t="shared" si="56"/>
        <v>10821.587</v>
      </c>
      <c r="J360" s="233">
        <f t="shared" si="54"/>
        <v>795.98300000000017</v>
      </c>
      <c r="K360" s="234">
        <f t="shared" si="55"/>
        <v>313.4851195614973</v>
      </c>
      <c r="L360" s="482">
        <v>0</v>
      </c>
      <c r="M360" s="654" t="s">
        <v>143</v>
      </c>
      <c r="N360" s="655"/>
      <c r="O360" s="11"/>
    </row>
    <row r="361" spans="1:15" ht="15" customHeight="1">
      <c r="A361" s="231"/>
      <c r="B361" s="173">
        <v>330</v>
      </c>
      <c r="C361" s="173"/>
      <c r="D361" s="174">
        <v>7</v>
      </c>
      <c r="E361" s="168">
        <f t="shared" si="61"/>
        <v>333</v>
      </c>
      <c r="F361" s="286">
        <f t="shared" si="58"/>
        <v>33.35</v>
      </c>
      <c r="G361" s="175">
        <f t="shared" si="59"/>
        <v>32.951999999999998</v>
      </c>
      <c r="H361" s="175" t="str">
        <f t="shared" ref="H361:H378" si="62">IF(F361="","OUT","IN")</f>
        <v>IN</v>
      </c>
      <c r="I361" s="175">
        <f t="shared" si="56"/>
        <v>10854.538999999999</v>
      </c>
      <c r="J361" s="175">
        <f t="shared" si="54"/>
        <v>763.03100000000086</v>
      </c>
      <c r="K361" s="262">
        <f t="shared" si="55"/>
        <v>314.18086240030561</v>
      </c>
      <c r="L361" s="478">
        <v>1</v>
      </c>
      <c r="M361" s="441"/>
      <c r="N361" s="442"/>
      <c r="O361" s="11"/>
    </row>
    <row r="362" spans="1:15" ht="15" customHeight="1">
      <c r="A362" s="231"/>
      <c r="B362" s="173">
        <f t="shared" ref="B362:B382" si="63">B361+1</f>
        <v>331</v>
      </c>
      <c r="C362" s="173"/>
      <c r="D362" s="174">
        <v>7</v>
      </c>
      <c r="E362" s="168">
        <f t="shared" si="61"/>
        <v>334</v>
      </c>
      <c r="F362" s="286">
        <f t="shared" si="58"/>
        <v>33.1</v>
      </c>
      <c r="G362" s="175">
        <f t="shared" si="59"/>
        <v>32.701999999999998</v>
      </c>
      <c r="H362" s="175" t="str">
        <f t="shared" si="62"/>
        <v>IN</v>
      </c>
      <c r="I362" s="175">
        <f t="shared" si="56"/>
        <v>10887.240999999998</v>
      </c>
      <c r="J362" s="175">
        <f t="shared" si="54"/>
        <v>730.32900000000154</v>
      </c>
      <c r="K362" s="262">
        <f t="shared" si="55"/>
        <v>314.87132678227647</v>
      </c>
      <c r="L362" s="478">
        <v>1</v>
      </c>
      <c r="M362" s="441"/>
      <c r="N362" s="442"/>
      <c r="O362" s="11"/>
    </row>
    <row r="363" spans="1:15" ht="15" customHeight="1">
      <c r="A363" s="231"/>
      <c r="B363" s="173">
        <f t="shared" si="63"/>
        <v>332</v>
      </c>
      <c r="C363" s="173"/>
      <c r="D363" s="174">
        <v>7</v>
      </c>
      <c r="E363" s="168">
        <f t="shared" si="61"/>
        <v>335</v>
      </c>
      <c r="F363" s="286">
        <f t="shared" si="58"/>
        <v>33.33</v>
      </c>
      <c r="G363" s="175">
        <f t="shared" si="59"/>
        <v>32.931999999999995</v>
      </c>
      <c r="H363" s="175" t="str">
        <f t="shared" si="62"/>
        <v>IN</v>
      </c>
      <c r="I363" s="175">
        <f t="shared" si="56"/>
        <v>10920.172999999999</v>
      </c>
      <c r="J363" s="175">
        <f t="shared" si="54"/>
        <v>697.39700000000084</v>
      </c>
      <c r="K363" s="262">
        <f t="shared" si="55"/>
        <v>315.56664734453784</v>
      </c>
      <c r="L363" s="478">
        <v>1</v>
      </c>
      <c r="M363" s="441"/>
      <c r="N363" s="442"/>
      <c r="O363" s="11"/>
    </row>
    <row r="364" spans="1:15" ht="15" customHeight="1">
      <c r="A364" s="231"/>
      <c r="B364" s="173">
        <f t="shared" si="63"/>
        <v>333</v>
      </c>
      <c r="C364" s="173"/>
      <c r="D364" s="174">
        <v>7</v>
      </c>
      <c r="E364" s="168">
        <f t="shared" si="61"/>
        <v>336</v>
      </c>
      <c r="F364" s="286">
        <f t="shared" si="58"/>
        <v>33.35</v>
      </c>
      <c r="G364" s="175">
        <f t="shared" si="59"/>
        <v>32.951999999999998</v>
      </c>
      <c r="H364" s="175" t="str">
        <f t="shared" si="62"/>
        <v>IN</v>
      </c>
      <c r="I364" s="175">
        <f t="shared" si="56"/>
        <v>10953.124999999998</v>
      </c>
      <c r="J364" s="175">
        <f t="shared" si="54"/>
        <v>664.44500000000153</v>
      </c>
      <c r="K364" s="262">
        <f t="shared" si="55"/>
        <v>316.26239018334604</v>
      </c>
      <c r="L364" s="478">
        <v>1</v>
      </c>
      <c r="M364" s="441"/>
      <c r="N364" s="442"/>
      <c r="O364" s="11"/>
    </row>
    <row r="365" spans="1:15" ht="15" customHeight="1">
      <c r="A365" s="231"/>
      <c r="B365" s="173">
        <f t="shared" si="63"/>
        <v>334</v>
      </c>
      <c r="C365" s="173"/>
      <c r="D365" s="174">
        <v>7</v>
      </c>
      <c r="E365" s="168">
        <f t="shared" si="61"/>
        <v>337</v>
      </c>
      <c r="F365" s="286">
        <f t="shared" si="58"/>
        <v>33.65</v>
      </c>
      <c r="G365" s="175">
        <f t="shared" si="59"/>
        <v>33.251999999999995</v>
      </c>
      <c r="H365" s="175" t="str">
        <f t="shared" si="62"/>
        <v>IN</v>
      </c>
      <c r="I365" s="175">
        <f t="shared" si="56"/>
        <v>10986.376999999999</v>
      </c>
      <c r="J365" s="175">
        <f t="shared" si="54"/>
        <v>631.19300000000112</v>
      </c>
      <c r="K365" s="262">
        <f t="shared" si="55"/>
        <v>316.96446717035906</v>
      </c>
      <c r="L365" s="478">
        <v>1</v>
      </c>
      <c r="M365" s="441"/>
      <c r="N365" s="442"/>
      <c r="O365" s="11"/>
    </row>
    <row r="366" spans="1:15" s="231" customFormat="1" ht="15" customHeight="1">
      <c r="B366" s="173">
        <f t="shared" si="63"/>
        <v>335</v>
      </c>
      <c r="C366" s="173"/>
      <c r="D366" s="174">
        <v>7</v>
      </c>
      <c r="E366" s="168">
        <f t="shared" si="61"/>
        <v>338</v>
      </c>
      <c r="F366" s="286">
        <f t="shared" si="58"/>
        <v>33.340000000000003</v>
      </c>
      <c r="G366" s="175">
        <f t="shared" si="59"/>
        <v>32.942</v>
      </c>
      <c r="H366" s="175" t="str">
        <f t="shared" si="62"/>
        <v>IN</v>
      </c>
      <c r="I366" s="175">
        <f t="shared" si="56"/>
        <v>11019.318999999998</v>
      </c>
      <c r="J366" s="175">
        <f t="shared" si="54"/>
        <v>598.25100000000202</v>
      </c>
      <c r="K366" s="262">
        <f t="shared" si="55"/>
        <v>317.65999887089379</v>
      </c>
      <c r="L366" s="478">
        <v>1</v>
      </c>
      <c r="M366" s="441"/>
      <c r="N366" s="442"/>
      <c r="O366" s="260"/>
    </row>
    <row r="367" spans="1:15" ht="15" customHeight="1">
      <c r="A367" s="231"/>
      <c r="B367" s="173">
        <f t="shared" si="63"/>
        <v>336</v>
      </c>
      <c r="C367" s="173"/>
      <c r="D367" s="174">
        <v>7</v>
      </c>
      <c r="E367" s="168">
        <f t="shared" si="61"/>
        <v>339</v>
      </c>
      <c r="F367" s="286">
        <f t="shared" si="58"/>
        <v>33.36</v>
      </c>
      <c r="G367" s="175">
        <f t="shared" si="59"/>
        <v>32.961999999999996</v>
      </c>
      <c r="H367" s="175" t="str">
        <f t="shared" si="62"/>
        <v>IN</v>
      </c>
      <c r="I367" s="175">
        <f t="shared" si="56"/>
        <v>11052.280999999997</v>
      </c>
      <c r="J367" s="175">
        <f t="shared" si="54"/>
        <v>565.28900000000249</v>
      </c>
      <c r="K367" s="262">
        <f t="shared" si="55"/>
        <v>318.35595284797552</v>
      </c>
      <c r="L367" s="478">
        <v>1</v>
      </c>
      <c r="M367" s="441"/>
      <c r="N367" s="442"/>
      <c r="O367" s="11"/>
    </row>
    <row r="368" spans="1:15" ht="15" customHeight="1">
      <c r="A368" s="231"/>
      <c r="B368" s="173">
        <f t="shared" si="63"/>
        <v>337</v>
      </c>
      <c r="C368" s="173"/>
      <c r="D368" s="174">
        <v>7</v>
      </c>
      <c r="E368" s="168">
        <f t="shared" si="61"/>
        <v>340</v>
      </c>
      <c r="F368" s="286">
        <f t="shared" si="58"/>
        <v>33.43</v>
      </c>
      <c r="G368" s="175">
        <f t="shared" si="59"/>
        <v>33.031999999999996</v>
      </c>
      <c r="H368" s="175" t="str">
        <f t="shared" si="62"/>
        <v>IN</v>
      </c>
      <c r="I368" s="175">
        <f t="shared" si="56"/>
        <v>11085.312999999996</v>
      </c>
      <c r="J368" s="175">
        <f t="shared" si="54"/>
        <v>532.25700000000325</v>
      </c>
      <c r="K368" s="262">
        <f t="shared" si="55"/>
        <v>319.05338479297166</v>
      </c>
      <c r="L368" s="478">
        <v>1</v>
      </c>
      <c r="M368" s="441"/>
      <c r="N368" s="442"/>
      <c r="O368" s="11"/>
    </row>
    <row r="369" spans="1:16" ht="15" customHeight="1">
      <c r="A369" s="231"/>
      <c r="B369" s="173">
        <f t="shared" si="63"/>
        <v>338</v>
      </c>
      <c r="C369" s="173"/>
      <c r="D369" s="174">
        <v>7</v>
      </c>
      <c r="E369" s="168">
        <f t="shared" si="61"/>
        <v>341</v>
      </c>
      <c r="F369" s="286">
        <f t="shared" si="58"/>
        <v>31.25</v>
      </c>
      <c r="G369" s="175">
        <f t="shared" si="59"/>
        <v>30.852</v>
      </c>
      <c r="H369" s="175" t="str">
        <f t="shared" si="62"/>
        <v>IN</v>
      </c>
      <c r="I369" s="175">
        <f t="shared" si="56"/>
        <v>11116.164999999997</v>
      </c>
      <c r="J369" s="175">
        <f t="shared" si="54"/>
        <v>501.40500000000247</v>
      </c>
      <c r="K369" s="262">
        <f t="shared" si="55"/>
        <v>319.70478859434678</v>
      </c>
      <c r="L369" s="478">
        <v>1</v>
      </c>
      <c r="M369" s="441"/>
      <c r="N369" s="442"/>
      <c r="O369" s="11"/>
      <c r="P369" s="274"/>
    </row>
    <row r="370" spans="1:16" ht="15" customHeight="1">
      <c r="A370" s="231"/>
      <c r="B370" s="173">
        <f t="shared" si="63"/>
        <v>339</v>
      </c>
      <c r="C370" s="173"/>
      <c r="D370" s="174">
        <v>7</v>
      </c>
      <c r="E370" s="168">
        <f t="shared" si="61"/>
        <v>342</v>
      </c>
      <c r="F370" s="286">
        <f t="shared" si="58"/>
        <v>33.1</v>
      </c>
      <c r="G370" s="175">
        <f t="shared" si="59"/>
        <v>32.701999999999998</v>
      </c>
      <c r="H370" s="175" t="str">
        <f t="shared" si="62"/>
        <v>IN</v>
      </c>
      <c r="I370" s="175">
        <f t="shared" si="56"/>
        <v>11148.866999999997</v>
      </c>
      <c r="J370" s="175">
        <f t="shared" si="54"/>
        <v>468.70300000000316</v>
      </c>
      <c r="K370" s="262">
        <f t="shared" si="55"/>
        <v>320.39525297631775</v>
      </c>
      <c r="L370" s="478">
        <v>1</v>
      </c>
      <c r="M370" s="441"/>
      <c r="N370" s="442"/>
      <c r="O370" s="11"/>
    </row>
    <row r="371" spans="1:16" ht="13.15" customHeight="1">
      <c r="A371" s="231"/>
      <c r="B371" s="173">
        <f t="shared" si="63"/>
        <v>340</v>
      </c>
      <c r="C371" s="173"/>
      <c r="D371" s="174">
        <v>7</v>
      </c>
      <c r="E371" s="168">
        <f t="shared" si="61"/>
        <v>343</v>
      </c>
      <c r="F371" s="286">
        <f t="shared" si="58"/>
        <v>33.130000000000003</v>
      </c>
      <c r="G371" s="175">
        <f t="shared" si="59"/>
        <v>32.731999999999999</v>
      </c>
      <c r="H371" s="175" t="str">
        <f t="shared" si="62"/>
        <v>IN</v>
      </c>
      <c r="I371" s="175">
        <f t="shared" si="56"/>
        <v>11181.598999999997</v>
      </c>
      <c r="J371" s="175">
        <f t="shared" si="54"/>
        <v>435.97100000000319</v>
      </c>
      <c r="K371" s="262">
        <f t="shared" si="55"/>
        <v>321.08635077310919</v>
      </c>
      <c r="L371" s="478">
        <v>1</v>
      </c>
      <c r="M371" s="441"/>
      <c r="N371" s="442"/>
      <c r="O371" s="11"/>
    </row>
    <row r="372" spans="1:16" ht="13.15" customHeight="1">
      <c r="A372" s="231"/>
      <c r="B372" s="173">
        <f t="shared" si="63"/>
        <v>341</v>
      </c>
      <c r="C372" s="173"/>
      <c r="D372" s="174">
        <v>7</v>
      </c>
      <c r="E372" s="168">
        <f t="shared" si="61"/>
        <v>344</v>
      </c>
      <c r="F372" s="286">
        <f t="shared" si="58"/>
        <v>33.380000000000003</v>
      </c>
      <c r="G372" s="175">
        <f t="shared" si="59"/>
        <v>32.981999999999999</v>
      </c>
      <c r="H372" s="175" t="str">
        <f t="shared" si="62"/>
        <v>IN</v>
      </c>
      <c r="I372" s="175">
        <f t="shared" si="56"/>
        <v>11214.580999999996</v>
      </c>
      <c r="J372" s="175">
        <f t="shared" si="54"/>
        <v>402.98900000000322</v>
      </c>
      <c r="K372" s="262">
        <f t="shared" si="55"/>
        <v>321.78272702673792</v>
      </c>
      <c r="L372" s="478">
        <v>1</v>
      </c>
      <c r="M372" s="441"/>
      <c r="N372" s="442"/>
      <c r="O372" s="11"/>
    </row>
    <row r="373" spans="1:16" ht="13.15" customHeight="1">
      <c r="A373" s="231"/>
      <c r="B373" s="173">
        <f t="shared" si="63"/>
        <v>342</v>
      </c>
      <c r="C373" s="173"/>
      <c r="D373" s="174">
        <v>7</v>
      </c>
      <c r="E373" s="168">
        <f t="shared" si="61"/>
        <v>345</v>
      </c>
      <c r="F373" s="286">
        <f t="shared" si="58"/>
        <v>32.92</v>
      </c>
      <c r="G373" s="175">
        <f t="shared" si="59"/>
        <v>32.521999999999998</v>
      </c>
      <c r="H373" s="175" t="str">
        <f t="shared" si="62"/>
        <v>IN</v>
      </c>
      <c r="I373" s="175">
        <f t="shared" si="56"/>
        <v>11247.102999999997</v>
      </c>
      <c r="J373" s="175">
        <f t="shared" si="54"/>
        <v>370.46700000000237</v>
      </c>
      <c r="K373" s="262">
        <f t="shared" si="55"/>
        <v>322.46939091978606</v>
      </c>
      <c r="L373" s="478">
        <v>1</v>
      </c>
      <c r="M373" s="441"/>
      <c r="N373" s="442"/>
      <c r="O373" s="11"/>
    </row>
    <row r="374" spans="1:16" ht="13.15" customHeight="1">
      <c r="A374" s="231"/>
      <c r="B374" s="173">
        <f t="shared" si="63"/>
        <v>343</v>
      </c>
      <c r="C374" s="173"/>
      <c r="D374" s="174">
        <v>7</v>
      </c>
      <c r="E374" s="168">
        <f t="shared" si="61"/>
        <v>346</v>
      </c>
      <c r="F374" s="286">
        <f t="shared" si="58"/>
        <v>33.04</v>
      </c>
      <c r="G374" s="175">
        <f t="shared" si="59"/>
        <v>32.641999999999996</v>
      </c>
      <c r="H374" s="175" t="str">
        <f t="shared" si="62"/>
        <v>IN</v>
      </c>
      <c r="I374" s="175">
        <f t="shared" si="56"/>
        <v>11279.744999999997</v>
      </c>
      <c r="J374" s="175">
        <f t="shared" si="54"/>
        <v>337.82500000000255</v>
      </c>
      <c r="K374" s="262">
        <f t="shared" si="55"/>
        <v>323.15858847211609</v>
      </c>
      <c r="L374" s="478">
        <v>1</v>
      </c>
      <c r="M374" s="441"/>
      <c r="N374" s="442"/>
      <c r="O374" s="11"/>
    </row>
    <row r="375" spans="1:16" ht="13.15" customHeight="1">
      <c r="A375" s="231"/>
      <c r="B375" s="173">
        <f t="shared" si="63"/>
        <v>344</v>
      </c>
      <c r="C375" s="173"/>
      <c r="D375" s="174">
        <v>7</v>
      </c>
      <c r="E375" s="168">
        <f t="shared" si="61"/>
        <v>347</v>
      </c>
      <c r="F375" s="286">
        <f t="shared" si="58"/>
        <v>32.99</v>
      </c>
      <c r="G375" s="175">
        <f t="shared" si="59"/>
        <v>32.591999999999999</v>
      </c>
      <c r="H375" s="175" t="str">
        <f t="shared" si="62"/>
        <v>IN</v>
      </c>
      <c r="I375" s="175">
        <f t="shared" si="56"/>
        <v>11312.336999999998</v>
      </c>
      <c r="J375" s="175">
        <f t="shared" si="54"/>
        <v>305.23300000000199</v>
      </c>
      <c r="K375" s="262">
        <f t="shared" si="55"/>
        <v>323.84673033307865</v>
      </c>
      <c r="L375" s="478">
        <v>1</v>
      </c>
      <c r="M375" s="441"/>
      <c r="N375" s="442"/>
      <c r="O375" s="11"/>
    </row>
    <row r="376" spans="1:16" ht="13.9" customHeight="1">
      <c r="A376" s="231"/>
      <c r="B376" s="173">
        <f t="shared" si="63"/>
        <v>345</v>
      </c>
      <c r="C376" s="173"/>
      <c r="D376" s="174">
        <v>7</v>
      </c>
      <c r="E376" s="168">
        <f t="shared" si="61"/>
        <v>348</v>
      </c>
      <c r="F376" s="286">
        <f t="shared" si="58"/>
        <v>33.28</v>
      </c>
      <c r="G376" s="175">
        <f t="shared" si="59"/>
        <v>32.881999999999998</v>
      </c>
      <c r="H376" s="175" t="str">
        <f t="shared" si="62"/>
        <v>IN</v>
      </c>
      <c r="I376" s="175">
        <f t="shared" si="56"/>
        <v>11345.218999999997</v>
      </c>
      <c r="J376" s="175">
        <f t="shared" si="54"/>
        <v>272.35100000000239</v>
      </c>
      <c r="K376" s="262">
        <f t="shared" si="55"/>
        <v>324.54099520397244</v>
      </c>
      <c r="L376" s="478">
        <v>1</v>
      </c>
      <c r="M376" s="441"/>
      <c r="N376" s="442"/>
      <c r="O376" s="11"/>
    </row>
    <row r="377" spans="1:16" ht="13.15" customHeight="1">
      <c r="A377" s="231"/>
      <c r="B377" s="173">
        <f t="shared" si="63"/>
        <v>346</v>
      </c>
      <c r="C377" s="173"/>
      <c r="D377" s="174">
        <v>7</v>
      </c>
      <c r="E377" s="168">
        <f t="shared" si="61"/>
        <v>349</v>
      </c>
      <c r="F377" s="286">
        <f t="shared" si="58"/>
        <v>33.6</v>
      </c>
      <c r="G377" s="175">
        <f t="shared" si="59"/>
        <v>33.201999999999998</v>
      </c>
      <c r="H377" s="175" t="str">
        <f t="shared" si="62"/>
        <v>IN</v>
      </c>
      <c r="I377" s="175">
        <f t="shared" si="56"/>
        <v>11378.420999999997</v>
      </c>
      <c r="J377" s="175">
        <f t="shared" si="54"/>
        <v>239.14900000000307</v>
      </c>
      <c r="K377" s="262">
        <f t="shared" si="55"/>
        <v>325.24201649961799</v>
      </c>
      <c r="L377" s="478">
        <v>1</v>
      </c>
      <c r="M377" s="441"/>
      <c r="N377" s="442"/>
      <c r="O377" s="11"/>
    </row>
    <row r="378" spans="1:16" ht="13.15" customHeight="1">
      <c r="A378" s="231"/>
      <c r="B378" s="173">
        <f t="shared" si="63"/>
        <v>347</v>
      </c>
      <c r="C378" s="173"/>
      <c r="D378" s="174">
        <v>7</v>
      </c>
      <c r="E378" s="168">
        <f t="shared" si="61"/>
        <v>350</v>
      </c>
      <c r="F378" s="286">
        <f t="shared" si="58"/>
        <v>33.65</v>
      </c>
      <c r="G378" s="175">
        <f t="shared" si="59"/>
        <v>33.251999999999995</v>
      </c>
      <c r="H378" s="175" t="str">
        <f t="shared" si="62"/>
        <v>IN</v>
      </c>
      <c r="I378" s="175">
        <f t="shared" si="56"/>
        <v>11411.672999999997</v>
      </c>
      <c r="J378" s="175">
        <f t="shared" si="54"/>
        <v>205.89700000000266</v>
      </c>
      <c r="K378" s="262">
        <f t="shared" si="55"/>
        <v>325.94409348663095</v>
      </c>
      <c r="L378" s="478">
        <v>1</v>
      </c>
      <c r="M378" s="441"/>
      <c r="N378" s="442"/>
      <c r="O378" s="11"/>
    </row>
    <row r="379" spans="1:16" ht="13.15" customHeight="1">
      <c r="A379" s="231"/>
      <c r="B379" s="173">
        <f t="shared" si="63"/>
        <v>348</v>
      </c>
      <c r="C379" s="173"/>
      <c r="D379" s="174">
        <v>7</v>
      </c>
      <c r="E379" s="168">
        <f t="shared" si="61"/>
        <v>351</v>
      </c>
      <c r="F379" s="286">
        <f t="shared" si="58"/>
        <v>33.33</v>
      </c>
      <c r="G379" s="175">
        <f t="shared" si="59"/>
        <v>32.931999999999995</v>
      </c>
      <c r="H379" s="175" t="s">
        <v>131</v>
      </c>
      <c r="I379" s="175">
        <f t="shared" si="56"/>
        <v>11444.604999999998</v>
      </c>
      <c r="J379" s="175">
        <f t="shared" si="54"/>
        <v>172.96500000000196</v>
      </c>
      <c r="K379" s="262">
        <f t="shared" si="55"/>
        <v>326.63941404889226</v>
      </c>
      <c r="L379" s="478">
        <v>1</v>
      </c>
      <c r="M379" s="431"/>
      <c r="N379" s="442"/>
      <c r="O379" s="11"/>
    </row>
    <row r="380" spans="1:16" ht="13.15" customHeight="1">
      <c r="A380" s="231"/>
      <c r="B380" s="173">
        <f t="shared" si="63"/>
        <v>349</v>
      </c>
      <c r="C380" s="173"/>
      <c r="D380" s="174">
        <v>7</v>
      </c>
      <c r="E380" s="168">
        <v>352</v>
      </c>
      <c r="F380" s="286">
        <f t="shared" si="58"/>
        <v>32.729999999999997</v>
      </c>
      <c r="G380" s="175">
        <f t="shared" si="59"/>
        <v>32.331999999999994</v>
      </c>
      <c r="H380" s="175" t="s">
        <v>131</v>
      </c>
      <c r="I380" s="175">
        <f t="shared" si="56"/>
        <v>11476.936999999998</v>
      </c>
      <c r="J380" s="175">
        <f t="shared" si="54"/>
        <v>140.63300000000163</v>
      </c>
      <c r="K380" s="262">
        <f t="shared" si="55"/>
        <v>327.32206631474406</v>
      </c>
      <c r="L380" s="507">
        <v>1</v>
      </c>
      <c r="M380" s="431"/>
      <c r="N380" s="442"/>
      <c r="O380" s="11"/>
    </row>
    <row r="381" spans="1:16" ht="13.15" customHeight="1">
      <c r="A381" s="231"/>
      <c r="B381" s="173">
        <f t="shared" si="63"/>
        <v>350</v>
      </c>
      <c r="C381" s="173"/>
      <c r="D381" s="174">
        <v>7</v>
      </c>
      <c r="E381" s="168" t="s">
        <v>14</v>
      </c>
      <c r="F381" s="286">
        <v>6.23</v>
      </c>
      <c r="G381" s="175">
        <f t="shared" si="59"/>
        <v>5.8320000000000007</v>
      </c>
      <c r="H381" s="175" t="s">
        <v>131</v>
      </c>
      <c r="I381" s="175">
        <f t="shared" si="56"/>
        <v>11482.768999999998</v>
      </c>
      <c r="J381" s="175">
        <f t="shared" si="54"/>
        <v>134.8010000000013</v>
      </c>
      <c r="K381" s="262">
        <f t="shared" si="55"/>
        <v>327.44520215584413</v>
      </c>
      <c r="L381" s="507">
        <v>1</v>
      </c>
      <c r="M381" s="431"/>
      <c r="N381" s="442"/>
      <c r="O381" s="11"/>
    </row>
    <row r="382" spans="1:16" ht="13.15" customHeight="1">
      <c r="A382" s="231"/>
      <c r="B382" s="173">
        <f t="shared" si="63"/>
        <v>351</v>
      </c>
      <c r="C382" s="176"/>
      <c r="D382" s="232">
        <v>7</v>
      </c>
      <c r="E382" s="242">
        <v>397</v>
      </c>
      <c r="F382" s="467">
        <f>VLOOKUP(E382,tubing1,2,FALSE)</f>
        <v>32</v>
      </c>
      <c r="G382" s="177">
        <f t="shared" si="59"/>
        <v>31.602</v>
      </c>
      <c r="H382" s="177" t="s">
        <v>131</v>
      </c>
      <c r="I382" s="175">
        <f t="shared" si="56"/>
        <v>11514.370999999999</v>
      </c>
      <c r="J382" s="175">
        <f t="shared" si="54"/>
        <v>103.19900000000052</v>
      </c>
      <c r="K382" s="235">
        <f t="shared" si="55"/>
        <v>328.11244132773106</v>
      </c>
      <c r="L382" s="478">
        <v>1</v>
      </c>
      <c r="M382" s="644" t="s">
        <v>173</v>
      </c>
      <c r="N382" s="646"/>
      <c r="O382" s="11"/>
    </row>
    <row r="383" spans="1:16" ht="12.4" customHeight="1">
      <c r="A383" s="231"/>
      <c r="B383" s="664" t="s">
        <v>157</v>
      </c>
      <c r="C383" s="663" t="s">
        <v>158</v>
      </c>
      <c r="D383" s="538"/>
      <c r="E383" s="538"/>
      <c r="F383" s="488">
        <v>7.25</v>
      </c>
      <c r="G383" s="386">
        <f t="shared" si="59"/>
        <v>6.8520000000000003</v>
      </c>
      <c r="H383" s="485" t="s">
        <v>131</v>
      </c>
      <c r="I383" s="485">
        <f t="shared" si="56"/>
        <v>11521.223</v>
      </c>
      <c r="J383" s="485">
        <f t="shared" si="54"/>
        <v>96.346999999999753</v>
      </c>
      <c r="K383" s="486">
        <f t="shared" si="55"/>
        <v>328.25711327272728</v>
      </c>
      <c r="L383" s="487">
        <v>0</v>
      </c>
      <c r="M383" s="659" t="s">
        <v>159</v>
      </c>
      <c r="N383" s="660"/>
      <c r="O383" s="11"/>
    </row>
    <row r="384" spans="1:16" ht="12.4" customHeight="1">
      <c r="A384" s="231"/>
      <c r="B384" s="665"/>
      <c r="C384" s="663" t="s">
        <v>160</v>
      </c>
      <c r="D384" s="538"/>
      <c r="E384" s="538"/>
      <c r="F384" s="488">
        <v>99.7</v>
      </c>
      <c r="G384" s="386">
        <f>F384</f>
        <v>99.7</v>
      </c>
      <c r="H384" s="485" t="s">
        <v>131</v>
      </c>
      <c r="I384" s="485">
        <f t="shared" si="56"/>
        <v>11620.923000000001</v>
      </c>
      <c r="J384" s="485">
        <f t="shared" si="54"/>
        <v>-3.353000000000975</v>
      </c>
      <c r="K384" s="486">
        <f t="shared" si="55"/>
        <v>330.36216185943471</v>
      </c>
      <c r="L384" s="487">
        <v>0</v>
      </c>
      <c r="M384" s="661"/>
      <c r="N384" s="662"/>
      <c r="O384" s="11"/>
    </row>
    <row r="385" spans="1:15" ht="13.5" customHeight="1">
      <c r="A385" s="231"/>
      <c r="B385" s="666"/>
      <c r="C385" s="669" t="s">
        <v>161</v>
      </c>
      <c r="D385" s="669"/>
      <c r="E385" s="669"/>
      <c r="F385" s="670"/>
      <c r="G385" s="483">
        <v>-3.35</v>
      </c>
      <c r="H385" s="484" t="s">
        <v>131</v>
      </c>
      <c r="I385" s="484">
        <f t="shared" si="56"/>
        <v>11617.573</v>
      </c>
      <c r="J385" s="484">
        <f t="shared" si="54"/>
        <v>-3.0000000006111804E-3</v>
      </c>
      <c r="K385" s="656" t="s">
        <v>174</v>
      </c>
      <c r="L385" s="657"/>
      <c r="M385" s="657"/>
      <c r="N385" s="658"/>
      <c r="O385" s="11"/>
    </row>
    <row r="386" spans="1:15">
      <c r="A386" s="231"/>
      <c r="B386" s="8"/>
      <c r="C386" s="8"/>
      <c r="D386" s="222"/>
      <c r="E386" s="222"/>
      <c r="F386" s="223"/>
      <c r="K386" s="224"/>
      <c r="L386" s="224"/>
      <c r="M386" s="522"/>
      <c r="N386" s="522"/>
      <c r="O386" s="11"/>
    </row>
    <row r="387" spans="1:15">
      <c r="A387" s="231"/>
      <c r="D387" s="14"/>
      <c r="G387" s="17"/>
      <c r="N387" s="9"/>
      <c r="O387" s="11"/>
    </row>
    <row r="388" spans="1:15">
      <c r="A388" s="231"/>
      <c r="D388" s="14"/>
      <c r="G388" s="17"/>
      <c r="N388" s="9"/>
      <c r="O388" s="11"/>
    </row>
    <row r="389" spans="1:15">
      <c r="A389" s="231"/>
      <c r="D389" s="14"/>
      <c r="G389" s="17"/>
      <c r="K389" s="11"/>
      <c r="L389" s="11"/>
      <c r="N389" s="9"/>
      <c r="O389" s="11"/>
    </row>
    <row r="390" spans="1:15">
      <c r="A390" s="231"/>
      <c r="D390" s="14"/>
      <c r="G390" s="17"/>
      <c r="N390" s="9"/>
      <c r="O390" s="11"/>
    </row>
    <row r="391" spans="1:15">
      <c r="A391" s="231"/>
      <c r="D391" s="14"/>
      <c r="G391" s="17"/>
      <c r="N391" s="9"/>
      <c r="O391" s="11"/>
    </row>
    <row r="392" spans="1:15">
      <c r="A392" s="231"/>
      <c r="D392" s="14"/>
      <c r="G392" s="17"/>
      <c r="N392" s="9"/>
      <c r="O392" s="11"/>
    </row>
    <row r="393" spans="1:15">
      <c r="A393" s="231"/>
      <c r="D393" s="14"/>
      <c r="G393" s="17"/>
      <c r="N393" s="9"/>
      <c r="O393" s="11"/>
    </row>
    <row r="394" spans="1:15">
      <c r="A394" s="231"/>
      <c r="D394" s="14"/>
      <c r="G394" s="17"/>
      <c r="N394" s="9"/>
      <c r="O394" s="11"/>
    </row>
    <row r="395" spans="1:15">
      <c r="A395" s="231"/>
      <c r="D395" s="14"/>
      <c r="G395" s="17"/>
      <c r="N395" s="9"/>
      <c r="O395" s="11"/>
    </row>
    <row r="396" spans="1:15">
      <c r="A396" s="231"/>
      <c r="O396" s="11"/>
    </row>
    <row r="397" spans="1:15">
      <c r="A397" s="231"/>
      <c r="O397" s="11"/>
    </row>
    <row r="398" spans="1:15">
      <c r="A398" s="231"/>
      <c r="O398" s="11"/>
    </row>
    <row r="399" spans="1:15">
      <c r="A399" s="231"/>
      <c r="O399" s="11"/>
    </row>
    <row r="400" spans="1:15">
      <c r="A400" s="231"/>
      <c r="O400" s="11"/>
    </row>
    <row r="401" spans="1:17">
      <c r="A401" s="231"/>
      <c r="O401" s="11"/>
    </row>
    <row r="402" spans="1:17">
      <c r="A402" s="231"/>
      <c r="O402" s="11"/>
    </row>
    <row r="403" spans="1:17">
      <c r="A403" s="231"/>
      <c r="O403" s="11"/>
    </row>
    <row r="404" spans="1:17">
      <c r="A404" s="231"/>
      <c r="O404" s="11"/>
    </row>
    <row r="405" spans="1:17">
      <c r="A405" s="231"/>
      <c r="O405" s="11"/>
    </row>
    <row r="406" spans="1:17" s="268" customFormat="1" ht="19.149999999999999" customHeight="1">
      <c r="B406" s="1"/>
      <c r="C406" s="17"/>
      <c r="D406" s="4"/>
      <c r="E406" s="4"/>
      <c r="F406" s="153"/>
      <c r="G406" s="153"/>
      <c r="H406" s="153"/>
      <c r="I406" s="153"/>
      <c r="J406" s="153"/>
      <c r="K406" s="161"/>
      <c r="L406" s="161"/>
      <c r="M406" s="9"/>
    </row>
    <row r="407" spans="1:17" s="164" customFormat="1" ht="19.149999999999999" customHeight="1">
      <c r="B407" s="1"/>
      <c r="C407" s="17"/>
      <c r="D407" s="4"/>
      <c r="E407" s="4"/>
      <c r="F407" s="153"/>
      <c r="G407" s="153"/>
      <c r="H407" s="153"/>
      <c r="I407" s="153"/>
      <c r="J407" s="153"/>
      <c r="K407" s="161"/>
      <c r="L407" s="161"/>
      <c r="M407" s="9"/>
    </row>
    <row r="408" spans="1:17" s="268" customFormat="1" ht="19.149999999999999" customHeight="1">
      <c r="B408" s="1"/>
      <c r="C408" s="17"/>
      <c r="D408" s="4"/>
      <c r="E408" s="4"/>
      <c r="F408" s="153"/>
      <c r="G408" s="153"/>
      <c r="H408" s="153"/>
      <c r="I408" s="153"/>
      <c r="J408" s="153"/>
      <c r="K408" s="161"/>
      <c r="L408" s="161"/>
      <c r="M408" s="9"/>
    </row>
    <row r="409" spans="1:17" s="164" customFormat="1" ht="19.149999999999999" customHeight="1">
      <c r="B409" s="1"/>
      <c r="C409" s="17"/>
      <c r="D409" s="4"/>
      <c r="E409" s="4"/>
      <c r="F409" s="153"/>
      <c r="G409" s="153"/>
      <c r="H409" s="153"/>
      <c r="I409" s="153"/>
      <c r="J409" s="153"/>
      <c r="K409" s="161"/>
      <c r="L409" s="161"/>
      <c r="M409" s="9"/>
      <c r="O409" s="178"/>
    </row>
    <row r="410" spans="1:17" s="268" customFormat="1" ht="19.149999999999999" customHeight="1">
      <c r="B410" s="1"/>
      <c r="C410" s="17"/>
      <c r="D410" s="4"/>
      <c r="E410" s="4"/>
      <c r="F410" s="153"/>
      <c r="G410" s="153"/>
      <c r="H410" s="153"/>
      <c r="I410" s="153"/>
      <c r="J410" s="153"/>
      <c r="K410" s="161"/>
      <c r="L410" s="161"/>
      <c r="M410" s="9"/>
      <c r="O410" s="315"/>
      <c r="P410" s="164"/>
      <c r="Q410" s="164"/>
    </row>
    <row r="411" spans="1:17" ht="13.15" customHeight="1">
      <c r="O411" s="316"/>
      <c r="P411" s="268"/>
      <c r="Q411" s="268"/>
    </row>
    <row r="412" spans="1:17" ht="13.15" customHeight="1">
      <c r="O412" s="280"/>
      <c r="P412" s="268"/>
      <c r="Q412" s="268"/>
    </row>
    <row r="413" spans="1:17">
      <c r="O413" s="269"/>
      <c r="Q413" s="164"/>
    </row>
    <row r="414" spans="1:17" ht="13.15" customHeight="1"/>
  </sheetData>
  <mergeCells count="348">
    <mergeCell ref="E6:F6"/>
    <mergeCell ref="E7:F7"/>
    <mergeCell ref="E8:F8"/>
    <mergeCell ref="E9:F9"/>
    <mergeCell ref="E10:F10"/>
    <mergeCell ref="P20:Q21"/>
    <mergeCell ref="D21:E21"/>
    <mergeCell ref="M21:N21"/>
    <mergeCell ref="M22:N22"/>
    <mergeCell ref="E11:F11"/>
    <mergeCell ref="M13:N14"/>
    <mergeCell ref="M23:N23"/>
    <mergeCell ref="M19:N19"/>
    <mergeCell ref="B20:B24"/>
    <mergeCell ref="C20:C24"/>
    <mergeCell ref="D20:E20"/>
    <mergeCell ref="M20:N20"/>
    <mergeCell ref="D24:E24"/>
    <mergeCell ref="M24:N24"/>
    <mergeCell ref="P24:Q25"/>
    <mergeCell ref="M25:N25"/>
    <mergeCell ref="B16:B18"/>
    <mergeCell ref="C16:C18"/>
    <mergeCell ref="D16:E16"/>
    <mergeCell ref="M16:N16"/>
    <mergeCell ref="D17:E17"/>
    <mergeCell ref="M17:N17"/>
    <mergeCell ref="D18:E18"/>
    <mergeCell ref="M18:N18"/>
    <mergeCell ref="M27:N27"/>
    <mergeCell ref="M46:N46"/>
    <mergeCell ref="S30:T30"/>
    <mergeCell ref="M32:N32"/>
    <mergeCell ref="M33:N33"/>
    <mergeCell ref="M34:N38"/>
    <mergeCell ref="M39:N39"/>
    <mergeCell ref="M40:N40"/>
    <mergeCell ref="O29:Q32"/>
    <mergeCell ref="M41:N41"/>
    <mergeCell ref="M42:N42"/>
    <mergeCell ref="M43:N43"/>
    <mergeCell ref="M44:N44"/>
    <mergeCell ref="M45:N45"/>
    <mergeCell ref="M58:N58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9:N59"/>
    <mergeCell ref="M60:N60"/>
    <mergeCell ref="M61:N61"/>
    <mergeCell ref="M64:N64"/>
    <mergeCell ref="M65:N65"/>
    <mergeCell ref="M62:N62"/>
    <mergeCell ref="M63:N63"/>
    <mergeCell ref="M77:N77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89:N89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101:N101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13:N113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25:N125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37:N137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50:N150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7:N147"/>
    <mergeCell ref="M148:N148"/>
    <mergeCell ref="M149:N149"/>
    <mergeCell ref="M162:N162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74:N174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86:N186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98:N198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210:N210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22:N222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34:N234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46:N246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58:N258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70:N270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82:N282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95:N295"/>
    <mergeCell ref="M283:N283"/>
    <mergeCell ref="M285:N285"/>
    <mergeCell ref="M286:N286"/>
    <mergeCell ref="M287:N287"/>
    <mergeCell ref="M288:N288"/>
    <mergeCell ref="M289:N289"/>
    <mergeCell ref="M284:N284"/>
    <mergeCell ref="M290:N290"/>
    <mergeCell ref="M291:N291"/>
    <mergeCell ref="M292:N292"/>
    <mergeCell ref="M293:N293"/>
    <mergeCell ref="M294:N294"/>
    <mergeCell ref="M317:N317"/>
    <mergeCell ref="M318:N318"/>
    <mergeCell ref="M319:N319"/>
    <mergeCell ref="M325:N325"/>
    <mergeCell ref="M307:N307"/>
    <mergeCell ref="M296:N296"/>
    <mergeCell ref="M297:N297"/>
    <mergeCell ref="M298:N298"/>
    <mergeCell ref="M299:N299"/>
    <mergeCell ref="M300:N300"/>
    <mergeCell ref="M301:N301"/>
    <mergeCell ref="M302:N302"/>
    <mergeCell ref="M303:N303"/>
    <mergeCell ref="M304:N304"/>
    <mergeCell ref="M305:N305"/>
    <mergeCell ref="M306:N306"/>
    <mergeCell ref="B383:B385"/>
    <mergeCell ref="D346:E346"/>
    <mergeCell ref="M346:N346"/>
    <mergeCell ref="D347:E347"/>
    <mergeCell ref="M347:N347"/>
    <mergeCell ref="M382:N382"/>
    <mergeCell ref="M332:N332"/>
    <mergeCell ref="M339:N339"/>
    <mergeCell ref="B343:B347"/>
    <mergeCell ref="C343:C347"/>
    <mergeCell ref="D343:E343"/>
    <mergeCell ref="M343:N343"/>
    <mergeCell ref="D344:E344"/>
    <mergeCell ref="M344:N344"/>
    <mergeCell ref="D345:E345"/>
    <mergeCell ref="M345:N345"/>
    <mergeCell ref="C385:F385"/>
    <mergeCell ref="M386:N386"/>
    <mergeCell ref="L13:L14"/>
    <mergeCell ref="C15:E15"/>
    <mergeCell ref="M341:N341"/>
    <mergeCell ref="M342:N342"/>
    <mergeCell ref="M360:N360"/>
    <mergeCell ref="K385:N385"/>
    <mergeCell ref="M383:N384"/>
    <mergeCell ref="C383:E383"/>
    <mergeCell ref="C384:E384"/>
    <mergeCell ref="M326:N326"/>
    <mergeCell ref="M327:N327"/>
    <mergeCell ref="M328:N328"/>
    <mergeCell ref="M329:N329"/>
    <mergeCell ref="M330:N330"/>
    <mergeCell ref="M331:N331"/>
    <mergeCell ref="M308:N308"/>
    <mergeCell ref="M309:N309"/>
    <mergeCell ref="M320:N320"/>
    <mergeCell ref="M321:N321"/>
    <mergeCell ref="M322:N322"/>
    <mergeCell ref="M323:N323"/>
    <mergeCell ref="M324:N324"/>
    <mergeCell ref="M316:N316"/>
  </mergeCells>
  <printOptions horizontalCentered="1" verticalCentered="1"/>
  <pageMargins left="0.25" right="0.25" top="0.75" bottom="0.75" header="0.3" footer="0.3"/>
  <pageSetup scale="59" fitToHeight="8" orientation="portrait" r:id="rId1"/>
  <headerFooter alignWithMargins="0">
    <oddHeader>&amp;L&amp;"Calibri"&amp;9&amp;K000000Classification: Internal&amp;1#</oddHeader>
    <oddFooter>Page &amp;P</oddFooter>
  </headerFooter>
  <rowBreaks count="2" manualBreakCount="2">
    <brk id="59" max="28" man="1"/>
    <brk id="320" max="2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399"/>
  <sheetViews>
    <sheetView showGridLines="0" tabSelected="1" topLeftCell="A13" zoomScale="127" zoomScaleNormal="70" workbookViewId="0">
      <selection activeCell="X41" sqref="X41"/>
    </sheetView>
  </sheetViews>
  <sheetFormatPr defaultColWidth="9.42578125" defaultRowHeight="12.75"/>
  <cols>
    <col min="1" max="1" width="9.42578125" style="22"/>
    <col min="2" max="2" width="1.42578125" style="22" customWidth="1"/>
    <col min="3" max="3" width="8.5703125" style="22" customWidth="1"/>
    <col min="4" max="4" width="10.5703125" style="23" customWidth="1"/>
    <col min="5" max="5" width="1.5703125" style="22" customWidth="1"/>
    <col min="6" max="7" width="2.42578125" style="22" customWidth="1"/>
    <col min="8" max="9" width="0.5703125" style="22" customWidth="1"/>
    <col min="10" max="10" width="7.42578125" style="23" customWidth="1"/>
    <col min="11" max="12" width="0.5703125" style="22" customWidth="1"/>
    <col min="13" max="14" width="2.42578125" style="22" customWidth="1"/>
    <col min="15" max="15" width="1.5703125" style="24" customWidth="1"/>
    <col min="16" max="16" width="5.42578125" style="22" customWidth="1"/>
    <col min="17" max="17" width="6.42578125" style="23" customWidth="1"/>
    <col min="18" max="18" width="5.42578125" style="22" customWidth="1"/>
    <col min="19" max="19" width="1.5703125" style="22" customWidth="1"/>
    <col min="20" max="20" width="2.42578125" style="22" customWidth="1"/>
    <col min="21" max="21" width="4.7109375" style="22" customWidth="1"/>
    <col min="22" max="23" width="0.5703125" style="22" customWidth="1"/>
    <col min="24" max="24" width="7.42578125" style="23" customWidth="1"/>
    <col min="25" max="26" width="0.5703125" style="22" customWidth="1"/>
    <col min="27" max="28" width="2.42578125" style="22" customWidth="1"/>
    <col min="29" max="29" width="1.5703125" style="24" customWidth="1"/>
    <col min="30" max="30" width="9.42578125" style="22"/>
    <col min="31" max="31" width="8.42578125" style="23" customWidth="1"/>
    <col min="32" max="32" width="9.5703125" style="22" customWidth="1"/>
    <col min="33" max="34" width="10.42578125" style="22" customWidth="1"/>
    <col min="35" max="35" width="9.5703125" style="22" customWidth="1"/>
    <col min="36" max="36" width="1.42578125" style="22" customWidth="1"/>
    <col min="37" max="37" width="9.42578125" style="22"/>
  </cols>
  <sheetData>
    <row r="1" spans="2:36" ht="12" customHeight="1"/>
    <row r="2" spans="2:36" ht="7.5" customHeight="1">
      <c r="B2" s="25"/>
      <c r="C2" s="26"/>
      <c r="D2" s="27"/>
      <c r="E2" s="26"/>
      <c r="F2" s="26"/>
      <c r="G2" s="26"/>
      <c r="H2" s="26"/>
      <c r="I2" s="26"/>
      <c r="J2" s="27"/>
      <c r="K2" s="26"/>
      <c r="L2" s="26"/>
      <c r="M2" s="26"/>
      <c r="N2" s="26"/>
      <c r="O2" s="26"/>
      <c r="P2" s="26"/>
      <c r="Q2" s="27"/>
      <c r="R2" s="26"/>
      <c r="S2" s="26"/>
      <c r="T2" s="26"/>
      <c r="U2" s="26"/>
      <c r="V2" s="26"/>
      <c r="W2" s="26"/>
      <c r="X2" s="27"/>
      <c r="Y2" s="26"/>
      <c r="Z2" s="26"/>
      <c r="AA2" s="26"/>
      <c r="AB2" s="26"/>
      <c r="AC2" s="26"/>
      <c r="AD2" s="26"/>
      <c r="AE2" s="27"/>
      <c r="AF2" s="26"/>
      <c r="AG2" s="26"/>
      <c r="AH2" s="26"/>
      <c r="AI2" s="26"/>
      <c r="AJ2" s="28"/>
    </row>
    <row r="3" spans="2:36" ht="21.75" customHeight="1">
      <c r="B3" s="29"/>
      <c r="C3" s="22" t="s">
        <v>175</v>
      </c>
      <c r="O3" s="22"/>
      <c r="X3" s="30" t="s">
        <v>176</v>
      </c>
      <c r="AC3" s="22"/>
      <c r="AJ3" s="31"/>
    </row>
    <row r="4" spans="2:36" ht="6.75" customHeight="1">
      <c r="B4" s="29"/>
      <c r="O4" s="22"/>
      <c r="AC4" s="22"/>
      <c r="AJ4" s="31"/>
    </row>
    <row r="5" spans="2:36" ht="14.1" customHeight="1">
      <c r="B5" s="29"/>
      <c r="AE5" s="672" t="s">
        <v>177</v>
      </c>
      <c r="AF5" s="673"/>
      <c r="AG5" s="673"/>
      <c r="AH5" s="673"/>
      <c r="AI5" s="674"/>
      <c r="AJ5" s="31"/>
    </row>
    <row r="6" spans="2:36" s="41" customFormat="1" ht="15" customHeight="1">
      <c r="B6" s="32"/>
      <c r="C6" s="33"/>
      <c r="D6" s="34"/>
      <c r="E6" s="35"/>
      <c r="F6" s="35"/>
      <c r="G6" s="35"/>
      <c r="H6" s="35"/>
      <c r="I6" s="36"/>
      <c r="J6" s="37" t="s">
        <v>178</v>
      </c>
      <c r="K6" s="35"/>
      <c r="L6" s="35"/>
      <c r="M6" s="35"/>
      <c r="N6" s="35"/>
      <c r="O6" s="35"/>
      <c r="P6" s="35"/>
      <c r="Q6" s="34"/>
      <c r="R6" s="35"/>
      <c r="S6" s="35"/>
      <c r="T6" s="35"/>
      <c r="U6" s="35"/>
      <c r="V6" s="35"/>
      <c r="W6" s="38"/>
      <c r="X6" s="39"/>
      <c r="Y6" s="35"/>
      <c r="Z6" s="35"/>
      <c r="AA6" s="35"/>
      <c r="AB6" s="35"/>
      <c r="AC6" s="35"/>
      <c r="AD6" s="35"/>
      <c r="AE6" s="347" t="s">
        <v>179</v>
      </c>
      <c r="AF6" s="348" t="s">
        <v>180</v>
      </c>
      <c r="AG6" s="365" t="s">
        <v>91</v>
      </c>
      <c r="AH6" s="365" t="s">
        <v>181</v>
      </c>
      <c r="AI6" s="349" t="s">
        <v>182</v>
      </c>
      <c r="AJ6" s="40"/>
    </row>
    <row r="7" spans="2:36" s="41" customFormat="1" ht="15.75" customHeight="1">
      <c r="B7" s="32"/>
      <c r="C7" s="42"/>
      <c r="D7" s="43"/>
      <c r="E7" s="42"/>
      <c r="F7" s="42"/>
      <c r="G7" s="42"/>
      <c r="H7" s="42"/>
      <c r="I7" s="42"/>
      <c r="J7" s="37" t="s">
        <v>183</v>
      </c>
      <c r="K7" s="42"/>
      <c r="L7" s="42"/>
      <c r="M7" s="42"/>
      <c r="N7" s="42"/>
      <c r="O7" s="42"/>
      <c r="P7" s="42"/>
      <c r="Q7" s="44" t="s">
        <v>184</v>
      </c>
      <c r="R7" s="42"/>
      <c r="S7" s="42"/>
      <c r="T7" s="42"/>
      <c r="U7" s="42"/>
      <c r="V7" s="42"/>
      <c r="W7" s="45"/>
      <c r="X7" s="46"/>
      <c r="Y7" s="42"/>
      <c r="Z7" s="42"/>
      <c r="AA7" s="42"/>
      <c r="AB7" s="42"/>
      <c r="AC7" s="42"/>
      <c r="AD7" s="423"/>
      <c r="AE7" s="452">
        <v>3.21</v>
      </c>
      <c r="AF7" s="277">
        <f t="shared" ref="AF7:AF18" si="0">AE7-(4.776/12)</f>
        <v>2.8119999999999998</v>
      </c>
      <c r="AG7" s="454" t="s">
        <v>97</v>
      </c>
      <c r="AH7" s="455" t="s">
        <v>3</v>
      </c>
      <c r="AI7" s="456">
        <f t="shared" ref="AI7:AI18" si="1">IF(AG7="IN",AF7,0)</f>
        <v>0</v>
      </c>
      <c r="AJ7" s="40"/>
    </row>
    <row r="8" spans="2:36" s="41" customFormat="1" ht="16.5" customHeight="1">
      <c r="B8" s="32"/>
      <c r="C8" s="35"/>
      <c r="D8" s="48"/>
      <c r="E8" s="49"/>
      <c r="F8" s="50"/>
      <c r="G8" s="50"/>
      <c r="H8" s="50"/>
      <c r="I8" s="51"/>
      <c r="J8" s="52"/>
      <c r="K8" s="50"/>
      <c r="L8" s="50"/>
      <c r="M8" s="50"/>
      <c r="N8" s="50"/>
      <c r="O8" s="53"/>
      <c r="P8" s="50"/>
      <c r="Q8" s="48"/>
      <c r="R8" s="50"/>
      <c r="S8" s="49"/>
      <c r="T8" s="50"/>
      <c r="U8" s="50"/>
      <c r="V8" s="50"/>
      <c r="W8" s="53"/>
      <c r="X8" s="54" t="s">
        <v>185</v>
      </c>
      <c r="Y8" s="50"/>
      <c r="Z8" s="50"/>
      <c r="AA8" s="50"/>
      <c r="AB8" s="50"/>
      <c r="AC8" s="53"/>
      <c r="AD8" s="424"/>
      <c r="AE8" s="452">
        <v>3.25</v>
      </c>
      <c r="AF8" s="277">
        <f t="shared" si="0"/>
        <v>2.8519999999999999</v>
      </c>
      <c r="AG8" s="454" t="s">
        <v>97</v>
      </c>
      <c r="AH8" s="455" t="s">
        <v>7</v>
      </c>
      <c r="AI8" s="456">
        <f t="shared" si="1"/>
        <v>0</v>
      </c>
      <c r="AJ8" s="40"/>
    </row>
    <row r="9" spans="2:36" s="41" customFormat="1" ht="17.25" customHeight="1">
      <c r="B9" s="32"/>
      <c r="C9" s="35"/>
      <c r="D9" s="34"/>
      <c r="E9" s="55"/>
      <c r="F9" s="56"/>
      <c r="G9" s="56"/>
      <c r="H9" s="56"/>
      <c r="I9" s="57"/>
      <c r="J9" s="52" t="s">
        <v>186</v>
      </c>
      <c r="K9" s="56"/>
      <c r="L9" s="56"/>
      <c r="M9" s="56"/>
      <c r="N9" s="56"/>
      <c r="O9" s="38"/>
      <c r="P9" s="35"/>
      <c r="Q9" s="34"/>
      <c r="R9" s="35"/>
      <c r="S9" s="55"/>
      <c r="T9" s="35"/>
      <c r="U9" s="35"/>
      <c r="V9" s="35"/>
      <c r="W9" s="38"/>
      <c r="X9" s="39" t="s">
        <v>187</v>
      </c>
      <c r="Y9" s="35"/>
      <c r="Z9" s="35"/>
      <c r="AA9" s="35"/>
      <c r="AB9" s="35"/>
      <c r="AC9" s="38"/>
      <c r="AD9" s="425"/>
      <c r="AE9" s="452">
        <v>6.22</v>
      </c>
      <c r="AF9" s="277">
        <f t="shared" si="0"/>
        <v>5.8220000000000001</v>
      </c>
      <c r="AG9" s="454" t="s">
        <v>97</v>
      </c>
      <c r="AH9" s="455" t="s">
        <v>11</v>
      </c>
      <c r="AI9" s="456">
        <f t="shared" si="1"/>
        <v>0</v>
      </c>
      <c r="AJ9" s="40"/>
    </row>
    <row r="10" spans="2:36" s="41" customFormat="1" ht="17.25" customHeight="1">
      <c r="B10" s="32"/>
      <c r="C10" s="42"/>
      <c r="D10" s="43"/>
      <c r="E10" s="58"/>
      <c r="F10" s="59"/>
      <c r="G10" s="60"/>
      <c r="H10" s="60"/>
      <c r="I10" s="60"/>
      <c r="J10" s="61" t="s">
        <v>188</v>
      </c>
      <c r="K10" s="60"/>
      <c r="L10" s="60"/>
      <c r="M10" s="60"/>
      <c r="N10" s="62"/>
      <c r="O10" s="63"/>
      <c r="P10" s="42"/>
      <c r="Q10" s="44" t="s">
        <v>189</v>
      </c>
      <c r="R10" s="42"/>
      <c r="S10" s="64"/>
      <c r="T10" s="35"/>
      <c r="U10" s="35"/>
      <c r="V10" s="35"/>
      <c r="W10" s="38"/>
      <c r="X10" s="39" t="s">
        <v>183</v>
      </c>
      <c r="Y10" s="35"/>
      <c r="Z10" s="35"/>
      <c r="AA10" s="35"/>
      <c r="AB10" s="35"/>
      <c r="AC10" s="63"/>
      <c r="AD10" s="423"/>
      <c r="AE10" s="277">
        <v>6.23</v>
      </c>
      <c r="AF10" s="277">
        <f t="shared" si="0"/>
        <v>5.8320000000000007</v>
      </c>
      <c r="AG10" s="454" t="s">
        <v>131</v>
      </c>
      <c r="AH10" s="455" t="s">
        <v>14</v>
      </c>
      <c r="AI10" s="456">
        <f t="shared" si="1"/>
        <v>5.8320000000000007</v>
      </c>
      <c r="AJ10" s="40"/>
    </row>
    <row r="11" spans="2:36" s="41" customFormat="1" ht="17.25" customHeight="1">
      <c r="B11" s="32"/>
      <c r="C11" s="35"/>
      <c r="D11" s="34"/>
      <c r="E11" s="35"/>
      <c r="F11" s="55"/>
      <c r="G11" s="35"/>
      <c r="H11" s="35"/>
      <c r="I11" s="65"/>
      <c r="J11" s="66" t="s">
        <v>190</v>
      </c>
      <c r="K11" s="35"/>
      <c r="L11" s="35"/>
      <c r="M11" s="35"/>
      <c r="N11" s="38"/>
      <c r="O11" s="35"/>
      <c r="P11" s="35"/>
      <c r="Q11" s="34"/>
      <c r="R11" s="35"/>
      <c r="S11" s="35"/>
      <c r="T11" s="55"/>
      <c r="U11" s="35"/>
      <c r="V11" s="35"/>
      <c r="W11" s="38"/>
      <c r="X11" s="67"/>
      <c r="Y11" s="35"/>
      <c r="Z11" s="35"/>
      <c r="AA11" s="35"/>
      <c r="AB11" s="38"/>
      <c r="AC11" s="35"/>
      <c r="AD11" s="425"/>
      <c r="AE11" s="440">
        <v>10.220000000000001</v>
      </c>
      <c r="AF11" s="277">
        <f t="shared" si="0"/>
        <v>9.822000000000001</v>
      </c>
      <c r="AG11" s="454" t="s">
        <v>97</v>
      </c>
      <c r="AH11" s="455" t="s">
        <v>17</v>
      </c>
      <c r="AI11" s="456">
        <f t="shared" si="1"/>
        <v>0</v>
      </c>
      <c r="AJ11" s="40"/>
    </row>
    <row r="12" spans="2:36" s="41" customFormat="1" ht="16.5" customHeight="1">
      <c r="B12" s="32"/>
      <c r="C12" s="35"/>
      <c r="D12" s="34"/>
      <c r="E12" s="35"/>
      <c r="F12" s="55"/>
      <c r="G12" s="35"/>
      <c r="H12" s="35"/>
      <c r="I12" s="35"/>
      <c r="J12" s="68"/>
      <c r="K12" s="35"/>
      <c r="L12" s="35"/>
      <c r="M12" s="35"/>
      <c r="N12" s="38"/>
      <c r="O12" s="35"/>
      <c r="P12" s="35"/>
      <c r="Q12" s="34"/>
      <c r="R12" s="35"/>
      <c r="S12" s="35"/>
      <c r="T12" s="55"/>
      <c r="U12" s="35"/>
      <c r="V12" s="35"/>
      <c r="W12" s="38"/>
      <c r="X12" s="69"/>
      <c r="Y12" s="35"/>
      <c r="Z12" s="35"/>
      <c r="AA12" s="35"/>
      <c r="AB12" s="38"/>
      <c r="AC12" s="35"/>
      <c r="AD12" s="425"/>
      <c r="AE12" s="440">
        <v>10.25</v>
      </c>
      <c r="AF12" s="277">
        <f t="shared" si="0"/>
        <v>9.8520000000000003</v>
      </c>
      <c r="AG12" s="454" t="s">
        <v>97</v>
      </c>
      <c r="AH12" s="455" t="s">
        <v>19</v>
      </c>
      <c r="AI12" s="456">
        <f t="shared" si="1"/>
        <v>0</v>
      </c>
      <c r="AJ12" s="40"/>
    </row>
    <row r="13" spans="2:36" s="41" customFormat="1" ht="15.75" customHeight="1">
      <c r="B13" s="32"/>
      <c r="C13" s="35"/>
      <c r="D13" s="34"/>
      <c r="E13" s="35"/>
      <c r="F13" s="55"/>
      <c r="G13" s="35"/>
      <c r="H13" s="35"/>
      <c r="I13" s="35"/>
      <c r="J13" s="70" t="s">
        <v>191</v>
      </c>
      <c r="K13" s="35"/>
      <c r="L13" s="35"/>
      <c r="M13" s="35"/>
      <c r="N13" s="38"/>
      <c r="O13" s="35"/>
      <c r="P13" s="35"/>
      <c r="Q13" s="34"/>
      <c r="R13" s="35"/>
      <c r="S13" s="35"/>
      <c r="T13" s="55"/>
      <c r="U13" s="35"/>
      <c r="V13" s="35"/>
      <c r="W13" s="71"/>
      <c r="X13" s="69"/>
      <c r="Y13" s="35"/>
      <c r="Z13" s="35"/>
      <c r="AA13" s="35"/>
      <c r="AB13" s="38"/>
      <c r="AC13" s="35"/>
      <c r="AD13" s="425"/>
      <c r="AE13" s="471">
        <v>15.19</v>
      </c>
      <c r="AF13" s="277">
        <f t="shared" si="0"/>
        <v>14.792</v>
      </c>
      <c r="AG13" s="454" t="s">
        <v>97</v>
      </c>
      <c r="AH13" s="455" t="s">
        <v>20</v>
      </c>
      <c r="AI13" s="456">
        <f t="shared" si="1"/>
        <v>0</v>
      </c>
      <c r="AJ13" s="40"/>
    </row>
    <row r="14" spans="2:36" s="41" customFormat="1" ht="16.5" customHeight="1">
      <c r="B14" s="32"/>
      <c r="C14" s="35"/>
      <c r="D14" s="34"/>
      <c r="E14" s="35"/>
      <c r="F14" s="55"/>
      <c r="G14" s="35"/>
      <c r="H14" s="35"/>
      <c r="I14" s="35"/>
      <c r="J14" s="72"/>
      <c r="K14" s="35"/>
      <c r="L14" s="35"/>
      <c r="M14" s="35"/>
      <c r="N14" s="38"/>
      <c r="O14" s="35"/>
      <c r="P14" s="35"/>
      <c r="Q14" s="34"/>
      <c r="R14" s="35"/>
      <c r="S14" s="35"/>
      <c r="T14" s="55"/>
      <c r="U14" s="35"/>
      <c r="V14" s="35"/>
      <c r="W14" s="71"/>
      <c r="X14" s="69"/>
      <c r="Y14" s="35"/>
      <c r="Z14" s="35"/>
      <c r="AA14" s="35"/>
      <c r="AB14" s="38"/>
      <c r="AC14" s="35"/>
      <c r="AD14" s="425"/>
      <c r="AE14" s="452">
        <v>15.2</v>
      </c>
      <c r="AF14" s="277">
        <f t="shared" si="0"/>
        <v>14.802</v>
      </c>
      <c r="AG14" s="454" t="s">
        <v>97</v>
      </c>
      <c r="AH14" s="455" t="s">
        <v>22</v>
      </c>
      <c r="AI14" s="456">
        <f t="shared" si="1"/>
        <v>0</v>
      </c>
      <c r="AJ14" s="40"/>
    </row>
    <row r="15" spans="2:36" s="41" customFormat="1" ht="17.25" customHeight="1">
      <c r="B15" s="32"/>
      <c r="C15" s="35"/>
      <c r="D15" s="34"/>
      <c r="E15" s="35"/>
      <c r="F15" s="55"/>
      <c r="G15" s="35"/>
      <c r="H15" s="35"/>
      <c r="I15" s="71"/>
      <c r="J15" s="73"/>
      <c r="K15" s="35"/>
      <c r="L15" s="35"/>
      <c r="M15" s="35"/>
      <c r="N15" s="38"/>
      <c r="O15" s="35"/>
      <c r="P15" s="35"/>
      <c r="Q15" s="34"/>
      <c r="R15" s="35"/>
      <c r="S15" s="35"/>
      <c r="T15" s="55"/>
      <c r="U15" s="35"/>
      <c r="V15" s="35"/>
      <c r="W15" s="71"/>
      <c r="X15" s="74"/>
      <c r="Y15" s="35"/>
      <c r="Z15" s="35"/>
      <c r="AA15" s="35"/>
      <c r="AB15" s="38"/>
      <c r="AC15" s="35"/>
      <c r="AD15" s="35"/>
      <c r="AE15" s="471">
        <v>20.2</v>
      </c>
      <c r="AF15" s="277">
        <f t="shared" si="0"/>
        <v>19.802</v>
      </c>
      <c r="AG15" s="454" t="s">
        <v>97</v>
      </c>
      <c r="AH15" s="455" t="s">
        <v>24</v>
      </c>
      <c r="AI15" s="456">
        <f t="shared" si="1"/>
        <v>0</v>
      </c>
      <c r="AJ15" s="40"/>
    </row>
    <row r="16" spans="2:36" s="41" customFormat="1" ht="17.25" customHeight="1">
      <c r="B16" s="32"/>
      <c r="C16" s="35"/>
      <c r="D16" s="34"/>
      <c r="E16" s="35"/>
      <c r="F16" s="55"/>
      <c r="G16" s="35"/>
      <c r="H16" s="75"/>
      <c r="I16" s="76"/>
      <c r="J16" s="77"/>
      <c r="K16" s="78"/>
      <c r="L16" s="79"/>
      <c r="M16" s="35"/>
      <c r="N16" s="38"/>
      <c r="O16" s="35"/>
      <c r="P16" s="35"/>
      <c r="Q16" s="34"/>
      <c r="R16" s="35"/>
      <c r="S16" s="35"/>
      <c r="T16" s="55"/>
      <c r="U16" s="35"/>
      <c r="V16" s="35"/>
      <c r="W16" s="71"/>
      <c r="X16" s="77"/>
      <c r="Y16" s="35"/>
      <c r="Z16" s="35"/>
      <c r="AA16" s="35"/>
      <c r="AB16" s="38"/>
      <c r="AC16" s="35"/>
      <c r="AD16" s="35"/>
      <c r="AE16" s="472">
        <v>20.21</v>
      </c>
      <c r="AF16" s="457">
        <f t="shared" si="0"/>
        <v>19.812000000000001</v>
      </c>
      <c r="AG16" s="458" t="s">
        <v>97</v>
      </c>
      <c r="AH16" s="455" t="s">
        <v>26</v>
      </c>
      <c r="AI16" s="459">
        <f t="shared" si="1"/>
        <v>0</v>
      </c>
      <c r="AJ16" s="40"/>
    </row>
    <row r="17" spans="2:36" s="41" customFormat="1" ht="17.25" customHeight="1">
      <c r="B17" s="32"/>
      <c r="C17" s="80" t="s">
        <v>192</v>
      </c>
      <c r="D17" s="80"/>
      <c r="E17" s="81"/>
      <c r="F17" s="42"/>
      <c r="G17" s="82"/>
      <c r="H17" s="83"/>
      <c r="I17" s="76"/>
      <c r="J17" s="77"/>
      <c r="K17" s="84"/>
      <c r="L17" s="85"/>
      <c r="M17" s="83"/>
      <c r="N17" s="38"/>
      <c r="O17" s="35"/>
      <c r="P17" s="35"/>
      <c r="Q17" s="34"/>
      <c r="R17" s="35"/>
      <c r="S17" s="35"/>
      <c r="T17" s="55"/>
      <c r="U17" s="35"/>
      <c r="V17" s="75"/>
      <c r="W17" s="76"/>
      <c r="X17" s="77"/>
      <c r="Y17" s="86"/>
      <c r="Z17" s="79"/>
      <c r="AA17" s="35"/>
      <c r="AB17" s="38"/>
      <c r="AC17" s="35"/>
      <c r="AD17" s="35"/>
      <c r="AE17" s="497">
        <v>30.96</v>
      </c>
      <c r="AF17" s="420">
        <f t="shared" si="0"/>
        <v>30.562000000000001</v>
      </c>
      <c r="AG17" s="458" t="s">
        <v>97</v>
      </c>
      <c r="AH17" s="498" t="s">
        <v>193</v>
      </c>
      <c r="AI17" s="499">
        <f t="shared" si="1"/>
        <v>0</v>
      </c>
      <c r="AJ17" s="40"/>
    </row>
    <row r="18" spans="2:36" s="41" customFormat="1" ht="17.25" customHeight="1">
      <c r="B18" s="32"/>
      <c r="C18" s="87"/>
      <c r="D18" s="87"/>
      <c r="E18" s="88"/>
      <c r="F18" s="50"/>
      <c r="G18" s="35"/>
      <c r="H18" s="89"/>
      <c r="I18" s="90"/>
      <c r="J18" s="77"/>
      <c r="K18" s="91"/>
      <c r="L18" s="89"/>
      <c r="M18" s="35"/>
      <c r="N18" s="38"/>
      <c r="O18" s="35"/>
      <c r="P18" s="35"/>
      <c r="Q18" s="34"/>
      <c r="R18" s="35"/>
      <c r="S18" s="35"/>
      <c r="T18" s="55"/>
      <c r="U18" s="82"/>
      <c r="V18" s="83"/>
      <c r="W18" s="76"/>
      <c r="X18" s="77"/>
      <c r="Y18" s="84"/>
      <c r="Z18" s="85"/>
      <c r="AA18" s="83"/>
      <c r="AB18" s="38"/>
      <c r="AC18" s="35"/>
      <c r="AD18" s="35"/>
      <c r="AE18" s="452">
        <f>'7" 26# Deck Tally'!B398</f>
        <v>32</v>
      </c>
      <c r="AF18" s="277">
        <f t="shared" si="0"/>
        <v>31.602</v>
      </c>
      <c r="AG18" s="454" t="s">
        <v>131</v>
      </c>
      <c r="AH18" s="453" t="s">
        <v>194</v>
      </c>
      <c r="AI18" s="456">
        <f t="shared" si="1"/>
        <v>31.602</v>
      </c>
      <c r="AJ18" s="287"/>
    </row>
    <row r="19" spans="2:36" s="41" customFormat="1" ht="17.25" customHeight="1">
      <c r="B19" s="32"/>
      <c r="C19" s="35"/>
      <c r="D19" s="34"/>
      <c r="E19" s="35"/>
      <c r="F19" s="55"/>
      <c r="H19" s="35"/>
      <c r="I19" s="71"/>
      <c r="J19" s="93"/>
      <c r="K19" s="35"/>
      <c r="N19" s="38"/>
      <c r="O19" s="35"/>
      <c r="P19" s="35"/>
      <c r="Q19" s="34"/>
      <c r="R19" s="35"/>
      <c r="S19" s="35"/>
      <c r="T19" s="55"/>
      <c r="U19" s="35"/>
      <c r="V19" s="89"/>
      <c r="W19" s="90"/>
      <c r="X19" s="77"/>
      <c r="Y19" s="91"/>
      <c r="Z19" s="89"/>
      <c r="AA19" s="35"/>
      <c r="AB19" s="38"/>
      <c r="AC19" s="35"/>
      <c r="AD19" s="35"/>
      <c r="AE19" s="452"/>
      <c r="AF19" s="277"/>
      <c r="AG19" s="454"/>
      <c r="AH19" s="453"/>
      <c r="AI19" s="456"/>
      <c r="AJ19" s="287"/>
    </row>
    <row r="20" spans="2:36" s="41" customFormat="1" ht="17.25" customHeight="1">
      <c r="B20" s="32"/>
      <c r="C20" s="35"/>
      <c r="D20" s="94"/>
      <c r="E20" s="35"/>
      <c r="F20" s="95"/>
      <c r="G20" s="35"/>
      <c r="H20" s="35"/>
      <c r="I20" s="71"/>
      <c r="J20" s="93"/>
      <c r="K20" s="35"/>
      <c r="L20" s="35"/>
      <c r="M20" s="35"/>
      <c r="N20" s="96"/>
      <c r="O20" s="35"/>
      <c r="P20" s="35"/>
      <c r="Q20" s="34"/>
      <c r="R20" s="35"/>
      <c r="S20" s="35"/>
      <c r="T20" s="95"/>
      <c r="U20" s="35"/>
      <c r="V20" s="35"/>
      <c r="W20" s="71"/>
      <c r="X20" s="77"/>
      <c r="Y20" s="97"/>
      <c r="Z20" s="35"/>
      <c r="AA20" s="35"/>
      <c r="AB20" s="96"/>
      <c r="AC20" s="33"/>
      <c r="AE20" s="452"/>
      <c r="AF20" s="277"/>
      <c r="AG20" s="454"/>
      <c r="AH20" s="453"/>
      <c r="AI20" s="456"/>
      <c r="AJ20" s="287"/>
    </row>
    <row r="21" spans="2:36" s="41" customFormat="1" ht="17.25" customHeight="1">
      <c r="B21" s="32"/>
      <c r="C21" s="35"/>
      <c r="D21" s="94"/>
      <c r="E21" s="35"/>
      <c r="F21" s="38"/>
      <c r="G21" s="35"/>
      <c r="H21" s="35"/>
      <c r="I21" s="35"/>
      <c r="J21" s="98" t="s">
        <v>195</v>
      </c>
      <c r="K21" s="35"/>
      <c r="L21" s="35"/>
      <c r="M21" s="35"/>
      <c r="N21" s="55"/>
      <c r="O21" s="35"/>
      <c r="P21" s="35"/>
      <c r="Q21" s="34"/>
      <c r="R21" s="35"/>
      <c r="S21" s="35"/>
      <c r="T21" s="38"/>
      <c r="U21" s="35"/>
      <c r="V21" s="35"/>
      <c r="W21" s="71"/>
      <c r="X21" s="77"/>
      <c r="Y21" s="35"/>
      <c r="Z21" s="35"/>
      <c r="AA21" s="38"/>
      <c r="AB21" s="35"/>
      <c r="AC21" s="33"/>
      <c r="AE21" s="452"/>
      <c r="AF21" s="277"/>
      <c r="AG21" s="454"/>
      <c r="AH21" s="453"/>
      <c r="AI21" s="456"/>
      <c r="AJ21" s="287"/>
    </row>
    <row r="22" spans="2:36" s="41" customFormat="1" ht="17.25" customHeight="1">
      <c r="B22" s="32"/>
      <c r="C22" s="35"/>
      <c r="D22" s="44" t="s">
        <v>196</v>
      </c>
      <c r="E22" s="42"/>
      <c r="F22" s="81"/>
      <c r="G22" s="42"/>
      <c r="H22" s="99"/>
      <c r="I22" s="100"/>
      <c r="J22" s="73"/>
      <c r="K22" s="101"/>
      <c r="L22" s="99"/>
      <c r="M22" s="35"/>
      <c r="N22" s="55"/>
      <c r="O22" s="35"/>
      <c r="P22" s="35"/>
      <c r="R22" s="35"/>
      <c r="S22" s="35"/>
      <c r="T22" s="102"/>
      <c r="U22" s="35"/>
      <c r="V22" s="35"/>
      <c r="W22" s="71"/>
      <c r="X22" s="73"/>
      <c r="Y22" s="35"/>
      <c r="Z22" s="35"/>
      <c r="AA22" s="38"/>
      <c r="AB22" s="35"/>
      <c r="AC22" s="35"/>
      <c r="AD22" s="35"/>
      <c r="AE22" s="419"/>
      <c r="AF22" s="420"/>
      <c r="AG22" s="421"/>
      <c r="AH22" s="244"/>
      <c r="AI22" s="422"/>
      <c r="AJ22" s="287"/>
    </row>
    <row r="23" spans="2:36" s="41" customFormat="1" ht="17.25" customHeight="1">
      <c r="B23" s="32"/>
      <c r="C23" s="35"/>
      <c r="D23" s="44"/>
      <c r="E23" s="42"/>
      <c r="F23" s="81"/>
      <c r="G23" s="42"/>
      <c r="H23" s="35"/>
      <c r="I23" s="71"/>
      <c r="J23" s="77"/>
      <c r="K23" s="35"/>
      <c r="L23" s="35"/>
      <c r="M23" s="45"/>
      <c r="N23" s="42"/>
      <c r="O23" s="42"/>
      <c r="P23" s="42"/>
      <c r="Q23" s="44"/>
      <c r="R23" s="42"/>
      <c r="S23" s="42"/>
      <c r="T23" s="81"/>
      <c r="U23" s="42"/>
      <c r="V23" s="99"/>
      <c r="W23" s="103"/>
      <c r="X23" s="77"/>
      <c r="Y23" s="104"/>
      <c r="Z23" s="99"/>
      <c r="AA23" s="38"/>
      <c r="AB23" s="35"/>
      <c r="AC23" s="35"/>
      <c r="AD23" s="35"/>
      <c r="AE23" s="276"/>
      <c r="AF23" s="277"/>
      <c r="AG23" s="180"/>
      <c r="AH23" s="168"/>
      <c r="AI23" s="47"/>
      <c r="AJ23" s="287"/>
    </row>
    <row r="24" spans="2:36" s="41" customFormat="1" ht="16.5" customHeight="1">
      <c r="B24" s="32"/>
      <c r="C24" s="35"/>
      <c r="D24" s="94"/>
      <c r="E24" s="35"/>
      <c r="F24" s="102"/>
      <c r="G24" s="35"/>
      <c r="H24" s="105"/>
      <c r="I24" s="106"/>
      <c r="J24" s="93"/>
      <c r="L24" s="105"/>
      <c r="M24" s="38"/>
      <c r="N24" s="35"/>
      <c r="O24" s="35"/>
      <c r="P24" s="35"/>
      <c r="R24" s="35"/>
      <c r="S24" s="35"/>
      <c r="T24" s="102"/>
      <c r="U24" s="35"/>
      <c r="V24" s="105"/>
      <c r="W24" s="106"/>
      <c r="X24" s="77"/>
      <c r="Z24" s="105"/>
      <c r="AA24" s="38"/>
      <c r="AB24" s="35"/>
      <c r="AC24" s="35"/>
      <c r="AD24" s="35"/>
      <c r="AE24" s="276"/>
      <c r="AF24" s="277"/>
      <c r="AG24" s="180"/>
      <c r="AH24" s="168"/>
      <c r="AI24" s="47"/>
      <c r="AJ24" s="287"/>
    </row>
    <row r="25" spans="2:36" s="41" customFormat="1" ht="15.75" customHeight="1">
      <c r="B25" s="32"/>
      <c r="C25" s="35"/>
      <c r="D25" s="94"/>
      <c r="E25" s="35"/>
      <c r="F25" s="102"/>
      <c r="G25" s="35"/>
      <c r="H25" s="105"/>
      <c r="I25" s="106"/>
      <c r="J25" s="77"/>
      <c r="K25" s="35"/>
      <c r="L25" s="105"/>
      <c r="M25" s="38"/>
      <c r="N25" s="35"/>
      <c r="O25" s="35"/>
      <c r="P25" s="35"/>
      <c r="Q25" s="94" t="s">
        <v>197</v>
      </c>
      <c r="R25" s="35"/>
      <c r="S25" s="35"/>
      <c r="T25" s="102"/>
      <c r="U25" s="35"/>
      <c r="V25" s="105"/>
      <c r="W25" s="106"/>
      <c r="X25" s="77"/>
      <c r="Y25" s="35"/>
      <c r="Z25" s="105"/>
      <c r="AA25" s="38"/>
      <c r="AB25" s="35"/>
      <c r="AC25" s="35"/>
      <c r="AD25" s="35"/>
      <c r="AE25" s="276"/>
      <c r="AF25" s="277"/>
      <c r="AG25" s="180"/>
      <c r="AH25" s="168"/>
      <c r="AI25" s="47"/>
      <c r="AJ25" s="287"/>
    </row>
    <row r="26" spans="2:36" s="41" customFormat="1" ht="15" customHeight="1">
      <c r="B26" s="32"/>
      <c r="C26" s="35"/>
      <c r="D26" s="94"/>
      <c r="E26" s="35"/>
      <c r="F26" s="102"/>
      <c r="G26" s="35"/>
      <c r="H26" s="105"/>
      <c r="I26" s="106"/>
      <c r="J26" s="77"/>
      <c r="K26" s="35"/>
      <c r="L26" s="105"/>
      <c r="M26" s="38"/>
      <c r="N26" s="35"/>
      <c r="O26" s="35"/>
      <c r="P26" s="35"/>
      <c r="Q26" s="34"/>
      <c r="R26" s="35"/>
      <c r="S26" s="35"/>
      <c r="T26" s="102"/>
      <c r="U26" s="35"/>
      <c r="V26" s="105"/>
      <c r="W26" s="106"/>
      <c r="X26" s="77"/>
      <c r="Y26" s="35"/>
      <c r="Z26" s="105"/>
      <c r="AA26" s="38"/>
      <c r="AB26" s="35"/>
      <c r="AC26" s="35"/>
      <c r="AD26" s="35"/>
      <c r="AE26" s="278"/>
      <c r="AF26" s="277"/>
      <c r="AG26" s="180"/>
      <c r="AH26" s="169"/>
      <c r="AI26" s="115"/>
      <c r="AJ26" s="287"/>
    </row>
    <row r="27" spans="2:36" s="41" customFormat="1" ht="15" customHeight="1">
      <c r="B27" s="32"/>
      <c r="C27" s="35"/>
      <c r="D27" s="94"/>
      <c r="E27" s="35"/>
      <c r="F27" s="102"/>
      <c r="G27" s="35"/>
      <c r="H27" s="105"/>
      <c r="I27" s="106"/>
      <c r="J27" s="77"/>
      <c r="K27" s="35"/>
      <c r="L27" s="105"/>
      <c r="M27" s="38"/>
      <c r="N27" s="35"/>
      <c r="O27" s="35"/>
      <c r="P27" s="35"/>
      <c r="Q27" s="34"/>
      <c r="R27" s="35"/>
      <c r="S27" s="35"/>
      <c r="T27" s="102"/>
      <c r="U27" s="35"/>
      <c r="V27" s="105"/>
      <c r="W27" s="106"/>
      <c r="X27" s="77"/>
      <c r="Y27" s="35"/>
      <c r="Z27" s="105"/>
      <c r="AA27" s="38"/>
      <c r="AB27" s="35"/>
      <c r="AC27" s="35"/>
      <c r="AD27" s="35"/>
      <c r="AE27" s="278"/>
      <c r="AF27" s="277"/>
      <c r="AG27" s="180"/>
      <c r="AH27" s="169"/>
      <c r="AI27" s="115"/>
      <c r="AJ27" s="287"/>
    </row>
    <row r="28" spans="2:36" s="41" customFormat="1" ht="15" customHeight="1">
      <c r="B28" s="32"/>
      <c r="C28" s="35"/>
      <c r="D28" s="44" t="s">
        <v>198</v>
      </c>
      <c r="E28" s="42"/>
      <c r="F28" s="81"/>
      <c r="G28" s="42"/>
      <c r="H28" s="105"/>
      <c r="I28" s="106"/>
      <c r="J28" s="77"/>
      <c r="K28" s="35"/>
      <c r="L28" s="105"/>
      <c r="M28" s="38"/>
      <c r="N28" s="35"/>
      <c r="O28" s="35"/>
      <c r="P28" s="35"/>
      <c r="Q28" s="34"/>
      <c r="R28" s="35"/>
      <c r="S28" s="35"/>
      <c r="T28" s="102"/>
      <c r="U28" s="35"/>
      <c r="V28" s="105"/>
      <c r="W28" s="106"/>
      <c r="X28" s="77"/>
      <c r="Y28" s="35"/>
      <c r="Z28" s="105"/>
      <c r="AA28" s="38"/>
      <c r="AB28" s="35"/>
      <c r="AC28" s="35"/>
      <c r="AD28" s="35"/>
      <c r="AE28" s="278"/>
      <c r="AF28" s="277"/>
      <c r="AG28" s="180"/>
      <c r="AH28" s="169"/>
      <c r="AI28" s="115"/>
      <c r="AJ28" s="287"/>
    </row>
    <row r="29" spans="2:36" s="41" customFormat="1" ht="15.75" customHeight="1">
      <c r="B29" s="32"/>
      <c r="C29" s="35"/>
      <c r="D29" s="44" t="s">
        <v>199</v>
      </c>
      <c r="E29" s="42"/>
      <c r="F29" s="81"/>
      <c r="G29" s="42"/>
      <c r="H29" s="107"/>
      <c r="I29" s="108"/>
      <c r="J29" s="34"/>
      <c r="K29" s="108"/>
      <c r="L29" s="107"/>
      <c r="M29" s="38"/>
      <c r="N29" s="35"/>
      <c r="O29" s="35"/>
      <c r="P29" s="35"/>
      <c r="Q29" s="34"/>
      <c r="R29" s="35"/>
      <c r="S29" s="35"/>
      <c r="T29" s="102"/>
      <c r="U29" s="35"/>
      <c r="V29" s="107"/>
      <c r="W29" s="108"/>
      <c r="X29" s="77"/>
      <c r="Y29" s="108"/>
      <c r="Z29" s="107"/>
      <c r="AA29" s="38"/>
      <c r="AB29" s="35"/>
      <c r="AC29" s="35"/>
      <c r="AD29" s="35"/>
      <c r="AE29" s="278"/>
      <c r="AF29" s="277"/>
      <c r="AG29" s="180"/>
      <c r="AH29" s="169"/>
      <c r="AI29" s="115"/>
      <c r="AJ29" s="92"/>
    </row>
    <row r="30" spans="2:36" s="41" customFormat="1" ht="15.75" customHeight="1">
      <c r="B30" s="32"/>
      <c r="C30" s="35"/>
      <c r="D30" s="34"/>
      <c r="E30" s="35"/>
      <c r="F30" s="102"/>
      <c r="G30" s="35"/>
      <c r="H30" s="109"/>
      <c r="I30" s="110"/>
      <c r="J30" s="67"/>
      <c r="L30" s="109"/>
      <c r="M30" s="38"/>
      <c r="N30" s="35"/>
      <c r="O30" s="35"/>
      <c r="P30" s="35"/>
      <c r="Q30" s="34"/>
      <c r="R30" s="35"/>
      <c r="S30" s="35"/>
      <c r="T30" s="102"/>
      <c r="U30" s="35"/>
      <c r="V30" s="109"/>
      <c r="W30" s="110"/>
      <c r="X30" s="67"/>
      <c r="Z30" s="109"/>
      <c r="AA30" s="38"/>
      <c r="AB30" s="35"/>
      <c r="AC30" s="35"/>
      <c r="AD30" s="35"/>
      <c r="AE30" s="279"/>
      <c r="AF30" s="333">
        <f>SUM(AI7:AI29)</f>
        <v>37.433999999999997</v>
      </c>
      <c r="AG30" s="120" t="s">
        <v>200</v>
      </c>
      <c r="AH30" s="120"/>
      <c r="AI30" s="121"/>
      <c r="AJ30" s="92"/>
    </row>
    <row r="31" spans="2:36" s="41" customFormat="1" ht="14.25" customHeight="1">
      <c r="B31" s="32"/>
      <c r="C31" s="35"/>
      <c r="D31" s="34"/>
      <c r="E31" s="35"/>
      <c r="F31" s="38"/>
      <c r="G31" s="35"/>
      <c r="H31" s="109"/>
      <c r="I31" s="111"/>
      <c r="J31" s="67"/>
      <c r="K31" s="112"/>
      <c r="L31" s="109"/>
      <c r="M31" s="38"/>
      <c r="N31" s="35"/>
      <c r="O31" s="35"/>
      <c r="P31" s="35"/>
      <c r="Q31" s="34"/>
      <c r="R31" s="35"/>
      <c r="S31" s="35"/>
      <c r="T31" s="38"/>
      <c r="U31" s="35"/>
      <c r="V31" s="109"/>
      <c r="W31" s="111"/>
      <c r="X31" s="67"/>
      <c r="Y31" s="112"/>
      <c r="Z31" s="109"/>
      <c r="AA31" s="38"/>
      <c r="AB31" s="35"/>
      <c r="AC31" s="35"/>
      <c r="AD31" s="35"/>
      <c r="AE31" s="22"/>
      <c r="AF31" s="22"/>
      <c r="AG31" s="22"/>
      <c r="AH31" s="22"/>
      <c r="AI31" s="22"/>
      <c r="AJ31" s="92"/>
    </row>
    <row r="32" spans="2:36" s="41" customFormat="1" ht="14.25" customHeight="1">
      <c r="B32" s="32"/>
      <c r="C32" s="35"/>
      <c r="D32" s="34"/>
      <c r="E32" s="35"/>
      <c r="F32" s="38"/>
      <c r="G32" s="35"/>
      <c r="H32" s="113"/>
      <c r="I32" s="114"/>
      <c r="J32" s="67"/>
      <c r="L32" s="113"/>
      <c r="M32" s="38"/>
      <c r="N32" s="35"/>
      <c r="O32" s="35"/>
      <c r="P32" s="35"/>
      <c r="Q32" s="34"/>
      <c r="R32" s="35"/>
      <c r="S32" s="35"/>
      <c r="T32" s="38"/>
      <c r="U32" s="35"/>
      <c r="V32" s="113"/>
      <c r="W32" s="114"/>
      <c r="X32" s="67"/>
      <c r="Z32" s="113"/>
      <c r="AA32" s="38"/>
      <c r="AB32" s="35"/>
      <c r="AC32" s="35"/>
      <c r="AD32" s="35"/>
      <c r="AE32" s="22"/>
      <c r="AF32" s="22"/>
      <c r="AG32" s="22"/>
      <c r="AH32" s="22"/>
      <c r="AI32" s="22"/>
      <c r="AJ32" s="92"/>
    </row>
    <row r="33" spans="2:38" s="41" customFormat="1" ht="14.25" customHeight="1">
      <c r="B33" s="32"/>
      <c r="C33" s="35"/>
      <c r="D33" s="34"/>
      <c r="E33" s="35"/>
      <c r="F33" s="38"/>
      <c r="G33" s="35"/>
      <c r="H33" s="35"/>
      <c r="I33" s="38"/>
      <c r="J33" s="67"/>
      <c r="K33" s="35"/>
      <c r="L33" s="35"/>
      <c r="M33" s="38"/>
      <c r="N33" s="35"/>
      <c r="O33" s="35"/>
      <c r="P33" s="35"/>
      <c r="Q33" s="34"/>
      <c r="R33" s="35"/>
      <c r="S33" s="35"/>
      <c r="T33" s="38"/>
      <c r="U33" s="35"/>
      <c r="V33" s="35"/>
      <c r="W33" s="38"/>
      <c r="X33" s="67"/>
      <c r="Y33" s="35"/>
      <c r="Z33" s="35"/>
      <c r="AA33" s="38"/>
      <c r="AB33" s="35"/>
      <c r="AC33" s="35"/>
      <c r="AD33" s="35"/>
      <c r="AE33" s="22"/>
      <c r="AF33" s="22"/>
      <c r="AG33" s="22"/>
      <c r="AH33" s="22"/>
      <c r="AI33" s="22"/>
      <c r="AJ33" s="92"/>
    </row>
    <row r="34" spans="2:38" s="41" customFormat="1" ht="14.25" customHeight="1">
      <c r="B34" s="32"/>
      <c r="C34" s="35"/>
      <c r="D34" s="34"/>
      <c r="E34" s="35"/>
      <c r="F34" s="35"/>
      <c r="G34" s="35"/>
      <c r="H34" s="35"/>
      <c r="I34" s="38"/>
      <c r="J34" s="67"/>
      <c r="K34" s="35"/>
      <c r="L34" s="35"/>
      <c r="M34" s="35"/>
      <c r="N34" s="35"/>
      <c r="O34" s="35"/>
      <c r="P34" s="35"/>
      <c r="Q34" s="34"/>
      <c r="R34" s="35"/>
      <c r="S34" s="35"/>
      <c r="T34" s="35"/>
      <c r="U34" s="35"/>
      <c r="V34" s="35"/>
      <c r="W34" s="38"/>
      <c r="X34" s="67"/>
      <c r="Y34" s="35"/>
      <c r="Z34" s="35"/>
      <c r="AA34" s="35"/>
      <c r="AB34" s="35"/>
      <c r="AC34" s="35"/>
      <c r="AD34" s="35"/>
      <c r="AE34" s="22"/>
      <c r="AF34" s="22"/>
      <c r="AG34" s="22"/>
      <c r="AH34" s="22"/>
      <c r="AI34" s="22"/>
      <c r="AJ34" s="287"/>
      <c r="AL34" s="41" t="s">
        <v>201</v>
      </c>
    </row>
    <row r="35" spans="2:38" s="41" customFormat="1" ht="15" customHeight="1">
      <c r="B35" s="32"/>
      <c r="C35" s="35"/>
      <c r="D35" s="34"/>
      <c r="E35" s="35"/>
      <c r="F35" s="35"/>
      <c r="G35" s="35"/>
      <c r="H35" s="35"/>
      <c r="I35" s="35"/>
      <c r="J35" s="34"/>
      <c r="K35" s="35"/>
      <c r="L35" s="35"/>
      <c r="M35" s="35"/>
      <c r="N35" s="35"/>
      <c r="O35" s="35"/>
      <c r="P35" s="35"/>
      <c r="Q35" s="34"/>
      <c r="R35" s="35"/>
      <c r="S35" s="35"/>
      <c r="T35" s="35"/>
      <c r="U35" s="35"/>
      <c r="V35" s="35"/>
      <c r="W35" s="35"/>
      <c r="X35" s="34"/>
      <c r="Y35" s="35"/>
      <c r="Z35" s="35"/>
      <c r="AA35" s="35"/>
      <c r="AB35" s="35"/>
      <c r="AC35" s="35"/>
      <c r="AD35" s="35"/>
      <c r="AE35" s="22"/>
      <c r="AF35" s="22"/>
      <c r="AG35" s="22"/>
      <c r="AH35" s="22"/>
      <c r="AI35" s="22"/>
      <c r="AJ35" s="287"/>
    </row>
    <row r="36" spans="2:38" s="41" customFormat="1" ht="15.75" customHeight="1">
      <c r="B36" s="32"/>
      <c r="C36" s="35"/>
      <c r="D36" s="34"/>
      <c r="E36" s="116"/>
      <c r="F36" s="117"/>
      <c r="G36" s="117"/>
      <c r="H36" s="117"/>
      <c r="I36" s="117"/>
      <c r="J36" s="118" t="s">
        <v>202</v>
      </c>
      <c r="K36" s="117"/>
      <c r="L36" s="117"/>
      <c r="M36" s="117"/>
      <c r="N36" s="117"/>
      <c r="O36" s="119"/>
      <c r="P36" s="35"/>
      <c r="Q36" s="34"/>
      <c r="R36" s="35"/>
      <c r="S36" s="116"/>
      <c r="T36" s="117"/>
      <c r="U36" s="117"/>
      <c r="V36" s="117"/>
      <c r="W36" s="117"/>
      <c r="X36" s="118" t="s">
        <v>203</v>
      </c>
      <c r="Y36" s="117"/>
      <c r="Z36" s="117"/>
      <c r="AA36" s="117"/>
      <c r="AB36" s="117"/>
      <c r="AC36" s="119"/>
      <c r="AD36" s="35"/>
      <c r="AE36" s="22"/>
      <c r="AF36" s="22"/>
      <c r="AG36" s="22"/>
      <c r="AH36" s="22"/>
      <c r="AI36" s="22"/>
      <c r="AJ36" s="287"/>
    </row>
    <row r="37" spans="2:38" s="41" customFormat="1" ht="15" customHeight="1">
      <c r="B37" s="32"/>
      <c r="C37" s="35"/>
      <c r="D37" s="34"/>
      <c r="E37" s="35"/>
      <c r="F37" s="35"/>
      <c r="G37" s="35"/>
      <c r="H37" s="35"/>
      <c r="I37" s="35"/>
      <c r="J37" s="94"/>
      <c r="K37" s="35"/>
      <c r="L37" s="35"/>
      <c r="M37" s="35"/>
      <c r="N37" s="35"/>
      <c r="O37" s="35"/>
      <c r="P37" s="35"/>
      <c r="Q37" s="34"/>
      <c r="R37" s="35"/>
      <c r="S37" s="35"/>
      <c r="T37" s="35"/>
      <c r="U37" s="35"/>
      <c r="V37" s="35"/>
      <c r="W37" s="35"/>
      <c r="X37" s="94"/>
      <c r="Y37" s="35"/>
      <c r="Z37" s="35"/>
      <c r="AA37" s="35"/>
      <c r="AB37" s="35"/>
      <c r="AC37" s="35"/>
      <c r="AD37" s="35"/>
      <c r="AE37" s="22"/>
      <c r="AF37" s="22"/>
      <c r="AG37" s="22"/>
      <c r="AH37" s="22"/>
      <c r="AI37" s="22"/>
      <c r="AJ37" s="40"/>
    </row>
    <row r="38" spans="2:38" s="41" customFormat="1" ht="15" customHeight="1">
      <c r="B38" s="32"/>
      <c r="C38" s="35"/>
      <c r="D38" s="34"/>
      <c r="E38" s="35"/>
      <c r="F38" s="35"/>
      <c r="G38" s="35"/>
      <c r="H38" s="35"/>
      <c r="I38" s="35"/>
      <c r="J38" s="94"/>
      <c r="K38" s="35"/>
      <c r="L38" s="35"/>
      <c r="M38" s="35"/>
      <c r="N38" s="35"/>
      <c r="O38" s="35"/>
      <c r="P38" s="35"/>
      <c r="Q38" s="34"/>
      <c r="R38" s="35"/>
      <c r="S38" s="35"/>
      <c r="T38" s="35"/>
      <c r="U38" s="35"/>
      <c r="V38" s="35"/>
      <c r="W38" s="35"/>
      <c r="X38" s="94"/>
      <c r="Y38" s="35"/>
      <c r="Z38" s="35"/>
      <c r="AA38" s="35"/>
      <c r="AB38" s="35"/>
      <c r="AC38" s="35"/>
      <c r="AD38" s="35"/>
      <c r="AE38" s="22"/>
      <c r="AF38" s="22"/>
      <c r="AG38" s="22"/>
      <c r="AH38" s="22"/>
      <c r="AI38" s="22"/>
      <c r="AJ38" s="40"/>
    </row>
    <row r="39" spans="2:38" s="41" customFormat="1" ht="15" customHeight="1">
      <c r="B39" s="32"/>
      <c r="C39" s="35"/>
      <c r="D39" s="34"/>
      <c r="E39" s="35"/>
      <c r="F39" s="35"/>
      <c r="G39" s="35"/>
      <c r="H39" s="35"/>
      <c r="I39" s="35"/>
      <c r="J39" s="94"/>
      <c r="K39" s="35"/>
      <c r="L39" s="35"/>
      <c r="M39" s="35"/>
      <c r="N39" s="35"/>
      <c r="O39" s="35"/>
      <c r="P39" s="35"/>
      <c r="Q39" s="34"/>
      <c r="R39" s="35"/>
      <c r="S39" s="35"/>
      <c r="T39" s="35"/>
      <c r="U39" s="35"/>
      <c r="V39" s="35"/>
      <c r="W39" s="35"/>
      <c r="X39" s="94"/>
      <c r="Y39" s="35"/>
      <c r="Z39" s="35"/>
      <c r="AA39" s="35"/>
      <c r="AB39" s="35"/>
      <c r="AC39" s="35"/>
      <c r="AD39" s="35"/>
      <c r="AE39" s="22"/>
      <c r="AF39" s="22"/>
      <c r="AG39" s="22"/>
      <c r="AH39" s="22"/>
      <c r="AI39" s="22"/>
      <c r="AJ39" s="40"/>
    </row>
    <row r="40" spans="2:38" ht="15" customHeight="1">
      <c r="B40" s="29"/>
      <c r="C40" s="34" t="s">
        <v>204</v>
      </c>
      <c r="D40" s="34"/>
      <c r="E40" s="35"/>
      <c r="F40" s="35"/>
      <c r="G40" s="35"/>
      <c r="H40" s="35"/>
      <c r="I40" s="35"/>
      <c r="J40" s="94"/>
      <c r="K40" s="35"/>
      <c r="L40" s="35"/>
      <c r="M40" s="35"/>
      <c r="N40" s="35"/>
      <c r="O40" s="35"/>
      <c r="P40" s="35"/>
      <c r="Q40" s="34"/>
      <c r="R40" s="24"/>
      <c r="S40" s="24"/>
      <c r="T40" s="24"/>
      <c r="U40" s="24"/>
      <c r="V40" s="24"/>
      <c r="W40" s="24"/>
      <c r="X40" s="127"/>
      <c r="Y40" s="24"/>
      <c r="Z40" s="24"/>
      <c r="AA40" s="24"/>
      <c r="AB40" s="24"/>
      <c r="AD40" s="24"/>
      <c r="AE40" s="22"/>
      <c r="AJ40" s="40"/>
    </row>
    <row r="41" spans="2:38" ht="14.25" customHeight="1">
      <c r="B41" s="29"/>
      <c r="C41" s="353">
        <v>22.1</v>
      </c>
      <c r="D41" s="366" t="s">
        <v>205</v>
      </c>
      <c r="E41" s="366"/>
      <c r="F41" s="366"/>
      <c r="G41" s="366"/>
      <c r="H41" s="123"/>
      <c r="I41" s="123"/>
      <c r="J41" s="124"/>
      <c r="K41" s="123"/>
      <c r="L41" s="123"/>
      <c r="M41" s="123"/>
      <c r="N41" s="123"/>
      <c r="O41" s="125"/>
      <c r="P41" s="123"/>
      <c r="Q41" s="126"/>
      <c r="R41" s="129"/>
      <c r="X41" s="22"/>
      <c r="AC41" s="22"/>
      <c r="AE41" s="22"/>
      <c r="AJ41" s="40"/>
    </row>
    <row r="42" spans="2:38" ht="14.25" customHeight="1">
      <c r="B42" s="29"/>
      <c r="C42" s="354">
        <v>30.85</v>
      </c>
      <c r="D42" s="681" t="s">
        <v>206</v>
      </c>
      <c r="E42" s="682"/>
      <c r="F42" s="682"/>
      <c r="G42" s="683"/>
      <c r="Q42" s="128"/>
      <c r="R42" s="129"/>
      <c r="X42" s="22"/>
      <c r="AC42" s="22"/>
      <c r="AE42" s="22"/>
      <c r="AJ42" s="40"/>
    </row>
    <row r="43" spans="2:38" ht="14.25" customHeight="1">
      <c r="B43" s="29"/>
      <c r="C43" s="354">
        <v>91.71</v>
      </c>
      <c r="D43" s="371" t="s">
        <v>207</v>
      </c>
      <c r="E43" s="372"/>
      <c r="F43" s="372"/>
      <c r="G43" s="373"/>
      <c r="Q43" s="128"/>
      <c r="R43" s="129"/>
      <c r="X43" s="22"/>
      <c r="AC43" s="22"/>
      <c r="AE43" s="22"/>
      <c r="AJ43" s="40"/>
    </row>
    <row r="44" spans="2:38" ht="14.25" customHeight="1">
      <c r="B44" s="29"/>
      <c r="C44" s="354">
        <v>2.5499999999999998</v>
      </c>
      <c r="D44" s="366" t="s">
        <v>208</v>
      </c>
      <c r="E44" s="366"/>
      <c r="F44" s="366"/>
      <c r="G44" s="500"/>
      <c r="Q44" s="128"/>
      <c r="R44" s="129"/>
      <c r="X44" s="22"/>
      <c r="AC44" s="22"/>
      <c r="AE44" s="22"/>
      <c r="AJ44" s="40"/>
    </row>
    <row r="45" spans="2:38" ht="14.25" customHeight="1">
      <c r="B45" s="29"/>
      <c r="C45" s="354"/>
      <c r="D45" s="681"/>
      <c r="E45" s="682"/>
      <c r="F45" s="682"/>
      <c r="G45" s="683"/>
      <c r="Q45" s="128"/>
      <c r="R45" s="129"/>
      <c r="X45" s="22"/>
      <c r="AC45" s="22"/>
      <c r="AE45" s="22"/>
      <c r="AJ45" s="40"/>
    </row>
    <row r="46" spans="2:38" ht="13.5" customHeight="1">
      <c r="B46" s="29"/>
      <c r="C46" s="354"/>
      <c r="D46" s="681"/>
      <c r="E46" s="682"/>
      <c r="F46" s="682"/>
      <c r="G46" s="683"/>
      <c r="Q46" s="128"/>
      <c r="R46" s="129"/>
      <c r="X46" s="22"/>
      <c r="AC46" s="22"/>
      <c r="AE46" s="22"/>
      <c r="AJ46" s="31"/>
    </row>
    <row r="47" spans="2:38" ht="15" customHeight="1">
      <c r="B47" s="29"/>
      <c r="C47" s="326">
        <f>SUM(C41:C44)</f>
        <v>147.21</v>
      </c>
      <c r="D47" s="135" t="s">
        <v>209</v>
      </c>
      <c r="E47" s="136"/>
      <c r="F47" s="136"/>
      <c r="G47" s="136"/>
      <c r="H47" s="136"/>
      <c r="I47" s="136"/>
      <c r="J47" s="137"/>
      <c r="K47" s="136"/>
      <c r="L47" s="136"/>
      <c r="M47" s="136"/>
      <c r="N47" s="136"/>
      <c r="O47" s="136"/>
      <c r="P47" s="136"/>
      <c r="Q47" s="138"/>
      <c r="R47" s="129"/>
      <c r="S47" s="491"/>
      <c r="T47" s="492" t="s">
        <v>204</v>
      </c>
      <c r="U47" s="493"/>
      <c r="V47" s="493"/>
      <c r="W47" s="493"/>
      <c r="X47" s="494" t="s">
        <v>210</v>
      </c>
      <c r="Y47" s="493"/>
      <c r="Z47" s="493"/>
      <c r="AA47" s="493"/>
      <c r="AB47" s="493"/>
      <c r="AC47" s="493"/>
      <c r="AD47" s="493"/>
      <c r="AE47" s="495"/>
      <c r="AJ47" s="31"/>
    </row>
    <row r="48" spans="2:38" ht="12.75" customHeight="1">
      <c r="B48" s="29"/>
      <c r="C48" s="505"/>
      <c r="D48" s="134"/>
      <c r="E48" s="134"/>
      <c r="F48" s="134"/>
      <c r="G48" s="134"/>
      <c r="H48" s="134"/>
      <c r="I48" s="134"/>
      <c r="J48" s="506"/>
      <c r="K48" s="134"/>
      <c r="L48" s="134"/>
      <c r="M48" s="134"/>
      <c r="N48" s="134"/>
      <c r="O48" s="134"/>
      <c r="P48" s="134"/>
      <c r="Q48" s="22"/>
      <c r="R48" s="129"/>
      <c r="S48" s="687">
        <f>C47</f>
        <v>147.21</v>
      </c>
      <c r="T48" s="688"/>
      <c r="U48" s="689"/>
      <c r="V48" s="139" t="s">
        <v>211</v>
      </c>
      <c r="W48" s="130"/>
      <c r="X48" s="130"/>
      <c r="Y48" s="130"/>
      <c r="Z48" s="130"/>
      <c r="AA48" s="130"/>
      <c r="AB48" s="130"/>
      <c r="AC48" s="130"/>
      <c r="AD48" s="130"/>
      <c r="AE48" s="490"/>
      <c r="AJ48" s="31"/>
    </row>
    <row r="49" spans="2:36" ht="12.75" customHeight="1">
      <c r="B49" s="29"/>
      <c r="C49" s="505"/>
      <c r="D49" s="134"/>
      <c r="E49" s="134"/>
      <c r="F49" s="134"/>
      <c r="G49" s="134"/>
      <c r="H49" s="134"/>
      <c r="I49" s="134"/>
      <c r="J49" s="506"/>
      <c r="K49" s="134"/>
      <c r="L49" s="134"/>
      <c r="M49" s="134"/>
      <c r="N49" s="134"/>
      <c r="O49" s="134"/>
      <c r="P49" s="134"/>
      <c r="Q49" s="22"/>
      <c r="R49" s="129"/>
      <c r="S49" s="690">
        <f>C53</f>
        <v>106.55</v>
      </c>
      <c r="T49" s="685"/>
      <c r="U49" s="686"/>
      <c r="V49" s="397" t="s">
        <v>212</v>
      </c>
      <c r="W49" s="398"/>
      <c r="X49" s="398"/>
      <c r="Y49" s="398"/>
      <c r="Z49" s="398"/>
      <c r="AA49" s="398"/>
      <c r="AB49" s="398"/>
      <c r="AC49" s="398"/>
      <c r="AD49" s="398"/>
      <c r="AE49" s="399"/>
      <c r="AJ49" s="31"/>
    </row>
    <row r="50" spans="2:36" ht="12.75" customHeight="1">
      <c r="B50" s="29"/>
      <c r="C50" s="259"/>
      <c r="D50" s="22"/>
      <c r="Q50" s="22"/>
      <c r="R50" s="129"/>
      <c r="S50" s="690">
        <v>3</v>
      </c>
      <c r="T50" s="685"/>
      <c r="U50" s="686"/>
      <c r="V50" s="397" t="s">
        <v>213</v>
      </c>
      <c r="W50" s="398"/>
      <c r="X50" s="123"/>
      <c r="Y50" s="123"/>
      <c r="Z50" s="123"/>
      <c r="AA50" s="123"/>
      <c r="AB50" s="123"/>
      <c r="AC50" s="123"/>
      <c r="AD50" s="123"/>
      <c r="AE50" s="501"/>
      <c r="AJ50" s="31"/>
    </row>
    <row r="51" spans="2:36" ht="13.5" customHeight="1">
      <c r="B51" s="29"/>
      <c r="C51" s="325">
        <v>99.7</v>
      </c>
      <c r="D51" s="122" t="s">
        <v>214</v>
      </c>
      <c r="E51" s="123"/>
      <c r="F51" s="123"/>
      <c r="G51" s="123"/>
      <c r="H51" s="123"/>
      <c r="I51" s="123"/>
      <c r="J51" s="124"/>
      <c r="K51" s="123"/>
      <c r="L51" s="123"/>
      <c r="M51" s="123"/>
      <c r="N51" s="123"/>
      <c r="O51" s="125"/>
      <c r="P51" s="123"/>
      <c r="Q51" s="126"/>
      <c r="R51" s="129"/>
      <c r="S51" s="675">
        <f>S48-S49-S50</f>
        <v>37.660000000000011</v>
      </c>
      <c r="T51" s="676"/>
      <c r="U51" s="677"/>
      <c r="V51" s="400" t="s">
        <v>215</v>
      </c>
      <c r="W51" s="401"/>
      <c r="X51" s="504"/>
      <c r="Y51" s="504"/>
      <c r="Z51" s="504"/>
      <c r="AA51" s="504"/>
      <c r="AB51" s="504"/>
      <c r="AC51" s="504"/>
      <c r="AD51" s="504"/>
      <c r="AE51" s="504"/>
      <c r="AJ51" s="31"/>
    </row>
    <row r="52" spans="2:36" ht="12.75" customHeight="1">
      <c r="B52" s="29"/>
      <c r="C52" s="324">
        <v>6.85</v>
      </c>
      <c r="D52" s="139" t="s">
        <v>216</v>
      </c>
      <c r="E52" s="130"/>
      <c r="F52" s="130"/>
      <c r="G52" s="130"/>
      <c r="H52" s="130"/>
      <c r="I52" s="130"/>
      <c r="J52" s="131"/>
      <c r="K52" s="130"/>
      <c r="L52" s="130"/>
      <c r="M52" s="130"/>
      <c r="N52" s="130"/>
      <c r="O52" s="132"/>
      <c r="P52" s="130"/>
      <c r="Q52" s="133"/>
      <c r="R52" s="129"/>
      <c r="S52" s="678">
        <f>AF30</f>
        <v>37.433999999999997</v>
      </c>
      <c r="T52" s="679"/>
      <c r="U52" s="680"/>
      <c r="V52" s="402" t="s">
        <v>217</v>
      </c>
      <c r="W52" s="403"/>
      <c r="X52" s="502"/>
      <c r="Y52" s="502"/>
      <c r="Z52" s="502"/>
      <c r="AA52" s="502"/>
      <c r="AB52" s="502"/>
      <c r="AC52" s="502"/>
      <c r="AD52" s="502"/>
      <c r="AE52" s="503"/>
      <c r="AJ52" s="31"/>
    </row>
    <row r="53" spans="2:36" ht="12.75" customHeight="1">
      <c r="B53" s="29"/>
      <c r="C53" s="326">
        <f>C51+C52</f>
        <v>106.55</v>
      </c>
      <c r="D53" s="135" t="s">
        <v>218</v>
      </c>
      <c r="E53" s="136"/>
      <c r="F53" s="136"/>
      <c r="G53" s="136"/>
      <c r="H53" s="136"/>
      <c r="I53" s="136"/>
      <c r="J53" s="137"/>
      <c r="K53" s="136"/>
      <c r="L53" s="136"/>
      <c r="M53" s="136"/>
      <c r="N53" s="136"/>
      <c r="O53" s="136"/>
      <c r="P53" s="136"/>
      <c r="Q53" s="138"/>
      <c r="R53" s="129"/>
      <c r="S53" s="684">
        <f>S52-S51</f>
        <v>-0.2260000000000133</v>
      </c>
      <c r="T53" s="685"/>
      <c r="U53" s="686"/>
      <c r="V53" s="394" t="s">
        <v>219</v>
      </c>
      <c r="W53" s="395"/>
      <c r="X53" s="395"/>
      <c r="Y53" s="395"/>
      <c r="Z53" s="395"/>
      <c r="AA53" s="395"/>
      <c r="AB53" s="395"/>
      <c r="AC53" s="395"/>
      <c r="AD53" s="395"/>
      <c r="AE53" s="396"/>
      <c r="AJ53" s="31"/>
    </row>
    <row r="54" spans="2:36" ht="12.75" customHeight="1">
      <c r="B54" s="29"/>
      <c r="C54" s="140"/>
      <c r="D54" s="22"/>
      <c r="Q54" s="22"/>
      <c r="R54" s="129"/>
      <c r="T54" s="23"/>
      <c r="X54" s="141" t="s">
        <v>220</v>
      </c>
      <c r="AB54" s="24"/>
      <c r="AC54" s="22"/>
      <c r="AD54" s="23"/>
      <c r="AE54" s="22"/>
      <c r="AJ54" s="31"/>
    </row>
    <row r="55" spans="2:36" ht="12.75" customHeight="1">
      <c r="B55" s="29"/>
      <c r="C55" s="140"/>
      <c r="D55" s="22"/>
      <c r="Q55" s="22"/>
      <c r="R55" s="129"/>
      <c r="X55" s="22"/>
      <c r="AC55" s="22"/>
      <c r="AE55" s="22"/>
      <c r="AJ55" s="31"/>
    </row>
    <row r="56" spans="2:36" ht="12.75" customHeight="1">
      <c r="B56" s="29"/>
      <c r="R56" s="129"/>
      <c r="X56" s="22"/>
      <c r="AC56" s="22"/>
      <c r="AJ56" s="31"/>
    </row>
    <row r="57" spans="2:36" ht="7.5" customHeight="1">
      <c r="B57" s="142"/>
      <c r="C57" s="143"/>
      <c r="D57" s="144"/>
      <c r="E57" s="144"/>
      <c r="F57" s="144"/>
      <c r="G57" s="144"/>
      <c r="H57" s="144"/>
      <c r="I57" s="144"/>
      <c r="J57" s="145"/>
      <c r="K57" s="144"/>
      <c r="L57" s="144"/>
      <c r="M57" s="144"/>
      <c r="N57" s="144"/>
      <c r="O57" s="146"/>
      <c r="P57" s="144"/>
      <c r="Q57" s="144"/>
      <c r="R57" s="147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31"/>
    </row>
    <row r="58" spans="2:36" ht="12.75" customHeight="1">
      <c r="R58" s="129"/>
      <c r="X58" s="22"/>
      <c r="AC58" s="22"/>
      <c r="AD58" s="129"/>
      <c r="AE58" s="22"/>
      <c r="AJ58" s="31"/>
    </row>
    <row r="59" spans="2:36" ht="12.75" customHeight="1">
      <c r="C59" s="140"/>
      <c r="D59" s="22"/>
      <c r="Q59" s="22"/>
      <c r="R59" s="129"/>
      <c r="X59" s="129"/>
      <c r="Y59" s="129"/>
      <c r="Z59" s="129"/>
      <c r="AA59" s="129"/>
      <c r="AB59" s="129"/>
      <c r="AC59" s="129"/>
      <c r="AD59" s="129"/>
      <c r="AE59" s="22"/>
      <c r="AJ59" s="31"/>
    </row>
    <row r="60" spans="2:36" ht="12.75" customHeight="1">
      <c r="D60" s="22"/>
      <c r="J60" s="22"/>
      <c r="O60" s="22"/>
      <c r="Q60" s="22"/>
      <c r="R60" s="129"/>
      <c r="X60" s="129"/>
      <c r="Y60" s="129"/>
      <c r="Z60" s="129"/>
      <c r="AA60" s="129"/>
      <c r="AB60" s="129"/>
      <c r="AC60" s="129"/>
      <c r="AD60" s="129"/>
      <c r="AE60" s="22"/>
      <c r="AJ60" s="31"/>
    </row>
    <row r="61" spans="2:36" ht="12.75" customHeight="1">
      <c r="D61" s="22"/>
      <c r="J61" s="22"/>
      <c r="O61" s="22"/>
      <c r="Q61" s="22"/>
      <c r="R61" s="129"/>
      <c r="X61" s="129"/>
      <c r="Y61" s="129"/>
      <c r="Z61" s="129"/>
      <c r="AA61" s="129"/>
      <c r="AB61" s="129"/>
      <c r="AC61" s="129"/>
      <c r="AD61" s="129"/>
      <c r="AJ61" s="31"/>
    </row>
    <row r="62" spans="2:36" ht="12.75" customHeight="1">
      <c r="D62" s="22"/>
      <c r="J62" s="22"/>
      <c r="O62" s="22"/>
      <c r="Q62" s="22"/>
      <c r="R62" s="129"/>
      <c r="X62" s="129"/>
      <c r="Y62" s="129"/>
      <c r="Z62" s="129"/>
      <c r="AA62" s="129"/>
      <c r="AB62" s="129"/>
      <c r="AC62" s="129"/>
      <c r="AD62" s="129"/>
      <c r="AJ62" s="31"/>
    </row>
    <row r="63" spans="2:36" ht="13.5" customHeight="1">
      <c r="D63" s="22"/>
      <c r="J63" s="22"/>
      <c r="O63" s="22"/>
      <c r="Q63" s="22"/>
      <c r="R63" s="129"/>
      <c r="X63" s="129"/>
      <c r="Y63" s="129"/>
      <c r="Z63" s="129"/>
      <c r="AA63" s="129"/>
      <c r="AB63" s="129"/>
      <c r="AC63" s="129"/>
      <c r="AD63" s="129"/>
      <c r="AJ63" s="148"/>
    </row>
    <row r="64" spans="2:36" ht="12.75" customHeight="1">
      <c r="D64" s="22"/>
      <c r="J64" s="22"/>
      <c r="O64" s="22"/>
      <c r="Q64" s="22"/>
      <c r="R64" s="129"/>
      <c r="X64" s="129"/>
      <c r="Y64" s="129"/>
      <c r="Z64" s="129"/>
      <c r="AA64" s="129"/>
      <c r="AB64" s="129"/>
      <c r="AC64" s="129"/>
      <c r="AD64" s="129"/>
    </row>
    <row r="65" spans="4:31" ht="12.75" customHeight="1">
      <c r="D65" s="22"/>
      <c r="J65" s="22"/>
      <c r="O65" s="22"/>
      <c r="Q65" s="22"/>
      <c r="X65" s="129"/>
      <c r="Y65" s="129"/>
      <c r="Z65" s="129"/>
      <c r="AA65" s="129"/>
      <c r="AB65" s="129"/>
      <c r="AC65" s="129"/>
      <c r="AD65" s="129"/>
    </row>
    <row r="66" spans="4:31" ht="12.75" customHeight="1">
      <c r="O66" s="22"/>
      <c r="X66" s="129"/>
      <c r="Y66" s="129"/>
      <c r="Z66" s="129"/>
      <c r="AA66" s="129"/>
      <c r="AB66" s="129"/>
      <c r="AC66" s="129"/>
      <c r="AD66" s="129"/>
      <c r="AE66" s="129"/>
    </row>
    <row r="67" spans="4:31" ht="12.75" customHeight="1">
      <c r="O67" s="22"/>
      <c r="X67" s="129"/>
      <c r="Y67" s="129"/>
      <c r="Z67" s="129"/>
      <c r="AA67" s="129"/>
      <c r="AB67" s="129"/>
      <c r="AC67" s="129"/>
      <c r="AD67" s="129"/>
      <c r="AE67" s="129"/>
    </row>
    <row r="68" spans="4:31" ht="12.75" customHeight="1">
      <c r="O68" s="22"/>
      <c r="X68" s="129"/>
      <c r="Y68" s="129"/>
      <c r="Z68" s="129"/>
      <c r="AA68" s="129"/>
      <c r="AB68" s="129"/>
      <c r="AC68" s="129"/>
      <c r="AD68" s="129"/>
      <c r="AE68" s="129"/>
    </row>
    <row r="69" spans="4:31" ht="12.75" customHeight="1">
      <c r="O69" s="22"/>
      <c r="X69" s="129"/>
      <c r="Y69" s="129"/>
      <c r="Z69" s="129"/>
      <c r="AA69" s="129"/>
      <c r="AB69" s="129"/>
      <c r="AC69" s="129"/>
      <c r="AD69" s="129"/>
      <c r="AE69" s="129"/>
    </row>
    <row r="70" spans="4:31" ht="12.75" customHeight="1">
      <c r="O70" s="22"/>
      <c r="X70" s="129"/>
      <c r="Y70" s="129"/>
      <c r="Z70" s="129"/>
      <c r="AA70" s="129"/>
      <c r="AB70" s="129"/>
      <c r="AC70" s="129"/>
      <c r="AD70" s="129"/>
      <c r="AE70" s="129"/>
    </row>
    <row r="71" spans="4:31" ht="12.75" customHeight="1">
      <c r="O71" s="22"/>
      <c r="X71" s="129"/>
      <c r="Y71" s="129"/>
      <c r="Z71" s="129"/>
      <c r="AA71" s="129"/>
      <c r="AB71" s="129"/>
      <c r="AC71" s="129"/>
      <c r="AD71" s="129"/>
      <c r="AE71" s="129"/>
    </row>
    <row r="72" spans="4:31" ht="12.75" customHeight="1">
      <c r="O72" s="22"/>
      <c r="X72" s="129"/>
      <c r="Y72" s="129"/>
      <c r="Z72" s="129"/>
      <c r="AA72" s="129"/>
      <c r="AB72" s="129"/>
      <c r="AC72" s="129"/>
      <c r="AD72" s="129"/>
      <c r="AE72" s="129"/>
    </row>
    <row r="73" spans="4:31" ht="12.75" customHeight="1">
      <c r="O73" s="22"/>
      <c r="X73" s="129"/>
      <c r="Y73" s="129"/>
      <c r="Z73" s="129"/>
      <c r="AA73" s="129"/>
      <c r="AB73" s="129"/>
      <c r="AC73" s="129"/>
      <c r="AD73" s="129"/>
      <c r="AE73" s="129"/>
    </row>
    <row r="74" spans="4:31" ht="12.75" customHeight="1">
      <c r="O74" s="22"/>
      <c r="X74" s="129"/>
      <c r="Y74" s="129"/>
      <c r="Z74" s="129"/>
      <c r="AA74" s="129"/>
      <c r="AB74" s="129"/>
      <c r="AC74" s="129"/>
      <c r="AD74" s="129"/>
      <c r="AE74" s="129"/>
    </row>
    <row r="75" spans="4:31" ht="12.75" customHeight="1">
      <c r="O75" s="22"/>
      <c r="AA75" s="24"/>
      <c r="AC75" s="22"/>
      <c r="AE75" s="129"/>
    </row>
    <row r="76" spans="4:31" ht="12.75" customHeight="1">
      <c r="O76" s="22"/>
      <c r="AA76" s="24"/>
      <c r="AE76" s="129"/>
    </row>
    <row r="77" spans="4:31" ht="12.75" customHeight="1">
      <c r="O77" s="22"/>
      <c r="AA77" s="24"/>
      <c r="AC77" s="22"/>
      <c r="AE77" s="129"/>
    </row>
    <row r="78" spans="4:31" ht="12.75" customHeight="1">
      <c r="O78" s="22"/>
      <c r="AC78" s="22"/>
      <c r="AE78" s="129"/>
    </row>
    <row r="79" spans="4:31" ht="12.75" customHeight="1">
      <c r="O79" s="22"/>
      <c r="AC79" s="22"/>
      <c r="AE79" s="129"/>
    </row>
    <row r="80" spans="4:31" ht="12.75" customHeight="1">
      <c r="O80" s="22"/>
      <c r="AC80" s="22"/>
      <c r="AD80" s="149"/>
      <c r="AE80" s="129"/>
    </row>
    <row r="81" spans="15:31" ht="12.75" customHeight="1">
      <c r="O81" s="22"/>
      <c r="AC81" s="22"/>
      <c r="AD81" s="149"/>
      <c r="AE81" s="129"/>
    </row>
    <row r="82" spans="15:31" ht="12.75" customHeight="1">
      <c r="O82" s="22"/>
      <c r="AC82" s="22"/>
      <c r="AD82" s="149"/>
      <c r="AE82" s="149"/>
    </row>
    <row r="83" spans="15:31" ht="12.75" customHeight="1">
      <c r="O83" s="22"/>
      <c r="AC83" s="22"/>
      <c r="AD83" s="149"/>
    </row>
    <row r="84" spans="15:31" ht="12.75" customHeight="1">
      <c r="O84" s="22"/>
      <c r="AC84" s="22"/>
      <c r="AD84" s="149"/>
    </row>
    <row r="85" spans="15:31" ht="12.75" customHeight="1">
      <c r="O85" s="22"/>
      <c r="AC85" s="22"/>
      <c r="AD85" s="149"/>
    </row>
    <row r="86" spans="15:31" ht="12.75" customHeight="1">
      <c r="O86" s="22"/>
      <c r="AC86" s="22"/>
      <c r="AD86" s="149"/>
    </row>
    <row r="87" spans="15:31" ht="12.75" customHeight="1">
      <c r="O87" s="22"/>
      <c r="AC87" s="22"/>
      <c r="AD87" s="149"/>
    </row>
    <row r="88" spans="15:31" ht="12.75" customHeight="1">
      <c r="O88" s="22"/>
      <c r="AC88" s="22"/>
      <c r="AD88" s="149"/>
    </row>
    <row r="89" spans="15:31" ht="12.75" customHeight="1">
      <c r="O89" s="22"/>
      <c r="AC89" s="22"/>
      <c r="AD89" s="149"/>
    </row>
    <row r="90" spans="15:31" ht="12.75" customHeight="1">
      <c r="O90" s="22"/>
      <c r="AC90" s="22"/>
      <c r="AD90" s="149"/>
    </row>
    <row r="91" spans="15:31" ht="12.75" customHeight="1">
      <c r="O91" s="22"/>
      <c r="AC91" s="22"/>
      <c r="AD91" s="149"/>
    </row>
    <row r="92" spans="15:31" ht="12.75" customHeight="1">
      <c r="O92" s="22"/>
      <c r="AC92" s="22"/>
      <c r="AD92" s="149"/>
    </row>
    <row r="93" spans="15:31" ht="12.75" customHeight="1">
      <c r="O93" s="22"/>
      <c r="AC93" s="22"/>
      <c r="AD93" s="149"/>
    </row>
    <row r="94" spans="15:31" ht="12.75" customHeight="1">
      <c r="O94" s="22"/>
      <c r="AC94" s="22"/>
      <c r="AD94" s="149"/>
    </row>
    <row r="95" spans="15:31" ht="12.75" customHeight="1">
      <c r="O95" s="22"/>
      <c r="AC95" s="22"/>
      <c r="AD95" s="149"/>
    </row>
    <row r="96" spans="15:31" ht="12.75" customHeight="1">
      <c r="O96" s="22"/>
      <c r="AC96" s="22"/>
      <c r="AD96" s="149"/>
    </row>
    <row r="97" spans="15:29">
      <c r="O97" s="22"/>
      <c r="AC97" s="22"/>
    </row>
    <row r="98" spans="15:29">
      <c r="O98" s="22"/>
      <c r="AC98" s="22"/>
    </row>
    <row r="99" spans="15:29">
      <c r="O99" s="22"/>
      <c r="AC99" s="22"/>
    </row>
    <row r="100" spans="15:29">
      <c r="O100" s="22"/>
      <c r="AC100" s="22"/>
    </row>
    <row r="101" spans="15:29">
      <c r="O101" s="22"/>
      <c r="AC101" s="22"/>
    </row>
    <row r="102" spans="15:29">
      <c r="O102" s="22"/>
      <c r="AC102" s="22"/>
    </row>
    <row r="103" spans="15:29">
      <c r="O103" s="22"/>
      <c r="AC103" s="22"/>
    </row>
    <row r="104" spans="15:29">
      <c r="O104" s="22"/>
      <c r="AC104" s="22"/>
    </row>
    <row r="105" spans="15:29">
      <c r="O105" s="22"/>
      <c r="AC105" s="22"/>
    </row>
    <row r="106" spans="15:29">
      <c r="O106" s="22"/>
      <c r="AC106" s="22"/>
    </row>
    <row r="107" spans="15:29">
      <c r="O107" s="22"/>
      <c r="AC107" s="22"/>
    </row>
    <row r="108" spans="15:29">
      <c r="O108" s="22"/>
      <c r="AC108" s="22"/>
    </row>
    <row r="109" spans="15:29">
      <c r="O109" s="22"/>
      <c r="AC109" s="22"/>
    </row>
    <row r="110" spans="15:29">
      <c r="O110" s="22"/>
      <c r="AC110" s="22"/>
    </row>
    <row r="111" spans="15:29">
      <c r="O111" s="22"/>
      <c r="AC111" s="22"/>
    </row>
    <row r="112" spans="15:29">
      <c r="O112" s="22"/>
      <c r="AC112" s="22"/>
    </row>
    <row r="113" spans="15:29">
      <c r="O113" s="22"/>
      <c r="AC113" s="22"/>
    </row>
    <row r="114" spans="15:29">
      <c r="O114" s="22"/>
      <c r="AC114" s="22"/>
    </row>
    <row r="115" spans="15:29">
      <c r="O115" s="22"/>
      <c r="AC115" s="22"/>
    </row>
    <row r="116" spans="15:29">
      <c r="O116" s="22"/>
      <c r="AC116" s="22"/>
    </row>
    <row r="117" spans="15:29">
      <c r="O117" s="22"/>
      <c r="AC117" s="22"/>
    </row>
    <row r="118" spans="15:29">
      <c r="O118" s="22"/>
      <c r="AC118" s="22"/>
    </row>
    <row r="119" spans="15:29">
      <c r="O119" s="22"/>
      <c r="AC119" s="22"/>
    </row>
    <row r="120" spans="15:29">
      <c r="O120" s="22"/>
      <c r="AC120" s="22"/>
    </row>
    <row r="121" spans="15:29">
      <c r="O121" s="22"/>
      <c r="AC121" s="22"/>
    </row>
    <row r="122" spans="15:29">
      <c r="O122" s="22"/>
      <c r="AC122" s="22"/>
    </row>
    <row r="123" spans="15:29">
      <c r="O123" s="22"/>
      <c r="AC123" s="22"/>
    </row>
    <row r="124" spans="15:29">
      <c r="O124" s="22"/>
      <c r="AC124" s="22"/>
    </row>
    <row r="125" spans="15:29">
      <c r="O125" s="22"/>
      <c r="AC125" s="22"/>
    </row>
    <row r="126" spans="15:29">
      <c r="O126" s="22"/>
      <c r="AC126" s="22"/>
    </row>
    <row r="127" spans="15:29">
      <c r="O127" s="22"/>
      <c r="AC127" s="22"/>
    </row>
    <row r="128" spans="15:29">
      <c r="O128" s="22"/>
      <c r="AC128" s="22"/>
    </row>
    <row r="129" spans="15:29">
      <c r="O129" s="22"/>
      <c r="AC129" s="22"/>
    </row>
    <row r="130" spans="15:29">
      <c r="O130" s="22"/>
      <c r="AC130" s="22"/>
    </row>
    <row r="131" spans="15:29">
      <c r="O131" s="22"/>
      <c r="AC131" s="22"/>
    </row>
    <row r="132" spans="15:29">
      <c r="O132" s="22"/>
      <c r="AC132" s="22"/>
    </row>
    <row r="133" spans="15:29">
      <c r="O133" s="22"/>
      <c r="AC133" s="22"/>
    </row>
    <row r="134" spans="15:29">
      <c r="O134" s="22"/>
      <c r="AC134" s="22"/>
    </row>
    <row r="135" spans="15:29">
      <c r="O135" s="22"/>
      <c r="AC135" s="22"/>
    </row>
    <row r="136" spans="15:29">
      <c r="O136" s="22"/>
      <c r="AC136" s="22"/>
    </row>
    <row r="137" spans="15:29">
      <c r="O137" s="22"/>
      <c r="AC137" s="22"/>
    </row>
    <row r="138" spans="15:29">
      <c r="O138" s="22"/>
      <c r="AC138" s="22"/>
    </row>
    <row r="139" spans="15:29">
      <c r="O139" s="22"/>
      <c r="AC139" s="22"/>
    </row>
    <row r="140" spans="15:29">
      <c r="O140" s="22"/>
      <c r="AC140" s="22"/>
    </row>
    <row r="141" spans="15:29">
      <c r="O141" s="22"/>
      <c r="AC141" s="22"/>
    </row>
    <row r="142" spans="15:29">
      <c r="O142" s="22"/>
      <c r="AC142" s="22"/>
    </row>
    <row r="143" spans="15:29">
      <c r="O143" s="22"/>
      <c r="AC143" s="22"/>
    </row>
    <row r="144" spans="15:29">
      <c r="O144" s="22"/>
      <c r="AC144" s="22"/>
    </row>
    <row r="145" spans="15:29">
      <c r="O145" s="22"/>
      <c r="AC145" s="22"/>
    </row>
    <row r="146" spans="15:29">
      <c r="O146" s="22"/>
      <c r="AC146" s="22"/>
    </row>
    <row r="147" spans="15:29">
      <c r="O147" s="22"/>
      <c r="AC147" s="22"/>
    </row>
    <row r="148" spans="15:29">
      <c r="O148" s="22"/>
      <c r="AC148" s="22"/>
    </row>
    <row r="149" spans="15:29">
      <c r="O149" s="22"/>
      <c r="AC149" s="22"/>
    </row>
    <row r="150" spans="15:29">
      <c r="O150" s="22"/>
      <c r="AC150" s="22"/>
    </row>
    <row r="151" spans="15:29">
      <c r="O151" s="22"/>
      <c r="AC151" s="22"/>
    </row>
    <row r="152" spans="15:29">
      <c r="O152" s="22"/>
      <c r="AC152" s="22"/>
    </row>
    <row r="153" spans="15:29">
      <c r="O153" s="22"/>
      <c r="AC153" s="22"/>
    </row>
    <row r="154" spans="15:29">
      <c r="O154" s="22"/>
      <c r="AC154" s="22"/>
    </row>
    <row r="155" spans="15:29">
      <c r="O155" s="22"/>
      <c r="AC155" s="22"/>
    </row>
    <row r="156" spans="15:29">
      <c r="O156" s="22"/>
      <c r="AC156" s="22"/>
    </row>
    <row r="157" spans="15:29">
      <c r="O157" s="22"/>
      <c r="AC157" s="22"/>
    </row>
    <row r="158" spans="15:29">
      <c r="O158" s="22"/>
      <c r="AC158" s="22"/>
    </row>
    <row r="159" spans="15:29">
      <c r="O159" s="22"/>
      <c r="AC159" s="22"/>
    </row>
    <row r="160" spans="15:29">
      <c r="O160" s="22"/>
      <c r="AC160" s="22"/>
    </row>
    <row r="161" spans="15:29">
      <c r="O161" s="22"/>
      <c r="AC161" s="22"/>
    </row>
    <row r="162" spans="15:29">
      <c r="O162" s="22"/>
      <c r="AC162" s="22"/>
    </row>
    <row r="163" spans="15:29">
      <c r="O163" s="22"/>
      <c r="AC163" s="22"/>
    </row>
    <row r="164" spans="15:29">
      <c r="O164" s="22"/>
      <c r="AC164" s="22"/>
    </row>
    <row r="165" spans="15:29">
      <c r="O165" s="22"/>
      <c r="AC165" s="22"/>
    </row>
    <row r="166" spans="15:29">
      <c r="O166" s="22"/>
      <c r="AC166" s="22"/>
    </row>
    <row r="167" spans="15:29">
      <c r="O167" s="22"/>
      <c r="AC167" s="22"/>
    </row>
    <row r="168" spans="15:29">
      <c r="O168" s="22"/>
      <c r="AC168" s="22"/>
    </row>
    <row r="169" spans="15:29">
      <c r="O169" s="22"/>
      <c r="AC169" s="22"/>
    </row>
    <row r="170" spans="15:29">
      <c r="O170" s="22"/>
      <c r="AC170" s="22"/>
    </row>
    <row r="171" spans="15:29">
      <c r="O171" s="22"/>
      <c r="AC171" s="22"/>
    </row>
    <row r="172" spans="15:29">
      <c r="O172" s="22"/>
      <c r="AC172" s="22"/>
    </row>
    <row r="173" spans="15:29">
      <c r="O173" s="22"/>
      <c r="AC173" s="22"/>
    </row>
    <row r="174" spans="15:29">
      <c r="O174" s="22"/>
      <c r="AC174" s="22"/>
    </row>
    <row r="175" spans="15:29">
      <c r="O175" s="22"/>
      <c r="AC175" s="22"/>
    </row>
    <row r="176" spans="15:29">
      <c r="O176" s="22"/>
      <c r="AC176" s="22"/>
    </row>
    <row r="177" spans="15:29">
      <c r="O177" s="22"/>
      <c r="AC177" s="22"/>
    </row>
    <row r="178" spans="15:29">
      <c r="O178" s="22"/>
      <c r="AC178" s="22"/>
    </row>
    <row r="179" spans="15:29">
      <c r="O179" s="22"/>
      <c r="AC179" s="22"/>
    </row>
    <row r="180" spans="15:29">
      <c r="O180" s="22"/>
      <c r="AC180" s="22"/>
    </row>
    <row r="181" spans="15:29">
      <c r="O181" s="22"/>
      <c r="AC181" s="22"/>
    </row>
    <row r="182" spans="15:29">
      <c r="O182" s="22"/>
      <c r="AC182" s="22"/>
    </row>
    <row r="183" spans="15:29">
      <c r="O183" s="22"/>
      <c r="AC183" s="22"/>
    </row>
    <row r="184" spans="15:29">
      <c r="O184" s="22"/>
      <c r="AC184" s="22"/>
    </row>
    <row r="185" spans="15:29">
      <c r="O185" s="22"/>
      <c r="AC185" s="22"/>
    </row>
    <row r="186" spans="15:29">
      <c r="O186" s="22"/>
      <c r="AC186" s="22"/>
    </row>
    <row r="187" spans="15:29">
      <c r="O187" s="22"/>
      <c r="AC187" s="22"/>
    </row>
    <row r="188" spans="15:29">
      <c r="O188" s="22"/>
      <c r="AC188" s="22"/>
    </row>
    <row r="189" spans="15:29">
      <c r="O189" s="22"/>
      <c r="AC189" s="22"/>
    </row>
    <row r="190" spans="15:29">
      <c r="O190" s="22"/>
      <c r="AC190" s="22"/>
    </row>
    <row r="191" spans="15:29">
      <c r="O191" s="22"/>
      <c r="AC191" s="22"/>
    </row>
    <row r="192" spans="15:29">
      <c r="O192" s="22"/>
      <c r="AC192" s="22"/>
    </row>
    <row r="193" spans="15:29">
      <c r="O193" s="22"/>
      <c r="AC193" s="22"/>
    </row>
    <row r="194" spans="15:29">
      <c r="O194" s="22"/>
      <c r="AC194" s="22"/>
    </row>
    <row r="195" spans="15:29">
      <c r="O195" s="22"/>
      <c r="AC195" s="22"/>
    </row>
    <row r="196" spans="15:29">
      <c r="O196" s="22"/>
      <c r="AC196" s="22"/>
    </row>
    <row r="197" spans="15:29">
      <c r="O197" s="22"/>
      <c r="AC197" s="22"/>
    </row>
    <row r="198" spans="15:29">
      <c r="O198" s="22"/>
      <c r="AC198" s="22"/>
    </row>
    <row r="199" spans="15:29">
      <c r="O199" s="22"/>
      <c r="AC199" s="22"/>
    </row>
    <row r="200" spans="15:29">
      <c r="O200" s="22"/>
      <c r="AC200" s="22"/>
    </row>
    <row r="201" spans="15:29">
      <c r="O201" s="22"/>
      <c r="AC201" s="22"/>
    </row>
    <row r="202" spans="15:29">
      <c r="O202" s="22"/>
      <c r="AC202" s="22"/>
    </row>
    <row r="203" spans="15:29">
      <c r="O203" s="22"/>
      <c r="AC203" s="22"/>
    </row>
    <row r="204" spans="15:29">
      <c r="O204" s="22"/>
      <c r="AC204" s="22"/>
    </row>
    <row r="205" spans="15:29">
      <c r="O205" s="22"/>
      <c r="AC205" s="22"/>
    </row>
    <row r="206" spans="15:29">
      <c r="O206" s="22"/>
      <c r="AC206" s="22"/>
    </row>
    <row r="207" spans="15:29">
      <c r="O207" s="22"/>
      <c r="AC207" s="22"/>
    </row>
    <row r="208" spans="15:29">
      <c r="O208" s="22"/>
      <c r="AC208" s="22"/>
    </row>
    <row r="209" spans="15:29">
      <c r="O209" s="22"/>
      <c r="AC209" s="22"/>
    </row>
    <row r="210" spans="15:29">
      <c r="O210" s="22"/>
      <c r="AC210" s="22"/>
    </row>
    <row r="211" spans="15:29">
      <c r="O211" s="22"/>
      <c r="AC211" s="22"/>
    </row>
    <row r="212" spans="15:29">
      <c r="O212" s="22"/>
      <c r="AC212" s="22"/>
    </row>
    <row r="213" spans="15:29">
      <c r="O213" s="22"/>
      <c r="AC213" s="22"/>
    </row>
    <row r="214" spans="15:29">
      <c r="O214" s="22"/>
      <c r="AC214" s="22"/>
    </row>
    <row r="215" spans="15:29">
      <c r="O215" s="22"/>
      <c r="AC215" s="22"/>
    </row>
    <row r="216" spans="15:29">
      <c r="O216" s="22"/>
      <c r="AC216" s="22"/>
    </row>
    <row r="217" spans="15:29">
      <c r="O217" s="22"/>
      <c r="AC217" s="22"/>
    </row>
    <row r="218" spans="15:29">
      <c r="O218" s="22"/>
      <c r="AC218" s="22"/>
    </row>
    <row r="219" spans="15:29">
      <c r="O219" s="22"/>
      <c r="AC219" s="22"/>
    </row>
    <row r="220" spans="15:29">
      <c r="O220" s="22"/>
      <c r="AC220" s="22"/>
    </row>
    <row r="221" spans="15:29">
      <c r="O221" s="22"/>
      <c r="AC221" s="22"/>
    </row>
    <row r="222" spans="15:29">
      <c r="O222" s="22"/>
      <c r="AC222" s="22"/>
    </row>
    <row r="223" spans="15:29">
      <c r="O223" s="22"/>
      <c r="AC223" s="22"/>
    </row>
    <row r="224" spans="15:29">
      <c r="O224" s="22"/>
      <c r="AC224" s="22"/>
    </row>
    <row r="225" spans="15:29">
      <c r="O225" s="22"/>
      <c r="AC225" s="22"/>
    </row>
    <row r="226" spans="15:29">
      <c r="O226" s="22"/>
      <c r="AC226" s="22"/>
    </row>
    <row r="227" spans="15:29">
      <c r="O227" s="22"/>
      <c r="AC227" s="22"/>
    </row>
    <row r="228" spans="15:29">
      <c r="O228" s="22"/>
      <c r="AC228" s="22"/>
    </row>
    <row r="229" spans="15:29">
      <c r="O229" s="22"/>
      <c r="AC229" s="22"/>
    </row>
    <row r="230" spans="15:29">
      <c r="O230" s="22"/>
      <c r="AC230" s="22"/>
    </row>
    <row r="231" spans="15:29">
      <c r="O231" s="22"/>
      <c r="AC231" s="22"/>
    </row>
    <row r="232" spans="15:29">
      <c r="O232" s="22"/>
      <c r="AC232" s="22"/>
    </row>
    <row r="233" spans="15:29">
      <c r="O233" s="22"/>
      <c r="AC233" s="22"/>
    </row>
    <row r="234" spans="15:29">
      <c r="O234" s="22"/>
      <c r="AC234" s="22"/>
    </row>
    <row r="235" spans="15:29">
      <c r="O235" s="22"/>
      <c r="AC235" s="22"/>
    </row>
    <row r="236" spans="15:29">
      <c r="O236" s="22"/>
      <c r="AC236" s="22"/>
    </row>
    <row r="237" spans="15:29">
      <c r="O237" s="22"/>
      <c r="AC237" s="22"/>
    </row>
    <row r="238" spans="15:29">
      <c r="O238" s="22"/>
      <c r="AC238" s="22"/>
    </row>
    <row r="239" spans="15:29">
      <c r="O239" s="22"/>
      <c r="AC239" s="22"/>
    </row>
    <row r="240" spans="15:29">
      <c r="O240" s="22"/>
      <c r="AC240" s="22"/>
    </row>
    <row r="241" spans="15:29">
      <c r="O241" s="22"/>
      <c r="AC241" s="22"/>
    </row>
    <row r="242" spans="15:29">
      <c r="O242" s="22"/>
      <c r="AC242" s="22"/>
    </row>
    <row r="243" spans="15:29">
      <c r="O243" s="22"/>
      <c r="AC243" s="22"/>
    </row>
    <row r="244" spans="15:29">
      <c r="O244" s="22"/>
      <c r="AC244" s="22"/>
    </row>
    <row r="245" spans="15:29">
      <c r="O245" s="22"/>
      <c r="AC245" s="22"/>
    </row>
    <row r="246" spans="15:29">
      <c r="O246" s="22"/>
      <c r="AC246" s="22"/>
    </row>
    <row r="247" spans="15:29">
      <c r="O247" s="22"/>
      <c r="AC247" s="22"/>
    </row>
    <row r="248" spans="15:29">
      <c r="O248" s="22"/>
      <c r="AC248" s="22"/>
    </row>
    <row r="249" spans="15:29">
      <c r="O249" s="22"/>
      <c r="AC249" s="22"/>
    </row>
    <row r="250" spans="15:29">
      <c r="O250" s="22"/>
      <c r="AC250" s="22"/>
    </row>
    <row r="251" spans="15:29">
      <c r="O251" s="22"/>
      <c r="AC251" s="22"/>
    </row>
    <row r="252" spans="15:29">
      <c r="O252" s="22"/>
      <c r="AC252" s="22"/>
    </row>
    <row r="253" spans="15:29">
      <c r="O253" s="22"/>
      <c r="AC253" s="22"/>
    </row>
    <row r="254" spans="15:29">
      <c r="O254" s="22"/>
      <c r="AC254" s="22"/>
    </row>
    <row r="255" spans="15:29">
      <c r="O255" s="22"/>
      <c r="AC255" s="22"/>
    </row>
    <row r="256" spans="15:29">
      <c r="O256" s="22"/>
      <c r="AC256" s="22"/>
    </row>
    <row r="257" spans="15:29">
      <c r="O257" s="22"/>
      <c r="AC257" s="22"/>
    </row>
    <row r="258" spans="15:29">
      <c r="O258" s="22"/>
      <c r="AC258" s="22"/>
    </row>
    <row r="259" spans="15:29">
      <c r="O259" s="22"/>
      <c r="AC259" s="22"/>
    </row>
    <row r="260" spans="15:29">
      <c r="O260" s="22"/>
      <c r="AC260" s="22"/>
    </row>
    <row r="261" spans="15:29">
      <c r="O261" s="22"/>
      <c r="AC261" s="22"/>
    </row>
    <row r="262" spans="15:29">
      <c r="O262" s="22"/>
      <c r="AC262" s="22"/>
    </row>
    <row r="263" spans="15:29">
      <c r="O263" s="22"/>
      <c r="AC263" s="22"/>
    </row>
    <row r="264" spans="15:29">
      <c r="O264" s="22"/>
      <c r="AC264" s="22"/>
    </row>
    <row r="265" spans="15:29">
      <c r="O265" s="22"/>
      <c r="AC265" s="22"/>
    </row>
    <row r="266" spans="15:29">
      <c r="O266" s="22"/>
      <c r="AC266" s="22"/>
    </row>
    <row r="267" spans="15:29">
      <c r="O267" s="22"/>
      <c r="AC267" s="22"/>
    </row>
    <row r="268" spans="15:29">
      <c r="O268" s="22"/>
      <c r="AC268" s="22"/>
    </row>
    <row r="269" spans="15:29">
      <c r="O269" s="22"/>
      <c r="AC269" s="22"/>
    </row>
    <row r="270" spans="15:29">
      <c r="O270" s="22"/>
      <c r="AC270" s="22"/>
    </row>
    <row r="271" spans="15:29">
      <c r="O271" s="22"/>
      <c r="AC271" s="22"/>
    </row>
    <row r="272" spans="15:29">
      <c r="O272" s="22"/>
      <c r="AC272" s="22"/>
    </row>
    <row r="273" spans="15:29">
      <c r="O273" s="22"/>
      <c r="AC273" s="22"/>
    </row>
    <row r="274" spans="15:29">
      <c r="O274" s="22"/>
      <c r="AC274" s="22"/>
    </row>
    <row r="275" spans="15:29">
      <c r="O275" s="22"/>
      <c r="AC275" s="22"/>
    </row>
    <row r="276" spans="15:29">
      <c r="O276" s="22"/>
      <c r="AC276" s="22"/>
    </row>
    <row r="277" spans="15:29">
      <c r="O277" s="22"/>
      <c r="AC277" s="22"/>
    </row>
    <row r="278" spans="15:29">
      <c r="O278" s="22"/>
      <c r="AC278" s="22"/>
    </row>
    <row r="279" spans="15:29">
      <c r="O279" s="22"/>
      <c r="AC279" s="22"/>
    </row>
    <row r="280" spans="15:29">
      <c r="O280" s="22"/>
      <c r="AC280" s="22"/>
    </row>
    <row r="281" spans="15:29">
      <c r="O281" s="22"/>
      <c r="AC281" s="22"/>
    </row>
    <row r="282" spans="15:29">
      <c r="O282" s="22"/>
      <c r="AC282" s="22"/>
    </row>
    <row r="283" spans="15:29">
      <c r="O283" s="22"/>
      <c r="AC283" s="22"/>
    </row>
    <row r="284" spans="15:29">
      <c r="O284" s="22"/>
      <c r="AC284" s="22"/>
    </row>
    <row r="285" spans="15:29">
      <c r="O285" s="22"/>
      <c r="AC285" s="22"/>
    </row>
    <row r="286" spans="15:29">
      <c r="O286" s="22"/>
      <c r="AC286" s="22"/>
    </row>
    <row r="287" spans="15:29">
      <c r="O287" s="22"/>
      <c r="AC287" s="22"/>
    </row>
    <row r="288" spans="15:29">
      <c r="O288" s="22"/>
      <c r="AC288" s="22"/>
    </row>
    <row r="289" spans="15:29">
      <c r="O289" s="22"/>
      <c r="AC289" s="22"/>
    </row>
    <row r="290" spans="15:29">
      <c r="O290" s="22"/>
      <c r="AC290" s="22"/>
    </row>
    <row r="291" spans="15:29">
      <c r="O291" s="22"/>
      <c r="AC291" s="22"/>
    </row>
    <row r="292" spans="15:29">
      <c r="O292" s="22"/>
      <c r="AC292" s="22"/>
    </row>
    <row r="293" spans="15:29">
      <c r="O293" s="22"/>
      <c r="AC293" s="22"/>
    </row>
    <row r="294" spans="15:29">
      <c r="O294" s="22"/>
      <c r="AC294" s="22"/>
    </row>
    <row r="295" spans="15:29">
      <c r="O295" s="22"/>
      <c r="AC295" s="22"/>
    </row>
    <row r="296" spans="15:29">
      <c r="O296" s="22"/>
      <c r="AC296" s="22"/>
    </row>
    <row r="297" spans="15:29">
      <c r="O297" s="22"/>
      <c r="AC297" s="22"/>
    </row>
    <row r="298" spans="15:29">
      <c r="O298" s="22"/>
      <c r="AC298" s="22"/>
    </row>
    <row r="299" spans="15:29">
      <c r="O299" s="22"/>
      <c r="AC299" s="22"/>
    </row>
    <row r="300" spans="15:29">
      <c r="O300" s="22"/>
      <c r="AC300" s="22"/>
    </row>
    <row r="301" spans="15:29">
      <c r="O301" s="22"/>
      <c r="AC301" s="22"/>
    </row>
    <row r="302" spans="15:29">
      <c r="O302" s="22"/>
      <c r="AC302" s="22"/>
    </row>
    <row r="303" spans="15:29">
      <c r="O303" s="22"/>
      <c r="AC303" s="22"/>
    </row>
    <row r="304" spans="15:29">
      <c r="O304" s="22"/>
      <c r="AC304" s="22"/>
    </row>
    <row r="305" spans="15:29">
      <c r="O305" s="22"/>
      <c r="AC305" s="22"/>
    </row>
    <row r="306" spans="15:29">
      <c r="O306" s="22"/>
      <c r="AC306" s="22"/>
    </row>
    <row r="307" spans="15:29">
      <c r="O307" s="22"/>
      <c r="AC307" s="22"/>
    </row>
    <row r="308" spans="15:29">
      <c r="O308" s="22"/>
      <c r="AC308" s="22"/>
    </row>
    <row r="309" spans="15:29">
      <c r="O309" s="22"/>
      <c r="AC309" s="22"/>
    </row>
    <row r="310" spans="15:29">
      <c r="O310" s="22"/>
      <c r="AC310" s="22"/>
    </row>
    <row r="311" spans="15:29">
      <c r="O311" s="22"/>
      <c r="AC311" s="22"/>
    </row>
    <row r="312" spans="15:29">
      <c r="O312" s="22"/>
      <c r="AC312" s="22"/>
    </row>
    <row r="313" spans="15:29">
      <c r="O313" s="22"/>
      <c r="AC313" s="22"/>
    </row>
    <row r="314" spans="15:29">
      <c r="O314" s="22"/>
      <c r="AC314" s="22"/>
    </row>
    <row r="315" spans="15:29">
      <c r="O315" s="22"/>
      <c r="AC315" s="22"/>
    </row>
    <row r="316" spans="15:29">
      <c r="O316" s="22"/>
      <c r="AC316" s="22"/>
    </row>
    <row r="317" spans="15:29">
      <c r="O317" s="22"/>
      <c r="AC317" s="22"/>
    </row>
    <row r="318" spans="15:29">
      <c r="O318" s="22"/>
      <c r="AC318" s="22"/>
    </row>
    <row r="319" spans="15:29">
      <c r="O319" s="22"/>
      <c r="AC319" s="22"/>
    </row>
    <row r="320" spans="15:29">
      <c r="O320" s="22"/>
      <c r="AC320" s="22"/>
    </row>
    <row r="321" spans="15:29">
      <c r="O321" s="22"/>
      <c r="AC321" s="22"/>
    </row>
    <row r="322" spans="15:29">
      <c r="O322" s="22"/>
      <c r="AC322" s="22"/>
    </row>
    <row r="323" spans="15:29">
      <c r="O323" s="22"/>
      <c r="AC323" s="22"/>
    </row>
    <row r="324" spans="15:29">
      <c r="O324" s="22"/>
      <c r="AC324" s="22"/>
    </row>
    <row r="325" spans="15:29">
      <c r="O325" s="22"/>
      <c r="AC325" s="22"/>
    </row>
    <row r="326" spans="15:29">
      <c r="O326" s="22"/>
      <c r="AC326" s="22"/>
    </row>
    <row r="327" spans="15:29">
      <c r="O327" s="22"/>
      <c r="AC327" s="22"/>
    </row>
    <row r="328" spans="15:29">
      <c r="O328" s="22"/>
      <c r="AC328" s="22"/>
    </row>
    <row r="329" spans="15:29">
      <c r="O329" s="22"/>
      <c r="AC329" s="22"/>
    </row>
    <row r="330" spans="15:29">
      <c r="O330" s="22"/>
      <c r="AC330" s="22"/>
    </row>
    <row r="331" spans="15:29">
      <c r="O331" s="22"/>
      <c r="AC331" s="22"/>
    </row>
    <row r="332" spans="15:29">
      <c r="O332" s="22"/>
      <c r="AC332" s="22"/>
    </row>
    <row r="333" spans="15:29">
      <c r="O333" s="22"/>
      <c r="AC333" s="22"/>
    </row>
    <row r="334" spans="15:29">
      <c r="O334" s="22"/>
      <c r="AC334" s="22"/>
    </row>
    <row r="335" spans="15:29">
      <c r="O335" s="22"/>
      <c r="AC335" s="22"/>
    </row>
    <row r="336" spans="15:29">
      <c r="O336" s="22"/>
      <c r="AC336" s="22"/>
    </row>
    <row r="337" spans="15:29">
      <c r="O337" s="22"/>
      <c r="AC337" s="22"/>
    </row>
    <row r="338" spans="15:29">
      <c r="O338" s="22"/>
      <c r="AC338" s="22"/>
    </row>
    <row r="339" spans="15:29">
      <c r="O339" s="22"/>
      <c r="AC339" s="22"/>
    </row>
    <row r="340" spans="15:29">
      <c r="O340" s="22"/>
      <c r="AC340" s="22"/>
    </row>
    <row r="341" spans="15:29">
      <c r="O341" s="22"/>
      <c r="AC341" s="22"/>
    </row>
    <row r="342" spans="15:29">
      <c r="O342" s="22"/>
      <c r="AC342" s="22"/>
    </row>
    <row r="343" spans="15:29">
      <c r="O343" s="22"/>
      <c r="AC343" s="22"/>
    </row>
    <row r="344" spans="15:29">
      <c r="O344" s="22"/>
      <c r="AC344" s="22"/>
    </row>
    <row r="345" spans="15:29">
      <c r="O345" s="22"/>
      <c r="AC345" s="22"/>
    </row>
    <row r="346" spans="15:29">
      <c r="O346" s="22"/>
      <c r="AC346" s="22"/>
    </row>
    <row r="347" spans="15:29">
      <c r="O347" s="22"/>
      <c r="AC347" s="22"/>
    </row>
    <row r="348" spans="15:29">
      <c r="O348" s="22"/>
      <c r="AC348" s="22"/>
    </row>
    <row r="349" spans="15:29">
      <c r="O349" s="22"/>
      <c r="AC349" s="22"/>
    </row>
    <row r="350" spans="15:29">
      <c r="O350" s="22"/>
      <c r="AC350" s="22"/>
    </row>
    <row r="351" spans="15:29">
      <c r="O351" s="22"/>
      <c r="AC351" s="22"/>
    </row>
    <row r="352" spans="15:29">
      <c r="O352" s="22"/>
      <c r="AC352" s="22"/>
    </row>
    <row r="353" spans="15:29">
      <c r="O353" s="22"/>
      <c r="AC353" s="22"/>
    </row>
    <row r="354" spans="15:29">
      <c r="O354" s="22"/>
      <c r="AC354" s="22"/>
    </row>
    <row r="355" spans="15:29">
      <c r="O355" s="22"/>
      <c r="AC355" s="22"/>
    </row>
    <row r="356" spans="15:29">
      <c r="O356" s="22"/>
      <c r="AC356" s="22"/>
    </row>
    <row r="357" spans="15:29">
      <c r="O357" s="22"/>
      <c r="AC357" s="22"/>
    </row>
    <row r="358" spans="15:29">
      <c r="O358" s="22"/>
      <c r="AC358" s="22"/>
    </row>
    <row r="359" spans="15:29">
      <c r="O359" s="22"/>
      <c r="AC359" s="22"/>
    </row>
    <row r="360" spans="15:29">
      <c r="O360" s="22"/>
      <c r="AC360" s="22"/>
    </row>
    <row r="361" spans="15:29">
      <c r="O361" s="22"/>
      <c r="AC361" s="22"/>
    </row>
    <row r="362" spans="15:29">
      <c r="O362" s="22"/>
      <c r="AC362" s="22"/>
    </row>
    <row r="363" spans="15:29">
      <c r="O363" s="22"/>
      <c r="AC363" s="22"/>
    </row>
    <row r="364" spans="15:29">
      <c r="O364" s="22"/>
      <c r="AC364" s="22"/>
    </row>
    <row r="365" spans="15:29">
      <c r="O365" s="22"/>
      <c r="AC365" s="22"/>
    </row>
    <row r="366" spans="15:29">
      <c r="O366" s="22"/>
      <c r="AC366" s="22"/>
    </row>
    <row r="367" spans="15:29">
      <c r="O367" s="22"/>
      <c r="AC367" s="22"/>
    </row>
    <row r="368" spans="15:29">
      <c r="O368" s="22"/>
      <c r="AC368" s="22"/>
    </row>
    <row r="369" spans="15:29">
      <c r="O369" s="22"/>
      <c r="AC369" s="22"/>
    </row>
    <row r="370" spans="15:29">
      <c r="O370" s="22"/>
      <c r="AC370" s="22"/>
    </row>
    <row r="371" spans="15:29">
      <c r="O371" s="22"/>
      <c r="AC371" s="22"/>
    </row>
    <row r="372" spans="15:29">
      <c r="O372" s="22"/>
      <c r="AC372" s="22"/>
    </row>
    <row r="373" spans="15:29">
      <c r="O373" s="22"/>
      <c r="AC373" s="22"/>
    </row>
    <row r="374" spans="15:29">
      <c r="O374" s="22"/>
      <c r="AC374" s="22"/>
    </row>
    <row r="375" spans="15:29">
      <c r="O375" s="22"/>
      <c r="AC375" s="22"/>
    </row>
    <row r="376" spans="15:29">
      <c r="O376" s="22"/>
      <c r="AC376" s="22"/>
    </row>
    <row r="377" spans="15:29">
      <c r="O377" s="22"/>
      <c r="AC377" s="22"/>
    </row>
    <row r="378" spans="15:29">
      <c r="O378" s="22"/>
      <c r="AC378" s="22"/>
    </row>
    <row r="379" spans="15:29">
      <c r="O379" s="22"/>
      <c r="AC379" s="22"/>
    </row>
    <row r="380" spans="15:29">
      <c r="O380" s="22"/>
      <c r="AC380" s="22"/>
    </row>
    <row r="381" spans="15:29">
      <c r="O381" s="22"/>
      <c r="AC381" s="22"/>
    </row>
    <row r="382" spans="15:29">
      <c r="O382" s="22"/>
      <c r="AC382" s="22"/>
    </row>
    <row r="383" spans="15:29">
      <c r="O383" s="22"/>
      <c r="AC383" s="22"/>
    </row>
    <row r="384" spans="15:29">
      <c r="O384" s="22"/>
      <c r="AC384" s="22"/>
    </row>
    <row r="385" spans="15:29">
      <c r="O385" s="22"/>
      <c r="AC385" s="22"/>
    </row>
    <row r="386" spans="15:29">
      <c r="O386" s="22"/>
      <c r="AC386" s="22"/>
    </row>
    <row r="387" spans="15:29">
      <c r="O387" s="22"/>
      <c r="AC387" s="22"/>
    </row>
    <row r="388" spans="15:29">
      <c r="O388" s="22"/>
      <c r="AC388" s="22"/>
    </row>
    <row r="389" spans="15:29">
      <c r="AC389" s="22"/>
    </row>
    <row r="390" spans="15:29">
      <c r="AC390" s="22"/>
    </row>
    <row r="391" spans="15:29">
      <c r="AC391" s="22"/>
    </row>
    <row r="392" spans="15:29">
      <c r="AC392" s="22"/>
    </row>
    <row r="393" spans="15:29">
      <c r="AC393" s="22"/>
    </row>
    <row r="394" spans="15:29">
      <c r="AC394" s="22"/>
    </row>
    <row r="395" spans="15:29">
      <c r="AC395" s="22"/>
    </row>
    <row r="396" spans="15:29">
      <c r="AC396" s="22"/>
    </row>
    <row r="397" spans="15:29">
      <c r="AC397" s="22"/>
    </row>
    <row r="398" spans="15:29">
      <c r="AC398" s="22"/>
    </row>
    <row r="399" spans="15:29">
      <c r="AC399" s="22"/>
    </row>
  </sheetData>
  <mergeCells count="10">
    <mergeCell ref="S53:U53"/>
    <mergeCell ref="S48:U48"/>
    <mergeCell ref="S49:U49"/>
    <mergeCell ref="S50:U50"/>
    <mergeCell ref="D46:G46"/>
    <mergeCell ref="AE5:AI5"/>
    <mergeCell ref="S51:U51"/>
    <mergeCell ref="S52:U52"/>
    <mergeCell ref="D42:G42"/>
    <mergeCell ref="D45:G45"/>
  </mergeCells>
  <conditionalFormatting sqref="AF7:AI16 AE10 AE13 AE15:AE16 AE17:AI21">
    <cfRule type="expression" dxfId="1" priority="1">
      <formula>$AG7="IN"</formula>
    </cfRule>
  </conditionalFormatting>
  <pageMargins left="0.7" right="0.7" top="0.75" bottom="0.75" header="0.3" footer="0.3"/>
  <pageSetup scale="53" orientation="portrait" r:id="rId1"/>
  <headerFooter>
    <oddHeader>&amp;L&amp;"Calibri"&amp;9&amp;K000000Classification: Internal&amp;1#</oddHeader>
  </headerFooter>
  <rowBreaks count="1" manualBreakCount="1">
    <brk id="57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399"/>
  <sheetViews>
    <sheetView showGridLines="0" view="pageBreakPreview" workbookViewId="0">
      <selection activeCell="Q54" sqref="Q54"/>
    </sheetView>
  </sheetViews>
  <sheetFormatPr defaultColWidth="9.42578125" defaultRowHeight="12.75"/>
  <cols>
    <col min="1" max="1" width="9.42578125" style="22"/>
    <col min="2" max="2" width="1.42578125" style="22" customWidth="1"/>
    <col min="3" max="3" width="8.5703125" style="22" customWidth="1"/>
    <col min="4" max="4" width="10.5703125" style="23" customWidth="1"/>
    <col min="5" max="5" width="1.5703125" style="22" customWidth="1"/>
    <col min="6" max="7" width="2.42578125" style="22" customWidth="1"/>
    <col min="8" max="9" width="0.5703125" style="22" customWidth="1"/>
    <col min="10" max="10" width="7.42578125" style="23" customWidth="1"/>
    <col min="11" max="12" width="0.5703125" style="22" customWidth="1"/>
    <col min="13" max="14" width="2.42578125" style="22" customWidth="1"/>
    <col min="15" max="15" width="1.5703125" style="24" customWidth="1"/>
    <col min="16" max="16" width="5.42578125" style="22" customWidth="1"/>
    <col min="17" max="17" width="6.42578125" style="23" customWidth="1"/>
    <col min="18" max="18" width="5.42578125" style="22" customWidth="1"/>
    <col min="19" max="19" width="1.5703125" style="22" customWidth="1"/>
    <col min="20" max="20" width="2.42578125" style="22" customWidth="1"/>
    <col min="21" max="21" width="4.7109375" style="22" customWidth="1"/>
    <col min="22" max="23" width="0.5703125" style="22" customWidth="1"/>
    <col min="24" max="24" width="7.42578125" style="23" customWidth="1"/>
    <col min="25" max="26" width="0.5703125" style="22" customWidth="1"/>
    <col min="27" max="28" width="2.42578125" style="22" customWidth="1"/>
    <col min="29" max="29" width="1.5703125" style="24" customWidth="1"/>
    <col min="30" max="30" width="9.42578125" style="22"/>
    <col min="31" max="31" width="8.42578125" style="23" customWidth="1"/>
    <col min="32" max="32" width="9.5703125" style="22" customWidth="1"/>
    <col min="33" max="34" width="10.42578125" style="22" customWidth="1"/>
    <col min="35" max="35" width="8.5703125" style="22" customWidth="1"/>
    <col min="36" max="36" width="1.42578125" style="22" customWidth="1"/>
    <col min="37" max="37" width="9.42578125" style="22"/>
  </cols>
  <sheetData>
    <row r="1" spans="2:36" ht="12" customHeight="1"/>
    <row r="2" spans="2:36" ht="7.5" customHeight="1">
      <c r="B2" s="25"/>
      <c r="C2" s="26"/>
      <c r="D2" s="27"/>
      <c r="E2" s="26"/>
      <c r="F2" s="26"/>
      <c r="G2" s="26"/>
      <c r="H2" s="26"/>
      <c r="I2" s="26"/>
      <c r="J2" s="27"/>
      <c r="K2" s="26"/>
      <c r="L2" s="26"/>
      <c r="M2" s="26"/>
      <c r="N2" s="26"/>
      <c r="O2" s="26"/>
      <c r="P2" s="26"/>
      <c r="Q2" s="27"/>
      <c r="R2" s="26"/>
      <c r="S2" s="26"/>
      <c r="T2" s="26"/>
      <c r="U2" s="26"/>
      <c r="V2" s="26"/>
      <c r="W2" s="26"/>
      <c r="X2" s="27"/>
      <c r="Y2" s="26"/>
      <c r="Z2" s="26"/>
      <c r="AA2" s="26"/>
      <c r="AB2" s="26"/>
      <c r="AC2" s="26"/>
      <c r="AD2" s="26"/>
      <c r="AE2" s="27"/>
      <c r="AF2" s="26"/>
      <c r="AG2" s="26"/>
      <c r="AH2" s="26"/>
      <c r="AI2" s="26"/>
      <c r="AJ2" s="28"/>
    </row>
    <row r="3" spans="2:36" ht="21.75" customHeight="1">
      <c r="B3" s="29"/>
      <c r="C3" s="22" t="s">
        <v>175</v>
      </c>
      <c r="O3" s="22"/>
      <c r="X3" s="30" t="s">
        <v>176</v>
      </c>
      <c r="AC3" s="22"/>
      <c r="AJ3" s="31"/>
    </row>
    <row r="4" spans="2:36" ht="6.75" customHeight="1">
      <c r="B4" s="29"/>
      <c r="O4" s="22"/>
      <c r="AC4" s="22"/>
      <c r="AJ4" s="31"/>
    </row>
    <row r="5" spans="2:36" ht="14.1" customHeight="1">
      <c r="B5" s="29"/>
      <c r="AE5" s="672" t="s">
        <v>177</v>
      </c>
      <c r="AF5" s="673"/>
      <c r="AG5" s="673"/>
      <c r="AH5" s="673"/>
      <c r="AI5" s="674"/>
      <c r="AJ5" s="31"/>
    </row>
    <row r="6" spans="2:36" s="41" customFormat="1" ht="15.75" customHeight="1">
      <c r="B6" s="32"/>
      <c r="C6" s="33"/>
      <c r="D6" s="34"/>
      <c r="E6" s="35"/>
      <c r="F6" s="35"/>
      <c r="G6" s="35"/>
      <c r="H6" s="35"/>
      <c r="I6" s="36"/>
      <c r="J6" s="37" t="s">
        <v>178</v>
      </c>
      <c r="K6" s="35"/>
      <c r="L6" s="35"/>
      <c r="M6" s="35"/>
      <c r="N6" s="35"/>
      <c r="O6" s="35"/>
      <c r="P6" s="35"/>
      <c r="Q6" s="34"/>
      <c r="R6" s="35"/>
      <c r="S6" s="35"/>
      <c r="T6" s="35"/>
      <c r="U6" s="35"/>
      <c r="V6" s="35"/>
      <c r="W6" s="38"/>
      <c r="X6" s="39"/>
      <c r="Y6" s="35"/>
      <c r="Z6" s="35"/>
      <c r="AA6" s="35"/>
      <c r="AB6" s="35"/>
      <c r="AC6" s="35"/>
      <c r="AD6" s="35"/>
      <c r="AE6" s="347" t="s">
        <v>179</v>
      </c>
      <c r="AF6" s="348" t="s">
        <v>180</v>
      </c>
      <c r="AG6" s="347" t="s">
        <v>91</v>
      </c>
      <c r="AH6" s="347" t="s">
        <v>181</v>
      </c>
      <c r="AI6" s="349"/>
      <c r="AJ6" s="40"/>
    </row>
    <row r="7" spans="2:36" s="41" customFormat="1" ht="15.75" customHeight="1">
      <c r="B7" s="32"/>
      <c r="C7" s="42"/>
      <c r="D7" s="43"/>
      <c r="E7" s="42"/>
      <c r="F7" s="42"/>
      <c r="G7" s="42"/>
      <c r="H7" s="42"/>
      <c r="I7" s="42"/>
      <c r="J7" s="37" t="s">
        <v>183</v>
      </c>
      <c r="K7" s="42"/>
      <c r="L7" s="42"/>
      <c r="M7" s="42"/>
      <c r="N7" s="42"/>
      <c r="O7" s="42"/>
      <c r="P7" s="42"/>
      <c r="Q7" s="44" t="s">
        <v>184</v>
      </c>
      <c r="R7" s="42"/>
      <c r="S7" s="42"/>
      <c r="T7" s="42"/>
      <c r="U7" s="42"/>
      <c r="V7" s="42"/>
      <c r="W7" s="45"/>
      <c r="X7" s="46"/>
      <c r="Y7" s="42"/>
      <c r="Z7" s="42"/>
      <c r="AA7" s="42"/>
      <c r="AB7" s="42"/>
      <c r="AC7" s="42"/>
      <c r="AD7" s="42"/>
      <c r="AE7" s="335">
        <v>3.22</v>
      </c>
      <c r="AF7" s="336">
        <f t="shared" ref="AF7:AF28" si="0">AE7-(4.776/12)</f>
        <v>2.8220000000000001</v>
      </c>
      <c r="AG7" s="337"/>
      <c r="AH7" s="352" t="s">
        <v>221</v>
      </c>
      <c r="AI7" s="338"/>
      <c r="AJ7" s="40"/>
    </row>
    <row r="8" spans="2:36" s="41" customFormat="1" ht="16.5" customHeight="1">
      <c r="B8" s="32"/>
      <c r="C8" s="35"/>
      <c r="D8" s="48"/>
      <c r="E8" s="49"/>
      <c r="F8" s="50"/>
      <c r="G8" s="50"/>
      <c r="H8" s="50"/>
      <c r="I8" s="51"/>
      <c r="J8" s="52"/>
      <c r="K8" s="50"/>
      <c r="L8" s="50"/>
      <c r="M8" s="50"/>
      <c r="N8" s="50"/>
      <c r="O8" s="53"/>
      <c r="P8" s="50"/>
      <c r="Q8" s="48"/>
      <c r="R8" s="50"/>
      <c r="S8" s="49"/>
      <c r="T8" s="50"/>
      <c r="U8" s="50"/>
      <c r="V8" s="50"/>
      <c r="W8" s="53"/>
      <c r="X8" s="54" t="s">
        <v>185</v>
      </c>
      <c r="Y8" s="50"/>
      <c r="Z8" s="50"/>
      <c r="AA8" s="50"/>
      <c r="AB8" s="50"/>
      <c r="AC8" s="53"/>
      <c r="AD8" s="50"/>
      <c r="AE8" s="339">
        <v>6.22</v>
      </c>
      <c r="AF8" s="340">
        <f t="shared" si="0"/>
        <v>5.8220000000000001</v>
      </c>
      <c r="AG8" s="341"/>
      <c r="AH8" s="350" t="s">
        <v>222</v>
      </c>
      <c r="AI8" s="342"/>
      <c r="AJ8" s="40"/>
    </row>
    <row r="9" spans="2:36" s="41" customFormat="1" ht="17.25" customHeight="1">
      <c r="B9" s="32"/>
      <c r="C9" s="35"/>
      <c r="D9" s="34"/>
      <c r="E9" s="55"/>
      <c r="F9" s="56"/>
      <c r="G9" s="56"/>
      <c r="H9" s="56"/>
      <c r="I9" s="57"/>
      <c r="J9" s="52" t="s">
        <v>186</v>
      </c>
      <c r="K9" s="56"/>
      <c r="L9" s="56"/>
      <c r="M9" s="56"/>
      <c r="N9" s="56"/>
      <c r="O9" s="38"/>
      <c r="P9" s="35"/>
      <c r="Q9" s="34"/>
      <c r="R9" s="35"/>
      <c r="S9" s="55"/>
      <c r="T9" s="35"/>
      <c r="U9" s="35"/>
      <c r="V9" s="35"/>
      <c r="W9" s="38"/>
      <c r="X9" s="39" t="s">
        <v>187</v>
      </c>
      <c r="Y9" s="35"/>
      <c r="Z9" s="35"/>
      <c r="AA9" s="35"/>
      <c r="AB9" s="35"/>
      <c r="AC9" s="38"/>
      <c r="AD9" s="35"/>
      <c r="AE9" s="339">
        <v>8.02</v>
      </c>
      <c r="AF9" s="340">
        <f t="shared" si="0"/>
        <v>7.6219999999999999</v>
      </c>
      <c r="AG9" s="341"/>
      <c r="AH9" s="350" t="s">
        <v>223</v>
      </c>
      <c r="AI9" s="342"/>
      <c r="AJ9" s="40"/>
    </row>
    <row r="10" spans="2:36" s="41" customFormat="1" ht="17.25" customHeight="1">
      <c r="B10" s="32"/>
      <c r="C10" s="42"/>
      <c r="D10" s="43"/>
      <c r="E10" s="58"/>
      <c r="F10" s="59"/>
      <c r="G10" s="60"/>
      <c r="H10" s="60"/>
      <c r="I10" s="60"/>
      <c r="J10" s="61" t="s">
        <v>188</v>
      </c>
      <c r="K10" s="60"/>
      <c r="L10" s="60"/>
      <c r="M10" s="60"/>
      <c r="N10" s="62"/>
      <c r="O10" s="63"/>
      <c r="P10" s="42"/>
      <c r="Q10" s="44" t="s">
        <v>189</v>
      </c>
      <c r="R10" s="42"/>
      <c r="S10" s="64"/>
      <c r="T10" s="35"/>
      <c r="U10" s="35"/>
      <c r="V10" s="35"/>
      <c r="W10" s="38"/>
      <c r="X10" s="39" t="s">
        <v>183</v>
      </c>
      <c r="Y10" s="35"/>
      <c r="Z10" s="35"/>
      <c r="AA10" s="35"/>
      <c r="AB10" s="35"/>
      <c r="AC10" s="63"/>
      <c r="AD10" s="42"/>
      <c r="AE10" s="339">
        <v>8.57</v>
      </c>
      <c r="AF10" s="340">
        <f t="shared" si="0"/>
        <v>8.1720000000000006</v>
      </c>
      <c r="AG10" s="341"/>
      <c r="AH10" s="350" t="s">
        <v>224</v>
      </c>
      <c r="AI10" s="342"/>
      <c r="AJ10" s="40"/>
    </row>
    <row r="11" spans="2:36" s="41" customFormat="1" ht="17.25" customHeight="1">
      <c r="B11" s="32"/>
      <c r="C11" s="35"/>
      <c r="D11" s="34"/>
      <c r="E11" s="35"/>
      <c r="F11" s="55"/>
      <c r="G11" s="35"/>
      <c r="H11" s="35"/>
      <c r="I11" s="65"/>
      <c r="J11" s="66" t="s">
        <v>190</v>
      </c>
      <c r="K11" s="35"/>
      <c r="L11" s="35"/>
      <c r="M11" s="35"/>
      <c r="N11" s="38"/>
      <c r="O11" s="35"/>
      <c r="P11" s="35"/>
      <c r="Q11" s="34"/>
      <c r="R11" s="35"/>
      <c r="S11" s="35"/>
      <c r="T11" s="55"/>
      <c r="U11" s="35"/>
      <c r="V11" s="35"/>
      <c r="W11" s="38"/>
      <c r="X11" s="67"/>
      <c r="Y11" s="35"/>
      <c r="Z11" s="35"/>
      <c r="AA11" s="35"/>
      <c r="AB11" s="38"/>
      <c r="AC11" s="35"/>
      <c r="AD11" s="35"/>
      <c r="AE11" s="339">
        <v>15.22</v>
      </c>
      <c r="AF11" s="340">
        <f t="shared" si="0"/>
        <v>14.822000000000001</v>
      </c>
      <c r="AG11" s="341"/>
      <c r="AH11" s="350" t="s">
        <v>225</v>
      </c>
      <c r="AI11" s="342"/>
      <c r="AJ11" s="40"/>
    </row>
    <row r="12" spans="2:36" s="41" customFormat="1" ht="16.5" customHeight="1">
      <c r="B12" s="32"/>
      <c r="C12" s="35"/>
      <c r="D12" s="34"/>
      <c r="E12" s="35"/>
      <c r="F12" s="55"/>
      <c r="G12" s="35"/>
      <c r="H12" s="35"/>
      <c r="I12" s="35"/>
      <c r="J12" s="68"/>
      <c r="K12" s="35"/>
      <c r="L12" s="35"/>
      <c r="M12" s="35"/>
      <c r="N12" s="38"/>
      <c r="O12" s="35"/>
      <c r="P12" s="35"/>
      <c r="Q12" s="34"/>
      <c r="R12" s="35"/>
      <c r="S12" s="35"/>
      <c r="T12" s="55"/>
      <c r="U12" s="35"/>
      <c r="V12" s="35"/>
      <c r="W12" s="38"/>
      <c r="X12" s="69"/>
      <c r="Y12" s="35"/>
      <c r="Z12" s="35"/>
      <c r="AA12" s="35"/>
      <c r="AB12" s="38"/>
      <c r="AC12" s="35"/>
      <c r="AD12" s="35"/>
      <c r="AE12" s="339">
        <v>20.2</v>
      </c>
      <c r="AF12" s="340">
        <f t="shared" si="0"/>
        <v>19.802</v>
      </c>
      <c r="AG12" s="341"/>
      <c r="AH12" s="350" t="s">
        <v>226</v>
      </c>
      <c r="AI12" s="342"/>
      <c r="AJ12" s="40"/>
    </row>
    <row r="13" spans="2:36" s="41" customFormat="1" ht="16.5" customHeight="1">
      <c r="B13" s="32"/>
      <c r="C13" s="35"/>
      <c r="D13" s="34"/>
      <c r="E13" s="35"/>
      <c r="F13" s="55"/>
      <c r="G13" s="35"/>
      <c r="H13" s="35"/>
      <c r="I13" s="35"/>
      <c r="J13" s="70" t="s">
        <v>191</v>
      </c>
      <c r="K13" s="35"/>
      <c r="L13" s="35"/>
      <c r="M13" s="35"/>
      <c r="N13" s="38"/>
      <c r="O13" s="35"/>
      <c r="P13" s="35"/>
      <c r="Q13" s="34"/>
      <c r="R13" s="35"/>
      <c r="S13" s="35"/>
      <c r="T13" s="55"/>
      <c r="U13" s="35"/>
      <c r="V13" s="35"/>
      <c r="W13" s="71"/>
      <c r="X13" s="69"/>
      <c r="Y13" s="35"/>
      <c r="Z13" s="35"/>
      <c r="AA13" s="35"/>
      <c r="AB13" s="38"/>
      <c r="AC13" s="35"/>
      <c r="AD13" s="35"/>
      <c r="AE13" s="343">
        <v>20.2</v>
      </c>
      <c r="AF13" s="344">
        <f t="shared" si="0"/>
        <v>19.802</v>
      </c>
      <c r="AG13" s="345"/>
      <c r="AH13" s="351" t="s">
        <v>227</v>
      </c>
      <c r="AI13" s="346"/>
      <c r="AJ13" s="40"/>
    </row>
    <row r="14" spans="2:36" s="41" customFormat="1" ht="16.5" customHeight="1">
      <c r="B14" s="32"/>
      <c r="C14" s="35"/>
      <c r="D14" s="34"/>
      <c r="E14" s="35"/>
      <c r="F14" s="55"/>
      <c r="G14" s="35"/>
      <c r="H14" s="35"/>
      <c r="I14" s="35"/>
      <c r="J14" s="72"/>
      <c r="K14" s="35"/>
      <c r="L14" s="35"/>
      <c r="M14" s="35"/>
      <c r="N14" s="38"/>
      <c r="O14" s="35"/>
      <c r="P14" s="35"/>
      <c r="Q14" s="34"/>
      <c r="R14" s="35"/>
      <c r="S14" s="35"/>
      <c r="T14" s="55"/>
      <c r="U14" s="35"/>
      <c r="V14" s="35"/>
      <c r="W14" s="71"/>
      <c r="X14" s="69"/>
      <c r="Y14" s="35"/>
      <c r="Z14" s="35"/>
      <c r="AA14" s="35"/>
      <c r="AB14" s="38"/>
      <c r="AC14" s="35"/>
      <c r="AD14" s="35"/>
      <c r="AE14" s="328">
        <v>30.24</v>
      </c>
      <c r="AF14" s="329">
        <f t="shared" si="0"/>
        <v>29.841999999999999</v>
      </c>
      <c r="AG14" s="323"/>
      <c r="AH14" s="244">
        <v>31</v>
      </c>
      <c r="AI14" s="330"/>
      <c r="AJ14" s="40"/>
    </row>
    <row r="15" spans="2:36" s="41" customFormat="1" ht="17.25" customHeight="1">
      <c r="B15" s="32"/>
      <c r="C15" s="35"/>
      <c r="D15" s="34"/>
      <c r="E15" s="35"/>
      <c r="F15" s="55"/>
      <c r="G15" s="35"/>
      <c r="H15" s="35"/>
      <c r="I15" s="71"/>
      <c r="J15" s="73"/>
      <c r="K15" s="35"/>
      <c r="L15" s="35"/>
      <c r="M15" s="35"/>
      <c r="N15" s="38"/>
      <c r="O15" s="35"/>
      <c r="P15" s="35"/>
      <c r="Q15" s="34"/>
      <c r="R15" s="35"/>
      <c r="S15" s="35"/>
      <c r="T15" s="55"/>
      <c r="U15" s="35"/>
      <c r="V15" s="35"/>
      <c r="W15" s="71"/>
      <c r="X15" s="74"/>
      <c r="Y15" s="35"/>
      <c r="Z15" s="35"/>
      <c r="AA15" s="35"/>
      <c r="AB15" s="38"/>
      <c r="AC15" s="35"/>
      <c r="AD15" s="35"/>
      <c r="AE15" s="331">
        <v>30.37</v>
      </c>
      <c r="AF15" s="327">
        <f t="shared" si="0"/>
        <v>29.972000000000001</v>
      </c>
      <c r="AG15" s="322"/>
      <c r="AH15" s="168">
        <v>145</v>
      </c>
      <c r="AI15" s="332"/>
      <c r="AJ15" s="40"/>
    </row>
    <row r="16" spans="2:36" s="41" customFormat="1" ht="17.25" customHeight="1">
      <c r="B16" s="32"/>
      <c r="C16" s="35"/>
      <c r="D16" s="34"/>
      <c r="E16" s="35"/>
      <c r="F16" s="55"/>
      <c r="G16" s="35"/>
      <c r="H16" s="75"/>
      <c r="I16" s="76"/>
      <c r="J16" s="77"/>
      <c r="K16" s="78"/>
      <c r="L16" s="79"/>
      <c r="M16" s="35"/>
      <c r="N16" s="38"/>
      <c r="O16" s="35"/>
      <c r="P16" s="35"/>
      <c r="Q16" s="34"/>
      <c r="R16" s="35"/>
      <c r="S16" s="35"/>
      <c r="T16" s="55"/>
      <c r="U16" s="35"/>
      <c r="V16" s="35"/>
      <c r="W16" s="71"/>
      <c r="X16" s="77"/>
      <c r="Y16" s="35"/>
      <c r="Z16" s="35"/>
      <c r="AA16" s="35"/>
      <c r="AB16" s="38"/>
      <c r="AC16" s="35"/>
      <c r="AD16" s="35"/>
      <c r="AE16" s="331">
        <v>30.28</v>
      </c>
      <c r="AF16" s="327">
        <f t="shared" si="0"/>
        <v>29.882000000000001</v>
      </c>
      <c r="AG16" s="322"/>
      <c r="AH16" s="168">
        <v>167</v>
      </c>
      <c r="AI16" s="332"/>
      <c r="AJ16" s="40"/>
    </row>
    <row r="17" spans="2:36" s="41" customFormat="1" ht="17.25" customHeight="1">
      <c r="B17" s="32"/>
      <c r="C17" s="80" t="s">
        <v>192</v>
      </c>
      <c r="D17" s="80"/>
      <c r="E17" s="81"/>
      <c r="F17" s="42"/>
      <c r="G17" s="82"/>
      <c r="H17" s="83"/>
      <c r="I17" s="76"/>
      <c r="J17" s="77"/>
      <c r="K17" s="84"/>
      <c r="L17" s="85"/>
      <c r="M17" s="83"/>
      <c r="N17" s="38"/>
      <c r="O17" s="35"/>
      <c r="P17" s="35"/>
      <c r="Q17" s="34"/>
      <c r="R17" s="35"/>
      <c r="S17" s="35"/>
      <c r="T17" s="55"/>
      <c r="U17" s="35"/>
      <c r="V17" s="75"/>
      <c r="W17" s="76"/>
      <c r="X17" s="77"/>
      <c r="Y17" s="86"/>
      <c r="Z17" s="79"/>
      <c r="AA17" s="35"/>
      <c r="AB17" s="38"/>
      <c r="AC17" s="35"/>
      <c r="AD17" s="35"/>
      <c r="AE17" s="286">
        <v>32.67</v>
      </c>
      <c r="AF17" s="327">
        <f t="shared" si="0"/>
        <v>32.271999999999998</v>
      </c>
      <c r="AG17" s="322"/>
      <c r="AH17" s="168">
        <v>404</v>
      </c>
      <c r="AI17" s="332"/>
      <c r="AJ17" s="40"/>
    </row>
    <row r="18" spans="2:36" s="41" customFormat="1" ht="17.25" customHeight="1">
      <c r="B18" s="32"/>
      <c r="C18" s="87"/>
      <c r="D18" s="87"/>
      <c r="E18" s="88"/>
      <c r="F18" s="50"/>
      <c r="G18" s="35"/>
      <c r="H18" s="89"/>
      <c r="I18" s="90"/>
      <c r="J18" s="77"/>
      <c r="K18" s="91"/>
      <c r="L18" s="89"/>
      <c r="M18" s="35"/>
      <c r="N18" s="38"/>
      <c r="O18" s="35"/>
      <c r="P18" s="35"/>
      <c r="Q18" s="34"/>
      <c r="R18" s="35"/>
      <c r="S18" s="35"/>
      <c r="T18" s="55"/>
      <c r="U18" s="334"/>
      <c r="V18" s="83"/>
      <c r="W18" s="76"/>
      <c r="X18" s="77"/>
      <c r="Y18" s="84"/>
      <c r="Z18" s="85"/>
      <c r="AA18" s="83"/>
      <c r="AB18" s="38"/>
      <c r="AC18" s="35"/>
      <c r="AD18" s="35"/>
      <c r="AE18" s="286">
        <v>31.75</v>
      </c>
      <c r="AF18" s="327">
        <f t="shared" si="0"/>
        <v>31.352</v>
      </c>
      <c r="AG18" s="322"/>
      <c r="AH18" s="168">
        <v>407</v>
      </c>
      <c r="AI18" s="332"/>
      <c r="AJ18" s="287"/>
    </row>
    <row r="19" spans="2:36" s="41" customFormat="1" ht="17.25" customHeight="1">
      <c r="B19" s="32"/>
      <c r="C19" s="35"/>
      <c r="D19" s="34"/>
      <c r="E19" s="35"/>
      <c r="F19" s="55"/>
      <c r="H19" s="35"/>
      <c r="I19" s="71"/>
      <c r="J19" s="93"/>
      <c r="K19" s="35"/>
      <c r="N19" s="38"/>
      <c r="O19" s="35"/>
      <c r="P19" s="35"/>
      <c r="Q19" s="34"/>
      <c r="R19" s="35"/>
      <c r="S19" s="35"/>
      <c r="T19" s="55"/>
      <c r="U19" s="35"/>
      <c r="V19" s="89"/>
      <c r="W19" s="90"/>
      <c r="X19" s="77"/>
      <c r="Y19" s="91"/>
      <c r="Z19" s="89"/>
      <c r="AA19" s="35"/>
      <c r="AB19" s="38"/>
      <c r="AC19" s="35"/>
      <c r="AD19" s="35"/>
      <c r="AE19" s="286">
        <v>31.49</v>
      </c>
      <c r="AF19" s="327">
        <f t="shared" si="0"/>
        <v>31.091999999999999</v>
      </c>
      <c r="AG19" s="322"/>
      <c r="AH19" s="168">
        <v>428</v>
      </c>
      <c r="AI19" s="332"/>
      <c r="AJ19" s="287"/>
    </row>
    <row r="20" spans="2:36" s="41" customFormat="1" ht="17.25" customHeight="1">
      <c r="B20" s="32"/>
      <c r="C20" s="35"/>
      <c r="D20" s="94"/>
      <c r="E20" s="35"/>
      <c r="F20" s="95"/>
      <c r="G20" s="35"/>
      <c r="H20" s="35"/>
      <c r="I20" s="71"/>
      <c r="J20" s="93"/>
      <c r="K20" s="35"/>
      <c r="L20" s="35"/>
      <c r="M20" s="35"/>
      <c r="N20" s="96"/>
      <c r="O20" s="35"/>
      <c r="P20" s="35"/>
      <c r="Q20" s="34"/>
      <c r="R20" s="35"/>
      <c r="S20" s="35"/>
      <c r="T20" s="95"/>
      <c r="U20" s="35"/>
      <c r="V20" s="35"/>
      <c r="W20" s="71"/>
      <c r="X20" s="77"/>
      <c r="Y20" s="97"/>
      <c r="Z20" s="35"/>
      <c r="AA20" s="35"/>
      <c r="AB20" s="96"/>
      <c r="AC20" s="33"/>
      <c r="AE20" s="286">
        <v>33.56</v>
      </c>
      <c r="AF20" s="327">
        <f t="shared" si="0"/>
        <v>33.161999999999999</v>
      </c>
      <c r="AG20" s="322"/>
      <c r="AH20" s="168">
        <v>392</v>
      </c>
      <c r="AI20" s="332"/>
      <c r="AJ20" s="287"/>
    </row>
    <row r="21" spans="2:36" s="41" customFormat="1" ht="17.25" customHeight="1">
      <c r="B21" s="32"/>
      <c r="C21" s="35"/>
      <c r="D21" s="94"/>
      <c r="E21" s="35"/>
      <c r="F21" s="38"/>
      <c r="G21" s="35"/>
      <c r="H21" s="35"/>
      <c r="I21" s="35"/>
      <c r="J21" s="98" t="s">
        <v>195</v>
      </c>
      <c r="K21" s="35"/>
      <c r="L21" s="35"/>
      <c r="M21" s="35"/>
      <c r="N21" s="55"/>
      <c r="O21" s="35"/>
      <c r="P21" s="35"/>
      <c r="Q21" s="34"/>
      <c r="R21" s="35"/>
      <c r="S21" s="35"/>
      <c r="T21" s="38"/>
      <c r="U21" s="35"/>
      <c r="V21" s="35"/>
      <c r="W21" s="71"/>
      <c r="X21" s="77"/>
      <c r="Y21" s="35"/>
      <c r="Z21" s="35"/>
      <c r="AA21" s="38"/>
      <c r="AB21" s="35"/>
      <c r="AC21" s="33"/>
      <c r="AE21" s="286">
        <v>33.32</v>
      </c>
      <c r="AF21" s="327">
        <f t="shared" si="0"/>
        <v>32.921999999999997</v>
      </c>
      <c r="AG21" s="322"/>
      <c r="AH21" s="168">
        <v>393</v>
      </c>
      <c r="AI21" s="332"/>
      <c r="AJ21" s="287"/>
    </row>
    <row r="22" spans="2:36" s="41" customFormat="1" ht="17.25" customHeight="1">
      <c r="B22" s="32"/>
      <c r="C22" s="35"/>
      <c r="D22" s="44" t="s">
        <v>196</v>
      </c>
      <c r="E22" s="42"/>
      <c r="F22" s="81"/>
      <c r="G22" s="42"/>
      <c r="H22" s="99"/>
      <c r="I22" s="100"/>
      <c r="J22" s="73"/>
      <c r="K22" s="101"/>
      <c r="L22" s="99"/>
      <c r="M22" s="35"/>
      <c r="N22" s="55"/>
      <c r="O22" s="35"/>
      <c r="P22" s="35"/>
      <c r="R22" s="35"/>
      <c r="S22" s="35"/>
      <c r="T22" s="102"/>
      <c r="U22" s="35"/>
      <c r="V22" s="35"/>
      <c r="W22" s="71"/>
      <c r="X22" s="73"/>
      <c r="Y22" s="35"/>
      <c r="Z22" s="35"/>
      <c r="AA22" s="38"/>
      <c r="AB22" s="35"/>
      <c r="AC22" s="35"/>
      <c r="AD22" s="35"/>
      <c r="AE22" s="286">
        <v>33.409999999999997</v>
      </c>
      <c r="AF22" s="327">
        <f t="shared" si="0"/>
        <v>33.011999999999993</v>
      </c>
      <c r="AG22" s="322"/>
      <c r="AH22" s="168">
        <v>394</v>
      </c>
      <c r="AI22" s="332"/>
      <c r="AJ22" s="287"/>
    </row>
    <row r="23" spans="2:36" s="41" customFormat="1" ht="17.25" customHeight="1">
      <c r="B23" s="32"/>
      <c r="C23" s="35"/>
      <c r="D23" s="44"/>
      <c r="E23" s="42"/>
      <c r="F23" s="81"/>
      <c r="G23" s="42"/>
      <c r="H23" s="35"/>
      <c r="I23" s="71"/>
      <c r="J23" s="77"/>
      <c r="K23" s="35"/>
      <c r="L23" s="35"/>
      <c r="M23" s="45"/>
      <c r="N23" s="42"/>
      <c r="O23" s="42"/>
      <c r="P23" s="42"/>
      <c r="Q23" s="44"/>
      <c r="R23" s="42"/>
      <c r="S23" s="42"/>
      <c r="T23" s="81"/>
      <c r="U23" s="42"/>
      <c r="V23" s="99"/>
      <c r="W23" s="103"/>
      <c r="X23" s="77"/>
      <c r="Y23" s="104"/>
      <c r="Z23" s="99"/>
      <c r="AA23" s="38"/>
      <c r="AB23" s="35"/>
      <c r="AC23" s="35"/>
      <c r="AD23" s="35"/>
      <c r="AE23" s="286">
        <v>33.28</v>
      </c>
      <c r="AF23" s="327">
        <f t="shared" si="0"/>
        <v>32.881999999999998</v>
      </c>
      <c r="AG23" s="322"/>
      <c r="AH23" s="168">
        <v>395</v>
      </c>
      <c r="AI23" s="332"/>
      <c r="AJ23" s="287"/>
    </row>
    <row r="24" spans="2:36" s="41" customFormat="1" ht="16.5" customHeight="1">
      <c r="B24" s="32"/>
      <c r="C24" s="35"/>
      <c r="D24" s="94"/>
      <c r="E24" s="35"/>
      <c r="F24" s="102"/>
      <c r="G24" s="35"/>
      <c r="H24" s="105"/>
      <c r="I24" s="106"/>
      <c r="J24" s="93"/>
      <c r="L24" s="105"/>
      <c r="M24" s="38"/>
      <c r="N24" s="35"/>
      <c r="O24" s="35"/>
      <c r="P24" s="35"/>
      <c r="Q24" s="94" t="s">
        <v>197</v>
      </c>
      <c r="R24" s="35"/>
      <c r="S24" s="35"/>
      <c r="T24" s="102"/>
      <c r="U24" s="35"/>
      <c r="V24" s="105"/>
      <c r="W24" s="106"/>
      <c r="X24" s="77"/>
      <c r="Z24" s="105"/>
      <c r="AA24" s="38"/>
      <c r="AB24" s="35"/>
      <c r="AC24" s="35"/>
      <c r="AD24" s="35"/>
      <c r="AE24" s="286">
        <v>33.96</v>
      </c>
      <c r="AF24" s="327">
        <f t="shared" si="0"/>
        <v>33.561999999999998</v>
      </c>
      <c r="AG24" s="322"/>
      <c r="AH24" s="168">
        <v>396</v>
      </c>
      <c r="AI24" s="332"/>
      <c r="AJ24" s="287"/>
    </row>
    <row r="25" spans="2:36" s="41" customFormat="1" ht="15.75" customHeight="1">
      <c r="B25" s="32"/>
      <c r="C25" s="35"/>
      <c r="D25" s="94"/>
      <c r="E25" s="35"/>
      <c r="F25" s="102"/>
      <c r="G25" s="35"/>
      <c r="H25" s="105"/>
      <c r="I25" s="106"/>
      <c r="J25" s="77"/>
      <c r="K25" s="35"/>
      <c r="L25" s="105"/>
      <c r="M25" s="38"/>
      <c r="N25" s="35"/>
      <c r="O25" s="35"/>
      <c r="P25" s="35"/>
      <c r="Q25" s="34"/>
      <c r="R25" s="35"/>
      <c r="S25" s="35"/>
      <c r="T25" s="102"/>
      <c r="U25" s="35"/>
      <c r="V25" s="105"/>
      <c r="W25" s="106"/>
      <c r="X25" s="77"/>
      <c r="Y25" s="35"/>
      <c r="Z25" s="105"/>
      <c r="AA25" s="38"/>
      <c r="AB25" s="35"/>
      <c r="AC25" s="35"/>
      <c r="AD25" s="35"/>
      <c r="AE25" s="286">
        <v>33.799999999999997</v>
      </c>
      <c r="AF25" s="327">
        <f t="shared" si="0"/>
        <v>33.401999999999994</v>
      </c>
      <c r="AG25" s="322"/>
      <c r="AH25" s="168">
        <v>397</v>
      </c>
      <c r="AI25" s="332"/>
      <c r="AJ25" s="287"/>
    </row>
    <row r="26" spans="2:36" s="41" customFormat="1" ht="15.75" customHeight="1">
      <c r="B26" s="32"/>
      <c r="C26" s="35"/>
      <c r="D26" s="94"/>
      <c r="E26" s="35"/>
      <c r="F26" s="102"/>
      <c r="G26" s="35"/>
      <c r="H26" s="105"/>
      <c r="I26" s="106"/>
      <c r="J26" s="77"/>
      <c r="K26" s="35"/>
      <c r="L26" s="105"/>
      <c r="M26" s="38"/>
      <c r="N26" s="35"/>
      <c r="O26" s="35"/>
      <c r="P26" s="35"/>
      <c r="Q26" s="34"/>
      <c r="R26" s="35"/>
      <c r="S26" s="35"/>
      <c r="T26" s="102"/>
      <c r="U26" s="35"/>
      <c r="V26" s="105"/>
      <c r="W26" s="106"/>
      <c r="X26" s="77"/>
      <c r="Y26" s="35"/>
      <c r="Z26" s="105"/>
      <c r="AA26" s="38"/>
      <c r="AB26" s="35"/>
      <c r="AC26" s="35"/>
      <c r="AD26" s="35"/>
      <c r="AE26" s="286">
        <v>33.380000000000003</v>
      </c>
      <c r="AF26" s="327">
        <f t="shared" si="0"/>
        <v>32.981999999999999</v>
      </c>
      <c r="AG26" s="322"/>
      <c r="AH26" s="168">
        <v>398</v>
      </c>
      <c r="AI26" s="332"/>
      <c r="AJ26" s="287"/>
    </row>
    <row r="27" spans="2:36" s="41" customFormat="1" ht="15.75" customHeight="1">
      <c r="B27" s="32"/>
      <c r="C27" s="35"/>
      <c r="D27" s="94"/>
      <c r="E27" s="35"/>
      <c r="F27" s="102"/>
      <c r="G27" s="35"/>
      <c r="H27" s="105"/>
      <c r="I27" s="106"/>
      <c r="J27" s="77"/>
      <c r="K27" s="35"/>
      <c r="L27" s="105"/>
      <c r="M27" s="38"/>
      <c r="N27" s="35"/>
      <c r="O27" s="35"/>
      <c r="P27" s="35"/>
      <c r="Q27" s="34"/>
      <c r="R27" s="35"/>
      <c r="S27" s="35"/>
      <c r="T27" s="102"/>
      <c r="U27" s="35"/>
      <c r="V27" s="105"/>
      <c r="W27" s="106"/>
      <c r="X27" s="77"/>
      <c r="Y27" s="35"/>
      <c r="Z27" s="105"/>
      <c r="AA27" s="38"/>
      <c r="AB27" s="35"/>
      <c r="AC27" s="35"/>
      <c r="AD27" s="35"/>
      <c r="AE27" s="286">
        <v>33.950000000000003</v>
      </c>
      <c r="AF27" s="327">
        <f t="shared" si="0"/>
        <v>33.552</v>
      </c>
      <c r="AG27" s="322"/>
      <c r="AH27" s="168">
        <v>399</v>
      </c>
      <c r="AI27" s="332"/>
      <c r="AJ27" s="287"/>
    </row>
    <row r="28" spans="2:36" s="41" customFormat="1" ht="15.75" customHeight="1">
      <c r="B28" s="32"/>
      <c r="C28" s="35"/>
      <c r="D28" s="44" t="s">
        <v>198</v>
      </c>
      <c r="E28" s="42"/>
      <c r="F28" s="81"/>
      <c r="G28" s="42"/>
      <c r="H28" s="105"/>
      <c r="I28" s="106"/>
      <c r="J28" s="77"/>
      <c r="K28" s="35"/>
      <c r="L28" s="105"/>
      <c r="M28" s="38"/>
      <c r="N28" s="35"/>
      <c r="O28" s="35"/>
      <c r="P28" s="35"/>
      <c r="Q28" s="34"/>
      <c r="R28" s="35"/>
      <c r="S28" s="35"/>
      <c r="T28" s="102"/>
      <c r="U28" s="35"/>
      <c r="V28" s="105"/>
      <c r="W28" s="106"/>
      <c r="X28" s="77"/>
      <c r="Y28" s="35"/>
      <c r="Z28" s="105"/>
      <c r="AA28" s="38"/>
      <c r="AB28" s="35"/>
      <c r="AC28" s="35"/>
      <c r="AD28" s="35"/>
      <c r="AE28" s="286">
        <v>33.74</v>
      </c>
      <c r="AF28" s="327">
        <f t="shared" si="0"/>
        <v>33.341999999999999</v>
      </c>
      <c r="AG28" s="322"/>
      <c r="AH28" s="168">
        <v>400</v>
      </c>
      <c r="AI28" s="332"/>
      <c r="AJ28" s="92"/>
    </row>
    <row r="29" spans="2:36" s="41" customFormat="1" ht="16.5" customHeight="1">
      <c r="B29" s="32"/>
      <c r="C29" s="35"/>
      <c r="D29" s="44" t="s">
        <v>199</v>
      </c>
      <c r="E29" s="42"/>
      <c r="F29" s="81"/>
      <c r="G29" s="42"/>
      <c r="H29" s="107"/>
      <c r="I29" s="108"/>
      <c r="J29" s="34"/>
      <c r="K29" s="108"/>
      <c r="L29" s="107"/>
      <c r="M29" s="38"/>
      <c r="N29" s="35"/>
      <c r="O29" s="35"/>
      <c r="P29" s="35"/>
      <c r="Q29" s="34"/>
      <c r="R29" s="35"/>
      <c r="S29" s="35"/>
      <c r="T29" s="102"/>
      <c r="U29" s="35"/>
      <c r="V29" s="107"/>
      <c r="W29" s="108"/>
      <c r="X29" s="77"/>
      <c r="Y29" s="108"/>
      <c r="Z29" s="107"/>
      <c r="AA29" s="38"/>
      <c r="AB29" s="35"/>
      <c r="AC29" s="35"/>
      <c r="AD29" s="35"/>
      <c r="AE29" s="276"/>
      <c r="AF29" s="277"/>
      <c r="AG29" s="180"/>
      <c r="AH29" s="168"/>
      <c r="AI29" s="47"/>
      <c r="AJ29" s="92"/>
    </row>
    <row r="30" spans="2:36" s="41" customFormat="1" ht="16.5" customHeight="1">
      <c r="B30" s="32"/>
      <c r="C30" s="35"/>
      <c r="D30" s="34"/>
      <c r="E30" s="35"/>
      <c r="F30" s="102"/>
      <c r="G30" s="35"/>
      <c r="H30" s="109"/>
      <c r="I30" s="110"/>
      <c r="J30" s="67"/>
      <c r="L30" s="109"/>
      <c r="M30" s="38"/>
      <c r="N30" s="35"/>
      <c r="O30" s="35"/>
      <c r="P30" s="35"/>
      <c r="Q30" s="34"/>
      <c r="R30" s="35"/>
      <c r="S30" s="35"/>
      <c r="T30" s="102"/>
      <c r="U30" s="35"/>
      <c r="V30" s="109"/>
      <c r="W30" s="110"/>
      <c r="X30" s="67"/>
      <c r="Z30" s="109"/>
      <c r="AA30" s="38"/>
      <c r="AB30" s="35"/>
      <c r="AC30" s="35"/>
      <c r="AD30" s="35"/>
      <c r="AE30" s="276"/>
      <c r="AF30" s="277"/>
      <c r="AG30" s="180"/>
      <c r="AH30" s="168"/>
      <c r="AI30" s="47"/>
      <c r="AJ30" s="92"/>
    </row>
    <row r="31" spans="2:36" s="41" customFormat="1" ht="15.75" customHeight="1">
      <c r="B31" s="32"/>
      <c r="C31" s="35"/>
      <c r="D31" s="34"/>
      <c r="E31" s="35"/>
      <c r="F31" s="38"/>
      <c r="G31" s="35"/>
      <c r="H31" s="109"/>
      <c r="I31" s="111"/>
      <c r="J31" s="67"/>
      <c r="K31" s="112"/>
      <c r="L31" s="109"/>
      <c r="M31" s="38"/>
      <c r="N31" s="35"/>
      <c r="O31" s="35"/>
      <c r="P31" s="35"/>
      <c r="Q31" s="34"/>
      <c r="R31" s="35"/>
      <c r="S31" s="35"/>
      <c r="T31" s="38"/>
      <c r="U31" s="35"/>
      <c r="V31" s="109"/>
      <c r="W31" s="111"/>
      <c r="X31" s="67"/>
      <c r="Y31" s="112"/>
      <c r="Z31" s="109"/>
      <c r="AA31" s="38"/>
      <c r="AB31" s="35"/>
      <c r="AC31" s="35"/>
      <c r="AD31" s="35"/>
      <c r="AE31" s="276"/>
      <c r="AF31" s="277"/>
      <c r="AG31" s="180"/>
      <c r="AH31" s="168"/>
      <c r="AI31" s="47"/>
      <c r="AJ31" s="92"/>
    </row>
    <row r="32" spans="2:36" s="41" customFormat="1" ht="15.75" customHeight="1">
      <c r="B32" s="32"/>
      <c r="C32" s="35"/>
      <c r="D32" s="34"/>
      <c r="E32" s="35"/>
      <c r="F32" s="38"/>
      <c r="G32" s="35"/>
      <c r="H32" s="113"/>
      <c r="I32" s="114"/>
      <c r="J32" s="67"/>
      <c r="L32" s="113"/>
      <c r="M32" s="38"/>
      <c r="N32" s="35"/>
      <c r="O32" s="35"/>
      <c r="P32" s="35"/>
      <c r="Q32" s="34"/>
      <c r="R32" s="35"/>
      <c r="S32" s="35"/>
      <c r="T32" s="38"/>
      <c r="U32" s="35"/>
      <c r="V32" s="113"/>
      <c r="W32" s="114"/>
      <c r="X32" s="67"/>
      <c r="Z32" s="113"/>
      <c r="AA32" s="38"/>
      <c r="AB32" s="35"/>
      <c r="AC32" s="35"/>
      <c r="AD32" s="35"/>
      <c r="AE32" s="276"/>
      <c r="AF32" s="277"/>
      <c r="AG32" s="180"/>
      <c r="AH32" s="168"/>
      <c r="AI32" s="47"/>
      <c r="AJ32" s="92"/>
    </row>
    <row r="33" spans="2:38" s="41" customFormat="1" ht="15" customHeight="1">
      <c r="B33" s="32"/>
      <c r="C33" s="35"/>
      <c r="D33" s="34"/>
      <c r="E33" s="35"/>
      <c r="F33" s="38"/>
      <c r="G33" s="35"/>
      <c r="H33" s="35"/>
      <c r="I33" s="38"/>
      <c r="J33" s="67"/>
      <c r="K33" s="35"/>
      <c r="L33" s="35"/>
      <c r="M33" s="38"/>
      <c r="N33" s="35"/>
      <c r="O33" s="35"/>
      <c r="P33" s="35"/>
      <c r="Q33" s="34"/>
      <c r="R33" s="35"/>
      <c r="S33" s="35"/>
      <c r="T33" s="38"/>
      <c r="U33" s="35"/>
      <c r="V33" s="35"/>
      <c r="W33" s="38"/>
      <c r="X33" s="67"/>
      <c r="Y33" s="35"/>
      <c r="Z33" s="35"/>
      <c r="AA33" s="38"/>
      <c r="AB33" s="35"/>
      <c r="AC33" s="35"/>
      <c r="AD33" s="35"/>
      <c r="AE33" s="278"/>
      <c r="AF33" s="277"/>
      <c r="AG33" s="180"/>
      <c r="AH33" s="169"/>
      <c r="AI33" s="115"/>
      <c r="AJ33" s="92"/>
    </row>
    <row r="34" spans="2:38" s="41" customFormat="1" ht="15" customHeight="1">
      <c r="B34" s="32"/>
      <c r="C34" s="35"/>
      <c r="D34" s="34"/>
      <c r="E34" s="35"/>
      <c r="F34" s="35"/>
      <c r="G34" s="35"/>
      <c r="H34" s="35"/>
      <c r="I34" s="38"/>
      <c r="J34" s="67"/>
      <c r="K34" s="35"/>
      <c r="L34" s="35"/>
      <c r="M34" s="35"/>
      <c r="N34" s="35"/>
      <c r="O34" s="35"/>
      <c r="P34" s="35"/>
      <c r="Q34" s="34"/>
      <c r="R34" s="35"/>
      <c r="S34" s="35"/>
      <c r="T34" s="35"/>
      <c r="U34" s="35"/>
      <c r="V34" s="35"/>
      <c r="W34" s="38"/>
      <c r="X34" s="67"/>
      <c r="Y34" s="35"/>
      <c r="Z34" s="35"/>
      <c r="AA34" s="35"/>
      <c r="AB34" s="35"/>
      <c r="AC34" s="35"/>
      <c r="AD34" s="35"/>
      <c r="AE34" s="278"/>
      <c r="AF34" s="277"/>
      <c r="AG34" s="180"/>
      <c r="AH34" s="169"/>
      <c r="AI34" s="115"/>
      <c r="AJ34" s="40"/>
      <c r="AL34" s="41" t="s">
        <v>201</v>
      </c>
    </row>
    <row r="35" spans="2:38" s="41" customFormat="1" ht="15.75" customHeight="1">
      <c r="B35" s="32"/>
      <c r="C35" s="35"/>
      <c r="D35" s="34"/>
      <c r="E35" s="35"/>
      <c r="F35" s="35"/>
      <c r="G35" s="35"/>
      <c r="H35" s="35"/>
      <c r="I35" s="35"/>
      <c r="J35" s="34"/>
      <c r="K35" s="35"/>
      <c r="L35" s="35"/>
      <c r="M35" s="35"/>
      <c r="N35" s="35"/>
      <c r="O35" s="35"/>
      <c r="P35" s="35"/>
      <c r="Q35" s="34"/>
      <c r="R35" s="35"/>
      <c r="S35" s="35"/>
      <c r="T35" s="35"/>
      <c r="U35" s="35"/>
      <c r="V35" s="35"/>
      <c r="W35" s="35"/>
      <c r="X35" s="34"/>
      <c r="Y35" s="35"/>
      <c r="Z35" s="35"/>
      <c r="AA35" s="35"/>
      <c r="AB35" s="35"/>
      <c r="AC35" s="35"/>
      <c r="AD35" s="35"/>
      <c r="AE35" s="278"/>
      <c r="AF35" s="277"/>
      <c r="AG35" s="180"/>
      <c r="AH35" s="169"/>
      <c r="AI35" s="115"/>
      <c r="AJ35" s="40"/>
    </row>
    <row r="36" spans="2:38" s="41" customFormat="1" ht="15.75" customHeight="1">
      <c r="B36" s="32"/>
      <c r="C36" s="35"/>
      <c r="D36" s="34"/>
      <c r="E36" s="116"/>
      <c r="F36" s="117"/>
      <c r="G36" s="117"/>
      <c r="H36" s="117"/>
      <c r="I36" s="117"/>
      <c r="J36" s="118" t="s">
        <v>202</v>
      </c>
      <c r="K36" s="117"/>
      <c r="L36" s="117"/>
      <c r="M36" s="117"/>
      <c r="N36" s="117"/>
      <c r="O36" s="119"/>
      <c r="P36" s="35"/>
      <c r="Q36" s="34"/>
      <c r="R36" s="35"/>
      <c r="S36" s="116"/>
      <c r="T36" s="117"/>
      <c r="U36" s="117"/>
      <c r="V36" s="117"/>
      <c r="W36" s="117"/>
      <c r="X36" s="118" t="s">
        <v>203</v>
      </c>
      <c r="Y36" s="117"/>
      <c r="Z36" s="117"/>
      <c r="AA36" s="117"/>
      <c r="AB36" s="117"/>
      <c r="AC36" s="119"/>
      <c r="AD36" s="35"/>
      <c r="AE36" s="278"/>
      <c r="AF36" s="277"/>
      <c r="AG36" s="180"/>
      <c r="AH36" s="169"/>
      <c r="AI36" s="115"/>
      <c r="AJ36" s="40"/>
    </row>
    <row r="37" spans="2:38" s="41" customFormat="1" ht="15" customHeight="1">
      <c r="B37" s="32"/>
      <c r="C37" s="35"/>
      <c r="D37" s="34"/>
      <c r="E37" s="35"/>
      <c r="F37" s="35"/>
      <c r="G37" s="35"/>
      <c r="H37" s="35"/>
      <c r="I37" s="35"/>
      <c r="J37" s="94"/>
      <c r="K37" s="35"/>
      <c r="L37" s="35"/>
      <c r="M37" s="35"/>
      <c r="N37" s="35"/>
      <c r="O37" s="35"/>
      <c r="P37" s="35"/>
      <c r="Q37" s="34"/>
      <c r="R37" s="35"/>
      <c r="S37" s="35"/>
      <c r="T37" s="35"/>
      <c r="U37" s="35"/>
      <c r="V37" s="35"/>
      <c r="W37" s="35"/>
      <c r="X37" s="94"/>
      <c r="Y37" s="35"/>
      <c r="Z37" s="35"/>
      <c r="AA37" s="35"/>
      <c r="AB37" s="35"/>
      <c r="AC37" s="35"/>
      <c r="AD37" s="35"/>
      <c r="AE37" s="279"/>
      <c r="AF37" s="333">
        <f>SUM(AI7:AI36)</f>
        <v>0</v>
      </c>
      <c r="AG37" s="120" t="s">
        <v>200</v>
      </c>
      <c r="AH37" s="120"/>
      <c r="AI37" s="121"/>
      <c r="AJ37" s="40"/>
    </row>
    <row r="38" spans="2:38" s="41" customFormat="1" ht="15" customHeight="1">
      <c r="B38" s="32"/>
      <c r="C38" s="35"/>
      <c r="D38" s="34"/>
      <c r="E38" s="35"/>
      <c r="F38" s="35"/>
      <c r="G38" s="35"/>
      <c r="H38" s="35"/>
      <c r="I38" s="35"/>
      <c r="J38" s="94"/>
      <c r="K38" s="35"/>
      <c r="L38" s="35"/>
      <c r="M38" s="35"/>
      <c r="N38" s="35"/>
      <c r="O38" s="35"/>
      <c r="P38" s="35"/>
      <c r="Q38" s="34"/>
      <c r="R38" s="35"/>
      <c r="S38" s="35"/>
      <c r="T38" s="35"/>
      <c r="U38" s="35"/>
      <c r="V38" s="35"/>
      <c r="W38" s="35"/>
      <c r="X38" s="94"/>
      <c r="Y38" s="35"/>
      <c r="Z38" s="35"/>
      <c r="AA38" s="35"/>
      <c r="AB38" s="35"/>
      <c r="AC38" s="35"/>
      <c r="AD38" s="35"/>
      <c r="AE38" s="22"/>
      <c r="AF38" s="22"/>
      <c r="AG38" s="22"/>
      <c r="AH38" s="22"/>
      <c r="AI38" s="22"/>
      <c r="AJ38" s="40"/>
    </row>
    <row r="39" spans="2:38" s="41" customFormat="1" ht="15" customHeight="1">
      <c r="B39" s="32"/>
      <c r="C39" s="34" t="s">
        <v>204</v>
      </c>
      <c r="D39" s="34"/>
      <c r="E39" s="35"/>
      <c r="F39" s="35"/>
      <c r="G39" s="35"/>
      <c r="H39" s="35"/>
      <c r="I39" s="35"/>
      <c r="J39" s="94"/>
      <c r="K39" s="35"/>
      <c r="L39" s="35"/>
      <c r="M39" s="35"/>
      <c r="N39" s="35"/>
      <c r="O39" s="35"/>
      <c r="P39" s="35"/>
      <c r="Q39" s="34"/>
      <c r="R39" s="35"/>
      <c r="S39" s="35"/>
      <c r="T39" s="35"/>
      <c r="U39" s="35"/>
      <c r="V39" s="35"/>
      <c r="W39" s="35"/>
      <c r="X39" s="94"/>
      <c r="Y39" s="35"/>
      <c r="Z39" s="35"/>
      <c r="AA39" s="35"/>
      <c r="AB39" s="35"/>
      <c r="AC39" s="35"/>
      <c r="AD39" s="35"/>
      <c r="AE39" s="22"/>
      <c r="AF39" s="22"/>
      <c r="AG39" s="22"/>
      <c r="AH39" s="22"/>
      <c r="AI39" s="22"/>
      <c r="AJ39" s="40"/>
    </row>
    <row r="40" spans="2:38" ht="12" customHeight="1">
      <c r="B40" s="29"/>
      <c r="C40" s="355"/>
      <c r="D40" s="360" t="s">
        <v>228</v>
      </c>
      <c r="E40" s="361"/>
      <c r="F40" s="361"/>
      <c r="G40" s="361"/>
      <c r="H40" s="362"/>
      <c r="I40" s="362"/>
      <c r="J40" s="363"/>
      <c r="K40" s="362"/>
      <c r="L40" s="362"/>
      <c r="M40" s="362"/>
      <c r="N40" s="362"/>
      <c r="O40" s="125"/>
      <c r="P40" s="123"/>
      <c r="Q40" s="126"/>
      <c r="R40" s="24"/>
      <c r="S40" s="24"/>
      <c r="T40" s="24"/>
      <c r="U40" s="24"/>
      <c r="V40" s="24"/>
      <c r="W40" s="24"/>
      <c r="X40" s="127"/>
      <c r="Y40" s="24"/>
      <c r="Z40" s="24"/>
      <c r="AA40" s="24"/>
      <c r="AB40" s="24"/>
      <c r="AD40" s="24"/>
      <c r="AE40" s="22"/>
      <c r="AJ40" s="31"/>
    </row>
    <row r="41" spans="2:38" ht="12.75" customHeight="1">
      <c r="B41" s="29"/>
      <c r="C41" s="356">
        <v>45.23</v>
      </c>
      <c r="D41" s="359" t="s">
        <v>229</v>
      </c>
      <c r="Q41" s="128"/>
      <c r="R41" s="129"/>
      <c r="X41" s="22"/>
      <c r="AC41" s="22"/>
      <c r="AE41" s="22"/>
      <c r="AJ41" s="31"/>
    </row>
    <row r="42" spans="2:38" ht="12.75" customHeight="1">
      <c r="B42" s="29"/>
      <c r="C42" s="356">
        <v>45.02</v>
      </c>
      <c r="D42" s="359" t="s">
        <v>230</v>
      </c>
      <c r="Q42" s="128"/>
      <c r="R42" s="129"/>
      <c r="X42" s="22"/>
      <c r="AC42" s="22"/>
      <c r="AE42" s="22"/>
      <c r="AJ42" s="31"/>
    </row>
    <row r="43" spans="2:38" ht="12.75" customHeight="1">
      <c r="B43" s="29"/>
      <c r="C43" s="356">
        <v>45.13</v>
      </c>
      <c r="D43" s="359" t="s">
        <v>231</v>
      </c>
      <c r="Q43" s="128"/>
      <c r="R43" s="129"/>
      <c r="X43" s="22"/>
      <c r="AC43" s="22"/>
      <c r="AE43" s="22"/>
      <c r="AJ43" s="31"/>
    </row>
    <row r="44" spans="2:38" ht="13.5" customHeight="1">
      <c r="B44" s="29"/>
      <c r="C44" s="356">
        <v>3.13</v>
      </c>
      <c r="D44" s="359" t="s">
        <v>208</v>
      </c>
      <c r="Q44" s="128"/>
      <c r="R44" s="129"/>
      <c r="X44" s="22"/>
      <c r="AC44" s="22"/>
      <c r="AE44" s="22"/>
      <c r="AJ44" s="31"/>
    </row>
    <row r="45" spans="2:38" ht="14.25" customHeight="1">
      <c r="B45" s="29"/>
      <c r="C45" s="364"/>
      <c r="D45" s="136" t="s">
        <v>209</v>
      </c>
      <c r="E45" s="136"/>
      <c r="F45" s="136"/>
      <c r="G45" s="136"/>
      <c r="H45" s="136"/>
      <c r="I45" s="136"/>
      <c r="J45" s="137"/>
      <c r="K45" s="136"/>
      <c r="L45" s="136"/>
      <c r="M45" s="136"/>
      <c r="N45" s="136"/>
      <c r="O45" s="136"/>
      <c r="P45" s="136"/>
      <c r="Q45" s="138"/>
      <c r="R45" s="129"/>
      <c r="X45" s="22"/>
      <c r="AC45" s="22"/>
      <c r="AE45" s="22"/>
      <c r="AJ45" s="31"/>
    </row>
    <row r="46" spans="2:38" ht="13.5" customHeight="1">
      <c r="B46" s="29"/>
      <c r="C46" s="259"/>
      <c r="D46" s="22"/>
      <c r="Q46" s="22"/>
      <c r="R46" s="129"/>
      <c r="X46" s="22"/>
      <c r="AC46" s="22"/>
      <c r="AE46" s="22"/>
      <c r="AJ46" s="31"/>
    </row>
    <row r="47" spans="2:38" ht="15" customHeight="1">
      <c r="B47" s="29"/>
      <c r="C47" s="259"/>
      <c r="D47" s="22"/>
      <c r="Q47" s="22"/>
      <c r="R47" s="129"/>
      <c r="T47" s="34" t="s">
        <v>204</v>
      </c>
      <c r="X47" s="134" t="s">
        <v>210</v>
      </c>
      <c r="AC47" s="22"/>
      <c r="AE47" s="22"/>
      <c r="AJ47" s="31"/>
    </row>
    <row r="48" spans="2:38" ht="12.75" customHeight="1">
      <c r="B48" s="29"/>
      <c r="C48" s="325">
        <v>99.2</v>
      </c>
      <c r="D48" s="123" t="s">
        <v>214</v>
      </c>
      <c r="E48" s="123"/>
      <c r="F48" s="123"/>
      <c r="G48" s="123"/>
      <c r="H48" s="123"/>
      <c r="I48" s="123"/>
      <c r="J48" s="124"/>
      <c r="K48" s="123"/>
      <c r="L48" s="123"/>
      <c r="M48" s="123"/>
      <c r="N48" s="123"/>
      <c r="O48" s="125"/>
      <c r="P48" s="123"/>
      <c r="Q48" s="126"/>
      <c r="R48" s="129"/>
      <c r="S48" s="694"/>
      <c r="T48" s="695"/>
      <c r="U48" s="696"/>
      <c r="V48" s="697" t="s">
        <v>211</v>
      </c>
      <c r="W48" s="698"/>
      <c r="X48" s="698"/>
      <c r="Y48" s="698"/>
      <c r="Z48" s="698"/>
      <c r="AA48" s="698"/>
      <c r="AB48" s="698"/>
      <c r="AC48" s="698"/>
      <c r="AD48" s="698"/>
      <c r="AE48" s="699"/>
      <c r="AJ48" s="31"/>
    </row>
    <row r="49" spans="2:36" ht="12.75" customHeight="1">
      <c r="B49" s="29"/>
      <c r="C49" s="358">
        <f>7.25-0.398</f>
        <v>6.8520000000000003</v>
      </c>
      <c r="D49" s="130" t="s">
        <v>216</v>
      </c>
      <c r="E49" s="130"/>
      <c r="F49" s="130"/>
      <c r="G49" s="130"/>
      <c r="H49" s="130"/>
      <c r="I49" s="130"/>
      <c r="J49" s="131"/>
      <c r="K49" s="130"/>
      <c r="L49" s="130"/>
      <c r="M49" s="130"/>
      <c r="N49" s="130"/>
      <c r="O49" s="132"/>
      <c r="P49" s="130"/>
      <c r="Q49" s="133"/>
      <c r="R49" s="129"/>
      <c r="S49" s="690">
        <f>C50</f>
        <v>106.05200000000001</v>
      </c>
      <c r="T49" s="685"/>
      <c r="U49" s="686"/>
      <c r="V49" s="691" t="s">
        <v>212</v>
      </c>
      <c r="W49" s="692"/>
      <c r="X49" s="692"/>
      <c r="Y49" s="692"/>
      <c r="Z49" s="692"/>
      <c r="AA49" s="692"/>
      <c r="AB49" s="692"/>
      <c r="AC49" s="692"/>
      <c r="AD49" s="692"/>
      <c r="AE49" s="693"/>
      <c r="AJ49" s="31"/>
    </row>
    <row r="50" spans="2:36" ht="12.75" customHeight="1">
      <c r="B50" s="29"/>
      <c r="C50" s="357">
        <f>C48+C49</f>
        <v>106.05200000000001</v>
      </c>
      <c r="D50" s="136" t="s">
        <v>218</v>
      </c>
      <c r="E50" s="136"/>
      <c r="F50" s="136"/>
      <c r="G50" s="136"/>
      <c r="H50" s="136"/>
      <c r="I50" s="136"/>
      <c r="J50" s="137"/>
      <c r="K50" s="136"/>
      <c r="L50" s="136"/>
      <c r="M50" s="136"/>
      <c r="N50" s="136"/>
      <c r="O50" s="136"/>
      <c r="P50" s="136"/>
      <c r="Q50" s="138"/>
      <c r="R50" s="129"/>
      <c r="S50" s="690">
        <v>3</v>
      </c>
      <c r="T50" s="685"/>
      <c r="U50" s="686"/>
      <c r="V50" s="691" t="s">
        <v>213</v>
      </c>
      <c r="W50" s="692"/>
      <c r="X50" s="692"/>
      <c r="Y50" s="692"/>
      <c r="Z50" s="692"/>
      <c r="AA50" s="692"/>
      <c r="AB50" s="692"/>
      <c r="AC50" s="692"/>
      <c r="AD50" s="692"/>
      <c r="AE50" s="693"/>
      <c r="AJ50" s="31"/>
    </row>
    <row r="51" spans="2:36" ht="13.5" customHeight="1">
      <c r="B51" s="29"/>
      <c r="C51" s="140"/>
      <c r="D51" s="22"/>
      <c r="Q51" s="22"/>
      <c r="R51" s="129"/>
      <c r="S51" s="675"/>
      <c r="T51" s="676"/>
      <c r="U51" s="677"/>
      <c r="V51" s="700" t="s">
        <v>215</v>
      </c>
      <c r="W51" s="701"/>
      <c r="X51" s="701"/>
      <c r="Y51" s="701"/>
      <c r="Z51" s="701"/>
      <c r="AA51" s="701"/>
      <c r="AB51" s="701"/>
      <c r="AC51" s="701"/>
      <c r="AD51" s="701"/>
      <c r="AE51" s="702"/>
      <c r="AJ51" s="31"/>
    </row>
    <row r="52" spans="2:36" ht="12.75" customHeight="1">
      <c r="B52" s="29"/>
      <c r="C52" s="140"/>
      <c r="D52" s="22"/>
      <c r="Q52" s="22"/>
      <c r="R52" s="129"/>
      <c r="S52" s="678"/>
      <c r="T52" s="679"/>
      <c r="U52" s="680"/>
      <c r="V52" s="703" t="s">
        <v>217</v>
      </c>
      <c r="W52" s="704"/>
      <c r="X52" s="704"/>
      <c r="Y52" s="704"/>
      <c r="Z52" s="704"/>
      <c r="AA52" s="704"/>
      <c r="AB52" s="704"/>
      <c r="AC52" s="704"/>
      <c r="AD52" s="704"/>
      <c r="AE52" s="705"/>
      <c r="AJ52" s="31"/>
    </row>
    <row r="53" spans="2:36" ht="12.75" customHeight="1">
      <c r="B53" s="29"/>
      <c r="C53" s="140"/>
      <c r="D53" s="22"/>
      <c r="Q53" s="22"/>
      <c r="R53" s="129"/>
      <c r="S53" s="684"/>
      <c r="T53" s="685"/>
      <c r="U53" s="686"/>
      <c r="V53" s="706" t="s">
        <v>219</v>
      </c>
      <c r="W53" s="707"/>
      <c r="X53" s="707"/>
      <c r="Y53" s="707"/>
      <c r="Z53" s="707"/>
      <c r="AA53" s="707"/>
      <c r="AB53" s="707"/>
      <c r="AC53" s="707"/>
      <c r="AD53" s="707"/>
      <c r="AE53" s="708"/>
      <c r="AJ53" s="31"/>
    </row>
    <row r="54" spans="2:36" ht="12.75" customHeight="1">
      <c r="B54" s="29"/>
      <c r="C54" s="140"/>
      <c r="D54" s="22"/>
      <c r="Q54" s="22"/>
      <c r="R54" s="129"/>
      <c r="T54" s="23"/>
      <c r="X54" s="141" t="s">
        <v>220</v>
      </c>
      <c r="AB54" s="24"/>
      <c r="AC54" s="22"/>
      <c r="AD54" s="23"/>
      <c r="AE54" s="22"/>
      <c r="AJ54" s="31"/>
    </row>
    <row r="55" spans="2:36" ht="12.75" customHeight="1">
      <c r="B55" s="29"/>
      <c r="C55" s="140"/>
      <c r="D55" s="22"/>
      <c r="Q55" s="22"/>
      <c r="R55" s="129"/>
      <c r="X55" s="22"/>
      <c r="AC55" s="22"/>
      <c r="AE55" s="22"/>
      <c r="AJ55" s="31"/>
    </row>
    <row r="56" spans="2:36" ht="12.75" customHeight="1">
      <c r="B56" s="29"/>
      <c r="C56" s="140"/>
      <c r="D56" s="22"/>
      <c r="Q56" s="22"/>
      <c r="R56" s="129"/>
      <c r="X56" s="22"/>
      <c r="AC56" s="22"/>
      <c r="AE56" s="22"/>
      <c r="AJ56" s="31"/>
    </row>
    <row r="57" spans="2:36" ht="7.5" customHeight="1">
      <c r="B57" s="142"/>
      <c r="C57" s="143"/>
      <c r="D57" s="144"/>
      <c r="E57" s="144"/>
      <c r="F57" s="144"/>
      <c r="G57" s="144"/>
      <c r="H57" s="144"/>
      <c r="I57" s="144"/>
      <c r="J57" s="145"/>
      <c r="K57" s="144"/>
      <c r="L57" s="144"/>
      <c r="M57" s="144"/>
      <c r="N57" s="144"/>
      <c r="O57" s="146"/>
      <c r="P57" s="144"/>
      <c r="Q57" s="144"/>
      <c r="R57" s="147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8"/>
    </row>
    <row r="58" spans="2:36" ht="12.75" customHeight="1">
      <c r="C58" s="140"/>
      <c r="D58" s="22"/>
      <c r="Q58" s="22"/>
      <c r="R58" s="129"/>
      <c r="X58" s="22"/>
      <c r="AC58" s="22"/>
      <c r="AD58" s="129"/>
      <c r="AE58" s="22"/>
    </row>
    <row r="59" spans="2:36" ht="12.75" customHeight="1">
      <c r="D59" s="22"/>
      <c r="J59" s="22"/>
      <c r="O59" s="22"/>
      <c r="Q59" s="22"/>
      <c r="R59" s="129"/>
      <c r="X59" s="129"/>
      <c r="Y59" s="129"/>
      <c r="Z59" s="129"/>
      <c r="AA59" s="129"/>
      <c r="AB59" s="129"/>
      <c r="AC59" s="129"/>
      <c r="AD59" s="129"/>
      <c r="AE59" s="22"/>
    </row>
    <row r="60" spans="2:36" ht="12.75" customHeight="1">
      <c r="D60" s="22"/>
      <c r="J60" s="22"/>
      <c r="O60" s="22"/>
      <c r="Q60" s="22"/>
      <c r="R60" s="129"/>
      <c r="X60" s="129"/>
      <c r="Y60" s="129"/>
      <c r="Z60" s="129"/>
      <c r="AA60" s="129"/>
      <c r="AB60" s="129"/>
      <c r="AC60" s="129"/>
      <c r="AD60" s="129"/>
      <c r="AE60" s="22"/>
    </row>
    <row r="61" spans="2:36" ht="12.75" customHeight="1">
      <c r="D61" s="22"/>
      <c r="J61" s="22"/>
      <c r="O61" s="22"/>
      <c r="Q61" s="22"/>
      <c r="R61" s="129"/>
      <c r="X61" s="129"/>
      <c r="Y61" s="129"/>
      <c r="Z61" s="129"/>
      <c r="AA61" s="129"/>
      <c r="AB61" s="129"/>
      <c r="AC61" s="129"/>
      <c r="AD61" s="129"/>
      <c r="AE61" s="22"/>
    </row>
    <row r="62" spans="2:36" ht="12.75" customHeight="1">
      <c r="D62" s="22"/>
      <c r="J62" s="22"/>
      <c r="O62" s="22"/>
      <c r="Q62" s="22"/>
      <c r="R62" s="129"/>
      <c r="X62" s="129"/>
      <c r="Y62" s="129"/>
      <c r="Z62" s="129"/>
      <c r="AA62" s="129"/>
      <c r="AB62" s="129"/>
      <c r="AC62" s="129"/>
      <c r="AD62" s="129"/>
    </row>
    <row r="63" spans="2:36" ht="12.75" customHeight="1">
      <c r="D63" s="22"/>
      <c r="J63" s="22"/>
      <c r="O63" s="22"/>
      <c r="Q63" s="22"/>
      <c r="R63" s="129"/>
      <c r="X63" s="129"/>
      <c r="Y63" s="129"/>
      <c r="Z63" s="129"/>
      <c r="AA63" s="129"/>
      <c r="AB63" s="129"/>
      <c r="AC63" s="129"/>
      <c r="AD63" s="129"/>
    </row>
    <row r="64" spans="2:36" ht="12.75" customHeight="1">
      <c r="D64" s="22"/>
      <c r="J64" s="22"/>
      <c r="O64" s="22"/>
      <c r="Q64" s="22"/>
      <c r="R64" s="129"/>
      <c r="X64" s="129"/>
      <c r="Y64" s="129"/>
      <c r="Z64" s="129"/>
      <c r="AA64" s="129"/>
      <c r="AB64" s="129"/>
      <c r="AC64" s="129"/>
      <c r="AD64" s="129"/>
    </row>
    <row r="65" spans="15:31" ht="12.75" customHeight="1">
      <c r="O65" s="22"/>
      <c r="X65" s="129"/>
      <c r="Y65" s="129"/>
      <c r="Z65" s="129"/>
      <c r="AA65" s="129"/>
      <c r="AB65" s="129"/>
      <c r="AC65" s="129"/>
      <c r="AD65" s="129"/>
    </row>
    <row r="66" spans="15:31" ht="12.75" customHeight="1">
      <c r="O66" s="22"/>
      <c r="X66" s="129"/>
      <c r="Y66" s="129"/>
      <c r="Z66" s="129"/>
      <c r="AA66" s="129"/>
      <c r="AB66" s="129"/>
      <c r="AC66" s="129"/>
      <c r="AD66" s="129"/>
    </row>
    <row r="67" spans="15:31" ht="12.75" customHeight="1">
      <c r="O67" s="22"/>
      <c r="X67" s="129"/>
      <c r="Y67" s="129"/>
      <c r="Z67" s="129"/>
      <c r="AA67" s="129"/>
      <c r="AB67" s="129"/>
      <c r="AC67" s="129"/>
      <c r="AD67" s="129"/>
      <c r="AE67" s="129"/>
    </row>
    <row r="68" spans="15:31" ht="12.75" customHeight="1">
      <c r="O68" s="22"/>
      <c r="X68" s="129"/>
      <c r="Y68" s="129"/>
      <c r="Z68" s="129"/>
      <c r="AA68" s="129"/>
      <c r="AB68" s="129"/>
      <c r="AC68" s="129"/>
      <c r="AD68" s="129"/>
      <c r="AE68" s="129"/>
    </row>
    <row r="69" spans="15:31" ht="12.75" customHeight="1">
      <c r="O69" s="22"/>
      <c r="X69" s="129"/>
      <c r="Y69" s="129"/>
      <c r="Z69" s="129"/>
      <c r="AA69" s="129"/>
      <c r="AB69" s="129"/>
      <c r="AC69" s="129"/>
      <c r="AD69" s="129"/>
      <c r="AE69" s="129"/>
    </row>
    <row r="70" spans="15:31" ht="12.75" customHeight="1">
      <c r="O70" s="22"/>
      <c r="X70" s="129"/>
      <c r="Y70" s="129"/>
      <c r="Z70" s="129"/>
      <c r="AA70" s="129"/>
      <c r="AB70" s="129"/>
      <c r="AC70" s="129"/>
      <c r="AD70" s="129"/>
      <c r="AE70" s="129"/>
    </row>
    <row r="71" spans="15:31" ht="12.75" customHeight="1">
      <c r="O71" s="22"/>
      <c r="X71" s="129"/>
      <c r="Y71" s="129"/>
      <c r="Z71" s="129"/>
      <c r="AA71" s="129"/>
      <c r="AB71" s="129"/>
      <c r="AC71" s="129"/>
      <c r="AD71" s="129"/>
      <c r="AE71" s="129"/>
    </row>
    <row r="72" spans="15:31" ht="12.75" customHeight="1">
      <c r="O72" s="22"/>
      <c r="X72" s="129"/>
      <c r="Y72" s="129"/>
      <c r="Z72" s="129"/>
      <c r="AA72" s="129"/>
      <c r="AB72" s="129"/>
      <c r="AC72" s="129"/>
      <c r="AD72" s="129"/>
      <c r="AE72" s="129"/>
    </row>
    <row r="73" spans="15:31" ht="12.75" customHeight="1">
      <c r="O73" s="22"/>
      <c r="X73" s="129"/>
      <c r="Y73" s="129"/>
      <c r="Z73" s="129"/>
      <c r="AA73" s="129"/>
      <c r="AB73" s="129"/>
      <c r="AC73" s="129"/>
      <c r="AD73" s="129"/>
      <c r="AE73" s="129"/>
    </row>
    <row r="74" spans="15:31" ht="12.75" customHeight="1">
      <c r="O74" s="22"/>
      <c r="X74" s="129"/>
      <c r="Y74" s="129"/>
      <c r="Z74" s="129"/>
      <c r="AA74" s="129"/>
      <c r="AB74" s="129"/>
      <c r="AC74" s="129"/>
      <c r="AD74" s="129"/>
      <c r="AE74" s="129"/>
    </row>
    <row r="75" spans="15:31" ht="12.75" customHeight="1">
      <c r="O75" s="22"/>
      <c r="AA75" s="24"/>
      <c r="AC75" s="22"/>
      <c r="AE75" s="129"/>
    </row>
    <row r="76" spans="15:31" ht="12.75" customHeight="1">
      <c r="O76" s="22"/>
      <c r="AA76" s="24"/>
      <c r="AE76" s="129"/>
    </row>
    <row r="77" spans="15:31" ht="12.75" customHeight="1">
      <c r="O77" s="22"/>
      <c r="AA77" s="24"/>
      <c r="AC77" s="22"/>
      <c r="AE77" s="129"/>
    </row>
    <row r="78" spans="15:31" ht="12.75" customHeight="1">
      <c r="O78" s="22"/>
      <c r="AC78" s="22"/>
      <c r="AE78" s="129"/>
    </row>
    <row r="79" spans="15:31" ht="12.75" customHeight="1">
      <c r="O79" s="22"/>
      <c r="AC79" s="22"/>
      <c r="AE79" s="129"/>
    </row>
    <row r="80" spans="15:31" ht="12.75" customHeight="1">
      <c r="O80" s="22"/>
      <c r="AC80" s="22"/>
      <c r="AD80" s="149"/>
      <c r="AE80" s="129"/>
    </row>
    <row r="81" spans="15:31" ht="12.75" customHeight="1">
      <c r="O81" s="22"/>
      <c r="AC81" s="22"/>
      <c r="AD81" s="149"/>
      <c r="AE81" s="129"/>
    </row>
    <row r="82" spans="15:31" ht="12.75" customHeight="1">
      <c r="O82" s="22"/>
      <c r="AC82" s="22"/>
      <c r="AD82" s="149"/>
      <c r="AE82" s="129"/>
    </row>
    <row r="83" spans="15:31" ht="12.75" customHeight="1">
      <c r="O83" s="22"/>
      <c r="AC83" s="22"/>
      <c r="AD83" s="149"/>
      <c r="AE83" s="149"/>
    </row>
    <row r="84" spans="15:31" ht="12.75" customHeight="1">
      <c r="O84" s="22"/>
      <c r="AC84" s="22"/>
      <c r="AD84" s="149"/>
    </row>
    <row r="85" spans="15:31" ht="12.75" customHeight="1">
      <c r="O85" s="22"/>
      <c r="AC85" s="22"/>
      <c r="AD85" s="149"/>
    </row>
    <row r="86" spans="15:31" ht="12.75" customHeight="1">
      <c r="O86" s="22"/>
      <c r="AC86" s="22"/>
      <c r="AD86" s="149"/>
    </row>
    <row r="87" spans="15:31" ht="12.75" customHeight="1">
      <c r="O87" s="22"/>
      <c r="AC87" s="22"/>
      <c r="AD87" s="149"/>
    </row>
    <row r="88" spans="15:31" ht="12.75" customHeight="1">
      <c r="O88" s="22"/>
      <c r="AC88" s="22"/>
      <c r="AD88" s="149"/>
    </row>
    <row r="89" spans="15:31" ht="12.75" customHeight="1">
      <c r="O89" s="22"/>
      <c r="AC89" s="22"/>
      <c r="AD89" s="149"/>
    </row>
    <row r="90" spans="15:31" ht="12.75" customHeight="1">
      <c r="O90" s="22"/>
      <c r="AC90" s="22"/>
      <c r="AD90" s="149"/>
    </row>
    <row r="91" spans="15:31" ht="12.75" customHeight="1">
      <c r="O91" s="22"/>
      <c r="AC91" s="22"/>
      <c r="AD91" s="149"/>
    </row>
    <row r="92" spans="15:31" ht="12.75" customHeight="1">
      <c r="O92" s="22"/>
      <c r="AC92" s="22"/>
      <c r="AD92" s="149"/>
    </row>
    <row r="93" spans="15:31" ht="12.75" customHeight="1">
      <c r="O93" s="22"/>
      <c r="AC93" s="22"/>
      <c r="AD93" s="149"/>
    </row>
    <row r="94" spans="15:31" ht="12.75" customHeight="1">
      <c r="O94" s="22"/>
      <c r="AC94" s="22"/>
      <c r="AD94" s="149"/>
    </row>
    <row r="95" spans="15:31" ht="12.75" customHeight="1">
      <c r="O95" s="22"/>
      <c r="AC95" s="22"/>
      <c r="AD95" s="149"/>
    </row>
    <row r="96" spans="15:31" ht="12.75" customHeight="1">
      <c r="O96" s="22"/>
      <c r="AC96" s="22"/>
      <c r="AD96" s="149"/>
    </row>
    <row r="97" spans="15:29">
      <c r="O97" s="22"/>
      <c r="AC97" s="22"/>
    </row>
    <row r="98" spans="15:29">
      <c r="O98" s="22"/>
      <c r="AC98" s="22"/>
    </row>
    <row r="99" spans="15:29">
      <c r="O99" s="22"/>
      <c r="AC99" s="22"/>
    </row>
    <row r="100" spans="15:29">
      <c r="O100" s="22"/>
      <c r="AC100" s="22"/>
    </row>
    <row r="101" spans="15:29">
      <c r="O101" s="22"/>
      <c r="AC101" s="22"/>
    </row>
    <row r="102" spans="15:29">
      <c r="O102" s="22"/>
      <c r="AC102" s="22"/>
    </row>
    <row r="103" spans="15:29">
      <c r="O103" s="22"/>
      <c r="AC103" s="22"/>
    </row>
    <row r="104" spans="15:29">
      <c r="O104" s="22"/>
      <c r="AC104" s="22"/>
    </row>
    <row r="105" spans="15:29">
      <c r="O105" s="22"/>
      <c r="AC105" s="22"/>
    </row>
    <row r="106" spans="15:29">
      <c r="O106" s="22"/>
      <c r="AC106" s="22"/>
    </row>
    <row r="107" spans="15:29">
      <c r="O107" s="22"/>
      <c r="AC107" s="22"/>
    </row>
    <row r="108" spans="15:29">
      <c r="O108" s="22"/>
      <c r="AC108" s="22"/>
    </row>
    <row r="109" spans="15:29">
      <c r="O109" s="22"/>
      <c r="AC109" s="22"/>
    </row>
    <row r="110" spans="15:29">
      <c r="O110" s="22"/>
      <c r="AC110" s="22"/>
    </row>
    <row r="111" spans="15:29">
      <c r="O111" s="22"/>
      <c r="AC111" s="22"/>
    </row>
    <row r="112" spans="15:29">
      <c r="O112" s="22"/>
      <c r="AC112" s="22"/>
    </row>
    <row r="113" spans="15:29">
      <c r="O113" s="22"/>
      <c r="AC113" s="22"/>
    </row>
    <row r="114" spans="15:29">
      <c r="O114" s="22"/>
      <c r="AC114" s="22"/>
    </row>
    <row r="115" spans="15:29">
      <c r="O115" s="22"/>
      <c r="AC115" s="22"/>
    </row>
    <row r="116" spans="15:29">
      <c r="O116" s="22"/>
      <c r="AC116" s="22"/>
    </row>
    <row r="117" spans="15:29">
      <c r="O117" s="22"/>
      <c r="AC117" s="22"/>
    </row>
    <row r="118" spans="15:29">
      <c r="O118" s="22"/>
      <c r="AC118" s="22"/>
    </row>
    <row r="119" spans="15:29">
      <c r="O119" s="22"/>
      <c r="AC119" s="22"/>
    </row>
    <row r="120" spans="15:29">
      <c r="O120" s="22"/>
      <c r="AC120" s="22"/>
    </row>
    <row r="121" spans="15:29">
      <c r="O121" s="22"/>
      <c r="AC121" s="22"/>
    </row>
    <row r="122" spans="15:29">
      <c r="O122" s="22"/>
      <c r="AC122" s="22"/>
    </row>
    <row r="123" spans="15:29">
      <c r="O123" s="22"/>
      <c r="AC123" s="22"/>
    </row>
    <row r="124" spans="15:29">
      <c r="O124" s="22"/>
      <c r="AC124" s="22"/>
    </row>
    <row r="125" spans="15:29">
      <c r="O125" s="22"/>
      <c r="AC125" s="22"/>
    </row>
    <row r="126" spans="15:29">
      <c r="O126" s="22"/>
      <c r="AC126" s="22"/>
    </row>
    <row r="127" spans="15:29">
      <c r="O127" s="22"/>
      <c r="AC127" s="22"/>
    </row>
    <row r="128" spans="15:29">
      <c r="O128" s="22"/>
      <c r="AC128" s="22"/>
    </row>
    <row r="129" spans="15:29">
      <c r="O129" s="22"/>
      <c r="AC129" s="22"/>
    </row>
    <row r="130" spans="15:29">
      <c r="O130" s="22"/>
      <c r="AC130" s="22"/>
    </row>
    <row r="131" spans="15:29">
      <c r="O131" s="22"/>
      <c r="AC131" s="22"/>
    </row>
    <row r="132" spans="15:29">
      <c r="O132" s="22"/>
      <c r="AC132" s="22"/>
    </row>
    <row r="133" spans="15:29">
      <c r="O133" s="22"/>
      <c r="AC133" s="22"/>
    </row>
    <row r="134" spans="15:29">
      <c r="O134" s="22"/>
      <c r="AC134" s="22"/>
    </row>
    <row r="135" spans="15:29">
      <c r="O135" s="22"/>
      <c r="AC135" s="22"/>
    </row>
    <row r="136" spans="15:29">
      <c r="O136" s="22"/>
      <c r="AC136" s="22"/>
    </row>
    <row r="137" spans="15:29">
      <c r="O137" s="22"/>
      <c r="AC137" s="22"/>
    </row>
    <row r="138" spans="15:29">
      <c r="O138" s="22"/>
      <c r="AC138" s="22"/>
    </row>
    <row r="139" spans="15:29">
      <c r="O139" s="22"/>
      <c r="AC139" s="22"/>
    </row>
    <row r="140" spans="15:29">
      <c r="O140" s="22"/>
      <c r="AC140" s="22"/>
    </row>
    <row r="141" spans="15:29">
      <c r="O141" s="22"/>
      <c r="AC141" s="22"/>
    </row>
    <row r="142" spans="15:29">
      <c r="O142" s="22"/>
      <c r="AC142" s="22"/>
    </row>
    <row r="143" spans="15:29">
      <c r="O143" s="22"/>
      <c r="AC143" s="22"/>
    </row>
    <row r="144" spans="15:29">
      <c r="O144" s="22"/>
      <c r="AC144" s="22"/>
    </row>
    <row r="145" spans="15:29">
      <c r="O145" s="22"/>
      <c r="AC145" s="22"/>
    </row>
    <row r="146" spans="15:29">
      <c r="O146" s="22"/>
      <c r="AC146" s="22"/>
    </row>
    <row r="147" spans="15:29">
      <c r="O147" s="22"/>
      <c r="AC147" s="22"/>
    </row>
    <row r="148" spans="15:29">
      <c r="O148" s="22"/>
      <c r="AC148" s="22"/>
    </row>
    <row r="149" spans="15:29">
      <c r="O149" s="22"/>
      <c r="AC149" s="22"/>
    </row>
    <row r="150" spans="15:29">
      <c r="O150" s="22"/>
      <c r="AC150" s="22"/>
    </row>
    <row r="151" spans="15:29">
      <c r="O151" s="22"/>
      <c r="AC151" s="22"/>
    </row>
    <row r="152" spans="15:29">
      <c r="O152" s="22"/>
      <c r="AC152" s="22"/>
    </row>
    <row r="153" spans="15:29">
      <c r="O153" s="22"/>
      <c r="AC153" s="22"/>
    </row>
    <row r="154" spans="15:29">
      <c r="O154" s="22"/>
      <c r="AC154" s="22"/>
    </row>
    <row r="155" spans="15:29">
      <c r="O155" s="22"/>
      <c r="AC155" s="22"/>
    </row>
    <row r="156" spans="15:29">
      <c r="O156" s="22"/>
      <c r="AC156" s="22"/>
    </row>
    <row r="157" spans="15:29">
      <c r="O157" s="22"/>
      <c r="AC157" s="22"/>
    </row>
    <row r="158" spans="15:29">
      <c r="O158" s="22"/>
      <c r="AC158" s="22"/>
    </row>
    <row r="159" spans="15:29">
      <c r="O159" s="22"/>
      <c r="AC159" s="22"/>
    </row>
    <row r="160" spans="15:29">
      <c r="O160" s="22"/>
      <c r="AC160" s="22"/>
    </row>
    <row r="161" spans="15:29">
      <c r="O161" s="22"/>
      <c r="AC161" s="22"/>
    </row>
    <row r="162" spans="15:29">
      <c r="O162" s="22"/>
      <c r="AC162" s="22"/>
    </row>
    <row r="163" spans="15:29">
      <c r="O163" s="22"/>
      <c r="AC163" s="22"/>
    </row>
    <row r="164" spans="15:29">
      <c r="O164" s="22"/>
      <c r="AC164" s="22"/>
    </row>
    <row r="165" spans="15:29">
      <c r="O165" s="22"/>
      <c r="AC165" s="22"/>
    </row>
    <row r="166" spans="15:29">
      <c r="O166" s="22"/>
      <c r="AC166" s="22"/>
    </row>
    <row r="167" spans="15:29">
      <c r="O167" s="22"/>
      <c r="AC167" s="22"/>
    </row>
    <row r="168" spans="15:29">
      <c r="O168" s="22"/>
      <c r="AC168" s="22"/>
    </row>
    <row r="169" spans="15:29">
      <c r="O169" s="22"/>
      <c r="AC169" s="22"/>
    </row>
    <row r="170" spans="15:29">
      <c r="O170" s="22"/>
      <c r="AC170" s="22"/>
    </row>
    <row r="171" spans="15:29">
      <c r="O171" s="22"/>
      <c r="AC171" s="22"/>
    </row>
    <row r="172" spans="15:29">
      <c r="O172" s="22"/>
      <c r="AC172" s="22"/>
    </row>
    <row r="173" spans="15:29">
      <c r="O173" s="22"/>
      <c r="AC173" s="22"/>
    </row>
    <row r="174" spans="15:29">
      <c r="O174" s="22"/>
      <c r="AC174" s="22"/>
    </row>
    <row r="175" spans="15:29">
      <c r="O175" s="22"/>
      <c r="AC175" s="22"/>
    </row>
    <row r="176" spans="15:29">
      <c r="O176" s="22"/>
      <c r="AC176" s="22"/>
    </row>
    <row r="177" spans="15:29">
      <c r="O177" s="22"/>
      <c r="AC177" s="22"/>
    </row>
    <row r="178" spans="15:29">
      <c r="O178" s="22"/>
      <c r="AC178" s="22"/>
    </row>
    <row r="179" spans="15:29">
      <c r="O179" s="22"/>
      <c r="AC179" s="22"/>
    </row>
    <row r="180" spans="15:29">
      <c r="O180" s="22"/>
      <c r="AC180" s="22"/>
    </row>
    <row r="181" spans="15:29">
      <c r="O181" s="22"/>
      <c r="AC181" s="22"/>
    </row>
    <row r="182" spans="15:29">
      <c r="O182" s="22"/>
      <c r="AC182" s="22"/>
    </row>
    <row r="183" spans="15:29">
      <c r="O183" s="22"/>
      <c r="AC183" s="22"/>
    </row>
    <row r="184" spans="15:29">
      <c r="O184" s="22"/>
      <c r="AC184" s="22"/>
    </row>
    <row r="185" spans="15:29">
      <c r="O185" s="22"/>
      <c r="AC185" s="22"/>
    </row>
    <row r="186" spans="15:29">
      <c r="O186" s="22"/>
      <c r="AC186" s="22"/>
    </row>
    <row r="187" spans="15:29">
      <c r="O187" s="22"/>
      <c r="AC187" s="22"/>
    </row>
    <row r="188" spans="15:29">
      <c r="O188" s="22"/>
      <c r="AC188" s="22"/>
    </row>
    <row r="189" spans="15:29">
      <c r="O189" s="22"/>
      <c r="AC189" s="22"/>
    </row>
    <row r="190" spans="15:29">
      <c r="O190" s="22"/>
      <c r="AC190" s="22"/>
    </row>
    <row r="191" spans="15:29">
      <c r="O191" s="22"/>
      <c r="AC191" s="22"/>
    </row>
    <row r="192" spans="15:29">
      <c r="O192" s="22"/>
      <c r="AC192" s="22"/>
    </row>
    <row r="193" spans="15:29">
      <c r="O193" s="22"/>
      <c r="AC193" s="22"/>
    </row>
    <row r="194" spans="15:29">
      <c r="O194" s="22"/>
      <c r="AC194" s="22"/>
    </row>
    <row r="195" spans="15:29">
      <c r="O195" s="22"/>
      <c r="AC195" s="22"/>
    </row>
    <row r="196" spans="15:29">
      <c r="O196" s="22"/>
      <c r="AC196" s="22"/>
    </row>
    <row r="197" spans="15:29">
      <c r="O197" s="22"/>
      <c r="AC197" s="22"/>
    </row>
    <row r="198" spans="15:29">
      <c r="O198" s="22"/>
      <c r="AC198" s="22"/>
    </row>
    <row r="199" spans="15:29">
      <c r="O199" s="22"/>
      <c r="AC199" s="22"/>
    </row>
    <row r="200" spans="15:29">
      <c r="O200" s="22"/>
      <c r="AC200" s="22"/>
    </row>
    <row r="201" spans="15:29">
      <c r="O201" s="22"/>
      <c r="AC201" s="22"/>
    </row>
    <row r="202" spans="15:29">
      <c r="O202" s="22"/>
      <c r="AC202" s="22"/>
    </row>
    <row r="203" spans="15:29">
      <c r="O203" s="22"/>
      <c r="AC203" s="22"/>
    </row>
    <row r="204" spans="15:29">
      <c r="O204" s="22"/>
      <c r="AC204" s="22"/>
    </row>
    <row r="205" spans="15:29">
      <c r="O205" s="22"/>
      <c r="AC205" s="22"/>
    </row>
    <row r="206" spans="15:29">
      <c r="O206" s="22"/>
      <c r="AC206" s="22"/>
    </row>
    <row r="207" spans="15:29">
      <c r="O207" s="22"/>
      <c r="AC207" s="22"/>
    </row>
    <row r="208" spans="15:29">
      <c r="O208" s="22"/>
      <c r="AC208" s="22"/>
    </row>
    <row r="209" spans="15:29">
      <c r="O209" s="22"/>
      <c r="AC209" s="22"/>
    </row>
    <row r="210" spans="15:29">
      <c r="O210" s="22"/>
      <c r="AC210" s="22"/>
    </row>
    <row r="211" spans="15:29">
      <c r="O211" s="22"/>
      <c r="AC211" s="22"/>
    </row>
    <row r="212" spans="15:29">
      <c r="O212" s="22"/>
      <c r="AC212" s="22"/>
    </row>
    <row r="213" spans="15:29">
      <c r="O213" s="22"/>
      <c r="AC213" s="22"/>
    </row>
    <row r="214" spans="15:29">
      <c r="O214" s="22"/>
      <c r="AC214" s="22"/>
    </row>
    <row r="215" spans="15:29">
      <c r="O215" s="22"/>
      <c r="AC215" s="22"/>
    </row>
    <row r="216" spans="15:29">
      <c r="O216" s="22"/>
      <c r="AC216" s="22"/>
    </row>
    <row r="217" spans="15:29">
      <c r="O217" s="22"/>
      <c r="AC217" s="22"/>
    </row>
    <row r="218" spans="15:29">
      <c r="O218" s="22"/>
      <c r="AC218" s="22"/>
    </row>
    <row r="219" spans="15:29">
      <c r="O219" s="22"/>
      <c r="AC219" s="22"/>
    </row>
    <row r="220" spans="15:29">
      <c r="O220" s="22"/>
      <c r="AC220" s="22"/>
    </row>
    <row r="221" spans="15:29">
      <c r="O221" s="22"/>
      <c r="AC221" s="22"/>
    </row>
    <row r="222" spans="15:29">
      <c r="O222" s="22"/>
      <c r="AC222" s="22"/>
    </row>
    <row r="223" spans="15:29">
      <c r="O223" s="22"/>
      <c r="AC223" s="22"/>
    </row>
    <row r="224" spans="15:29">
      <c r="O224" s="22"/>
      <c r="AC224" s="22"/>
    </row>
    <row r="225" spans="15:29">
      <c r="O225" s="22"/>
      <c r="AC225" s="22"/>
    </row>
    <row r="226" spans="15:29">
      <c r="O226" s="22"/>
      <c r="AC226" s="22"/>
    </row>
    <row r="227" spans="15:29">
      <c r="O227" s="22"/>
      <c r="AC227" s="22"/>
    </row>
    <row r="228" spans="15:29">
      <c r="O228" s="22"/>
      <c r="AC228" s="22"/>
    </row>
    <row r="229" spans="15:29">
      <c r="O229" s="22"/>
      <c r="AC229" s="22"/>
    </row>
    <row r="230" spans="15:29">
      <c r="O230" s="22"/>
      <c r="AC230" s="22"/>
    </row>
    <row r="231" spans="15:29">
      <c r="O231" s="22"/>
      <c r="AC231" s="22"/>
    </row>
    <row r="232" spans="15:29">
      <c r="O232" s="22"/>
      <c r="AC232" s="22"/>
    </row>
    <row r="233" spans="15:29">
      <c r="O233" s="22"/>
      <c r="AC233" s="22"/>
    </row>
    <row r="234" spans="15:29">
      <c r="O234" s="22"/>
      <c r="AC234" s="22"/>
    </row>
    <row r="235" spans="15:29">
      <c r="O235" s="22"/>
      <c r="AC235" s="22"/>
    </row>
    <row r="236" spans="15:29">
      <c r="O236" s="22"/>
      <c r="AC236" s="22"/>
    </row>
    <row r="237" spans="15:29">
      <c r="O237" s="22"/>
      <c r="AC237" s="22"/>
    </row>
    <row r="238" spans="15:29">
      <c r="O238" s="22"/>
      <c r="AC238" s="22"/>
    </row>
    <row r="239" spans="15:29">
      <c r="O239" s="22"/>
      <c r="AC239" s="22"/>
    </row>
    <row r="240" spans="15:29">
      <c r="O240" s="22"/>
      <c r="AC240" s="22"/>
    </row>
    <row r="241" spans="15:29">
      <c r="O241" s="22"/>
      <c r="AC241" s="22"/>
    </row>
    <row r="242" spans="15:29">
      <c r="O242" s="22"/>
      <c r="AC242" s="22"/>
    </row>
    <row r="243" spans="15:29">
      <c r="O243" s="22"/>
      <c r="AC243" s="22"/>
    </row>
    <row r="244" spans="15:29">
      <c r="O244" s="22"/>
      <c r="AC244" s="22"/>
    </row>
    <row r="245" spans="15:29">
      <c r="O245" s="22"/>
      <c r="AC245" s="22"/>
    </row>
    <row r="246" spans="15:29">
      <c r="O246" s="22"/>
      <c r="AC246" s="22"/>
    </row>
    <row r="247" spans="15:29">
      <c r="O247" s="22"/>
      <c r="AC247" s="22"/>
    </row>
    <row r="248" spans="15:29">
      <c r="O248" s="22"/>
      <c r="AC248" s="22"/>
    </row>
    <row r="249" spans="15:29">
      <c r="O249" s="22"/>
      <c r="AC249" s="22"/>
    </row>
    <row r="250" spans="15:29">
      <c r="O250" s="22"/>
      <c r="AC250" s="22"/>
    </row>
    <row r="251" spans="15:29">
      <c r="O251" s="22"/>
      <c r="AC251" s="22"/>
    </row>
    <row r="252" spans="15:29">
      <c r="O252" s="22"/>
      <c r="AC252" s="22"/>
    </row>
    <row r="253" spans="15:29">
      <c r="O253" s="22"/>
      <c r="AC253" s="22"/>
    </row>
    <row r="254" spans="15:29">
      <c r="O254" s="22"/>
      <c r="AC254" s="22"/>
    </row>
    <row r="255" spans="15:29">
      <c r="O255" s="22"/>
      <c r="AC255" s="22"/>
    </row>
    <row r="256" spans="15:29">
      <c r="O256" s="22"/>
      <c r="AC256" s="22"/>
    </row>
    <row r="257" spans="15:29">
      <c r="O257" s="22"/>
      <c r="AC257" s="22"/>
    </row>
    <row r="258" spans="15:29">
      <c r="O258" s="22"/>
      <c r="AC258" s="22"/>
    </row>
    <row r="259" spans="15:29">
      <c r="O259" s="22"/>
      <c r="AC259" s="22"/>
    </row>
    <row r="260" spans="15:29">
      <c r="O260" s="22"/>
      <c r="AC260" s="22"/>
    </row>
    <row r="261" spans="15:29">
      <c r="O261" s="22"/>
      <c r="AC261" s="22"/>
    </row>
    <row r="262" spans="15:29">
      <c r="O262" s="22"/>
      <c r="AC262" s="22"/>
    </row>
    <row r="263" spans="15:29">
      <c r="O263" s="22"/>
      <c r="AC263" s="22"/>
    </row>
    <row r="264" spans="15:29">
      <c r="O264" s="22"/>
      <c r="AC264" s="22"/>
    </row>
    <row r="265" spans="15:29">
      <c r="O265" s="22"/>
      <c r="AC265" s="22"/>
    </row>
    <row r="266" spans="15:29">
      <c r="O266" s="22"/>
      <c r="AC266" s="22"/>
    </row>
    <row r="267" spans="15:29">
      <c r="O267" s="22"/>
      <c r="AC267" s="22"/>
    </row>
    <row r="268" spans="15:29">
      <c r="O268" s="22"/>
      <c r="AC268" s="22"/>
    </row>
    <row r="269" spans="15:29">
      <c r="O269" s="22"/>
      <c r="AC269" s="22"/>
    </row>
    <row r="270" spans="15:29">
      <c r="O270" s="22"/>
      <c r="AC270" s="22"/>
    </row>
    <row r="271" spans="15:29">
      <c r="O271" s="22"/>
      <c r="AC271" s="22"/>
    </row>
    <row r="272" spans="15:29">
      <c r="O272" s="22"/>
      <c r="AC272" s="22"/>
    </row>
    <row r="273" spans="15:29">
      <c r="O273" s="22"/>
      <c r="AC273" s="22"/>
    </row>
    <row r="274" spans="15:29">
      <c r="O274" s="22"/>
      <c r="AC274" s="22"/>
    </row>
    <row r="275" spans="15:29">
      <c r="O275" s="22"/>
      <c r="AC275" s="22"/>
    </row>
    <row r="276" spans="15:29">
      <c r="O276" s="22"/>
      <c r="AC276" s="22"/>
    </row>
    <row r="277" spans="15:29">
      <c r="O277" s="22"/>
      <c r="AC277" s="22"/>
    </row>
    <row r="278" spans="15:29">
      <c r="O278" s="22"/>
      <c r="AC278" s="22"/>
    </row>
    <row r="279" spans="15:29">
      <c r="O279" s="22"/>
      <c r="AC279" s="22"/>
    </row>
    <row r="280" spans="15:29">
      <c r="O280" s="22"/>
      <c r="AC280" s="22"/>
    </row>
    <row r="281" spans="15:29">
      <c r="O281" s="22"/>
      <c r="AC281" s="22"/>
    </row>
    <row r="282" spans="15:29">
      <c r="O282" s="22"/>
      <c r="AC282" s="22"/>
    </row>
    <row r="283" spans="15:29">
      <c r="O283" s="22"/>
      <c r="AC283" s="22"/>
    </row>
    <row r="284" spans="15:29">
      <c r="O284" s="22"/>
      <c r="AC284" s="22"/>
    </row>
    <row r="285" spans="15:29">
      <c r="O285" s="22"/>
      <c r="AC285" s="22"/>
    </row>
    <row r="286" spans="15:29">
      <c r="O286" s="22"/>
      <c r="AC286" s="22"/>
    </row>
    <row r="287" spans="15:29">
      <c r="O287" s="22"/>
      <c r="AC287" s="22"/>
    </row>
    <row r="288" spans="15:29">
      <c r="O288" s="22"/>
      <c r="AC288" s="22"/>
    </row>
    <row r="289" spans="15:29">
      <c r="O289" s="22"/>
      <c r="AC289" s="22"/>
    </row>
    <row r="290" spans="15:29">
      <c r="O290" s="22"/>
      <c r="AC290" s="22"/>
    </row>
    <row r="291" spans="15:29">
      <c r="O291" s="22"/>
      <c r="AC291" s="22"/>
    </row>
    <row r="292" spans="15:29">
      <c r="O292" s="22"/>
      <c r="AC292" s="22"/>
    </row>
    <row r="293" spans="15:29">
      <c r="O293" s="22"/>
      <c r="AC293" s="22"/>
    </row>
    <row r="294" spans="15:29">
      <c r="O294" s="22"/>
      <c r="AC294" s="22"/>
    </row>
    <row r="295" spans="15:29">
      <c r="O295" s="22"/>
      <c r="AC295" s="22"/>
    </row>
    <row r="296" spans="15:29">
      <c r="O296" s="22"/>
      <c r="AC296" s="22"/>
    </row>
    <row r="297" spans="15:29">
      <c r="O297" s="22"/>
      <c r="AC297" s="22"/>
    </row>
    <row r="298" spans="15:29">
      <c r="O298" s="22"/>
      <c r="AC298" s="22"/>
    </row>
    <row r="299" spans="15:29">
      <c r="O299" s="22"/>
      <c r="AC299" s="22"/>
    </row>
    <row r="300" spans="15:29">
      <c r="O300" s="22"/>
      <c r="AC300" s="22"/>
    </row>
    <row r="301" spans="15:29">
      <c r="O301" s="22"/>
      <c r="AC301" s="22"/>
    </row>
    <row r="302" spans="15:29">
      <c r="O302" s="22"/>
      <c r="AC302" s="22"/>
    </row>
    <row r="303" spans="15:29">
      <c r="O303" s="22"/>
      <c r="AC303" s="22"/>
    </row>
    <row r="304" spans="15:29">
      <c r="O304" s="22"/>
      <c r="AC304" s="22"/>
    </row>
    <row r="305" spans="15:29">
      <c r="O305" s="22"/>
      <c r="AC305" s="22"/>
    </row>
    <row r="306" spans="15:29">
      <c r="O306" s="22"/>
      <c r="AC306" s="22"/>
    </row>
    <row r="307" spans="15:29">
      <c r="O307" s="22"/>
      <c r="AC307" s="22"/>
    </row>
    <row r="308" spans="15:29">
      <c r="O308" s="22"/>
      <c r="AC308" s="22"/>
    </row>
    <row r="309" spans="15:29">
      <c r="O309" s="22"/>
      <c r="AC309" s="22"/>
    </row>
    <row r="310" spans="15:29">
      <c r="O310" s="22"/>
      <c r="AC310" s="22"/>
    </row>
    <row r="311" spans="15:29">
      <c r="O311" s="22"/>
      <c r="AC311" s="22"/>
    </row>
    <row r="312" spans="15:29">
      <c r="O312" s="22"/>
      <c r="AC312" s="22"/>
    </row>
    <row r="313" spans="15:29">
      <c r="O313" s="22"/>
      <c r="AC313" s="22"/>
    </row>
    <row r="314" spans="15:29">
      <c r="O314" s="22"/>
      <c r="AC314" s="22"/>
    </row>
    <row r="315" spans="15:29">
      <c r="O315" s="22"/>
      <c r="AC315" s="22"/>
    </row>
    <row r="316" spans="15:29">
      <c r="O316" s="22"/>
      <c r="AC316" s="22"/>
    </row>
    <row r="317" spans="15:29">
      <c r="O317" s="22"/>
      <c r="AC317" s="22"/>
    </row>
    <row r="318" spans="15:29">
      <c r="O318" s="22"/>
      <c r="AC318" s="22"/>
    </row>
    <row r="319" spans="15:29">
      <c r="O319" s="22"/>
      <c r="AC319" s="22"/>
    </row>
    <row r="320" spans="15:29">
      <c r="O320" s="22"/>
      <c r="AC320" s="22"/>
    </row>
    <row r="321" spans="15:29">
      <c r="O321" s="22"/>
      <c r="AC321" s="22"/>
    </row>
    <row r="322" spans="15:29">
      <c r="O322" s="22"/>
      <c r="AC322" s="22"/>
    </row>
    <row r="323" spans="15:29">
      <c r="O323" s="22"/>
      <c r="AC323" s="22"/>
    </row>
    <row r="324" spans="15:29">
      <c r="O324" s="22"/>
      <c r="AC324" s="22"/>
    </row>
    <row r="325" spans="15:29">
      <c r="O325" s="22"/>
      <c r="AC325" s="22"/>
    </row>
    <row r="326" spans="15:29">
      <c r="O326" s="22"/>
      <c r="AC326" s="22"/>
    </row>
    <row r="327" spans="15:29">
      <c r="O327" s="22"/>
      <c r="AC327" s="22"/>
    </row>
    <row r="328" spans="15:29">
      <c r="O328" s="22"/>
      <c r="AC328" s="22"/>
    </row>
    <row r="329" spans="15:29">
      <c r="O329" s="22"/>
      <c r="AC329" s="22"/>
    </row>
    <row r="330" spans="15:29">
      <c r="O330" s="22"/>
      <c r="AC330" s="22"/>
    </row>
    <row r="331" spans="15:29">
      <c r="O331" s="22"/>
      <c r="AC331" s="22"/>
    </row>
    <row r="332" spans="15:29">
      <c r="O332" s="22"/>
      <c r="AC332" s="22"/>
    </row>
    <row r="333" spans="15:29">
      <c r="O333" s="22"/>
      <c r="AC333" s="22"/>
    </row>
    <row r="334" spans="15:29">
      <c r="O334" s="22"/>
      <c r="AC334" s="22"/>
    </row>
    <row r="335" spans="15:29">
      <c r="O335" s="22"/>
      <c r="AC335" s="22"/>
    </row>
    <row r="336" spans="15:29">
      <c r="O336" s="22"/>
      <c r="AC336" s="22"/>
    </row>
    <row r="337" spans="15:29">
      <c r="O337" s="22"/>
      <c r="AC337" s="22"/>
    </row>
    <row r="338" spans="15:29">
      <c r="O338" s="22"/>
      <c r="AC338" s="22"/>
    </row>
    <row r="339" spans="15:29">
      <c r="O339" s="22"/>
      <c r="AC339" s="22"/>
    </row>
    <row r="340" spans="15:29">
      <c r="O340" s="22"/>
      <c r="AC340" s="22"/>
    </row>
    <row r="341" spans="15:29">
      <c r="O341" s="22"/>
      <c r="AC341" s="22"/>
    </row>
    <row r="342" spans="15:29">
      <c r="O342" s="22"/>
      <c r="AC342" s="22"/>
    </row>
    <row r="343" spans="15:29">
      <c r="O343" s="22"/>
      <c r="AC343" s="22"/>
    </row>
    <row r="344" spans="15:29">
      <c r="O344" s="22"/>
      <c r="AC344" s="22"/>
    </row>
    <row r="345" spans="15:29">
      <c r="O345" s="22"/>
      <c r="AC345" s="22"/>
    </row>
    <row r="346" spans="15:29">
      <c r="O346" s="22"/>
      <c r="AC346" s="22"/>
    </row>
    <row r="347" spans="15:29">
      <c r="O347" s="22"/>
      <c r="AC347" s="22"/>
    </row>
    <row r="348" spans="15:29">
      <c r="O348" s="22"/>
      <c r="AC348" s="22"/>
    </row>
    <row r="349" spans="15:29">
      <c r="O349" s="22"/>
      <c r="AC349" s="22"/>
    </row>
    <row r="350" spans="15:29">
      <c r="O350" s="22"/>
      <c r="AC350" s="22"/>
    </row>
    <row r="351" spans="15:29">
      <c r="O351" s="22"/>
      <c r="AC351" s="22"/>
    </row>
    <row r="352" spans="15:29">
      <c r="O352" s="22"/>
      <c r="AC352" s="22"/>
    </row>
    <row r="353" spans="15:29">
      <c r="O353" s="22"/>
      <c r="AC353" s="22"/>
    </row>
    <row r="354" spans="15:29">
      <c r="O354" s="22"/>
      <c r="AC354" s="22"/>
    </row>
    <row r="355" spans="15:29">
      <c r="O355" s="22"/>
      <c r="AC355" s="22"/>
    </row>
    <row r="356" spans="15:29">
      <c r="O356" s="22"/>
      <c r="AC356" s="22"/>
    </row>
    <row r="357" spans="15:29">
      <c r="O357" s="22"/>
      <c r="AC357" s="22"/>
    </row>
    <row r="358" spans="15:29">
      <c r="O358" s="22"/>
      <c r="AC358" s="22"/>
    </row>
    <row r="359" spans="15:29">
      <c r="O359" s="22"/>
      <c r="AC359" s="22"/>
    </row>
    <row r="360" spans="15:29">
      <c r="O360" s="22"/>
      <c r="AC360" s="22"/>
    </row>
    <row r="361" spans="15:29">
      <c r="O361" s="22"/>
      <c r="AC361" s="22"/>
    </row>
    <row r="362" spans="15:29">
      <c r="O362" s="22"/>
      <c r="AC362" s="22"/>
    </row>
    <row r="363" spans="15:29">
      <c r="O363" s="22"/>
      <c r="AC363" s="22"/>
    </row>
    <row r="364" spans="15:29">
      <c r="O364" s="22"/>
      <c r="AC364" s="22"/>
    </row>
    <row r="365" spans="15:29">
      <c r="O365" s="22"/>
      <c r="AC365" s="22"/>
    </row>
    <row r="366" spans="15:29">
      <c r="O366" s="22"/>
      <c r="AC366" s="22"/>
    </row>
    <row r="367" spans="15:29">
      <c r="O367" s="22"/>
      <c r="AC367" s="22"/>
    </row>
    <row r="368" spans="15:29">
      <c r="O368" s="22"/>
      <c r="AC368" s="22"/>
    </row>
    <row r="369" spans="15:29">
      <c r="O369" s="22"/>
      <c r="AC369" s="22"/>
    </row>
    <row r="370" spans="15:29">
      <c r="O370" s="22"/>
      <c r="AC370" s="22"/>
    </row>
    <row r="371" spans="15:29">
      <c r="O371" s="22"/>
      <c r="AC371" s="22"/>
    </row>
    <row r="372" spans="15:29">
      <c r="O372" s="22"/>
      <c r="AC372" s="22"/>
    </row>
    <row r="373" spans="15:29">
      <c r="O373" s="22"/>
      <c r="AC373" s="22"/>
    </row>
    <row r="374" spans="15:29">
      <c r="O374" s="22"/>
      <c r="AC374" s="22"/>
    </row>
    <row r="375" spans="15:29">
      <c r="O375" s="22"/>
      <c r="AC375" s="22"/>
    </row>
    <row r="376" spans="15:29">
      <c r="O376" s="22"/>
      <c r="AC376" s="22"/>
    </row>
    <row r="377" spans="15:29">
      <c r="O377" s="22"/>
      <c r="AC377" s="22"/>
    </row>
    <row r="378" spans="15:29">
      <c r="O378" s="22"/>
      <c r="AC378" s="22"/>
    </row>
    <row r="379" spans="15:29">
      <c r="O379" s="22"/>
      <c r="AC379" s="22"/>
    </row>
    <row r="380" spans="15:29">
      <c r="O380" s="22"/>
      <c r="AC380" s="22"/>
    </row>
    <row r="381" spans="15:29">
      <c r="O381" s="22"/>
      <c r="AC381" s="22"/>
    </row>
    <row r="382" spans="15:29">
      <c r="O382" s="22"/>
      <c r="AC382" s="22"/>
    </row>
    <row r="383" spans="15:29">
      <c r="O383" s="22"/>
      <c r="AC383" s="22"/>
    </row>
    <row r="384" spans="15:29">
      <c r="O384" s="22"/>
      <c r="AC384" s="22"/>
    </row>
    <row r="385" spans="15:29">
      <c r="O385" s="22"/>
      <c r="AC385" s="22"/>
    </row>
    <row r="386" spans="15:29">
      <c r="O386" s="22"/>
      <c r="AC386" s="22"/>
    </row>
    <row r="387" spans="15:29">
      <c r="O387" s="22"/>
      <c r="AC387" s="22"/>
    </row>
    <row r="388" spans="15:29">
      <c r="AC388" s="22"/>
    </row>
    <row r="389" spans="15:29">
      <c r="AC389" s="22"/>
    </row>
    <row r="390" spans="15:29">
      <c r="AC390" s="22"/>
    </row>
    <row r="391" spans="15:29">
      <c r="AC391" s="22"/>
    </row>
    <row r="392" spans="15:29">
      <c r="AC392" s="22"/>
    </row>
    <row r="393" spans="15:29">
      <c r="AC393" s="22"/>
    </row>
    <row r="394" spans="15:29">
      <c r="AC394" s="22"/>
    </row>
    <row r="395" spans="15:29">
      <c r="AC395" s="22"/>
    </row>
    <row r="396" spans="15:29">
      <c r="AC396" s="22"/>
    </row>
    <row r="397" spans="15:29">
      <c r="AC397" s="22"/>
    </row>
    <row r="398" spans="15:29">
      <c r="AC398" s="22"/>
    </row>
    <row r="399" spans="15:29">
      <c r="AC399" s="22"/>
    </row>
  </sheetData>
  <mergeCells count="13">
    <mergeCell ref="S51:U51"/>
    <mergeCell ref="V51:AE51"/>
    <mergeCell ref="S52:U52"/>
    <mergeCell ref="V52:AE52"/>
    <mergeCell ref="S53:U53"/>
    <mergeCell ref="V53:AE53"/>
    <mergeCell ref="S50:U50"/>
    <mergeCell ref="V50:AE50"/>
    <mergeCell ref="AE5:AI5"/>
    <mergeCell ref="S48:U48"/>
    <mergeCell ref="V48:AE48"/>
    <mergeCell ref="S49:U49"/>
    <mergeCell ref="V49:AE49"/>
  </mergeCells>
  <conditionalFormatting sqref="AE7:AI28">
    <cfRule type="expression" dxfId="0" priority="1">
      <formula>$AG7="IN"</formula>
    </cfRule>
  </conditionalFormatting>
  <pageMargins left="0.25" right="0.25" top="0.75" bottom="0.75" header="0.3" footer="0.3"/>
  <pageSetup paperSize="9" scale="62" fitToHeight="0" orientation="portrait" r:id="rId1"/>
  <headerFooter>
    <oddHeader>&amp;L&amp;"Calibri"&amp;9&amp;K000000Classification: Internal&amp;1#</oddHeader>
  </headerFooter>
  <rowBreaks count="1" manualBreakCount="1">
    <brk id="57" max="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5</vt:i4>
      </vt:variant>
    </vt:vector>
  </HeadingPairs>
  <TitlesOfParts>
    <vt:vector size="11" baseType="lpstr">
      <vt:lpstr>7" 26# Deck Tally</vt:lpstr>
      <vt:lpstr>NFQ 22-3 Run Tally (2)</vt:lpstr>
      <vt:lpstr>NFQ 22-3 Run Tally</vt:lpstr>
      <vt:lpstr>NFQ 22-3 Final Tally</vt:lpstr>
      <vt:lpstr>SPACE OUT Calculation</vt:lpstr>
      <vt:lpstr>SPACE OUT (BLANK)</vt:lpstr>
      <vt:lpstr>tubing1</vt:lpstr>
      <vt:lpstr>'NFQ 22-3 Final Tally'!Область_печати</vt:lpstr>
      <vt:lpstr>'NFQ 22-3 Run Tally'!Область_печати</vt:lpstr>
      <vt:lpstr>'NFQ 22-3 Run Tally (2)'!Область_печати</vt:lpstr>
      <vt:lpstr>'SPACE OUT (BLANK)'!Область_печати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DTF (Rig - Hak 8) - Ras Laffan</dc:creator>
  <cp:keywords/>
  <dc:description/>
  <cp:lastModifiedBy>Maxim Kiselev</cp:lastModifiedBy>
  <dcterms:created xsi:type="dcterms:W3CDTF">1998-08-22T05:18:06Z</dcterms:created>
  <dcterms:modified xsi:type="dcterms:W3CDTF">2026-01-25T16:46:58Z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0x0101001DC37D672F71B944937A65FB742CFDBF</vt:lpwstr>
  </property>
  <property fmtid="{D5CDD505-2E9C-101B-9397-08002B2CF9AE}" pid="3" name="MSIP_Label_668fbde5-0dd0-43d5-aca2-2bbc289e3948_Enabled">
    <vt:lpwstr>true</vt:lpwstr>
  </property>
  <property fmtid="{D5CDD505-2E9C-101B-9397-08002B2CF9AE}" pid="4" name="MSIP_Label_668fbde5-0dd0-43d5-aca2-2bbc289e3948_SetDate">
    <vt:lpwstr>2025-04-25T07:37:33Z</vt:lpwstr>
  </property>
  <property fmtid="{D5CDD505-2E9C-101B-9397-08002B2CF9AE}" pid="5" name="MSIP_Label_668fbde5-0dd0-43d5-aca2-2bbc289e3948_Method">
    <vt:lpwstr>Privileged</vt:lpwstr>
  </property>
  <property fmtid="{D5CDD505-2E9C-101B-9397-08002B2CF9AE}" pid="6" name="MSIP_Label_668fbde5-0dd0-43d5-aca2-2bbc289e3948_Name">
    <vt:lpwstr>668fbde5-0dd0-43d5-aca2-2bbc289e3948</vt:lpwstr>
  </property>
  <property fmtid="{D5CDD505-2E9C-101B-9397-08002B2CF9AE}" pid="7" name="MSIP_Label_668fbde5-0dd0-43d5-aca2-2bbc289e3948_SiteId">
    <vt:lpwstr>de2c0330-f2e8-4149-a927-0c5a8592f0da</vt:lpwstr>
  </property>
  <property fmtid="{D5CDD505-2E9C-101B-9397-08002B2CF9AE}" pid="8" name="MSIP_Label_668fbde5-0dd0-43d5-aca2-2bbc289e3948_ActionId">
    <vt:lpwstr>ed3e3c60-a61c-47af-9c0e-955b29d9cce6</vt:lpwstr>
  </property>
  <property fmtid="{D5CDD505-2E9C-101B-9397-08002B2CF9AE}" pid="9" name="MSIP_Label_668fbde5-0dd0-43d5-aca2-2bbc289e3948_ContentBits">
    <vt:lpwstr>1</vt:lpwstr>
  </property>
</Properties>
</file>