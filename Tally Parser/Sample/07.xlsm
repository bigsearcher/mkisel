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/>
  <workbookPr date1904="1"/>
  <mc:AlternateContent xmlns:mc="http://schemas.openxmlformats.org/markup-compatibility/2006">
    <mc:Choice Requires="x15">
      <x15ac:absPath xmlns:x15ac="http://schemas.microsoft.com/office/spreadsheetml/2010/11/ac" url="C:\Users\OperationPC25\Desktop\OP-00486 - NFQ17-7 - Laffan\Well Information\"/>
    </mc:Choice>
  </mc:AlternateContent>
  <xr:revisionPtr revIDLastSave="0" documentId="13_ncr:1_{CD92CECB-2AB6-4B46-9EDB-EFF8530A92D2}" xr6:coauthVersionLast="47" xr6:coauthVersionMax="47" xr10:uidLastSave="{00000000-0000-0000-0000-000000000000}"/>
  <bookViews>
    <workbookView xWindow="-120" yWindow="-120" windowWidth="38640" windowHeight="15720" tabRatio="774" firstSheet="1" activeTab="1" xr2:uid="{00000000-000D-0000-FFFF-FFFF00000000}"/>
  </bookViews>
  <sheets>
    <sheet name="xxxxxx" sheetId="1" state="veryHidden" r:id="rId1"/>
    <sheet name="PRO TBG FINAL - TALLY" sheetId="13" r:id="rId2"/>
    <sheet name="PRO TBG AS RUN - TALLY" sheetId="14" r:id="rId3"/>
    <sheet name="SPACE OUT Calculation" sheetId="9" r:id="rId4"/>
    <sheet name="7&quot; 26# Deck Tally" sheetId="8" r:id="rId5"/>
    <sheet name="QG - TALLY (DRAFT As-Run)" sheetId="11" state="hidden" r:id="rId6"/>
  </sheets>
  <definedNames>
    <definedName name="EKIKO2" localSheetId="2">'PRO TBG AS RUN - TALLY'!$F$3</definedName>
    <definedName name="EKIKO2" localSheetId="1">'PRO TBG FINAL - TALLY'!$F$3</definedName>
    <definedName name="EKIKO2" localSheetId="5">'QG - TALLY (DRAFT As-Run)'!$E$3</definedName>
    <definedName name="EKIKO2" localSheetId="3">#REF!</definedName>
    <definedName name="EKIKO2">#REF!</definedName>
    <definedName name="_xlnm.Print_Area" localSheetId="2">'PRO TBG AS RUN - TALLY'!$A$1:$M$466</definedName>
    <definedName name="_xlnm.Print_Area" localSheetId="1">'PRO TBG FINAL - TALLY'!$A$1:$M$467</definedName>
    <definedName name="_xlnm.Print_Area" localSheetId="5">'QG - TALLY (DRAFT As-Run)'!$A$1:$L$369</definedName>
    <definedName name="_xlnm.Print_Area" localSheetId="3">'SPACE OUT Calculation'!$A$1:$AK$56</definedName>
    <definedName name="_xlnm.Print_Titles" localSheetId="2">'PRO TBG AS RUN - TALLY'!$10:$11</definedName>
    <definedName name="_xlnm.Print_Titles" localSheetId="1">'PRO TBG FINAL - TALLY'!$10:$11</definedName>
    <definedName name="_xlnm.Print_Titles" localSheetId="5">'QG - TALLY (DRAFT As-Run)'!$10:$11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65" i="14" l="1"/>
  <c r="G464" i="14"/>
  <c r="F461" i="14"/>
  <c r="E461" i="14"/>
  <c r="F460" i="14"/>
  <c r="F459" i="14"/>
  <c r="F458" i="14"/>
  <c r="F457" i="14"/>
  <c r="F456" i="14"/>
  <c r="F455" i="14"/>
  <c r="F454" i="14"/>
  <c r="F453" i="14"/>
  <c r="F452" i="14"/>
  <c r="F451" i="14"/>
  <c r="F450" i="14"/>
  <c r="F449" i="14"/>
  <c r="F448" i="14"/>
  <c r="F447" i="14"/>
  <c r="F446" i="14"/>
  <c r="F445" i="14"/>
  <c r="F444" i="14"/>
  <c r="F443" i="14"/>
  <c r="S443" i="14" s="1"/>
  <c r="F442" i="14"/>
  <c r="F441" i="14"/>
  <c r="S441" i="14" s="1"/>
  <c r="F440" i="14"/>
  <c r="S440" i="14" s="1"/>
  <c r="F439" i="14"/>
  <c r="S439" i="14" s="1"/>
  <c r="M438" i="14"/>
  <c r="F438" i="14"/>
  <c r="S438" i="14" s="1"/>
  <c r="S437" i="14"/>
  <c r="F437" i="14"/>
  <c r="S436" i="14"/>
  <c r="F436" i="14"/>
  <c r="F435" i="14"/>
  <c r="F434" i="14"/>
  <c r="S434" i="14" s="1"/>
  <c r="S433" i="14"/>
  <c r="F433" i="14"/>
  <c r="F432" i="14"/>
  <c r="F431" i="14"/>
  <c r="S431" i="14" s="1"/>
  <c r="S430" i="14"/>
  <c r="F430" i="14"/>
  <c r="S429" i="14"/>
  <c r="F429" i="14"/>
  <c r="F428" i="14"/>
  <c r="F427" i="14"/>
  <c r="S427" i="14" s="1"/>
  <c r="S426" i="14"/>
  <c r="F426" i="14"/>
  <c r="F425" i="14"/>
  <c r="S425" i="14" s="1"/>
  <c r="F424" i="14"/>
  <c r="F423" i="14"/>
  <c r="S423" i="14" s="1"/>
  <c r="S422" i="14"/>
  <c r="F422" i="14"/>
  <c r="S421" i="14"/>
  <c r="F421" i="14"/>
  <c r="F420" i="14"/>
  <c r="F419" i="14"/>
  <c r="S419" i="14" s="1"/>
  <c r="F418" i="14"/>
  <c r="S418" i="14" s="1"/>
  <c r="F417" i="14"/>
  <c r="S417" i="14" s="1"/>
  <c r="F416" i="14"/>
  <c r="F415" i="14"/>
  <c r="S415" i="14" s="1"/>
  <c r="S414" i="14"/>
  <c r="F414" i="14"/>
  <c r="S413" i="14"/>
  <c r="F413" i="14"/>
  <c r="F412" i="14"/>
  <c r="F411" i="14"/>
  <c r="S411" i="14" s="1"/>
  <c r="F410" i="14"/>
  <c r="S410" i="14" s="1"/>
  <c r="F409" i="14"/>
  <c r="S409" i="14" s="1"/>
  <c r="S408" i="14"/>
  <c r="F408" i="14"/>
  <c r="S407" i="14"/>
  <c r="F407" i="14"/>
  <c r="F406" i="14"/>
  <c r="F405" i="14"/>
  <c r="S405" i="14" s="1"/>
  <c r="F404" i="14"/>
  <c r="S404" i="14" s="1"/>
  <c r="S403" i="14"/>
  <c r="G403" i="14"/>
  <c r="S402" i="14"/>
  <c r="G402" i="14"/>
  <c r="S401" i="14"/>
  <c r="G401" i="14"/>
  <c r="S400" i="14"/>
  <c r="G400" i="14"/>
  <c r="S399" i="14"/>
  <c r="S398" i="14"/>
  <c r="F398" i="14"/>
  <c r="F397" i="14"/>
  <c r="S397" i="14" s="1"/>
  <c r="F396" i="14"/>
  <c r="F395" i="14"/>
  <c r="F394" i="14"/>
  <c r="S394" i="14" s="1"/>
  <c r="S393" i="14"/>
  <c r="F393" i="14"/>
  <c r="F392" i="14"/>
  <c r="F391" i="14"/>
  <c r="S391" i="14" s="1"/>
  <c r="S390" i="14"/>
  <c r="F390" i="14"/>
  <c r="F389" i="14"/>
  <c r="S389" i="14" s="1"/>
  <c r="F388" i="14"/>
  <c r="F387" i="14"/>
  <c r="F386" i="14"/>
  <c r="S386" i="14" s="1"/>
  <c r="S385" i="14"/>
  <c r="F385" i="14"/>
  <c r="F384" i="14"/>
  <c r="F383" i="14"/>
  <c r="S383" i="14" s="1"/>
  <c r="S382" i="14"/>
  <c r="F382" i="14"/>
  <c r="F381" i="14"/>
  <c r="S381" i="14" s="1"/>
  <c r="F380" i="14"/>
  <c r="F379" i="14"/>
  <c r="F378" i="14"/>
  <c r="S378" i="14" s="1"/>
  <c r="S377" i="14"/>
  <c r="F377" i="14"/>
  <c r="F376" i="14"/>
  <c r="F375" i="14"/>
  <c r="S375" i="14" s="1"/>
  <c r="S374" i="14"/>
  <c r="F374" i="14"/>
  <c r="F373" i="14"/>
  <c r="S373" i="14" s="1"/>
  <c r="F372" i="14"/>
  <c r="F371" i="14"/>
  <c r="F370" i="14"/>
  <c r="S370" i="14" s="1"/>
  <c r="F369" i="14"/>
  <c r="S368" i="14"/>
  <c r="F368" i="14"/>
  <c r="S367" i="14"/>
  <c r="F367" i="14"/>
  <c r="F366" i="14"/>
  <c r="F365" i="14"/>
  <c r="S365" i="14" s="1"/>
  <c r="S364" i="14"/>
  <c r="F364" i="14"/>
  <c r="F363" i="14"/>
  <c r="S363" i="14" s="1"/>
  <c r="F362" i="14"/>
  <c r="F361" i="14"/>
  <c r="S361" i="14" s="1"/>
  <c r="S360" i="14"/>
  <c r="F360" i="14"/>
  <c r="S359" i="14"/>
  <c r="F359" i="14"/>
  <c r="F358" i="14"/>
  <c r="F357" i="14"/>
  <c r="S357" i="14" s="1"/>
  <c r="S356" i="14"/>
  <c r="F356" i="14"/>
  <c r="F355" i="14"/>
  <c r="S355" i="14" s="1"/>
  <c r="F354" i="14"/>
  <c r="F353" i="14"/>
  <c r="S353" i="14" s="1"/>
  <c r="S352" i="14"/>
  <c r="F352" i="14"/>
  <c r="S351" i="14"/>
  <c r="F351" i="14"/>
  <c r="F350" i="14"/>
  <c r="F349" i="14"/>
  <c r="S349" i="14" s="1"/>
  <c r="F348" i="14"/>
  <c r="S348" i="14" s="1"/>
  <c r="F347" i="14"/>
  <c r="S347" i="14" s="1"/>
  <c r="F346" i="14"/>
  <c r="S346" i="14" s="1"/>
  <c r="F345" i="14"/>
  <c r="S345" i="14" s="1"/>
  <c r="F344" i="14"/>
  <c r="F343" i="14"/>
  <c r="S343" i="14" s="1"/>
  <c r="F342" i="14"/>
  <c r="S342" i="14" s="1"/>
  <c r="S341" i="14"/>
  <c r="F341" i="14"/>
  <c r="F340" i="14"/>
  <c r="E340" i="14"/>
  <c r="Q340" i="14" s="1"/>
  <c r="F339" i="14"/>
  <c r="S339" i="14" s="1"/>
  <c r="F338" i="14"/>
  <c r="S338" i="14" s="1"/>
  <c r="F337" i="14"/>
  <c r="S337" i="14" s="1"/>
  <c r="F336" i="14"/>
  <c r="F335" i="14"/>
  <c r="S335" i="14" s="1"/>
  <c r="F334" i="14"/>
  <c r="S334" i="14" s="1"/>
  <c r="S333" i="14"/>
  <c r="F333" i="14"/>
  <c r="F332" i="14"/>
  <c r="F331" i="14"/>
  <c r="S331" i="14" s="1"/>
  <c r="F330" i="14"/>
  <c r="S330" i="14" s="1"/>
  <c r="F329" i="14"/>
  <c r="S329" i="14" s="1"/>
  <c r="F328" i="14"/>
  <c r="F327" i="14"/>
  <c r="S327" i="14" s="1"/>
  <c r="F326" i="14"/>
  <c r="S326" i="14" s="1"/>
  <c r="S325" i="14"/>
  <c r="F325" i="14"/>
  <c r="F324" i="14"/>
  <c r="F323" i="14"/>
  <c r="S323" i="14" s="1"/>
  <c r="F322" i="14"/>
  <c r="S322" i="14" s="1"/>
  <c r="F321" i="14"/>
  <c r="S321" i="14" s="1"/>
  <c r="F320" i="14"/>
  <c r="F319" i="14"/>
  <c r="S319" i="14" s="1"/>
  <c r="F318" i="14"/>
  <c r="S318" i="14" s="1"/>
  <c r="S317" i="14"/>
  <c r="F317" i="14"/>
  <c r="F316" i="14"/>
  <c r="F315" i="14"/>
  <c r="S315" i="14" s="1"/>
  <c r="F314" i="14"/>
  <c r="S314" i="14" s="1"/>
  <c r="F313" i="14"/>
  <c r="S313" i="14" s="1"/>
  <c r="F312" i="14"/>
  <c r="F311" i="14"/>
  <c r="S311" i="14" s="1"/>
  <c r="F310" i="14"/>
  <c r="S310" i="14" s="1"/>
  <c r="S309" i="14"/>
  <c r="F309" i="14"/>
  <c r="F308" i="14"/>
  <c r="F307" i="14"/>
  <c r="S307" i="14" s="1"/>
  <c r="F306" i="14"/>
  <c r="S306" i="14" s="1"/>
  <c r="F305" i="14"/>
  <c r="S305" i="14" s="1"/>
  <c r="F304" i="14"/>
  <c r="F303" i="14"/>
  <c r="S303" i="14" s="1"/>
  <c r="F302" i="14"/>
  <c r="S302" i="14" s="1"/>
  <c r="S301" i="14"/>
  <c r="F301" i="14"/>
  <c r="F300" i="14"/>
  <c r="F299" i="14"/>
  <c r="S299" i="14" s="1"/>
  <c r="F298" i="14"/>
  <c r="S298" i="14" s="1"/>
  <c r="F297" i="14"/>
  <c r="S297" i="14" s="1"/>
  <c r="F296" i="14"/>
  <c r="F295" i="14"/>
  <c r="S295" i="14" s="1"/>
  <c r="F294" i="14"/>
  <c r="S294" i="14" s="1"/>
  <c r="S293" i="14"/>
  <c r="F293" i="14"/>
  <c r="F292" i="14"/>
  <c r="F291" i="14"/>
  <c r="S291" i="14" s="1"/>
  <c r="F290" i="14"/>
  <c r="S290" i="14" s="1"/>
  <c r="F289" i="14"/>
  <c r="S289" i="14" s="1"/>
  <c r="F288" i="14"/>
  <c r="F287" i="14"/>
  <c r="S287" i="14" s="1"/>
  <c r="S286" i="14"/>
  <c r="F286" i="14"/>
  <c r="F285" i="14"/>
  <c r="S285" i="14" s="1"/>
  <c r="F284" i="14"/>
  <c r="F283" i="14"/>
  <c r="S283" i="14" s="1"/>
  <c r="F282" i="14"/>
  <c r="S282" i="14" s="1"/>
  <c r="S281" i="14"/>
  <c r="F281" i="14"/>
  <c r="F280" i="14"/>
  <c r="F279" i="14"/>
  <c r="S279" i="14" s="1"/>
  <c r="S278" i="14"/>
  <c r="F278" i="14"/>
  <c r="F277" i="14"/>
  <c r="S277" i="14" s="1"/>
  <c r="F276" i="14"/>
  <c r="F275" i="14"/>
  <c r="S275" i="14" s="1"/>
  <c r="F274" i="14"/>
  <c r="S274" i="14" s="1"/>
  <c r="S273" i="14"/>
  <c r="F273" i="14"/>
  <c r="F272" i="14"/>
  <c r="F271" i="14"/>
  <c r="S271" i="14" s="1"/>
  <c r="S270" i="14"/>
  <c r="F270" i="14"/>
  <c r="F269" i="14"/>
  <c r="S269" i="14" s="1"/>
  <c r="F268" i="14"/>
  <c r="F267" i="14"/>
  <c r="S267" i="14" s="1"/>
  <c r="F266" i="14"/>
  <c r="S266" i="14" s="1"/>
  <c r="F265" i="14"/>
  <c r="F264" i="14"/>
  <c r="S264" i="14" s="1"/>
  <c r="F263" i="14"/>
  <c r="S263" i="14" s="1"/>
  <c r="S262" i="14"/>
  <c r="F262" i="14"/>
  <c r="F261" i="14"/>
  <c r="F260" i="14"/>
  <c r="S260" i="14" s="1"/>
  <c r="S259" i="14"/>
  <c r="F259" i="14"/>
  <c r="F258" i="14"/>
  <c r="S258" i="14" s="1"/>
  <c r="F257" i="14"/>
  <c r="F256" i="14"/>
  <c r="S256" i="14" s="1"/>
  <c r="F255" i="14"/>
  <c r="S255" i="14" s="1"/>
  <c r="S254" i="14"/>
  <c r="F254" i="14"/>
  <c r="F253" i="14"/>
  <c r="F252" i="14"/>
  <c r="S252" i="14" s="1"/>
  <c r="S251" i="14"/>
  <c r="F251" i="14"/>
  <c r="F250" i="14"/>
  <c r="S250" i="14" s="1"/>
  <c r="F249" i="14"/>
  <c r="F248" i="14"/>
  <c r="S248" i="14" s="1"/>
  <c r="F247" i="14"/>
  <c r="S247" i="14" s="1"/>
  <c r="S246" i="14"/>
  <c r="F246" i="14"/>
  <c r="F245" i="14"/>
  <c r="F244" i="14"/>
  <c r="S244" i="14" s="1"/>
  <c r="S243" i="14"/>
  <c r="F243" i="14"/>
  <c r="F242" i="14"/>
  <c r="S242" i="14" s="1"/>
  <c r="F241" i="14"/>
  <c r="F240" i="14"/>
  <c r="S240" i="14" s="1"/>
  <c r="F239" i="14"/>
  <c r="S239" i="14" s="1"/>
  <c r="S238" i="14"/>
  <c r="F238" i="14"/>
  <c r="F237" i="14"/>
  <c r="F236" i="14"/>
  <c r="S236" i="14" s="1"/>
  <c r="S235" i="14"/>
  <c r="F235" i="14"/>
  <c r="F234" i="14"/>
  <c r="S234" i="14" s="1"/>
  <c r="F233" i="14"/>
  <c r="F232" i="14"/>
  <c r="S232" i="14" s="1"/>
  <c r="F231" i="14"/>
  <c r="S231" i="14" s="1"/>
  <c r="S230" i="14"/>
  <c r="F230" i="14"/>
  <c r="F229" i="14"/>
  <c r="F228" i="14"/>
  <c r="S228" i="14" s="1"/>
  <c r="S227" i="14"/>
  <c r="F227" i="14"/>
  <c r="F226" i="14"/>
  <c r="S226" i="14" s="1"/>
  <c r="F225" i="14"/>
  <c r="F224" i="14"/>
  <c r="S224" i="14" s="1"/>
  <c r="F223" i="14"/>
  <c r="S223" i="14" s="1"/>
  <c r="S222" i="14"/>
  <c r="F222" i="14"/>
  <c r="F221" i="14"/>
  <c r="F220" i="14"/>
  <c r="S220" i="14" s="1"/>
  <c r="S219" i="14"/>
  <c r="F219" i="14"/>
  <c r="F218" i="14"/>
  <c r="S218" i="14" s="1"/>
  <c r="F217" i="14"/>
  <c r="F216" i="14"/>
  <c r="S216" i="14" s="1"/>
  <c r="F215" i="14"/>
  <c r="S215" i="14" s="1"/>
  <c r="S214" i="14"/>
  <c r="F214" i="14"/>
  <c r="F213" i="14"/>
  <c r="F212" i="14"/>
  <c r="S212" i="14" s="1"/>
  <c r="S211" i="14"/>
  <c r="F211" i="14"/>
  <c r="F210" i="14"/>
  <c r="S210" i="14" s="1"/>
  <c r="F209" i="14"/>
  <c r="F208" i="14"/>
  <c r="S208" i="14" s="1"/>
  <c r="F207" i="14"/>
  <c r="S207" i="14" s="1"/>
  <c r="S206" i="14"/>
  <c r="F206" i="14"/>
  <c r="F205" i="14"/>
  <c r="F204" i="14"/>
  <c r="F203" i="14"/>
  <c r="S203" i="14" s="1"/>
  <c r="S202" i="14"/>
  <c r="F202" i="14"/>
  <c r="F201" i="14"/>
  <c r="S201" i="14" s="1"/>
  <c r="F200" i="14"/>
  <c r="F199" i="14"/>
  <c r="S199" i="14" s="1"/>
  <c r="S198" i="14"/>
  <c r="F198" i="14"/>
  <c r="S197" i="14"/>
  <c r="F197" i="14"/>
  <c r="F196" i="14"/>
  <c r="F195" i="14"/>
  <c r="S195" i="14" s="1"/>
  <c r="F194" i="14"/>
  <c r="S194" i="14" s="1"/>
  <c r="S193" i="14"/>
  <c r="F193" i="14"/>
  <c r="F192" i="14"/>
  <c r="F191" i="14"/>
  <c r="S191" i="14" s="1"/>
  <c r="S190" i="14"/>
  <c r="F190" i="14"/>
  <c r="F189" i="14"/>
  <c r="S189" i="14" s="1"/>
  <c r="F188" i="14"/>
  <c r="F187" i="14"/>
  <c r="S187" i="14" s="1"/>
  <c r="F186" i="14"/>
  <c r="S186" i="14" s="1"/>
  <c r="S185" i="14"/>
  <c r="F185" i="14"/>
  <c r="F184" i="14"/>
  <c r="F183" i="14"/>
  <c r="S183" i="14" s="1"/>
  <c r="S182" i="14"/>
  <c r="F182" i="14"/>
  <c r="F181" i="14"/>
  <c r="S181" i="14" s="1"/>
  <c r="F180" i="14"/>
  <c r="F179" i="14"/>
  <c r="S179" i="14" s="1"/>
  <c r="S178" i="14"/>
  <c r="F178" i="14"/>
  <c r="F177" i="14"/>
  <c r="S177" i="14" s="1"/>
  <c r="F176" i="14"/>
  <c r="F175" i="14"/>
  <c r="S175" i="14" s="1"/>
  <c r="F174" i="14"/>
  <c r="S174" i="14" s="1"/>
  <c r="F173" i="14"/>
  <c r="S173" i="14" s="1"/>
  <c r="F172" i="14"/>
  <c r="F171" i="14"/>
  <c r="S171" i="14" s="1"/>
  <c r="S170" i="14"/>
  <c r="F170" i="14"/>
  <c r="F169" i="14"/>
  <c r="S169" i="14" s="1"/>
  <c r="F168" i="14"/>
  <c r="F167" i="14"/>
  <c r="S167" i="14" s="1"/>
  <c r="S166" i="14"/>
  <c r="F166" i="14"/>
  <c r="S165" i="14"/>
  <c r="F165" i="14"/>
  <c r="F164" i="14"/>
  <c r="F163" i="14"/>
  <c r="S163" i="14" s="1"/>
  <c r="S162" i="14"/>
  <c r="F162" i="14"/>
  <c r="F161" i="14"/>
  <c r="S161" i="14" s="1"/>
  <c r="F160" i="14"/>
  <c r="F159" i="14"/>
  <c r="S159" i="14" s="1"/>
  <c r="F158" i="14"/>
  <c r="S158" i="14" s="1"/>
  <c r="S157" i="14"/>
  <c r="F157" i="14"/>
  <c r="F156" i="14"/>
  <c r="F155" i="14"/>
  <c r="S155" i="14" s="1"/>
  <c r="S154" i="14"/>
  <c r="F154" i="14"/>
  <c r="F153" i="14"/>
  <c r="S153" i="14" s="1"/>
  <c r="F152" i="14"/>
  <c r="F151" i="14"/>
  <c r="S151" i="14" s="1"/>
  <c r="F150" i="14"/>
  <c r="S150" i="14" s="1"/>
  <c r="S149" i="14"/>
  <c r="F149" i="14"/>
  <c r="F148" i="14"/>
  <c r="F147" i="14"/>
  <c r="S147" i="14" s="1"/>
  <c r="S146" i="14"/>
  <c r="F146" i="14"/>
  <c r="F145" i="14"/>
  <c r="S145" i="14" s="1"/>
  <c r="F144" i="14"/>
  <c r="F143" i="14"/>
  <c r="S143" i="14" s="1"/>
  <c r="S142" i="14"/>
  <c r="F142" i="14"/>
  <c r="G142" i="14" s="1"/>
  <c r="S141" i="14"/>
  <c r="F141" i="14"/>
  <c r="F140" i="14"/>
  <c r="F139" i="14"/>
  <c r="S139" i="14" s="1"/>
  <c r="F138" i="14"/>
  <c r="S138" i="14" s="1"/>
  <c r="F137" i="14"/>
  <c r="S137" i="14" s="1"/>
  <c r="F136" i="14"/>
  <c r="F135" i="14"/>
  <c r="S135" i="14" s="1"/>
  <c r="S134" i="14"/>
  <c r="F134" i="14"/>
  <c r="F133" i="14"/>
  <c r="S133" i="14" s="1"/>
  <c r="F132" i="14"/>
  <c r="F131" i="14"/>
  <c r="S131" i="14" s="1"/>
  <c r="F130" i="14"/>
  <c r="S130" i="14" s="1"/>
  <c r="S129" i="14"/>
  <c r="F129" i="14"/>
  <c r="F128" i="14"/>
  <c r="F127" i="14"/>
  <c r="S127" i="14" s="1"/>
  <c r="S126" i="14"/>
  <c r="F126" i="14"/>
  <c r="F125" i="14"/>
  <c r="S125" i="14" s="1"/>
  <c r="F124" i="14"/>
  <c r="F123" i="14"/>
  <c r="S123" i="14" s="1"/>
  <c r="S122" i="14"/>
  <c r="F122" i="14"/>
  <c r="S121" i="14"/>
  <c r="F121" i="14"/>
  <c r="F120" i="14"/>
  <c r="F119" i="14"/>
  <c r="S119" i="14" s="1"/>
  <c r="S118" i="14"/>
  <c r="F118" i="14"/>
  <c r="F117" i="14"/>
  <c r="S117" i="14" s="1"/>
  <c r="F116" i="14"/>
  <c r="F115" i="14"/>
  <c r="S115" i="14" s="1"/>
  <c r="F114" i="14"/>
  <c r="S114" i="14" s="1"/>
  <c r="S113" i="14"/>
  <c r="F113" i="14"/>
  <c r="F112" i="14"/>
  <c r="F111" i="14"/>
  <c r="S111" i="14" s="1"/>
  <c r="F110" i="14"/>
  <c r="S109" i="14"/>
  <c r="F109" i="14"/>
  <c r="F108" i="14"/>
  <c r="F107" i="14"/>
  <c r="S107" i="14" s="1"/>
  <c r="S106" i="14"/>
  <c r="F106" i="14"/>
  <c r="F105" i="14"/>
  <c r="S105" i="14" s="1"/>
  <c r="F104" i="14"/>
  <c r="F103" i="14"/>
  <c r="S103" i="14" s="1"/>
  <c r="F102" i="14"/>
  <c r="S102" i="14" s="1"/>
  <c r="F101" i="14"/>
  <c r="S101" i="14" s="1"/>
  <c r="F100" i="14"/>
  <c r="F99" i="14"/>
  <c r="S99" i="14" s="1"/>
  <c r="S98" i="14"/>
  <c r="F98" i="14"/>
  <c r="F97" i="14"/>
  <c r="S97" i="14" s="1"/>
  <c r="F96" i="14"/>
  <c r="F95" i="14"/>
  <c r="S95" i="14" s="1"/>
  <c r="F94" i="14"/>
  <c r="S94" i="14" s="1"/>
  <c r="F93" i="14"/>
  <c r="S93" i="14" s="1"/>
  <c r="F92" i="14"/>
  <c r="F91" i="14"/>
  <c r="S91" i="14" s="1"/>
  <c r="S90" i="14"/>
  <c r="F90" i="14"/>
  <c r="F89" i="14"/>
  <c r="S89" i="14" s="1"/>
  <c r="F88" i="14"/>
  <c r="F87" i="14"/>
  <c r="S87" i="14" s="1"/>
  <c r="S86" i="14"/>
  <c r="G86" i="14"/>
  <c r="F86" i="14"/>
  <c r="S85" i="14"/>
  <c r="F85" i="14"/>
  <c r="F84" i="14"/>
  <c r="F83" i="14"/>
  <c r="S83" i="14" s="1"/>
  <c r="S82" i="14"/>
  <c r="F82" i="14"/>
  <c r="F81" i="14"/>
  <c r="S81" i="14" s="1"/>
  <c r="F80" i="14"/>
  <c r="F79" i="14"/>
  <c r="S79" i="14" s="1"/>
  <c r="S78" i="14"/>
  <c r="G78" i="14"/>
  <c r="F78" i="14"/>
  <c r="F77" i="14"/>
  <c r="S77" i="14" s="1"/>
  <c r="F76" i="14"/>
  <c r="F75" i="14"/>
  <c r="S75" i="14" s="1"/>
  <c r="F74" i="14"/>
  <c r="S74" i="14" s="1"/>
  <c r="F73" i="14"/>
  <c r="S73" i="14" s="1"/>
  <c r="F72" i="14"/>
  <c r="F71" i="14"/>
  <c r="S71" i="14" s="1"/>
  <c r="S70" i="14"/>
  <c r="F70" i="14"/>
  <c r="G70" i="14" s="1"/>
  <c r="F69" i="14"/>
  <c r="S69" i="14" s="1"/>
  <c r="F68" i="14"/>
  <c r="F67" i="14"/>
  <c r="S67" i="14" s="1"/>
  <c r="F66" i="14"/>
  <c r="S66" i="14" s="1"/>
  <c r="F65" i="14"/>
  <c r="S65" i="14" s="1"/>
  <c r="F64" i="14"/>
  <c r="F63" i="14"/>
  <c r="S62" i="14"/>
  <c r="G62" i="14"/>
  <c r="F62" i="14"/>
  <c r="S61" i="14"/>
  <c r="F61" i="14"/>
  <c r="F60" i="14"/>
  <c r="S60" i="14" s="1"/>
  <c r="F59" i="14"/>
  <c r="S58" i="14"/>
  <c r="F58" i="14"/>
  <c r="F57" i="14"/>
  <c r="S57" i="14" s="1"/>
  <c r="F56" i="14"/>
  <c r="S56" i="14" s="1"/>
  <c r="F55" i="14"/>
  <c r="S54" i="14"/>
  <c r="F54" i="14"/>
  <c r="G54" i="14" s="1"/>
  <c r="S53" i="14"/>
  <c r="F53" i="14"/>
  <c r="F52" i="14"/>
  <c r="S52" i="14" s="1"/>
  <c r="F51" i="14"/>
  <c r="F50" i="14"/>
  <c r="S50" i="14" s="1"/>
  <c r="F49" i="14"/>
  <c r="S49" i="14" s="1"/>
  <c r="F48" i="14"/>
  <c r="S48" i="14" s="1"/>
  <c r="F47" i="14"/>
  <c r="F46" i="14"/>
  <c r="S46" i="14" s="1"/>
  <c r="S45" i="14"/>
  <c r="F45" i="14"/>
  <c r="F44" i="14"/>
  <c r="S44" i="14" s="1"/>
  <c r="F43" i="14"/>
  <c r="F42" i="14"/>
  <c r="S42" i="14" s="1"/>
  <c r="F41" i="14"/>
  <c r="S41" i="14" s="1"/>
  <c r="F40" i="14"/>
  <c r="S40" i="14" s="1"/>
  <c r="F39" i="14"/>
  <c r="F38" i="14"/>
  <c r="S38" i="14" s="1"/>
  <c r="S37" i="14"/>
  <c r="F37" i="14"/>
  <c r="F36" i="14"/>
  <c r="S36" i="14" s="1"/>
  <c r="F35" i="14"/>
  <c r="S34" i="14"/>
  <c r="F34" i="14"/>
  <c r="F33" i="14"/>
  <c r="S33" i="14" s="1"/>
  <c r="F32" i="14"/>
  <c r="S32" i="14" s="1"/>
  <c r="F31" i="14"/>
  <c r="G30" i="14"/>
  <c r="F30" i="14"/>
  <c r="S30" i="14" s="1"/>
  <c r="F29" i="14"/>
  <c r="S29" i="14" s="1"/>
  <c r="F28" i="14"/>
  <c r="S28" i="14" s="1"/>
  <c r="F27" i="14"/>
  <c r="F26" i="14"/>
  <c r="S26" i="14" s="1"/>
  <c r="S25" i="14"/>
  <c r="F25" i="14"/>
  <c r="F24" i="14"/>
  <c r="F23" i="14"/>
  <c r="S23" i="14" s="1"/>
  <c r="A23" i="14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09" i="14" s="1"/>
  <c r="A110" i="14" s="1"/>
  <c r="A111" i="14" s="1"/>
  <c r="A112" i="14" s="1"/>
  <c r="A113" i="14" s="1"/>
  <c r="A114" i="14" s="1"/>
  <c r="A115" i="14" s="1"/>
  <c r="A116" i="14" s="1"/>
  <c r="A117" i="14" s="1"/>
  <c r="A118" i="14" s="1"/>
  <c r="A119" i="14" s="1"/>
  <c r="A120" i="14" s="1"/>
  <c r="A121" i="14" s="1"/>
  <c r="A122" i="14" s="1"/>
  <c r="A123" i="14" s="1"/>
  <c r="A124" i="14" s="1"/>
  <c r="A125" i="14" s="1"/>
  <c r="A126" i="14" s="1"/>
  <c r="A127" i="14" s="1"/>
  <c r="A128" i="14" s="1"/>
  <c r="A129" i="14" s="1"/>
  <c r="A130" i="14" s="1"/>
  <c r="A131" i="14" s="1"/>
  <c r="A132" i="14" s="1"/>
  <c r="A133" i="14" s="1"/>
  <c r="A134" i="14" s="1"/>
  <c r="A135" i="14" s="1"/>
  <c r="A136" i="14" s="1"/>
  <c r="A137" i="14" s="1"/>
  <c r="A138" i="14" s="1"/>
  <c r="A139" i="14" s="1"/>
  <c r="A140" i="14" s="1"/>
  <c r="A141" i="14" s="1"/>
  <c r="A142" i="14" s="1"/>
  <c r="A143" i="14" s="1"/>
  <c r="A144" i="14" s="1"/>
  <c r="A145" i="14" s="1"/>
  <c r="A146" i="14" s="1"/>
  <c r="A147" i="14" s="1"/>
  <c r="A148" i="14" s="1"/>
  <c r="A149" i="14" s="1"/>
  <c r="A150" i="14" s="1"/>
  <c r="A151" i="14" s="1"/>
  <c r="A152" i="14" s="1"/>
  <c r="A153" i="14" s="1"/>
  <c r="A154" i="14" s="1"/>
  <c r="A155" i="14" s="1"/>
  <c r="A156" i="14" s="1"/>
  <c r="A157" i="14" s="1"/>
  <c r="A158" i="14" s="1"/>
  <c r="A159" i="14" s="1"/>
  <c r="A160" i="14" s="1"/>
  <c r="A161" i="14" s="1"/>
  <c r="A162" i="14" s="1"/>
  <c r="A163" i="14" s="1"/>
  <c r="A164" i="14" s="1"/>
  <c r="A165" i="14" s="1"/>
  <c r="A166" i="14" s="1"/>
  <c r="A167" i="14" s="1"/>
  <c r="A168" i="14" s="1"/>
  <c r="A169" i="14" s="1"/>
  <c r="A170" i="14" s="1"/>
  <c r="A171" i="14" s="1"/>
  <c r="A172" i="14" s="1"/>
  <c r="A173" i="14" s="1"/>
  <c r="A174" i="14" s="1"/>
  <c r="A175" i="14" s="1"/>
  <c r="A176" i="14" s="1"/>
  <c r="A177" i="14" s="1"/>
  <c r="A178" i="14" s="1"/>
  <c r="A179" i="14" s="1"/>
  <c r="A180" i="14" s="1"/>
  <c r="A181" i="14" s="1"/>
  <c r="A182" i="14" s="1"/>
  <c r="A183" i="14" s="1"/>
  <c r="A184" i="14" s="1"/>
  <c r="A185" i="14" s="1"/>
  <c r="A186" i="14" s="1"/>
  <c r="A187" i="14" s="1"/>
  <c r="A188" i="14" s="1"/>
  <c r="A189" i="14" s="1"/>
  <c r="A190" i="14" s="1"/>
  <c r="A191" i="14" s="1"/>
  <c r="A192" i="14" s="1"/>
  <c r="A193" i="14" s="1"/>
  <c r="A194" i="14" s="1"/>
  <c r="A195" i="14" s="1"/>
  <c r="A196" i="14" s="1"/>
  <c r="A197" i="14" s="1"/>
  <c r="A198" i="14" s="1"/>
  <c r="A199" i="14" s="1"/>
  <c r="A200" i="14" s="1"/>
  <c r="A201" i="14" s="1"/>
  <c r="A202" i="14" s="1"/>
  <c r="A203" i="14" s="1"/>
  <c r="A204" i="14" s="1"/>
  <c r="A205" i="14" s="1"/>
  <c r="A206" i="14" s="1"/>
  <c r="A207" i="14" s="1"/>
  <c r="A208" i="14" s="1"/>
  <c r="A209" i="14" s="1"/>
  <c r="A210" i="14" s="1"/>
  <c r="A211" i="14" s="1"/>
  <c r="A212" i="14" s="1"/>
  <c r="A213" i="14" s="1"/>
  <c r="A214" i="14" s="1"/>
  <c r="A215" i="14" s="1"/>
  <c r="A216" i="14" s="1"/>
  <c r="A217" i="14" s="1"/>
  <c r="A218" i="14" s="1"/>
  <c r="A219" i="14" s="1"/>
  <c r="A220" i="14" s="1"/>
  <c r="A221" i="14" s="1"/>
  <c r="A222" i="14" s="1"/>
  <c r="A223" i="14" s="1"/>
  <c r="A224" i="14" s="1"/>
  <c r="A225" i="14" s="1"/>
  <c r="A226" i="14" s="1"/>
  <c r="A227" i="14" s="1"/>
  <c r="A228" i="14" s="1"/>
  <c r="A229" i="14" s="1"/>
  <c r="A230" i="14" s="1"/>
  <c r="A231" i="14" s="1"/>
  <c r="A232" i="14" s="1"/>
  <c r="A233" i="14" s="1"/>
  <c r="A234" i="14" s="1"/>
  <c r="A235" i="14" s="1"/>
  <c r="A236" i="14" s="1"/>
  <c r="A237" i="14" s="1"/>
  <c r="A238" i="14" s="1"/>
  <c r="A239" i="14" s="1"/>
  <c r="A240" i="14" s="1"/>
  <c r="A241" i="14" s="1"/>
  <c r="A242" i="14" s="1"/>
  <c r="A243" i="14" s="1"/>
  <c r="A244" i="14" s="1"/>
  <c r="A245" i="14" s="1"/>
  <c r="A246" i="14" s="1"/>
  <c r="A247" i="14" s="1"/>
  <c r="A248" i="14" s="1"/>
  <c r="A249" i="14" s="1"/>
  <c r="A250" i="14" s="1"/>
  <c r="A251" i="14" s="1"/>
  <c r="A252" i="14" s="1"/>
  <c r="A253" i="14" s="1"/>
  <c r="A254" i="14" s="1"/>
  <c r="A255" i="14" s="1"/>
  <c r="A256" i="14" s="1"/>
  <c r="A257" i="14" s="1"/>
  <c r="A258" i="14" s="1"/>
  <c r="A259" i="14" s="1"/>
  <c r="A260" i="14" s="1"/>
  <c r="A261" i="14" s="1"/>
  <c r="A262" i="14" s="1"/>
  <c r="A263" i="14" s="1"/>
  <c r="A264" i="14" s="1"/>
  <c r="A265" i="14" s="1"/>
  <c r="A266" i="14" s="1"/>
  <c r="A267" i="14" s="1"/>
  <c r="A268" i="14" s="1"/>
  <c r="A269" i="14" s="1"/>
  <c r="A270" i="14" s="1"/>
  <c r="A271" i="14" s="1"/>
  <c r="A272" i="14" s="1"/>
  <c r="A273" i="14" s="1"/>
  <c r="A274" i="14" s="1"/>
  <c r="A275" i="14" s="1"/>
  <c r="A276" i="14" s="1"/>
  <c r="A277" i="14" s="1"/>
  <c r="A278" i="14" s="1"/>
  <c r="A279" i="14" s="1"/>
  <c r="A280" i="14" s="1"/>
  <c r="A281" i="14" s="1"/>
  <c r="A282" i="14" s="1"/>
  <c r="A283" i="14" s="1"/>
  <c r="A284" i="14" s="1"/>
  <c r="A285" i="14" s="1"/>
  <c r="A286" i="14" s="1"/>
  <c r="A287" i="14" s="1"/>
  <c r="A288" i="14" s="1"/>
  <c r="A289" i="14" s="1"/>
  <c r="A290" i="14" s="1"/>
  <c r="A291" i="14" s="1"/>
  <c r="A292" i="14" s="1"/>
  <c r="A293" i="14" s="1"/>
  <c r="A294" i="14" s="1"/>
  <c r="A295" i="14" s="1"/>
  <c r="A296" i="14" s="1"/>
  <c r="A297" i="14" s="1"/>
  <c r="A298" i="14" s="1"/>
  <c r="A299" i="14" s="1"/>
  <c r="A300" i="14" s="1"/>
  <c r="A301" i="14" s="1"/>
  <c r="A302" i="14" s="1"/>
  <c r="A303" i="14" s="1"/>
  <c r="A304" i="14" s="1"/>
  <c r="A305" i="14" s="1"/>
  <c r="A306" i="14" s="1"/>
  <c r="A307" i="14" s="1"/>
  <c r="A308" i="14" s="1"/>
  <c r="A309" i="14" s="1"/>
  <c r="A310" i="14" s="1"/>
  <c r="A311" i="14" s="1"/>
  <c r="A312" i="14" s="1"/>
  <c r="A313" i="14" s="1"/>
  <c r="A314" i="14" s="1"/>
  <c r="A315" i="14" s="1"/>
  <c r="A316" i="14" s="1"/>
  <c r="A317" i="14" s="1"/>
  <c r="A318" i="14" s="1"/>
  <c r="A319" i="14" s="1"/>
  <c r="A320" i="14" s="1"/>
  <c r="A321" i="14" s="1"/>
  <c r="A322" i="14" s="1"/>
  <c r="A323" i="14" s="1"/>
  <c r="A324" i="14" s="1"/>
  <c r="A325" i="14" s="1"/>
  <c r="A326" i="14" s="1"/>
  <c r="A327" i="14" s="1"/>
  <c r="A328" i="14" s="1"/>
  <c r="A329" i="14" s="1"/>
  <c r="A330" i="14" s="1"/>
  <c r="A331" i="14" s="1"/>
  <c r="A332" i="14" s="1"/>
  <c r="A333" i="14" s="1"/>
  <c r="A334" i="14" s="1"/>
  <c r="A335" i="14" s="1"/>
  <c r="A336" i="14" s="1"/>
  <c r="A337" i="14" s="1"/>
  <c r="A338" i="14" s="1"/>
  <c r="A339" i="14" s="1"/>
  <c r="A340" i="14" s="1"/>
  <c r="A341" i="14" s="1"/>
  <c r="A342" i="14" s="1"/>
  <c r="A343" i="14" s="1"/>
  <c r="A344" i="14" s="1"/>
  <c r="A345" i="14" s="1"/>
  <c r="A346" i="14" s="1"/>
  <c r="A347" i="14" s="1"/>
  <c r="A348" i="14" s="1"/>
  <c r="A349" i="14" s="1"/>
  <c r="A350" i="14" s="1"/>
  <c r="A351" i="14" s="1"/>
  <c r="A352" i="14" s="1"/>
  <c r="A353" i="14" s="1"/>
  <c r="A354" i="14" s="1"/>
  <c r="A355" i="14" s="1"/>
  <c r="A356" i="14" s="1"/>
  <c r="A357" i="14" s="1"/>
  <c r="A358" i="14" s="1"/>
  <c r="A359" i="14" s="1"/>
  <c r="A360" i="14" s="1"/>
  <c r="A361" i="14" s="1"/>
  <c r="A362" i="14" s="1"/>
  <c r="A363" i="14" s="1"/>
  <c r="A364" i="14" s="1"/>
  <c r="A365" i="14" s="1"/>
  <c r="A366" i="14" s="1"/>
  <c r="A367" i="14" s="1"/>
  <c r="A368" i="14" s="1"/>
  <c r="A369" i="14" s="1"/>
  <c r="A370" i="14" s="1"/>
  <c r="A371" i="14" s="1"/>
  <c r="A372" i="14" s="1"/>
  <c r="A373" i="14" s="1"/>
  <c r="A374" i="14" s="1"/>
  <c r="A375" i="14" s="1"/>
  <c r="A376" i="14" s="1"/>
  <c r="A377" i="14" s="1"/>
  <c r="A378" i="14" s="1"/>
  <c r="A379" i="14" s="1"/>
  <c r="A380" i="14" s="1"/>
  <c r="A381" i="14" s="1"/>
  <c r="A382" i="14" s="1"/>
  <c r="A383" i="14" s="1"/>
  <c r="A384" i="14" s="1"/>
  <c r="A385" i="14" s="1"/>
  <c r="A386" i="14" s="1"/>
  <c r="A387" i="14" s="1"/>
  <c r="A388" i="14" s="1"/>
  <c r="A389" i="14" s="1"/>
  <c r="A390" i="14" s="1"/>
  <c r="A391" i="14" s="1"/>
  <c r="A392" i="14" s="1"/>
  <c r="A393" i="14" s="1"/>
  <c r="A394" i="14" s="1"/>
  <c r="A395" i="14" s="1"/>
  <c r="A396" i="14" s="1"/>
  <c r="A397" i="14" s="1"/>
  <c r="A398" i="14" s="1"/>
  <c r="A399" i="14" s="1"/>
  <c r="A404" i="14" s="1"/>
  <c r="A405" i="14" s="1"/>
  <c r="A406" i="14" s="1"/>
  <c r="A407" i="14" s="1"/>
  <c r="A408" i="14" s="1"/>
  <c r="A409" i="14" s="1"/>
  <c r="A410" i="14" s="1"/>
  <c r="A411" i="14" s="1"/>
  <c r="A412" i="14" s="1"/>
  <c r="A413" i="14" s="1"/>
  <c r="A414" i="14" s="1"/>
  <c r="A415" i="14" s="1"/>
  <c r="A416" i="14" s="1"/>
  <c r="A417" i="14" s="1"/>
  <c r="A418" i="14" s="1"/>
  <c r="A419" i="14" s="1"/>
  <c r="A420" i="14" s="1"/>
  <c r="A421" i="14" s="1"/>
  <c r="A422" i="14" s="1"/>
  <c r="A423" i="14" s="1"/>
  <c r="A424" i="14" s="1"/>
  <c r="A425" i="14" s="1"/>
  <c r="A426" i="14" s="1"/>
  <c r="A427" i="14" s="1"/>
  <c r="A428" i="14" s="1"/>
  <c r="A429" i="14" s="1"/>
  <c r="A430" i="14" s="1"/>
  <c r="A431" i="14" s="1"/>
  <c r="A432" i="14" s="1"/>
  <c r="A433" i="14" s="1"/>
  <c r="A434" i="14" s="1"/>
  <c r="A435" i="14" s="1"/>
  <c r="A436" i="14" s="1"/>
  <c r="A437" i="14" s="1"/>
  <c r="A438" i="14" s="1"/>
  <c r="A439" i="14" s="1"/>
  <c r="A440" i="14" s="1"/>
  <c r="A441" i="14" s="1"/>
  <c r="A442" i="14" s="1"/>
  <c r="A443" i="14" s="1"/>
  <c r="A444" i="14" s="1"/>
  <c r="A445" i="14" s="1"/>
  <c r="A446" i="14" s="1"/>
  <c r="A447" i="14" s="1"/>
  <c r="A448" i="14" s="1"/>
  <c r="A449" i="14" s="1"/>
  <c r="A450" i="14" s="1"/>
  <c r="A451" i="14" s="1"/>
  <c r="A452" i="14" s="1"/>
  <c r="A453" i="14" s="1"/>
  <c r="A454" i="14" s="1"/>
  <c r="A455" i="14" s="1"/>
  <c r="A456" i="14" s="1"/>
  <c r="A457" i="14" s="1"/>
  <c r="A458" i="14" s="1"/>
  <c r="A459" i="14" s="1"/>
  <c r="A460" i="14" s="1"/>
  <c r="F22" i="14"/>
  <c r="A22" i="14"/>
  <c r="F21" i="14"/>
  <c r="S21" i="14" s="1"/>
  <c r="S20" i="14"/>
  <c r="G20" i="14"/>
  <c r="F19" i="14"/>
  <c r="S19" i="14" s="1"/>
  <c r="S18" i="14"/>
  <c r="G18" i="14"/>
  <c r="S17" i="14"/>
  <c r="S16" i="14"/>
  <c r="Q16" i="14"/>
  <c r="G16" i="14"/>
  <c r="F16" i="14"/>
  <c r="G15" i="14"/>
  <c r="G14" i="14"/>
  <c r="G13" i="14"/>
  <c r="G12" i="14"/>
  <c r="L9" i="14" s="1"/>
  <c r="F9" i="14"/>
  <c r="E9" i="14"/>
  <c r="H8" i="14"/>
  <c r="G50" i="14" l="1"/>
  <c r="G102" i="14"/>
  <c r="G166" i="14"/>
  <c r="G319" i="14"/>
  <c r="G118" i="14"/>
  <c r="G174" i="14"/>
  <c r="G126" i="14"/>
  <c r="G38" i="14"/>
  <c r="G134" i="14"/>
  <c r="G150" i="14"/>
  <c r="G110" i="14"/>
  <c r="S110" i="14"/>
  <c r="G94" i="14"/>
  <c r="G198" i="14"/>
  <c r="I12" i="14"/>
  <c r="G190" i="14"/>
  <c r="G287" i="14"/>
  <c r="G34" i="14"/>
  <c r="G46" i="14"/>
  <c r="G158" i="14"/>
  <c r="G182" i="14"/>
  <c r="G309" i="14"/>
  <c r="G47" i="14"/>
  <c r="S47" i="14"/>
  <c r="G224" i="14"/>
  <c r="G256" i="14"/>
  <c r="G31" i="14"/>
  <c r="S31" i="14"/>
  <c r="G277" i="14"/>
  <c r="G341" i="14"/>
  <c r="S63" i="14"/>
  <c r="G63" i="14"/>
  <c r="G19" i="14"/>
  <c r="G35" i="14"/>
  <c r="S35" i="14"/>
  <c r="S51" i="14"/>
  <c r="G51" i="14"/>
  <c r="J12" i="14"/>
  <c r="G21" i="14"/>
  <c r="S24" i="14"/>
  <c r="G24" i="14"/>
  <c r="G39" i="14"/>
  <c r="S39" i="14"/>
  <c r="G55" i="14"/>
  <c r="S55" i="14"/>
  <c r="S68" i="14"/>
  <c r="G68" i="14"/>
  <c r="S76" i="14"/>
  <c r="G76" i="14"/>
  <c r="S84" i="14"/>
  <c r="G84" i="14"/>
  <c r="S92" i="14"/>
  <c r="G92" i="14"/>
  <c r="S100" i="14"/>
  <c r="G100" i="14"/>
  <c r="S108" i="14"/>
  <c r="G108" i="14"/>
  <c r="S116" i="14"/>
  <c r="G116" i="14"/>
  <c r="S124" i="14"/>
  <c r="G124" i="14"/>
  <c r="S132" i="14"/>
  <c r="G132" i="14"/>
  <c r="S140" i="14"/>
  <c r="G140" i="14"/>
  <c r="S148" i="14"/>
  <c r="G148" i="14"/>
  <c r="S156" i="14"/>
  <c r="G156" i="14"/>
  <c r="S164" i="14"/>
  <c r="G164" i="14"/>
  <c r="S172" i="14"/>
  <c r="G172" i="14"/>
  <c r="S180" i="14"/>
  <c r="G180" i="14"/>
  <c r="S188" i="14"/>
  <c r="G188" i="14"/>
  <c r="S196" i="14"/>
  <c r="G196" i="14"/>
  <c r="S204" i="14"/>
  <c r="G204" i="14"/>
  <c r="G460" i="14"/>
  <c r="G440" i="14"/>
  <c r="G437" i="14"/>
  <c r="G434" i="14"/>
  <c r="G430" i="14"/>
  <c r="G426" i="14"/>
  <c r="G422" i="14"/>
  <c r="G418" i="14"/>
  <c r="G414" i="14"/>
  <c r="G457" i="14"/>
  <c r="G453" i="14"/>
  <c r="G449" i="14"/>
  <c r="G445" i="14"/>
  <c r="G443" i="14"/>
  <c r="G439" i="14"/>
  <c r="G436" i="14"/>
  <c r="G433" i="14"/>
  <c r="G417" i="14"/>
  <c r="G413" i="14"/>
  <c r="G409" i="14"/>
  <c r="G463" i="14"/>
  <c r="G451" i="14"/>
  <c r="G438" i="14"/>
  <c r="G419" i="14"/>
  <c r="G399" i="14"/>
  <c r="G397" i="14"/>
  <c r="G393" i="14"/>
  <c r="G389" i="14"/>
  <c r="G447" i="14"/>
  <c r="G431" i="14"/>
  <c r="G415" i="14"/>
  <c r="G410" i="14"/>
  <c r="G455" i="14"/>
  <c r="G411" i="14"/>
  <c r="G367" i="14"/>
  <c r="G363" i="14"/>
  <c r="G359" i="14"/>
  <c r="G355" i="14"/>
  <c r="G351" i="14"/>
  <c r="G459" i="14"/>
  <c r="G427" i="14"/>
  <c r="G423" i="14"/>
  <c r="G404" i="14"/>
  <c r="G398" i="14"/>
  <c r="G390" i="14"/>
  <c r="G382" i="14"/>
  <c r="G374" i="14"/>
  <c r="G368" i="14"/>
  <c r="G365" i="14"/>
  <c r="G360" i="14"/>
  <c r="G357" i="14"/>
  <c r="G352" i="14"/>
  <c r="G349" i="14"/>
  <c r="G305" i="14"/>
  <c r="G297" i="14"/>
  <c r="G269" i="14"/>
  <c r="G408" i="14"/>
  <c r="G405" i="14"/>
  <c r="G386" i="14"/>
  <c r="G383" i="14"/>
  <c r="G370" i="14"/>
  <c r="G361" i="14"/>
  <c r="G342" i="14"/>
  <c r="G334" i="14"/>
  <c r="G326" i="14"/>
  <c r="G318" i="14"/>
  <c r="G310" i="14"/>
  <c r="G302" i="14"/>
  <c r="G294" i="14"/>
  <c r="G286" i="14"/>
  <c r="G278" i="14"/>
  <c r="G270" i="14"/>
  <c r="G210" i="14"/>
  <c r="G441" i="14"/>
  <c r="G378" i="14"/>
  <c r="G375" i="14"/>
  <c r="G364" i="14"/>
  <c r="G348" i="14"/>
  <c r="G263" i="14"/>
  <c r="G255" i="14"/>
  <c r="G247" i="14"/>
  <c r="G239" i="14"/>
  <c r="G231" i="14"/>
  <c r="G223" i="14"/>
  <c r="G215" i="14"/>
  <c r="G207" i="14"/>
  <c r="G137" i="14"/>
  <c r="G394" i="14"/>
  <c r="G391" i="14"/>
  <c r="G356" i="14"/>
  <c r="G346" i="14"/>
  <c r="G330" i="14"/>
  <c r="G314" i="14"/>
  <c r="G298" i="14"/>
  <c r="G282" i="14"/>
  <c r="G322" i="14"/>
  <c r="G290" i="14"/>
  <c r="G259" i="14"/>
  <c r="G243" i="14"/>
  <c r="G227" i="14"/>
  <c r="G211" i="14"/>
  <c r="G61" i="14"/>
  <c r="G57" i="14"/>
  <c r="G53" i="14"/>
  <c r="G49" i="14"/>
  <c r="G45" i="14"/>
  <c r="G41" i="14"/>
  <c r="G37" i="14"/>
  <c r="G33" i="14"/>
  <c r="G29" i="14"/>
  <c r="G25" i="14"/>
  <c r="G23" i="14"/>
  <c r="G338" i="14"/>
  <c r="G306" i="14"/>
  <c r="G235" i="14"/>
  <c r="G219" i="14"/>
  <c r="G202" i="14"/>
  <c r="G194" i="14"/>
  <c r="G186" i="14"/>
  <c r="G178" i="14"/>
  <c r="G170" i="14"/>
  <c r="G162" i="14"/>
  <c r="G154" i="14"/>
  <c r="G146" i="14"/>
  <c r="G138" i="14"/>
  <c r="G130" i="14"/>
  <c r="G122" i="14"/>
  <c r="G114" i="14"/>
  <c r="G106" i="14"/>
  <c r="G98" i="14"/>
  <c r="G90" i="14"/>
  <c r="G82" i="14"/>
  <c r="G74" i="14"/>
  <c r="G66" i="14"/>
  <c r="G17" i="14"/>
  <c r="G274" i="14"/>
  <c r="G267" i="14"/>
  <c r="G251" i="14"/>
  <c r="S22" i="14"/>
  <c r="G22" i="14"/>
  <c r="G26" i="14"/>
  <c r="G27" i="14"/>
  <c r="S27" i="14"/>
  <c r="G42" i="14"/>
  <c r="S43" i="14"/>
  <c r="G43" i="14"/>
  <c r="G58" i="14"/>
  <c r="G59" i="14"/>
  <c r="S59" i="14"/>
  <c r="G67" i="14"/>
  <c r="G75" i="14"/>
  <c r="G83" i="14"/>
  <c r="G91" i="14"/>
  <c r="G99" i="14"/>
  <c r="G107" i="14"/>
  <c r="G115" i="14"/>
  <c r="G123" i="14"/>
  <c r="G131" i="14"/>
  <c r="G139" i="14"/>
  <c r="G147" i="14"/>
  <c r="G155" i="14"/>
  <c r="G163" i="14"/>
  <c r="G171" i="14"/>
  <c r="G179" i="14"/>
  <c r="G187" i="14"/>
  <c r="G195" i="14"/>
  <c r="G203" i="14"/>
  <c r="G208" i="14"/>
  <c r="G240" i="14"/>
  <c r="S369" i="14"/>
  <c r="G369" i="14"/>
  <c r="G85" i="14"/>
  <c r="G101" i="14"/>
  <c r="G117" i="14"/>
  <c r="G125" i="14"/>
  <c r="G133" i="14"/>
  <c r="G157" i="14"/>
  <c r="G165" i="14"/>
  <c r="G197" i="14"/>
  <c r="G206" i="14"/>
  <c r="G222" i="14"/>
  <c r="G238" i="14"/>
  <c r="S249" i="14"/>
  <c r="G249" i="14"/>
  <c r="G254" i="14"/>
  <c r="S265" i="14"/>
  <c r="G265" i="14"/>
  <c r="S272" i="14"/>
  <c r="G272" i="14"/>
  <c r="S304" i="14"/>
  <c r="G304" i="14"/>
  <c r="G28" i="14"/>
  <c r="G32" i="14"/>
  <c r="G36" i="14"/>
  <c r="G40" i="14"/>
  <c r="G44" i="14"/>
  <c r="G48" i="14"/>
  <c r="G52" i="14"/>
  <c r="G56" i="14"/>
  <c r="G60" i="14"/>
  <c r="S64" i="14"/>
  <c r="G64" i="14"/>
  <c r="G71" i="14"/>
  <c r="S72" i="14"/>
  <c r="G72" i="14"/>
  <c r="G79" i="14"/>
  <c r="S80" i="14"/>
  <c r="G80" i="14"/>
  <c r="G87" i="14"/>
  <c r="S88" i="14"/>
  <c r="G88" i="14"/>
  <c r="G95" i="14"/>
  <c r="S96" i="14"/>
  <c r="G96" i="14"/>
  <c r="G103" i="14"/>
  <c r="S104" i="14"/>
  <c r="G104" i="14"/>
  <c r="G111" i="14"/>
  <c r="S112" i="14"/>
  <c r="G112" i="14"/>
  <c r="G119" i="14"/>
  <c r="S120" i="14"/>
  <c r="G120" i="14"/>
  <c r="G127" i="14"/>
  <c r="S128" i="14"/>
  <c r="G128" i="14"/>
  <c r="G135" i="14"/>
  <c r="S136" i="14"/>
  <c r="G136" i="14"/>
  <c r="G143" i="14"/>
  <c r="S144" i="14"/>
  <c r="G144" i="14"/>
  <c r="G151" i="14"/>
  <c r="S152" i="14"/>
  <c r="G152" i="14"/>
  <c r="G159" i="14"/>
  <c r="S160" i="14"/>
  <c r="G160" i="14"/>
  <c r="G167" i="14"/>
  <c r="S168" i="14"/>
  <c r="G168" i="14"/>
  <c r="G175" i="14"/>
  <c r="S176" i="14"/>
  <c r="G176" i="14"/>
  <c r="G183" i="14"/>
  <c r="S184" i="14"/>
  <c r="G184" i="14"/>
  <c r="G191" i="14"/>
  <c r="S192" i="14"/>
  <c r="G192" i="14"/>
  <c r="G199" i="14"/>
  <c r="S200" i="14"/>
  <c r="G200" i="14"/>
  <c r="G216" i="14"/>
  <c r="G232" i="14"/>
  <c r="G248" i="14"/>
  <c r="G264" i="14"/>
  <c r="G271" i="14"/>
  <c r="G293" i="14"/>
  <c r="G303" i="14"/>
  <c r="G325" i="14"/>
  <c r="G335" i="14"/>
  <c r="G69" i="14"/>
  <c r="G77" i="14"/>
  <c r="G93" i="14"/>
  <c r="G109" i="14"/>
  <c r="G141" i="14"/>
  <c r="G149" i="14"/>
  <c r="G173" i="14"/>
  <c r="G181" i="14"/>
  <c r="G189" i="14"/>
  <c r="S217" i="14"/>
  <c r="G217" i="14"/>
  <c r="S233" i="14"/>
  <c r="G233" i="14"/>
  <c r="S336" i="14"/>
  <c r="G336" i="14"/>
  <c r="S428" i="14"/>
  <c r="G428" i="14"/>
  <c r="G65" i="14"/>
  <c r="G73" i="14"/>
  <c r="G81" i="14"/>
  <c r="G89" i="14"/>
  <c r="G97" i="14"/>
  <c r="G105" i="14"/>
  <c r="G113" i="14"/>
  <c r="G121" i="14"/>
  <c r="G129" i="14"/>
  <c r="G145" i="14"/>
  <c r="G153" i="14"/>
  <c r="G161" i="14"/>
  <c r="G169" i="14"/>
  <c r="G177" i="14"/>
  <c r="G185" i="14"/>
  <c r="G193" i="14"/>
  <c r="G201" i="14"/>
  <c r="S209" i="14"/>
  <c r="G209" i="14"/>
  <c r="G214" i="14"/>
  <c r="S225" i="14"/>
  <c r="G225" i="14"/>
  <c r="G230" i="14"/>
  <c r="S241" i="14"/>
  <c r="G241" i="14"/>
  <c r="G246" i="14"/>
  <c r="S257" i="14"/>
  <c r="G257" i="14"/>
  <c r="G262" i="14"/>
  <c r="S288" i="14"/>
  <c r="G288" i="14"/>
  <c r="S320" i="14"/>
  <c r="G320" i="14"/>
  <c r="S205" i="14"/>
  <c r="G205" i="14"/>
  <c r="G218" i="14"/>
  <c r="G226" i="14"/>
  <c r="G234" i="14"/>
  <c r="G242" i="14"/>
  <c r="G250" i="14"/>
  <c r="G258" i="14"/>
  <c r="G266" i="14"/>
  <c r="S280" i="14"/>
  <c r="G280" i="14"/>
  <c r="G285" i="14"/>
  <c r="S296" i="14"/>
  <c r="G296" i="14"/>
  <c r="G301" i="14"/>
  <c r="S312" i="14"/>
  <c r="G312" i="14"/>
  <c r="G317" i="14"/>
  <c r="S328" i="14"/>
  <c r="G328" i="14"/>
  <c r="G333" i="14"/>
  <c r="S344" i="14"/>
  <c r="G344" i="14"/>
  <c r="S354" i="14"/>
  <c r="G354" i="14"/>
  <c r="S392" i="14"/>
  <c r="G392" i="14"/>
  <c r="G421" i="14"/>
  <c r="G212" i="14"/>
  <c r="S213" i="14"/>
  <c r="G213" i="14"/>
  <c r="G220" i="14"/>
  <c r="S221" i="14"/>
  <c r="G221" i="14"/>
  <c r="G228" i="14"/>
  <c r="S229" i="14"/>
  <c r="G229" i="14"/>
  <c r="G236" i="14"/>
  <c r="S237" i="14"/>
  <c r="G237" i="14"/>
  <c r="G244" i="14"/>
  <c r="S245" i="14"/>
  <c r="G245" i="14"/>
  <c r="G252" i="14"/>
  <c r="S253" i="14"/>
  <c r="G253" i="14"/>
  <c r="G260" i="14"/>
  <c r="S261" i="14"/>
  <c r="G261" i="14"/>
  <c r="G279" i="14"/>
  <c r="G295" i="14"/>
  <c r="G311" i="14"/>
  <c r="G327" i="14"/>
  <c r="G343" i="14"/>
  <c r="G353" i="14"/>
  <c r="S395" i="14"/>
  <c r="G395" i="14"/>
  <c r="G273" i="14"/>
  <c r="G281" i="14"/>
  <c r="G289" i="14"/>
  <c r="G313" i="14"/>
  <c r="G321" i="14"/>
  <c r="G329" i="14"/>
  <c r="G337" i="14"/>
  <c r="G345" i="14"/>
  <c r="S362" i="14"/>
  <c r="G362" i="14"/>
  <c r="S376" i="14"/>
  <c r="G376" i="14"/>
  <c r="G385" i="14"/>
  <c r="G407" i="14"/>
  <c r="S268" i="14"/>
  <c r="G268" i="14"/>
  <c r="G275" i="14"/>
  <c r="S276" i="14"/>
  <c r="G276" i="14"/>
  <c r="G283" i="14"/>
  <c r="S284" i="14"/>
  <c r="G284" i="14"/>
  <c r="G291" i="14"/>
  <c r="S292" i="14"/>
  <c r="G292" i="14"/>
  <c r="G299" i="14"/>
  <c r="S300" i="14"/>
  <c r="G300" i="14"/>
  <c r="G307" i="14"/>
  <c r="S308" i="14"/>
  <c r="G308" i="14"/>
  <c r="G315" i="14"/>
  <c r="S316" i="14"/>
  <c r="G316" i="14"/>
  <c r="G323" i="14"/>
  <c r="S324" i="14"/>
  <c r="G324" i="14"/>
  <c r="G331" i="14"/>
  <c r="S332" i="14"/>
  <c r="G332" i="14"/>
  <c r="G339" i="14"/>
  <c r="S340" i="14"/>
  <c r="G340" i="14"/>
  <c r="S379" i="14"/>
  <c r="G379" i="14"/>
  <c r="G448" i="14"/>
  <c r="G347" i="14"/>
  <c r="S384" i="14"/>
  <c r="G384" i="14"/>
  <c r="S406" i="14"/>
  <c r="G406" i="14"/>
  <c r="S432" i="14"/>
  <c r="G432" i="14"/>
  <c r="S435" i="14"/>
  <c r="G435" i="14"/>
  <c r="S350" i="14"/>
  <c r="G350" i="14"/>
  <c r="S358" i="14"/>
  <c r="G358" i="14"/>
  <c r="S366" i="14"/>
  <c r="G366" i="14"/>
  <c r="S371" i="14"/>
  <c r="G371" i="14"/>
  <c r="G377" i="14"/>
  <c r="S387" i="14"/>
  <c r="G387" i="14"/>
  <c r="S372" i="14"/>
  <c r="G372" i="14"/>
  <c r="S380" i="14"/>
  <c r="G380" i="14"/>
  <c r="S388" i="14"/>
  <c r="G388" i="14"/>
  <c r="S396" i="14"/>
  <c r="G396" i="14"/>
  <c r="S416" i="14"/>
  <c r="G416" i="14"/>
  <c r="G444" i="14"/>
  <c r="G373" i="14"/>
  <c r="G381" i="14"/>
  <c r="S412" i="14"/>
  <c r="G412" i="14"/>
  <c r="S442" i="14"/>
  <c r="G442" i="14"/>
  <c r="G454" i="14"/>
  <c r="G458" i="14"/>
  <c r="S420" i="14"/>
  <c r="G420" i="14"/>
  <c r="G425" i="14"/>
  <c r="G446" i="14"/>
  <c r="G452" i="14"/>
  <c r="S424" i="14"/>
  <c r="G424" i="14"/>
  <c r="G429" i="14"/>
  <c r="G450" i="14"/>
  <c r="G456" i="14"/>
  <c r="G461" i="14"/>
  <c r="H322" i="8"/>
  <c r="H323" i="8" s="1"/>
  <c r="H325" i="8"/>
  <c r="K12" i="14" l="1"/>
  <c r="I13" i="14"/>
  <c r="L323" i="8"/>
  <c r="L324" i="8" s="1"/>
  <c r="K13" i="14" l="1"/>
  <c r="J13" i="14"/>
  <c r="I14" i="14"/>
  <c r="K14" i="14" l="1"/>
  <c r="I15" i="14"/>
  <c r="J14" i="14"/>
  <c r="A7" i="8"/>
  <c r="A8" i="8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A211" i="8" s="1"/>
  <c r="A212" i="8" s="1"/>
  <c r="A213" i="8" s="1"/>
  <c r="A214" i="8" s="1"/>
  <c r="A215" i="8" s="1"/>
  <c r="A216" i="8" s="1"/>
  <c r="A217" i="8" s="1"/>
  <c r="A218" i="8" s="1"/>
  <c r="A219" i="8" s="1"/>
  <c r="A220" i="8" s="1"/>
  <c r="A221" i="8" s="1"/>
  <c r="A222" i="8" s="1"/>
  <c r="A223" i="8" s="1"/>
  <c r="A224" i="8" s="1"/>
  <c r="A225" i="8" s="1"/>
  <c r="A226" i="8" s="1"/>
  <c r="A227" i="8" s="1"/>
  <c r="A228" i="8" s="1"/>
  <c r="A229" i="8" s="1"/>
  <c r="A230" i="8" s="1"/>
  <c r="A231" i="8" s="1"/>
  <c r="A232" i="8" s="1"/>
  <c r="A233" i="8" s="1"/>
  <c r="A234" i="8" s="1"/>
  <c r="A235" i="8" s="1"/>
  <c r="A236" i="8" s="1"/>
  <c r="A237" i="8" s="1"/>
  <c r="A238" i="8" s="1"/>
  <c r="A239" i="8" s="1"/>
  <c r="A240" i="8" s="1"/>
  <c r="A241" i="8" s="1"/>
  <c r="A242" i="8" s="1"/>
  <c r="A243" i="8" s="1"/>
  <c r="A244" i="8" s="1"/>
  <c r="A245" i="8" s="1"/>
  <c r="A246" i="8" s="1"/>
  <c r="A247" i="8" s="1"/>
  <c r="A248" i="8" s="1"/>
  <c r="A249" i="8" s="1"/>
  <c r="A250" i="8" s="1"/>
  <c r="A251" i="8" s="1"/>
  <c r="A252" i="8" s="1"/>
  <c r="A253" i="8" s="1"/>
  <c r="A254" i="8" s="1"/>
  <c r="A255" i="8" s="1"/>
  <c r="A256" i="8" s="1"/>
  <c r="A257" i="8" s="1"/>
  <c r="A258" i="8" s="1"/>
  <c r="A259" i="8" s="1"/>
  <c r="A260" i="8" s="1"/>
  <c r="A261" i="8" s="1"/>
  <c r="A262" i="8" s="1"/>
  <c r="A263" i="8" s="1"/>
  <c r="A264" i="8" s="1"/>
  <c r="A265" i="8" s="1"/>
  <c r="A266" i="8" s="1"/>
  <c r="A267" i="8" s="1"/>
  <c r="A268" i="8" s="1"/>
  <c r="A269" i="8" s="1"/>
  <c r="A270" i="8" s="1"/>
  <c r="A271" i="8" s="1"/>
  <c r="A272" i="8" s="1"/>
  <c r="A273" i="8" s="1"/>
  <c r="A274" i="8" s="1"/>
  <c r="A275" i="8" s="1"/>
  <c r="A276" i="8" s="1"/>
  <c r="A277" i="8" s="1"/>
  <c r="A278" i="8" s="1"/>
  <c r="A279" i="8" s="1"/>
  <c r="A280" i="8" s="1"/>
  <c r="A281" i="8" s="1"/>
  <c r="A282" i="8" s="1"/>
  <c r="A283" i="8" s="1"/>
  <c r="A284" i="8" s="1"/>
  <c r="A285" i="8" s="1"/>
  <c r="A286" i="8" s="1"/>
  <c r="A287" i="8" s="1"/>
  <c r="A288" i="8" s="1"/>
  <c r="A289" i="8" s="1"/>
  <c r="A290" i="8" s="1"/>
  <c r="A291" i="8" s="1"/>
  <c r="A292" i="8" s="1"/>
  <c r="A293" i="8" s="1"/>
  <c r="A294" i="8" s="1"/>
  <c r="A295" i="8" s="1"/>
  <c r="A296" i="8" s="1"/>
  <c r="A297" i="8" s="1"/>
  <c r="A298" i="8" s="1"/>
  <c r="A299" i="8" s="1"/>
  <c r="A300" i="8" s="1"/>
  <c r="A301" i="8" s="1"/>
  <c r="A302" i="8" s="1"/>
  <c r="A303" i="8" s="1"/>
  <c r="A304" i="8" s="1"/>
  <c r="A305" i="8" s="1"/>
  <c r="A306" i="8" s="1"/>
  <c r="A307" i="8" s="1"/>
  <c r="A308" i="8" s="1"/>
  <c r="A309" i="8" s="1"/>
  <c r="A310" i="8" s="1"/>
  <c r="A311" i="8" s="1"/>
  <c r="A312" i="8" s="1"/>
  <c r="A313" i="8" s="1"/>
  <c r="A314" i="8" s="1"/>
  <c r="A315" i="8" s="1"/>
  <c r="A316" i="8" s="1"/>
  <c r="A317" i="8" s="1"/>
  <c r="A318" i="8" s="1"/>
  <c r="A319" i="8" s="1"/>
  <c r="A320" i="8" s="1"/>
  <c r="A321" i="8" s="1"/>
  <c r="A322" i="8" s="1"/>
  <c r="A323" i="8" s="1"/>
  <c r="A324" i="8" s="1"/>
  <c r="A325" i="8" s="1"/>
  <c r="A326" i="8" s="1"/>
  <c r="A327" i="8" s="1"/>
  <c r="A328" i="8" s="1"/>
  <c r="A329" i="8" s="1"/>
  <c r="A330" i="8" s="1"/>
  <c r="A331" i="8" s="1"/>
  <c r="A332" i="8" s="1"/>
  <c r="A333" i="8" s="1"/>
  <c r="A334" i="8" s="1"/>
  <c r="A335" i="8" s="1"/>
  <c r="A336" i="8" s="1"/>
  <c r="A337" i="8" s="1"/>
  <c r="A338" i="8" s="1"/>
  <c r="A339" i="8" s="1"/>
  <c r="A340" i="8" s="1"/>
  <c r="A341" i="8" s="1"/>
  <c r="A342" i="8" s="1"/>
  <c r="A343" i="8" s="1"/>
  <c r="A344" i="8" s="1"/>
  <c r="A345" i="8" s="1"/>
  <c r="A346" i="8" s="1"/>
  <c r="A347" i="8" s="1"/>
  <c r="A348" i="8" s="1"/>
  <c r="A349" i="8" s="1"/>
  <c r="A350" i="8" s="1"/>
  <c r="A351" i="8" s="1"/>
  <c r="A352" i="8" s="1"/>
  <c r="A353" i="8" s="1"/>
  <c r="A354" i="8" s="1"/>
  <c r="A355" i="8" s="1"/>
  <c r="A356" i="8" s="1"/>
  <c r="A357" i="8" s="1"/>
  <c r="A358" i="8" s="1"/>
  <c r="A359" i="8" s="1"/>
  <c r="A360" i="8" s="1"/>
  <c r="A361" i="8" s="1"/>
  <c r="A362" i="8" s="1"/>
  <c r="A363" i="8" s="1"/>
  <c r="A364" i="8" s="1"/>
  <c r="A365" i="8" s="1"/>
  <c r="A366" i="8" s="1"/>
  <c r="A367" i="8" s="1"/>
  <c r="A368" i="8" s="1"/>
  <c r="A369" i="8" s="1"/>
  <c r="A370" i="8" s="1"/>
  <c r="A371" i="8" s="1"/>
  <c r="A372" i="8" s="1"/>
  <c r="A373" i="8" s="1"/>
  <c r="A374" i="8" s="1"/>
  <c r="A375" i="8" s="1"/>
  <c r="A376" i="8" s="1"/>
  <c r="A377" i="8" s="1"/>
  <c r="A378" i="8" s="1"/>
  <c r="A379" i="8" s="1"/>
  <c r="A380" i="8" s="1"/>
  <c r="A381" i="8" s="1"/>
  <c r="A382" i="8" s="1"/>
  <c r="A383" i="8" s="1"/>
  <c r="A384" i="8" s="1"/>
  <c r="A385" i="8" s="1"/>
  <c r="A386" i="8" s="1"/>
  <c r="A387" i="8" s="1"/>
  <c r="A388" i="8" s="1"/>
  <c r="A389" i="8" s="1"/>
  <c r="A390" i="8" s="1"/>
  <c r="A391" i="8" s="1"/>
  <c r="A392" i="8" s="1"/>
  <c r="A393" i="8" s="1"/>
  <c r="A394" i="8" s="1"/>
  <c r="A395" i="8" s="1"/>
  <c r="A396" i="8" s="1"/>
  <c r="A397" i="8" s="1"/>
  <c r="A398" i="8" s="1"/>
  <c r="A399" i="8" s="1"/>
  <c r="A400" i="8" s="1"/>
  <c r="A401" i="8" s="1"/>
  <c r="A402" i="8" s="1"/>
  <c r="A403" i="8" s="1"/>
  <c r="A404" i="8" s="1"/>
  <c r="A405" i="8" s="1"/>
  <c r="A406" i="8" s="1"/>
  <c r="A407" i="8" s="1"/>
  <c r="A408" i="8" s="1"/>
  <c r="A409" i="8" s="1"/>
  <c r="A410" i="8" s="1"/>
  <c r="A411" i="8" s="1"/>
  <c r="A412" i="8" s="1"/>
  <c r="A413" i="8" s="1"/>
  <c r="A414" i="8" s="1"/>
  <c r="A415" i="8" s="1"/>
  <c r="A416" i="8" s="1"/>
  <c r="A417" i="8" s="1"/>
  <c r="A418" i="8" s="1"/>
  <c r="A419" i="8" s="1"/>
  <c r="A420" i="8" s="1"/>
  <c r="A421" i="8" s="1"/>
  <c r="A422" i="8" s="1"/>
  <c r="A423" i="8" s="1"/>
  <c r="A424" i="8" s="1"/>
  <c r="A425" i="8" s="1"/>
  <c r="A426" i="8" s="1"/>
  <c r="A427" i="8" s="1"/>
  <c r="A428" i="8" s="1"/>
  <c r="A429" i="8" s="1"/>
  <c r="A430" i="8" s="1"/>
  <c r="A6" i="8"/>
  <c r="B326" i="8"/>
  <c r="B5" i="8"/>
  <c r="B325" i="8"/>
  <c r="G23" i="8"/>
  <c r="E341" i="14" l="1"/>
  <c r="Q341" i="14" s="1"/>
  <c r="B6" i="8"/>
  <c r="E21" i="14"/>
  <c r="B327" i="8"/>
  <c r="E342" i="14"/>
  <c r="Q342" i="14" s="1"/>
  <c r="K15" i="14"/>
  <c r="J15" i="14"/>
  <c r="I16" i="14"/>
  <c r="B328" i="8" l="1"/>
  <c r="E343" i="14"/>
  <c r="Q343" i="14" s="1"/>
  <c r="B7" i="8"/>
  <c r="E22" i="14"/>
  <c r="Q22" i="14" s="1"/>
  <c r="I17" i="14"/>
  <c r="K16" i="14"/>
  <c r="J16" i="14"/>
  <c r="Q21" i="14"/>
  <c r="Q4" i="8"/>
  <c r="G243" i="8"/>
  <c r="S399" i="13"/>
  <c r="S400" i="13"/>
  <c r="S401" i="13"/>
  <c r="S402" i="13"/>
  <c r="S403" i="13"/>
  <c r="I18" i="14" l="1"/>
  <c r="J17" i="14"/>
  <c r="K17" i="14"/>
  <c r="B8" i="8"/>
  <c r="E23" i="14"/>
  <c r="Q23" i="14" s="1"/>
  <c r="B329" i="8"/>
  <c r="E344" i="14"/>
  <c r="Q344" i="14" s="1"/>
  <c r="B330" i="8" l="1"/>
  <c r="E345" i="14"/>
  <c r="Q345" i="14" s="1"/>
  <c r="B9" i="8"/>
  <c r="E24" i="14"/>
  <c r="Q24" i="14" s="1"/>
  <c r="J18" i="14"/>
  <c r="I19" i="14"/>
  <c r="K18" i="14"/>
  <c r="S406" i="13"/>
  <c r="S410" i="13"/>
  <c r="S414" i="13"/>
  <c r="S415" i="13"/>
  <c r="S418" i="13"/>
  <c r="S422" i="13"/>
  <c r="S423" i="13"/>
  <c r="S426" i="13"/>
  <c r="S427" i="13"/>
  <c r="S430" i="13"/>
  <c r="S434" i="13"/>
  <c r="S435" i="13"/>
  <c r="S438" i="13"/>
  <c r="S439" i="13"/>
  <c r="S442" i="13"/>
  <c r="B331" i="8" l="1"/>
  <c r="E346" i="14"/>
  <c r="Q346" i="14" s="1"/>
  <c r="K19" i="14"/>
  <c r="I20" i="14"/>
  <c r="J19" i="14"/>
  <c r="N23" i="14"/>
  <c r="O23" i="14"/>
  <c r="B10" i="8"/>
  <c r="E25" i="14"/>
  <c r="Q25" i="14" s="1"/>
  <c r="S397" i="13"/>
  <c r="S398" i="13"/>
  <c r="S394" i="13"/>
  <c r="S391" i="13"/>
  <c r="S433" i="13"/>
  <c r="S396" i="13"/>
  <c r="S417" i="13"/>
  <c r="S429" i="13"/>
  <c r="S413" i="13"/>
  <c r="S393" i="13"/>
  <c r="S441" i="13"/>
  <c r="S425" i="13"/>
  <c r="S409" i="13"/>
  <c r="S437" i="13"/>
  <c r="S421" i="13"/>
  <c r="S405" i="13"/>
  <c r="S440" i="13"/>
  <c r="S436" i="13"/>
  <c r="S432" i="13"/>
  <c r="S428" i="13"/>
  <c r="S424" i="13"/>
  <c r="S420" i="13"/>
  <c r="S416" i="13"/>
  <c r="S412" i="13"/>
  <c r="S408" i="13"/>
  <c r="S404" i="13"/>
  <c r="S395" i="13"/>
  <c r="S392" i="13"/>
  <c r="S443" i="13"/>
  <c r="S431" i="13"/>
  <c r="S419" i="13"/>
  <c r="S411" i="13"/>
  <c r="S407" i="13"/>
  <c r="J20" i="14" l="1"/>
  <c r="I21" i="14"/>
  <c r="K20" i="14"/>
  <c r="B11" i="8"/>
  <c r="E26" i="14"/>
  <c r="Q26" i="14" s="1"/>
  <c r="B332" i="8"/>
  <c r="E347" i="14"/>
  <c r="Q347" i="14" s="1"/>
  <c r="S20" i="13"/>
  <c r="I22" i="14" l="1"/>
  <c r="J21" i="14"/>
  <c r="K21" i="14"/>
  <c r="B333" i="8"/>
  <c r="E348" i="14"/>
  <c r="Q348" i="14" s="1"/>
  <c r="B12" i="8"/>
  <c r="E27" i="14"/>
  <c r="Q27" i="14" s="1"/>
  <c r="S19" i="13"/>
  <c r="B334" i="8" l="1"/>
  <c r="E349" i="14"/>
  <c r="Q349" i="14" s="1"/>
  <c r="B13" i="8"/>
  <c r="E28" i="14"/>
  <c r="Q28" i="14" s="1"/>
  <c r="I23" i="14"/>
  <c r="J22" i="14"/>
  <c r="K22" i="14"/>
  <c r="E9" i="13"/>
  <c r="I24" i="14" l="1"/>
  <c r="J23" i="14"/>
  <c r="K23" i="14"/>
  <c r="B14" i="8"/>
  <c r="E29" i="14"/>
  <c r="Q29" i="14" s="1"/>
  <c r="B335" i="8"/>
  <c r="E350" i="14"/>
  <c r="Q350" i="14" s="1"/>
  <c r="S320" i="13"/>
  <c r="B336" i="8" l="1"/>
  <c r="E351" i="14"/>
  <c r="Q351" i="14" s="1"/>
  <c r="B15" i="8"/>
  <c r="E30" i="14"/>
  <c r="Q30" i="14" s="1"/>
  <c r="K24" i="14"/>
  <c r="I25" i="14"/>
  <c r="J24" i="14"/>
  <c r="S235" i="13"/>
  <c r="S236" i="13"/>
  <c r="S237" i="13"/>
  <c r="S238" i="13"/>
  <c r="J25" i="14" l="1"/>
  <c r="K25" i="14"/>
  <c r="I26" i="14"/>
  <c r="B16" i="8"/>
  <c r="E31" i="14"/>
  <c r="Q31" i="14" s="1"/>
  <c r="B337" i="8"/>
  <c r="E352" i="14"/>
  <c r="Q352" i="14" s="1"/>
  <c r="S388" i="13"/>
  <c r="S380" i="13"/>
  <c r="S390" i="13"/>
  <c r="S386" i="13"/>
  <c r="S382" i="13"/>
  <c r="S378" i="13"/>
  <c r="S374" i="13"/>
  <c r="S370" i="13"/>
  <c r="S384" i="13"/>
  <c r="S376" i="13"/>
  <c r="S372" i="13"/>
  <c r="S321" i="13"/>
  <c r="S387" i="13"/>
  <c r="S383" i="13"/>
  <c r="S379" i="13"/>
  <c r="S375" i="13"/>
  <c r="S371" i="13"/>
  <c r="S389" i="13"/>
  <c r="S385" i="13"/>
  <c r="S381" i="13"/>
  <c r="S377" i="13"/>
  <c r="S373" i="13"/>
  <c r="S16" i="13"/>
  <c r="S277" i="13"/>
  <c r="S278" i="13"/>
  <c r="S279" i="13"/>
  <c r="S280" i="13"/>
  <c r="S281" i="13"/>
  <c r="S282" i="13"/>
  <c r="S283" i="13"/>
  <c r="S291" i="13"/>
  <c r="S292" i="13"/>
  <c r="S293" i="13"/>
  <c r="S294" i="13"/>
  <c r="S295" i="13"/>
  <c r="S296" i="13"/>
  <c r="S297" i="13"/>
  <c r="S298" i="13"/>
  <c r="S299" i="13"/>
  <c r="S300" i="13"/>
  <c r="S301" i="13"/>
  <c r="S302" i="13"/>
  <c r="S303" i="13"/>
  <c r="S304" i="13"/>
  <c r="S305" i="13"/>
  <c r="S306" i="13"/>
  <c r="S307" i="13"/>
  <c r="S308" i="13"/>
  <c r="S309" i="13"/>
  <c r="S310" i="13"/>
  <c r="S311" i="13"/>
  <c r="S313" i="13"/>
  <c r="S314" i="13"/>
  <c r="S315" i="13"/>
  <c r="S318" i="13"/>
  <c r="S319" i="13"/>
  <c r="S322" i="13"/>
  <c r="S323" i="13"/>
  <c r="S326" i="13"/>
  <c r="S327" i="13"/>
  <c r="S329" i="13"/>
  <c r="S332" i="13"/>
  <c r="S336" i="13"/>
  <c r="S337" i="13"/>
  <c r="S340" i="13"/>
  <c r="S342" i="13"/>
  <c r="S343" i="13"/>
  <c r="S350" i="13"/>
  <c r="S353" i="13"/>
  <c r="S354" i="13"/>
  <c r="S355" i="13"/>
  <c r="S356" i="13"/>
  <c r="S357" i="13"/>
  <c r="S358" i="13"/>
  <c r="S361" i="13"/>
  <c r="S362" i="13"/>
  <c r="S364" i="13"/>
  <c r="S368" i="13"/>
  <c r="S369" i="13"/>
  <c r="B338" i="8" l="1"/>
  <c r="E353" i="14"/>
  <c r="Q353" i="14" s="1"/>
  <c r="B17" i="8"/>
  <c r="E32" i="14"/>
  <c r="Q32" i="14" s="1"/>
  <c r="J26" i="14"/>
  <c r="K26" i="14"/>
  <c r="I27" i="14"/>
  <c r="S351" i="13"/>
  <c r="S328" i="13"/>
  <c r="S325" i="13"/>
  <c r="S312" i="13"/>
  <c r="S290" i="13"/>
  <c r="S286" i="13"/>
  <c r="S324" i="13"/>
  <c r="S365" i="13"/>
  <c r="S334" i="13"/>
  <c r="S316" i="13"/>
  <c r="S287" i="13"/>
  <c r="S344" i="13"/>
  <c r="S289" i="13"/>
  <c r="S285" i="13"/>
  <c r="S366" i="13"/>
  <c r="S360" i="13"/>
  <c r="S352" i="13"/>
  <c r="S338" i="13"/>
  <c r="S335" i="13"/>
  <c r="S330" i="13"/>
  <c r="S317" i="13"/>
  <c r="S288" i="13"/>
  <c r="S284" i="13"/>
  <c r="S349" i="13"/>
  <c r="S348" i="13"/>
  <c r="S347" i="13"/>
  <c r="S346" i="13"/>
  <c r="S345" i="13"/>
  <c r="S341" i="13"/>
  <c r="S333" i="13"/>
  <c r="S367" i="13"/>
  <c r="S363" i="13"/>
  <c r="S359" i="13"/>
  <c r="S339" i="13"/>
  <c r="S331" i="13"/>
  <c r="B18" i="8" l="1"/>
  <c r="E33" i="14"/>
  <c r="Q33" i="14" s="1"/>
  <c r="I28" i="14"/>
  <c r="J27" i="14"/>
  <c r="K27" i="14"/>
  <c r="B339" i="8"/>
  <c r="E354" i="14"/>
  <c r="Q354" i="14" s="1"/>
  <c r="S264" i="13"/>
  <c r="S263" i="13"/>
  <c r="S262" i="13"/>
  <c r="S261" i="13"/>
  <c r="S260" i="13"/>
  <c r="S259" i="13"/>
  <c r="S258" i="13"/>
  <c r="S257" i="13"/>
  <c r="S256" i="13"/>
  <c r="S255" i="13"/>
  <c r="S254" i="13"/>
  <c r="S253" i="13"/>
  <c r="S252" i="13"/>
  <c r="S251" i="13"/>
  <c r="S250" i="13"/>
  <c r="S249" i="13"/>
  <c r="S248" i="13"/>
  <c r="S247" i="13"/>
  <c r="S246" i="13"/>
  <c r="S245" i="13"/>
  <c r="S244" i="13"/>
  <c r="S243" i="13"/>
  <c r="S242" i="13"/>
  <c r="S241" i="13"/>
  <c r="S240" i="13"/>
  <c r="S239" i="13"/>
  <c r="S234" i="13"/>
  <c r="S233" i="13"/>
  <c r="S232" i="13"/>
  <c r="S231" i="13"/>
  <c r="S230" i="13"/>
  <c r="S229" i="13"/>
  <c r="S228" i="13"/>
  <c r="S227" i="13"/>
  <c r="S226" i="13"/>
  <c r="S225" i="13"/>
  <c r="S224" i="13"/>
  <c r="S223" i="13"/>
  <c r="S222" i="13"/>
  <c r="S221" i="13"/>
  <c r="S220" i="13"/>
  <c r="S219" i="13"/>
  <c r="S218" i="13"/>
  <c r="S217" i="13"/>
  <c r="S216" i="13"/>
  <c r="S215" i="13"/>
  <c r="S214" i="13"/>
  <c r="S213" i="13"/>
  <c r="S212" i="13"/>
  <c r="S211" i="13"/>
  <c r="S210" i="13"/>
  <c r="S209" i="13"/>
  <c r="S208" i="13"/>
  <c r="S207" i="13"/>
  <c r="S206" i="13"/>
  <c r="S205" i="13"/>
  <c r="S204" i="13"/>
  <c r="S203" i="13"/>
  <c r="S202" i="13"/>
  <c r="S201" i="13"/>
  <c r="S200" i="13"/>
  <c r="S199" i="13"/>
  <c r="S198" i="13"/>
  <c r="S197" i="13"/>
  <c r="S196" i="13"/>
  <c r="S195" i="13"/>
  <c r="S194" i="13"/>
  <c r="S193" i="13"/>
  <c r="S192" i="13"/>
  <c r="S191" i="13"/>
  <c r="S190" i="13"/>
  <c r="S189" i="13"/>
  <c r="S188" i="13"/>
  <c r="S187" i="13"/>
  <c r="S186" i="13"/>
  <c r="S185" i="13"/>
  <c r="S184" i="13"/>
  <c r="S183" i="13"/>
  <c r="S182" i="13"/>
  <c r="S181" i="13"/>
  <c r="S180" i="13"/>
  <c r="S177" i="13"/>
  <c r="S176" i="13"/>
  <c r="S175" i="13"/>
  <c r="S174" i="13"/>
  <c r="S173" i="13"/>
  <c r="S172" i="13"/>
  <c r="S171" i="13"/>
  <c r="S170" i="13"/>
  <c r="S169" i="13"/>
  <c r="S168" i="13"/>
  <c r="S167" i="13"/>
  <c r="S166" i="13"/>
  <c r="S165" i="13"/>
  <c r="S164" i="13"/>
  <c r="S163" i="13"/>
  <c r="S162" i="13"/>
  <c r="S161" i="13"/>
  <c r="S160" i="13"/>
  <c r="S159" i="13"/>
  <c r="S158" i="13"/>
  <c r="S157" i="13"/>
  <c r="S156" i="13"/>
  <c r="S155" i="13"/>
  <c r="S154" i="13"/>
  <c r="S153" i="13"/>
  <c r="S152" i="13"/>
  <c r="S151" i="13"/>
  <c r="S150" i="13"/>
  <c r="S149" i="13"/>
  <c r="S148" i="13"/>
  <c r="S147" i="13"/>
  <c r="S146" i="13"/>
  <c r="S145" i="13"/>
  <c r="S144" i="13"/>
  <c r="S143" i="13"/>
  <c r="S142" i="13"/>
  <c r="S141" i="13"/>
  <c r="S140" i="13"/>
  <c r="S139" i="13"/>
  <c r="S138" i="13"/>
  <c r="S137" i="13"/>
  <c r="S136" i="13"/>
  <c r="S135" i="13"/>
  <c r="S134" i="13"/>
  <c r="S133" i="13"/>
  <c r="S132" i="13"/>
  <c r="S131" i="13"/>
  <c r="S130" i="13"/>
  <c r="S129" i="13"/>
  <c r="S128" i="13"/>
  <c r="S127" i="13"/>
  <c r="S126" i="13"/>
  <c r="S125" i="13"/>
  <c r="S124" i="13"/>
  <c r="S123" i="13"/>
  <c r="S122" i="13"/>
  <c r="S121" i="13"/>
  <c r="S120" i="13"/>
  <c r="S119" i="13"/>
  <c r="S118" i="13"/>
  <c r="S117" i="13"/>
  <c r="S116" i="13"/>
  <c r="S115" i="13"/>
  <c r="S114" i="13"/>
  <c r="S113" i="13"/>
  <c r="S112" i="13"/>
  <c r="S111" i="13"/>
  <c r="S110" i="13"/>
  <c r="S109" i="13"/>
  <c r="S108" i="13"/>
  <c r="S107" i="13"/>
  <c r="S106" i="13"/>
  <c r="S105" i="13"/>
  <c r="S104" i="13"/>
  <c r="S103" i="13"/>
  <c r="S102" i="13"/>
  <c r="S101" i="13"/>
  <c r="S100" i="13"/>
  <c r="S99" i="13"/>
  <c r="S98" i="13"/>
  <c r="S97" i="13"/>
  <c r="S96" i="13"/>
  <c r="S95" i="13"/>
  <c r="S94" i="13"/>
  <c r="S93" i="13"/>
  <c r="S92" i="13"/>
  <c r="S91" i="13"/>
  <c r="S90" i="13"/>
  <c r="S89" i="13"/>
  <c r="S88" i="13"/>
  <c r="S87" i="13"/>
  <c r="S86" i="13"/>
  <c r="S85" i="13"/>
  <c r="S84" i="13"/>
  <c r="S83" i="13"/>
  <c r="S82" i="13"/>
  <c r="S81" i="13"/>
  <c r="S80" i="13"/>
  <c r="S79" i="13"/>
  <c r="S78" i="13"/>
  <c r="S77" i="13"/>
  <c r="S76" i="13"/>
  <c r="S75" i="13"/>
  <c r="S74" i="13"/>
  <c r="S73" i="13"/>
  <c r="S72" i="13"/>
  <c r="S71" i="13"/>
  <c r="S70" i="13"/>
  <c r="S69" i="13"/>
  <c r="S68" i="13"/>
  <c r="S67" i="13"/>
  <c r="S66" i="13"/>
  <c r="S65" i="13"/>
  <c r="S64" i="13"/>
  <c r="S63" i="13"/>
  <c r="S62" i="13"/>
  <c r="S61" i="13"/>
  <c r="S60" i="13"/>
  <c r="S59" i="13"/>
  <c r="S58" i="13"/>
  <c r="S57" i="13"/>
  <c r="S56" i="13"/>
  <c r="S55" i="13"/>
  <c r="S54" i="13"/>
  <c r="S53" i="13"/>
  <c r="S52" i="13"/>
  <c r="S51" i="13"/>
  <c r="S50" i="13"/>
  <c r="S49" i="13"/>
  <c r="S48" i="13"/>
  <c r="S47" i="13"/>
  <c r="S46" i="13"/>
  <c r="S45" i="13"/>
  <c r="S44" i="13"/>
  <c r="S43" i="13"/>
  <c r="S42" i="13"/>
  <c r="S41" i="13"/>
  <c r="S40" i="13"/>
  <c r="S39" i="13"/>
  <c r="S38" i="13"/>
  <c r="S37" i="13"/>
  <c r="S36" i="13"/>
  <c r="S35" i="13"/>
  <c r="S34" i="13"/>
  <c r="S33" i="13"/>
  <c r="S32" i="13"/>
  <c r="S31" i="13"/>
  <c r="S29" i="13"/>
  <c r="S28" i="13"/>
  <c r="S25" i="13"/>
  <c r="S24" i="13"/>
  <c r="S23" i="13"/>
  <c r="S22" i="13"/>
  <c r="S21" i="13"/>
  <c r="S18" i="13"/>
  <c r="S17" i="13"/>
  <c r="L9" i="13"/>
  <c r="F9" i="13"/>
  <c r="H8" i="13"/>
  <c r="B340" i="8" l="1"/>
  <c r="E355" i="14"/>
  <c r="Q355" i="14" s="1"/>
  <c r="K28" i="14"/>
  <c r="I29" i="14"/>
  <c r="J28" i="14"/>
  <c r="B19" i="8"/>
  <c r="E34" i="14"/>
  <c r="Q34" i="14" s="1"/>
  <c r="C42" i="9"/>
  <c r="C41" i="9"/>
  <c r="C43" i="9"/>
  <c r="S30" i="13"/>
  <c r="S26" i="13"/>
  <c r="S27" i="13"/>
  <c r="S179" i="13"/>
  <c r="S268" i="13"/>
  <c r="S178" i="13"/>
  <c r="S272" i="13"/>
  <c r="S276" i="13"/>
  <c r="S267" i="13"/>
  <c r="S271" i="13"/>
  <c r="S275" i="13"/>
  <c r="S266" i="13"/>
  <c r="S270" i="13"/>
  <c r="S274" i="13"/>
  <c r="S265" i="13"/>
  <c r="S269" i="13"/>
  <c r="S273" i="13"/>
  <c r="I30" i="14" l="1"/>
  <c r="K29" i="14"/>
  <c r="J29" i="14"/>
  <c r="B20" i="8"/>
  <c r="E35" i="14"/>
  <c r="Q35" i="14" s="1"/>
  <c r="B341" i="8"/>
  <c r="E356" i="14"/>
  <c r="Q356" i="14" s="1"/>
  <c r="C46" i="9"/>
  <c r="B342" i="8" l="1"/>
  <c r="E357" i="14"/>
  <c r="Q357" i="14" s="1"/>
  <c r="B21" i="8"/>
  <c r="E36" i="14"/>
  <c r="Q36" i="14" s="1"/>
  <c r="K30" i="14"/>
  <c r="I31" i="14"/>
  <c r="J30" i="14"/>
  <c r="B22" i="8" l="1"/>
  <c r="E37" i="14"/>
  <c r="Q37" i="14" s="1"/>
  <c r="I32" i="14"/>
  <c r="J31" i="14"/>
  <c r="K31" i="14"/>
  <c r="B343" i="8"/>
  <c r="E358" i="14"/>
  <c r="Q358" i="14" s="1"/>
  <c r="B344" i="8" l="1"/>
  <c r="E359" i="14"/>
  <c r="Q359" i="14" s="1"/>
  <c r="K32" i="14"/>
  <c r="I33" i="14"/>
  <c r="J32" i="14"/>
  <c r="B23" i="8"/>
  <c r="E38" i="14"/>
  <c r="Q38" i="14" s="1"/>
  <c r="AE8" i="9"/>
  <c r="AE9" i="9"/>
  <c r="AE10" i="9"/>
  <c r="AE11" i="9"/>
  <c r="AE12" i="9"/>
  <c r="AE13" i="9"/>
  <c r="AE14" i="9"/>
  <c r="AE15" i="9"/>
  <c r="AE16" i="9"/>
  <c r="AE7" i="9"/>
  <c r="AH8" i="9"/>
  <c r="AH9" i="9"/>
  <c r="AH10" i="9"/>
  <c r="AH11" i="9"/>
  <c r="AH12" i="9"/>
  <c r="AH13" i="9"/>
  <c r="AH14" i="9"/>
  <c r="AH15" i="9"/>
  <c r="AH16" i="9"/>
  <c r="AH7" i="9"/>
  <c r="B24" i="8" l="1"/>
  <c r="E39" i="14"/>
  <c r="Q39" i="14" s="1"/>
  <c r="K33" i="14"/>
  <c r="J33" i="14"/>
  <c r="I34" i="14"/>
  <c r="B345" i="8"/>
  <c r="E360" i="14"/>
  <c r="Q360" i="14" s="1"/>
  <c r="D330" i="11"/>
  <c r="D331" i="11" s="1"/>
  <c r="F329" i="11"/>
  <c r="D302" i="11"/>
  <c r="D303" i="11" s="1"/>
  <c r="D304" i="11" s="1"/>
  <c r="D305" i="11" s="1"/>
  <c r="D306" i="11" s="1"/>
  <c r="D307" i="11" s="1"/>
  <c r="D308" i="11" s="1"/>
  <c r="D309" i="11" s="1"/>
  <c r="D310" i="11" s="1"/>
  <c r="D311" i="11" s="1"/>
  <c r="D312" i="11" s="1"/>
  <c r="D313" i="11" s="1"/>
  <c r="D314" i="11" s="1"/>
  <c r="D315" i="11" s="1"/>
  <c r="D316" i="11" s="1"/>
  <c r="D317" i="11" s="1"/>
  <c r="D318" i="11" s="1"/>
  <c r="D319" i="11" s="1"/>
  <c r="D320" i="11" s="1"/>
  <c r="D321" i="11" s="1"/>
  <c r="D322" i="11" s="1"/>
  <c r="D323" i="11" s="1"/>
  <c r="D324" i="11" s="1"/>
  <c r="D325" i="11" s="1"/>
  <c r="D326" i="11" s="1"/>
  <c r="F300" i="11"/>
  <c r="F299" i="11"/>
  <c r="F298" i="11"/>
  <c r="F297" i="11"/>
  <c r="F170" i="11"/>
  <c r="F156" i="11"/>
  <c r="F151" i="11"/>
  <c r="F127" i="11"/>
  <c r="F124" i="11"/>
  <c r="F119" i="11"/>
  <c r="F95" i="11"/>
  <c r="F92" i="11"/>
  <c r="F87" i="11"/>
  <c r="F63" i="11"/>
  <c r="F60" i="11"/>
  <c r="F55" i="11"/>
  <c r="F36" i="11"/>
  <c r="F35" i="11"/>
  <c r="F32" i="11"/>
  <c r="F23" i="11"/>
  <c r="D22" i="1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D110" i="11" s="1"/>
  <c r="D111" i="11" s="1"/>
  <c r="D112" i="11" s="1"/>
  <c r="D113" i="11" s="1"/>
  <c r="D114" i="11" s="1"/>
  <c r="D115" i="11" s="1"/>
  <c r="D116" i="11" s="1"/>
  <c r="D117" i="11" s="1"/>
  <c r="D118" i="11" s="1"/>
  <c r="D119" i="11" s="1"/>
  <c r="D120" i="11" s="1"/>
  <c r="D121" i="11" s="1"/>
  <c r="D122" i="11" s="1"/>
  <c r="D123" i="11" s="1"/>
  <c r="D124" i="11" s="1"/>
  <c r="D125" i="11" s="1"/>
  <c r="D126" i="11" s="1"/>
  <c r="D127" i="11" s="1"/>
  <c r="D128" i="11" s="1"/>
  <c r="D129" i="11" s="1"/>
  <c r="D130" i="11" s="1"/>
  <c r="D131" i="11" s="1"/>
  <c r="D132" i="11" s="1"/>
  <c r="D133" i="11" s="1"/>
  <c r="D134" i="11" s="1"/>
  <c r="D135" i="11" s="1"/>
  <c r="D136" i="11" s="1"/>
  <c r="D137" i="11" s="1"/>
  <c r="D138" i="11" s="1"/>
  <c r="D139" i="11" s="1"/>
  <c r="D140" i="11" s="1"/>
  <c r="D141" i="11" s="1"/>
  <c r="D142" i="11" s="1"/>
  <c r="D143" i="11" s="1"/>
  <c r="D144" i="11" s="1"/>
  <c r="D145" i="11" s="1"/>
  <c r="D146" i="11" s="1"/>
  <c r="D147" i="11" s="1"/>
  <c r="D148" i="11" s="1"/>
  <c r="D149" i="11" s="1"/>
  <c r="D150" i="11" s="1"/>
  <c r="D151" i="11" s="1"/>
  <c r="D152" i="11" s="1"/>
  <c r="D153" i="11" s="1"/>
  <c r="D154" i="11" s="1"/>
  <c r="D155" i="11" s="1"/>
  <c r="D156" i="11" s="1"/>
  <c r="D157" i="11" s="1"/>
  <c r="D158" i="11" s="1"/>
  <c r="D159" i="11" s="1"/>
  <c r="D160" i="11" s="1"/>
  <c r="D161" i="11" s="1"/>
  <c r="D162" i="11" s="1"/>
  <c r="D163" i="11" s="1"/>
  <c r="D164" i="11" s="1"/>
  <c r="D165" i="11" s="1"/>
  <c r="D166" i="11" s="1"/>
  <c r="D167" i="11" s="1"/>
  <c r="D168" i="11" s="1"/>
  <c r="D169" i="11" s="1"/>
  <c r="D170" i="11" s="1"/>
  <c r="D171" i="11" s="1"/>
  <c r="D172" i="11" s="1"/>
  <c r="D173" i="11" s="1"/>
  <c r="D174" i="11" s="1"/>
  <c r="D175" i="11" s="1"/>
  <c r="D176" i="11" s="1"/>
  <c r="D177" i="11" s="1"/>
  <c r="D178" i="11" s="1"/>
  <c r="D179" i="11" s="1"/>
  <c r="D180" i="11" s="1"/>
  <c r="D181" i="11" s="1"/>
  <c r="D182" i="11" s="1"/>
  <c r="D183" i="11" s="1"/>
  <c r="D184" i="11" s="1"/>
  <c r="D185" i="11" s="1"/>
  <c r="D186" i="11" s="1"/>
  <c r="D187" i="11" s="1"/>
  <c r="D188" i="11" s="1"/>
  <c r="D189" i="11" s="1"/>
  <c r="D190" i="11" s="1"/>
  <c r="D191" i="11" s="1"/>
  <c r="D192" i="11" s="1"/>
  <c r="D193" i="11" s="1"/>
  <c r="D194" i="11" s="1"/>
  <c r="D195" i="11" s="1"/>
  <c r="D196" i="11" s="1"/>
  <c r="D197" i="11" s="1"/>
  <c r="D198" i="11" s="1"/>
  <c r="D199" i="11" s="1"/>
  <c r="D200" i="11" s="1"/>
  <c r="D201" i="11" s="1"/>
  <c r="D202" i="11" s="1"/>
  <c r="D203" i="11" s="1"/>
  <c r="D204" i="11" s="1"/>
  <c r="D205" i="11" s="1"/>
  <c r="D206" i="11" s="1"/>
  <c r="D207" i="11" s="1"/>
  <c r="D208" i="11" s="1"/>
  <c r="D209" i="11" s="1"/>
  <c r="D210" i="11" s="1"/>
  <c r="D211" i="11" s="1"/>
  <c r="D212" i="11" s="1"/>
  <c r="D213" i="11" s="1"/>
  <c r="D214" i="11" s="1"/>
  <c r="D215" i="11" s="1"/>
  <c r="D216" i="11" s="1"/>
  <c r="D217" i="11" s="1"/>
  <c r="D218" i="11" s="1"/>
  <c r="D219" i="11" s="1"/>
  <c r="D220" i="11" s="1"/>
  <c r="D221" i="11" s="1"/>
  <c r="D222" i="11" s="1"/>
  <c r="D223" i="11" s="1"/>
  <c r="D224" i="11" s="1"/>
  <c r="D225" i="11" s="1"/>
  <c r="D226" i="11" s="1"/>
  <c r="D227" i="11" s="1"/>
  <c r="D228" i="11" s="1"/>
  <c r="D229" i="11" s="1"/>
  <c r="D230" i="11" s="1"/>
  <c r="D231" i="11" s="1"/>
  <c r="D232" i="11" s="1"/>
  <c r="D233" i="11" s="1"/>
  <c r="D234" i="11" s="1"/>
  <c r="D235" i="11" s="1"/>
  <c r="D236" i="11" s="1"/>
  <c r="D237" i="11" s="1"/>
  <c r="D238" i="11" s="1"/>
  <c r="D239" i="11" s="1"/>
  <c r="D240" i="11" s="1"/>
  <c r="D241" i="11" s="1"/>
  <c r="D242" i="11" s="1"/>
  <c r="D243" i="11" s="1"/>
  <c r="D244" i="11" s="1"/>
  <c r="D245" i="11" s="1"/>
  <c r="D246" i="11" s="1"/>
  <c r="D247" i="11" s="1"/>
  <c r="D248" i="11" s="1"/>
  <c r="D249" i="11" s="1"/>
  <c r="D250" i="11" s="1"/>
  <c r="D251" i="11" s="1"/>
  <c r="D252" i="11" s="1"/>
  <c r="D253" i="11" s="1"/>
  <c r="D254" i="11" s="1"/>
  <c r="D255" i="11" s="1"/>
  <c r="D256" i="11" s="1"/>
  <c r="D257" i="11" s="1"/>
  <c r="D258" i="11" s="1"/>
  <c r="D259" i="11" s="1"/>
  <c r="D260" i="11" s="1"/>
  <c r="D261" i="11" s="1"/>
  <c r="D262" i="11" s="1"/>
  <c r="D263" i="11" s="1"/>
  <c r="D264" i="11" s="1"/>
  <c r="D265" i="11" s="1"/>
  <c r="D266" i="11" s="1"/>
  <c r="D267" i="11" s="1"/>
  <c r="D268" i="11" s="1"/>
  <c r="D269" i="11" s="1"/>
  <c r="D270" i="11" s="1"/>
  <c r="D271" i="11" s="1"/>
  <c r="D272" i="11" s="1"/>
  <c r="D273" i="11" s="1"/>
  <c r="D274" i="11" s="1"/>
  <c r="D275" i="11" s="1"/>
  <c r="D276" i="11" s="1"/>
  <c r="D277" i="11" s="1"/>
  <c r="D278" i="11" s="1"/>
  <c r="D279" i="11" s="1"/>
  <c r="D280" i="11" s="1"/>
  <c r="D281" i="11" s="1"/>
  <c r="D282" i="11" s="1"/>
  <c r="D283" i="11" s="1"/>
  <c r="D284" i="11" s="1"/>
  <c r="D285" i="11" s="1"/>
  <c r="D286" i="11" s="1"/>
  <c r="D287" i="11" s="1"/>
  <c r="D288" i="11" s="1"/>
  <c r="D289" i="11" s="1"/>
  <c r="D290" i="11" s="1"/>
  <c r="D291" i="11" s="1"/>
  <c r="D292" i="11" s="1"/>
  <c r="D293" i="11" s="1"/>
  <c r="D294" i="11" s="1"/>
  <c r="D295" i="11" s="1"/>
  <c r="F21" i="11"/>
  <c r="E20" i="11"/>
  <c r="F20" i="11" s="1"/>
  <c r="F19" i="11"/>
  <c r="F16" i="11"/>
  <c r="F15" i="11"/>
  <c r="F14" i="11"/>
  <c r="F13" i="11"/>
  <c r="F12" i="11"/>
  <c r="H12" i="11" s="1"/>
  <c r="K9" i="11"/>
  <c r="E9" i="11"/>
  <c r="F186" i="11" s="1"/>
  <c r="D9" i="11"/>
  <c r="G8" i="11"/>
  <c r="F330" i="11" l="1"/>
  <c r="K34" i="14"/>
  <c r="I35" i="14"/>
  <c r="J34" i="14"/>
  <c r="F39" i="11"/>
  <c r="F68" i="11"/>
  <c r="F100" i="11"/>
  <c r="F132" i="11"/>
  <c r="F190" i="11"/>
  <c r="F324" i="11"/>
  <c r="F331" i="11"/>
  <c r="F17" i="11"/>
  <c r="F24" i="11"/>
  <c r="F40" i="11"/>
  <c r="F71" i="11"/>
  <c r="F103" i="11"/>
  <c r="F135" i="11"/>
  <c r="F202" i="11"/>
  <c r="F325" i="11"/>
  <c r="F18" i="11"/>
  <c r="F27" i="11"/>
  <c r="F44" i="11"/>
  <c r="F76" i="11"/>
  <c r="F108" i="11"/>
  <c r="F140" i="11"/>
  <c r="F326" i="11"/>
  <c r="F28" i="11"/>
  <c r="F47" i="11"/>
  <c r="F79" i="11"/>
  <c r="F111" i="11"/>
  <c r="F143" i="11"/>
  <c r="F327" i="11"/>
  <c r="B346" i="8"/>
  <c r="E361" i="14"/>
  <c r="Q361" i="14" s="1"/>
  <c r="F31" i="11"/>
  <c r="F52" i="11"/>
  <c r="F84" i="11"/>
  <c r="F116" i="11"/>
  <c r="F148" i="11"/>
  <c r="F328" i="11"/>
  <c r="B25" i="8"/>
  <c r="E40" i="14"/>
  <c r="Q40" i="14" s="1"/>
  <c r="I12" i="11"/>
  <c r="H13" i="11"/>
  <c r="J12" i="11"/>
  <c r="F25" i="11"/>
  <c r="F29" i="11"/>
  <c r="F33" i="11"/>
  <c r="F37" i="11"/>
  <c r="F43" i="11"/>
  <c r="F51" i="11"/>
  <c r="F59" i="11"/>
  <c r="F67" i="11"/>
  <c r="F75" i="11"/>
  <c r="F83" i="11"/>
  <c r="F91" i="11"/>
  <c r="F99" i="11"/>
  <c r="F107" i="11"/>
  <c r="F115" i="11"/>
  <c r="F123" i="11"/>
  <c r="F131" i="11"/>
  <c r="F139" i="11"/>
  <c r="F147" i="11"/>
  <c r="F155" i="11"/>
  <c r="F322" i="11"/>
  <c r="F318" i="11"/>
  <c r="F314" i="11"/>
  <c r="F310" i="11"/>
  <c r="F306" i="11"/>
  <c r="F302" i="11"/>
  <c r="F293" i="11"/>
  <c r="F289" i="11"/>
  <c r="F285" i="11"/>
  <c r="F281" i="11"/>
  <c r="F277" i="11"/>
  <c r="F273" i="11"/>
  <c r="F269" i="11"/>
  <c r="F265" i="11"/>
  <c r="F261" i="11"/>
  <c r="F321" i="11"/>
  <c r="F317" i="11"/>
  <c r="F313" i="11"/>
  <c r="F309" i="11"/>
  <c r="F305" i="11"/>
  <c r="F301" i="11"/>
  <c r="F296" i="11"/>
  <c r="F295" i="11"/>
  <c r="F292" i="11"/>
  <c r="F288" i="11"/>
  <c r="F284" i="11"/>
  <c r="F280" i="11"/>
  <c r="F276" i="11"/>
  <c r="F320" i="11"/>
  <c r="F316" i="11"/>
  <c r="F312" i="11"/>
  <c r="F308" i="11"/>
  <c r="F304" i="11"/>
  <c r="F291" i="11"/>
  <c r="F287" i="11"/>
  <c r="F283" i="11"/>
  <c r="F279" i="11"/>
  <c r="F275" i="11"/>
  <c r="F271" i="11"/>
  <c r="F267" i="11"/>
  <c r="F263" i="11"/>
  <c r="F259" i="11"/>
  <c r="F255" i="11"/>
  <c r="F323" i="11"/>
  <c r="F307" i="11"/>
  <c r="F294" i="11"/>
  <c r="F278" i="11"/>
  <c r="F266" i="11"/>
  <c r="F252" i="11"/>
  <c r="F248" i="11"/>
  <c r="F244" i="11"/>
  <c r="F240" i="11"/>
  <c r="F236" i="11"/>
  <c r="F232" i="11"/>
  <c r="F228" i="11"/>
  <c r="F224" i="11"/>
  <c r="F220" i="11"/>
  <c r="F216" i="11"/>
  <c r="F212" i="11"/>
  <c r="F319" i="11"/>
  <c r="F303" i="11"/>
  <c r="F290" i="11"/>
  <c r="F274" i="11"/>
  <c r="F272" i="11"/>
  <c r="F264" i="11"/>
  <c r="F251" i="11"/>
  <c r="F247" i="11"/>
  <c r="F243" i="11"/>
  <c r="F239" i="11"/>
  <c r="F235" i="11"/>
  <c r="F231" i="11"/>
  <c r="F227" i="11"/>
  <c r="F223" i="11"/>
  <c r="F219" i="11"/>
  <c r="F215" i="11"/>
  <c r="F211" i="11"/>
  <c r="F315" i="11"/>
  <c r="F286" i="11"/>
  <c r="F270" i="11"/>
  <c r="F262" i="11"/>
  <c r="F258" i="11"/>
  <c r="F257" i="11"/>
  <c r="F256" i="11"/>
  <c r="F254" i="11"/>
  <c r="F250" i="11"/>
  <c r="F246" i="11"/>
  <c r="F242" i="11"/>
  <c r="F238" i="11"/>
  <c r="F234" i="11"/>
  <c r="F230" i="11"/>
  <c r="F226" i="11"/>
  <c r="F222" i="11"/>
  <c r="F218" i="11"/>
  <c r="F214" i="11"/>
  <c r="F210" i="11"/>
  <c r="F260" i="11"/>
  <c r="F249" i="11"/>
  <c r="F233" i="11"/>
  <c r="F217" i="11"/>
  <c r="F209" i="11"/>
  <c r="F205" i="11"/>
  <c r="F201" i="11"/>
  <c r="F197" i="11"/>
  <c r="F193" i="11"/>
  <c r="F189" i="11"/>
  <c r="F185" i="11"/>
  <c r="F181" i="11"/>
  <c r="F177" i="11"/>
  <c r="F173" i="11"/>
  <c r="F169" i="11"/>
  <c r="F165" i="11"/>
  <c r="F161" i="11"/>
  <c r="F282" i="11"/>
  <c r="F245" i="11"/>
  <c r="F229" i="11"/>
  <c r="F213" i="11"/>
  <c r="F208" i="11"/>
  <c r="F204" i="11"/>
  <c r="F200" i="11"/>
  <c r="F196" i="11"/>
  <c r="F192" i="11"/>
  <c r="F188" i="11"/>
  <c r="F184" i="11"/>
  <c r="F180" i="11"/>
  <c r="F176" i="11"/>
  <c r="F172" i="11"/>
  <c r="F168" i="11"/>
  <c r="F164" i="11"/>
  <c r="F160" i="11"/>
  <c r="F241" i="11"/>
  <c r="F225" i="11"/>
  <c r="F207" i="11"/>
  <c r="F203" i="11"/>
  <c r="F199" i="11"/>
  <c r="F195" i="11"/>
  <c r="F191" i="11"/>
  <c r="F187" i="11"/>
  <c r="F183" i="11"/>
  <c r="F179" i="11"/>
  <c r="F175" i="11"/>
  <c r="F171" i="11"/>
  <c r="F167" i="11"/>
  <c r="F163" i="11"/>
  <c r="F311" i="11"/>
  <c r="F253" i="11"/>
  <c r="F198" i="11"/>
  <c r="F182" i="11"/>
  <c r="F166" i="11"/>
  <c r="F159" i="11"/>
  <c r="F158" i="11"/>
  <c r="F154" i="11"/>
  <c r="F150" i="11"/>
  <c r="F146" i="11"/>
  <c r="F142" i="11"/>
  <c r="F138" i="11"/>
  <c r="F134" i="11"/>
  <c r="F130" i="11"/>
  <c r="F126" i="11"/>
  <c r="F122" i="11"/>
  <c r="F118" i="11"/>
  <c r="F114" i="11"/>
  <c r="F110" i="11"/>
  <c r="F106" i="11"/>
  <c r="F102" i="11"/>
  <c r="F98" i="11"/>
  <c r="F94" i="11"/>
  <c r="F90" i="11"/>
  <c r="F86" i="11"/>
  <c r="F82" i="11"/>
  <c r="F78" i="11"/>
  <c r="F74" i="11"/>
  <c r="F70" i="11"/>
  <c r="F66" i="11"/>
  <c r="F62" i="11"/>
  <c r="F58" i="11"/>
  <c r="F54" i="11"/>
  <c r="F50" i="11"/>
  <c r="F46" i="11"/>
  <c r="F42" i="11"/>
  <c r="F268" i="11"/>
  <c r="F237" i="11"/>
  <c r="F194" i="11"/>
  <c r="F178" i="11"/>
  <c r="F162" i="11"/>
  <c r="F157" i="11"/>
  <c r="F153" i="11"/>
  <c r="F149" i="11"/>
  <c r="F145" i="11"/>
  <c r="F141" i="11"/>
  <c r="F137" i="11"/>
  <c r="F133" i="11"/>
  <c r="F129" i="11"/>
  <c r="F125" i="11"/>
  <c r="F121" i="11"/>
  <c r="F117" i="11"/>
  <c r="F113" i="11"/>
  <c r="F109" i="11"/>
  <c r="F105" i="11"/>
  <c r="F101" i="11"/>
  <c r="F97" i="11"/>
  <c r="F93" i="11"/>
  <c r="F89" i="11"/>
  <c r="F85" i="11"/>
  <c r="F81" i="11"/>
  <c r="F77" i="11"/>
  <c r="F73" i="11"/>
  <c r="F69" i="11"/>
  <c r="F65" i="11"/>
  <c r="F61" i="11"/>
  <c r="F57" i="11"/>
  <c r="F53" i="11"/>
  <c r="F49" i="11"/>
  <c r="F45" i="11"/>
  <c r="F41" i="11"/>
  <c r="F22" i="11"/>
  <c r="F26" i="11"/>
  <c r="F30" i="11"/>
  <c r="F34" i="11"/>
  <c r="F38" i="11"/>
  <c r="F48" i="11"/>
  <c r="F56" i="11"/>
  <c r="F64" i="11"/>
  <c r="F72" i="11"/>
  <c r="F80" i="11"/>
  <c r="F88" i="11"/>
  <c r="F96" i="11"/>
  <c r="F104" i="11"/>
  <c r="F112" i="11"/>
  <c r="F120" i="11"/>
  <c r="F128" i="11"/>
  <c r="F136" i="11"/>
  <c r="F144" i="11"/>
  <c r="F152" i="11"/>
  <c r="F174" i="11"/>
  <c r="F206" i="11"/>
  <c r="F221" i="11"/>
  <c r="I36" i="14" l="1"/>
  <c r="J35" i="14"/>
  <c r="K35" i="14"/>
  <c r="B26" i="8"/>
  <c r="E41" i="14"/>
  <c r="Q41" i="14" s="1"/>
  <c r="B347" i="8"/>
  <c r="E362" i="14"/>
  <c r="Q362" i="14" s="1"/>
  <c r="I13" i="11"/>
  <c r="H14" i="11"/>
  <c r="J13" i="11"/>
  <c r="B348" i="8" l="1"/>
  <c r="E363" i="14"/>
  <c r="Q363" i="14" s="1"/>
  <c r="B27" i="8"/>
  <c r="E42" i="14"/>
  <c r="Q42" i="14" s="1"/>
  <c r="K36" i="14"/>
  <c r="I37" i="14"/>
  <c r="J36" i="14"/>
  <c r="I14" i="11"/>
  <c r="H15" i="11"/>
  <c r="J14" i="11"/>
  <c r="B28" i="8" l="1"/>
  <c r="E43" i="14"/>
  <c r="Q43" i="14" s="1"/>
  <c r="K37" i="14"/>
  <c r="I38" i="14"/>
  <c r="J37" i="14"/>
  <c r="B349" i="8"/>
  <c r="E364" i="14"/>
  <c r="Q364" i="14" s="1"/>
  <c r="I15" i="11"/>
  <c r="H16" i="11"/>
  <c r="J15" i="11"/>
  <c r="I39" i="14" l="1"/>
  <c r="K38" i="14"/>
  <c r="J38" i="14"/>
  <c r="B350" i="8"/>
  <c r="E365" i="14"/>
  <c r="Q365" i="14" s="1"/>
  <c r="B29" i="8"/>
  <c r="E44" i="14"/>
  <c r="Q44" i="14" s="1"/>
  <c r="I16" i="11"/>
  <c r="H17" i="11"/>
  <c r="J16" i="11"/>
  <c r="AF24" i="9"/>
  <c r="AF25" i="9"/>
  <c r="B30" i="8" l="1"/>
  <c r="E45" i="14"/>
  <c r="Q45" i="14" s="1"/>
  <c r="B351" i="8"/>
  <c r="E366" i="14"/>
  <c r="Q366" i="14" s="1"/>
  <c r="I40" i="14"/>
  <c r="J39" i="14"/>
  <c r="K39" i="14"/>
  <c r="I17" i="11"/>
  <c r="H18" i="11"/>
  <c r="J17" i="11"/>
  <c r="J40" i="14" l="1"/>
  <c r="K40" i="14"/>
  <c r="I41" i="14"/>
  <c r="B352" i="8"/>
  <c r="E367" i="14"/>
  <c r="Q367" i="14" s="1"/>
  <c r="B31" i="8"/>
  <c r="E46" i="14"/>
  <c r="Q46" i="14" s="1"/>
  <c r="I18" i="11"/>
  <c r="H19" i="11"/>
  <c r="J18" i="11"/>
  <c r="B32" i="8" l="1"/>
  <c r="E47" i="14"/>
  <c r="Q47" i="14" s="1"/>
  <c r="B353" i="8"/>
  <c r="E368" i="14"/>
  <c r="Q368" i="14" s="1"/>
  <c r="J41" i="14"/>
  <c r="K41" i="14"/>
  <c r="I42" i="14"/>
  <c r="H20" i="11"/>
  <c r="I19" i="11"/>
  <c r="J19" i="11"/>
  <c r="B354" i="8" l="1"/>
  <c r="E369" i="14"/>
  <c r="Q369" i="14" s="1"/>
  <c r="K42" i="14"/>
  <c r="I43" i="14"/>
  <c r="J42" i="14"/>
  <c r="B33" i="8"/>
  <c r="E48" i="14"/>
  <c r="Q48" i="14" s="1"/>
  <c r="H21" i="11"/>
  <c r="J20" i="11"/>
  <c r="I20" i="11"/>
  <c r="B34" i="8" l="1"/>
  <c r="E49" i="14"/>
  <c r="Q49" i="14" s="1"/>
  <c r="J43" i="14"/>
  <c r="K43" i="14"/>
  <c r="I44" i="14"/>
  <c r="B355" i="8"/>
  <c r="E370" i="14"/>
  <c r="Q370" i="14" s="1"/>
  <c r="J21" i="11"/>
  <c r="H22" i="11"/>
  <c r="I21" i="11"/>
  <c r="B356" i="8" l="1"/>
  <c r="E371" i="14"/>
  <c r="Q371" i="14" s="1"/>
  <c r="K44" i="14"/>
  <c r="I45" i="14"/>
  <c r="J44" i="14"/>
  <c r="B35" i="8"/>
  <c r="E50" i="14"/>
  <c r="Q50" i="14" s="1"/>
  <c r="I22" i="11"/>
  <c r="J22" i="11"/>
  <c r="H23" i="11"/>
  <c r="J45" i="14" l="1"/>
  <c r="K45" i="14"/>
  <c r="I46" i="14"/>
  <c r="B36" i="8"/>
  <c r="E51" i="14"/>
  <c r="Q51" i="14" s="1"/>
  <c r="B357" i="8"/>
  <c r="E372" i="14"/>
  <c r="Q372" i="14" s="1"/>
  <c r="J23" i="11"/>
  <c r="H24" i="11"/>
  <c r="I23" i="11"/>
  <c r="B358" i="8" l="1"/>
  <c r="E373" i="14"/>
  <c r="Q373" i="14" s="1"/>
  <c r="B37" i="8"/>
  <c r="E52" i="14"/>
  <c r="Q52" i="14" s="1"/>
  <c r="K46" i="14"/>
  <c r="I47" i="14"/>
  <c r="J46" i="14"/>
  <c r="H25" i="11"/>
  <c r="I24" i="11"/>
  <c r="J24" i="11"/>
  <c r="B359" i="8" l="1"/>
  <c r="E374" i="14"/>
  <c r="Q374" i="14" s="1"/>
  <c r="I48" i="14"/>
  <c r="J47" i="14"/>
  <c r="K47" i="14"/>
  <c r="B38" i="8"/>
  <c r="E53" i="14"/>
  <c r="Q53" i="14" s="1"/>
  <c r="J25" i="11"/>
  <c r="H26" i="11"/>
  <c r="I25" i="11"/>
  <c r="B360" i="8" l="1"/>
  <c r="E375" i="14"/>
  <c r="Q375" i="14" s="1"/>
  <c r="B39" i="8"/>
  <c r="E54" i="14"/>
  <c r="Q54" i="14" s="1"/>
  <c r="K48" i="14"/>
  <c r="I49" i="14"/>
  <c r="J48" i="14"/>
  <c r="H27" i="11"/>
  <c r="J26" i="11"/>
  <c r="I26" i="11"/>
  <c r="K49" i="14" l="1"/>
  <c r="I50" i="14"/>
  <c r="J49" i="14"/>
  <c r="B40" i="8"/>
  <c r="E55" i="14"/>
  <c r="Q55" i="14" s="1"/>
  <c r="B361" i="8"/>
  <c r="E376" i="14"/>
  <c r="Q376" i="14" s="1"/>
  <c r="J27" i="11"/>
  <c r="H28" i="11"/>
  <c r="I27" i="11"/>
  <c r="B362" i="8" l="1"/>
  <c r="E377" i="14"/>
  <c r="Q377" i="14" s="1"/>
  <c r="K50" i="14"/>
  <c r="J50" i="14"/>
  <c r="I51" i="14"/>
  <c r="B41" i="8"/>
  <c r="E56" i="14"/>
  <c r="Q56" i="14" s="1"/>
  <c r="H29" i="11"/>
  <c r="I28" i="11"/>
  <c r="J28" i="11"/>
  <c r="I52" i="14" l="1"/>
  <c r="J51" i="14"/>
  <c r="K51" i="14"/>
  <c r="B42" i="8"/>
  <c r="E57" i="14"/>
  <c r="Q57" i="14" s="1"/>
  <c r="B363" i="8"/>
  <c r="E378" i="14"/>
  <c r="Q378" i="14" s="1"/>
  <c r="J29" i="11"/>
  <c r="H30" i="11"/>
  <c r="I29" i="11"/>
  <c r="B43" i="8" l="1"/>
  <c r="E58" i="14"/>
  <c r="Q58" i="14" s="1"/>
  <c r="B364" i="8"/>
  <c r="E379" i="14"/>
  <c r="Q379" i="14" s="1"/>
  <c r="K52" i="14"/>
  <c r="I53" i="14"/>
  <c r="J52" i="14"/>
  <c r="H31" i="11"/>
  <c r="J30" i="11"/>
  <c r="I30" i="11"/>
  <c r="I54" i="14" l="1"/>
  <c r="K53" i="14"/>
  <c r="J53" i="14"/>
  <c r="B365" i="8"/>
  <c r="E380" i="14"/>
  <c r="Q380" i="14" s="1"/>
  <c r="B44" i="8"/>
  <c r="E59" i="14"/>
  <c r="Q59" i="14" s="1"/>
  <c r="J31" i="11"/>
  <c r="H32" i="11"/>
  <c r="I31" i="11"/>
  <c r="B45" i="8" l="1"/>
  <c r="E60" i="14"/>
  <c r="Q60" i="14" s="1"/>
  <c r="B366" i="8"/>
  <c r="E381" i="14"/>
  <c r="Q381" i="14" s="1"/>
  <c r="K54" i="14"/>
  <c r="I55" i="14"/>
  <c r="J54" i="14"/>
  <c r="H33" i="11"/>
  <c r="I32" i="11"/>
  <c r="J32" i="11"/>
  <c r="I56" i="14" l="1"/>
  <c r="J55" i="14"/>
  <c r="K55" i="14"/>
  <c r="B367" i="8"/>
  <c r="E382" i="14"/>
  <c r="Q382" i="14" s="1"/>
  <c r="B46" i="8"/>
  <c r="E61" i="14"/>
  <c r="Q61" i="14" s="1"/>
  <c r="J33" i="11"/>
  <c r="H34" i="11"/>
  <c r="I33" i="11"/>
  <c r="B47" i="8" l="1"/>
  <c r="E62" i="14"/>
  <c r="Q62" i="14" s="1"/>
  <c r="B368" i="8"/>
  <c r="E383" i="14"/>
  <c r="Q383" i="14" s="1"/>
  <c r="K56" i="14"/>
  <c r="I57" i="14"/>
  <c r="J56" i="14"/>
  <c r="I34" i="11"/>
  <c r="J34" i="11"/>
  <c r="H35" i="11"/>
  <c r="J57" i="14" l="1"/>
  <c r="I58" i="14"/>
  <c r="K57" i="14"/>
  <c r="B369" i="8"/>
  <c r="E384" i="14"/>
  <c r="Q384" i="14" s="1"/>
  <c r="B48" i="8"/>
  <c r="E63" i="14"/>
  <c r="Q63" i="14" s="1"/>
  <c r="J35" i="11"/>
  <c r="H36" i="11"/>
  <c r="I35" i="11"/>
  <c r="K58" i="14" l="1"/>
  <c r="I59" i="14"/>
  <c r="J58" i="14"/>
  <c r="B49" i="8"/>
  <c r="E64" i="14"/>
  <c r="Q64" i="14" s="1"/>
  <c r="B370" i="8"/>
  <c r="E385" i="14"/>
  <c r="Q385" i="14" s="1"/>
  <c r="H37" i="11"/>
  <c r="I36" i="11"/>
  <c r="J36" i="11"/>
  <c r="B50" i="8" l="1"/>
  <c r="E65" i="14"/>
  <c r="Q65" i="14" s="1"/>
  <c r="I60" i="14"/>
  <c r="J59" i="14"/>
  <c r="K59" i="14"/>
  <c r="B371" i="8"/>
  <c r="E386" i="14"/>
  <c r="Q386" i="14" s="1"/>
  <c r="J37" i="11"/>
  <c r="H38" i="11"/>
  <c r="I37" i="11"/>
  <c r="B372" i="8" l="1"/>
  <c r="E387" i="14"/>
  <c r="Q387" i="14" s="1"/>
  <c r="J60" i="14"/>
  <c r="I61" i="14"/>
  <c r="K60" i="14"/>
  <c r="B51" i="8"/>
  <c r="E66" i="14"/>
  <c r="Q66" i="14" s="1"/>
  <c r="H39" i="11"/>
  <c r="J38" i="11"/>
  <c r="I38" i="11"/>
  <c r="I62" i="14" l="1"/>
  <c r="J61" i="14"/>
  <c r="K61" i="14"/>
  <c r="B52" i="8"/>
  <c r="E67" i="14"/>
  <c r="Q67" i="14" s="1"/>
  <c r="B373" i="8"/>
  <c r="E388" i="14"/>
  <c r="Q388" i="14" s="1"/>
  <c r="J39" i="11"/>
  <c r="H40" i="11"/>
  <c r="I39" i="11"/>
  <c r="B374" i="8" l="1"/>
  <c r="E389" i="14"/>
  <c r="Q389" i="14" s="1"/>
  <c r="B53" i="8"/>
  <c r="E68" i="14"/>
  <c r="Q68" i="14" s="1"/>
  <c r="K62" i="14"/>
  <c r="J62" i="14"/>
  <c r="I63" i="14"/>
  <c r="H41" i="11"/>
  <c r="I40" i="11"/>
  <c r="J40" i="11"/>
  <c r="B54" i="8" l="1"/>
  <c r="E69" i="14"/>
  <c r="Q69" i="14" s="1"/>
  <c r="I64" i="14"/>
  <c r="J63" i="14"/>
  <c r="K63" i="14"/>
  <c r="B375" i="8"/>
  <c r="E390" i="14"/>
  <c r="Q390" i="14" s="1"/>
  <c r="J41" i="11"/>
  <c r="I41" i="11"/>
  <c r="H42" i="11"/>
  <c r="B376" i="8" l="1"/>
  <c r="E391" i="14"/>
  <c r="Q391" i="14" s="1"/>
  <c r="J64" i="14"/>
  <c r="I65" i="14"/>
  <c r="K64" i="14"/>
  <c r="B55" i="8"/>
  <c r="E70" i="14"/>
  <c r="Q70" i="14" s="1"/>
  <c r="J42" i="11"/>
  <c r="H43" i="11"/>
  <c r="I42" i="11"/>
  <c r="B56" i="8" l="1"/>
  <c r="E71" i="14"/>
  <c r="Q71" i="14" s="1"/>
  <c r="J65" i="14"/>
  <c r="K65" i="14"/>
  <c r="I66" i="14"/>
  <c r="B377" i="8"/>
  <c r="E392" i="14"/>
  <c r="Q392" i="14" s="1"/>
  <c r="J43" i="11"/>
  <c r="H44" i="11"/>
  <c r="I43" i="11"/>
  <c r="K66" i="14" l="1"/>
  <c r="J66" i="14"/>
  <c r="I67" i="14"/>
  <c r="B57" i="8"/>
  <c r="E72" i="14"/>
  <c r="Q72" i="14" s="1"/>
  <c r="B378" i="8"/>
  <c r="E393" i="14"/>
  <c r="Q393" i="14" s="1"/>
  <c r="H45" i="11"/>
  <c r="I44" i="11"/>
  <c r="J44" i="11"/>
  <c r="B379" i="8" l="1"/>
  <c r="E394" i="14"/>
  <c r="Q394" i="14" s="1"/>
  <c r="B58" i="8"/>
  <c r="E73" i="14"/>
  <c r="Q73" i="14" s="1"/>
  <c r="I68" i="14"/>
  <c r="K67" i="14"/>
  <c r="J67" i="14"/>
  <c r="J45" i="11"/>
  <c r="H46" i="11"/>
  <c r="I45" i="11"/>
  <c r="J68" i="14" l="1"/>
  <c r="I69" i="14"/>
  <c r="K68" i="14"/>
  <c r="B59" i="8"/>
  <c r="E74" i="14"/>
  <c r="Q74" i="14" s="1"/>
  <c r="B380" i="8"/>
  <c r="E395" i="14"/>
  <c r="Q395" i="14" s="1"/>
  <c r="J46" i="11"/>
  <c r="I46" i="11"/>
  <c r="H47" i="11"/>
  <c r="B381" i="8" l="1"/>
  <c r="E396" i="14"/>
  <c r="Q396" i="14" s="1"/>
  <c r="B60" i="8"/>
  <c r="E75" i="14"/>
  <c r="Q75" i="14" s="1"/>
  <c r="K69" i="14"/>
  <c r="J69" i="14"/>
  <c r="I70" i="14"/>
  <c r="J47" i="11"/>
  <c r="H48" i="11"/>
  <c r="I47" i="11"/>
  <c r="B61" i="8" l="1"/>
  <c r="E76" i="14"/>
  <c r="Q76" i="14" s="1"/>
  <c r="K70" i="14"/>
  <c r="J70" i="14"/>
  <c r="I71" i="14"/>
  <c r="B382" i="8"/>
  <c r="E397" i="14"/>
  <c r="Q397" i="14" s="1"/>
  <c r="H49" i="11"/>
  <c r="I48" i="11"/>
  <c r="J48" i="11"/>
  <c r="B383" i="8" l="1"/>
  <c r="E398" i="14"/>
  <c r="Q398" i="14" s="1"/>
  <c r="I72" i="14"/>
  <c r="J71" i="14"/>
  <c r="K71" i="14"/>
  <c r="B62" i="8"/>
  <c r="E77" i="14"/>
  <c r="Q77" i="14" s="1"/>
  <c r="J49" i="11"/>
  <c r="I49" i="11"/>
  <c r="H50" i="11"/>
  <c r="K72" i="14" l="1"/>
  <c r="J72" i="14"/>
  <c r="I73" i="14"/>
  <c r="B63" i="8"/>
  <c r="E78" i="14"/>
  <c r="Q78" i="14" s="1"/>
  <c r="B384" i="8"/>
  <c r="E404" i="14"/>
  <c r="Q404" i="14" s="1"/>
  <c r="J50" i="11"/>
  <c r="H51" i="11"/>
  <c r="I50" i="11"/>
  <c r="B385" i="8" l="1"/>
  <c r="E405" i="14"/>
  <c r="Q405" i="14" s="1"/>
  <c r="B64" i="8"/>
  <c r="E79" i="14"/>
  <c r="Q79" i="14" s="1"/>
  <c r="I74" i="14"/>
  <c r="K73" i="14"/>
  <c r="J73" i="14"/>
  <c r="J51" i="11"/>
  <c r="H52" i="11"/>
  <c r="I51" i="11"/>
  <c r="K74" i="14" l="1"/>
  <c r="I75" i="14"/>
  <c r="J74" i="14"/>
  <c r="B65" i="8"/>
  <c r="E80" i="14"/>
  <c r="Q80" i="14" s="1"/>
  <c r="B386" i="8"/>
  <c r="E406" i="14"/>
  <c r="Q406" i="14" s="1"/>
  <c r="H53" i="11"/>
  <c r="I52" i="11"/>
  <c r="J52" i="11"/>
  <c r="I76" i="14" l="1"/>
  <c r="K75" i="14"/>
  <c r="J75" i="14"/>
  <c r="B387" i="8"/>
  <c r="E407" i="14"/>
  <c r="Q407" i="14" s="1"/>
  <c r="B66" i="8"/>
  <c r="E81" i="14"/>
  <c r="Q81" i="14" s="1"/>
  <c r="J53" i="11"/>
  <c r="H54" i="11"/>
  <c r="I53" i="11"/>
  <c r="B67" i="8" l="1"/>
  <c r="E82" i="14"/>
  <c r="Q82" i="14" s="1"/>
  <c r="B388" i="8"/>
  <c r="E408" i="14"/>
  <c r="Q408" i="14" s="1"/>
  <c r="I77" i="14"/>
  <c r="K76" i="14"/>
  <c r="J76" i="14"/>
  <c r="J54" i="11"/>
  <c r="I54" i="11"/>
  <c r="H55" i="11"/>
  <c r="K77" i="14" l="1"/>
  <c r="J77" i="14"/>
  <c r="I78" i="14"/>
  <c r="E409" i="14"/>
  <c r="Q409" i="14" s="1"/>
  <c r="B389" i="8"/>
  <c r="B68" i="8"/>
  <c r="E83" i="14"/>
  <c r="Q83" i="14" s="1"/>
  <c r="J55" i="11"/>
  <c r="H56" i="11"/>
  <c r="I55" i="11"/>
  <c r="K78" i="14" l="1"/>
  <c r="J78" i="14"/>
  <c r="I79" i="14"/>
  <c r="E410" i="14"/>
  <c r="Q410" i="14" s="1"/>
  <c r="B390" i="8"/>
  <c r="B69" i="8"/>
  <c r="E84" i="14"/>
  <c r="Q84" i="14" s="1"/>
  <c r="H57" i="11"/>
  <c r="I56" i="11"/>
  <c r="J56" i="11"/>
  <c r="I80" i="14" l="1"/>
  <c r="K79" i="14"/>
  <c r="J79" i="14"/>
  <c r="B70" i="8"/>
  <c r="E85" i="14"/>
  <c r="Q85" i="14" s="1"/>
  <c r="B391" i="8"/>
  <c r="E411" i="14"/>
  <c r="Q411" i="14" s="1"/>
  <c r="J57" i="11"/>
  <c r="I57" i="11"/>
  <c r="H58" i="11"/>
  <c r="B71" i="8" l="1"/>
  <c r="E86" i="14"/>
  <c r="Q86" i="14" s="1"/>
  <c r="B392" i="8"/>
  <c r="E412" i="14"/>
  <c r="Q412" i="14" s="1"/>
  <c r="K80" i="14"/>
  <c r="I81" i="14"/>
  <c r="J80" i="14"/>
  <c r="J58" i="11"/>
  <c r="H59" i="11"/>
  <c r="I58" i="11"/>
  <c r="AF23" i="9"/>
  <c r="AF22" i="9"/>
  <c r="AF21" i="9"/>
  <c r="AF20" i="9"/>
  <c r="AF19" i="9"/>
  <c r="AF18" i="9"/>
  <c r="AF17" i="9"/>
  <c r="AF16" i="9"/>
  <c r="AI16" i="9" s="1"/>
  <c r="I82" i="14" l="1"/>
  <c r="J81" i="14"/>
  <c r="K81" i="14"/>
  <c r="B393" i="8"/>
  <c r="E413" i="14"/>
  <c r="Q413" i="14" s="1"/>
  <c r="B72" i="8"/>
  <c r="E87" i="14"/>
  <c r="Q87" i="14" s="1"/>
  <c r="J59" i="11"/>
  <c r="H60" i="11"/>
  <c r="I59" i="11"/>
  <c r="B73" i="8" l="1"/>
  <c r="E88" i="14"/>
  <c r="Q88" i="14" s="1"/>
  <c r="B394" i="8"/>
  <c r="E414" i="14"/>
  <c r="Q414" i="14" s="1"/>
  <c r="J82" i="14"/>
  <c r="K82" i="14"/>
  <c r="I83" i="14"/>
  <c r="H61" i="11"/>
  <c r="I60" i="11"/>
  <c r="J60" i="11"/>
  <c r="D332" i="11"/>
  <c r="D333" i="11" s="1"/>
  <c r="D334" i="11" s="1"/>
  <c r="D335" i="11" s="1"/>
  <c r="D336" i="11" s="1"/>
  <c r="D337" i="11" s="1"/>
  <c r="D338" i="11" s="1"/>
  <c r="D339" i="11" s="1"/>
  <c r="D340" i="11" s="1"/>
  <c r="D341" i="11" s="1"/>
  <c r="D342" i="11" s="1"/>
  <c r="D343" i="11" s="1"/>
  <c r="D344" i="11" s="1"/>
  <c r="D345" i="11" s="1"/>
  <c r="D346" i="11" s="1"/>
  <c r="D347" i="11" s="1"/>
  <c r="D348" i="11" s="1"/>
  <c r="D349" i="11" s="1"/>
  <c r="F334" i="11"/>
  <c r="B395" i="8" l="1"/>
  <c r="E415" i="14"/>
  <c r="Q415" i="14" s="1"/>
  <c r="I84" i="14"/>
  <c r="K83" i="14"/>
  <c r="J83" i="14"/>
  <c r="B74" i="8"/>
  <c r="E89" i="14"/>
  <c r="Q89" i="14" s="1"/>
  <c r="Q16" i="13"/>
  <c r="Q22" i="13"/>
  <c r="Q21" i="13"/>
  <c r="J61" i="11"/>
  <c r="H62" i="11"/>
  <c r="I61" i="11"/>
  <c r="F333" i="11"/>
  <c r="F332" i="11"/>
  <c r="B75" i="8" l="1"/>
  <c r="E90" i="14"/>
  <c r="Q90" i="14" s="1"/>
  <c r="J84" i="14"/>
  <c r="K84" i="14"/>
  <c r="I85" i="14"/>
  <c r="B396" i="8"/>
  <c r="E416" i="14"/>
  <c r="Q416" i="14" s="1"/>
  <c r="J62" i="11"/>
  <c r="I62" i="11"/>
  <c r="H63" i="11"/>
  <c r="B397" i="8" l="1"/>
  <c r="E417" i="14"/>
  <c r="Q417" i="14" s="1"/>
  <c r="K85" i="14"/>
  <c r="J85" i="14"/>
  <c r="I86" i="14"/>
  <c r="B76" i="8"/>
  <c r="E91" i="14"/>
  <c r="Q91" i="14" s="1"/>
  <c r="J63" i="11"/>
  <c r="H64" i="11"/>
  <c r="I63" i="11"/>
  <c r="F368" i="11"/>
  <c r="F367" i="11"/>
  <c r="F366" i="11"/>
  <c r="F365" i="11"/>
  <c r="F364" i="11"/>
  <c r="F363" i="11"/>
  <c r="F362" i="11"/>
  <c r="F361" i="11"/>
  <c r="F360" i="11"/>
  <c r="F359" i="11"/>
  <c r="F358" i="11"/>
  <c r="F357" i="11"/>
  <c r="F356" i="11"/>
  <c r="F355" i="11"/>
  <c r="F354" i="11"/>
  <c r="F353" i="11"/>
  <c r="F352" i="11"/>
  <c r="F351" i="11"/>
  <c r="F350" i="11"/>
  <c r="F348" i="11"/>
  <c r="B77" i="8" l="1"/>
  <c r="E92" i="14"/>
  <c r="Q92" i="14" s="1"/>
  <c r="K86" i="14"/>
  <c r="J86" i="14"/>
  <c r="I87" i="14"/>
  <c r="B398" i="8"/>
  <c r="E418" i="14"/>
  <c r="Q418" i="14" s="1"/>
  <c r="H65" i="11"/>
  <c r="I64" i="11"/>
  <c r="J64" i="11"/>
  <c r="F346" i="11"/>
  <c r="F347" i="11"/>
  <c r="F349" i="11"/>
  <c r="F345" i="11"/>
  <c r="F344" i="11"/>
  <c r="F340" i="11"/>
  <c r="F336" i="11"/>
  <c r="F343" i="11"/>
  <c r="F339" i="11"/>
  <c r="F335" i="11"/>
  <c r="F337" i="11"/>
  <c r="F338" i="11"/>
  <c r="F341" i="11"/>
  <c r="F342" i="11"/>
  <c r="B399" i="8" l="1"/>
  <c r="E419" i="14"/>
  <c r="Q419" i="14" s="1"/>
  <c r="I88" i="14"/>
  <c r="K87" i="14"/>
  <c r="J87" i="14"/>
  <c r="B78" i="8"/>
  <c r="E93" i="14"/>
  <c r="Q93" i="14" s="1"/>
  <c r="J65" i="11"/>
  <c r="I65" i="11"/>
  <c r="H66" i="11"/>
  <c r="B79" i="8" l="1"/>
  <c r="E94" i="14"/>
  <c r="Q94" i="14" s="1"/>
  <c r="I89" i="14"/>
  <c r="J88" i="14"/>
  <c r="K88" i="14"/>
  <c r="B400" i="8"/>
  <c r="E420" i="14"/>
  <c r="Q420" i="14" s="1"/>
  <c r="J66" i="11"/>
  <c r="H67" i="11"/>
  <c r="I66" i="11"/>
  <c r="B401" i="8" l="1"/>
  <c r="E421" i="14"/>
  <c r="Q421" i="14" s="1"/>
  <c r="K89" i="14"/>
  <c r="I90" i="14"/>
  <c r="J89" i="14"/>
  <c r="B80" i="8"/>
  <c r="E95" i="14"/>
  <c r="Q95" i="14" s="1"/>
  <c r="J67" i="11"/>
  <c r="H68" i="11"/>
  <c r="I67" i="11"/>
  <c r="B81" i="8" l="1"/>
  <c r="E96" i="14"/>
  <c r="Q96" i="14" s="1"/>
  <c r="K90" i="14"/>
  <c r="J90" i="14"/>
  <c r="I91" i="14"/>
  <c r="B402" i="8"/>
  <c r="E422" i="14"/>
  <c r="Q422" i="14" s="1"/>
  <c r="H69" i="11"/>
  <c r="I68" i="11"/>
  <c r="J68" i="11"/>
  <c r="I92" i="14" l="1"/>
  <c r="J91" i="14"/>
  <c r="K91" i="14"/>
  <c r="B403" i="8"/>
  <c r="E423" i="14"/>
  <c r="Q423" i="14" s="1"/>
  <c r="B82" i="8"/>
  <c r="E97" i="14"/>
  <c r="Q97" i="14" s="1"/>
  <c r="H70" i="11"/>
  <c r="J69" i="11"/>
  <c r="I69" i="11"/>
  <c r="B83" i="8" l="1"/>
  <c r="E98" i="14"/>
  <c r="Q98" i="14" s="1"/>
  <c r="B404" i="8"/>
  <c r="E424" i="14"/>
  <c r="Q424" i="14" s="1"/>
  <c r="I93" i="14"/>
  <c r="K92" i="14"/>
  <c r="J92" i="14"/>
  <c r="J70" i="11"/>
  <c r="I70" i="11"/>
  <c r="H71" i="11"/>
  <c r="K93" i="14" l="1"/>
  <c r="J93" i="14"/>
  <c r="I94" i="14"/>
  <c r="B405" i="8"/>
  <c r="E425" i="14"/>
  <c r="Q425" i="14" s="1"/>
  <c r="B84" i="8"/>
  <c r="E99" i="14"/>
  <c r="Q99" i="14" s="1"/>
  <c r="J71" i="11"/>
  <c r="H72" i="11"/>
  <c r="I71" i="11"/>
  <c r="K94" i="14" l="1"/>
  <c r="J94" i="14"/>
  <c r="I95" i="14"/>
  <c r="B406" i="8"/>
  <c r="E426" i="14"/>
  <c r="Q426" i="14" s="1"/>
  <c r="B85" i="8"/>
  <c r="E100" i="14"/>
  <c r="Q100" i="14" s="1"/>
  <c r="H73" i="11"/>
  <c r="I72" i="11"/>
  <c r="J72" i="11"/>
  <c r="B86" i="8" l="1"/>
  <c r="E101" i="14"/>
  <c r="Q101" i="14" s="1"/>
  <c r="B407" i="8"/>
  <c r="E427" i="14"/>
  <c r="Q427" i="14" s="1"/>
  <c r="J95" i="14"/>
  <c r="K95" i="14"/>
  <c r="I96" i="14"/>
  <c r="J73" i="11"/>
  <c r="I73" i="11"/>
  <c r="H74" i="11"/>
  <c r="B408" i="8" l="1"/>
  <c r="E428" i="14"/>
  <c r="Q428" i="14" s="1"/>
  <c r="I97" i="14"/>
  <c r="J96" i="14"/>
  <c r="K96" i="14"/>
  <c r="B87" i="8"/>
  <c r="E102" i="14"/>
  <c r="Q102" i="14" s="1"/>
  <c r="J74" i="11"/>
  <c r="H75" i="11"/>
  <c r="I74" i="11"/>
  <c r="B88" i="8" l="1"/>
  <c r="E103" i="14"/>
  <c r="Q103" i="14" s="1"/>
  <c r="K97" i="14"/>
  <c r="I98" i="14"/>
  <c r="J97" i="14"/>
  <c r="B409" i="8"/>
  <c r="E429" i="14"/>
  <c r="Q429" i="14" s="1"/>
  <c r="J75" i="11"/>
  <c r="H76" i="11"/>
  <c r="I75" i="11"/>
  <c r="E430" i="14" l="1"/>
  <c r="Q430" i="14" s="1"/>
  <c r="B410" i="8"/>
  <c r="K98" i="14"/>
  <c r="I99" i="14"/>
  <c r="J98" i="14"/>
  <c r="B89" i="8"/>
  <c r="E104" i="14"/>
  <c r="Q104" i="14" s="1"/>
  <c r="H77" i="11"/>
  <c r="I76" i="11"/>
  <c r="J76" i="11"/>
  <c r="B90" i="8" l="1"/>
  <c r="E105" i="14"/>
  <c r="Q105" i="14" s="1"/>
  <c r="J99" i="14"/>
  <c r="I100" i="14"/>
  <c r="K99" i="14"/>
  <c r="E431" i="14"/>
  <c r="Q431" i="14" s="1"/>
  <c r="B411" i="8"/>
  <c r="J77" i="11"/>
  <c r="H78" i="11"/>
  <c r="I77" i="11"/>
  <c r="J100" i="14" l="1"/>
  <c r="K100" i="14"/>
  <c r="I101" i="14"/>
  <c r="E432" i="14"/>
  <c r="Q432" i="14" s="1"/>
  <c r="B412" i="8"/>
  <c r="B91" i="8"/>
  <c r="E106" i="14"/>
  <c r="Q106" i="14" s="1"/>
  <c r="J78" i="11"/>
  <c r="I78" i="11"/>
  <c r="H79" i="11"/>
  <c r="K101" i="14" l="1"/>
  <c r="J101" i="14"/>
  <c r="I102" i="14"/>
  <c r="B92" i="8"/>
  <c r="E107" i="14"/>
  <c r="Q107" i="14" s="1"/>
  <c r="E433" i="14"/>
  <c r="Q433" i="14" s="1"/>
  <c r="B413" i="8"/>
  <c r="J79" i="11"/>
  <c r="H80" i="11"/>
  <c r="I79" i="11"/>
  <c r="K102" i="14" l="1"/>
  <c r="I103" i="14"/>
  <c r="J102" i="14"/>
  <c r="B93" i="8"/>
  <c r="E108" i="14"/>
  <c r="Q108" i="14" s="1"/>
  <c r="E434" i="14"/>
  <c r="Q434" i="14" s="1"/>
  <c r="B414" i="8"/>
  <c r="H81" i="11"/>
  <c r="I80" i="11"/>
  <c r="J80" i="11"/>
  <c r="B415" i="8" l="1"/>
  <c r="E435" i="14"/>
  <c r="Q435" i="14" s="1"/>
  <c r="B94" i="8"/>
  <c r="E109" i="14"/>
  <c r="Q109" i="14" s="1"/>
  <c r="I104" i="14"/>
  <c r="J103" i="14"/>
  <c r="K103" i="14"/>
  <c r="J81" i="11"/>
  <c r="I81" i="11"/>
  <c r="H82" i="11"/>
  <c r="J104" i="14" l="1"/>
  <c r="I105" i="14"/>
  <c r="K104" i="14"/>
  <c r="B95" i="8"/>
  <c r="E110" i="14"/>
  <c r="Q110" i="14" s="1"/>
  <c r="B416" i="8"/>
  <c r="E442" i="14"/>
  <c r="Q442" i="14" s="1"/>
  <c r="J82" i="11"/>
  <c r="H83" i="11"/>
  <c r="I82" i="11"/>
  <c r="B96" i="8" l="1"/>
  <c r="E111" i="14"/>
  <c r="Q111" i="14" s="1"/>
  <c r="I106" i="14"/>
  <c r="J105" i="14"/>
  <c r="K105" i="14"/>
  <c r="B417" i="8"/>
  <c r="E446" i="14"/>
  <c r="J83" i="11"/>
  <c r="H84" i="11"/>
  <c r="I83" i="11"/>
  <c r="B418" i="8" l="1"/>
  <c r="E438" i="14"/>
  <c r="Q438" i="14" s="1"/>
  <c r="K106" i="14"/>
  <c r="I107" i="14"/>
  <c r="J106" i="14"/>
  <c r="B97" i="8"/>
  <c r="E112" i="14"/>
  <c r="Q112" i="14" s="1"/>
  <c r="H85" i="11"/>
  <c r="I84" i="11"/>
  <c r="J84" i="11"/>
  <c r="B98" i="8" l="1"/>
  <c r="E113" i="14"/>
  <c r="Q113" i="14" s="1"/>
  <c r="I108" i="14"/>
  <c r="J107" i="14"/>
  <c r="K107" i="14"/>
  <c r="B419" i="8"/>
  <c r="E439" i="14"/>
  <c r="G246" i="8"/>
  <c r="Q23" i="13"/>
  <c r="H86" i="11"/>
  <c r="J85" i="11"/>
  <c r="I85" i="11"/>
  <c r="B420" i="8" l="1"/>
  <c r="E440" i="14"/>
  <c r="Q440" i="14" s="1"/>
  <c r="I109" i="14"/>
  <c r="K108" i="14"/>
  <c r="J108" i="14"/>
  <c r="Q439" i="14"/>
  <c r="M434" i="14"/>
  <c r="B99" i="8"/>
  <c r="E114" i="14"/>
  <c r="Q114" i="14" s="1"/>
  <c r="Q24" i="13"/>
  <c r="J86" i="11"/>
  <c r="I86" i="11"/>
  <c r="H87" i="11"/>
  <c r="K109" i="14" l="1"/>
  <c r="J109" i="14"/>
  <c r="I110" i="14"/>
  <c r="B100" i="8"/>
  <c r="E115" i="14"/>
  <c r="Q115" i="14" s="1"/>
  <c r="B421" i="8"/>
  <c r="E441" i="14"/>
  <c r="Q441" i="14" s="1"/>
  <c r="Q25" i="13"/>
  <c r="J87" i="11"/>
  <c r="H88" i="11"/>
  <c r="I87" i="11"/>
  <c r="B422" i="8" l="1"/>
  <c r="E436" i="14"/>
  <c r="Q436" i="14" s="1"/>
  <c r="B101" i="8"/>
  <c r="E116" i="14"/>
  <c r="Q116" i="14" s="1"/>
  <c r="K110" i="14"/>
  <c r="J110" i="14"/>
  <c r="I111" i="14"/>
  <c r="Q26" i="13"/>
  <c r="H89" i="11"/>
  <c r="I88" i="11"/>
  <c r="J88" i="11"/>
  <c r="B102" i="8" l="1"/>
  <c r="E117" i="14"/>
  <c r="Q117" i="14" s="1"/>
  <c r="K111" i="14"/>
  <c r="I112" i="14"/>
  <c r="J111" i="14"/>
  <c r="B423" i="8"/>
  <c r="E443" i="14"/>
  <c r="Q443" i="14" s="1"/>
  <c r="Q27" i="13"/>
  <c r="J89" i="11"/>
  <c r="I89" i="11"/>
  <c r="H90" i="11"/>
  <c r="J112" i="14" l="1"/>
  <c r="I113" i="14"/>
  <c r="K112" i="14"/>
  <c r="B424" i="8"/>
  <c r="E444" i="14"/>
  <c r="B103" i="8"/>
  <c r="E118" i="14"/>
  <c r="Q118" i="14" s="1"/>
  <c r="Q28" i="13"/>
  <c r="J90" i="11"/>
  <c r="H91" i="11"/>
  <c r="I90" i="11"/>
  <c r="B425" i="8" l="1"/>
  <c r="E445" i="14"/>
  <c r="B104" i="8"/>
  <c r="E119" i="14"/>
  <c r="Q119" i="14" s="1"/>
  <c r="I114" i="14"/>
  <c r="K113" i="14"/>
  <c r="J113" i="14"/>
  <c r="Q29" i="13"/>
  <c r="J91" i="11"/>
  <c r="H92" i="11"/>
  <c r="I91" i="11"/>
  <c r="K114" i="14" l="1"/>
  <c r="I115" i="14"/>
  <c r="J114" i="14"/>
  <c r="B105" i="8"/>
  <c r="E120" i="14"/>
  <c r="Q120" i="14" s="1"/>
  <c r="B426" i="8"/>
  <c r="E437" i="14"/>
  <c r="Q437" i="14" s="1"/>
  <c r="Q30" i="13"/>
  <c r="H93" i="11"/>
  <c r="I92" i="11"/>
  <c r="J92" i="11"/>
  <c r="B106" i="8" l="1"/>
  <c r="E121" i="14"/>
  <c r="Q121" i="14" s="1"/>
  <c r="I116" i="14"/>
  <c r="J115" i="14"/>
  <c r="K115" i="14"/>
  <c r="B427" i="8"/>
  <c r="E447" i="14"/>
  <c r="Q31" i="13"/>
  <c r="H94" i="11"/>
  <c r="J93" i="11"/>
  <c r="I93" i="11"/>
  <c r="B428" i="8" l="1"/>
  <c r="E448" i="14"/>
  <c r="J116" i="14"/>
  <c r="I117" i="14"/>
  <c r="K116" i="14"/>
  <c r="B107" i="8"/>
  <c r="E122" i="14"/>
  <c r="Q122" i="14" s="1"/>
  <c r="Q32" i="13"/>
  <c r="J94" i="11"/>
  <c r="I94" i="11"/>
  <c r="H95" i="11"/>
  <c r="B108" i="8" l="1"/>
  <c r="E123" i="14"/>
  <c r="Q123" i="14" s="1"/>
  <c r="K117" i="14"/>
  <c r="J117" i="14"/>
  <c r="I118" i="14"/>
  <c r="B429" i="8"/>
  <c r="E449" i="14"/>
  <c r="Q33" i="13"/>
  <c r="J95" i="11"/>
  <c r="H96" i="11"/>
  <c r="I95" i="11"/>
  <c r="B430" i="8" l="1"/>
  <c r="E450" i="14"/>
  <c r="K118" i="14"/>
  <c r="I119" i="14"/>
  <c r="J118" i="14"/>
  <c r="B109" i="8"/>
  <c r="E124" i="14"/>
  <c r="Q124" i="14" s="1"/>
  <c r="Q34" i="13"/>
  <c r="H97" i="11"/>
  <c r="I96" i="11"/>
  <c r="J96" i="11"/>
  <c r="B110" i="8" l="1"/>
  <c r="E125" i="14"/>
  <c r="Q125" i="14" s="1"/>
  <c r="J119" i="14"/>
  <c r="K119" i="14"/>
  <c r="I120" i="14"/>
  <c r="B431" i="8"/>
  <c r="E451" i="14"/>
  <c r="Q35" i="13"/>
  <c r="J97" i="11"/>
  <c r="I97" i="11"/>
  <c r="H98" i="11"/>
  <c r="B432" i="8" l="1"/>
  <c r="E452" i="14"/>
  <c r="I121" i="14"/>
  <c r="J120" i="14"/>
  <c r="K120" i="14"/>
  <c r="B111" i="8"/>
  <c r="E126" i="14"/>
  <c r="Q126" i="14" s="1"/>
  <c r="Q36" i="13"/>
  <c r="J98" i="11"/>
  <c r="H99" i="11"/>
  <c r="I98" i="11"/>
  <c r="B112" i="8" l="1"/>
  <c r="E127" i="14"/>
  <c r="Q127" i="14" s="1"/>
  <c r="K121" i="14"/>
  <c r="I122" i="14"/>
  <c r="J121" i="14"/>
  <c r="B433" i="8"/>
  <c r="E453" i="14"/>
  <c r="Q37" i="13"/>
  <c r="J99" i="11"/>
  <c r="H100" i="11"/>
  <c r="I99" i="11"/>
  <c r="B434" i="8" l="1"/>
  <c r="E454" i="14"/>
  <c r="I123" i="14"/>
  <c r="K122" i="14"/>
  <c r="J122" i="14"/>
  <c r="B113" i="8"/>
  <c r="E128" i="14"/>
  <c r="Q128" i="14" s="1"/>
  <c r="Q38" i="13"/>
  <c r="H101" i="11"/>
  <c r="I100" i="11"/>
  <c r="J100" i="11"/>
  <c r="B114" i="8" l="1"/>
  <c r="E129" i="14"/>
  <c r="Q129" i="14" s="1"/>
  <c r="J123" i="14"/>
  <c r="I124" i="14"/>
  <c r="K123" i="14"/>
  <c r="B435" i="8"/>
  <c r="E455" i="14"/>
  <c r="Q39" i="13"/>
  <c r="J101" i="11"/>
  <c r="H102" i="11"/>
  <c r="I101" i="11"/>
  <c r="B436" i="8" l="1"/>
  <c r="E456" i="14"/>
  <c r="J124" i="14"/>
  <c r="I125" i="14"/>
  <c r="K124" i="14"/>
  <c r="B115" i="8"/>
  <c r="E130" i="14"/>
  <c r="Q130" i="14" s="1"/>
  <c r="Q40" i="13"/>
  <c r="J102" i="11"/>
  <c r="I102" i="11"/>
  <c r="H103" i="11"/>
  <c r="B116" i="8" l="1"/>
  <c r="E131" i="14"/>
  <c r="Q131" i="14" s="1"/>
  <c r="B437" i="8"/>
  <c r="E457" i="14"/>
  <c r="K125" i="14"/>
  <c r="J125" i="14"/>
  <c r="I126" i="14"/>
  <c r="Q41" i="13"/>
  <c r="J103" i="11"/>
  <c r="H104" i="11"/>
  <c r="I103" i="11"/>
  <c r="B438" i="8" l="1"/>
  <c r="E458" i="14"/>
  <c r="K126" i="14"/>
  <c r="I127" i="14"/>
  <c r="J126" i="14"/>
  <c r="B117" i="8"/>
  <c r="E132" i="14"/>
  <c r="Q132" i="14" s="1"/>
  <c r="Q42" i="13"/>
  <c r="H105" i="11"/>
  <c r="I104" i="11"/>
  <c r="J104" i="11"/>
  <c r="I128" i="14" l="1"/>
  <c r="J127" i="14"/>
  <c r="K127" i="14"/>
  <c r="B118" i="8"/>
  <c r="E133" i="14"/>
  <c r="Q133" i="14" s="1"/>
  <c r="E459" i="14"/>
  <c r="B439" i="8"/>
  <c r="Q43" i="13"/>
  <c r="J105" i="11"/>
  <c r="I105" i="11"/>
  <c r="H106" i="11"/>
  <c r="B119" i="8" l="1"/>
  <c r="E134" i="14"/>
  <c r="Q134" i="14" s="1"/>
  <c r="E460" i="14"/>
  <c r="I129" i="14"/>
  <c r="J128" i="14"/>
  <c r="K128" i="14"/>
  <c r="Q44" i="13"/>
  <c r="J106" i="11"/>
  <c r="H107" i="11"/>
  <c r="I106" i="11"/>
  <c r="K129" i="14" l="1"/>
  <c r="I130" i="14"/>
  <c r="J129" i="14"/>
  <c r="B120" i="8"/>
  <c r="E135" i="14"/>
  <c r="Q135" i="14" s="1"/>
  <c r="Q45" i="13"/>
  <c r="J107" i="11"/>
  <c r="H108" i="11"/>
  <c r="I107" i="11"/>
  <c r="B121" i="8" l="1"/>
  <c r="E136" i="14"/>
  <c r="Q136" i="14" s="1"/>
  <c r="K130" i="14"/>
  <c r="J130" i="14"/>
  <c r="I131" i="14"/>
  <c r="Q46" i="13"/>
  <c r="H109" i="11"/>
  <c r="I108" i="11"/>
  <c r="J108" i="11"/>
  <c r="K131" i="14" l="1"/>
  <c r="I132" i="14"/>
  <c r="J131" i="14"/>
  <c r="B122" i="8"/>
  <c r="E137" i="14"/>
  <c r="Q137" i="14" s="1"/>
  <c r="Q47" i="13"/>
  <c r="J109" i="11"/>
  <c r="H110" i="11"/>
  <c r="I109" i="11"/>
  <c r="B123" i="8" l="1"/>
  <c r="E138" i="14"/>
  <c r="Q138" i="14" s="1"/>
  <c r="K132" i="14"/>
  <c r="J132" i="14"/>
  <c r="I133" i="14"/>
  <c r="Q48" i="13"/>
  <c r="J110" i="11"/>
  <c r="I110" i="11"/>
  <c r="H111" i="11"/>
  <c r="I134" i="14" l="1"/>
  <c r="K133" i="14"/>
  <c r="J133" i="14"/>
  <c r="B124" i="8"/>
  <c r="E139" i="14"/>
  <c r="Q139" i="14" s="1"/>
  <c r="Q49" i="13"/>
  <c r="J111" i="11"/>
  <c r="H112" i="11"/>
  <c r="I111" i="11"/>
  <c r="B125" i="8" l="1"/>
  <c r="E140" i="14"/>
  <c r="Q140" i="14" s="1"/>
  <c r="J134" i="14"/>
  <c r="I135" i="14"/>
  <c r="K134" i="14"/>
  <c r="Q50" i="13"/>
  <c r="H113" i="11"/>
  <c r="I112" i="11"/>
  <c r="J112" i="11"/>
  <c r="K135" i="14" l="1"/>
  <c r="I136" i="14"/>
  <c r="J135" i="14"/>
  <c r="B126" i="8"/>
  <c r="E141" i="14"/>
  <c r="Q141" i="14" s="1"/>
  <c r="Q51" i="13"/>
  <c r="J113" i="11"/>
  <c r="I113" i="11"/>
  <c r="H114" i="11"/>
  <c r="B127" i="8" l="1"/>
  <c r="E142" i="14"/>
  <c r="Q142" i="14" s="1"/>
  <c r="K136" i="14"/>
  <c r="J136" i="14"/>
  <c r="I137" i="14"/>
  <c r="Q52" i="13"/>
  <c r="J114" i="11"/>
  <c r="H115" i="11"/>
  <c r="I114" i="11"/>
  <c r="J137" i="14" l="1"/>
  <c r="K137" i="14"/>
  <c r="I138" i="14"/>
  <c r="B128" i="8"/>
  <c r="E143" i="14"/>
  <c r="Q143" i="14" s="1"/>
  <c r="Q53" i="13"/>
  <c r="J115" i="11"/>
  <c r="H116" i="11"/>
  <c r="I115" i="11"/>
  <c r="B129" i="8" l="1"/>
  <c r="E144" i="14"/>
  <c r="Q144" i="14" s="1"/>
  <c r="J138" i="14"/>
  <c r="K138" i="14"/>
  <c r="I139" i="14"/>
  <c r="Q54" i="13"/>
  <c r="H117" i="11"/>
  <c r="I116" i="11"/>
  <c r="J116" i="11"/>
  <c r="K139" i="14" l="1"/>
  <c r="J139" i="14"/>
  <c r="I140" i="14"/>
  <c r="B130" i="8"/>
  <c r="E145" i="14"/>
  <c r="Q145" i="14" s="1"/>
  <c r="Q55" i="13"/>
  <c r="H118" i="11"/>
  <c r="J117" i="11"/>
  <c r="I117" i="11"/>
  <c r="B131" i="8" l="1"/>
  <c r="E146" i="14"/>
  <c r="Q146" i="14" s="1"/>
  <c r="J140" i="14"/>
  <c r="K140" i="14"/>
  <c r="I141" i="14"/>
  <c r="Q56" i="13"/>
  <c r="J118" i="11"/>
  <c r="I118" i="11"/>
  <c r="H119" i="11"/>
  <c r="I142" i="14" l="1"/>
  <c r="J141" i="14"/>
  <c r="K141" i="14"/>
  <c r="B132" i="8"/>
  <c r="E147" i="14"/>
  <c r="Q147" i="14" s="1"/>
  <c r="Q57" i="13"/>
  <c r="J119" i="11"/>
  <c r="H120" i="11"/>
  <c r="I119" i="11"/>
  <c r="B133" i="8" l="1"/>
  <c r="E148" i="14"/>
  <c r="Q148" i="14" s="1"/>
  <c r="J142" i="14"/>
  <c r="K142" i="14"/>
  <c r="I143" i="14"/>
  <c r="Q58" i="13"/>
  <c r="H121" i="11"/>
  <c r="I120" i="11"/>
  <c r="J120" i="11"/>
  <c r="K143" i="14" l="1"/>
  <c r="J143" i="14"/>
  <c r="I144" i="14"/>
  <c r="B134" i="8"/>
  <c r="E149" i="14"/>
  <c r="Q149" i="14" s="1"/>
  <c r="Q59" i="13"/>
  <c r="J121" i="11"/>
  <c r="I121" i="11"/>
  <c r="H122" i="11"/>
  <c r="B135" i="8" l="1"/>
  <c r="E150" i="14"/>
  <c r="Q150" i="14" s="1"/>
  <c r="K144" i="14"/>
  <c r="I145" i="14"/>
  <c r="J144" i="14"/>
  <c r="Q60" i="13"/>
  <c r="J122" i="11"/>
  <c r="H123" i="11"/>
  <c r="I122" i="11"/>
  <c r="J145" i="14" l="1"/>
  <c r="I146" i="14"/>
  <c r="K145" i="14"/>
  <c r="B136" i="8"/>
  <c r="E151" i="14"/>
  <c r="Q151" i="14" s="1"/>
  <c r="Q61" i="13"/>
  <c r="J123" i="11"/>
  <c r="H124" i="11"/>
  <c r="I123" i="11"/>
  <c r="B137" i="8" l="1"/>
  <c r="E152" i="14"/>
  <c r="Q152" i="14" s="1"/>
  <c r="J146" i="14"/>
  <c r="I147" i="14"/>
  <c r="K146" i="14"/>
  <c r="Q62" i="13"/>
  <c r="H125" i="11"/>
  <c r="I124" i="11"/>
  <c r="J124" i="11"/>
  <c r="K147" i="14" l="1"/>
  <c r="I148" i="14"/>
  <c r="J147" i="14"/>
  <c r="B138" i="8"/>
  <c r="E153" i="14"/>
  <c r="Q153" i="14" s="1"/>
  <c r="Q63" i="13"/>
  <c r="J125" i="11"/>
  <c r="H126" i="11"/>
  <c r="I125" i="11"/>
  <c r="J148" i="14" l="1"/>
  <c r="K148" i="14"/>
  <c r="I149" i="14"/>
  <c r="B139" i="8"/>
  <c r="E154" i="14"/>
  <c r="Q154" i="14" s="1"/>
  <c r="Q64" i="13"/>
  <c r="J126" i="11"/>
  <c r="I126" i="11"/>
  <c r="H127" i="11"/>
  <c r="B140" i="8" l="1"/>
  <c r="E155" i="14"/>
  <c r="Q155" i="14" s="1"/>
  <c r="J149" i="14"/>
  <c r="K149" i="14"/>
  <c r="I150" i="14"/>
  <c r="Q65" i="13"/>
  <c r="J127" i="11"/>
  <c r="H128" i="11"/>
  <c r="I127" i="11"/>
  <c r="J150" i="14" l="1"/>
  <c r="I151" i="14"/>
  <c r="K150" i="14"/>
  <c r="B141" i="8"/>
  <c r="E156" i="14"/>
  <c r="Q156" i="14" s="1"/>
  <c r="Q66" i="13"/>
  <c r="H129" i="11"/>
  <c r="I128" i="11"/>
  <c r="J128" i="11"/>
  <c r="B142" i="8" l="1"/>
  <c r="E157" i="14"/>
  <c r="Q157" i="14" s="1"/>
  <c r="K151" i="14"/>
  <c r="I152" i="14"/>
  <c r="J151" i="14"/>
  <c r="Q67" i="13"/>
  <c r="J129" i="11"/>
  <c r="I129" i="11"/>
  <c r="H130" i="11"/>
  <c r="K152" i="14" l="1"/>
  <c r="I153" i="14"/>
  <c r="J152" i="14"/>
  <c r="B143" i="8"/>
  <c r="E158" i="14"/>
  <c r="Q158" i="14" s="1"/>
  <c r="Q68" i="13"/>
  <c r="J130" i="11"/>
  <c r="H131" i="11"/>
  <c r="I130" i="11"/>
  <c r="B144" i="8" l="1"/>
  <c r="E159" i="14"/>
  <c r="Q159" i="14" s="1"/>
  <c r="I154" i="14"/>
  <c r="K153" i="14"/>
  <c r="J153" i="14"/>
  <c r="Q69" i="13"/>
  <c r="J131" i="11"/>
  <c r="H132" i="11"/>
  <c r="I131" i="11"/>
  <c r="B145" i="8" l="1"/>
  <c r="E160" i="14"/>
  <c r="Q160" i="14" s="1"/>
  <c r="J154" i="14"/>
  <c r="K154" i="14"/>
  <c r="I155" i="14"/>
  <c r="Q70" i="13"/>
  <c r="H133" i="11"/>
  <c r="I132" i="11"/>
  <c r="J132" i="11"/>
  <c r="I156" i="14" l="1"/>
  <c r="J155" i="14"/>
  <c r="K155" i="14"/>
  <c r="B146" i="8"/>
  <c r="E161" i="14"/>
  <c r="Q161" i="14" s="1"/>
  <c r="Q71" i="13"/>
  <c r="H134" i="11"/>
  <c r="J133" i="11"/>
  <c r="I133" i="11"/>
  <c r="B147" i="8" l="1"/>
  <c r="E162" i="14"/>
  <c r="Q162" i="14" s="1"/>
  <c r="K156" i="14"/>
  <c r="I157" i="14"/>
  <c r="J156" i="14"/>
  <c r="Q72" i="13"/>
  <c r="J134" i="11"/>
  <c r="I134" i="11"/>
  <c r="H135" i="11"/>
  <c r="I158" i="14" l="1"/>
  <c r="J157" i="14"/>
  <c r="K157" i="14"/>
  <c r="B148" i="8"/>
  <c r="E163" i="14"/>
  <c r="Q163" i="14" s="1"/>
  <c r="Q73" i="13"/>
  <c r="J135" i="11"/>
  <c r="H136" i="11"/>
  <c r="I135" i="11"/>
  <c r="B149" i="8" l="1"/>
  <c r="E164" i="14"/>
  <c r="Q164" i="14" s="1"/>
  <c r="J158" i="14"/>
  <c r="K158" i="14"/>
  <c r="I159" i="14"/>
  <c r="Q74" i="13"/>
  <c r="H137" i="11"/>
  <c r="I136" i="11"/>
  <c r="J136" i="11"/>
  <c r="K159" i="14" l="1"/>
  <c r="J159" i="14"/>
  <c r="I160" i="14"/>
  <c r="B150" i="8"/>
  <c r="E165" i="14"/>
  <c r="Q165" i="14" s="1"/>
  <c r="Q75" i="13"/>
  <c r="J137" i="11"/>
  <c r="I137" i="11"/>
  <c r="H138" i="11"/>
  <c r="K160" i="14" l="1"/>
  <c r="J160" i="14"/>
  <c r="I161" i="14"/>
  <c r="B151" i="8"/>
  <c r="E166" i="14"/>
  <c r="Q166" i="14" s="1"/>
  <c r="Q76" i="13"/>
  <c r="J138" i="11"/>
  <c r="H139" i="11"/>
  <c r="I138" i="11"/>
  <c r="B152" i="8" l="1"/>
  <c r="E167" i="14"/>
  <c r="Q167" i="14" s="1"/>
  <c r="J161" i="14"/>
  <c r="K161" i="14"/>
  <c r="I162" i="14"/>
  <c r="Q77" i="13"/>
  <c r="J139" i="11"/>
  <c r="H140" i="11"/>
  <c r="I139" i="11"/>
  <c r="J162" i="14" l="1"/>
  <c r="I163" i="14"/>
  <c r="K162" i="14"/>
  <c r="B153" i="8"/>
  <c r="E168" i="14"/>
  <c r="Q168" i="14" s="1"/>
  <c r="Q78" i="13"/>
  <c r="H141" i="11"/>
  <c r="I140" i="11"/>
  <c r="J140" i="11"/>
  <c r="B154" i="8" l="1"/>
  <c r="E169" i="14"/>
  <c r="Q169" i="14" s="1"/>
  <c r="K163" i="14"/>
  <c r="I164" i="14"/>
  <c r="J163" i="14"/>
  <c r="Q79" i="13"/>
  <c r="H142" i="11"/>
  <c r="J141" i="11"/>
  <c r="I141" i="11"/>
  <c r="K164" i="14" l="1"/>
  <c r="I165" i="14"/>
  <c r="J164" i="14"/>
  <c r="B155" i="8"/>
  <c r="E170" i="14"/>
  <c r="Q170" i="14" s="1"/>
  <c r="Q80" i="13"/>
  <c r="J142" i="11"/>
  <c r="I142" i="11"/>
  <c r="H143" i="11"/>
  <c r="B156" i="8" l="1"/>
  <c r="E171" i="14"/>
  <c r="Q171" i="14" s="1"/>
  <c r="I166" i="14"/>
  <c r="K165" i="14"/>
  <c r="J165" i="14"/>
  <c r="Q81" i="13"/>
  <c r="J143" i="11"/>
  <c r="H144" i="11"/>
  <c r="I143" i="11"/>
  <c r="J166" i="14" l="1"/>
  <c r="K166" i="14"/>
  <c r="I167" i="14"/>
  <c r="B157" i="8"/>
  <c r="E172" i="14"/>
  <c r="Q172" i="14" s="1"/>
  <c r="Q82" i="13"/>
  <c r="H145" i="11"/>
  <c r="I144" i="11"/>
  <c r="J144" i="11"/>
  <c r="K167" i="14" l="1"/>
  <c r="I168" i="14"/>
  <c r="J167" i="14"/>
  <c r="B158" i="8"/>
  <c r="E173" i="14"/>
  <c r="Q173" i="14" s="1"/>
  <c r="Q83" i="13"/>
  <c r="J145" i="11"/>
  <c r="I145" i="11"/>
  <c r="H146" i="11"/>
  <c r="K168" i="14" l="1"/>
  <c r="I169" i="14"/>
  <c r="J168" i="14"/>
  <c r="B159" i="8"/>
  <c r="E174" i="14"/>
  <c r="Q174" i="14" s="1"/>
  <c r="Q84" i="13"/>
  <c r="J146" i="11"/>
  <c r="H147" i="11"/>
  <c r="I146" i="11"/>
  <c r="B160" i="8" l="1"/>
  <c r="E175" i="14"/>
  <c r="Q175" i="14" s="1"/>
  <c r="J169" i="14"/>
  <c r="K169" i="14"/>
  <c r="I170" i="14"/>
  <c r="Q85" i="13"/>
  <c r="J147" i="11"/>
  <c r="H148" i="11"/>
  <c r="I147" i="11"/>
  <c r="J170" i="14" l="1"/>
  <c r="I171" i="14"/>
  <c r="K170" i="14"/>
  <c r="B161" i="8"/>
  <c r="E176" i="14"/>
  <c r="Q176" i="14" s="1"/>
  <c r="Q86" i="13"/>
  <c r="H149" i="11"/>
  <c r="I148" i="11"/>
  <c r="J148" i="11"/>
  <c r="B162" i="8" l="1"/>
  <c r="E177" i="14"/>
  <c r="Q177" i="14" s="1"/>
  <c r="K171" i="14"/>
  <c r="I172" i="14"/>
  <c r="J171" i="14"/>
  <c r="Q87" i="13"/>
  <c r="H150" i="11"/>
  <c r="J149" i="11"/>
  <c r="I149" i="11"/>
  <c r="J172" i="14" l="1"/>
  <c r="I173" i="14"/>
  <c r="K172" i="14"/>
  <c r="B163" i="8"/>
  <c r="E178" i="14"/>
  <c r="Q178" i="14" s="1"/>
  <c r="Q88" i="13"/>
  <c r="J150" i="11"/>
  <c r="I150" i="11"/>
  <c r="H151" i="11"/>
  <c r="B164" i="8" l="1"/>
  <c r="E179" i="14"/>
  <c r="Q179" i="14" s="1"/>
  <c r="I174" i="14"/>
  <c r="K173" i="14"/>
  <c r="J173" i="14"/>
  <c r="Q89" i="13"/>
  <c r="J151" i="11"/>
  <c r="H152" i="11"/>
  <c r="I151" i="11"/>
  <c r="J174" i="14" l="1"/>
  <c r="I175" i="14"/>
  <c r="K174" i="14"/>
  <c r="B165" i="8"/>
  <c r="E180" i="14"/>
  <c r="Q180" i="14" s="1"/>
  <c r="Q90" i="13"/>
  <c r="H153" i="11"/>
  <c r="I152" i="11"/>
  <c r="J152" i="11"/>
  <c r="B166" i="8" l="1"/>
  <c r="E181" i="14"/>
  <c r="Q181" i="14" s="1"/>
  <c r="K175" i="14"/>
  <c r="J175" i="14"/>
  <c r="I176" i="14"/>
  <c r="Q91" i="13"/>
  <c r="Q113" i="13"/>
  <c r="J153" i="11"/>
  <c r="H154" i="11"/>
  <c r="I153" i="11"/>
  <c r="K176" i="14" l="1"/>
  <c r="I177" i="14"/>
  <c r="J176" i="14"/>
  <c r="B167" i="8"/>
  <c r="E182" i="14"/>
  <c r="Q182" i="14" s="1"/>
  <c r="Q92" i="13"/>
  <c r="J154" i="11"/>
  <c r="H155" i="11"/>
  <c r="I154" i="11"/>
  <c r="B168" i="8" l="1"/>
  <c r="E183" i="14"/>
  <c r="Q183" i="14" s="1"/>
  <c r="J177" i="14"/>
  <c r="K177" i="14"/>
  <c r="I178" i="14"/>
  <c r="Q93" i="13"/>
  <c r="J155" i="11"/>
  <c r="H156" i="11"/>
  <c r="I155" i="11"/>
  <c r="J178" i="14" l="1"/>
  <c r="K178" i="14"/>
  <c r="I179" i="14"/>
  <c r="B169" i="8"/>
  <c r="E184" i="14"/>
  <c r="Q184" i="14" s="1"/>
  <c r="Q94" i="13"/>
  <c r="H157" i="11"/>
  <c r="I156" i="11"/>
  <c r="J156" i="11"/>
  <c r="K179" i="14" l="1"/>
  <c r="J179" i="14"/>
  <c r="I180" i="14"/>
  <c r="B170" i="8"/>
  <c r="E185" i="14"/>
  <c r="Q185" i="14" s="1"/>
  <c r="Q95" i="13"/>
  <c r="I157" i="11"/>
  <c r="H158" i="11"/>
  <c r="J157" i="11"/>
  <c r="B171" i="8" l="1"/>
  <c r="E186" i="14"/>
  <c r="Q186" i="14" s="1"/>
  <c r="J180" i="14"/>
  <c r="I181" i="14"/>
  <c r="K180" i="14"/>
  <c r="Q96" i="13"/>
  <c r="J158" i="11"/>
  <c r="H159" i="11"/>
  <c r="I158" i="11"/>
  <c r="I182" i="14" l="1"/>
  <c r="K181" i="14"/>
  <c r="J181" i="14"/>
  <c r="B172" i="8"/>
  <c r="E187" i="14"/>
  <c r="Q187" i="14" s="1"/>
  <c r="Q97" i="13"/>
  <c r="H160" i="11"/>
  <c r="I159" i="11"/>
  <c r="J159" i="11"/>
  <c r="B173" i="8" l="1"/>
  <c r="E188" i="14"/>
  <c r="Q188" i="14" s="1"/>
  <c r="J182" i="14"/>
  <c r="K182" i="14"/>
  <c r="I183" i="14"/>
  <c r="Q98" i="13"/>
  <c r="J160" i="11"/>
  <c r="I160" i="11"/>
  <c r="H161" i="11"/>
  <c r="K183" i="14" l="1"/>
  <c r="J183" i="14"/>
  <c r="I184" i="14"/>
  <c r="B174" i="8"/>
  <c r="E189" i="14"/>
  <c r="Q189" i="14" s="1"/>
  <c r="Q99" i="13"/>
  <c r="J161" i="11"/>
  <c r="H162" i="11"/>
  <c r="I161" i="11"/>
  <c r="B175" i="8" l="1"/>
  <c r="E190" i="14"/>
  <c r="Q190" i="14" s="1"/>
  <c r="I185" i="14"/>
  <c r="J184" i="14"/>
  <c r="K184" i="14"/>
  <c r="Q100" i="13"/>
  <c r="J162" i="11"/>
  <c r="H163" i="11"/>
  <c r="I162" i="11"/>
  <c r="J185" i="14" l="1"/>
  <c r="K185" i="14"/>
  <c r="I186" i="14"/>
  <c r="B176" i="8"/>
  <c r="E191" i="14"/>
  <c r="Q191" i="14" s="1"/>
  <c r="Q101" i="13"/>
  <c r="H164" i="11"/>
  <c r="I163" i="11"/>
  <c r="J163" i="11"/>
  <c r="B177" i="8" l="1"/>
  <c r="E192" i="14"/>
  <c r="Q192" i="14" s="1"/>
  <c r="J186" i="14"/>
  <c r="K186" i="14"/>
  <c r="I187" i="14"/>
  <c r="Q102" i="13"/>
  <c r="J164" i="11"/>
  <c r="H165" i="11"/>
  <c r="I164" i="11"/>
  <c r="K187" i="14" l="1"/>
  <c r="J187" i="14"/>
  <c r="I188" i="14"/>
  <c r="B178" i="8"/>
  <c r="E193" i="14"/>
  <c r="Q193" i="14" s="1"/>
  <c r="Q103" i="13"/>
  <c r="J165" i="11"/>
  <c r="H166" i="11"/>
  <c r="I165" i="11"/>
  <c r="B179" i="8" l="1"/>
  <c r="E194" i="14"/>
  <c r="Q194" i="14" s="1"/>
  <c r="J188" i="14"/>
  <c r="K188" i="14"/>
  <c r="I189" i="14"/>
  <c r="Q104" i="13"/>
  <c r="J166" i="11"/>
  <c r="H167" i="11"/>
  <c r="I166" i="11"/>
  <c r="B180" i="8" l="1"/>
  <c r="E195" i="14"/>
  <c r="Q195" i="14" s="1"/>
  <c r="I190" i="14"/>
  <c r="J189" i="14"/>
  <c r="K189" i="14"/>
  <c r="Q105" i="13"/>
  <c r="H168" i="11"/>
  <c r="I167" i="11"/>
  <c r="J167" i="11"/>
  <c r="I191" i="14" l="1"/>
  <c r="J190" i="14"/>
  <c r="K190" i="14"/>
  <c r="B181" i="8"/>
  <c r="E196" i="14"/>
  <c r="Q196" i="14" s="1"/>
  <c r="Q106" i="13"/>
  <c r="J168" i="11"/>
  <c r="H169" i="11"/>
  <c r="I168" i="11"/>
  <c r="B182" i="8" l="1"/>
  <c r="E197" i="14"/>
  <c r="Q197" i="14" s="1"/>
  <c r="K191" i="14"/>
  <c r="J191" i="14"/>
  <c r="I192" i="14"/>
  <c r="Q107" i="13"/>
  <c r="J169" i="11"/>
  <c r="H170" i="11"/>
  <c r="I169" i="11"/>
  <c r="K192" i="14" l="1"/>
  <c r="J192" i="14"/>
  <c r="I193" i="14"/>
  <c r="B183" i="8"/>
  <c r="E198" i="14"/>
  <c r="Q198" i="14" s="1"/>
  <c r="Q108" i="13"/>
  <c r="J170" i="11"/>
  <c r="H171" i="11"/>
  <c r="I170" i="11"/>
  <c r="B184" i="8" l="1"/>
  <c r="E199" i="14"/>
  <c r="Q199" i="14" s="1"/>
  <c r="J193" i="14"/>
  <c r="I194" i="14"/>
  <c r="K193" i="14"/>
  <c r="Q109" i="13"/>
  <c r="H172" i="11"/>
  <c r="I171" i="11"/>
  <c r="J171" i="11"/>
  <c r="B185" i="8" l="1"/>
  <c r="E200" i="14"/>
  <c r="Q200" i="14" s="1"/>
  <c r="J194" i="14"/>
  <c r="K194" i="14"/>
  <c r="I195" i="14"/>
  <c r="Q110" i="13"/>
  <c r="J172" i="11"/>
  <c r="I172" i="11"/>
  <c r="H173" i="11"/>
  <c r="B186" i="8" l="1"/>
  <c r="E201" i="14"/>
  <c r="Q201" i="14" s="1"/>
  <c r="I196" i="14"/>
  <c r="K195" i="14"/>
  <c r="J195" i="14"/>
  <c r="Q111" i="13"/>
  <c r="J173" i="11"/>
  <c r="H174" i="11"/>
  <c r="I173" i="11"/>
  <c r="B187" i="8" l="1"/>
  <c r="E202" i="14"/>
  <c r="Q202" i="14" s="1"/>
  <c r="J196" i="14"/>
  <c r="K196" i="14"/>
  <c r="I197" i="14"/>
  <c r="Q112" i="13"/>
  <c r="J174" i="11"/>
  <c r="H175" i="11"/>
  <c r="I174" i="11"/>
  <c r="K197" i="14" l="1"/>
  <c r="I198" i="14"/>
  <c r="J197" i="14"/>
  <c r="B188" i="8"/>
  <c r="E203" i="14"/>
  <c r="Q203" i="14" s="1"/>
  <c r="H176" i="11"/>
  <c r="I175" i="11"/>
  <c r="J175" i="11"/>
  <c r="B189" i="8" l="1"/>
  <c r="E204" i="14"/>
  <c r="Q204" i="14" s="1"/>
  <c r="J198" i="14"/>
  <c r="K198" i="14"/>
  <c r="I199" i="14"/>
  <c r="Q114" i="13"/>
  <c r="J176" i="11"/>
  <c r="H177" i="11"/>
  <c r="I176" i="11"/>
  <c r="I200" i="14" l="1"/>
  <c r="K199" i="14"/>
  <c r="J199" i="14"/>
  <c r="B190" i="8"/>
  <c r="E205" i="14"/>
  <c r="Q205" i="14" s="1"/>
  <c r="Q115" i="13"/>
  <c r="J177" i="11"/>
  <c r="H178" i="11"/>
  <c r="I177" i="11"/>
  <c r="B191" i="8" l="1"/>
  <c r="E206" i="14"/>
  <c r="Q206" i="14" s="1"/>
  <c r="K200" i="14"/>
  <c r="J200" i="14"/>
  <c r="I201" i="14"/>
  <c r="Q116" i="13"/>
  <c r="J178" i="11"/>
  <c r="H179" i="11"/>
  <c r="I178" i="11"/>
  <c r="B192" i="8" l="1"/>
  <c r="E207" i="14"/>
  <c r="Q207" i="14" s="1"/>
  <c r="J201" i="14"/>
  <c r="I202" i="14"/>
  <c r="K201" i="14"/>
  <c r="Q117" i="13"/>
  <c r="H180" i="11"/>
  <c r="I179" i="11"/>
  <c r="J179" i="11"/>
  <c r="I203" i="14" l="1"/>
  <c r="K202" i="14"/>
  <c r="J202" i="14"/>
  <c r="B193" i="8"/>
  <c r="E208" i="14"/>
  <c r="Q208" i="14" s="1"/>
  <c r="Q118" i="13"/>
  <c r="J180" i="11"/>
  <c r="H181" i="11"/>
  <c r="I180" i="11"/>
  <c r="B194" i="8" l="1"/>
  <c r="E209" i="14"/>
  <c r="Q209" i="14" s="1"/>
  <c r="J203" i="14"/>
  <c r="K203" i="14"/>
  <c r="I204" i="14"/>
  <c r="Q119" i="13"/>
  <c r="J181" i="11"/>
  <c r="H182" i="11"/>
  <c r="I181" i="11"/>
  <c r="K204" i="14" l="1"/>
  <c r="J204" i="14"/>
  <c r="I205" i="14"/>
  <c r="B195" i="8"/>
  <c r="E210" i="14"/>
  <c r="Q210" i="14" s="1"/>
  <c r="Q120" i="13"/>
  <c r="J182" i="11"/>
  <c r="H183" i="11"/>
  <c r="I182" i="11"/>
  <c r="J205" i="14" l="1"/>
  <c r="K205" i="14"/>
  <c r="I206" i="14"/>
  <c r="B196" i="8"/>
  <c r="E211" i="14"/>
  <c r="Q211" i="14" s="1"/>
  <c r="Q121" i="13"/>
  <c r="H184" i="11"/>
  <c r="I183" i="11"/>
  <c r="J183" i="11"/>
  <c r="B197" i="8" l="1"/>
  <c r="E212" i="14"/>
  <c r="Q212" i="14" s="1"/>
  <c r="I207" i="14"/>
  <c r="K206" i="14"/>
  <c r="J206" i="14"/>
  <c r="Q122" i="13"/>
  <c r="J184" i="11"/>
  <c r="H185" i="11"/>
  <c r="I184" i="11"/>
  <c r="J207" i="14" l="1"/>
  <c r="K207" i="14"/>
  <c r="I208" i="14"/>
  <c r="B198" i="8"/>
  <c r="E213" i="14"/>
  <c r="Q213" i="14" s="1"/>
  <c r="Q123" i="13"/>
  <c r="J185" i="11"/>
  <c r="H186" i="11"/>
  <c r="I185" i="11"/>
  <c r="B199" i="8" l="1"/>
  <c r="E214" i="14"/>
  <c r="Q214" i="14" s="1"/>
  <c r="K208" i="14"/>
  <c r="J208" i="14"/>
  <c r="I209" i="14"/>
  <c r="Q124" i="13"/>
  <c r="J186" i="11"/>
  <c r="H187" i="11"/>
  <c r="I186" i="11"/>
  <c r="J209" i="14" l="1"/>
  <c r="K209" i="14"/>
  <c r="I210" i="14"/>
  <c r="B200" i="8"/>
  <c r="E215" i="14"/>
  <c r="Q215" i="14" s="1"/>
  <c r="Q125" i="13"/>
  <c r="H188" i="11"/>
  <c r="I187" i="11"/>
  <c r="J187" i="11"/>
  <c r="J210" i="14" l="1"/>
  <c r="K210" i="14"/>
  <c r="I211" i="14"/>
  <c r="B201" i="8"/>
  <c r="E216" i="14"/>
  <c r="Q216" i="14" s="1"/>
  <c r="Q126" i="13"/>
  <c r="J188" i="11"/>
  <c r="I188" i="11"/>
  <c r="H189" i="11"/>
  <c r="B202" i="8" l="1"/>
  <c r="E217" i="14"/>
  <c r="Q217" i="14" s="1"/>
  <c r="J211" i="14"/>
  <c r="K211" i="14"/>
  <c r="I212" i="14"/>
  <c r="Q127" i="13"/>
  <c r="J189" i="11"/>
  <c r="H190" i="11"/>
  <c r="I189" i="11"/>
  <c r="B203" i="8" l="1"/>
  <c r="E218" i="14"/>
  <c r="Q218" i="14" s="1"/>
  <c r="K212" i="14"/>
  <c r="I213" i="14"/>
  <c r="J212" i="14"/>
  <c r="Q128" i="13"/>
  <c r="J190" i="11"/>
  <c r="H191" i="11"/>
  <c r="I190" i="11"/>
  <c r="J213" i="14" l="1"/>
  <c r="K213" i="14"/>
  <c r="I214" i="14"/>
  <c r="B204" i="8"/>
  <c r="E219" i="14"/>
  <c r="Q219" i="14" s="1"/>
  <c r="Q129" i="13"/>
  <c r="H192" i="11"/>
  <c r="I191" i="11"/>
  <c r="J191" i="11"/>
  <c r="B205" i="8" l="1"/>
  <c r="E220" i="14"/>
  <c r="Q220" i="14" s="1"/>
  <c r="I215" i="14"/>
  <c r="K214" i="14"/>
  <c r="J214" i="14"/>
  <c r="Q130" i="13"/>
  <c r="J192" i="11"/>
  <c r="H193" i="11"/>
  <c r="I192" i="11"/>
  <c r="J215" i="14" l="1"/>
  <c r="K215" i="14"/>
  <c r="I216" i="14"/>
  <c r="B206" i="8"/>
  <c r="E221" i="14"/>
  <c r="Q221" i="14" s="1"/>
  <c r="Q131" i="13"/>
  <c r="J193" i="11"/>
  <c r="H194" i="11"/>
  <c r="I193" i="11"/>
  <c r="B207" i="8" l="1"/>
  <c r="E222" i="14"/>
  <c r="Q222" i="14" s="1"/>
  <c r="K216" i="14"/>
  <c r="J216" i="14"/>
  <c r="I217" i="14"/>
  <c r="Q132" i="13"/>
  <c r="J194" i="11"/>
  <c r="H195" i="11"/>
  <c r="I194" i="11"/>
  <c r="J217" i="14" l="1"/>
  <c r="K217" i="14"/>
  <c r="I218" i="14"/>
  <c r="B208" i="8"/>
  <c r="E223" i="14"/>
  <c r="Q223" i="14" s="1"/>
  <c r="Q133" i="13"/>
  <c r="H196" i="11"/>
  <c r="I195" i="11"/>
  <c r="J195" i="11"/>
  <c r="B209" i="8" l="1"/>
  <c r="E224" i="14"/>
  <c r="Q224" i="14" s="1"/>
  <c r="J218" i="14"/>
  <c r="K218" i="14"/>
  <c r="I219" i="14"/>
  <c r="Q134" i="13"/>
  <c r="J196" i="11"/>
  <c r="H197" i="11"/>
  <c r="I196" i="11"/>
  <c r="J219" i="14" l="1"/>
  <c r="I220" i="14"/>
  <c r="K219" i="14"/>
  <c r="B210" i="8"/>
  <c r="E225" i="14"/>
  <c r="Q225" i="14" s="1"/>
  <c r="Q135" i="13"/>
  <c r="J197" i="11"/>
  <c r="H198" i="11"/>
  <c r="I197" i="11"/>
  <c r="K220" i="14" l="1"/>
  <c r="I221" i="14"/>
  <c r="J220" i="14"/>
  <c r="B211" i="8"/>
  <c r="E226" i="14"/>
  <c r="Q226" i="14" s="1"/>
  <c r="Q136" i="13"/>
  <c r="J198" i="11"/>
  <c r="H199" i="11"/>
  <c r="I198" i="11"/>
  <c r="J221" i="14" l="1"/>
  <c r="K221" i="14"/>
  <c r="I222" i="14"/>
  <c r="B212" i="8"/>
  <c r="E227" i="14"/>
  <c r="Q227" i="14" s="1"/>
  <c r="Q137" i="13"/>
  <c r="H200" i="11"/>
  <c r="I199" i="11"/>
  <c r="J199" i="11"/>
  <c r="B213" i="8" l="1"/>
  <c r="E228" i="14"/>
  <c r="Q228" i="14" s="1"/>
  <c r="I223" i="14"/>
  <c r="K222" i="14"/>
  <c r="J222" i="14"/>
  <c r="Q138" i="13"/>
  <c r="J200" i="11"/>
  <c r="H201" i="11"/>
  <c r="I200" i="11"/>
  <c r="J223" i="14" l="1"/>
  <c r="I224" i="14"/>
  <c r="K223" i="14"/>
  <c r="B214" i="8"/>
  <c r="E229" i="14"/>
  <c r="Q229" i="14" s="1"/>
  <c r="Q139" i="13"/>
  <c r="J201" i="11"/>
  <c r="H202" i="11"/>
  <c r="I201" i="11"/>
  <c r="B215" i="8" l="1"/>
  <c r="E230" i="14"/>
  <c r="Q230" i="14" s="1"/>
  <c r="K224" i="14"/>
  <c r="I225" i="14"/>
  <c r="J224" i="14"/>
  <c r="Q140" i="13"/>
  <c r="J202" i="11"/>
  <c r="H203" i="11"/>
  <c r="I202" i="11"/>
  <c r="J225" i="14" l="1"/>
  <c r="I226" i="14"/>
  <c r="K225" i="14"/>
  <c r="B216" i="8"/>
  <c r="E231" i="14"/>
  <c r="Q231" i="14" s="1"/>
  <c r="Q141" i="13"/>
  <c r="H204" i="11"/>
  <c r="I203" i="11"/>
  <c r="J203" i="11"/>
  <c r="B217" i="8" l="1"/>
  <c r="E232" i="14"/>
  <c r="Q232" i="14" s="1"/>
  <c r="J226" i="14"/>
  <c r="K226" i="14"/>
  <c r="I227" i="14"/>
  <c r="Q142" i="13"/>
  <c r="J204" i="11"/>
  <c r="I204" i="11"/>
  <c r="H205" i="11"/>
  <c r="J227" i="14" l="1"/>
  <c r="K227" i="14"/>
  <c r="I228" i="14"/>
  <c r="B218" i="8"/>
  <c r="E233" i="14"/>
  <c r="Q233" i="14" s="1"/>
  <c r="Q143" i="13"/>
  <c r="J205" i="11"/>
  <c r="H206" i="11"/>
  <c r="I205" i="11"/>
  <c r="B219" i="8" l="1"/>
  <c r="E234" i="14"/>
  <c r="Q234" i="14" s="1"/>
  <c r="K228" i="14"/>
  <c r="J228" i="14"/>
  <c r="I229" i="14"/>
  <c r="Q144" i="13"/>
  <c r="J206" i="11"/>
  <c r="H207" i="11"/>
  <c r="I206" i="11"/>
  <c r="I230" i="14" l="1"/>
  <c r="K229" i="14"/>
  <c r="J229" i="14"/>
  <c r="B220" i="8"/>
  <c r="E235" i="14"/>
  <c r="Q235" i="14" s="1"/>
  <c r="Q145" i="13"/>
  <c r="H208" i="11"/>
  <c r="I207" i="11"/>
  <c r="J207" i="11"/>
  <c r="I231" i="14" l="1"/>
  <c r="K230" i="14"/>
  <c r="J230" i="14"/>
  <c r="B221" i="8"/>
  <c r="E236" i="14"/>
  <c r="Q236" i="14" s="1"/>
  <c r="Q146" i="13"/>
  <c r="H209" i="11"/>
  <c r="J208" i="11"/>
  <c r="I208" i="11"/>
  <c r="B222" i="8" l="1"/>
  <c r="E237" i="14"/>
  <c r="Q237" i="14" s="1"/>
  <c r="I232" i="14"/>
  <c r="K231" i="14"/>
  <c r="J231" i="14"/>
  <c r="Q147" i="13"/>
  <c r="J209" i="11"/>
  <c r="H210" i="11"/>
  <c r="I209" i="11"/>
  <c r="K232" i="14" l="1"/>
  <c r="I233" i="14"/>
  <c r="J232" i="14"/>
  <c r="B223" i="8"/>
  <c r="E238" i="14"/>
  <c r="Q238" i="14" s="1"/>
  <c r="Q148" i="13"/>
  <c r="H211" i="11"/>
  <c r="I210" i="11"/>
  <c r="J210" i="11"/>
  <c r="B224" i="8" l="1"/>
  <c r="E239" i="14"/>
  <c r="Q239" i="14" s="1"/>
  <c r="J233" i="14"/>
  <c r="I234" i="14"/>
  <c r="K233" i="14"/>
  <c r="Q149" i="13"/>
  <c r="J211" i="11"/>
  <c r="H212" i="11"/>
  <c r="I211" i="11"/>
  <c r="J234" i="14" l="1"/>
  <c r="K234" i="14"/>
  <c r="I235" i="14"/>
  <c r="B225" i="8"/>
  <c r="E240" i="14"/>
  <c r="Q240" i="14" s="1"/>
  <c r="Q150" i="13"/>
  <c r="J212" i="11"/>
  <c r="H213" i="11"/>
  <c r="I212" i="11"/>
  <c r="B226" i="8" l="1"/>
  <c r="E241" i="14"/>
  <c r="Q241" i="14" s="1"/>
  <c r="J235" i="14"/>
  <c r="K235" i="14"/>
  <c r="I236" i="14"/>
  <c r="Q151" i="13"/>
  <c r="J213" i="11"/>
  <c r="H214" i="11"/>
  <c r="I213" i="11"/>
  <c r="K236" i="14" l="1"/>
  <c r="J236" i="14"/>
  <c r="I237" i="14"/>
  <c r="B227" i="8"/>
  <c r="E242" i="14"/>
  <c r="Q242" i="14" s="1"/>
  <c r="Q152" i="13"/>
  <c r="H215" i="11"/>
  <c r="I214" i="11"/>
  <c r="J214" i="11"/>
  <c r="B228" i="8" l="1"/>
  <c r="E243" i="14"/>
  <c r="Q243" i="14" s="1"/>
  <c r="J237" i="14"/>
  <c r="K237" i="14"/>
  <c r="I238" i="14"/>
  <c r="Q153" i="13"/>
  <c r="J215" i="11"/>
  <c r="H216" i="11"/>
  <c r="I215" i="11"/>
  <c r="I239" i="14" l="1"/>
  <c r="J238" i="14"/>
  <c r="K238" i="14"/>
  <c r="B229" i="8"/>
  <c r="E244" i="14"/>
  <c r="Q244" i="14" s="1"/>
  <c r="Q154" i="13"/>
  <c r="J216" i="11"/>
  <c r="H217" i="11"/>
  <c r="I216" i="11"/>
  <c r="B230" i="8" l="1"/>
  <c r="E245" i="14"/>
  <c r="Q245" i="14" s="1"/>
  <c r="J239" i="14"/>
  <c r="K239" i="14"/>
  <c r="I240" i="14"/>
  <c r="Q155" i="13"/>
  <c r="J217" i="11"/>
  <c r="H218" i="11"/>
  <c r="I217" i="11"/>
  <c r="K240" i="14" l="1"/>
  <c r="I241" i="14"/>
  <c r="J240" i="14"/>
  <c r="B231" i="8"/>
  <c r="E246" i="14"/>
  <c r="Q246" i="14" s="1"/>
  <c r="Q156" i="13"/>
  <c r="H219" i="11"/>
  <c r="I218" i="11"/>
  <c r="J218" i="11"/>
  <c r="B232" i="8" l="1"/>
  <c r="E247" i="14"/>
  <c r="Q247" i="14" s="1"/>
  <c r="J241" i="14"/>
  <c r="I242" i="14"/>
  <c r="K241" i="14"/>
  <c r="Q157" i="13"/>
  <c r="J219" i="11"/>
  <c r="H220" i="11"/>
  <c r="I219" i="11"/>
  <c r="J242" i="14" l="1"/>
  <c r="I243" i="14"/>
  <c r="K242" i="14"/>
  <c r="B233" i="8"/>
  <c r="E248" i="14"/>
  <c r="Q248" i="14" s="1"/>
  <c r="Q158" i="13"/>
  <c r="J220" i="11"/>
  <c r="H221" i="11"/>
  <c r="I220" i="11"/>
  <c r="B234" i="8" l="1"/>
  <c r="E249" i="14"/>
  <c r="Q249" i="14" s="1"/>
  <c r="J243" i="14"/>
  <c r="I244" i="14"/>
  <c r="K243" i="14"/>
  <c r="Q159" i="13"/>
  <c r="J221" i="11"/>
  <c r="H222" i="11"/>
  <c r="I221" i="11"/>
  <c r="K244" i="14" l="1"/>
  <c r="J244" i="14"/>
  <c r="I245" i="14"/>
  <c r="B235" i="8"/>
  <c r="E250" i="14"/>
  <c r="Q250" i="14" s="1"/>
  <c r="Q160" i="13"/>
  <c r="H223" i="11"/>
  <c r="I222" i="11"/>
  <c r="J222" i="11"/>
  <c r="B236" i="8" l="1"/>
  <c r="E251" i="14"/>
  <c r="Q251" i="14" s="1"/>
  <c r="J245" i="14"/>
  <c r="I246" i="14"/>
  <c r="K245" i="14"/>
  <c r="Q161" i="13"/>
  <c r="J223" i="11"/>
  <c r="I223" i="11"/>
  <c r="H224" i="11"/>
  <c r="I247" i="14" l="1"/>
  <c r="K246" i="14"/>
  <c r="J246" i="14"/>
  <c r="B237" i="8"/>
  <c r="E252" i="14"/>
  <c r="Q252" i="14" s="1"/>
  <c r="Q162" i="13"/>
  <c r="J224" i="11"/>
  <c r="H225" i="11"/>
  <c r="I224" i="11"/>
  <c r="B238" i="8" l="1"/>
  <c r="E253" i="14"/>
  <c r="Q253" i="14" s="1"/>
  <c r="J247" i="14"/>
  <c r="K247" i="14"/>
  <c r="I248" i="14"/>
  <c r="Q163" i="13"/>
  <c r="J225" i="11"/>
  <c r="H226" i="11"/>
  <c r="I225" i="11"/>
  <c r="K248" i="14" l="1"/>
  <c r="I249" i="14"/>
  <c r="J248" i="14"/>
  <c r="B239" i="8"/>
  <c r="E254" i="14"/>
  <c r="Q254" i="14" s="1"/>
  <c r="Q164" i="13"/>
  <c r="H227" i="11"/>
  <c r="I226" i="11"/>
  <c r="J226" i="11"/>
  <c r="B240" i="8" l="1"/>
  <c r="E255" i="14"/>
  <c r="Q255" i="14" s="1"/>
  <c r="J249" i="14"/>
  <c r="K249" i="14"/>
  <c r="I250" i="14"/>
  <c r="Q165" i="13"/>
  <c r="J227" i="11"/>
  <c r="H228" i="11"/>
  <c r="I227" i="11"/>
  <c r="J250" i="14" l="1"/>
  <c r="K250" i="14"/>
  <c r="I251" i="14"/>
  <c r="B241" i="8"/>
  <c r="E256" i="14"/>
  <c r="Q256" i="14" s="1"/>
  <c r="Q166" i="13"/>
  <c r="J228" i="11"/>
  <c r="H229" i="11"/>
  <c r="I228" i="11"/>
  <c r="J251" i="14" l="1"/>
  <c r="K251" i="14"/>
  <c r="I252" i="14"/>
  <c r="B242" i="8"/>
  <c r="E257" i="14"/>
  <c r="Q257" i="14" s="1"/>
  <c r="Q167" i="13"/>
  <c r="J229" i="11"/>
  <c r="H230" i="11"/>
  <c r="I229" i="11"/>
  <c r="B243" i="8" l="1"/>
  <c r="E258" i="14"/>
  <c r="Q258" i="14" s="1"/>
  <c r="J252" i="14"/>
  <c r="K252" i="14"/>
  <c r="I253" i="14"/>
  <c r="Q168" i="13"/>
  <c r="H231" i="11"/>
  <c r="I230" i="11"/>
  <c r="J230" i="11"/>
  <c r="I254" i="14" l="1"/>
  <c r="J253" i="14"/>
  <c r="K253" i="14"/>
  <c r="B244" i="8"/>
  <c r="E259" i="14"/>
  <c r="Q259" i="14" s="1"/>
  <c r="Q169" i="13"/>
  <c r="J231" i="11"/>
  <c r="H232" i="11"/>
  <c r="I231" i="11"/>
  <c r="B245" i="8" l="1"/>
  <c r="E260" i="14"/>
  <c r="Q260" i="14" s="1"/>
  <c r="I255" i="14"/>
  <c r="K254" i="14"/>
  <c r="J254" i="14"/>
  <c r="Q170" i="13"/>
  <c r="J232" i="11"/>
  <c r="H233" i="11"/>
  <c r="I232" i="11"/>
  <c r="B246" i="8" l="1"/>
  <c r="E261" i="14"/>
  <c r="Q261" i="14" s="1"/>
  <c r="J255" i="14"/>
  <c r="K255" i="14"/>
  <c r="I256" i="14"/>
  <c r="Q171" i="13"/>
  <c r="J233" i="11"/>
  <c r="H234" i="11"/>
  <c r="I233" i="11"/>
  <c r="I257" i="14" l="1"/>
  <c r="K256" i="14"/>
  <c r="J256" i="14"/>
  <c r="B247" i="8"/>
  <c r="E262" i="14"/>
  <c r="Q262" i="14" s="1"/>
  <c r="Q172" i="13"/>
  <c r="H235" i="11"/>
  <c r="I234" i="11"/>
  <c r="J234" i="11"/>
  <c r="B248" i="8" l="1"/>
  <c r="E263" i="14"/>
  <c r="Q263" i="14" s="1"/>
  <c r="J257" i="14"/>
  <c r="I258" i="14"/>
  <c r="K257" i="14"/>
  <c r="Q173" i="13"/>
  <c r="J235" i="11"/>
  <c r="H236" i="11"/>
  <c r="I235" i="11"/>
  <c r="J258" i="14" l="1"/>
  <c r="I259" i="14"/>
  <c r="K258" i="14"/>
  <c r="B249" i="8"/>
  <c r="E264" i="14"/>
  <c r="Q264" i="14" s="1"/>
  <c r="Q174" i="13"/>
  <c r="J236" i="11"/>
  <c r="H237" i="11"/>
  <c r="I236" i="11"/>
  <c r="B250" i="8" l="1"/>
  <c r="E265" i="14"/>
  <c r="Q265" i="14" s="1"/>
  <c r="J259" i="14"/>
  <c r="K259" i="14"/>
  <c r="I260" i="14"/>
  <c r="Q175" i="13"/>
  <c r="J237" i="11"/>
  <c r="H238" i="11"/>
  <c r="I237" i="11"/>
  <c r="K260" i="14" l="1"/>
  <c r="I261" i="14"/>
  <c r="J260" i="14"/>
  <c r="B251" i="8"/>
  <c r="E266" i="14"/>
  <c r="Q266" i="14" s="1"/>
  <c r="Q176" i="13"/>
  <c r="H239" i="11"/>
  <c r="I238" i="11"/>
  <c r="J238" i="11"/>
  <c r="B252" i="8" l="1"/>
  <c r="E267" i="14"/>
  <c r="Q267" i="14" s="1"/>
  <c r="I262" i="14"/>
  <c r="J261" i="14"/>
  <c r="K261" i="14"/>
  <c r="Q177" i="13"/>
  <c r="J239" i="11"/>
  <c r="I239" i="11"/>
  <c r="H240" i="11"/>
  <c r="I263" i="14" l="1"/>
  <c r="K262" i="14"/>
  <c r="J262" i="14"/>
  <c r="B253" i="8"/>
  <c r="E268" i="14"/>
  <c r="Q268" i="14" s="1"/>
  <c r="Q178" i="13"/>
  <c r="J240" i="11"/>
  <c r="H241" i="11"/>
  <c r="I240" i="11"/>
  <c r="B254" i="8" l="1"/>
  <c r="E269" i="14"/>
  <c r="Q269" i="14" s="1"/>
  <c r="J263" i="14"/>
  <c r="K263" i="14"/>
  <c r="I264" i="14"/>
  <c r="Q179" i="13"/>
  <c r="J241" i="11"/>
  <c r="H242" i="11"/>
  <c r="I241" i="11"/>
  <c r="K264" i="14" l="1"/>
  <c r="I265" i="14"/>
  <c r="J264" i="14"/>
  <c r="B255" i="8"/>
  <c r="E270" i="14"/>
  <c r="Q270" i="14" s="1"/>
  <c r="Q180" i="13"/>
  <c r="H243" i="11"/>
  <c r="I242" i="11"/>
  <c r="J242" i="11"/>
  <c r="J265" i="14" l="1"/>
  <c r="K265" i="14"/>
  <c r="I266" i="14"/>
  <c r="B256" i="8"/>
  <c r="E271" i="14"/>
  <c r="Q271" i="14" s="1"/>
  <c r="Q181" i="13"/>
  <c r="J243" i="11"/>
  <c r="H244" i="11"/>
  <c r="I243" i="11"/>
  <c r="B257" i="8" l="1"/>
  <c r="E272" i="14"/>
  <c r="Q272" i="14" s="1"/>
  <c r="J266" i="14"/>
  <c r="K266" i="14"/>
  <c r="I267" i="14"/>
  <c r="Q182" i="13"/>
  <c r="J244" i="11"/>
  <c r="H245" i="11"/>
  <c r="I244" i="11"/>
  <c r="J267" i="14" l="1"/>
  <c r="I268" i="14"/>
  <c r="K267" i="14"/>
  <c r="B258" i="8"/>
  <c r="E273" i="14"/>
  <c r="Q273" i="14" s="1"/>
  <c r="Q183" i="13"/>
  <c r="J245" i="11"/>
  <c r="H246" i="11"/>
  <c r="I245" i="11"/>
  <c r="K268" i="14" l="1"/>
  <c r="I269" i="14"/>
  <c r="J268" i="14"/>
  <c r="B259" i="8"/>
  <c r="E274" i="14"/>
  <c r="Q274" i="14" s="1"/>
  <c r="Q184" i="13"/>
  <c r="H247" i="11"/>
  <c r="I246" i="11"/>
  <c r="J246" i="11"/>
  <c r="B260" i="8" l="1"/>
  <c r="E275" i="14"/>
  <c r="Q275" i="14" s="1"/>
  <c r="I270" i="14"/>
  <c r="K269" i="14"/>
  <c r="J269" i="14"/>
  <c r="Q185" i="13"/>
  <c r="J247" i="11"/>
  <c r="H248" i="11"/>
  <c r="I247" i="11"/>
  <c r="J270" i="14" l="1"/>
  <c r="K270" i="14"/>
  <c r="I271" i="14"/>
  <c r="B261" i="8"/>
  <c r="E276" i="14"/>
  <c r="Q276" i="14" s="1"/>
  <c r="Q186" i="13"/>
  <c r="J248" i="11"/>
  <c r="H249" i="11"/>
  <c r="I248" i="11"/>
  <c r="B262" i="8" l="1"/>
  <c r="E277" i="14"/>
  <c r="Q277" i="14" s="1"/>
  <c r="K271" i="14"/>
  <c r="I272" i="14"/>
  <c r="J271" i="14"/>
  <c r="Q187" i="13"/>
  <c r="J249" i="11"/>
  <c r="H250" i="11"/>
  <c r="I249" i="11"/>
  <c r="J272" i="14" l="1"/>
  <c r="I273" i="14"/>
  <c r="K272" i="14"/>
  <c r="B263" i="8"/>
  <c r="E278" i="14"/>
  <c r="Q278" i="14" s="1"/>
  <c r="Q188" i="13"/>
  <c r="H251" i="11"/>
  <c r="I250" i="11"/>
  <c r="J250" i="11"/>
  <c r="B264" i="8" l="1"/>
  <c r="E279" i="14"/>
  <c r="Q279" i="14" s="1"/>
  <c r="J273" i="14"/>
  <c r="I274" i="14"/>
  <c r="K273" i="14"/>
  <c r="Q189" i="13"/>
  <c r="J251" i="11"/>
  <c r="H252" i="11"/>
  <c r="I251" i="11"/>
  <c r="I275" i="14" l="1"/>
  <c r="K274" i="14"/>
  <c r="J274" i="14"/>
  <c r="B265" i="8"/>
  <c r="E280" i="14"/>
  <c r="Q280" i="14" s="1"/>
  <c r="Q190" i="13"/>
  <c r="J252" i="11"/>
  <c r="H253" i="11"/>
  <c r="I252" i="11"/>
  <c r="B266" i="8" l="1"/>
  <c r="E281" i="14"/>
  <c r="Q281" i="14" s="1"/>
  <c r="K275" i="14"/>
  <c r="J275" i="14"/>
  <c r="I276" i="14"/>
  <c r="Q191" i="13"/>
  <c r="J253" i="11"/>
  <c r="H254" i="11"/>
  <c r="I253" i="11"/>
  <c r="J276" i="14" l="1"/>
  <c r="I277" i="14"/>
  <c r="K276" i="14"/>
  <c r="B267" i="8"/>
  <c r="E282" i="14"/>
  <c r="Q282" i="14" s="1"/>
  <c r="Q192" i="13"/>
  <c r="I254" i="11"/>
  <c r="H255" i="11"/>
  <c r="J254" i="11"/>
  <c r="B268" i="8" l="1"/>
  <c r="E283" i="14"/>
  <c r="Q283" i="14" s="1"/>
  <c r="I278" i="14"/>
  <c r="J277" i="14"/>
  <c r="K277" i="14"/>
  <c r="Q193" i="13"/>
  <c r="I255" i="11"/>
  <c r="H256" i="11"/>
  <c r="J255" i="11"/>
  <c r="J278" i="14" l="1"/>
  <c r="K278" i="14"/>
  <c r="I279" i="14"/>
  <c r="B269" i="8"/>
  <c r="E284" i="14"/>
  <c r="Q284" i="14" s="1"/>
  <c r="Q194" i="13"/>
  <c r="J256" i="11"/>
  <c r="I256" i="11"/>
  <c r="H257" i="11"/>
  <c r="B270" i="8" l="1"/>
  <c r="E285" i="14"/>
  <c r="Q285" i="14" s="1"/>
  <c r="K279" i="14"/>
  <c r="J279" i="14"/>
  <c r="I280" i="14"/>
  <c r="Q195" i="13"/>
  <c r="H258" i="11"/>
  <c r="I257" i="11"/>
  <c r="J257" i="11"/>
  <c r="J280" i="14" l="1"/>
  <c r="I281" i="14"/>
  <c r="K280" i="14"/>
  <c r="B271" i="8"/>
  <c r="E286" i="14"/>
  <c r="Q286" i="14" s="1"/>
  <c r="Q196" i="13"/>
  <c r="J258" i="11"/>
  <c r="I258" i="11"/>
  <c r="H259" i="11"/>
  <c r="B272" i="8" l="1"/>
  <c r="E287" i="14"/>
  <c r="Q287" i="14" s="1"/>
  <c r="J281" i="14"/>
  <c r="I282" i="14"/>
  <c r="K281" i="14"/>
  <c r="Q197" i="13"/>
  <c r="H260" i="11"/>
  <c r="J259" i="11"/>
  <c r="I259" i="11"/>
  <c r="J282" i="14" l="1"/>
  <c r="I283" i="14"/>
  <c r="K282" i="14"/>
  <c r="B273" i="8"/>
  <c r="E288" i="14"/>
  <c r="Q288" i="14" s="1"/>
  <c r="Q198" i="13"/>
  <c r="J260" i="11"/>
  <c r="H261" i="11"/>
  <c r="I260" i="11"/>
  <c r="B274" i="8" l="1"/>
  <c r="E289" i="14"/>
  <c r="Q289" i="14" s="1"/>
  <c r="K283" i="14"/>
  <c r="J283" i="14"/>
  <c r="I284" i="14"/>
  <c r="Q199" i="13"/>
  <c r="H262" i="11"/>
  <c r="I261" i="11"/>
  <c r="J261" i="11"/>
  <c r="K284" i="14" l="1"/>
  <c r="J284" i="14"/>
  <c r="I285" i="14"/>
  <c r="B275" i="8"/>
  <c r="E290" i="14"/>
  <c r="Q290" i="14" s="1"/>
  <c r="Q200" i="13"/>
  <c r="J262" i="11"/>
  <c r="I262" i="11"/>
  <c r="H263" i="11"/>
  <c r="B276" i="8" l="1"/>
  <c r="E291" i="14"/>
  <c r="Q291" i="14" s="1"/>
  <c r="I286" i="14"/>
  <c r="K285" i="14"/>
  <c r="J285" i="14"/>
  <c r="Q201" i="13"/>
  <c r="H264" i="11"/>
  <c r="I263" i="11"/>
  <c r="J263" i="11"/>
  <c r="K286" i="14" l="1"/>
  <c r="I287" i="14"/>
  <c r="J286" i="14"/>
  <c r="B277" i="8"/>
  <c r="E292" i="14"/>
  <c r="Q292" i="14" s="1"/>
  <c r="Q202" i="13"/>
  <c r="J264" i="11"/>
  <c r="I264" i="11"/>
  <c r="H265" i="11"/>
  <c r="B278" i="8" l="1"/>
  <c r="E293" i="14"/>
  <c r="Q293" i="14" s="1"/>
  <c r="K287" i="14"/>
  <c r="J287" i="14"/>
  <c r="I288" i="14"/>
  <c r="Q203" i="13"/>
  <c r="H266" i="11"/>
  <c r="I265" i="11"/>
  <c r="J265" i="11"/>
  <c r="J288" i="14" l="1"/>
  <c r="K288" i="14"/>
  <c r="I289" i="14"/>
  <c r="B279" i="8"/>
  <c r="E294" i="14"/>
  <c r="Q294" i="14" s="1"/>
  <c r="Q204" i="13"/>
  <c r="J266" i="11"/>
  <c r="H267" i="11"/>
  <c r="I266" i="11"/>
  <c r="B280" i="8" l="1"/>
  <c r="E295" i="14"/>
  <c r="Q295" i="14" s="1"/>
  <c r="J289" i="14"/>
  <c r="I290" i="14"/>
  <c r="K289" i="14"/>
  <c r="Q205" i="13"/>
  <c r="H268" i="11"/>
  <c r="I267" i="11"/>
  <c r="J267" i="11"/>
  <c r="J290" i="14" l="1"/>
  <c r="K290" i="14"/>
  <c r="I291" i="14"/>
  <c r="B281" i="8"/>
  <c r="E296" i="14"/>
  <c r="Q296" i="14" s="1"/>
  <c r="Q206" i="13"/>
  <c r="J268" i="11"/>
  <c r="H269" i="11"/>
  <c r="I268" i="11"/>
  <c r="J291" i="14" l="1"/>
  <c r="I292" i="14"/>
  <c r="K291" i="14"/>
  <c r="B282" i="8"/>
  <c r="E297" i="14"/>
  <c r="Q297" i="14" s="1"/>
  <c r="Q207" i="13"/>
  <c r="H270" i="11"/>
  <c r="I269" i="11"/>
  <c r="J269" i="11"/>
  <c r="B283" i="8" l="1"/>
  <c r="E298" i="14"/>
  <c r="Q298" i="14" s="1"/>
  <c r="J292" i="14"/>
  <c r="I293" i="14"/>
  <c r="K292" i="14"/>
  <c r="Q208" i="13"/>
  <c r="J270" i="11"/>
  <c r="I270" i="11"/>
  <c r="H271" i="11"/>
  <c r="J293" i="14" l="1"/>
  <c r="I294" i="14"/>
  <c r="K293" i="14"/>
  <c r="B284" i="8"/>
  <c r="E299" i="14"/>
  <c r="Q299" i="14" s="1"/>
  <c r="Q209" i="13"/>
  <c r="H272" i="11"/>
  <c r="I271" i="11"/>
  <c r="J271" i="11"/>
  <c r="B285" i="8" l="1"/>
  <c r="E300" i="14"/>
  <c r="Q300" i="14" s="1"/>
  <c r="J294" i="14"/>
  <c r="K294" i="14"/>
  <c r="I295" i="14"/>
  <c r="Q210" i="13"/>
  <c r="J272" i="11"/>
  <c r="I272" i="11"/>
  <c r="H273" i="11"/>
  <c r="K295" i="14" l="1"/>
  <c r="I296" i="14"/>
  <c r="J295" i="14"/>
  <c r="B286" i="8"/>
  <c r="E301" i="14"/>
  <c r="Q301" i="14" s="1"/>
  <c r="Q211" i="13"/>
  <c r="J273" i="11"/>
  <c r="H274" i="11"/>
  <c r="I273" i="11"/>
  <c r="B287" i="8" l="1"/>
  <c r="E302" i="14"/>
  <c r="Q302" i="14" s="1"/>
  <c r="J296" i="14"/>
  <c r="I297" i="14"/>
  <c r="K296" i="14"/>
  <c r="Q212" i="13"/>
  <c r="Q235" i="13"/>
  <c r="J274" i="11"/>
  <c r="H275" i="11"/>
  <c r="I274" i="11"/>
  <c r="J297" i="14" l="1"/>
  <c r="K297" i="14"/>
  <c r="I298" i="14"/>
  <c r="B288" i="8"/>
  <c r="E303" i="14"/>
  <c r="Q303" i="14" s="1"/>
  <c r="Q213" i="13"/>
  <c r="Q236" i="13"/>
  <c r="H276" i="11"/>
  <c r="I275" i="11"/>
  <c r="J275" i="11"/>
  <c r="B289" i="8" l="1"/>
  <c r="E304" i="14"/>
  <c r="Q304" i="14" s="1"/>
  <c r="J298" i="14"/>
  <c r="K298" i="14"/>
  <c r="I299" i="14"/>
  <c r="Q214" i="13"/>
  <c r="Q237" i="13"/>
  <c r="J276" i="11"/>
  <c r="H277" i="11"/>
  <c r="I276" i="11"/>
  <c r="K299" i="14" l="1"/>
  <c r="I300" i="14"/>
  <c r="J299" i="14"/>
  <c r="B290" i="8"/>
  <c r="E305" i="14"/>
  <c r="Q305" i="14" s="1"/>
  <c r="Q215" i="13"/>
  <c r="J277" i="11"/>
  <c r="H278" i="11"/>
  <c r="I277" i="11"/>
  <c r="B291" i="8" l="1"/>
  <c r="E306" i="14"/>
  <c r="Q306" i="14" s="1"/>
  <c r="K300" i="14"/>
  <c r="I301" i="14"/>
  <c r="J300" i="14"/>
  <c r="Q216" i="13"/>
  <c r="J278" i="11"/>
  <c r="H279" i="11"/>
  <c r="I278" i="11"/>
  <c r="I302" i="14" l="1"/>
  <c r="J301" i="14"/>
  <c r="K301" i="14"/>
  <c r="B292" i="8"/>
  <c r="E307" i="14"/>
  <c r="Q307" i="14" s="1"/>
  <c r="Q217" i="13"/>
  <c r="H280" i="11"/>
  <c r="I279" i="11"/>
  <c r="J279" i="11"/>
  <c r="B293" i="8" l="1"/>
  <c r="E308" i="14"/>
  <c r="Q308" i="14" s="1"/>
  <c r="J302" i="14"/>
  <c r="K302" i="14"/>
  <c r="I303" i="14"/>
  <c r="Q218" i="13"/>
  <c r="J280" i="11"/>
  <c r="H281" i="11"/>
  <c r="I280" i="11"/>
  <c r="K303" i="14" l="1"/>
  <c r="J303" i="14"/>
  <c r="I304" i="14"/>
  <c r="B294" i="8"/>
  <c r="E309" i="14"/>
  <c r="Q309" i="14" s="1"/>
  <c r="Q219" i="13"/>
  <c r="J281" i="11"/>
  <c r="H282" i="11"/>
  <c r="I281" i="11"/>
  <c r="B295" i="8" l="1"/>
  <c r="E310" i="14"/>
  <c r="Q310" i="14" s="1"/>
  <c r="J304" i="14"/>
  <c r="I305" i="14"/>
  <c r="K304" i="14"/>
  <c r="Q220" i="13"/>
  <c r="J282" i="11"/>
  <c r="H283" i="11"/>
  <c r="I282" i="11"/>
  <c r="J305" i="14" l="1"/>
  <c r="K305" i="14"/>
  <c r="I306" i="14"/>
  <c r="B296" i="8"/>
  <c r="E311" i="14"/>
  <c r="Q311" i="14" s="1"/>
  <c r="Q221" i="13"/>
  <c r="H284" i="11"/>
  <c r="I283" i="11"/>
  <c r="J283" i="11"/>
  <c r="J306" i="14" l="1"/>
  <c r="K306" i="14"/>
  <c r="I307" i="14"/>
  <c r="B297" i="8"/>
  <c r="E312" i="14"/>
  <c r="Q312" i="14" s="1"/>
  <c r="Q222" i="13"/>
  <c r="J284" i="11"/>
  <c r="I284" i="11"/>
  <c r="H285" i="11"/>
  <c r="B298" i="8" l="1"/>
  <c r="E313" i="14"/>
  <c r="Q313" i="14" s="1"/>
  <c r="K307" i="14"/>
  <c r="I308" i="14"/>
  <c r="J307" i="14"/>
  <c r="Q223" i="13"/>
  <c r="J285" i="11"/>
  <c r="H286" i="11"/>
  <c r="I285" i="11"/>
  <c r="I309" i="14" l="1"/>
  <c r="J308" i="14"/>
  <c r="K308" i="14"/>
  <c r="B299" i="8"/>
  <c r="E314" i="14"/>
  <c r="Q314" i="14" s="1"/>
  <c r="Q224" i="13"/>
  <c r="J286" i="11"/>
  <c r="H287" i="11"/>
  <c r="I286" i="11"/>
  <c r="B300" i="8" l="1"/>
  <c r="E315" i="14"/>
  <c r="Q315" i="14" s="1"/>
  <c r="I310" i="14"/>
  <c r="K309" i="14"/>
  <c r="J309" i="14"/>
  <c r="Q225" i="13"/>
  <c r="H288" i="11"/>
  <c r="I287" i="11"/>
  <c r="J287" i="11"/>
  <c r="J310" i="14" l="1"/>
  <c r="I311" i="14"/>
  <c r="K310" i="14"/>
  <c r="B301" i="8"/>
  <c r="E316" i="14"/>
  <c r="Q316" i="14" s="1"/>
  <c r="Q226" i="13"/>
  <c r="J288" i="11"/>
  <c r="H289" i="11"/>
  <c r="I288" i="11"/>
  <c r="B302" i="8" l="1"/>
  <c r="E317" i="14"/>
  <c r="Q317" i="14" s="1"/>
  <c r="K311" i="14"/>
  <c r="I312" i="14"/>
  <c r="J311" i="14"/>
  <c r="Q227" i="13"/>
  <c r="J289" i="11"/>
  <c r="H290" i="11"/>
  <c r="I289" i="11"/>
  <c r="J312" i="14" l="1"/>
  <c r="K312" i="14"/>
  <c r="I313" i="14"/>
  <c r="B303" i="8"/>
  <c r="E318" i="14"/>
  <c r="Q318" i="14" s="1"/>
  <c r="Q228" i="13"/>
  <c r="J290" i="11"/>
  <c r="H291" i="11"/>
  <c r="I290" i="11"/>
  <c r="B304" i="8" l="1"/>
  <c r="E319" i="14"/>
  <c r="Q319" i="14" s="1"/>
  <c r="J313" i="14"/>
  <c r="K313" i="14"/>
  <c r="I314" i="14"/>
  <c r="Q229" i="13"/>
  <c r="H292" i="11"/>
  <c r="I291" i="11"/>
  <c r="J291" i="11"/>
  <c r="J314" i="14" l="1"/>
  <c r="K314" i="14"/>
  <c r="I315" i="14"/>
  <c r="B305" i="8"/>
  <c r="E320" i="14"/>
  <c r="Q320" i="14" s="1"/>
  <c r="Q230" i="13"/>
  <c r="J292" i="11"/>
  <c r="H293" i="11"/>
  <c r="I292" i="11"/>
  <c r="B306" i="8" l="1"/>
  <c r="E321" i="14"/>
  <c r="Q321" i="14" s="1"/>
  <c r="K315" i="14"/>
  <c r="I316" i="14"/>
  <c r="J315" i="14"/>
  <c r="Q231" i="13"/>
  <c r="J293" i="11"/>
  <c r="H294" i="11"/>
  <c r="I293" i="11"/>
  <c r="K316" i="14" l="1"/>
  <c r="J316" i="14"/>
  <c r="I317" i="14"/>
  <c r="B307" i="8"/>
  <c r="E322" i="14"/>
  <c r="Q322" i="14" s="1"/>
  <c r="Q232" i="13"/>
  <c r="H295" i="11"/>
  <c r="J294" i="11"/>
  <c r="I294" i="11"/>
  <c r="B308" i="8" l="1"/>
  <c r="E323" i="14"/>
  <c r="Q323" i="14" s="1"/>
  <c r="I318" i="14"/>
  <c r="J317" i="14"/>
  <c r="K317" i="14"/>
  <c r="Q233" i="13"/>
  <c r="H296" i="11"/>
  <c r="J295" i="11"/>
  <c r="I295" i="11"/>
  <c r="K318" i="14" l="1"/>
  <c r="I319" i="14"/>
  <c r="J318" i="14"/>
  <c r="B309" i="8"/>
  <c r="E324" i="14"/>
  <c r="Q324" i="14" s="1"/>
  <c r="Q234" i="13"/>
  <c r="H297" i="11"/>
  <c r="J296" i="11"/>
  <c r="I296" i="11"/>
  <c r="B310" i="8" l="1"/>
  <c r="E325" i="14"/>
  <c r="Q325" i="14" s="1"/>
  <c r="K319" i="14"/>
  <c r="J319" i="14"/>
  <c r="I320" i="14"/>
  <c r="H298" i="11"/>
  <c r="J297" i="11"/>
  <c r="I297" i="11"/>
  <c r="J320" i="14" l="1"/>
  <c r="K320" i="14"/>
  <c r="I321" i="14"/>
  <c r="B311" i="8"/>
  <c r="E326" i="14"/>
  <c r="Q326" i="14" s="1"/>
  <c r="H299" i="11"/>
  <c r="J298" i="11"/>
  <c r="I298" i="11"/>
  <c r="L294" i="11" s="1"/>
  <c r="B312" i="8" l="1"/>
  <c r="E327" i="14"/>
  <c r="Q327" i="14" s="1"/>
  <c r="J321" i="14"/>
  <c r="I322" i="14"/>
  <c r="K321" i="14"/>
  <c r="H300" i="11"/>
  <c r="J299" i="11"/>
  <c r="I299" i="11"/>
  <c r="J322" i="14" l="1"/>
  <c r="I323" i="14"/>
  <c r="K322" i="14"/>
  <c r="B313" i="8"/>
  <c r="E328" i="14"/>
  <c r="Q328" i="14" s="1"/>
  <c r="Q238" i="13"/>
  <c r="H301" i="11"/>
  <c r="J300" i="11"/>
  <c r="I300" i="11"/>
  <c r="B314" i="8" l="1"/>
  <c r="E329" i="14"/>
  <c r="Q329" i="14" s="1"/>
  <c r="K323" i="14"/>
  <c r="I324" i="14"/>
  <c r="J323" i="14"/>
  <c r="Q239" i="13"/>
  <c r="J301" i="11"/>
  <c r="I301" i="11"/>
  <c r="H302" i="11"/>
  <c r="J324" i="14" l="1"/>
  <c r="K324" i="14"/>
  <c r="I325" i="14"/>
  <c r="B315" i="8"/>
  <c r="E330" i="14"/>
  <c r="Q330" i="14" s="1"/>
  <c r="Q240" i="13"/>
  <c r="J302" i="11"/>
  <c r="H303" i="11"/>
  <c r="I302" i="11"/>
  <c r="B316" i="8" l="1"/>
  <c r="E331" i="14"/>
  <c r="Q331" i="14" s="1"/>
  <c r="I326" i="14"/>
  <c r="K325" i="14"/>
  <c r="J325" i="14"/>
  <c r="Q241" i="13"/>
  <c r="J303" i="11"/>
  <c r="H304" i="11"/>
  <c r="I303" i="11"/>
  <c r="J326" i="14" l="1"/>
  <c r="I327" i="14"/>
  <c r="K326" i="14"/>
  <c r="B317" i="8"/>
  <c r="E332" i="14"/>
  <c r="Q332" i="14" s="1"/>
  <c r="Q242" i="13"/>
  <c r="H305" i="11"/>
  <c r="I304" i="11"/>
  <c r="J304" i="11"/>
  <c r="B318" i="8" l="1"/>
  <c r="E333" i="14"/>
  <c r="Q333" i="14" s="1"/>
  <c r="K327" i="14"/>
  <c r="I328" i="14"/>
  <c r="J327" i="14"/>
  <c r="Q243" i="13"/>
  <c r="J305" i="11"/>
  <c r="H306" i="11"/>
  <c r="I305" i="11"/>
  <c r="J328" i="14" l="1"/>
  <c r="I329" i="14"/>
  <c r="K328" i="14"/>
  <c r="B319" i="8"/>
  <c r="E334" i="14"/>
  <c r="Q334" i="14" s="1"/>
  <c r="Q244" i="13"/>
  <c r="J306" i="11"/>
  <c r="H307" i="11"/>
  <c r="I306" i="11"/>
  <c r="B320" i="8" l="1"/>
  <c r="E335" i="14"/>
  <c r="Q335" i="14" s="1"/>
  <c r="J329" i="14"/>
  <c r="I330" i="14"/>
  <c r="K329" i="14"/>
  <c r="Q245" i="13"/>
  <c r="J307" i="11"/>
  <c r="H308" i="11"/>
  <c r="I307" i="11"/>
  <c r="J330" i="14" l="1"/>
  <c r="I331" i="14"/>
  <c r="K330" i="14"/>
  <c r="B321" i="8"/>
  <c r="E336" i="14"/>
  <c r="Q336" i="14" s="1"/>
  <c r="Q246" i="13"/>
  <c r="H309" i="11"/>
  <c r="I308" i="11"/>
  <c r="J308" i="11"/>
  <c r="B322" i="8" l="1"/>
  <c r="E337" i="14"/>
  <c r="Q337" i="14" s="1"/>
  <c r="K331" i="14"/>
  <c r="J331" i="14"/>
  <c r="I332" i="14"/>
  <c r="Q247" i="13"/>
  <c r="J309" i="11"/>
  <c r="H310" i="11"/>
  <c r="I309" i="11"/>
  <c r="K332" i="14" l="1"/>
  <c r="J332" i="14"/>
  <c r="I333" i="14"/>
  <c r="B323" i="8"/>
  <c r="E338" i="14"/>
  <c r="Q338" i="14" s="1"/>
  <c r="Q248" i="13"/>
  <c r="J310" i="11"/>
  <c r="H311" i="11"/>
  <c r="I310" i="11"/>
  <c r="I334" i="14" l="1"/>
  <c r="K333" i="14"/>
  <c r="J333" i="14"/>
  <c r="E339" i="14"/>
  <c r="Q339" i="14" s="1"/>
  <c r="Q249" i="13"/>
  <c r="J311" i="11"/>
  <c r="H312" i="11"/>
  <c r="I311" i="11"/>
  <c r="J334" i="14" l="1"/>
  <c r="I335" i="14"/>
  <c r="K334" i="14"/>
  <c r="Q250" i="13"/>
  <c r="H313" i="11"/>
  <c r="I312" i="11"/>
  <c r="J312" i="11"/>
  <c r="K335" i="14" l="1"/>
  <c r="I336" i="14"/>
  <c r="J335" i="14"/>
  <c r="Q251" i="13"/>
  <c r="J313" i="11"/>
  <c r="I313" i="11"/>
  <c r="H314" i="11"/>
  <c r="I337" i="14" l="1"/>
  <c r="J336" i="14"/>
  <c r="K336" i="14"/>
  <c r="Q252" i="13"/>
  <c r="J314" i="11"/>
  <c r="H315" i="11"/>
  <c r="I314" i="11"/>
  <c r="K337" i="14" l="1"/>
  <c r="J337" i="14"/>
  <c r="I338" i="14"/>
  <c r="Q253" i="13"/>
  <c r="J315" i="11"/>
  <c r="H316" i="11"/>
  <c r="I315" i="11"/>
  <c r="K338" i="14" l="1"/>
  <c r="I339" i="14"/>
  <c r="J338" i="14"/>
  <c r="Q254" i="13"/>
  <c r="H317" i="11"/>
  <c r="I316" i="11"/>
  <c r="J316" i="11"/>
  <c r="I340" i="14" l="1"/>
  <c r="J339" i="14"/>
  <c r="K339" i="14"/>
  <c r="Q255" i="13"/>
  <c r="Q277" i="13"/>
  <c r="J317" i="11"/>
  <c r="H318" i="11"/>
  <c r="I317" i="11"/>
  <c r="K340" i="14" l="1"/>
  <c r="J340" i="14"/>
  <c r="I341" i="14"/>
  <c r="Q256" i="13"/>
  <c r="Q278" i="13"/>
  <c r="J318" i="11"/>
  <c r="H319" i="11"/>
  <c r="I318" i="11"/>
  <c r="K341" i="14" l="1"/>
  <c r="I342" i="14"/>
  <c r="J341" i="14"/>
  <c r="Q257" i="13"/>
  <c r="Q279" i="13"/>
  <c r="J319" i="11"/>
  <c r="H320" i="11"/>
  <c r="I319" i="11"/>
  <c r="I343" i="14" l="1"/>
  <c r="K342" i="14"/>
  <c r="J342" i="14"/>
  <c r="Q258" i="13"/>
  <c r="Q280" i="13"/>
  <c r="H321" i="11"/>
  <c r="I320" i="11"/>
  <c r="J320" i="11"/>
  <c r="K343" i="14" l="1"/>
  <c r="J343" i="14"/>
  <c r="I344" i="14"/>
  <c r="Q259" i="13"/>
  <c r="Q281" i="13"/>
  <c r="J321" i="11"/>
  <c r="H322" i="11"/>
  <c r="I321" i="11"/>
  <c r="K344" i="14" l="1"/>
  <c r="J344" i="14"/>
  <c r="I345" i="14"/>
  <c r="Q260" i="13"/>
  <c r="Q282" i="13"/>
  <c r="J322" i="11"/>
  <c r="H323" i="11"/>
  <c r="H324" i="11" s="1"/>
  <c r="I322" i="11"/>
  <c r="I346" i="14" l="1"/>
  <c r="K345" i="14"/>
  <c r="J345" i="14"/>
  <c r="J324" i="11"/>
  <c r="I324" i="11"/>
  <c r="H325" i="11"/>
  <c r="Q261" i="13"/>
  <c r="Q283" i="13"/>
  <c r="J323" i="11"/>
  <c r="I323" i="11"/>
  <c r="I325" i="11" l="1"/>
  <c r="J325" i="11"/>
  <c r="H326" i="11"/>
  <c r="I347" i="14"/>
  <c r="J346" i="14"/>
  <c r="K346" i="14"/>
  <c r="Q262" i="13"/>
  <c r="Q284" i="13"/>
  <c r="H327" i="11" l="1"/>
  <c r="I326" i="11"/>
  <c r="J326" i="11"/>
  <c r="J347" i="14"/>
  <c r="K347" i="14"/>
  <c r="I348" i="14"/>
  <c r="Q263" i="13"/>
  <c r="Q285" i="13"/>
  <c r="J348" i="14" l="1"/>
  <c r="K348" i="14"/>
  <c r="I349" i="14"/>
  <c r="J327" i="11"/>
  <c r="I327" i="11"/>
  <c r="H328" i="11"/>
  <c r="Q264" i="13"/>
  <c r="Q286" i="13"/>
  <c r="H329" i="11" l="1"/>
  <c r="J328" i="11"/>
  <c r="I328" i="11"/>
  <c r="K349" i="14"/>
  <c r="J349" i="14"/>
  <c r="I350" i="14"/>
  <c r="Q265" i="13"/>
  <c r="Q287" i="13"/>
  <c r="K350" i="14" l="1"/>
  <c r="I351" i="14"/>
  <c r="J350" i="14"/>
  <c r="H330" i="11"/>
  <c r="J329" i="11"/>
  <c r="I329" i="11"/>
  <c r="Q266" i="13"/>
  <c r="Q288" i="13"/>
  <c r="H331" i="11" l="1"/>
  <c r="I330" i="11"/>
  <c r="J330" i="11"/>
  <c r="I352" i="14"/>
  <c r="K351" i="14"/>
  <c r="J351" i="14"/>
  <c r="Q267" i="13"/>
  <c r="Q289" i="13"/>
  <c r="J352" i="14" l="1"/>
  <c r="K352" i="14"/>
  <c r="I353" i="14"/>
  <c r="I331" i="11"/>
  <c r="J331" i="11"/>
  <c r="H332" i="11"/>
  <c r="Q268" i="13"/>
  <c r="Q290" i="13"/>
  <c r="I332" i="11" l="1"/>
  <c r="H333" i="11"/>
  <c r="J332" i="11"/>
  <c r="K353" i="14"/>
  <c r="J353" i="14"/>
  <c r="I354" i="14"/>
  <c r="Q269" i="13"/>
  <c r="Q291" i="13"/>
  <c r="J354" i="14" l="1"/>
  <c r="I355" i="14"/>
  <c r="K354" i="14"/>
  <c r="J333" i="11"/>
  <c r="H334" i="11"/>
  <c r="I333" i="11"/>
  <c r="Q270" i="13"/>
  <c r="Q292" i="13"/>
  <c r="J355" i="14" l="1"/>
  <c r="K355" i="14"/>
  <c r="I356" i="14"/>
  <c r="I334" i="11"/>
  <c r="J334" i="11"/>
  <c r="H335" i="11"/>
  <c r="Q271" i="13"/>
  <c r="Q293" i="13"/>
  <c r="H336" i="11" l="1"/>
  <c r="I335" i="11"/>
  <c r="J335" i="11"/>
  <c r="J356" i="14"/>
  <c r="I357" i="14"/>
  <c r="K356" i="14"/>
  <c r="Q272" i="13"/>
  <c r="Q294" i="13"/>
  <c r="K357" i="14" l="1"/>
  <c r="I358" i="14"/>
  <c r="J357" i="14"/>
  <c r="H337" i="11"/>
  <c r="J336" i="11"/>
  <c r="I336" i="11"/>
  <c r="Q273" i="13"/>
  <c r="Q295" i="13"/>
  <c r="AI10" i="9"/>
  <c r="AI11" i="9"/>
  <c r="I359" i="14" l="1"/>
  <c r="J358" i="14"/>
  <c r="K358" i="14"/>
  <c r="H338" i="11"/>
  <c r="I337" i="11"/>
  <c r="J337" i="11"/>
  <c r="Q274" i="13"/>
  <c r="Q296" i="13"/>
  <c r="AF7" i="9"/>
  <c r="AF8" i="9"/>
  <c r="AF9" i="9"/>
  <c r="AI9" i="9" s="1"/>
  <c r="AF10" i="9"/>
  <c r="AF11" i="9"/>
  <c r="AF12" i="9"/>
  <c r="AF13" i="9"/>
  <c r="AF14" i="9"/>
  <c r="AF15" i="9"/>
  <c r="J338" i="11" l="1"/>
  <c r="H339" i="11"/>
  <c r="I338" i="11"/>
  <c r="I360" i="14"/>
  <c r="K359" i="14"/>
  <c r="J359" i="14"/>
  <c r="Q275" i="13"/>
  <c r="Q297" i="13"/>
  <c r="S46" i="9"/>
  <c r="AF36" i="9"/>
  <c r="AF35" i="9"/>
  <c r="AF34" i="9"/>
  <c r="AF33" i="9"/>
  <c r="AF32" i="9"/>
  <c r="AF31" i="9"/>
  <c r="AF30" i="9"/>
  <c r="AF29" i="9"/>
  <c r="AF28" i="9"/>
  <c r="AF27" i="9"/>
  <c r="AF26" i="9"/>
  <c r="AI15" i="9"/>
  <c r="AI14" i="9"/>
  <c r="AI13" i="9"/>
  <c r="AI12" i="9"/>
  <c r="AI8" i="9"/>
  <c r="AI7" i="9"/>
  <c r="J360" i="14" l="1"/>
  <c r="I361" i="14"/>
  <c r="K360" i="14"/>
  <c r="I339" i="11"/>
  <c r="H340" i="11"/>
  <c r="J339" i="11"/>
  <c r="Q276" i="13"/>
  <c r="Q298" i="13"/>
  <c r="AF37" i="9"/>
  <c r="S50" i="9" s="1"/>
  <c r="K361" i="14" l="1"/>
  <c r="J361" i="14"/>
  <c r="I362" i="14"/>
  <c r="I340" i="11"/>
  <c r="H341" i="11"/>
  <c r="J340" i="11"/>
  <c r="Q299" i="13"/>
  <c r="C50" i="9"/>
  <c r="S47" i="9" s="1"/>
  <c r="S49" i="9" s="1"/>
  <c r="S51" i="9" s="1"/>
  <c r="I341" i="11" l="1"/>
  <c r="J341" i="11"/>
  <c r="H342" i="11"/>
  <c r="J362" i="14"/>
  <c r="K362" i="14"/>
  <c r="I363" i="14"/>
  <c r="Q300" i="13"/>
  <c r="J363" i="14" l="1"/>
  <c r="I364" i="14"/>
  <c r="K363" i="14"/>
  <c r="J342" i="11"/>
  <c r="I342" i="11"/>
  <c r="H343" i="11"/>
  <c r="Q301" i="13"/>
  <c r="H344" i="11" l="1"/>
  <c r="I343" i="11"/>
  <c r="J343" i="11"/>
  <c r="J364" i="14"/>
  <c r="K364" i="14"/>
  <c r="I365" i="14"/>
  <c r="Q302" i="13"/>
  <c r="K365" i="14" l="1"/>
  <c r="J365" i="14"/>
  <c r="I366" i="14"/>
  <c r="J344" i="11"/>
  <c r="H345" i="11"/>
  <c r="I344" i="11"/>
  <c r="Q303" i="13"/>
  <c r="I345" i="11" l="1"/>
  <c r="H346" i="11"/>
  <c r="J345" i="11"/>
  <c r="K366" i="14"/>
  <c r="J366" i="14"/>
  <c r="I367" i="14"/>
  <c r="Q304" i="13"/>
  <c r="I368" i="14" l="1"/>
  <c r="J367" i="14"/>
  <c r="K367" i="14"/>
  <c r="H347" i="11"/>
  <c r="I346" i="11"/>
  <c r="J346" i="11"/>
  <c r="Q305" i="13"/>
  <c r="J347" i="11" l="1"/>
  <c r="I347" i="11"/>
  <c r="H348" i="11"/>
  <c r="J368" i="14"/>
  <c r="K368" i="14"/>
  <c r="I369" i="14"/>
  <c r="Q306" i="13"/>
  <c r="J369" i="14" l="1"/>
  <c r="K369" i="14"/>
  <c r="I370" i="14"/>
  <c r="I348" i="11"/>
  <c r="H349" i="11"/>
  <c r="J348" i="11"/>
  <c r="Q307" i="13"/>
  <c r="H350" i="11" l="1"/>
  <c r="I349" i="11"/>
  <c r="J349" i="11"/>
  <c r="J370" i="14"/>
  <c r="K370" i="14"/>
  <c r="I371" i="14"/>
  <c r="Q308" i="13"/>
  <c r="K371" i="14" l="1"/>
  <c r="J371" i="14"/>
  <c r="I372" i="14"/>
  <c r="J350" i="11"/>
  <c r="H351" i="11"/>
  <c r="I350" i="11"/>
  <c r="Q309" i="13"/>
  <c r="K372" i="14" l="1"/>
  <c r="J372" i="14"/>
  <c r="I373" i="14"/>
  <c r="I351" i="11"/>
  <c r="J351" i="11"/>
  <c r="H352" i="11"/>
  <c r="Q310" i="13"/>
  <c r="J352" i="11" l="1"/>
  <c r="I352" i="11"/>
  <c r="H353" i="11"/>
  <c r="J373" i="14"/>
  <c r="K373" i="14"/>
  <c r="I374" i="14"/>
  <c r="Q311" i="13"/>
  <c r="I353" i="11" l="1"/>
  <c r="H354" i="11"/>
  <c r="J374" i="14"/>
  <c r="K374" i="14"/>
  <c r="I375" i="14"/>
  <c r="Q312" i="13"/>
  <c r="K375" i="14" l="1"/>
  <c r="J375" i="14"/>
  <c r="I376" i="14"/>
  <c r="I354" i="11"/>
  <c r="H355" i="11"/>
  <c r="Q313" i="13"/>
  <c r="I377" i="14" l="1"/>
  <c r="K376" i="14"/>
  <c r="J376" i="14"/>
  <c r="I355" i="11"/>
  <c r="H356" i="11"/>
  <c r="Q314" i="13"/>
  <c r="I356" i="11" l="1"/>
  <c r="H357" i="11"/>
  <c r="K377" i="14"/>
  <c r="J377" i="14"/>
  <c r="I378" i="14"/>
  <c r="Q315" i="13"/>
  <c r="K378" i="14" l="1"/>
  <c r="J378" i="14"/>
  <c r="I379" i="14"/>
  <c r="I357" i="11"/>
  <c r="H358" i="11"/>
  <c r="Q316" i="13"/>
  <c r="I358" i="11" l="1"/>
  <c r="H359" i="11"/>
  <c r="J379" i="14"/>
  <c r="K379" i="14"/>
  <c r="I380" i="14"/>
  <c r="Q317" i="13"/>
  <c r="J353" i="11"/>
  <c r="J380" i="14" l="1"/>
  <c r="K380" i="14"/>
  <c r="I381" i="14"/>
  <c r="I359" i="11"/>
  <c r="H360" i="11"/>
  <c r="Q318" i="13"/>
  <c r="J354" i="11"/>
  <c r="I360" i="11" l="1"/>
  <c r="H361" i="11"/>
  <c r="J381" i="14"/>
  <c r="I382" i="14"/>
  <c r="K381" i="14"/>
  <c r="Q319" i="13"/>
  <c r="J355" i="11"/>
  <c r="J382" i="14" l="1"/>
  <c r="K382" i="14"/>
  <c r="I383" i="14"/>
  <c r="H362" i="11"/>
  <c r="I361" i="11"/>
  <c r="Q320" i="13"/>
  <c r="J356" i="11"/>
  <c r="I384" i="14" l="1"/>
  <c r="J383" i="14"/>
  <c r="K383" i="14"/>
  <c r="I362" i="11"/>
  <c r="H363" i="11"/>
  <c r="Q321" i="13"/>
  <c r="J357" i="11"/>
  <c r="H364" i="11" l="1"/>
  <c r="I364" i="11" s="1"/>
  <c r="I363" i="11"/>
  <c r="K384" i="14"/>
  <c r="I385" i="14"/>
  <c r="J384" i="14"/>
  <c r="Q322" i="13"/>
  <c r="J358" i="11"/>
  <c r="J385" i="14" l="1"/>
  <c r="K385" i="14"/>
  <c r="I386" i="14"/>
  <c r="Q323" i="13"/>
  <c r="H365" i="11"/>
  <c r="I365" i="11" s="1"/>
  <c r="K386" i="14" l="1"/>
  <c r="I387" i="14"/>
  <c r="J386" i="14"/>
  <c r="Q324" i="13"/>
  <c r="H366" i="11"/>
  <c r="I366" i="11" s="1"/>
  <c r="I388" i="14" l="1"/>
  <c r="K387" i="14"/>
  <c r="J387" i="14"/>
  <c r="Q325" i="13"/>
  <c r="J359" i="11"/>
  <c r="I389" i="14" l="1"/>
  <c r="J388" i="14"/>
  <c r="K388" i="14"/>
  <c r="Q326" i="13"/>
  <c r="J360" i="11"/>
  <c r="K389" i="14" l="1"/>
  <c r="J389" i="14"/>
  <c r="I390" i="14"/>
  <c r="Q327" i="13"/>
  <c r="J361" i="11"/>
  <c r="I391" i="14" l="1"/>
  <c r="K390" i="14"/>
  <c r="J390" i="14"/>
  <c r="Q328" i="13"/>
  <c r="J362" i="11"/>
  <c r="I392" i="14" l="1"/>
  <c r="J391" i="14"/>
  <c r="K391" i="14"/>
  <c r="Q329" i="13"/>
  <c r="J363" i="11"/>
  <c r="I393" i="14" l="1"/>
  <c r="K392" i="14"/>
  <c r="J392" i="14"/>
  <c r="Q330" i="13"/>
  <c r="J364" i="11"/>
  <c r="J393" i="14" l="1"/>
  <c r="K393" i="14"/>
  <c r="I394" i="14"/>
  <c r="Q331" i="13"/>
  <c r="J365" i="11"/>
  <c r="K394" i="14" l="1"/>
  <c r="I395" i="14"/>
  <c r="J394" i="14"/>
  <c r="Q332" i="13"/>
  <c r="H367" i="11"/>
  <c r="J366" i="11"/>
  <c r="J395" i="14" l="1"/>
  <c r="K395" i="14"/>
  <c r="I396" i="14"/>
  <c r="Q333" i="13"/>
  <c r="H368" i="11"/>
  <c r="I368" i="11" s="1"/>
  <c r="F369" i="11" s="1"/>
  <c r="H369" i="11" s="1"/>
  <c r="I369" i="11" s="1"/>
  <c r="I367" i="11"/>
  <c r="J396" i="14" l="1"/>
  <c r="K396" i="14"/>
  <c r="I397" i="14"/>
  <c r="Q334" i="13"/>
  <c r="I398" i="14" l="1"/>
  <c r="J397" i="14"/>
  <c r="K397" i="14"/>
  <c r="Q335" i="13"/>
  <c r="J398" i="14" l="1"/>
  <c r="I399" i="14"/>
  <c r="K398" i="14"/>
  <c r="O23" i="13"/>
  <c r="N23" i="13"/>
  <c r="Q336" i="13"/>
  <c r="I400" i="14" l="1"/>
  <c r="K399" i="14"/>
  <c r="J399" i="14"/>
  <c r="Q337" i="13"/>
  <c r="J400" i="14" l="1"/>
  <c r="I401" i="14"/>
  <c r="K400" i="14"/>
  <c r="Q338" i="13"/>
  <c r="I402" i="14" l="1"/>
  <c r="K401" i="14"/>
  <c r="J401" i="14"/>
  <c r="M399" i="14" s="1"/>
  <c r="Q339" i="13"/>
  <c r="K402" i="14" l="1"/>
  <c r="J402" i="14"/>
  <c r="I403" i="14"/>
  <c r="Q340" i="13"/>
  <c r="J403" i="14" l="1"/>
  <c r="I404" i="14"/>
  <c r="K403" i="14"/>
  <c r="Q341" i="13"/>
  <c r="K404" i="14" l="1"/>
  <c r="J404" i="14"/>
  <c r="I405" i="14"/>
  <c r="Q342" i="13"/>
  <c r="I406" i="14" l="1"/>
  <c r="J405" i="14"/>
  <c r="K405" i="14"/>
  <c r="Q343" i="13"/>
  <c r="I407" i="14" l="1"/>
  <c r="K406" i="14"/>
  <c r="J406" i="14"/>
  <c r="Q344" i="13"/>
  <c r="J407" i="14" l="1"/>
  <c r="I408" i="14"/>
  <c r="K407" i="14"/>
  <c r="Q345" i="13"/>
  <c r="K408" i="14" l="1"/>
  <c r="I409" i="14"/>
  <c r="J408" i="14"/>
  <c r="Q346" i="13"/>
  <c r="K409" i="14" l="1"/>
  <c r="I410" i="14"/>
  <c r="J409" i="14"/>
  <c r="Q347" i="13"/>
  <c r="K410" i="14" l="1"/>
  <c r="J410" i="14"/>
  <c r="I411" i="14"/>
  <c r="Q348" i="13"/>
  <c r="K411" i="14" l="1"/>
  <c r="I412" i="14"/>
  <c r="J411" i="14"/>
  <c r="Q349" i="13"/>
  <c r="I413" i="14" l="1"/>
  <c r="J412" i="14"/>
  <c r="K412" i="14"/>
  <c r="Q350" i="13"/>
  <c r="K413" i="14" l="1"/>
  <c r="I414" i="14"/>
  <c r="J413" i="14"/>
  <c r="Q351" i="13"/>
  <c r="K414" i="14" l="1"/>
  <c r="I415" i="14"/>
  <c r="J414" i="14"/>
  <c r="Q352" i="13"/>
  <c r="I416" i="14" l="1"/>
  <c r="K415" i="14"/>
  <c r="J415" i="14"/>
  <c r="Q353" i="13"/>
  <c r="J416" i="14" l="1"/>
  <c r="I417" i="14"/>
  <c r="K416" i="14"/>
  <c r="Q354" i="13"/>
  <c r="K417" i="14" l="1"/>
  <c r="I418" i="14"/>
  <c r="J417" i="14"/>
  <c r="Q355" i="13"/>
  <c r="K418" i="14" l="1"/>
  <c r="J418" i="14"/>
  <c r="I419" i="14"/>
  <c r="Q356" i="13"/>
  <c r="J419" i="14" l="1"/>
  <c r="I420" i="14"/>
  <c r="K419" i="14"/>
  <c r="I421" i="14" l="1"/>
  <c r="K420" i="14"/>
  <c r="J420" i="14"/>
  <c r="Q357" i="13"/>
  <c r="Q358" i="13"/>
  <c r="K421" i="14" l="1"/>
  <c r="J421" i="14"/>
  <c r="I422" i="14"/>
  <c r="Q359" i="13"/>
  <c r="I423" i="14" l="1"/>
  <c r="K422" i="14"/>
  <c r="J422" i="14"/>
  <c r="Q360" i="13"/>
  <c r="J423" i="14" l="1"/>
  <c r="I424" i="14"/>
  <c r="K423" i="14"/>
  <c r="Q361" i="13"/>
  <c r="J424" i="14" l="1"/>
  <c r="K424" i="14"/>
  <c r="I425" i="14"/>
  <c r="Q362" i="13"/>
  <c r="K425" i="14" l="1"/>
  <c r="J425" i="14"/>
  <c r="I426" i="14"/>
  <c r="Q363" i="13"/>
  <c r="K426" i="14" l="1"/>
  <c r="J426" i="14"/>
  <c r="I427" i="14"/>
  <c r="Q364" i="13"/>
  <c r="K427" i="14" l="1"/>
  <c r="I428" i="14"/>
  <c r="J427" i="14"/>
  <c r="Q365" i="13"/>
  <c r="K428" i="14" l="1"/>
  <c r="I429" i="14"/>
  <c r="J428" i="14"/>
  <c r="Q366" i="13"/>
  <c r="K429" i="14" l="1"/>
  <c r="I430" i="14"/>
  <c r="J429" i="14"/>
  <c r="Q367" i="13"/>
  <c r="J430" i="14" l="1"/>
  <c r="I431" i="14"/>
  <c r="K430" i="14"/>
  <c r="Q369" i="13"/>
  <c r="Q368" i="13"/>
  <c r="I432" i="14" l="1"/>
  <c r="K431" i="14"/>
  <c r="J431" i="14"/>
  <c r="Q370" i="13"/>
  <c r="K432" i="14" l="1"/>
  <c r="J432" i="14"/>
  <c r="I433" i="14"/>
  <c r="Q371" i="13"/>
  <c r="I434" i="14" l="1"/>
  <c r="K433" i="14"/>
  <c r="J433" i="14"/>
  <c r="Q372" i="13"/>
  <c r="I435" i="14" l="1"/>
  <c r="J434" i="14"/>
  <c r="K434" i="14"/>
  <c r="Q373" i="13"/>
  <c r="K435" i="14" l="1"/>
  <c r="I436" i="14"/>
  <c r="J435" i="14"/>
  <c r="Q374" i="13"/>
  <c r="K436" i="14" l="1"/>
  <c r="I437" i="14"/>
  <c r="J436" i="14"/>
  <c r="Q375" i="13"/>
  <c r="K437" i="14" l="1"/>
  <c r="I438" i="14"/>
  <c r="J437" i="14"/>
  <c r="Q376" i="13"/>
  <c r="I439" i="14" l="1"/>
  <c r="K438" i="14"/>
  <c r="J438" i="14"/>
  <c r="M462" i="14"/>
  <c r="Q377" i="13"/>
  <c r="I440" i="14" l="1"/>
  <c r="J439" i="14"/>
  <c r="K439" i="14"/>
  <c r="Q378" i="13"/>
  <c r="K440" i="14" l="1"/>
  <c r="I441" i="14"/>
  <c r="J440" i="14"/>
  <c r="Q379" i="13"/>
  <c r="K441" i="14" l="1"/>
  <c r="I442" i="14"/>
  <c r="J441" i="14"/>
  <c r="Q380" i="13"/>
  <c r="J442" i="14" l="1"/>
  <c r="K442" i="14"/>
  <c r="I443" i="14"/>
  <c r="Q381" i="13"/>
  <c r="K443" i="14" l="1"/>
  <c r="J443" i="14"/>
  <c r="I444" i="14"/>
  <c r="Q382" i="13"/>
  <c r="I445" i="14" l="1"/>
  <c r="J444" i="14"/>
  <c r="K444" i="14"/>
  <c r="Q383" i="13"/>
  <c r="I446" i="14" l="1"/>
  <c r="K445" i="14"/>
  <c r="J445" i="14"/>
  <c r="Q384" i="13"/>
  <c r="I447" i="14" l="1"/>
  <c r="J446" i="14"/>
  <c r="K446" i="14"/>
  <c r="Q385" i="13"/>
  <c r="J447" i="14" l="1"/>
  <c r="I448" i="14"/>
  <c r="K447" i="14"/>
  <c r="Q386" i="13"/>
  <c r="K448" i="14" l="1"/>
  <c r="I449" i="14"/>
  <c r="J448" i="14"/>
  <c r="Q387" i="13"/>
  <c r="I450" i="14" l="1"/>
  <c r="K449" i="14"/>
  <c r="J449" i="14"/>
  <c r="Q388" i="13"/>
  <c r="I451" i="14" l="1"/>
  <c r="J450" i="14"/>
  <c r="K450" i="14"/>
  <c r="Q389" i="13"/>
  <c r="K451" i="14" l="1"/>
  <c r="I452" i="14"/>
  <c r="J451" i="14"/>
  <c r="Q390" i="13"/>
  <c r="I453" i="14" l="1"/>
  <c r="J452" i="14"/>
  <c r="K452" i="14"/>
  <c r="Q391" i="13"/>
  <c r="I454" i="14" l="1"/>
  <c r="J453" i="14"/>
  <c r="K453" i="14"/>
  <c r="Q392" i="13"/>
  <c r="I455" i="14" l="1"/>
  <c r="K454" i="14"/>
  <c r="J454" i="14"/>
  <c r="Q393" i="13"/>
  <c r="K455" i="14" l="1"/>
  <c r="I456" i="14"/>
  <c r="J455" i="14"/>
  <c r="Q394" i="13"/>
  <c r="I457" i="14" l="1"/>
  <c r="K456" i="14"/>
  <c r="J456" i="14"/>
  <c r="Q395" i="13"/>
  <c r="K457" i="14" l="1"/>
  <c r="J457" i="14"/>
  <c r="I458" i="14"/>
  <c r="Q396" i="13"/>
  <c r="J458" i="14" l="1"/>
  <c r="K458" i="14"/>
  <c r="I459" i="14"/>
  <c r="Q397" i="13"/>
  <c r="K459" i="14" l="1"/>
  <c r="J459" i="14"/>
  <c r="I460" i="14"/>
  <c r="Q398" i="13"/>
  <c r="I461" i="14" l="1"/>
  <c r="J460" i="14"/>
  <c r="K460" i="14"/>
  <c r="Q404" i="13"/>
  <c r="I462" i="14" l="1"/>
  <c r="J461" i="14"/>
  <c r="K461" i="14"/>
  <c r="Q405" i="13"/>
  <c r="K462" i="14" l="1"/>
  <c r="J462" i="14"/>
  <c r="Q406" i="13"/>
  <c r="Q407" i="13" l="1"/>
  <c r="Q408" i="13" l="1"/>
  <c r="Q409" i="13" l="1"/>
  <c r="Q410" i="13" l="1"/>
  <c r="Q411" i="13" l="1"/>
  <c r="Q412" i="13" l="1"/>
  <c r="Q413" i="13" l="1"/>
  <c r="Q414" i="13" l="1"/>
  <c r="Q415" i="13" l="1"/>
  <c r="Q416" i="13" l="1"/>
  <c r="Q417" i="13" l="1"/>
  <c r="Q418" i="13" l="1"/>
  <c r="Q419" i="13" l="1"/>
  <c r="Q420" i="13" l="1"/>
  <c r="Q421" i="13" l="1"/>
  <c r="Q422" i="13" l="1"/>
  <c r="Q423" i="13" l="1"/>
  <c r="Q424" i="13" l="1"/>
  <c r="Q425" i="13" l="1"/>
  <c r="Q426" i="13" l="1"/>
  <c r="Q427" i="13" l="1"/>
  <c r="Q428" i="13" l="1"/>
  <c r="Q429" i="13" l="1"/>
  <c r="Q430" i="13" l="1"/>
  <c r="Q431" i="13" l="1"/>
  <c r="Q432" i="13" l="1"/>
  <c r="Q433" i="13" l="1"/>
  <c r="Q435" i="13" l="1"/>
  <c r="Q436" i="13" l="1"/>
  <c r="Q437" i="13" l="1"/>
  <c r="G249" i="8" l="1"/>
  <c r="Q438" i="13"/>
  <c r="Q439" i="13" l="1"/>
  <c r="Q440" i="13" l="1"/>
  <c r="Q441" i="13" l="1"/>
  <c r="Q442" i="13" l="1"/>
  <c r="Q434" i="13" l="1"/>
  <c r="Q443" i="13"/>
</calcChain>
</file>

<file path=xl/sharedStrings.xml><?xml version="1.0" encoding="utf-8"?>
<sst xmlns="http://schemas.openxmlformats.org/spreadsheetml/2006/main" count="2980" uniqueCount="263">
  <si>
    <t>WELL:</t>
  </si>
  <si>
    <t>RIG:</t>
  </si>
  <si>
    <t>BLK WT:</t>
  </si>
  <si>
    <t>WEIGHT:</t>
  </si>
  <si>
    <t>MW:</t>
  </si>
  <si>
    <t>TOTAL DEPTH:</t>
  </si>
  <si>
    <t>GRADE:</t>
  </si>
  <si>
    <t>BF:</t>
  </si>
  <si>
    <t xml:space="preserve"> </t>
  </si>
  <si>
    <t>IN</t>
  </si>
  <si>
    <t>MAKE UP LOSS:</t>
  </si>
  <si>
    <t>OUT</t>
  </si>
  <si>
    <t>RKB</t>
  </si>
  <si>
    <t>DATE:</t>
  </si>
  <si>
    <t>BAKER HUGHES</t>
  </si>
  <si>
    <t>COMPLETION TALLY</t>
  </si>
  <si>
    <t>L-80</t>
  </si>
  <si>
    <t>Baker Hughes:</t>
  </si>
  <si>
    <t>7" TOL:</t>
  </si>
  <si>
    <t>7" Shoe:</t>
  </si>
  <si>
    <t>LOCATOR SUB</t>
  </si>
  <si>
    <t>LOCATOR NO-GO</t>
  </si>
  <si>
    <t>PUP JOINT</t>
  </si>
  <si>
    <t xml:space="preserve">BAKER LOCATOR ASSY. </t>
  </si>
  <si>
    <t>PUP JT</t>
  </si>
  <si>
    <t xml:space="preserve">BAKER PREMIER PACKER ASSY. </t>
  </si>
  <si>
    <t xml:space="preserve">7.625"  </t>
  </si>
  <si>
    <t>TRSSSV</t>
  </si>
  <si>
    <t xml:space="preserve">PREMIER PKR </t>
  </si>
  <si>
    <t>out</t>
  </si>
  <si>
    <t xml:space="preserve">END OF M/SHOE: </t>
  </si>
  <si>
    <t>FT</t>
  </si>
  <si>
    <t>9-5/8" Couplings at:</t>
  </si>
  <si>
    <t>All measurements in feet (ft)</t>
  </si>
  <si>
    <t>Mechanical Completion Space Out Calculations</t>
  </si>
  <si>
    <t>Landing</t>
  </si>
  <si>
    <t>Length</t>
  </si>
  <si>
    <t>Eff Length</t>
  </si>
  <si>
    <t>String</t>
  </si>
  <si>
    <t>Space</t>
  </si>
  <si>
    <t>THRT</t>
  </si>
  <si>
    <t>above</t>
  </si>
  <si>
    <t>Hgr Load Shldr</t>
  </si>
  <si>
    <t>below</t>
  </si>
  <si>
    <t>pups</t>
  </si>
  <si>
    <t>Prod Pkr Element</t>
  </si>
  <si>
    <t>pup</t>
  </si>
  <si>
    <t>Locator NoGo</t>
  </si>
  <si>
    <t>PBR Top</t>
  </si>
  <si>
    <t>EOT Muleshoe</t>
  </si>
  <si>
    <t>Top Liner Pkr</t>
  </si>
  <si>
    <t>LANDED POSITION</t>
  </si>
  <si>
    <t>LOCATE POSITION</t>
  </si>
  <si>
    <t>Actual Pup Length</t>
  </si>
  <si>
    <t>ft</t>
  </si>
  <si>
    <t>Required Pup Length Calculations</t>
  </si>
  <si>
    <t xml:space="preserve">Total Length Out </t>
  </si>
  <si>
    <t>Length Out</t>
  </si>
  <si>
    <t>Length In</t>
  </si>
  <si>
    <t>Elevation = RKB to Hanger Load Shoulder</t>
  </si>
  <si>
    <t>Locator NoGo from Locate to Landed Position</t>
  </si>
  <si>
    <t>Hanger load shoulder to hanger assembly bottom</t>
  </si>
  <si>
    <t>Ideal Pups Req'd to Land w/ Neutral Wgt</t>
  </si>
  <si>
    <t>Length  In = Elevation + Hanger Assembly</t>
  </si>
  <si>
    <t>Actual Pup Length Used</t>
  </si>
  <si>
    <t>Difference (- short, + long)</t>
  </si>
  <si>
    <t>Tolerance (-1, +1) ft</t>
  </si>
  <si>
    <t>SPACE-OUT FACTOR</t>
  </si>
  <si>
    <t>TH + PUP JT.</t>
  </si>
  <si>
    <t>CASING CORRECTION FACTOR</t>
  </si>
  <si>
    <t>COMMENTS</t>
  </si>
  <si>
    <t>JOINT LENGTH</t>
  </si>
  <si>
    <t>EFFECTIVE LENGTH</t>
  </si>
  <si>
    <t>JOINT IN/OUT</t>
  </si>
  <si>
    <t>TOTAL LENGTH</t>
  </si>
  <si>
    <t>DEPTH OF TOP OF JT.</t>
  </si>
  <si>
    <t xml:space="preserve">EST STRG WEIGHT </t>
  </si>
  <si>
    <t>TBG SIZE:</t>
  </si>
  <si>
    <t>CONN: VAM TOP HC</t>
  </si>
  <si>
    <t>ALJASSRA</t>
  </si>
  <si>
    <t>QG PERSONNEL:</t>
  </si>
  <si>
    <t>9-5/8" TOP:</t>
  </si>
  <si>
    <t>P-110</t>
  </si>
  <si>
    <t xml:space="preserve">PKR ELEMENT </t>
  </si>
  <si>
    <t>7.00" PUP JT</t>
  </si>
  <si>
    <t>7.00" FLOW COUPLING</t>
  </si>
  <si>
    <t>CAMERON PRIMARY TH</t>
  </si>
  <si>
    <t>-</t>
  </si>
  <si>
    <t>H784650159GRG1</t>
  </si>
  <si>
    <t>7" 26# Deck Tally</t>
  </si>
  <si>
    <t>7-5/8" 33.7# Csg Jnt'S</t>
  </si>
  <si>
    <t>7-5/8" 33.7# Pup Jnt'S</t>
  </si>
  <si>
    <t>SPACE-OUT JT</t>
  </si>
  <si>
    <t xml:space="preserve">7" TOL: </t>
  </si>
  <si>
    <t>S</t>
  </si>
  <si>
    <t>X</t>
  </si>
  <si>
    <t>JOINT NO (Deck):</t>
  </si>
  <si>
    <t>DESCRIPTION</t>
  </si>
  <si>
    <t>7" 26# VTHC Tubing</t>
  </si>
  <si>
    <t xml:space="preserve">SPACE OUT 7" PUP JT </t>
  </si>
  <si>
    <t>V</t>
  </si>
  <si>
    <t>W</t>
  </si>
  <si>
    <t>Z</t>
  </si>
  <si>
    <t>Q</t>
  </si>
  <si>
    <t>TORQUE 7-5/8" 33.7# VTHC-NA</t>
  </si>
  <si>
    <t>15,300, 17,000, 18,700 ft-lbs</t>
  </si>
  <si>
    <t>13,700, 15,200, 16,700 ft-lbs</t>
  </si>
  <si>
    <t>TORQUE 7" 26# VTHC</t>
  </si>
  <si>
    <t>IN/OUT</t>
  </si>
  <si>
    <t>DECK#</t>
  </si>
  <si>
    <t>RKB - TH LOAD SHOULDER</t>
  </si>
  <si>
    <t>7.000"</t>
  </si>
  <si>
    <t>FSSD: 2,000'</t>
  </si>
  <si>
    <t xml:space="preserve"> TRSV DEPTH: </t>
  </si>
  <si>
    <t>WFT 7” Optimax WSP(E)-7.5</t>
  </si>
  <si>
    <t>Tubing Hanger Running Tool:</t>
  </si>
  <si>
    <t>Tubing Hanger +THRT:</t>
  </si>
  <si>
    <t>RKB - Load Shoulder:</t>
  </si>
  <si>
    <t>Load Shoulder to Pin:</t>
  </si>
  <si>
    <t>PUP JT "U"</t>
  </si>
  <si>
    <t>PN: 2201888-6000062</t>
  </si>
  <si>
    <t>PUP JOINT - Q</t>
  </si>
  <si>
    <t>PUP JOINT - S</t>
  </si>
  <si>
    <t>PUP JOINT - V</t>
  </si>
  <si>
    <t>PUP JOINT - W</t>
  </si>
  <si>
    <t>PUP JOINT - X</t>
  </si>
  <si>
    <t>PUP JOINT - Z</t>
  </si>
  <si>
    <t>TOTAL</t>
  </si>
  <si>
    <t>6 ft</t>
  </si>
  <si>
    <t>10 ft</t>
  </si>
  <si>
    <t>15 ft</t>
  </si>
  <si>
    <t>20 ft</t>
  </si>
  <si>
    <t>Total Number</t>
  </si>
  <si>
    <t>3 ft</t>
  </si>
  <si>
    <t>10-3/4" X 9-5/8": 1321.33'</t>
  </si>
  <si>
    <t>PIP TAG DISTANCE: 10.15'</t>
  </si>
  <si>
    <t>8.5K</t>
  </si>
  <si>
    <t>D</t>
  </si>
  <si>
    <t>G</t>
  </si>
  <si>
    <t>K</t>
  </si>
  <si>
    <t>L</t>
  </si>
  <si>
    <t>M</t>
  </si>
  <si>
    <t>N</t>
  </si>
  <si>
    <t>O</t>
  </si>
  <si>
    <t>P</t>
  </si>
  <si>
    <t>T</t>
  </si>
  <si>
    <t>U</t>
  </si>
  <si>
    <t>Y</t>
  </si>
  <si>
    <t>Length (ft)</t>
  </si>
  <si>
    <t>Deck #</t>
  </si>
  <si>
    <t>PUP JOINT - D</t>
  </si>
  <si>
    <t>PUP JOINT - G</t>
  </si>
  <si>
    <t>PUP JOINT - K</t>
  </si>
  <si>
    <t>PUP JOINT - L</t>
  </si>
  <si>
    <t>PUP JOINT - M</t>
  </si>
  <si>
    <t>PUP JOINT - N</t>
  </si>
  <si>
    <t>PUP JOINT - O</t>
  </si>
  <si>
    <t>PUP JOINT - P</t>
  </si>
  <si>
    <t>PUP JOINT - T</t>
  </si>
  <si>
    <t>PUP JOINT - U</t>
  </si>
  <si>
    <t>PUP JOINT - Y</t>
  </si>
  <si>
    <t>7" 26# Pup Joints</t>
  </si>
  <si>
    <t>SM2535-110</t>
  </si>
  <si>
    <t>TRSV PN: 2521432</t>
  </si>
  <si>
    <t>QG-TRSV-NFR13-5</t>
  </si>
  <si>
    <t>(QG-7IN-SHL-38)</t>
  </si>
  <si>
    <t>(QG-7IN-PP-40-NFPS)</t>
  </si>
  <si>
    <t>PN: H297551898GRG1
SN: 107320274-01</t>
  </si>
  <si>
    <t>S/N:107353407-01</t>
  </si>
  <si>
    <t>CUT ZONE: 2.24 Ft</t>
  </si>
  <si>
    <t xml:space="preserve">Firdaus Ismail / Mohammed Bounehidja </t>
  </si>
  <si>
    <t>SHL LAND OUT: 19.54'</t>
  </si>
  <si>
    <t>Shear to End of M/Shoe: 3.37'</t>
  </si>
  <si>
    <t>No-Go to Shear Ring: 16.17'</t>
  </si>
  <si>
    <t>SN: 121678832001</t>
  </si>
  <si>
    <t>Bottom Collar</t>
  </si>
  <si>
    <t>Top Collar</t>
  </si>
  <si>
    <t>Checker / DSV Input (Threads-ON)</t>
  </si>
  <si>
    <t>Result</t>
  </si>
  <si>
    <t>10109.02', 10062.66', 10017.50'</t>
  </si>
  <si>
    <t>Joey Thomas / Graham Hay</t>
  </si>
  <si>
    <t>TRSV SN: OF72133</t>
  </si>
  <si>
    <t xml:space="preserve">TOTAL USED JOINTS </t>
  </si>
  <si>
    <t>NFR13-5</t>
  </si>
  <si>
    <t>DRAFT 3</t>
  </si>
  <si>
    <t>** TOTAL 302 JOINTS</t>
  </si>
  <si>
    <t>**Last JOINT RIH Deck #71</t>
  </si>
  <si>
    <t>4 ft</t>
  </si>
  <si>
    <t>PACKER</t>
  </si>
  <si>
    <t xml:space="preserve">**Total Jt Run </t>
  </si>
  <si>
    <t>LJ 1</t>
  </si>
  <si>
    <t>LJ 2</t>
  </si>
  <si>
    <t>Location</t>
  </si>
  <si>
    <t>7" 26# PJ Length</t>
  </si>
  <si>
    <t>7" 26# Pup Jnt'S</t>
  </si>
  <si>
    <t>USED AS SPACE OUT JT</t>
  </si>
  <si>
    <t>TBG GRADE:</t>
  </si>
  <si>
    <t>ONE JT USED AS SPACE OUT</t>
  </si>
  <si>
    <t>H784650177GRG1</t>
  </si>
  <si>
    <r>
      <t>7'' CSG NOM ID:</t>
    </r>
    <r>
      <rPr>
        <b/>
        <sz val="9"/>
        <rFont val="Geneva"/>
      </rPr>
      <t xml:space="preserve"> 6.276"</t>
    </r>
  </si>
  <si>
    <t>At the Main Deck</t>
  </si>
  <si>
    <t>20-A</t>
  </si>
  <si>
    <t>20-B</t>
  </si>
  <si>
    <t>LJ 3</t>
  </si>
  <si>
    <t>LJ 4</t>
  </si>
  <si>
    <t>LP-1</t>
  </si>
  <si>
    <t>LP-2</t>
  </si>
  <si>
    <t>LP-3</t>
  </si>
  <si>
    <t>LP-4</t>
  </si>
  <si>
    <t>LP-5</t>
  </si>
  <si>
    <t>LP-6</t>
  </si>
  <si>
    <t>LP-7</t>
  </si>
  <si>
    <t>LP-8</t>
  </si>
  <si>
    <t>Mohammed Bounehidja</t>
  </si>
  <si>
    <t>Chad Coffman/ James Leeson</t>
  </si>
  <si>
    <t>NFQ17-7</t>
  </si>
  <si>
    <t>Energy Enticer</t>
  </si>
  <si>
    <t>(QG-7IN-SHL-64)</t>
  </si>
  <si>
    <t>PN: H297551898GRG1
SN: 106942825-01</t>
  </si>
  <si>
    <t>(QG-7IN-PP-70-NFE)</t>
  </si>
  <si>
    <t>S/N:107351738-01</t>
  </si>
  <si>
    <t>PIP TAG DISTANCE: 10.16'</t>
  </si>
  <si>
    <t>13668.41',13706.40', 13742.68'</t>
  </si>
  <si>
    <t>7" 26# VTHC Pup Jt</t>
  </si>
  <si>
    <t>SN: 121794712003</t>
  </si>
  <si>
    <t>CAMERON PRIMARY TH Assy#1</t>
  </si>
  <si>
    <t>QG-TRSV-NFQ17-7</t>
  </si>
  <si>
    <t>TRSV SN: OF71389</t>
  </si>
  <si>
    <t>SHL LAND OUT: 19.56'</t>
  </si>
  <si>
    <t>Shear Ring to End of M/Shoe: 3.37'</t>
  </si>
  <si>
    <t>No-Go to Shear Ring: 16.19'</t>
  </si>
  <si>
    <t>Stick-Up (EOT above TOL) with  joint 372</t>
  </si>
  <si>
    <t>Order Numbers</t>
  </si>
  <si>
    <t>OP: 3.400 psi</t>
  </si>
  <si>
    <t>CP: 1,800 PSI</t>
  </si>
  <si>
    <t>RETURN VOL: 240 ml</t>
  </si>
  <si>
    <t xml:space="preserve">At the Main deck </t>
  </si>
  <si>
    <t>15-B</t>
  </si>
  <si>
    <t>15-A</t>
  </si>
  <si>
    <t>10-B</t>
  </si>
  <si>
    <t>10-A</t>
  </si>
  <si>
    <t>6-B</t>
  </si>
  <si>
    <t>6-A</t>
  </si>
  <si>
    <t>3-B</t>
  </si>
  <si>
    <t>3-A</t>
  </si>
  <si>
    <t>TOTAL JOINTS PREPARED</t>
  </si>
  <si>
    <t>TOTAL JOINTS ON BAORD</t>
  </si>
  <si>
    <t>TOTAL SPARE JOINTS PREPARED</t>
  </si>
  <si>
    <t>TOTAL SPARE JOINTS ON BAORD</t>
  </si>
  <si>
    <t>**Last Jt RIH Deck #343</t>
  </si>
  <si>
    <t>**Deck No: 320</t>
  </si>
  <si>
    <t>Space out Joint - JT #320</t>
  </si>
  <si>
    <r>
      <t xml:space="preserve">Effective Length 7" </t>
    </r>
    <r>
      <rPr>
        <sz val="8"/>
        <color rgb="FFFF0000"/>
        <rFont val="Arial"/>
        <family val="2"/>
      </rPr>
      <t>Joint# 335</t>
    </r>
    <r>
      <rPr>
        <sz val="8"/>
        <rFont val="Arial"/>
        <family val="2"/>
      </rPr>
      <t xml:space="preserve"> Laid Down    </t>
    </r>
  </si>
  <si>
    <r>
      <t xml:space="preserve">Effective Length 7" </t>
    </r>
    <r>
      <rPr>
        <sz val="8"/>
        <color rgb="FFFF0000"/>
        <rFont val="Arial"/>
        <family val="2"/>
      </rPr>
      <t>Joint# 346</t>
    </r>
    <r>
      <rPr>
        <sz val="8"/>
        <rFont val="Arial"/>
        <family val="2"/>
      </rPr>
      <t xml:space="preserve"> Laid Down    </t>
    </r>
  </si>
  <si>
    <r>
      <t xml:space="preserve">Effective Length 7" </t>
    </r>
    <r>
      <rPr>
        <sz val="8"/>
        <color rgb="FFFF0000"/>
        <rFont val="Arial"/>
        <family val="2"/>
      </rPr>
      <t>Joint# 347</t>
    </r>
    <r>
      <rPr>
        <sz val="8"/>
        <rFont val="Arial"/>
        <family val="2"/>
      </rPr>
      <t xml:space="preserve"> Laid Down    </t>
    </r>
  </si>
  <si>
    <t>Effective Length of Space Out Joint Below RKB (JT#320)</t>
  </si>
  <si>
    <r>
      <t xml:space="preserve">Effective Length 7" </t>
    </r>
    <r>
      <rPr>
        <sz val="8"/>
        <color rgb="FFFF0000"/>
        <rFont val="Arial"/>
        <family val="2"/>
      </rPr>
      <t>Joint# 343</t>
    </r>
    <r>
      <rPr>
        <sz val="8"/>
        <rFont val="Arial"/>
        <family val="2"/>
      </rPr>
      <t xml:space="preserve"> Laid Down</t>
    </r>
  </si>
  <si>
    <t>Space out pup</t>
  </si>
  <si>
    <t>7'' 26# VTHC</t>
  </si>
  <si>
    <t>CL Clamp</t>
  </si>
  <si>
    <t>AS RUN</t>
  </si>
  <si>
    <t xml:space="preserve">TOTAL CL LINE CLAMPS INSTALLED- 35 </t>
  </si>
  <si>
    <t>FINAL TALLY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</si>
</sst>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0.000"/>
    <numFmt numFmtId="165" formatCode="0.0\ &quot;PPG&quot;"/>
    <numFmt numFmtId="166" formatCode="0\ &quot;K&quot;"/>
    <numFmt numFmtId="167" formatCode="0.0\ &quot;PPF&quot;"/>
    <numFmt numFmtId="168" formatCode="[$-409]d\-mmm\-yy;@"/>
    <numFmt numFmtId="169" formatCode="0.00\ &quot;PPG&quot;"/>
    <numFmt numFmtId="170" formatCode="0.000\ &quot;ft&quot;"/>
    <numFmt numFmtId="171" formatCode="0.00\ &quot;ft&quot;"/>
    <numFmt numFmtId="172" formatCode="0\ &quot;Joints&quot;"/>
    <numFmt numFmtId="173" formatCode="0.0000000000000"/>
  </numFmts>
  <fonts count="62">
    <font>
      <sz val="10"/>
      <name val="Geneva"/>
    </font>
    <font>
      <b/>
      <sz val="10"/>
      <name val="Geneva"/>
    </font>
    <font>
      <sz val="10"/>
      <name val="Geneva"/>
    </font>
    <font>
      <sz val="10"/>
      <name val="Geneva"/>
    </font>
    <font>
      <b/>
      <sz val="9"/>
      <name val="Geneva"/>
    </font>
    <font>
      <b/>
      <sz val="12"/>
      <name val="Geneva"/>
    </font>
    <font>
      <sz val="9"/>
      <name val="Geneva"/>
    </font>
    <font>
      <b/>
      <sz val="14"/>
      <name val="Geneva"/>
    </font>
    <font>
      <b/>
      <shadow/>
      <sz val="14"/>
      <color indexed="12"/>
      <name val="Geneva"/>
    </font>
    <font>
      <sz val="8"/>
      <name val="Geneva"/>
    </font>
    <font>
      <sz val="10"/>
      <name val="Arial"/>
      <family val="2"/>
    </font>
    <font>
      <b/>
      <sz val="12"/>
      <color indexed="10"/>
      <name val="Geneva"/>
    </font>
    <font>
      <b/>
      <sz val="9"/>
      <color indexed="10"/>
      <name val="Geneva"/>
    </font>
    <font>
      <b/>
      <sz val="9"/>
      <color indexed="13"/>
      <name val="Geneva"/>
    </font>
    <font>
      <sz val="9"/>
      <color indexed="10"/>
      <name val="Geneva"/>
    </font>
    <font>
      <b/>
      <sz val="10"/>
      <name val="Arial"/>
      <family val="2"/>
    </font>
    <font>
      <b/>
      <sz val="10"/>
      <color indexed="10"/>
      <name val="Geneva"/>
    </font>
    <font>
      <b/>
      <sz val="8"/>
      <name val="Geneva"/>
    </font>
    <font>
      <sz val="8"/>
      <name val="Arial"/>
      <family val="2"/>
    </font>
    <font>
      <b/>
      <sz val="16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9"/>
      <name val="Arial"/>
      <family val="2"/>
    </font>
    <font>
      <i/>
      <sz val="8"/>
      <name val="Arial"/>
      <family val="2"/>
    </font>
    <font>
      <sz val="10"/>
      <name val="Times New Roman"/>
      <family val="1"/>
    </font>
    <font>
      <b/>
      <sz val="9"/>
      <color theme="0"/>
      <name val="Geneva"/>
    </font>
    <font>
      <b/>
      <sz val="9"/>
      <color rgb="FFFF0000"/>
      <name val="Geneva"/>
    </font>
    <font>
      <sz val="11"/>
      <color rgb="FFFF0000"/>
      <name val="Arial"/>
      <family val="2"/>
    </font>
    <font>
      <b/>
      <sz val="9"/>
      <color rgb="FF00B050"/>
      <name val="Geneva"/>
    </font>
    <font>
      <sz val="9"/>
      <color rgb="FFFF0000"/>
      <name val="Geneva"/>
    </font>
    <font>
      <sz val="9"/>
      <color theme="1"/>
      <name val="Geneva"/>
    </font>
    <font>
      <b/>
      <sz val="9"/>
      <color rgb="FF0070C0"/>
      <name val="Geneva"/>
    </font>
    <font>
      <sz val="9"/>
      <color rgb="FF0070C0"/>
      <name val="Geneva"/>
    </font>
    <font>
      <sz val="10"/>
      <color rgb="FFFF0000"/>
      <name val="Geneva"/>
    </font>
    <font>
      <b/>
      <sz val="9"/>
      <color theme="1"/>
      <name val="Geneva"/>
    </font>
    <font>
      <sz val="8"/>
      <color rgb="FFFF0000"/>
      <name val="Arial"/>
      <family val="2"/>
    </font>
    <font>
      <sz val="9"/>
      <color theme="8"/>
      <name val="Geneva"/>
    </font>
    <font>
      <b/>
      <sz val="10"/>
      <color rgb="FFFF0000"/>
      <name val="Geneva"/>
    </font>
    <font>
      <b/>
      <sz val="10"/>
      <color theme="1"/>
      <name val="Geneva"/>
    </font>
    <font>
      <sz val="7"/>
      <name val="Geneva"/>
    </font>
    <font>
      <b/>
      <sz val="8"/>
      <color theme="0"/>
      <name val="Geneva"/>
    </font>
    <font>
      <b/>
      <sz val="11"/>
      <name val="Geneva"/>
    </font>
    <font>
      <sz val="11"/>
      <name val="Geneva"/>
    </font>
    <font>
      <b/>
      <sz val="11"/>
      <color indexed="10"/>
      <name val="Arial"/>
      <family val="2"/>
    </font>
    <font>
      <b/>
      <sz val="10"/>
      <color rgb="FF7030A0"/>
      <name val="Geneva"/>
    </font>
    <font>
      <b/>
      <sz val="11"/>
      <color theme="1"/>
      <name val="Geneva"/>
    </font>
    <font>
      <b/>
      <sz val="11"/>
      <color theme="0"/>
      <name val="GEneva"/>
    </font>
    <font>
      <b/>
      <sz val="7"/>
      <color theme="0"/>
      <name val="Geneva"/>
    </font>
    <font>
      <b/>
      <sz val="7"/>
      <color theme="1"/>
      <name val="Geneva"/>
    </font>
    <font>
      <b/>
      <sz val="10"/>
      <color rgb="FFC00000"/>
      <name val="Geneva"/>
    </font>
    <font>
      <b/>
      <sz val="18"/>
      <name val="Geneva"/>
    </font>
    <font>
      <sz val="8"/>
      <color rgb="FFFF0000"/>
      <name val="Geneva"/>
    </font>
    <font>
      <sz val="5"/>
      <color rgb="FFC00000"/>
      <name val="Geneva"/>
    </font>
    <font>
      <sz val="6"/>
      <color rgb="FFC00000"/>
      <name val="Geneva"/>
    </font>
    <font>
      <sz val="11"/>
      <color rgb="FFC00000"/>
      <name val="Geneva"/>
    </font>
    <font>
      <b/>
      <sz val="10"/>
      <color theme="4" tint="-0.499984740745262"/>
      <name val="Geneva"/>
    </font>
    <font>
      <b/>
      <sz val="18"/>
      <color theme="1"/>
      <name val="GEneva"/>
    </font>
    <font>
      <sz val="10"/>
      <color rgb="FFC00000"/>
      <name val="Geneva"/>
    </font>
    <font>
      <sz val="10"/>
      <color theme="0"/>
      <name val="Geneva"/>
    </font>
    <font>
      <b/>
      <sz val="8"/>
      <color theme="4" tint="-0.499984740745262"/>
      <name val="Geneva"/>
    </font>
  </fonts>
  <fills count="3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darkDown">
        <bgColor theme="1"/>
      </patternFill>
    </fill>
    <fill>
      <patternFill patternType="darkUp">
        <bgColor theme="1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5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 style="thick">
        <color indexed="64"/>
      </left>
      <right/>
      <top style="dashed">
        <color indexed="64"/>
      </top>
      <bottom/>
      <diagonal/>
    </border>
    <border>
      <left/>
      <right style="thick">
        <color indexed="64"/>
      </right>
      <top style="dashed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dashed">
        <color indexed="1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dashed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ck">
        <color theme="9"/>
      </right>
      <top/>
      <bottom/>
      <diagonal/>
    </border>
    <border>
      <left style="thick">
        <color theme="9"/>
      </left>
      <right style="thick">
        <color theme="9"/>
      </right>
      <top/>
      <bottom/>
      <diagonal/>
    </border>
    <border>
      <left/>
      <right style="thick">
        <color theme="1"/>
      </right>
      <top/>
      <bottom/>
      <diagonal/>
    </border>
    <border>
      <left style="thick">
        <color theme="1"/>
      </left>
      <right style="thick">
        <color theme="1"/>
      </right>
      <top/>
      <bottom/>
      <diagonal/>
    </border>
    <border>
      <left/>
      <right style="thick">
        <color theme="1"/>
      </right>
      <top/>
      <bottom style="dashed">
        <color indexed="64"/>
      </bottom>
      <diagonal/>
    </border>
    <border>
      <left style="thick">
        <color theme="1"/>
      </left>
      <right style="thick">
        <color theme="1"/>
      </right>
      <top/>
      <bottom style="dashed">
        <color indexed="64"/>
      </bottom>
      <diagonal/>
    </border>
    <border>
      <left/>
      <right style="thick">
        <color theme="9"/>
      </right>
      <top style="dashed">
        <color indexed="64"/>
      </top>
      <bottom/>
      <diagonal/>
    </border>
    <border>
      <left style="thick">
        <color theme="9"/>
      </left>
      <right style="thick">
        <color theme="9"/>
      </right>
      <top/>
      <bottom style="thick">
        <color theme="9"/>
      </bottom>
      <diagonal/>
    </border>
    <border>
      <left/>
      <right style="thick">
        <color theme="1"/>
      </right>
      <top style="dashed">
        <color indexed="64"/>
      </top>
      <bottom/>
      <diagonal/>
    </border>
    <border>
      <left style="thick">
        <color theme="1"/>
      </left>
      <right style="thick">
        <color theme="1"/>
      </right>
      <top style="dashed">
        <color indexed="64"/>
      </top>
      <bottom/>
      <diagonal/>
    </border>
    <border>
      <left/>
      <right/>
      <top/>
      <bottom style="thick">
        <color theme="9"/>
      </bottom>
      <diagonal/>
    </border>
    <border>
      <left/>
      <right style="thick">
        <color theme="9"/>
      </right>
      <top/>
      <bottom style="thick">
        <color theme="9"/>
      </bottom>
      <diagonal/>
    </border>
    <border>
      <left style="thick">
        <color indexed="64"/>
      </left>
      <right style="thick">
        <color theme="9"/>
      </right>
      <top/>
      <bottom style="thick">
        <color indexed="64"/>
      </bottom>
      <diagonal/>
    </border>
    <border>
      <left style="thick">
        <color theme="9"/>
      </left>
      <right/>
      <top style="thick">
        <color theme="9"/>
      </top>
      <bottom style="thick">
        <color theme="9"/>
      </bottom>
      <diagonal/>
    </border>
    <border>
      <left/>
      <right/>
      <top style="thick">
        <color theme="9"/>
      </top>
      <bottom style="thick">
        <color theme="9"/>
      </bottom>
      <diagonal/>
    </border>
    <border>
      <left/>
      <right style="thick">
        <color theme="9"/>
      </right>
      <top style="thick">
        <color theme="9"/>
      </top>
      <bottom style="thick">
        <color theme="9"/>
      </bottom>
      <diagonal/>
    </border>
    <border>
      <left/>
      <right style="thick">
        <color theme="9"/>
      </right>
      <top style="thick">
        <color theme="9"/>
      </top>
      <bottom/>
      <diagonal/>
    </border>
    <border>
      <left style="thick">
        <color theme="9"/>
      </left>
      <right style="thick">
        <color theme="9"/>
      </right>
      <top style="dashed">
        <color indexed="14"/>
      </top>
      <bottom/>
      <diagonal/>
    </border>
    <border>
      <left style="thick">
        <color theme="5"/>
      </left>
      <right style="thick">
        <color theme="5"/>
      </right>
      <top style="thick">
        <color theme="5"/>
      </top>
      <bottom/>
      <diagonal/>
    </border>
    <border>
      <left style="thick">
        <color theme="5"/>
      </left>
      <right style="thick">
        <color theme="5"/>
      </right>
      <top/>
      <bottom/>
      <diagonal/>
    </border>
    <border>
      <left/>
      <right style="thick">
        <color rgb="FF0070C0"/>
      </right>
      <top/>
      <bottom/>
      <diagonal/>
    </border>
    <border>
      <left style="thick">
        <color theme="5"/>
      </left>
      <right style="thick">
        <color theme="5"/>
      </right>
      <top/>
      <bottom style="thick">
        <color theme="5"/>
      </bottom>
      <diagonal/>
    </border>
    <border>
      <left style="thick">
        <color rgb="FF0070C0"/>
      </left>
      <right style="thick">
        <color rgb="FF0070C0"/>
      </right>
      <top/>
      <bottom/>
      <diagonal/>
    </border>
    <border>
      <left style="thick">
        <color theme="1"/>
      </left>
      <right style="thick">
        <color theme="1"/>
      </right>
      <top/>
      <bottom style="thick">
        <color theme="1"/>
      </bottom>
      <diagonal/>
    </border>
    <border>
      <left style="thick">
        <color rgb="FF0070C0"/>
      </left>
      <right/>
      <top style="thick">
        <color rgb="FF0070C0"/>
      </top>
      <bottom/>
      <diagonal/>
    </border>
    <border>
      <left/>
      <right style="thick">
        <color rgb="FF0070C0"/>
      </right>
      <top style="thick">
        <color rgb="FF0070C0"/>
      </top>
      <bottom/>
      <diagonal/>
    </border>
    <border>
      <left style="thick">
        <color rgb="FF0070C0"/>
      </left>
      <right/>
      <top style="thick">
        <color rgb="FF0070C0"/>
      </top>
      <bottom style="thick">
        <color rgb="FF0070C0"/>
      </bottom>
      <diagonal/>
    </border>
    <border>
      <left/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rgb="FF0070C0"/>
      </left>
      <right/>
      <top/>
      <bottom/>
      <diagonal/>
    </border>
    <border>
      <left/>
      <right style="thick">
        <color rgb="FF0070C0"/>
      </right>
      <top/>
      <bottom style="thick">
        <color rgb="FF0070C0"/>
      </bottom>
      <diagonal/>
    </border>
    <border>
      <left style="thick">
        <color rgb="FF0070C0"/>
      </left>
      <right style="thick">
        <color rgb="FF0070C0"/>
      </right>
      <top/>
      <bottom style="thick">
        <color rgb="FF0070C0"/>
      </bottom>
      <diagonal/>
    </border>
    <border>
      <left style="thick">
        <color rgb="FF0070C0"/>
      </left>
      <right/>
      <top/>
      <bottom style="thick">
        <color rgb="FF0070C0"/>
      </bottom>
      <diagonal/>
    </border>
    <border>
      <left style="thick">
        <color theme="5"/>
      </left>
      <right style="thick">
        <color theme="5"/>
      </right>
      <top style="thick">
        <color theme="5"/>
      </top>
      <bottom style="thick">
        <color theme="5"/>
      </bottom>
      <diagonal/>
    </border>
    <border>
      <left/>
      <right/>
      <top/>
      <bottom style="thick">
        <color rgb="FF0070C0"/>
      </bottom>
      <diagonal/>
    </border>
    <border>
      <left/>
      <right/>
      <top/>
      <bottom style="thick">
        <color theme="1"/>
      </bottom>
      <diagonal/>
    </border>
    <border>
      <left style="thin">
        <color indexed="64"/>
      </left>
      <right style="thick">
        <color theme="1"/>
      </right>
      <top style="thick">
        <color theme="1"/>
      </top>
      <bottom/>
      <diagonal/>
    </border>
    <border>
      <left style="thin">
        <color indexed="64"/>
      </left>
      <right style="thick">
        <color theme="1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rgb="FFFF0000"/>
      </right>
      <top/>
      <bottom/>
      <diagonal/>
    </border>
    <border>
      <left style="medium">
        <color indexed="64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medium">
        <color indexed="64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auto="1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auto="1"/>
      </bottom>
      <diagonal/>
    </border>
    <border>
      <left style="thin">
        <color auto="1"/>
      </left>
      <right style="thick">
        <color indexed="64"/>
      </right>
      <top style="thick">
        <color indexed="64"/>
      </top>
      <bottom/>
      <diagonal/>
    </border>
    <border>
      <left style="thin">
        <color auto="1"/>
      </left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thin">
        <color theme="1"/>
      </right>
      <top/>
      <bottom/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</borders>
  <cellStyleXfs count="4">
    <xf numFmtId="0" fontId="0" fillId="0" borderId="0"/>
    <xf numFmtId="4" fontId="2" fillId="0" borderId="0" applyFont="0" applyFill="0" applyBorder="0" applyAlignment="0" applyProtection="0"/>
    <xf numFmtId="0" fontId="10" fillId="0" borderId="0"/>
    <xf numFmtId="0" fontId="10" fillId="0" borderId="0"/>
  </cellStyleXfs>
  <cellXfs count="834">
    <xf numFmtId="0" fontId="0" fillId="0" borderId="0" xfId="0"/>
    <xf numFmtId="0" fontId="0" fillId="0" borderId="1" xfId="0" applyBorder="1" applyAlignment="1">
      <alignment horizontal="center"/>
    </xf>
    <xf numFmtId="2" fontId="0" fillId="0" borderId="0" xfId="0" applyNumberFormat="1" applyAlignment="1">
      <alignment horizontal="center"/>
    </xf>
    <xf numFmtId="2" fontId="4" fillId="0" borderId="0" xfId="0" applyNumberFormat="1" applyFont="1" applyAlignment="1">
      <alignment horizontal="righ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1" fontId="4" fillId="0" borderId="0" xfId="0" applyNumberFormat="1" applyFont="1" applyAlignment="1">
      <alignment horizontal="right"/>
    </xf>
    <xf numFmtId="1" fontId="0" fillId="0" borderId="0" xfId="0" applyNumberFormat="1" applyAlignment="1">
      <alignment horizontal="center"/>
    </xf>
    <xf numFmtId="2" fontId="6" fillId="0" borderId="0" xfId="0" applyNumberFormat="1" applyFont="1" applyAlignment="1">
      <alignment horizontal="center"/>
    </xf>
    <xf numFmtId="0" fontId="6" fillId="0" borderId="0" xfId="0" applyFont="1" applyAlignment="1">
      <alignment horizontal="left"/>
    </xf>
    <xf numFmtId="0" fontId="6" fillId="0" borderId="0" xfId="0" applyFont="1"/>
    <xf numFmtId="0" fontId="6" fillId="0" borderId="0" xfId="0" applyFont="1" applyAlignment="1">
      <alignment horizontal="center"/>
    </xf>
    <xf numFmtId="164" fontId="6" fillId="0" borderId="0" xfId="0" applyNumberFormat="1" applyFont="1" applyAlignment="1">
      <alignment horizontal="center"/>
    </xf>
    <xf numFmtId="2" fontId="6" fillId="0" borderId="0" xfId="0" applyNumberFormat="1" applyFont="1" applyAlignment="1">
      <alignment horizontal="right"/>
    </xf>
    <xf numFmtId="2" fontId="6" fillId="0" borderId="0" xfId="0" applyNumberFormat="1" applyFont="1" applyAlignment="1">
      <alignment horizontal="left"/>
    </xf>
    <xf numFmtId="0" fontId="4" fillId="0" borderId="0" xfId="0" applyFont="1" applyAlignment="1">
      <alignment horizontal="right"/>
    </xf>
    <xf numFmtId="0" fontId="3" fillId="0" borderId="0" xfId="0" applyFont="1"/>
    <xf numFmtId="0" fontId="2" fillId="0" borderId="0" xfId="0" applyFont="1"/>
    <xf numFmtId="2" fontId="6" fillId="0" borderId="2" xfId="0" applyNumberFormat="1" applyFont="1" applyBorder="1" applyAlignment="1">
      <alignment horizontal="center"/>
    </xf>
    <xf numFmtId="2" fontId="0" fillId="0" borderId="0" xfId="0" applyNumberFormat="1"/>
    <xf numFmtId="1" fontId="4" fillId="0" borderId="0" xfId="0" applyNumberFormat="1" applyFont="1" applyAlignment="1">
      <alignment horizontal="left"/>
    </xf>
    <xf numFmtId="2" fontId="5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left"/>
    </xf>
    <xf numFmtId="2" fontId="3" fillId="0" borderId="0" xfId="0" applyNumberFormat="1" applyFont="1"/>
    <xf numFmtId="2" fontId="2" fillId="0" borderId="0" xfId="0" applyNumberFormat="1" applyFont="1"/>
    <xf numFmtId="1" fontId="6" fillId="0" borderId="0" xfId="0" applyNumberFormat="1" applyFont="1" applyAlignment="1">
      <alignment horizontal="center"/>
    </xf>
    <xf numFmtId="1" fontId="0" fillId="0" borderId="0" xfId="0" applyNumberFormat="1"/>
    <xf numFmtId="0" fontId="8" fillId="0" borderId="0" xfId="0" applyFont="1" applyAlignment="1">
      <alignment horizontal="left"/>
    </xf>
    <xf numFmtId="0" fontId="0" fillId="0" borderId="0" xfId="0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0" xfId="0" applyFont="1"/>
    <xf numFmtId="2" fontId="16" fillId="0" borderId="0" xfId="0" applyNumberFormat="1" applyFont="1"/>
    <xf numFmtId="0" fontId="1" fillId="8" borderId="0" xfId="0" applyFont="1" applyFill="1"/>
    <xf numFmtId="0" fontId="6" fillId="8" borderId="0" xfId="0" applyFont="1" applyFill="1"/>
    <xf numFmtId="0" fontId="0" fillId="0" borderId="15" xfId="0" applyBorder="1" applyAlignment="1">
      <alignment horizontal="center"/>
    </xf>
    <xf numFmtId="2" fontId="6" fillId="8" borderId="0" xfId="0" applyNumberFormat="1" applyFont="1" applyFill="1" applyAlignment="1">
      <alignment horizontal="center"/>
    </xf>
    <xf numFmtId="0" fontId="18" fillId="0" borderId="0" xfId="2" applyFont="1"/>
    <xf numFmtId="0" fontId="18" fillId="0" borderId="0" xfId="2" applyFont="1" applyAlignment="1">
      <alignment horizontal="center"/>
    </xf>
    <xf numFmtId="0" fontId="18" fillId="3" borderId="0" xfId="2" applyFont="1" applyFill="1"/>
    <xf numFmtId="0" fontId="18" fillId="0" borderId="15" xfId="2" applyFont="1" applyBorder="1"/>
    <xf numFmtId="0" fontId="18" fillId="0" borderId="32" xfId="2" applyFont="1" applyBorder="1"/>
    <xf numFmtId="0" fontId="18" fillId="0" borderId="32" xfId="2" applyFont="1" applyBorder="1" applyAlignment="1">
      <alignment horizontal="center"/>
    </xf>
    <xf numFmtId="0" fontId="18" fillId="0" borderId="14" xfId="2" applyFont="1" applyBorder="1"/>
    <xf numFmtId="0" fontId="18" fillId="0" borderId="9" xfId="2" applyFont="1" applyBorder="1"/>
    <xf numFmtId="0" fontId="19" fillId="0" borderId="0" xfId="2" applyFont="1" applyAlignment="1">
      <alignment horizontal="center"/>
    </xf>
    <xf numFmtId="0" fontId="18" fillId="0" borderId="10" xfId="2" applyFont="1" applyBorder="1"/>
    <xf numFmtId="0" fontId="21" fillId="0" borderId="9" xfId="2" applyFont="1" applyBorder="1"/>
    <xf numFmtId="0" fontId="20" fillId="3" borderId="0" xfId="2" applyFont="1" applyFill="1"/>
    <xf numFmtId="0" fontId="21" fillId="3" borderId="0" xfId="2" applyFont="1" applyFill="1" applyAlignment="1">
      <alignment horizontal="center"/>
    </xf>
    <xf numFmtId="0" fontId="21" fillId="3" borderId="0" xfId="2" applyFont="1" applyFill="1"/>
    <xf numFmtId="0" fontId="21" fillId="3" borderId="70" xfId="2" applyFont="1" applyFill="1" applyBorder="1"/>
    <xf numFmtId="0" fontId="10" fillId="3" borderId="71" xfId="2" applyFill="1" applyBorder="1" applyAlignment="1">
      <alignment horizontal="center"/>
    </xf>
    <xf numFmtId="0" fontId="21" fillId="3" borderId="72" xfId="2" applyFont="1" applyFill="1" applyBorder="1"/>
    <xf numFmtId="0" fontId="21" fillId="3" borderId="73" xfId="2" applyFont="1" applyFill="1" applyBorder="1" applyAlignment="1">
      <alignment horizontal="center"/>
    </xf>
    <xf numFmtId="0" fontId="21" fillId="0" borderId="10" xfId="2" applyFont="1" applyBorder="1"/>
    <xf numFmtId="0" fontId="21" fillId="0" borderId="0" xfId="2" applyFont="1"/>
    <xf numFmtId="0" fontId="21" fillId="3" borderId="33" xfId="2" applyFont="1" applyFill="1" applyBorder="1"/>
    <xf numFmtId="0" fontId="21" fillId="3" borderId="33" xfId="2" applyFont="1" applyFill="1" applyBorder="1" applyAlignment="1">
      <alignment horizontal="center"/>
    </xf>
    <xf numFmtId="0" fontId="20" fillId="3" borderId="33" xfId="2" applyFont="1" applyFill="1" applyBorder="1" applyAlignment="1">
      <alignment horizontal="center"/>
    </xf>
    <xf numFmtId="0" fontId="21" fillId="3" borderId="74" xfId="2" applyFont="1" applyFill="1" applyBorder="1"/>
    <xf numFmtId="0" fontId="21" fillId="3" borderId="75" xfId="2" applyFont="1" applyFill="1" applyBorder="1" applyAlignment="1">
      <alignment horizontal="center"/>
    </xf>
    <xf numFmtId="0" fontId="20" fillId="4" borderId="7" xfId="3" applyFont="1" applyFill="1" applyBorder="1" applyAlignment="1">
      <alignment horizontal="center"/>
    </xf>
    <xf numFmtId="0" fontId="21" fillId="3" borderId="34" xfId="2" applyFont="1" applyFill="1" applyBorder="1" applyAlignment="1">
      <alignment horizontal="center"/>
    </xf>
    <xf numFmtId="0" fontId="21" fillId="3" borderId="35" xfId="2" applyFont="1" applyFill="1" applyBorder="1"/>
    <xf numFmtId="0" fontId="21" fillId="3" borderId="34" xfId="2" applyFont="1" applyFill="1" applyBorder="1"/>
    <xf numFmtId="0" fontId="21" fillId="3" borderId="76" xfId="2" applyFont="1" applyFill="1" applyBorder="1"/>
    <xf numFmtId="0" fontId="10" fillId="3" borderId="77" xfId="2" applyFill="1" applyBorder="1" applyAlignment="1">
      <alignment horizontal="center"/>
    </xf>
    <xf numFmtId="0" fontId="21" fillId="3" borderId="36" xfId="2" applyFont="1" applyFill="1" applyBorder="1"/>
    <xf numFmtId="0" fontId="21" fillId="3" borderId="78" xfId="2" applyFont="1" applyFill="1" applyBorder="1"/>
    <xf numFmtId="0" fontId="21" fillId="3" borderId="79" xfId="2" applyFont="1" applyFill="1" applyBorder="1" applyAlignment="1">
      <alignment horizontal="center"/>
    </xf>
    <xf numFmtId="0" fontId="21" fillId="3" borderId="37" xfId="2" applyFont="1" applyFill="1" applyBorder="1"/>
    <xf numFmtId="0" fontId="21" fillId="3" borderId="80" xfId="2" applyFont="1" applyFill="1" applyBorder="1"/>
    <xf numFmtId="0" fontId="21" fillId="3" borderId="81" xfId="2" applyFont="1" applyFill="1" applyBorder="1"/>
    <xf numFmtId="0" fontId="21" fillId="3" borderId="38" xfId="2" applyFont="1" applyFill="1" applyBorder="1"/>
    <xf numFmtId="0" fontId="21" fillId="3" borderId="82" xfId="2" applyFont="1" applyFill="1" applyBorder="1"/>
    <xf numFmtId="0" fontId="21" fillId="3" borderId="83" xfId="2" applyFont="1" applyFill="1" applyBorder="1"/>
    <xf numFmtId="0" fontId="21" fillId="3" borderId="84" xfId="2" applyFont="1" applyFill="1" applyBorder="1"/>
    <xf numFmtId="0" fontId="10" fillId="3" borderId="39" xfId="2" applyFill="1" applyBorder="1" applyAlignment="1">
      <alignment horizontal="center"/>
    </xf>
    <xf numFmtId="0" fontId="21" fillId="3" borderId="85" xfId="2" applyFont="1" applyFill="1" applyBorder="1"/>
    <xf numFmtId="0" fontId="21" fillId="3" borderId="40" xfId="2" applyFont="1" applyFill="1" applyBorder="1"/>
    <xf numFmtId="0" fontId="21" fillId="3" borderId="41" xfId="2" applyFont="1" applyFill="1" applyBorder="1"/>
    <xf numFmtId="0" fontId="21" fillId="3" borderId="86" xfId="2" applyFont="1" applyFill="1" applyBorder="1"/>
    <xf numFmtId="0" fontId="10" fillId="3" borderId="87" xfId="2" applyFill="1" applyBorder="1" applyAlignment="1">
      <alignment horizontal="center"/>
    </xf>
    <xf numFmtId="0" fontId="21" fillId="3" borderId="72" xfId="2" applyFont="1" applyFill="1" applyBorder="1" applyAlignment="1">
      <alignment horizontal="center"/>
    </xf>
    <xf numFmtId="0" fontId="10" fillId="3" borderId="88" xfId="2" applyFill="1" applyBorder="1" applyAlignment="1">
      <alignment horizontal="center"/>
    </xf>
    <xf numFmtId="0" fontId="20" fillId="0" borderId="73" xfId="2" applyFont="1" applyBorder="1" applyAlignment="1">
      <alignment horizontal="center"/>
    </xf>
    <xf numFmtId="0" fontId="10" fillId="3" borderId="89" xfId="2" applyFill="1" applyBorder="1" applyAlignment="1">
      <alignment horizontal="center"/>
    </xf>
    <xf numFmtId="0" fontId="21" fillId="3" borderId="90" xfId="2" applyFont="1" applyFill="1" applyBorder="1"/>
    <xf numFmtId="0" fontId="22" fillId="0" borderId="91" xfId="2" applyFont="1" applyBorder="1" applyAlignment="1">
      <alignment horizontal="center"/>
    </xf>
    <xf numFmtId="0" fontId="20" fillId="3" borderId="92" xfId="2" applyFont="1" applyFill="1" applyBorder="1" applyAlignment="1">
      <alignment horizontal="center"/>
    </xf>
    <xf numFmtId="0" fontId="20" fillId="0" borderId="93" xfId="2" applyFont="1" applyBorder="1" applyAlignment="1">
      <alignment horizontal="center"/>
    </xf>
    <xf numFmtId="0" fontId="21" fillId="11" borderId="90" xfId="2" applyFont="1" applyFill="1" applyBorder="1"/>
    <xf numFmtId="0" fontId="21" fillId="11" borderId="92" xfId="2" applyFont="1" applyFill="1" applyBorder="1"/>
    <xf numFmtId="0" fontId="21" fillId="3" borderId="92" xfId="2" applyFont="1" applyFill="1" applyBorder="1" applyAlignment="1">
      <alignment horizontal="center"/>
    </xf>
    <xf numFmtId="0" fontId="21" fillId="11" borderId="94" xfId="2" applyFont="1" applyFill="1" applyBorder="1"/>
    <xf numFmtId="0" fontId="21" fillId="11" borderId="95" xfId="2" applyFont="1" applyFill="1" applyBorder="1"/>
    <xf numFmtId="0" fontId="20" fillId="3" borderId="33" xfId="2" applyFont="1" applyFill="1" applyBorder="1" applyAlignment="1">
      <alignment horizontal="left"/>
    </xf>
    <xf numFmtId="0" fontId="20" fillId="3" borderId="42" xfId="2" applyFont="1" applyFill="1" applyBorder="1"/>
    <xf numFmtId="0" fontId="21" fillId="11" borderId="96" xfId="2" applyFont="1" applyFill="1" applyBorder="1"/>
    <xf numFmtId="0" fontId="21" fillId="11" borderId="97" xfId="2" applyFont="1" applyFill="1" applyBorder="1"/>
    <xf numFmtId="0" fontId="21" fillId="11" borderId="98" xfId="2" applyFont="1" applyFill="1" applyBorder="1"/>
    <xf numFmtId="0" fontId="21" fillId="11" borderId="0" xfId="2" applyFont="1" applyFill="1"/>
    <xf numFmtId="0" fontId="29" fillId="11" borderId="94" xfId="2" applyFont="1" applyFill="1" applyBorder="1"/>
    <xf numFmtId="0" fontId="20" fillId="3" borderId="34" xfId="2" applyFont="1" applyFill="1" applyBorder="1" applyAlignment="1">
      <alignment horizontal="left"/>
    </xf>
    <xf numFmtId="0" fontId="20" fillId="3" borderId="36" xfId="2" applyFont="1" applyFill="1" applyBorder="1"/>
    <xf numFmtId="0" fontId="21" fillId="11" borderId="99" xfId="2" applyFont="1" applyFill="1" applyBorder="1"/>
    <xf numFmtId="0" fontId="21" fillId="11" borderId="100" xfId="2" applyFont="1" applyFill="1" applyBorder="1"/>
    <xf numFmtId="0" fontId="21" fillId="11" borderId="101" xfId="2" applyFont="1" applyFill="1" applyBorder="1"/>
    <xf numFmtId="0" fontId="21" fillId="3" borderId="90" xfId="2" applyFont="1" applyFill="1" applyBorder="1" applyAlignment="1">
      <alignment horizontal="center"/>
    </xf>
    <xf numFmtId="0" fontId="20" fillId="3" borderId="0" xfId="2" applyFont="1" applyFill="1" applyAlignment="1">
      <alignment horizontal="center"/>
    </xf>
    <xf numFmtId="0" fontId="21" fillId="3" borderId="43" xfId="2" applyFont="1" applyFill="1" applyBorder="1"/>
    <xf numFmtId="0" fontId="21" fillId="3" borderId="44" xfId="2" applyFont="1" applyFill="1" applyBorder="1"/>
    <xf numFmtId="0" fontId="21" fillId="3" borderId="98" xfId="2" applyFont="1" applyFill="1" applyBorder="1"/>
    <xf numFmtId="0" fontId="10" fillId="3" borderId="102" xfId="2" applyFill="1" applyBorder="1" applyAlignment="1">
      <alignment horizontal="center"/>
    </xf>
    <xf numFmtId="0" fontId="21" fillId="3" borderId="103" xfId="2" applyFont="1" applyFill="1" applyBorder="1"/>
    <xf numFmtId="0" fontId="21" fillId="3" borderId="99" xfId="2" applyFont="1" applyFill="1" applyBorder="1"/>
    <xf numFmtId="0" fontId="21" fillId="3" borderId="101" xfId="2" applyFont="1" applyFill="1" applyBorder="1"/>
    <xf numFmtId="0" fontId="20" fillId="3" borderId="38" xfId="2" applyFont="1" applyFill="1" applyBorder="1"/>
    <xf numFmtId="0" fontId="21" fillId="3" borderId="42" xfId="2" applyFont="1" applyFill="1" applyBorder="1"/>
    <xf numFmtId="0" fontId="21" fillId="0" borderId="99" xfId="2" applyFont="1" applyBorder="1"/>
    <xf numFmtId="0" fontId="21" fillId="0" borderId="101" xfId="2" applyFont="1" applyBorder="1"/>
    <xf numFmtId="0" fontId="21" fillId="9" borderId="0" xfId="2" applyFont="1" applyFill="1"/>
    <xf numFmtId="0" fontId="21" fillId="0" borderId="90" xfId="2" applyFont="1" applyBorder="1"/>
    <xf numFmtId="0" fontId="21" fillId="9" borderId="104" xfId="2" applyFont="1" applyFill="1" applyBorder="1"/>
    <xf numFmtId="0" fontId="21" fillId="0" borderId="104" xfId="2" applyFont="1" applyBorder="1"/>
    <xf numFmtId="0" fontId="21" fillId="2" borderId="2" xfId="2" applyFont="1" applyFill="1" applyBorder="1"/>
    <xf numFmtId="0" fontId="21" fillId="0" borderId="105" xfId="2" applyFont="1" applyBorder="1"/>
    <xf numFmtId="0" fontId="21" fillId="12" borderId="106" xfId="2" applyFont="1" applyFill="1" applyBorder="1"/>
    <xf numFmtId="0" fontId="21" fillId="13" borderId="0" xfId="2" applyFont="1" applyFill="1"/>
    <xf numFmtId="0" fontId="21" fillId="2" borderId="45" xfId="2" applyFont="1" applyFill="1" applyBorder="1"/>
    <xf numFmtId="0" fontId="21" fillId="0" borderId="106" xfId="2" applyFont="1" applyBorder="1"/>
    <xf numFmtId="0" fontId="21" fillId="3" borderId="38" xfId="2" applyFont="1" applyFill="1" applyBorder="1" applyAlignment="1">
      <alignment horizontal="center"/>
    </xf>
    <xf numFmtId="0" fontId="21" fillId="3" borderId="3" xfId="2" applyFont="1" applyFill="1" applyBorder="1"/>
    <xf numFmtId="0" fontId="21" fillId="3" borderId="46" xfId="2" applyFont="1" applyFill="1" applyBorder="1"/>
    <xf numFmtId="0" fontId="20" fillId="3" borderId="46" xfId="2" applyFont="1" applyFill="1" applyBorder="1" applyAlignment="1">
      <alignment horizontal="center"/>
    </xf>
    <xf numFmtId="0" fontId="21" fillId="3" borderId="4" xfId="2" applyFont="1" applyFill="1" applyBorder="1"/>
    <xf numFmtId="2" fontId="22" fillId="6" borderId="47" xfId="2" applyNumberFormat="1" applyFont="1" applyFill="1" applyBorder="1" applyProtection="1">
      <protection locked="0"/>
    </xf>
    <xf numFmtId="0" fontId="18" fillId="0" borderId="48" xfId="2" applyFont="1" applyBorder="1"/>
    <xf numFmtId="0" fontId="18" fillId="0" borderId="49" xfId="2" applyFont="1" applyBorder="1"/>
    <xf numFmtId="0" fontId="18" fillId="0" borderId="49" xfId="2" applyFont="1" applyBorder="1" applyAlignment="1">
      <alignment horizontal="center"/>
    </xf>
    <xf numFmtId="0" fontId="18" fillId="3" borderId="49" xfId="2" applyFont="1" applyFill="1" applyBorder="1"/>
    <xf numFmtId="0" fontId="18" fillId="0" borderId="50" xfId="2" applyFont="1" applyBorder="1"/>
    <xf numFmtId="0" fontId="18" fillId="3" borderId="0" xfId="2" applyFont="1" applyFill="1" applyAlignment="1">
      <alignment horizontal="center"/>
    </xf>
    <xf numFmtId="2" fontId="22" fillId="6" borderId="2" xfId="2" applyNumberFormat="1" applyFont="1" applyFill="1" applyBorder="1" applyProtection="1">
      <protection locked="0"/>
    </xf>
    <xf numFmtId="0" fontId="18" fillId="0" borderId="1" xfId="2" applyFont="1" applyBorder="1"/>
    <xf numFmtId="0" fontId="18" fillId="0" borderId="51" xfId="2" applyFont="1" applyBorder="1"/>
    <xf numFmtId="0" fontId="10" fillId="0" borderId="0" xfId="2"/>
    <xf numFmtId="2" fontId="22" fillId="6" borderId="45" xfId="2" applyNumberFormat="1" applyFont="1" applyFill="1" applyBorder="1" applyProtection="1">
      <protection locked="0"/>
    </xf>
    <xf numFmtId="0" fontId="18" fillId="0" borderId="52" xfId="2" applyFont="1" applyBorder="1"/>
    <xf numFmtId="0" fontId="18" fillId="0" borderId="52" xfId="2" applyFont="1" applyBorder="1" applyAlignment="1">
      <alignment horizontal="center"/>
    </xf>
    <xf numFmtId="0" fontId="18" fillId="3" borderId="52" xfId="2" applyFont="1" applyFill="1" applyBorder="1"/>
    <xf numFmtId="0" fontId="18" fillId="0" borderId="53" xfId="2" applyFont="1" applyBorder="1"/>
    <xf numFmtId="0" fontId="23" fillId="0" borderId="0" xfId="2" applyFont="1"/>
    <xf numFmtId="2" fontId="22" fillId="10" borderId="7" xfId="2" applyNumberFormat="1" applyFont="1" applyFill="1" applyBorder="1"/>
    <xf numFmtId="0" fontId="23" fillId="10" borderId="5" xfId="2" applyFont="1" applyFill="1" applyBorder="1"/>
    <xf numFmtId="0" fontId="23" fillId="10" borderId="30" xfId="2" applyFont="1" applyFill="1" applyBorder="1"/>
    <xf numFmtId="0" fontId="23" fillId="10" borderId="30" xfId="2" applyFont="1" applyFill="1" applyBorder="1" applyAlignment="1">
      <alignment horizontal="center"/>
    </xf>
    <xf numFmtId="0" fontId="18" fillId="10" borderId="6" xfId="2" applyFont="1" applyFill="1" applyBorder="1"/>
    <xf numFmtId="2" fontId="24" fillId="0" borderId="0" xfId="2" applyNumberFormat="1" applyFont="1"/>
    <xf numFmtId="2" fontId="22" fillId="8" borderId="47" xfId="2" applyNumberFormat="1" applyFont="1" applyFill="1" applyBorder="1" applyProtection="1">
      <protection locked="0"/>
    </xf>
    <xf numFmtId="2" fontId="22" fillId="8" borderId="45" xfId="2" applyNumberFormat="1" applyFont="1" applyFill="1" applyBorder="1" applyProtection="1">
      <protection locked="0"/>
    </xf>
    <xf numFmtId="0" fontId="18" fillId="0" borderId="54" xfId="2" applyFont="1" applyBorder="1"/>
    <xf numFmtId="0" fontId="24" fillId="0" borderId="0" xfId="2" applyFont="1"/>
    <xf numFmtId="0" fontId="25" fillId="0" borderId="0" xfId="2" applyFont="1"/>
    <xf numFmtId="0" fontId="18" fillId="0" borderId="55" xfId="2" applyFont="1" applyBorder="1"/>
    <xf numFmtId="0" fontId="24" fillId="0" borderId="56" xfId="2" applyFont="1" applyBorder="1"/>
    <xf numFmtId="0" fontId="18" fillId="0" borderId="56" xfId="2" applyFont="1" applyBorder="1"/>
    <xf numFmtId="0" fontId="18" fillId="0" borderId="56" xfId="2" applyFont="1" applyBorder="1" applyAlignment="1">
      <alignment horizontal="center"/>
    </xf>
    <xf numFmtId="0" fontId="18" fillId="3" borderId="56" xfId="2" applyFont="1" applyFill="1" applyBorder="1"/>
    <xf numFmtId="0" fontId="10" fillId="0" borderId="56" xfId="2" applyBorder="1"/>
    <xf numFmtId="0" fontId="18" fillId="0" borderId="11" xfId="2" applyFont="1" applyBorder="1"/>
    <xf numFmtId="0" fontId="26" fillId="0" borderId="0" xfId="2" applyFont="1"/>
    <xf numFmtId="2" fontId="4" fillId="6" borderId="0" xfId="0" applyNumberFormat="1" applyFont="1" applyFill="1" applyAlignment="1">
      <alignment horizontal="center"/>
    </xf>
    <xf numFmtId="0" fontId="6" fillId="0" borderId="10" xfId="0" applyFont="1" applyBorder="1"/>
    <xf numFmtId="2" fontId="27" fillId="7" borderId="0" xfId="0" applyNumberFormat="1" applyFont="1" applyFill="1" applyAlignment="1">
      <alignment horizontal="center"/>
    </xf>
    <xf numFmtId="1" fontId="4" fillId="0" borderId="0" xfId="0" applyNumberFormat="1" applyFont="1" applyAlignment="1">
      <alignment horizontal="center"/>
    </xf>
    <xf numFmtId="166" fontId="6" fillId="0" borderId="0" xfId="0" applyNumberFormat="1" applyFont="1" applyAlignment="1">
      <alignment horizontal="center"/>
    </xf>
    <xf numFmtId="166" fontId="6" fillId="8" borderId="0" xfId="0" applyNumberFormat="1" applyFont="1" applyFill="1" applyAlignment="1">
      <alignment horizontal="center"/>
    </xf>
    <xf numFmtId="164" fontId="6" fillId="8" borderId="0" xfId="0" applyNumberFormat="1" applyFont="1" applyFill="1" applyAlignment="1">
      <alignment horizontal="center"/>
    </xf>
    <xf numFmtId="1" fontId="4" fillId="8" borderId="0" xfId="0" applyNumberFormat="1" applyFont="1" applyFill="1" applyAlignment="1">
      <alignment horizontal="center"/>
    </xf>
    <xf numFmtId="2" fontId="6" fillId="15" borderId="0" xfId="0" applyNumberFormat="1" applyFont="1" applyFill="1" applyAlignment="1">
      <alignment horizontal="center"/>
    </xf>
    <xf numFmtId="2" fontId="27" fillId="15" borderId="57" xfId="0" applyNumberFormat="1" applyFont="1" applyFill="1" applyBorder="1" applyAlignment="1">
      <alignment horizontal="center"/>
    </xf>
    <xf numFmtId="2" fontId="4" fillId="6" borderId="32" xfId="0" applyNumberFormat="1" applyFont="1" applyFill="1" applyBorder="1" applyAlignment="1">
      <alignment horizontal="center"/>
    </xf>
    <xf numFmtId="2" fontId="4" fillId="6" borderId="58" xfId="0" applyNumberFormat="1" applyFont="1" applyFill="1" applyBorder="1" applyAlignment="1">
      <alignment horizontal="center"/>
    </xf>
    <xf numFmtId="0" fontId="0" fillId="0" borderId="32" xfId="0" applyBorder="1" applyAlignment="1">
      <alignment horizontal="center"/>
    </xf>
    <xf numFmtId="1" fontId="0" fillId="0" borderId="32" xfId="0" applyNumberFormat="1" applyBorder="1" applyAlignment="1">
      <alignment horizontal="center"/>
    </xf>
    <xf numFmtId="1" fontId="4" fillId="0" borderId="32" xfId="0" applyNumberFormat="1" applyFont="1" applyBorder="1" applyAlignment="1">
      <alignment horizontal="right"/>
    </xf>
    <xf numFmtId="2" fontId="4" fillId="0" borderId="32" xfId="0" applyNumberFormat="1" applyFont="1" applyBorder="1" applyAlignment="1">
      <alignment horizontal="right"/>
    </xf>
    <xf numFmtId="2" fontId="4" fillId="0" borderId="32" xfId="0" applyNumberFormat="1" applyFont="1" applyBorder="1" applyAlignment="1">
      <alignment horizontal="center"/>
    </xf>
    <xf numFmtId="2" fontId="5" fillId="0" borderId="32" xfId="0" applyNumberFormat="1" applyFont="1" applyBorder="1" applyAlignment="1">
      <alignment horizontal="center"/>
    </xf>
    <xf numFmtId="0" fontId="7" fillId="0" borderId="32" xfId="0" applyFont="1" applyBorder="1" applyAlignment="1">
      <alignment horizontal="left"/>
    </xf>
    <xf numFmtId="0" fontId="4" fillId="0" borderId="32" xfId="0" applyFont="1" applyBorder="1" applyAlignment="1">
      <alignment horizontal="left"/>
    </xf>
    <xf numFmtId="15" fontId="11" fillId="0" borderId="32" xfId="0" applyNumberFormat="1" applyFont="1" applyBorder="1" applyAlignment="1">
      <alignment horizontal="center"/>
    </xf>
    <xf numFmtId="0" fontId="0" fillId="0" borderId="14" xfId="0" applyBorder="1"/>
    <xf numFmtId="0" fontId="14" fillId="0" borderId="10" xfId="0" applyFont="1" applyBorder="1"/>
    <xf numFmtId="0" fontId="8" fillId="0" borderId="9" xfId="0" applyFont="1" applyBorder="1" applyAlignment="1">
      <alignment horizontal="left"/>
    </xf>
    <xf numFmtId="0" fontId="6" fillId="0" borderId="9" xfId="0" applyFont="1" applyBorder="1" applyAlignment="1">
      <alignment horizontal="left"/>
    </xf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4" fillId="0" borderId="10" xfId="0" applyFont="1" applyBorder="1"/>
    <xf numFmtId="0" fontId="6" fillId="8" borderId="10" xfId="0" applyFont="1" applyFill="1" applyBorder="1"/>
    <xf numFmtId="0" fontId="6" fillId="0" borderId="55" xfId="0" applyFont="1" applyBorder="1" applyAlignment="1">
      <alignment horizontal="center"/>
    </xf>
    <xf numFmtId="0" fontId="6" fillId="0" borderId="59" xfId="0" applyFont="1" applyBorder="1" applyAlignment="1">
      <alignment horizontal="center"/>
    </xf>
    <xf numFmtId="164" fontId="6" fillId="0" borderId="60" xfId="0" applyNumberFormat="1" applyFont="1" applyBorder="1" applyAlignment="1">
      <alignment horizontal="center"/>
    </xf>
    <xf numFmtId="1" fontId="4" fillId="0" borderId="60" xfId="0" applyNumberFormat="1" applyFont="1" applyBorder="1" applyAlignment="1">
      <alignment horizontal="center"/>
    </xf>
    <xf numFmtId="2" fontId="6" fillId="0" borderId="60" xfId="0" applyNumberFormat="1" applyFont="1" applyBorder="1" applyAlignment="1">
      <alignment horizontal="center"/>
    </xf>
    <xf numFmtId="2" fontId="4" fillId="0" borderId="56" xfId="0" applyNumberFormat="1" applyFont="1" applyBorder="1" applyAlignment="1">
      <alignment horizontal="center"/>
    </xf>
    <xf numFmtId="1" fontId="4" fillId="0" borderId="9" xfId="0" applyNumberFormat="1" applyFont="1" applyBorder="1" applyAlignment="1">
      <alignment horizontal="right"/>
    </xf>
    <xf numFmtId="164" fontId="6" fillId="0" borderId="56" xfId="0" applyNumberFormat="1" applyFont="1" applyBorder="1" applyAlignment="1">
      <alignment horizontal="center"/>
    </xf>
    <xf numFmtId="2" fontId="6" fillId="0" borderId="56" xfId="0" applyNumberFormat="1" applyFont="1" applyBorder="1" applyAlignment="1">
      <alignment horizontal="center"/>
    </xf>
    <xf numFmtId="0" fontId="4" fillId="0" borderId="56" xfId="0" applyFont="1" applyBorder="1" applyAlignment="1">
      <alignment horizontal="right"/>
    </xf>
    <xf numFmtId="0" fontId="4" fillId="0" borderId="2" xfId="0" applyFont="1" applyBorder="1" applyAlignment="1">
      <alignment horizontal="center"/>
    </xf>
    <xf numFmtId="167" fontId="17" fillId="0" borderId="9" xfId="0" applyNumberFormat="1" applyFont="1" applyBorder="1" applyAlignment="1">
      <alignment horizontal="center"/>
    </xf>
    <xf numFmtId="167" fontId="17" fillId="0" borderId="12" xfId="0" applyNumberFormat="1" applyFont="1" applyBorder="1" applyAlignment="1">
      <alignment horizontal="center"/>
    </xf>
    <xf numFmtId="165" fontId="17" fillId="0" borderId="13" xfId="0" applyNumberFormat="1" applyFont="1" applyBorder="1" applyAlignment="1">
      <alignment horizontal="center"/>
    </xf>
    <xf numFmtId="164" fontId="4" fillId="0" borderId="0" xfId="0" applyNumberFormat="1" applyFont="1" applyAlignment="1">
      <alignment horizontal="center"/>
    </xf>
    <xf numFmtId="166" fontId="6" fillId="0" borderId="1" xfId="0" applyNumberFormat="1" applyFont="1" applyBorder="1" applyAlignment="1">
      <alignment horizontal="center"/>
    </xf>
    <xf numFmtId="2" fontId="27" fillId="7" borderId="57" xfId="0" applyNumberFormat="1" applyFont="1" applyFill="1" applyBorder="1" applyAlignment="1">
      <alignment horizontal="center"/>
    </xf>
    <xf numFmtId="4" fontId="0" fillId="0" borderId="0" xfId="0" applyNumberFormat="1"/>
    <xf numFmtId="169" fontId="4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4" fontId="0" fillId="0" borderId="0" xfId="0" applyNumberFormat="1" applyAlignment="1">
      <alignment horizontal="center"/>
    </xf>
    <xf numFmtId="0" fontId="1" fillId="0" borderId="0" xfId="0" applyFont="1"/>
    <xf numFmtId="4" fontId="1" fillId="0" borderId="0" xfId="0" applyNumberFormat="1" applyFont="1" applyAlignment="1">
      <alignment horizontal="center"/>
    </xf>
    <xf numFmtId="0" fontId="20" fillId="8" borderId="7" xfId="3" applyFont="1" applyFill="1" applyBorder="1" applyAlignment="1">
      <alignment horizontal="center"/>
    </xf>
    <xf numFmtId="2" fontId="31" fillId="0" borderId="2" xfId="0" applyNumberFormat="1" applyFont="1" applyBorder="1" applyAlignment="1">
      <alignment horizontal="center"/>
    </xf>
    <xf numFmtId="166" fontId="6" fillId="0" borderId="59" xfId="0" applyNumberFormat="1" applyFont="1" applyBorder="1" applyAlignment="1">
      <alignment horizontal="center"/>
    </xf>
    <xf numFmtId="0" fontId="13" fillId="0" borderId="9" xfId="0" applyFont="1" applyBorder="1" applyAlignment="1">
      <alignment horizontal="left"/>
    </xf>
    <xf numFmtId="0" fontId="12" fillId="0" borderId="9" xfId="0" applyFont="1" applyBorder="1" applyAlignment="1">
      <alignment horizontal="left"/>
    </xf>
    <xf numFmtId="0" fontId="6" fillId="0" borderId="9" xfId="0" applyFont="1" applyBorder="1"/>
    <xf numFmtId="2" fontId="27" fillId="16" borderId="32" xfId="0" applyNumberFormat="1" applyFont="1" applyFill="1" applyBorder="1" applyAlignment="1">
      <alignment horizontal="center" vertical="center"/>
    </xf>
    <xf numFmtId="2" fontId="27" fillId="16" borderId="58" xfId="0" applyNumberFormat="1" applyFont="1" applyFill="1" applyBorder="1" applyAlignment="1">
      <alignment horizontal="center" vertical="center"/>
    </xf>
    <xf numFmtId="2" fontId="27" fillId="16" borderId="0" xfId="0" applyNumberFormat="1" applyFont="1" applyFill="1" applyAlignment="1">
      <alignment horizontal="center" vertical="center"/>
    </xf>
    <xf numFmtId="2" fontId="6" fillId="16" borderId="0" xfId="0" applyNumberFormat="1" applyFont="1" applyFill="1" applyAlignment="1">
      <alignment horizontal="center" vertical="center"/>
    </xf>
    <xf numFmtId="2" fontId="28" fillId="7" borderId="0" xfId="0" applyNumberFormat="1" applyFont="1" applyFill="1" applyAlignment="1">
      <alignment horizontal="center" vertical="center"/>
    </xf>
    <xf numFmtId="2" fontId="6" fillId="16" borderId="32" xfId="0" applyNumberFormat="1" applyFont="1" applyFill="1" applyBorder="1" applyAlignment="1">
      <alignment horizontal="center" vertical="center"/>
    </xf>
    <xf numFmtId="166" fontId="27" fillId="16" borderId="14" xfId="0" applyNumberFormat="1" applyFont="1" applyFill="1" applyBorder="1" applyAlignment="1">
      <alignment horizontal="center" vertical="center"/>
    </xf>
    <xf numFmtId="166" fontId="27" fillId="16" borderId="10" xfId="0" applyNumberFormat="1" applyFont="1" applyFill="1" applyBorder="1" applyAlignment="1">
      <alignment horizontal="center" vertical="center"/>
    </xf>
    <xf numFmtId="2" fontId="27" fillId="16" borderId="56" xfId="0" applyNumberFormat="1" applyFont="1" applyFill="1" applyBorder="1" applyAlignment="1">
      <alignment horizontal="center" vertical="center"/>
    </xf>
    <xf numFmtId="2" fontId="6" fillId="16" borderId="56" xfId="0" applyNumberFormat="1" applyFont="1" applyFill="1" applyBorder="1" applyAlignment="1">
      <alignment horizontal="center" vertical="center"/>
    </xf>
    <xf numFmtId="166" fontId="27" fillId="16" borderId="11" xfId="0" applyNumberFormat="1" applyFont="1" applyFill="1" applyBorder="1" applyAlignment="1">
      <alignment horizontal="center" vertical="center"/>
    </xf>
    <xf numFmtId="2" fontId="4" fillId="6" borderId="0" xfId="0" applyNumberFormat="1" applyFont="1" applyFill="1" applyAlignment="1">
      <alignment horizontal="center" vertical="center"/>
    </xf>
    <xf numFmtId="2" fontId="4" fillId="6" borderId="32" xfId="0" applyNumberFormat="1" applyFont="1" applyFill="1" applyBorder="1" applyAlignment="1">
      <alignment horizontal="center" vertical="center"/>
    </xf>
    <xf numFmtId="166" fontId="4" fillId="6" borderId="14" xfId="0" applyNumberFormat="1" applyFont="1" applyFill="1" applyBorder="1" applyAlignment="1">
      <alignment horizontal="center" vertical="center"/>
    </xf>
    <xf numFmtId="166" fontId="4" fillId="6" borderId="10" xfId="0" applyNumberFormat="1" applyFont="1" applyFill="1" applyBorder="1" applyAlignment="1">
      <alignment horizontal="center" vertical="center"/>
    </xf>
    <xf numFmtId="2" fontId="4" fillId="6" borderId="56" xfId="0" applyNumberFormat="1" applyFont="1" applyFill="1" applyBorder="1" applyAlignment="1">
      <alignment horizontal="center" vertical="center"/>
    </xf>
    <xf numFmtId="166" fontId="4" fillId="6" borderId="11" xfId="0" applyNumberFormat="1" applyFont="1" applyFill="1" applyBorder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166" fontId="6" fillId="0" borderId="1" xfId="0" applyNumberFormat="1" applyFont="1" applyBorder="1" applyAlignment="1">
      <alignment horizontal="center" vertical="center"/>
    </xf>
    <xf numFmtId="166" fontId="28" fillId="7" borderId="10" xfId="0" applyNumberFormat="1" applyFont="1" applyFill="1" applyBorder="1" applyAlignment="1">
      <alignment horizontal="center" vertical="center"/>
    </xf>
    <xf numFmtId="0" fontId="4" fillId="0" borderId="51" xfId="0" applyFont="1" applyBorder="1" applyAlignment="1">
      <alignment horizontal="center"/>
    </xf>
    <xf numFmtId="0" fontId="1" fillId="0" borderId="0" xfId="0" applyFont="1" applyAlignment="1">
      <alignment horizontal="center"/>
    </xf>
    <xf numFmtId="2" fontId="6" fillId="0" borderId="9" xfId="0" applyNumberFormat="1" applyFont="1" applyBorder="1"/>
    <xf numFmtId="1" fontId="4" fillId="8" borderId="9" xfId="0" applyNumberFormat="1" applyFont="1" applyFill="1" applyBorder="1" applyAlignment="1">
      <alignment horizontal="center"/>
    </xf>
    <xf numFmtId="0" fontId="6" fillId="8" borderId="9" xfId="0" applyFont="1" applyFill="1" applyBorder="1"/>
    <xf numFmtId="1" fontId="4" fillId="14" borderId="57" xfId="0" applyNumberFormat="1" applyFont="1" applyFill="1" applyBorder="1" applyAlignment="1">
      <alignment horizontal="center" vertical="center"/>
    </xf>
    <xf numFmtId="2" fontId="6" fillId="14" borderId="57" xfId="0" applyNumberFormat="1" applyFont="1" applyFill="1" applyBorder="1" applyAlignment="1">
      <alignment horizontal="center" vertical="center"/>
    </xf>
    <xf numFmtId="166" fontId="4" fillId="14" borderId="64" xfId="0" applyNumberFormat="1" applyFont="1" applyFill="1" applyBorder="1" applyAlignment="1">
      <alignment horizontal="center" vertical="center"/>
    </xf>
    <xf numFmtId="0" fontId="35" fillId="0" borderId="0" xfId="0" applyFont="1"/>
    <xf numFmtId="2" fontId="1" fillId="0" borderId="0" xfId="0" applyNumberFormat="1" applyFont="1"/>
    <xf numFmtId="4" fontId="27" fillId="9" borderId="114" xfId="1" applyFont="1" applyFill="1" applyBorder="1" applyAlignment="1">
      <alignment horizontal="center"/>
    </xf>
    <xf numFmtId="4" fontId="27" fillId="7" borderId="114" xfId="1" applyFont="1" applyFill="1" applyBorder="1" applyAlignment="1">
      <alignment horizontal="center"/>
    </xf>
    <xf numFmtId="4" fontId="4" fillId="6" borderId="114" xfId="1" applyFont="1" applyFill="1" applyBorder="1" applyAlignment="1">
      <alignment horizontal="center"/>
    </xf>
    <xf numFmtId="4" fontId="4" fillId="24" borderId="114" xfId="1" applyFont="1" applyFill="1" applyBorder="1" applyAlignment="1">
      <alignment horizontal="center"/>
    </xf>
    <xf numFmtId="1" fontId="27" fillId="21" borderId="3" xfId="0" applyNumberFormat="1" applyFont="1" applyFill="1" applyBorder="1" applyAlignment="1">
      <alignment horizontal="right"/>
    </xf>
    <xf numFmtId="164" fontId="27" fillId="21" borderId="3" xfId="0" applyNumberFormat="1" applyFont="1" applyFill="1" applyBorder="1" applyAlignment="1">
      <alignment horizontal="center"/>
    </xf>
    <xf numFmtId="164" fontId="27" fillId="21" borderId="114" xfId="0" applyNumberFormat="1" applyFont="1" applyFill="1" applyBorder="1" applyAlignment="1">
      <alignment horizontal="center"/>
    </xf>
    <xf numFmtId="2" fontId="27" fillId="7" borderId="114" xfId="0" applyNumberFormat="1" applyFont="1" applyFill="1" applyBorder="1" applyAlignment="1">
      <alignment horizontal="center" vertical="center"/>
    </xf>
    <xf numFmtId="0" fontId="15" fillId="22" borderId="115" xfId="3" applyFont="1" applyFill="1" applyBorder="1" applyAlignment="1">
      <alignment horizontal="center" vertical="center"/>
    </xf>
    <xf numFmtId="0" fontId="15" fillId="22" borderId="58" xfId="3" applyFont="1" applyFill="1" applyBorder="1" applyAlignment="1">
      <alignment horizontal="left" vertical="center"/>
    </xf>
    <xf numFmtId="0" fontId="15" fillId="22" borderId="58" xfId="3" applyFont="1" applyFill="1" applyBorder="1" applyAlignment="1">
      <alignment horizontal="center" vertical="center"/>
    </xf>
    <xf numFmtId="0" fontId="20" fillId="22" borderId="107" xfId="3" applyFont="1" applyFill="1" applyBorder="1"/>
    <xf numFmtId="2" fontId="10" fillId="0" borderId="10" xfId="2" applyNumberFormat="1" applyBorder="1" applyAlignment="1">
      <alignment horizontal="center"/>
    </xf>
    <xf numFmtId="0" fontId="20" fillId="8" borderId="68" xfId="3" applyFont="1" applyFill="1" applyBorder="1" applyAlignment="1">
      <alignment horizontal="center" vertical="center"/>
    </xf>
    <xf numFmtId="0" fontId="21" fillId="3" borderId="27" xfId="3" applyFont="1" applyFill="1" applyBorder="1" applyAlignment="1">
      <alignment horizontal="left"/>
    </xf>
    <xf numFmtId="0" fontId="33" fillId="11" borderId="3" xfId="0" applyFont="1" applyFill="1" applyBorder="1"/>
    <xf numFmtId="2" fontId="34" fillId="11" borderId="58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left"/>
    </xf>
    <xf numFmtId="2" fontId="4" fillId="14" borderId="56" xfId="0" applyNumberFormat="1" applyFont="1" applyFill="1" applyBorder="1" applyAlignment="1">
      <alignment horizontal="center" vertical="center"/>
    </xf>
    <xf numFmtId="2" fontId="27" fillId="16" borderId="61" xfId="0" applyNumberFormat="1" applyFont="1" applyFill="1" applyBorder="1" applyAlignment="1">
      <alignment horizontal="center" vertical="center"/>
    </xf>
    <xf numFmtId="166" fontId="4" fillId="6" borderId="32" xfId="0" applyNumberFormat="1" applyFont="1" applyFill="1" applyBorder="1" applyAlignment="1">
      <alignment horizontal="center" vertical="center"/>
    </xf>
    <xf numFmtId="2" fontId="4" fillId="6" borderId="114" xfId="0" applyNumberFormat="1" applyFont="1" applyFill="1" applyBorder="1" applyAlignment="1">
      <alignment horizontal="center" vertical="center"/>
    </xf>
    <xf numFmtId="0" fontId="31" fillId="0" borderId="9" xfId="0" applyFont="1" applyBorder="1"/>
    <xf numFmtId="0" fontId="31" fillId="0" borderId="10" xfId="0" applyFont="1" applyBorder="1"/>
    <xf numFmtId="2" fontId="21" fillId="10" borderId="7" xfId="3" applyNumberFormat="1" applyFont="1" applyFill="1" applyBorder="1" applyAlignment="1">
      <alignment horizontal="center" vertical="center"/>
    </xf>
    <xf numFmtId="2" fontId="21" fillId="10" borderId="19" xfId="3" applyNumberFormat="1" applyFont="1" applyFill="1" applyBorder="1" applyAlignment="1">
      <alignment horizontal="center" vertical="center"/>
    </xf>
    <xf numFmtId="0" fontId="20" fillId="4" borderId="19" xfId="3" applyFont="1" applyFill="1" applyBorder="1" applyAlignment="1">
      <alignment horizontal="center"/>
    </xf>
    <xf numFmtId="2" fontId="20" fillId="0" borderId="23" xfId="2" applyNumberFormat="1" applyFont="1" applyBorder="1" applyAlignment="1">
      <alignment horizontal="center"/>
    </xf>
    <xf numFmtId="170" fontId="17" fillId="9" borderId="3" xfId="0" applyNumberFormat="1" applyFont="1" applyFill="1" applyBorder="1" applyAlignment="1">
      <alignment horizontal="center"/>
    </xf>
    <xf numFmtId="170" fontId="17" fillId="9" borderId="114" xfId="0" applyNumberFormat="1" applyFont="1" applyFill="1" applyBorder="1" applyAlignment="1">
      <alignment horizontal="center"/>
    </xf>
    <xf numFmtId="1" fontId="4" fillId="0" borderId="55" xfId="0" applyNumberFormat="1" applyFont="1" applyBorder="1" applyAlignment="1">
      <alignment horizontal="right"/>
    </xf>
    <xf numFmtId="0" fontId="40" fillId="23" borderId="3" xfId="0" applyFont="1" applyFill="1" applyBorder="1" applyAlignment="1">
      <alignment horizontal="right" vertical="center"/>
    </xf>
    <xf numFmtId="171" fontId="40" fillId="23" borderId="4" xfId="0" applyNumberFormat="1" applyFont="1" applyFill="1" applyBorder="1" applyAlignment="1">
      <alignment horizontal="left" vertical="center"/>
    </xf>
    <xf numFmtId="2" fontId="36" fillId="6" borderId="58" xfId="0" applyNumberFormat="1" applyFont="1" applyFill="1" applyBorder="1" applyAlignment="1">
      <alignment horizontal="center" vertical="center"/>
    </xf>
    <xf numFmtId="2" fontId="36" fillId="6" borderId="2" xfId="0" applyNumberFormat="1" applyFont="1" applyFill="1" applyBorder="1" applyAlignment="1">
      <alignment horizontal="center" vertical="center"/>
    </xf>
    <xf numFmtId="2" fontId="32" fillId="6" borderId="2" xfId="0" applyNumberFormat="1" applyFont="1" applyFill="1" applyBorder="1" applyAlignment="1">
      <alignment horizontal="center"/>
    </xf>
    <xf numFmtId="166" fontId="32" fillId="6" borderId="118" xfId="0" applyNumberFormat="1" applyFont="1" applyFill="1" applyBorder="1" applyAlignment="1">
      <alignment horizontal="center"/>
    </xf>
    <xf numFmtId="2" fontId="36" fillId="6" borderId="60" xfId="0" applyNumberFormat="1" applyFont="1" applyFill="1" applyBorder="1" applyAlignment="1">
      <alignment horizontal="center" vertical="center"/>
    </xf>
    <xf numFmtId="2" fontId="32" fillId="6" borderId="60" xfId="0" applyNumberFormat="1" applyFont="1" applyFill="1" applyBorder="1" applyAlignment="1">
      <alignment horizontal="center"/>
    </xf>
    <xf numFmtId="166" fontId="32" fillId="6" borderId="119" xfId="0" applyNumberFormat="1" applyFont="1" applyFill="1" applyBorder="1" applyAlignment="1">
      <alignment horizontal="center"/>
    </xf>
    <xf numFmtId="2" fontId="27" fillId="7" borderId="2" xfId="0" applyNumberFormat="1" applyFont="1" applyFill="1" applyBorder="1" applyAlignment="1">
      <alignment horizontal="center" vertical="center"/>
    </xf>
    <xf numFmtId="2" fontId="27" fillId="7" borderId="2" xfId="0" applyNumberFormat="1" applyFont="1" applyFill="1" applyBorder="1" applyAlignment="1">
      <alignment horizontal="center"/>
    </xf>
    <xf numFmtId="166" fontId="27" fillId="7" borderId="118" xfId="0" applyNumberFormat="1" applyFont="1" applyFill="1" applyBorder="1" applyAlignment="1">
      <alignment horizontal="center"/>
    </xf>
    <xf numFmtId="2" fontId="6" fillId="29" borderId="58" xfId="0" applyNumberFormat="1" applyFont="1" applyFill="1" applyBorder="1" applyAlignment="1">
      <alignment horizontal="center"/>
    </xf>
    <xf numFmtId="166" fontId="6" fillId="29" borderId="64" xfId="0" applyNumberFormat="1" applyFont="1" applyFill="1" applyBorder="1" applyAlignment="1">
      <alignment horizontal="center"/>
    </xf>
    <xf numFmtId="2" fontId="6" fillId="29" borderId="57" xfId="0" applyNumberFormat="1" applyFont="1" applyFill="1" applyBorder="1" applyAlignment="1">
      <alignment horizontal="center"/>
    </xf>
    <xf numFmtId="2" fontId="4" fillId="6" borderId="60" xfId="0" applyNumberFormat="1" applyFont="1" applyFill="1" applyBorder="1" applyAlignment="1">
      <alignment horizontal="center"/>
    </xf>
    <xf numFmtId="0" fontId="39" fillId="0" borderId="0" xfId="0" applyFont="1"/>
    <xf numFmtId="0" fontId="4" fillId="19" borderId="3" xfId="0" applyFont="1" applyFill="1" applyBorder="1" applyAlignment="1">
      <alignment horizontal="left" vertical="center"/>
    </xf>
    <xf numFmtId="0" fontId="4" fillId="19" borderId="4" xfId="0" applyFont="1" applyFill="1" applyBorder="1" applyAlignment="1">
      <alignment horizontal="left" vertical="center"/>
    </xf>
    <xf numFmtId="2" fontId="6" fillId="6" borderId="58" xfId="0" applyNumberFormat="1" applyFont="1" applyFill="1" applyBorder="1" applyAlignment="1">
      <alignment horizontal="center"/>
    </xf>
    <xf numFmtId="166" fontId="6" fillId="6" borderId="107" xfId="0" applyNumberFormat="1" applyFont="1" applyFill="1" applyBorder="1" applyAlignment="1">
      <alignment horizontal="center"/>
    </xf>
    <xf numFmtId="2" fontId="4" fillId="6" borderId="57" xfId="0" applyNumberFormat="1" applyFont="1" applyFill="1" applyBorder="1" applyAlignment="1">
      <alignment horizontal="center"/>
    </xf>
    <xf numFmtId="2" fontId="4" fillId="6" borderId="46" xfId="0" applyNumberFormat="1" applyFont="1" applyFill="1" applyBorder="1" applyAlignment="1">
      <alignment horizontal="center"/>
    </xf>
    <xf numFmtId="2" fontId="43" fillId="0" borderId="67" xfId="0" applyNumberFormat="1" applyFont="1" applyBorder="1" applyAlignment="1">
      <alignment horizontal="center"/>
    </xf>
    <xf numFmtId="2" fontId="43" fillId="0" borderId="68" xfId="0" applyNumberFormat="1" applyFont="1" applyBorder="1" applyAlignment="1">
      <alignment horizontal="center"/>
    </xf>
    <xf numFmtId="2" fontId="44" fillId="0" borderId="23" xfId="0" applyNumberFormat="1" applyFont="1" applyBorder="1" applyAlignment="1">
      <alignment horizontal="center"/>
    </xf>
    <xf numFmtId="0" fontId="43" fillId="0" borderId="68" xfId="0" applyFont="1" applyBorder="1" applyAlignment="1">
      <alignment horizontal="center"/>
    </xf>
    <xf numFmtId="0" fontId="21" fillId="3" borderId="24" xfId="3" applyFont="1" applyFill="1" applyBorder="1" applyAlignment="1">
      <alignment horizontal="center"/>
    </xf>
    <xf numFmtId="2" fontId="45" fillId="3" borderId="27" xfId="3" applyNumberFormat="1" applyFont="1" applyFill="1" applyBorder="1" applyAlignment="1">
      <alignment horizontal="center"/>
    </xf>
    <xf numFmtId="2" fontId="21" fillId="3" borderId="69" xfId="3" applyNumberFormat="1" applyFont="1" applyFill="1" applyBorder="1"/>
    <xf numFmtId="2" fontId="4" fillId="0" borderId="0" xfId="0" applyNumberFormat="1" applyFont="1" applyAlignment="1">
      <alignment horizontal="left" vertical="center"/>
    </xf>
    <xf numFmtId="166" fontId="4" fillId="0" borderId="0" xfId="0" applyNumberFormat="1" applyFont="1" applyAlignment="1">
      <alignment horizontal="left"/>
    </xf>
    <xf numFmtId="0" fontId="0" fillId="0" borderId="10" xfId="0" applyBorder="1"/>
    <xf numFmtId="0" fontId="4" fillId="19" borderId="114" xfId="0" applyFont="1" applyFill="1" applyBorder="1" applyAlignment="1">
      <alignment horizontal="left" vertical="center"/>
    </xf>
    <xf numFmtId="0" fontId="33" fillId="11" borderId="32" xfId="0" applyFont="1" applyFill="1" applyBorder="1"/>
    <xf numFmtId="0" fontId="33" fillId="11" borderId="63" xfId="0" applyFont="1" applyFill="1" applyBorder="1"/>
    <xf numFmtId="1" fontId="33" fillId="11" borderId="58" xfId="0" applyNumberFormat="1" applyFont="1" applyFill="1" applyBorder="1" applyAlignment="1">
      <alignment horizontal="center"/>
    </xf>
    <xf numFmtId="2" fontId="34" fillId="11" borderId="32" xfId="0" applyNumberFormat="1" applyFont="1" applyFill="1" applyBorder="1" applyAlignment="1">
      <alignment horizontal="center"/>
    </xf>
    <xf numFmtId="2" fontId="38" fillId="26" borderId="58" xfId="0" applyNumberFormat="1" applyFont="1" applyFill="1" applyBorder="1" applyAlignment="1">
      <alignment horizontal="center"/>
    </xf>
    <xf numFmtId="166" fontId="34" fillId="11" borderId="61" xfId="0" applyNumberFormat="1" applyFont="1" applyFill="1" applyBorder="1" applyAlignment="1">
      <alignment horizontal="center"/>
    </xf>
    <xf numFmtId="166" fontId="41" fillId="8" borderId="107" xfId="0" applyNumberFormat="1" applyFont="1" applyFill="1" applyBorder="1" applyAlignment="1">
      <alignment horizontal="center"/>
    </xf>
    <xf numFmtId="2" fontId="4" fillId="6" borderId="56" xfId="0" applyNumberFormat="1" applyFont="1" applyFill="1" applyBorder="1" applyAlignment="1">
      <alignment horizontal="center"/>
    </xf>
    <xf numFmtId="166" fontId="17" fillId="8" borderId="119" xfId="0" applyNumberFormat="1" applyFont="1" applyFill="1" applyBorder="1" applyAlignment="1">
      <alignment horizontal="center"/>
    </xf>
    <xf numFmtId="0" fontId="4" fillId="17" borderId="31" xfId="0" applyFont="1" applyFill="1" applyBorder="1" applyAlignment="1">
      <alignment vertical="center"/>
    </xf>
    <xf numFmtId="171" fontId="6" fillId="0" borderId="67" xfId="0" applyNumberFormat="1" applyFont="1" applyBorder="1" applyAlignment="1">
      <alignment horizontal="center" vertical="center"/>
    </xf>
    <xf numFmtId="0" fontId="4" fillId="32" borderId="23" xfId="0" applyFont="1" applyFill="1" applyBorder="1" applyAlignment="1">
      <alignment vertical="center"/>
    </xf>
    <xf numFmtId="171" fontId="6" fillId="0" borderId="68" xfId="0" applyNumberFormat="1" applyFont="1" applyBorder="1" applyAlignment="1">
      <alignment horizontal="center" vertical="center"/>
    </xf>
    <xf numFmtId="0" fontId="43" fillId="6" borderId="31" xfId="0" applyFont="1" applyFill="1" applyBorder="1" applyAlignment="1">
      <alignment horizontal="center"/>
    </xf>
    <xf numFmtId="0" fontId="4" fillId="31" borderId="23" xfId="0" applyFont="1" applyFill="1" applyBorder="1" applyAlignment="1">
      <alignment vertical="center"/>
    </xf>
    <xf numFmtId="0" fontId="43" fillId="31" borderId="23" xfId="0" applyFont="1" applyFill="1" applyBorder="1" applyAlignment="1">
      <alignment horizontal="center"/>
    </xf>
    <xf numFmtId="0" fontId="4" fillId="20" borderId="24" xfId="0" applyFont="1" applyFill="1" applyBorder="1" applyAlignment="1">
      <alignment vertical="center"/>
    </xf>
    <xf numFmtId="171" fontId="6" fillId="0" borderId="69" xfId="0" applyNumberFormat="1" applyFont="1" applyBorder="1" applyAlignment="1">
      <alignment horizontal="center" vertical="center"/>
    </xf>
    <xf numFmtId="0" fontId="47" fillId="10" borderId="68" xfId="0" applyFont="1" applyFill="1" applyBorder="1" applyAlignment="1">
      <alignment horizontal="center"/>
    </xf>
    <xf numFmtId="0" fontId="48" fillId="7" borderId="69" xfId="0" applyFont="1" applyFill="1" applyBorder="1" applyAlignment="1">
      <alignment horizontal="center"/>
    </xf>
    <xf numFmtId="0" fontId="43" fillId="10" borderId="23" xfId="0" applyFont="1" applyFill="1" applyBorder="1" applyAlignment="1">
      <alignment horizontal="center"/>
    </xf>
    <xf numFmtId="0" fontId="43" fillId="19" borderId="23" xfId="0" applyFont="1" applyFill="1" applyBorder="1" applyAlignment="1">
      <alignment horizontal="center"/>
    </xf>
    <xf numFmtId="2" fontId="6" fillId="0" borderId="121" xfId="0" applyNumberFormat="1" applyFont="1" applyBorder="1" applyAlignment="1">
      <alignment horizontal="center"/>
    </xf>
    <xf numFmtId="166" fontId="6" fillId="29" borderId="109" xfId="0" applyNumberFormat="1" applyFont="1" applyFill="1" applyBorder="1" applyAlignment="1">
      <alignment horizontal="center"/>
    </xf>
    <xf numFmtId="0" fontId="6" fillId="0" borderId="11" xfId="0" applyFont="1" applyBorder="1"/>
    <xf numFmtId="0" fontId="9" fillId="0" borderId="126" xfId="0" applyFont="1" applyBorder="1" applyAlignment="1">
      <alignment horizontal="center" vertical="center"/>
    </xf>
    <xf numFmtId="0" fontId="9" fillId="0" borderId="126" xfId="0" applyFont="1" applyBorder="1" applyAlignment="1">
      <alignment horizontal="center"/>
    </xf>
    <xf numFmtId="4" fontId="4" fillId="25" borderId="114" xfId="1" applyFont="1" applyFill="1" applyBorder="1" applyAlignment="1">
      <alignment horizontal="center"/>
    </xf>
    <xf numFmtId="0" fontId="17" fillId="0" borderId="0" xfId="0" applyFont="1"/>
    <xf numFmtId="168" fontId="6" fillId="0" borderId="0" xfId="0" applyNumberFormat="1" applyFont="1" applyAlignment="1">
      <alignment horizont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/>
    </xf>
    <xf numFmtId="2" fontId="6" fillId="8" borderId="2" xfId="0" applyNumberFormat="1" applyFont="1" applyFill="1" applyBorder="1" applyAlignment="1">
      <alignment horizontal="center"/>
    </xf>
    <xf numFmtId="166" fontId="6" fillId="8" borderId="1" xfId="0" applyNumberFormat="1" applyFont="1" applyFill="1" applyBorder="1" applyAlignment="1">
      <alignment horizontal="center"/>
    </xf>
    <xf numFmtId="2" fontId="6" fillId="0" borderId="0" xfId="0" applyNumberFormat="1" applyFont="1"/>
    <xf numFmtId="0" fontId="4" fillId="8" borderId="9" xfId="0" applyFont="1" applyFill="1" applyBorder="1" applyAlignment="1">
      <alignment horizontal="center"/>
    </xf>
    <xf numFmtId="0" fontId="28" fillId="0" borderId="2" xfId="0" applyFont="1" applyBorder="1" applyAlignment="1">
      <alignment horizontal="center"/>
    </xf>
    <xf numFmtId="2" fontId="28" fillId="0" borderId="121" xfId="0" applyNumberFormat="1" applyFont="1" applyBorder="1" applyAlignment="1">
      <alignment horizontal="center"/>
    </xf>
    <xf numFmtId="2" fontId="28" fillId="0" borderId="2" xfId="0" applyNumberFormat="1" applyFont="1" applyBorder="1" applyAlignment="1">
      <alignment horizontal="center"/>
    </xf>
    <xf numFmtId="166" fontId="28" fillId="0" borderId="1" xfId="0" applyNumberFormat="1" applyFont="1" applyBorder="1" applyAlignment="1">
      <alignment horizontal="center"/>
    </xf>
    <xf numFmtId="0" fontId="4" fillId="9" borderId="137" xfId="0" applyFont="1" applyFill="1" applyBorder="1" applyAlignment="1">
      <alignment horizontal="center" vertical="center"/>
    </xf>
    <xf numFmtId="0" fontId="0" fillId="0" borderId="141" xfId="0" applyBorder="1"/>
    <xf numFmtId="0" fontId="0" fillId="0" borderId="142" xfId="0" applyBorder="1"/>
    <xf numFmtId="2" fontId="6" fillId="0" borderId="0" xfId="0" applyNumberFormat="1" applyFont="1" applyAlignment="1">
      <alignment horizontal="center" vertical="center"/>
    </xf>
    <xf numFmtId="2" fontId="4" fillId="0" borderId="0" xfId="0" applyNumberFormat="1" applyFont="1" applyAlignment="1">
      <alignment horizontal="center" vertical="center"/>
    </xf>
    <xf numFmtId="0" fontId="47" fillId="10" borderId="23" xfId="0" applyFont="1" applyFill="1" applyBorder="1" applyAlignment="1">
      <alignment horizontal="center"/>
    </xf>
    <xf numFmtId="0" fontId="47" fillId="19" borderId="23" xfId="0" applyFont="1" applyFill="1" applyBorder="1" applyAlignment="1">
      <alignment horizontal="center"/>
    </xf>
    <xf numFmtId="0" fontId="28" fillId="0" borderId="9" xfId="0" applyFont="1" applyBorder="1"/>
    <xf numFmtId="0" fontId="28" fillId="0" borderId="10" xfId="0" applyFont="1" applyBorder="1"/>
    <xf numFmtId="2" fontId="36" fillId="6" borderId="146" xfId="0" applyNumberFormat="1" applyFont="1" applyFill="1" applyBorder="1" applyAlignment="1">
      <alignment horizontal="center" vertical="center"/>
    </xf>
    <xf numFmtId="2" fontId="36" fillId="6" borderId="144" xfId="0" applyNumberFormat="1" applyFont="1" applyFill="1" applyBorder="1" applyAlignment="1">
      <alignment horizontal="center" vertical="center"/>
    </xf>
    <xf numFmtId="0" fontId="31" fillId="0" borderId="0" xfId="0" applyFont="1"/>
    <xf numFmtId="1" fontId="55" fillId="0" borderId="0" xfId="0" applyNumberFormat="1" applyFont="1"/>
    <xf numFmtId="0" fontId="9" fillId="6" borderId="126" xfId="0" applyFont="1" applyFill="1" applyBorder="1" applyAlignment="1">
      <alignment horizontal="center" vertical="center"/>
    </xf>
    <xf numFmtId="0" fontId="9" fillId="6" borderId="126" xfId="0" applyFont="1" applyFill="1" applyBorder="1" applyAlignment="1">
      <alignment horizontal="center"/>
    </xf>
    <xf numFmtId="0" fontId="9" fillId="27" borderId="126" xfId="0" applyFont="1" applyFill="1" applyBorder="1" applyAlignment="1">
      <alignment horizontal="center" vertical="center"/>
    </xf>
    <xf numFmtId="0" fontId="9" fillId="27" borderId="126" xfId="0" applyFont="1" applyFill="1" applyBorder="1" applyAlignment="1">
      <alignment horizontal="center"/>
    </xf>
    <xf numFmtId="0" fontId="49" fillId="0" borderId="0" xfId="0" applyFont="1" applyAlignment="1">
      <alignment horizontal="center" vertical="center" wrapText="1"/>
    </xf>
    <xf numFmtId="2" fontId="53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center" wrapText="1"/>
    </xf>
    <xf numFmtId="172" fontId="57" fillId="28" borderId="4" xfId="0" applyNumberFormat="1" applyFont="1" applyFill="1" applyBorder="1" applyAlignment="1">
      <alignment horizontal="center" vertical="center"/>
    </xf>
    <xf numFmtId="0" fontId="57" fillId="28" borderId="3" xfId="0" applyFont="1" applyFill="1" applyBorder="1" applyAlignment="1">
      <alignment horizontal="right" vertical="center"/>
    </xf>
    <xf numFmtId="3" fontId="1" fillId="19" borderId="68" xfId="0" applyNumberFormat="1" applyFont="1" applyFill="1" applyBorder="1" applyAlignment="1">
      <alignment horizontal="center"/>
    </xf>
    <xf numFmtId="0" fontId="47" fillId="29" borderId="68" xfId="0" applyFont="1" applyFill="1" applyBorder="1" applyAlignment="1">
      <alignment horizontal="center"/>
    </xf>
    <xf numFmtId="0" fontId="47" fillId="20" borderId="68" xfId="0" applyFont="1" applyFill="1" applyBorder="1" applyAlignment="1">
      <alignment horizontal="center"/>
    </xf>
    <xf numFmtId="0" fontId="43" fillId="20" borderId="23" xfId="0" applyFont="1" applyFill="1" applyBorder="1" applyAlignment="1">
      <alignment horizontal="center"/>
    </xf>
    <xf numFmtId="0" fontId="43" fillId="29" borderId="23" xfId="0" applyFont="1" applyFill="1" applyBorder="1" applyAlignment="1">
      <alignment horizontal="center"/>
    </xf>
    <xf numFmtId="0" fontId="39" fillId="0" borderId="0" xfId="0" applyFont="1" applyAlignment="1">
      <alignment horizontal="center"/>
    </xf>
    <xf numFmtId="4" fontId="39" fillId="0" borderId="0" xfId="0" applyNumberFormat="1" applyFont="1" applyAlignment="1">
      <alignment horizontal="center"/>
    </xf>
    <xf numFmtId="4" fontId="39" fillId="0" borderId="0" xfId="0" applyNumberFormat="1" applyFont="1" applyAlignment="1">
      <alignment vertical="center" wrapText="1"/>
    </xf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/>
    </xf>
    <xf numFmtId="4" fontId="0" fillId="0" borderId="27" xfId="0" applyNumberFormat="1" applyBorder="1" applyAlignment="1">
      <alignment horizontal="center"/>
    </xf>
    <xf numFmtId="4" fontId="0" fillId="0" borderId="7" xfId="0" applyNumberFormat="1" applyBorder="1" applyAlignment="1">
      <alignment horizontal="center"/>
    </xf>
    <xf numFmtId="0" fontId="0" fillId="0" borderId="23" xfId="0" applyBorder="1" applyAlignment="1">
      <alignment horizontal="center"/>
    </xf>
    <xf numFmtId="0" fontId="47" fillId="31" borderId="120" xfId="0" applyFont="1" applyFill="1" applyBorder="1" applyAlignment="1">
      <alignment horizontal="center"/>
    </xf>
    <xf numFmtId="0" fontId="47" fillId="30" borderId="23" xfId="0" applyFont="1" applyFill="1" applyBorder="1" applyAlignment="1">
      <alignment horizontal="center"/>
    </xf>
    <xf numFmtId="0" fontId="47" fillId="29" borderId="21" xfId="0" applyFont="1" applyFill="1" applyBorder="1" applyAlignment="1">
      <alignment horizontal="center"/>
    </xf>
    <xf numFmtId="0" fontId="47" fillId="20" borderId="21" xfId="0" applyFont="1" applyFill="1" applyBorder="1" applyAlignment="1">
      <alignment horizontal="center"/>
    </xf>
    <xf numFmtId="0" fontId="48" fillId="7" borderId="65" xfId="0" applyFont="1" applyFill="1" applyBorder="1" applyAlignment="1">
      <alignment horizontal="center"/>
    </xf>
    <xf numFmtId="0" fontId="43" fillId="0" borderId="7" xfId="0" applyFont="1" applyBorder="1" applyAlignment="1">
      <alignment horizontal="center"/>
    </xf>
    <xf numFmtId="0" fontId="43" fillId="0" borderId="19" xfId="0" applyFont="1" applyBorder="1" applyAlignment="1">
      <alignment horizontal="center"/>
    </xf>
    <xf numFmtId="4" fontId="56" fillId="0" borderId="23" xfId="0" applyNumberFormat="1" applyFont="1" applyBorder="1" applyAlignment="1">
      <alignment horizontal="center"/>
    </xf>
    <xf numFmtId="4" fontId="44" fillId="0" borderId="23" xfId="0" applyNumberFormat="1" applyFont="1" applyBorder="1" applyAlignment="1">
      <alignment horizontal="center"/>
    </xf>
    <xf numFmtId="4" fontId="44" fillId="0" borderId="31" xfId="0" applyNumberFormat="1" applyFont="1" applyBorder="1" applyAlignment="1">
      <alignment horizontal="center"/>
    </xf>
    <xf numFmtId="0" fontId="47" fillId="6" borderId="31" xfId="0" applyFont="1" applyFill="1" applyBorder="1" applyAlignment="1">
      <alignment horizontal="center" vertical="center" wrapText="1"/>
    </xf>
    <xf numFmtId="1" fontId="51" fillId="0" borderId="0" xfId="0" applyNumberFormat="1" applyFont="1" applyAlignment="1">
      <alignment horizontal="center" vertical="center" wrapText="1"/>
    </xf>
    <xf numFmtId="0" fontId="43" fillId="6" borderId="108" xfId="0" applyFont="1" applyFill="1" applyBorder="1" applyAlignment="1">
      <alignment horizontal="center"/>
    </xf>
    <xf numFmtId="4" fontId="43" fillId="6" borderId="109" xfId="0" applyNumberFormat="1" applyFont="1" applyFill="1" applyBorder="1" applyAlignment="1">
      <alignment horizontal="center"/>
    </xf>
    <xf numFmtId="0" fontId="1" fillId="6" borderId="4" xfId="0" applyFont="1" applyFill="1" applyBorder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0" fontId="47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48" fillId="0" borderId="0" xfId="0" applyFont="1" applyAlignment="1">
      <alignment horizontal="center"/>
    </xf>
    <xf numFmtId="4" fontId="44" fillId="20" borderId="7" xfId="0" applyNumberFormat="1" applyFont="1" applyFill="1" applyBorder="1" applyAlignment="1">
      <alignment horizontal="center"/>
    </xf>
    <xf numFmtId="4" fontId="44" fillId="29" borderId="7" xfId="0" applyNumberFormat="1" applyFont="1" applyFill="1" applyBorder="1" applyAlignment="1">
      <alignment horizontal="center"/>
    </xf>
    <xf numFmtId="4" fontId="44" fillId="19" borderId="7" xfId="0" applyNumberFormat="1" applyFont="1" applyFill="1" applyBorder="1" applyAlignment="1">
      <alignment horizontal="center"/>
    </xf>
    <xf numFmtId="4" fontId="44" fillId="10" borderId="7" xfId="0" applyNumberFormat="1" applyFont="1" applyFill="1" applyBorder="1" applyAlignment="1">
      <alignment horizontal="center"/>
    </xf>
    <xf numFmtId="4" fontId="44" fillId="31" borderId="7" xfId="0" applyNumberFormat="1" applyFont="1" applyFill="1" applyBorder="1" applyAlignment="1">
      <alignment horizontal="center"/>
    </xf>
    <xf numFmtId="4" fontId="43" fillId="6" borderId="19" xfId="0" applyNumberFormat="1" applyFont="1" applyFill="1" applyBorder="1" applyAlignment="1">
      <alignment horizontal="center"/>
    </xf>
    <xf numFmtId="0" fontId="1" fillId="6" borderId="67" xfId="0" applyFont="1" applyFill="1" applyBorder="1" applyAlignment="1">
      <alignment horizontal="center" vertical="center" wrapText="1"/>
    </xf>
    <xf numFmtId="0" fontId="1" fillId="29" borderId="135" xfId="0" applyFont="1" applyFill="1" applyBorder="1" applyAlignment="1">
      <alignment horizontal="center" vertical="center"/>
    </xf>
    <xf numFmtId="0" fontId="4" fillId="29" borderId="130" xfId="0" applyFont="1" applyFill="1" applyBorder="1" applyAlignment="1">
      <alignment horizontal="center" vertical="center" wrapText="1"/>
    </xf>
    <xf numFmtId="0" fontId="54" fillId="0" borderId="0" xfId="0" applyFont="1"/>
    <xf numFmtId="2" fontId="9" fillId="0" borderId="126" xfId="0" applyNumberFormat="1" applyFont="1" applyBorder="1" applyAlignment="1">
      <alignment horizontal="center" vertical="center"/>
    </xf>
    <xf numFmtId="164" fontId="6" fillId="0" borderId="0" xfId="0" applyNumberFormat="1" applyFont="1" applyAlignment="1">
      <alignment horizontal="left"/>
    </xf>
    <xf numFmtId="164" fontId="4" fillId="0" borderId="0" xfId="0" applyNumberFormat="1" applyFont="1" applyAlignment="1">
      <alignment horizontal="left"/>
    </xf>
    <xf numFmtId="171" fontId="40" fillId="0" borderId="10" xfId="0" applyNumberFormat="1" applyFont="1" applyBorder="1" applyAlignment="1">
      <alignment horizontal="left" vertical="center"/>
    </xf>
    <xf numFmtId="2" fontId="21" fillId="0" borderId="0" xfId="2" applyNumberFormat="1" applyFont="1"/>
    <xf numFmtId="166" fontId="30" fillId="15" borderId="64" xfId="0" applyNumberFormat="1" applyFont="1" applyFill="1" applyBorder="1" applyAlignment="1">
      <alignment horizontal="center"/>
    </xf>
    <xf numFmtId="0" fontId="9" fillId="0" borderId="9" xfId="0" applyFont="1" applyBorder="1" applyAlignment="1">
      <alignment horizontal="center" wrapText="1"/>
    </xf>
    <xf numFmtId="0" fontId="51" fillId="0" borderId="44" xfId="0" applyFont="1" applyBorder="1" applyAlignment="1">
      <alignment vertical="center"/>
    </xf>
    <xf numFmtId="2" fontId="4" fillId="11" borderId="0" xfId="0" applyNumberFormat="1" applyFont="1" applyFill="1" applyAlignment="1">
      <alignment horizontal="center" vertical="center"/>
    </xf>
    <xf numFmtId="166" fontId="4" fillId="11" borderId="10" xfId="0" applyNumberFormat="1" applyFont="1" applyFill="1" applyBorder="1" applyAlignment="1">
      <alignment horizontal="center" vertical="center"/>
    </xf>
    <xf numFmtId="2" fontId="6" fillId="6" borderId="2" xfId="0" applyNumberFormat="1" applyFont="1" applyFill="1" applyBorder="1" applyAlignment="1">
      <alignment horizontal="center"/>
    </xf>
    <xf numFmtId="2" fontId="6" fillId="6" borderId="60" xfId="0" applyNumberFormat="1" applyFont="1" applyFill="1" applyBorder="1" applyAlignment="1">
      <alignment horizontal="center"/>
    </xf>
    <xf numFmtId="0" fontId="40" fillId="0" borderId="9" xfId="0" applyFont="1" applyBorder="1" applyAlignment="1">
      <alignment horizontal="right" vertical="center"/>
    </xf>
    <xf numFmtId="2" fontId="6" fillId="19" borderId="2" xfId="0" applyNumberFormat="1" applyFont="1" applyFill="1" applyBorder="1" applyAlignment="1">
      <alignment horizontal="center" vertical="center"/>
    </xf>
    <xf numFmtId="2" fontId="4" fillId="19" borderId="56" xfId="0" applyNumberFormat="1" applyFont="1" applyFill="1" applyBorder="1" applyAlignment="1">
      <alignment horizontal="center" vertical="center"/>
    </xf>
    <xf numFmtId="166" fontId="4" fillId="19" borderId="11" xfId="0" applyNumberFormat="1" applyFont="1" applyFill="1" applyBorder="1" applyAlignment="1">
      <alignment horizontal="center" vertical="center"/>
    </xf>
    <xf numFmtId="0" fontId="47" fillId="6" borderId="17" xfId="0" applyFont="1" applyFill="1" applyBorder="1" applyAlignment="1">
      <alignment horizontal="center" vertical="center" wrapText="1"/>
    </xf>
    <xf numFmtId="0" fontId="47" fillId="31" borderId="54" xfId="0" applyFont="1" applyFill="1" applyBorder="1" applyAlignment="1">
      <alignment horizontal="center"/>
    </xf>
    <xf numFmtId="0" fontId="47" fillId="30" borderId="5" xfId="0" applyFont="1" applyFill="1" applyBorder="1" applyAlignment="1">
      <alignment horizontal="center"/>
    </xf>
    <xf numFmtId="4" fontId="44" fillId="0" borderId="48" xfId="0" applyNumberFormat="1" applyFont="1" applyBorder="1" applyAlignment="1">
      <alignment horizontal="center" vertical="center" wrapText="1"/>
    </xf>
    <xf numFmtId="4" fontId="44" fillId="0" borderId="1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4" fillId="9" borderId="143" xfId="0" applyFont="1" applyFill="1" applyBorder="1" applyAlignment="1">
      <alignment horizontal="center" vertical="center"/>
    </xf>
    <xf numFmtId="0" fontId="0" fillId="0" borderId="37" xfId="0" applyBorder="1"/>
    <xf numFmtId="0" fontId="0" fillId="0" borderId="132" xfId="0" applyBorder="1"/>
    <xf numFmtId="4" fontId="0" fillId="0" borderId="17" xfId="0" applyNumberFormat="1" applyBorder="1" applyAlignment="1">
      <alignment horizontal="center"/>
    </xf>
    <xf numFmtId="4" fontId="0" fillId="0" borderId="25" xfId="0" applyNumberFormat="1" applyBorder="1" applyAlignment="1">
      <alignment horizontal="center"/>
    </xf>
    <xf numFmtId="2" fontId="21" fillId="17" borderId="7" xfId="3" applyNumberFormat="1" applyFont="1" applyFill="1" applyBorder="1" applyAlignment="1">
      <alignment horizontal="center" vertical="center"/>
    </xf>
    <xf numFmtId="4" fontId="1" fillId="9" borderId="7" xfId="0" applyNumberFormat="1" applyFont="1" applyFill="1" applyBorder="1" applyAlignment="1">
      <alignment horizontal="center"/>
    </xf>
    <xf numFmtId="2" fontId="4" fillId="9" borderId="5" xfId="0" applyNumberFormat="1" applyFont="1" applyFill="1" applyBorder="1" applyAlignment="1">
      <alignment horizontal="center" vertical="center"/>
    </xf>
    <xf numFmtId="2" fontId="4" fillId="9" borderId="7" xfId="0" applyNumberFormat="1" applyFont="1" applyFill="1" applyBorder="1" applyAlignment="1">
      <alignment horizontal="center" vertical="center"/>
    </xf>
    <xf numFmtId="2" fontId="4" fillId="9" borderId="45" xfId="0" applyNumberFormat="1" applyFont="1" applyFill="1" applyBorder="1" applyAlignment="1">
      <alignment horizontal="center" vertical="center"/>
    </xf>
    <xf numFmtId="2" fontId="4" fillId="9" borderId="54" xfId="0" applyNumberFormat="1" applyFont="1" applyFill="1" applyBorder="1" applyAlignment="1">
      <alignment horizontal="center" vertical="center"/>
    </xf>
    <xf numFmtId="4" fontId="1" fillId="34" borderId="149" xfId="0" applyNumberFormat="1" applyFont="1" applyFill="1" applyBorder="1" applyAlignment="1">
      <alignment horizontal="center"/>
    </xf>
    <xf numFmtId="0" fontId="4" fillId="19" borderId="2" xfId="0" applyFont="1" applyFill="1" applyBorder="1" applyAlignment="1">
      <alignment horizontal="center"/>
    </xf>
    <xf numFmtId="2" fontId="6" fillId="19" borderId="121" xfId="0" applyNumberFormat="1" applyFont="1" applyFill="1" applyBorder="1" applyAlignment="1">
      <alignment horizontal="center"/>
    </xf>
    <xf numFmtId="0" fontId="4" fillId="0" borderId="9" xfId="0" applyFont="1" applyBorder="1" applyAlignment="1">
      <alignment horizontal="left" vertical="center"/>
    </xf>
    <xf numFmtId="0" fontId="4" fillId="0" borderId="10" xfId="0" applyFont="1" applyBorder="1" applyAlignment="1">
      <alignment horizontal="left" vertical="center"/>
    </xf>
    <xf numFmtId="173" fontId="0" fillId="0" borderId="0" xfId="0" applyNumberFormat="1"/>
    <xf numFmtId="2" fontId="9" fillId="27" borderId="126" xfId="0" applyNumberFormat="1" applyFont="1" applyFill="1" applyBorder="1" applyAlignment="1">
      <alignment horizontal="center" vertical="center"/>
    </xf>
    <xf numFmtId="0" fontId="40" fillId="23" borderId="46" xfId="0" applyFont="1" applyFill="1" applyBorder="1" applyAlignment="1">
      <alignment horizontal="right" vertical="center"/>
    </xf>
    <xf numFmtId="2" fontId="21" fillId="3" borderId="0" xfId="2" applyNumberFormat="1" applyFont="1" applyFill="1"/>
    <xf numFmtId="2" fontId="18" fillId="0" borderId="0" xfId="2" applyNumberFormat="1" applyFont="1"/>
    <xf numFmtId="2" fontId="6" fillId="0" borderId="23" xfId="0" applyNumberFormat="1" applyFont="1" applyBorder="1" applyAlignment="1">
      <alignment horizontal="center" vertical="center"/>
    </xf>
    <xf numFmtId="4" fontId="18" fillId="0" borderId="0" xfId="2" applyNumberFormat="1" applyFont="1"/>
    <xf numFmtId="2" fontId="9" fillId="0" borderId="9" xfId="0" applyNumberFormat="1" applyFont="1" applyBorder="1" applyAlignment="1">
      <alignment horizontal="center" wrapText="1"/>
    </xf>
    <xf numFmtId="0" fontId="1" fillId="17" borderId="3" xfId="0" applyFont="1" applyFill="1" applyBorder="1" applyAlignment="1">
      <alignment horizontal="left" vertical="center"/>
    </xf>
    <xf numFmtId="171" fontId="4" fillId="0" borderId="114" xfId="0" applyNumberFormat="1" applyFont="1" applyBorder="1" applyAlignment="1">
      <alignment horizontal="center" vertical="center"/>
    </xf>
    <xf numFmtId="2" fontId="17" fillId="0" borderId="126" xfId="0" applyNumberFormat="1" applyFont="1" applyBorder="1" applyAlignment="1">
      <alignment horizontal="center" vertical="center"/>
    </xf>
    <xf numFmtId="0" fontId="6" fillId="0" borderId="55" xfId="0" applyFont="1" applyBorder="1"/>
    <xf numFmtId="171" fontId="1" fillId="17" borderId="4" xfId="0" applyNumberFormat="1" applyFont="1" applyFill="1" applyBorder="1" applyAlignment="1">
      <alignment horizontal="left" vertical="center"/>
    </xf>
    <xf numFmtId="166" fontId="6" fillId="6" borderId="1" xfId="0" applyNumberFormat="1" applyFont="1" applyFill="1" applyBorder="1" applyAlignment="1">
      <alignment horizontal="center"/>
    </xf>
    <xf numFmtId="166" fontId="6" fillId="6" borderId="118" xfId="0" applyNumberFormat="1" applyFont="1" applyFill="1" applyBorder="1" applyAlignment="1">
      <alignment horizontal="center"/>
    </xf>
    <xf numFmtId="0" fontId="0" fillId="0" borderId="12" xfId="0" applyBorder="1"/>
    <xf numFmtId="0" fontId="0" fillId="0" borderId="9" xfId="0" applyBorder="1"/>
    <xf numFmtId="0" fontId="0" fillId="0" borderId="55" xfId="0" applyBorder="1"/>
    <xf numFmtId="166" fontId="6" fillId="6" borderId="119" xfId="0" applyNumberFormat="1" applyFont="1" applyFill="1" applyBorder="1" applyAlignment="1">
      <alignment horizontal="center"/>
    </xf>
    <xf numFmtId="164" fontId="27" fillId="7" borderId="57" xfId="0" applyNumberFormat="1" applyFont="1" applyFill="1" applyBorder="1" applyAlignment="1">
      <alignment horizontal="center"/>
    </xf>
    <xf numFmtId="1" fontId="27" fillId="7" borderId="57" xfId="0" applyNumberFormat="1" applyFont="1" applyFill="1" applyBorder="1" applyAlignment="1">
      <alignment horizontal="center"/>
    </xf>
    <xf numFmtId="2" fontId="27" fillId="7" borderId="58" xfId="0" applyNumberFormat="1" applyFont="1" applyFill="1" applyBorder="1" applyAlignment="1">
      <alignment horizontal="center"/>
    </xf>
    <xf numFmtId="0" fontId="4" fillId="6" borderId="2" xfId="0" applyFont="1" applyFill="1" applyBorder="1" applyAlignment="1">
      <alignment horizontal="center"/>
    </xf>
    <xf numFmtId="2" fontId="6" fillId="6" borderId="0" xfId="0" applyNumberFormat="1" applyFont="1" applyFill="1" applyAlignment="1">
      <alignment horizontal="center" vertical="center"/>
    </xf>
    <xf numFmtId="0" fontId="4" fillId="31" borderId="2" xfId="0" applyFont="1" applyFill="1" applyBorder="1" applyAlignment="1">
      <alignment horizontal="center"/>
    </xf>
    <xf numFmtId="2" fontId="6" fillId="31" borderId="0" xfId="0" applyNumberFormat="1" applyFont="1" applyFill="1" applyAlignment="1">
      <alignment horizontal="center" vertical="center"/>
    </xf>
    <xf numFmtId="2" fontId="6" fillId="31" borderId="2" xfId="0" applyNumberFormat="1" applyFont="1" applyFill="1" applyBorder="1" applyAlignment="1">
      <alignment horizontal="center"/>
    </xf>
    <xf numFmtId="166" fontId="6" fillId="31" borderId="1" xfId="0" applyNumberFormat="1" applyFont="1" applyFill="1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169" fontId="17" fillId="0" borderId="0" xfId="0" applyNumberFormat="1" applyFont="1" applyAlignment="1">
      <alignment horizontal="left"/>
    </xf>
    <xf numFmtId="0" fontId="4" fillId="8" borderId="23" xfId="0" applyFont="1" applyFill="1" applyBorder="1" applyAlignment="1">
      <alignment horizontal="center" vertical="center"/>
    </xf>
    <xf numFmtId="2" fontId="4" fillId="0" borderId="7" xfId="0" applyNumberFormat="1" applyFont="1" applyBorder="1" applyAlignment="1">
      <alignment horizontal="center" vertical="center"/>
    </xf>
    <xf numFmtId="0" fontId="4" fillId="8" borderId="153" xfId="0" applyFont="1" applyFill="1" applyBorder="1" applyAlignment="1">
      <alignment horizontal="center" vertical="center"/>
    </xf>
    <xf numFmtId="2" fontId="4" fillId="0" borderId="154" xfId="0" applyNumberFormat="1" applyFont="1" applyBorder="1" applyAlignment="1">
      <alignment horizontal="center" vertical="center"/>
    </xf>
    <xf numFmtId="0" fontId="4" fillId="9" borderId="23" xfId="0" applyFont="1" applyFill="1" applyBorder="1" applyAlignment="1">
      <alignment horizontal="center" vertical="center"/>
    </xf>
    <xf numFmtId="166" fontId="27" fillId="7" borderId="1" xfId="0" applyNumberFormat="1" applyFont="1" applyFill="1" applyBorder="1" applyAlignment="1">
      <alignment horizontal="center"/>
    </xf>
    <xf numFmtId="0" fontId="0" fillId="6" borderId="9" xfId="0" applyFill="1" applyBorder="1"/>
    <xf numFmtId="0" fontId="6" fillId="0" borderId="10" xfId="0" applyFont="1" applyBorder="1" applyAlignment="1">
      <alignment horizontal="center" vertical="center"/>
    </xf>
    <xf numFmtId="0" fontId="20" fillId="14" borderId="7" xfId="3" applyFont="1" applyFill="1" applyBorder="1" applyAlignment="1">
      <alignment horizontal="center"/>
    </xf>
    <xf numFmtId="1" fontId="27" fillId="11" borderId="63" xfId="0" applyNumberFormat="1" applyFont="1" applyFill="1" applyBorder="1" applyAlignment="1">
      <alignment horizontal="center"/>
    </xf>
    <xf numFmtId="2" fontId="27" fillId="11" borderId="32" xfId="0" applyNumberFormat="1" applyFont="1" applyFill="1" applyBorder="1" applyAlignment="1">
      <alignment horizontal="center"/>
    </xf>
    <xf numFmtId="2" fontId="27" fillId="16" borderId="57" xfId="0" applyNumberFormat="1" applyFont="1" applyFill="1" applyBorder="1" applyAlignment="1">
      <alignment horizontal="center"/>
    </xf>
    <xf numFmtId="2" fontId="27" fillId="11" borderId="58" xfId="0" applyNumberFormat="1" applyFont="1" applyFill="1" applyBorder="1" applyAlignment="1">
      <alignment horizontal="center"/>
    </xf>
    <xf numFmtId="2" fontId="27" fillId="7" borderId="60" xfId="0" applyNumberFormat="1" applyFont="1" applyFill="1" applyBorder="1" applyAlignment="1">
      <alignment horizontal="center"/>
    </xf>
    <xf numFmtId="2" fontId="27" fillId="16" borderId="58" xfId="0" applyNumberFormat="1" applyFont="1" applyFill="1" applyBorder="1" applyAlignment="1">
      <alignment horizontal="center"/>
    </xf>
    <xf numFmtId="2" fontId="27" fillId="7" borderId="47" xfId="0" applyNumberFormat="1" applyFont="1" applyFill="1" applyBorder="1" applyAlignment="1">
      <alignment horizontal="center"/>
    </xf>
    <xf numFmtId="2" fontId="27" fillId="7" borderId="45" xfId="0" applyNumberFormat="1" applyFont="1" applyFill="1" applyBorder="1" applyAlignment="1">
      <alignment horizontal="center"/>
    </xf>
    <xf numFmtId="164" fontId="42" fillId="16" borderId="57" xfId="0" applyNumberFormat="1" applyFont="1" applyFill="1" applyBorder="1" applyAlignment="1">
      <alignment horizontal="center"/>
    </xf>
    <xf numFmtId="0" fontId="6" fillId="0" borderId="12" xfId="0" applyFont="1" applyBorder="1" applyAlignment="1">
      <alignment horizontal="center" vertical="center"/>
    </xf>
    <xf numFmtId="166" fontId="6" fillId="16" borderId="109" xfId="0" applyNumberFormat="1" applyFont="1" applyFill="1" applyBorder="1" applyAlignment="1">
      <alignment horizontal="center"/>
    </xf>
    <xf numFmtId="0" fontId="61" fillId="0" borderId="55" xfId="0" applyFont="1" applyBorder="1" applyAlignment="1">
      <alignment horizontal="right" vertical="center"/>
    </xf>
    <xf numFmtId="172" fontId="57" fillId="0" borderId="11" xfId="0" applyNumberFormat="1" applyFont="1" applyBorder="1" applyAlignment="1">
      <alignment horizontal="center" vertical="center"/>
    </xf>
    <xf numFmtId="0" fontId="43" fillId="0" borderId="9" xfId="0" applyFont="1" applyBorder="1" applyAlignment="1">
      <alignment horizontal="center" vertical="center"/>
    </xf>
    <xf numFmtId="0" fontId="43" fillId="0" borderId="10" xfId="0" applyFont="1" applyBorder="1" applyAlignment="1">
      <alignment horizontal="center" vertical="center"/>
    </xf>
    <xf numFmtId="0" fontId="36" fillId="6" borderId="32" xfId="0" applyFont="1" applyFill="1" applyBorder="1" applyAlignment="1">
      <alignment horizontal="center" vertical="center" wrapText="1"/>
    </xf>
    <xf numFmtId="0" fontId="36" fillId="6" borderId="14" xfId="0" applyFont="1" applyFill="1" applyBorder="1" applyAlignment="1">
      <alignment horizontal="center" vertical="center" wrapText="1"/>
    </xf>
    <xf numFmtId="164" fontId="4" fillId="6" borderId="147" xfId="0" applyNumberFormat="1" applyFont="1" applyFill="1" applyBorder="1" applyAlignment="1">
      <alignment horizontal="left" vertical="center"/>
    </xf>
    <xf numFmtId="164" fontId="4" fillId="6" borderId="144" xfId="0" applyNumberFormat="1" applyFont="1" applyFill="1" applyBorder="1" applyAlignment="1">
      <alignment horizontal="left" vertical="center"/>
    </xf>
    <xf numFmtId="0" fontId="4" fillId="6" borderId="56" xfId="0" applyFont="1" applyFill="1" applyBorder="1" applyAlignment="1">
      <alignment horizontal="center" vertical="center" wrapText="1"/>
    </xf>
    <xf numFmtId="0" fontId="4" fillId="6" borderId="11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43" fillId="0" borderId="8" xfId="0" applyFont="1" applyBorder="1" applyAlignment="1">
      <alignment horizontal="left" vertical="center" textRotation="90" wrapText="1"/>
    </xf>
    <xf numFmtId="0" fontId="43" fillId="0" borderId="12" xfId="0" applyFont="1" applyBorder="1" applyAlignment="1">
      <alignment horizontal="left" vertical="center" textRotation="90" wrapText="1"/>
    </xf>
    <xf numFmtId="0" fontId="43" fillId="0" borderId="13" xfId="0" applyFont="1" applyBorder="1" applyAlignment="1">
      <alignment horizontal="left" vertical="center" textRotation="90" wrapText="1"/>
    </xf>
    <xf numFmtId="0" fontId="0" fillId="0" borderId="151" xfId="0" applyBorder="1" applyAlignment="1">
      <alignment horizontal="center" vertical="center"/>
    </xf>
    <xf numFmtId="0" fontId="0" fillId="0" borderId="150" xfId="0" applyBorder="1" applyAlignment="1">
      <alignment horizontal="center" vertical="center"/>
    </xf>
    <xf numFmtId="0" fontId="0" fillId="0" borderId="152" xfId="0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46" fillId="0" borderId="9" xfId="0" applyFont="1" applyBorder="1" applyAlignment="1">
      <alignment horizontal="center" vertical="center"/>
    </xf>
    <xf numFmtId="0" fontId="46" fillId="0" borderId="10" xfId="0" applyFont="1" applyBorder="1" applyAlignment="1">
      <alignment horizontal="center" vertical="center"/>
    </xf>
    <xf numFmtId="0" fontId="27" fillId="7" borderId="55" xfId="0" applyFont="1" applyFill="1" applyBorder="1" applyAlignment="1">
      <alignment horizontal="center" vertical="center"/>
    </xf>
    <xf numFmtId="0" fontId="27" fillId="7" borderId="11" xfId="0" applyFont="1" applyFill="1" applyBorder="1" applyAlignment="1">
      <alignment horizontal="center" vertical="center"/>
    </xf>
    <xf numFmtId="0" fontId="46" fillId="28" borderId="115" xfId="0" applyFont="1" applyFill="1" applyBorder="1" applyAlignment="1">
      <alignment horizontal="center" vertical="center"/>
    </xf>
    <xf numFmtId="0" fontId="46" fillId="28" borderId="107" xfId="0" applyFont="1" applyFill="1" applyBorder="1" applyAlignment="1">
      <alignment horizontal="center" vertical="center"/>
    </xf>
    <xf numFmtId="0" fontId="43" fillId="18" borderId="3" xfId="0" applyFont="1" applyFill="1" applyBorder="1" applyAlignment="1">
      <alignment horizontal="center" vertical="center"/>
    </xf>
    <xf numFmtId="0" fontId="43" fillId="18" borderId="4" xfId="0" applyFont="1" applyFill="1" applyBorder="1" applyAlignment="1">
      <alignment horizontal="center" vertical="center"/>
    </xf>
    <xf numFmtId="0" fontId="27" fillId="7" borderId="136" xfId="0" applyFont="1" applyFill="1" applyBorder="1" applyAlignment="1">
      <alignment horizontal="center" vertical="center" wrapText="1"/>
    </xf>
    <xf numFmtId="0" fontId="27" fillId="7" borderId="137" xfId="0" applyFont="1" applyFill="1" applyBorder="1" applyAlignment="1">
      <alignment horizontal="center" vertical="center" wrapText="1"/>
    </xf>
    <xf numFmtId="0" fontId="27" fillId="7" borderId="138" xfId="0" applyFont="1" applyFill="1" applyBorder="1" applyAlignment="1">
      <alignment horizontal="center" vertical="center" wrapText="1"/>
    </xf>
    <xf numFmtId="0" fontId="1" fillId="6" borderId="139" xfId="0" applyFont="1" applyFill="1" applyBorder="1" applyAlignment="1">
      <alignment horizontal="center" vertical="center" textRotation="90" wrapText="1"/>
    </xf>
    <xf numFmtId="0" fontId="1" fillId="6" borderId="5" xfId="0" applyFont="1" applyFill="1" applyBorder="1" applyAlignment="1">
      <alignment horizontal="center" vertical="center" textRotation="90" wrapText="1"/>
    </xf>
    <xf numFmtId="0" fontId="1" fillId="6" borderId="140" xfId="0" applyFont="1" applyFill="1" applyBorder="1" applyAlignment="1">
      <alignment horizontal="center" vertical="center" textRotation="90" wrapText="1"/>
    </xf>
    <xf numFmtId="164" fontId="4" fillId="6" borderId="145" xfId="0" applyNumberFormat="1" applyFont="1" applyFill="1" applyBorder="1" applyAlignment="1">
      <alignment horizontal="left" vertical="center"/>
    </xf>
    <xf numFmtId="164" fontId="4" fillId="6" borderId="146" xfId="0" applyNumberFormat="1" applyFont="1" applyFill="1" applyBorder="1" applyAlignment="1">
      <alignment horizontal="left" vertical="center"/>
    </xf>
    <xf numFmtId="164" fontId="4" fillId="6" borderId="116" xfId="0" applyNumberFormat="1" applyFont="1" applyFill="1" applyBorder="1" applyAlignment="1">
      <alignment horizontal="left" vertical="center"/>
    </xf>
    <xf numFmtId="164" fontId="4" fillId="6" borderId="2" xfId="0" applyNumberFormat="1" applyFont="1" applyFill="1" applyBorder="1" applyAlignment="1">
      <alignment horizontal="left" vertical="center"/>
    </xf>
    <xf numFmtId="164" fontId="27" fillId="7" borderId="116" xfId="0" applyNumberFormat="1" applyFont="1" applyFill="1" applyBorder="1" applyAlignment="1">
      <alignment horizontal="left" vertical="center"/>
    </xf>
    <xf numFmtId="164" fontId="27" fillId="7" borderId="2" xfId="0" applyNumberFormat="1" applyFont="1" applyFill="1" applyBorder="1" applyAlignment="1">
      <alignment horizontal="left" vertical="center"/>
    </xf>
    <xf numFmtId="0" fontId="9" fillId="0" borderId="9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4" fillId="8" borderId="9" xfId="0" applyFont="1" applyFill="1" applyBorder="1" applyAlignment="1">
      <alignment horizontal="center"/>
    </xf>
    <xf numFmtId="0" fontId="0" fillId="0" borderId="10" xfId="0" applyBorder="1"/>
    <xf numFmtId="0" fontId="6" fillId="0" borderId="9" xfId="0" applyFont="1" applyBorder="1"/>
    <xf numFmtId="164" fontId="6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2" fontId="4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27" fillId="7" borderId="8" xfId="0" applyFont="1" applyFill="1" applyBorder="1" applyAlignment="1">
      <alignment horizontal="center" vertical="center" wrapText="1"/>
    </xf>
    <xf numFmtId="0" fontId="27" fillId="7" borderId="12" xfId="0" applyFont="1" applyFill="1" applyBorder="1" applyAlignment="1">
      <alignment horizontal="center" vertical="center" wrapText="1"/>
    </xf>
    <xf numFmtId="0" fontId="27" fillId="7" borderId="13" xfId="0" applyFont="1" applyFill="1" applyBorder="1" applyAlignment="1">
      <alignment horizontal="center" vertical="center" wrapText="1"/>
    </xf>
    <xf numFmtId="164" fontId="4" fillId="6" borderId="15" xfId="0" applyNumberFormat="1" applyFont="1" applyFill="1" applyBorder="1" applyAlignment="1">
      <alignment horizontal="left"/>
    </xf>
    <xf numFmtId="164" fontId="4" fillId="6" borderId="32" xfId="0" applyNumberFormat="1" applyFont="1" applyFill="1" applyBorder="1" applyAlignment="1">
      <alignment horizontal="left"/>
    </xf>
    <xf numFmtId="164" fontId="4" fillId="6" borderId="63" xfId="0" applyNumberFormat="1" applyFont="1" applyFill="1" applyBorder="1" applyAlignment="1">
      <alignment horizontal="left"/>
    </xf>
    <xf numFmtId="164" fontId="4" fillId="6" borderId="55" xfId="0" applyNumberFormat="1" applyFont="1" applyFill="1" applyBorder="1" applyAlignment="1">
      <alignment horizontal="left"/>
    </xf>
    <xf numFmtId="164" fontId="4" fillId="6" borderId="56" xfId="0" applyNumberFormat="1" applyFont="1" applyFill="1" applyBorder="1" applyAlignment="1">
      <alignment horizontal="left"/>
    </xf>
    <xf numFmtId="164" fontId="4" fillId="6" borderId="113" xfId="0" applyNumberFormat="1" applyFont="1" applyFill="1" applyBorder="1" applyAlignment="1">
      <alignment horizontal="left"/>
    </xf>
    <xf numFmtId="0" fontId="27" fillId="15" borderId="3" xfId="0" applyFont="1" applyFill="1" applyBorder="1" applyAlignment="1">
      <alignment horizontal="center" vertical="center" wrapText="1"/>
    </xf>
    <xf numFmtId="0" fontId="27" fillId="15" borderId="46" xfId="0" applyFont="1" applyFill="1" applyBorder="1" applyAlignment="1">
      <alignment horizontal="center" vertical="center" wrapText="1"/>
    </xf>
    <xf numFmtId="0" fontId="27" fillId="15" borderId="62" xfId="0" applyFont="1" applyFill="1" applyBorder="1" applyAlignment="1">
      <alignment horizontal="center" vertical="center" wrapText="1"/>
    </xf>
    <xf numFmtId="0" fontId="27" fillId="7" borderId="3" xfId="0" applyFont="1" applyFill="1" applyBorder="1" applyAlignment="1">
      <alignment horizontal="center"/>
    </xf>
    <xf numFmtId="0" fontId="27" fillId="7" borderId="62" xfId="0" applyFont="1" applyFill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4" fillId="8" borderId="10" xfId="0" applyFont="1" applyFill="1" applyBorder="1" applyAlignment="1">
      <alignment horizontal="center"/>
    </xf>
    <xf numFmtId="0" fontId="36" fillId="20" borderId="15" xfId="0" applyFont="1" applyFill="1" applyBorder="1" applyAlignment="1">
      <alignment horizontal="center"/>
    </xf>
    <xf numFmtId="0" fontId="36" fillId="20" borderId="14" xfId="0" applyFont="1" applyFill="1" applyBorder="1" applyAlignment="1">
      <alignment horizontal="center"/>
    </xf>
    <xf numFmtId="0" fontId="36" fillId="20" borderId="55" xfId="0" applyFont="1" applyFill="1" applyBorder="1" applyAlignment="1">
      <alignment horizontal="center"/>
    </xf>
    <xf numFmtId="0" fontId="36" fillId="20" borderId="11" xfId="0" applyFont="1" applyFill="1" applyBorder="1" applyAlignment="1">
      <alignment horizontal="center"/>
    </xf>
    <xf numFmtId="0" fontId="49" fillId="7" borderId="122" xfId="0" applyFont="1" applyFill="1" applyBorder="1" applyAlignment="1">
      <alignment horizontal="center" vertical="center" wrapText="1"/>
    </xf>
    <xf numFmtId="0" fontId="49" fillId="7" borderId="124" xfId="0" applyFont="1" applyFill="1" applyBorder="1" applyAlignment="1">
      <alignment horizontal="center" vertical="center" wrapText="1"/>
    </xf>
    <xf numFmtId="0" fontId="49" fillId="7" borderId="123" xfId="0" applyFont="1" applyFill="1" applyBorder="1" applyAlignment="1">
      <alignment horizontal="center" vertical="center" wrapText="1"/>
    </xf>
    <xf numFmtId="0" fontId="49" fillId="7" borderId="125" xfId="0" applyFont="1" applyFill="1" applyBorder="1" applyAlignment="1">
      <alignment horizontal="center" vertical="center" wrapText="1"/>
    </xf>
    <xf numFmtId="0" fontId="27" fillId="7" borderId="15" xfId="0" applyFont="1" applyFill="1" applyBorder="1" applyAlignment="1">
      <alignment horizontal="center"/>
    </xf>
    <xf numFmtId="0" fontId="27" fillId="7" borderId="14" xfId="0" applyFont="1" applyFill="1" applyBorder="1" applyAlignment="1">
      <alignment horizontal="center"/>
    </xf>
    <xf numFmtId="0" fontId="27" fillId="7" borderId="55" xfId="0" applyFont="1" applyFill="1" applyBorder="1" applyAlignment="1">
      <alignment horizontal="center"/>
    </xf>
    <xf numFmtId="0" fontId="27" fillId="7" borderId="11" xfId="0" applyFont="1" applyFill="1" applyBorder="1" applyAlignment="1">
      <alignment horizontal="center"/>
    </xf>
    <xf numFmtId="1" fontId="56" fillId="27" borderId="148" xfId="0" applyNumberFormat="1" applyFont="1" applyFill="1" applyBorder="1" applyAlignment="1">
      <alignment horizontal="center" textRotation="90"/>
    </xf>
    <xf numFmtId="1" fontId="28" fillId="7" borderId="9" xfId="0" applyNumberFormat="1" applyFont="1" applyFill="1" applyBorder="1" applyAlignment="1">
      <alignment horizontal="left" vertical="center"/>
    </xf>
    <xf numFmtId="1" fontId="28" fillId="7" borderId="0" xfId="0" applyNumberFormat="1" applyFont="1" applyFill="1" applyAlignment="1">
      <alignment horizontal="left" vertical="center"/>
    </xf>
    <xf numFmtId="0" fontId="27" fillId="16" borderId="0" xfId="0" applyFont="1" applyFill="1" applyAlignment="1">
      <alignment horizontal="center" vertical="center" wrapText="1"/>
    </xf>
    <xf numFmtId="0" fontId="27" fillId="16" borderId="10" xfId="0" applyFont="1" applyFill="1" applyBorder="1" applyAlignment="1">
      <alignment horizontal="center" vertical="center"/>
    </xf>
    <xf numFmtId="1" fontId="27" fillId="16" borderId="9" xfId="0" applyNumberFormat="1" applyFont="1" applyFill="1" applyBorder="1" applyAlignment="1">
      <alignment horizontal="left" vertical="center"/>
    </xf>
    <xf numFmtId="1" fontId="27" fillId="16" borderId="0" xfId="0" applyNumberFormat="1" applyFont="1" applyFill="1" applyAlignment="1">
      <alignment horizontal="left" vertical="center"/>
    </xf>
    <xf numFmtId="0" fontId="27" fillId="16" borderId="0" xfId="0" applyFont="1" applyFill="1" applyAlignment="1">
      <alignment horizontal="center" vertical="center"/>
    </xf>
    <xf numFmtId="1" fontId="27" fillId="16" borderId="55" xfId="0" applyNumberFormat="1" applyFont="1" applyFill="1" applyBorder="1" applyAlignment="1">
      <alignment horizontal="left" vertical="center"/>
    </xf>
    <xf numFmtId="1" fontId="27" fillId="16" borderId="56" xfId="0" applyNumberFormat="1" applyFont="1" applyFill="1" applyBorder="1" applyAlignment="1">
      <alignment horizontal="left" vertical="center"/>
    </xf>
    <xf numFmtId="0" fontId="27" fillId="16" borderId="56" xfId="0" applyFont="1" applyFill="1" applyBorder="1" applyAlignment="1">
      <alignment horizontal="center" vertical="center"/>
    </xf>
    <xf numFmtId="0" fontId="27" fillId="16" borderId="11" xfId="0" applyFont="1" applyFill="1" applyBorder="1" applyAlignment="1">
      <alignment horizontal="center" vertical="center"/>
    </xf>
    <xf numFmtId="2" fontId="4" fillId="0" borderId="8" xfId="0" applyNumberFormat="1" applyFont="1" applyBorder="1" applyAlignment="1">
      <alignment horizontal="center" vertical="center" wrapText="1"/>
    </xf>
    <xf numFmtId="2" fontId="4" fillId="0" borderId="12" xfId="0" applyNumberFormat="1" applyFont="1" applyBorder="1" applyAlignment="1">
      <alignment horizontal="center" vertical="center" wrapText="1"/>
    </xf>
    <xf numFmtId="0" fontId="4" fillId="8" borderId="3" xfId="0" applyFont="1" applyFill="1" applyBorder="1" applyAlignment="1">
      <alignment horizontal="center" vertical="center"/>
    </xf>
    <xf numFmtId="0" fontId="4" fillId="8" borderId="4" xfId="0" applyFont="1" applyFill="1" applyBorder="1" applyAlignment="1">
      <alignment horizontal="center" vertical="center"/>
    </xf>
    <xf numFmtId="0" fontId="6" fillId="19" borderId="3" xfId="0" applyFont="1" applyFill="1" applyBorder="1" applyAlignment="1">
      <alignment horizontal="center" vertical="center"/>
    </xf>
    <xf numFmtId="0" fontId="6" fillId="19" borderId="46" xfId="0" applyFont="1" applyFill="1" applyBorder="1" applyAlignment="1">
      <alignment horizontal="center" vertical="center"/>
    </xf>
    <xf numFmtId="0" fontId="6" fillId="19" borderId="4" xfId="0" applyFont="1" applyFill="1" applyBorder="1" applyAlignment="1">
      <alignment horizontal="center" vertical="center"/>
    </xf>
    <xf numFmtId="0" fontId="42" fillId="16" borderId="16" xfId="0" applyFont="1" applyFill="1" applyBorder="1" applyAlignment="1">
      <alignment horizontal="center" vertical="center" wrapText="1"/>
    </xf>
    <xf numFmtId="0" fontId="42" fillId="16" borderId="21" xfId="0" applyFont="1" applyFill="1" applyBorder="1" applyAlignment="1">
      <alignment horizontal="center" vertical="center" wrapText="1"/>
    </xf>
    <xf numFmtId="0" fontId="42" fillId="16" borderId="65" xfId="0" applyFont="1" applyFill="1" applyBorder="1" applyAlignment="1">
      <alignment horizontal="center" vertical="center" wrapText="1"/>
    </xf>
    <xf numFmtId="0" fontId="42" fillId="16" borderId="110" xfId="0" applyFont="1" applyFill="1" applyBorder="1" applyAlignment="1">
      <alignment horizontal="center" vertical="center" textRotation="90" wrapText="1"/>
    </xf>
    <xf numFmtId="0" fontId="42" fillId="16" borderId="111" xfId="0" applyFont="1" applyFill="1" applyBorder="1" applyAlignment="1">
      <alignment horizontal="center" vertical="center" textRotation="90" wrapText="1"/>
    </xf>
    <xf numFmtId="0" fontId="42" fillId="16" borderId="112" xfId="0" applyFont="1" applyFill="1" applyBorder="1" applyAlignment="1">
      <alignment horizontal="center" vertical="center" textRotation="90" wrapText="1"/>
    </xf>
    <xf numFmtId="1" fontId="27" fillId="16" borderId="15" xfId="0" applyNumberFormat="1" applyFont="1" applyFill="1" applyBorder="1" applyAlignment="1">
      <alignment horizontal="left" vertical="center"/>
    </xf>
    <xf numFmtId="1" fontId="27" fillId="16" borderId="32" xfId="0" applyNumberFormat="1" applyFont="1" applyFill="1" applyBorder="1" applyAlignment="1">
      <alignment horizontal="left" vertical="center"/>
    </xf>
    <xf numFmtId="0" fontId="27" fillId="16" borderId="32" xfId="0" applyFont="1" applyFill="1" applyBorder="1" applyAlignment="1">
      <alignment horizontal="center" vertical="center"/>
    </xf>
    <xf numFmtId="0" fontId="27" fillId="16" borderId="14" xfId="0" applyFont="1" applyFill="1" applyBorder="1" applyAlignment="1">
      <alignment horizontal="center" vertical="center"/>
    </xf>
    <xf numFmtId="0" fontId="50" fillId="0" borderId="126" xfId="0" applyFont="1" applyBorder="1" applyAlignment="1">
      <alignment horizontal="center" vertical="center" wrapText="1"/>
    </xf>
    <xf numFmtId="0" fontId="50" fillId="0" borderId="126" xfId="0" applyFont="1" applyBorder="1" applyAlignment="1">
      <alignment horizontal="center" vertical="center"/>
    </xf>
    <xf numFmtId="1" fontId="4" fillId="6" borderId="9" xfId="0" applyNumberFormat="1" applyFont="1" applyFill="1" applyBorder="1" applyAlignment="1">
      <alignment horizontal="left" vertical="center"/>
    </xf>
    <xf numFmtId="1" fontId="4" fillId="6" borderId="0" xfId="0" applyNumberFormat="1" applyFont="1" applyFill="1" applyAlignment="1">
      <alignment horizontal="left" vertical="center"/>
    </xf>
    <xf numFmtId="1" fontId="4" fillId="6" borderId="55" xfId="0" applyNumberFormat="1" applyFont="1" applyFill="1" applyBorder="1" applyAlignment="1">
      <alignment horizontal="left" vertical="center"/>
    </xf>
    <xf numFmtId="1" fontId="4" fillId="6" borderId="56" xfId="0" applyNumberFormat="1" applyFont="1" applyFill="1" applyBorder="1" applyAlignment="1">
      <alignment horizontal="left" vertical="center"/>
    </xf>
    <xf numFmtId="0" fontId="4" fillId="0" borderId="15" xfId="0" applyFont="1" applyBorder="1" applyAlignment="1">
      <alignment horizontal="center" vertical="center" wrapText="1"/>
    </xf>
    <xf numFmtId="0" fontId="4" fillId="0" borderId="9" xfId="0" applyFont="1" applyBorder="1" applyAlignment="1">
      <alignment horizontal="center" vertical="center" wrapText="1"/>
    </xf>
    <xf numFmtId="0" fontId="4" fillId="0" borderId="14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 vertical="center" wrapText="1"/>
    </xf>
    <xf numFmtId="0" fontId="27" fillId="16" borderId="15" xfId="0" applyFont="1" applyFill="1" applyBorder="1" applyAlignment="1">
      <alignment horizontal="center" vertical="center"/>
    </xf>
    <xf numFmtId="0" fontId="27" fillId="16" borderId="63" xfId="0" applyFont="1" applyFill="1" applyBorder="1" applyAlignment="1">
      <alignment horizontal="center" vertical="center"/>
    </xf>
    <xf numFmtId="0" fontId="4" fillId="15" borderId="15" xfId="0" applyFont="1" applyFill="1" applyBorder="1" applyAlignment="1">
      <alignment horizontal="left" vertical="center"/>
    </xf>
    <xf numFmtId="0" fontId="4" fillId="15" borderId="14" xfId="0" applyFont="1" applyFill="1" applyBorder="1" applyAlignment="1">
      <alignment horizontal="left" vertical="center"/>
    </xf>
    <xf numFmtId="0" fontId="42" fillId="7" borderId="8" xfId="0" applyFont="1" applyFill="1" applyBorder="1" applyAlignment="1">
      <alignment horizontal="center" vertical="center" wrapText="1"/>
    </xf>
    <xf numFmtId="0" fontId="42" fillId="7" borderId="12" xfId="0" applyFont="1" applyFill="1" applyBorder="1" applyAlignment="1">
      <alignment horizontal="center" vertical="center" wrapText="1"/>
    </xf>
    <xf numFmtId="0" fontId="42" fillId="7" borderId="13" xfId="0" applyFont="1" applyFill="1" applyBorder="1" applyAlignment="1">
      <alignment horizontal="center" vertical="center" wrapText="1"/>
    </xf>
    <xf numFmtId="0" fontId="17" fillId="6" borderId="8" xfId="0" applyFont="1" applyFill="1" applyBorder="1" applyAlignment="1">
      <alignment horizontal="center" vertical="center" textRotation="90" wrapText="1"/>
    </xf>
    <xf numFmtId="0" fontId="17" fillId="6" borderId="12" xfId="0" applyFont="1" applyFill="1" applyBorder="1" applyAlignment="1">
      <alignment horizontal="center" vertical="center" textRotation="90" wrapText="1"/>
    </xf>
    <xf numFmtId="0" fontId="17" fillId="6" borderId="13" xfId="0" applyFont="1" applyFill="1" applyBorder="1" applyAlignment="1">
      <alignment horizontal="center" vertical="center" textRotation="90" wrapText="1"/>
    </xf>
    <xf numFmtId="1" fontId="4" fillId="6" borderId="15" xfId="0" applyNumberFormat="1" applyFont="1" applyFill="1" applyBorder="1" applyAlignment="1">
      <alignment horizontal="left" vertical="center"/>
    </xf>
    <xf numFmtId="1" fontId="4" fillId="6" borderId="32" xfId="0" applyNumberFormat="1" applyFont="1" applyFill="1" applyBorder="1" applyAlignment="1">
      <alignment horizontal="left" vertical="center"/>
    </xf>
    <xf numFmtId="0" fontId="4" fillId="6" borderId="32" xfId="0" applyFont="1" applyFill="1" applyBorder="1" applyAlignment="1">
      <alignment horizontal="center" vertical="center" wrapText="1"/>
    </xf>
    <xf numFmtId="0" fontId="4" fillId="6" borderId="14" xfId="0" applyFont="1" applyFill="1" applyBorder="1" applyAlignment="1">
      <alignment horizontal="center" vertical="center" wrapText="1"/>
    </xf>
    <xf numFmtId="0" fontId="4" fillId="6" borderId="0" xfId="0" applyFont="1" applyFill="1" applyAlignment="1">
      <alignment horizontal="center" vertical="center" wrapText="1"/>
    </xf>
    <xf numFmtId="0" fontId="4" fillId="6" borderId="10" xfId="0" applyFont="1" applyFill="1" applyBorder="1" applyAlignment="1">
      <alignment horizontal="center" vertical="center" wrapText="1"/>
    </xf>
    <xf numFmtId="1" fontId="4" fillId="0" borderId="3" xfId="0" applyNumberFormat="1" applyFont="1" applyBorder="1" applyAlignment="1">
      <alignment horizontal="center"/>
    </xf>
    <xf numFmtId="1" fontId="4" fillId="0" borderId="4" xfId="0" applyNumberFormat="1" applyFont="1" applyBorder="1" applyAlignment="1">
      <alignment horizontal="center"/>
    </xf>
    <xf numFmtId="0" fontId="4" fillId="0" borderId="32" xfId="0" applyFont="1" applyBorder="1" applyAlignment="1">
      <alignment horizontal="center" vertical="center" wrapText="1"/>
    </xf>
    <xf numFmtId="0" fontId="4" fillId="0" borderId="55" xfId="0" applyFont="1" applyBorder="1" applyAlignment="1">
      <alignment horizontal="center" vertical="center" wrapText="1"/>
    </xf>
    <xf numFmtId="0" fontId="4" fillId="0" borderId="56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 wrapText="1"/>
    </xf>
    <xf numFmtId="1" fontId="4" fillId="0" borderId="8" xfId="0" applyNumberFormat="1" applyFont="1" applyBorder="1" applyAlignment="1">
      <alignment horizontal="center" vertical="center" wrapText="1"/>
    </xf>
    <xf numFmtId="1" fontId="4" fillId="0" borderId="12" xfId="0" applyNumberFormat="1" applyFont="1" applyBorder="1" applyAlignment="1">
      <alignment horizontal="center" vertical="center" wrapText="1"/>
    </xf>
    <xf numFmtId="0" fontId="9" fillId="0" borderId="131" xfId="0" applyFont="1" applyBorder="1" applyAlignment="1">
      <alignment horizontal="center" vertical="center"/>
    </xf>
    <xf numFmtId="0" fontId="9" fillId="0" borderId="13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8" borderId="9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4" fillId="8" borderId="55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27" fillId="11" borderId="3" xfId="0" applyFont="1" applyFill="1" applyBorder="1"/>
    <xf numFmtId="0" fontId="60" fillId="0" borderId="4" xfId="0" applyFont="1" applyBorder="1"/>
    <xf numFmtId="0" fontId="27" fillId="0" borderId="9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46" fillId="28" borderId="108" xfId="0" applyFont="1" applyFill="1" applyBorder="1" applyAlignment="1">
      <alignment horizontal="center" vertical="center"/>
    </xf>
    <xf numFmtId="0" fontId="46" fillId="28" borderId="109" xfId="0" applyFont="1" applyFill="1" applyBorder="1" applyAlignment="1">
      <alignment horizontal="center" vertical="center"/>
    </xf>
    <xf numFmtId="0" fontId="6" fillId="31" borderId="9" xfId="0" applyFont="1" applyFill="1" applyBorder="1" applyAlignment="1">
      <alignment horizontal="center" vertical="center"/>
    </xf>
    <xf numFmtId="0" fontId="6" fillId="31" borderId="0" xfId="0" applyFont="1" applyFill="1" applyAlignment="1">
      <alignment horizontal="center" vertical="center"/>
    </xf>
    <xf numFmtId="0" fontId="6" fillId="31" borderId="10" xfId="0" applyFont="1" applyFill="1" applyBorder="1" applyAlignment="1">
      <alignment horizontal="center" vertical="center"/>
    </xf>
    <xf numFmtId="0" fontId="6" fillId="6" borderId="9" xfId="0" applyFont="1" applyFill="1" applyBorder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6" fillId="6" borderId="10" xfId="0" applyFont="1" applyFill="1" applyBorder="1" applyAlignment="1">
      <alignment horizontal="center" vertical="center"/>
    </xf>
    <xf numFmtId="0" fontId="27" fillId="0" borderId="55" xfId="0" applyFont="1" applyBorder="1" applyAlignment="1">
      <alignment horizontal="center" vertical="center"/>
    </xf>
    <xf numFmtId="0" fontId="27" fillId="0" borderId="11" xfId="0" applyFont="1" applyBorder="1" applyAlignment="1">
      <alignment horizontal="center" vertical="center"/>
    </xf>
    <xf numFmtId="0" fontId="4" fillId="8" borderId="8" xfId="0" applyFont="1" applyFill="1" applyBorder="1" applyAlignment="1">
      <alignment horizontal="center" vertical="center" wrapText="1"/>
    </xf>
    <xf numFmtId="0" fontId="4" fillId="8" borderId="12" xfId="0" applyFont="1" applyFill="1" applyBorder="1" applyAlignment="1">
      <alignment horizontal="center" vertical="center" wrapText="1"/>
    </xf>
    <xf numFmtId="0" fontId="4" fillId="8" borderId="13" xfId="0" applyFont="1" applyFill="1" applyBorder="1" applyAlignment="1">
      <alignment horizontal="center" vertical="center" wrapText="1"/>
    </xf>
    <xf numFmtId="171" fontId="6" fillId="8" borderId="8" xfId="0" applyNumberFormat="1" applyFont="1" applyFill="1" applyBorder="1" applyAlignment="1">
      <alignment horizontal="center" vertical="center"/>
    </xf>
    <xf numFmtId="171" fontId="6" fillId="8" borderId="12" xfId="0" applyNumberFormat="1" applyFont="1" applyFill="1" applyBorder="1" applyAlignment="1">
      <alignment horizontal="center" vertical="center"/>
    </xf>
    <xf numFmtId="171" fontId="6" fillId="8" borderId="13" xfId="0" applyNumberFormat="1" applyFont="1" applyFill="1" applyBorder="1" applyAlignment="1">
      <alignment horizontal="center" vertical="center"/>
    </xf>
    <xf numFmtId="2" fontId="24" fillId="0" borderId="5" xfId="2" applyNumberFormat="1" applyFont="1" applyBorder="1" applyAlignment="1">
      <alignment horizontal="center"/>
    </xf>
    <xf numFmtId="2" fontId="24" fillId="0" borderId="30" xfId="2" applyNumberFormat="1" applyFont="1" applyBorder="1" applyAlignment="1">
      <alignment horizontal="center"/>
    </xf>
    <xf numFmtId="2" fontId="24" fillId="0" borderId="6" xfId="2" applyNumberFormat="1" applyFont="1" applyBorder="1" applyAlignment="1">
      <alignment horizontal="center"/>
    </xf>
    <xf numFmtId="0" fontId="25" fillId="0" borderId="5" xfId="2" applyFont="1" applyBorder="1"/>
    <xf numFmtId="0" fontId="25" fillId="0" borderId="30" xfId="2" applyFont="1" applyBorder="1"/>
    <xf numFmtId="0" fontId="25" fillId="0" borderId="6" xfId="2" applyFont="1" applyBorder="1"/>
    <xf numFmtId="2" fontId="24" fillId="0" borderId="16" xfId="2" applyNumberFormat="1" applyFont="1" applyBorder="1" applyAlignment="1">
      <alignment horizontal="center"/>
    </xf>
    <xf numFmtId="2" fontId="24" fillId="0" borderId="29" xfId="2" applyNumberFormat="1" applyFont="1" applyBorder="1" applyAlignment="1">
      <alignment horizontal="center"/>
    </xf>
    <xf numFmtId="2" fontId="24" fillId="0" borderId="18" xfId="2" applyNumberFormat="1" applyFont="1" applyBorder="1" applyAlignment="1">
      <alignment horizontal="center"/>
    </xf>
    <xf numFmtId="0" fontId="18" fillId="0" borderId="17" xfId="2" applyFont="1" applyBorder="1"/>
    <xf numFmtId="0" fontId="18" fillId="0" borderId="29" xfId="2" applyFont="1" applyBorder="1"/>
    <xf numFmtId="0" fontId="18" fillId="0" borderId="20" xfId="2" applyFont="1" applyBorder="1"/>
    <xf numFmtId="4" fontId="24" fillId="0" borderId="21" xfId="2" applyNumberFormat="1" applyFont="1" applyBorder="1" applyAlignment="1">
      <alignment horizontal="center"/>
    </xf>
    <xf numFmtId="4" fontId="24" fillId="0" borderId="30" xfId="2" applyNumberFormat="1" applyFont="1" applyBorder="1" applyAlignment="1">
      <alignment horizontal="center"/>
    </xf>
    <xf numFmtId="4" fontId="24" fillId="0" borderId="6" xfId="2" applyNumberFormat="1" applyFont="1" applyBorder="1" applyAlignment="1">
      <alignment horizontal="center"/>
    </xf>
    <xf numFmtId="0" fontId="18" fillId="0" borderId="5" xfId="2" applyFont="1" applyBorder="1"/>
    <xf numFmtId="0" fontId="18" fillId="0" borderId="30" xfId="2" applyFont="1" applyBorder="1"/>
    <xf numFmtId="0" fontId="18" fillId="0" borderId="22" xfId="2" applyFont="1" applyBorder="1"/>
    <xf numFmtId="2" fontId="24" fillId="0" borderId="21" xfId="2" applyNumberFormat="1" applyFont="1" applyBorder="1" applyAlignment="1">
      <alignment horizontal="center"/>
    </xf>
    <xf numFmtId="0" fontId="15" fillId="9" borderId="3" xfId="3" applyFont="1" applyFill="1" applyBorder="1" applyAlignment="1">
      <alignment horizontal="center" vertical="center"/>
    </xf>
    <xf numFmtId="0" fontId="15" fillId="9" borderId="46" xfId="3" applyFont="1" applyFill="1" applyBorder="1" applyAlignment="1">
      <alignment horizontal="center" vertical="center"/>
    </xf>
    <xf numFmtId="0" fontId="15" fillId="9" borderId="4" xfId="3" applyFont="1" applyFill="1" applyBorder="1" applyAlignment="1">
      <alignment horizontal="center" vertical="center"/>
    </xf>
    <xf numFmtId="2" fontId="22" fillId="0" borderId="65" xfId="2" applyNumberFormat="1" applyFont="1" applyBorder="1" applyAlignment="1">
      <alignment horizontal="center"/>
    </xf>
    <xf numFmtId="2" fontId="22" fillId="0" borderId="66" xfId="2" applyNumberFormat="1" applyFont="1" applyBorder="1" applyAlignment="1">
      <alignment horizontal="center"/>
    </xf>
    <xf numFmtId="2" fontId="22" fillId="0" borderId="26" xfId="2" applyNumberFormat="1" applyFont="1" applyBorder="1" applyAlignment="1">
      <alignment horizontal="center"/>
    </xf>
    <xf numFmtId="0" fontId="23" fillId="0" borderId="25" xfId="2" applyFont="1" applyBorder="1"/>
    <xf numFmtId="0" fontId="23" fillId="0" borderId="66" xfId="2" applyFont="1" applyBorder="1"/>
    <xf numFmtId="0" fontId="23" fillId="0" borderId="28" xfId="2" applyFont="1" applyBorder="1"/>
    <xf numFmtId="2" fontId="24" fillId="0" borderId="17" xfId="2" applyNumberFormat="1" applyFont="1" applyBorder="1" applyAlignment="1" applyProtection="1">
      <alignment horizontal="center"/>
      <protection locked="0"/>
    </xf>
    <xf numFmtId="2" fontId="24" fillId="0" borderId="29" xfId="2" applyNumberFormat="1" applyFont="1" applyBorder="1" applyAlignment="1" applyProtection="1">
      <alignment horizontal="center"/>
      <protection locked="0"/>
    </xf>
    <xf numFmtId="2" fontId="24" fillId="0" borderId="18" xfId="2" applyNumberFormat="1" applyFont="1" applyBorder="1" applyAlignment="1" applyProtection="1">
      <alignment horizontal="center"/>
      <protection locked="0"/>
    </xf>
    <xf numFmtId="0" fontId="25" fillId="0" borderId="17" xfId="2" applyFont="1" applyBorder="1"/>
    <xf numFmtId="0" fontId="25" fillId="0" borderId="29" xfId="2" applyFont="1" applyBorder="1"/>
    <xf numFmtId="0" fontId="25" fillId="0" borderId="18" xfId="2" applyFont="1" applyBorder="1"/>
    <xf numFmtId="0" fontId="52" fillId="6" borderId="15" xfId="0" applyFont="1" applyFill="1" applyBorder="1" applyAlignment="1">
      <alignment horizontal="center" vertical="center" wrapText="1"/>
    </xf>
    <xf numFmtId="0" fontId="52" fillId="6" borderId="32" xfId="0" applyFont="1" applyFill="1" applyBorder="1" applyAlignment="1">
      <alignment horizontal="center" vertical="center" wrapText="1"/>
    </xf>
    <xf numFmtId="0" fontId="52" fillId="6" borderId="14" xfId="0" applyFont="1" applyFill="1" applyBorder="1" applyAlignment="1">
      <alignment horizontal="center" vertical="center" wrapText="1"/>
    </xf>
    <xf numFmtId="0" fontId="52" fillId="6" borderId="9" xfId="0" applyFont="1" applyFill="1" applyBorder="1" applyAlignment="1">
      <alignment horizontal="center" vertical="center" wrapText="1"/>
    </xf>
    <xf numFmtId="0" fontId="52" fillId="6" borderId="0" xfId="0" applyFont="1" applyFill="1" applyAlignment="1">
      <alignment horizontal="center" vertical="center" wrapText="1"/>
    </xf>
    <xf numFmtId="0" fontId="52" fillId="6" borderId="10" xfId="0" applyFont="1" applyFill="1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60" xfId="0" applyBorder="1" applyAlignment="1">
      <alignment horizontal="center" vertical="center" wrapText="1"/>
    </xf>
    <xf numFmtId="0" fontId="52" fillId="6" borderId="15" xfId="0" applyFont="1" applyFill="1" applyBorder="1" applyAlignment="1">
      <alignment horizontal="center"/>
    </xf>
    <xf numFmtId="0" fontId="52" fillId="6" borderId="32" xfId="0" applyFont="1" applyFill="1" applyBorder="1" applyAlignment="1">
      <alignment horizontal="center"/>
    </xf>
    <xf numFmtId="0" fontId="52" fillId="6" borderId="14" xfId="0" applyFont="1" applyFill="1" applyBorder="1" applyAlignment="1">
      <alignment horizontal="center"/>
    </xf>
    <xf numFmtId="0" fontId="52" fillId="6" borderId="55" xfId="0" applyFont="1" applyFill="1" applyBorder="1" applyAlignment="1">
      <alignment horizontal="center"/>
    </xf>
    <xf numFmtId="0" fontId="52" fillId="6" borderId="56" xfId="0" applyFont="1" applyFill="1" applyBorder="1" applyAlignment="1">
      <alignment horizontal="center"/>
    </xf>
    <xf numFmtId="0" fontId="52" fillId="6" borderId="11" xfId="0" applyFont="1" applyFill="1" applyBorder="1" applyAlignment="1">
      <alignment horizontal="center"/>
    </xf>
    <xf numFmtId="4" fontId="0" fillId="0" borderId="8" xfId="0" applyNumberFormat="1" applyBorder="1" applyAlignment="1">
      <alignment horizontal="center" vertical="center" wrapText="1"/>
    </xf>
    <xf numFmtId="4" fontId="0" fillId="0" borderId="12" xfId="0" applyNumberFormat="1" applyBorder="1" applyAlignment="1">
      <alignment horizontal="center" vertical="center" wrapText="1"/>
    </xf>
    <xf numFmtId="4" fontId="0" fillId="0" borderId="13" xfId="0" applyNumberFormat="1" applyBorder="1" applyAlignment="1">
      <alignment horizontal="center" vertical="center" wrapText="1"/>
    </xf>
    <xf numFmtId="4" fontId="44" fillId="0" borderId="47" xfId="0" applyNumberFormat="1" applyFont="1" applyBorder="1" applyAlignment="1">
      <alignment horizontal="center" vertical="center" wrapText="1"/>
    </xf>
    <xf numFmtId="4" fontId="44" fillId="0" borderId="2" xfId="0" applyNumberFormat="1" applyFont="1" applyBorder="1" applyAlignment="1">
      <alignment horizontal="center" vertical="center" wrapText="1"/>
    </xf>
    <xf numFmtId="4" fontId="44" fillId="0" borderId="45" xfId="0" applyNumberFormat="1" applyFont="1" applyBorder="1" applyAlignment="1">
      <alignment horizontal="center" vertical="center" wrapText="1"/>
    </xf>
    <xf numFmtId="0" fontId="52" fillId="6" borderId="131" xfId="0" applyFont="1" applyFill="1" applyBorder="1" applyAlignment="1">
      <alignment horizontal="center" vertical="center" wrapText="1"/>
    </xf>
    <xf numFmtId="0" fontId="52" fillId="6" borderId="132" xfId="0" applyFont="1" applyFill="1" applyBorder="1" applyAlignment="1">
      <alignment horizontal="center" vertical="center" wrapText="1"/>
    </xf>
    <xf numFmtId="0" fontId="52" fillId="6" borderId="43" xfId="0" applyFont="1" applyFill="1" applyBorder="1" applyAlignment="1">
      <alignment horizontal="center" vertical="center" wrapText="1"/>
    </xf>
    <xf numFmtId="0" fontId="52" fillId="6" borderId="133" xfId="0" applyFont="1" applyFill="1" applyBorder="1" applyAlignment="1">
      <alignment horizontal="center" vertical="center" wrapText="1"/>
    </xf>
    <xf numFmtId="0" fontId="52" fillId="6" borderId="134" xfId="0" applyFont="1" applyFill="1" applyBorder="1" applyAlignment="1">
      <alignment horizontal="center" vertical="center" wrapText="1"/>
    </xf>
    <xf numFmtId="0" fontId="52" fillId="6" borderId="40" xfId="0" applyFont="1" applyFill="1" applyBorder="1" applyAlignment="1">
      <alignment horizontal="center" vertical="center" wrapText="1"/>
    </xf>
    <xf numFmtId="0" fontId="58" fillId="6" borderId="15" xfId="0" applyFont="1" applyFill="1" applyBorder="1" applyAlignment="1">
      <alignment horizontal="center" vertical="center"/>
    </xf>
    <xf numFmtId="0" fontId="58" fillId="6" borderId="32" xfId="0" applyFont="1" applyFill="1" applyBorder="1" applyAlignment="1">
      <alignment horizontal="center" vertical="center"/>
    </xf>
    <xf numFmtId="0" fontId="58" fillId="6" borderId="14" xfId="0" applyFont="1" applyFill="1" applyBorder="1" applyAlignment="1">
      <alignment horizontal="center" vertical="center"/>
    </xf>
    <xf numFmtId="0" fontId="58" fillId="6" borderId="9" xfId="0" applyFont="1" applyFill="1" applyBorder="1" applyAlignment="1">
      <alignment horizontal="center" vertical="center"/>
    </xf>
    <xf numFmtId="0" fontId="58" fillId="6" borderId="0" xfId="0" applyFont="1" applyFill="1" applyAlignment="1">
      <alignment horizontal="center" vertical="center"/>
    </xf>
    <xf numFmtId="0" fontId="58" fillId="6" borderId="10" xfId="0" applyFont="1" applyFill="1" applyBorder="1" applyAlignment="1">
      <alignment horizontal="center" vertical="center"/>
    </xf>
    <xf numFmtId="3" fontId="51" fillId="0" borderId="127" xfId="0" applyNumberFormat="1" applyFont="1" applyBorder="1" applyAlignment="1">
      <alignment horizontal="center" vertical="center"/>
    </xf>
    <xf numFmtId="3" fontId="59" fillId="0" borderId="129" xfId="0" applyNumberFormat="1" applyFont="1" applyBorder="1" applyAlignment="1">
      <alignment horizontal="center" vertical="center"/>
    </xf>
    <xf numFmtId="0" fontId="51" fillId="0" borderId="44" xfId="0" applyFont="1" applyBorder="1" applyAlignment="1">
      <alignment vertical="center"/>
    </xf>
    <xf numFmtId="0" fontId="51" fillId="0" borderId="43" xfId="0" applyFont="1" applyBorder="1" applyAlignment="1">
      <alignment vertical="center"/>
    </xf>
    <xf numFmtId="0" fontId="51" fillId="0" borderId="41" xfId="0" applyFont="1" applyBorder="1" applyAlignment="1">
      <alignment vertical="center"/>
    </xf>
    <xf numFmtId="0" fontId="51" fillId="0" borderId="40" xfId="0" applyFont="1" applyBorder="1" applyAlignment="1">
      <alignment vertical="center"/>
    </xf>
    <xf numFmtId="0" fontId="0" fillId="0" borderId="129" xfId="0" applyBorder="1" applyAlignment="1">
      <alignment horizontal="center" vertical="center"/>
    </xf>
    <xf numFmtId="0" fontId="51" fillId="0" borderId="44" xfId="0" applyFont="1" applyBorder="1" applyAlignment="1">
      <alignment horizontal="center" vertical="center" wrapText="1"/>
    </xf>
    <xf numFmtId="0" fontId="51" fillId="0" borderId="43" xfId="0" applyFont="1" applyBorder="1" applyAlignment="1">
      <alignment horizontal="center" vertical="center" wrapText="1"/>
    </xf>
    <xf numFmtId="0" fontId="51" fillId="0" borderId="41" xfId="0" applyFont="1" applyBorder="1" applyAlignment="1">
      <alignment horizontal="center" vertical="center" wrapText="1"/>
    </xf>
    <xf numFmtId="0" fontId="51" fillId="0" borderId="40" xfId="0" applyFont="1" applyBorder="1" applyAlignment="1">
      <alignment horizontal="center" vertical="center" wrapText="1"/>
    </xf>
    <xf numFmtId="2" fontId="51" fillId="0" borderId="44" xfId="0" applyNumberFormat="1" applyFont="1" applyBorder="1" applyAlignment="1">
      <alignment horizontal="center" vertical="center" wrapText="1"/>
    </xf>
    <xf numFmtId="0" fontId="0" fillId="0" borderId="132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40" xfId="0" applyBorder="1" applyAlignment="1">
      <alignment horizontal="center"/>
    </xf>
    <xf numFmtId="1" fontId="51" fillId="0" borderId="127" xfId="0" applyNumberFormat="1" applyFont="1" applyBorder="1" applyAlignment="1">
      <alignment horizontal="center" vertical="center" wrapText="1"/>
    </xf>
    <xf numFmtId="1" fontId="51" fillId="0" borderId="128" xfId="0" applyNumberFormat="1" applyFont="1" applyBorder="1" applyAlignment="1">
      <alignment horizontal="center" vertical="center" wrapText="1"/>
    </xf>
    <xf numFmtId="1" fontId="51" fillId="0" borderId="129" xfId="0" applyNumberFormat="1" applyFont="1" applyBorder="1" applyAlignment="1">
      <alignment horizontal="center" vertical="center" wrapText="1"/>
    </xf>
    <xf numFmtId="3" fontId="51" fillId="0" borderId="128" xfId="0" applyNumberFormat="1" applyFont="1" applyBorder="1" applyAlignment="1">
      <alignment horizontal="center" vertical="center"/>
    </xf>
    <xf numFmtId="0" fontId="51" fillId="0" borderId="37" xfId="0" applyFont="1" applyBorder="1" applyAlignment="1">
      <alignment vertical="center"/>
    </xf>
    <xf numFmtId="0" fontId="51" fillId="0" borderId="38" xfId="0" applyFont="1" applyBorder="1" applyAlignment="1">
      <alignment vertical="center"/>
    </xf>
    <xf numFmtId="2" fontId="51" fillId="0" borderId="37" xfId="0" applyNumberFormat="1" applyFont="1" applyBorder="1" applyAlignment="1">
      <alignment horizontal="center" vertical="center" wrapText="1"/>
    </xf>
    <xf numFmtId="0" fontId="0" fillId="0" borderId="38" xfId="0" applyBorder="1"/>
    <xf numFmtId="0" fontId="0" fillId="0" borderId="37" xfId="0" applyBorder="1"/>
    <xf numFmtId="0" fontId="0" fillId="0" borderId="43" xfId="0" applyBorder="1" applyAlignment="1">
      <alignment vertical="center"/>
    </xf>
    <xf numFmtId="0" fontId="0" fillId="0" borderId="37" xfId="0" applyBorder="1" applyAlignment="1">
      <alignment vertical="center"/>
    </xf>
    <xf numFmtId="0" fontId="0" fillId="0" borderId="38" xfId="0" applyBorder="1" applyAlignment="1">
      <alignment vertical="center"/>
    </xf>
    <xf numFmtId="0" fontId="4" fillId="15" borderId="3" xfId="0" applyFont="1" applyFill="1" applyBorder="1" applyAlignment="1">
      <alignment horizontal="center" vertical="center"/>
    </xf>
    <xf numFmtId="0" fontId="4" fillId="15" borderId="4" xfId="0" applyFont="1" applyFill="1" applyBorder="1" applyAlignment="1">
      <alignment horizontal="center" vertical="center"/>
    </xf>
    <xf numFmtId="0" fontId="36" fillId="6" borderId="15" xfId="0" applyFont="1" applyFill="1" applyBorder="1" applyAlignment="1">
      <alignment horizontal="center" vertical="center" wrapText="1"/>
    </xf>
    <xf numFmtId="0" fontId="27" fillId="7" borderId="31" xfId="0" applyFont="1" applyFill="1" applyBorder="1" applyAlignment="1">
      <alignment horizontal="center" vertical="center" wrapText="1"/>
    </xf>
    <xf numFmtId="0" fontId="27" fillId="7" borderId="23" xfId="0" applyFont="1" applyFill="1" applyBorder="1" applyAlignment="1">
      <alignment horizontal="center" vertical="center" wrapText="1"/>
    </xf>
    <xf numFmtId="0" fontId="27" fillId="7" borderId="24" xfId="0" applyFont="1" applyFill="1" applyBorder="1" applyAlignment="1">
      <alignment horizontal="center" vertical="center" wrapText="1"/>
    </xf>
    <xf numFmtId="0" fontId="1" fillId="6" borderId="17" xfId="0" applyFont="1" applyFill="1" applyBorder="1" applyAlignment="1">
      <alignment horizontal="center" vertical="center" textRotation="90" wrapText="1"/>
    </xf>
    <xf numFmtId="0" fontId="1" fillId="6" borderId="25" xfId="0" applyFont="1" applyFill="1" applyBorder="1" applyAlignment="1">
      <alignment horizontal="center" vertical="center" textRotation="90" wrapText="1"/>
    </xf>
    <xf numFmtId="164" fontId="4" fillId="6" borderId="117" xfId="0" applyNumberFormat="1" applyFont="1" applyFill="1" applyBorder="1" applyAlignment="1">
      <alignment horizontal="left" vertical="center"/>
    </xf>
    <xf numFmtId="164" fontId="4" fillId="6" borderId="60" xfId="0" applyNumberFormat="1" applyFont="1" applyFill="1" applyBorder="1" applyAlignment="1">
      <alignment horizontal="left" vertical="center"/>
    </xf>
    <xf numFmtId="0" fontId="4" fillId="6" borderId="55" xfId="0" applyFont="1" applyFill="1" applyBorder="1" applyAlignment="1">
      <alignment horizontal="center" vertical="center" wrapText="1"/>
    </xf>
    <xf numFmtId="0" fontId="1" fillId="33" borderId="108" xfId="0" applyFont="1" applyFill="1" applyBorder="1" applyAlignment="1">
      <alignment horizontal="center" vertical="center"/>
    </xf>
    <xf numFmtId="0" fontId="1" fillId="33" borderId="109" xfId="0" applyFont="1" applyFill="1" applyBorder="1" applyAlignment="1">
      <alignment horizontal="center" vertical="center"/>
    </xf>
    <xf numFmtId="0" fontId="1" fillId="30" borderId="3" xfId="0" applyFont="1" applyFill="1" applyBorder="1" applyAlignment="1">
      <alignment horizontal="center"/>
    </xf>
    <xf numFmtId="0" fontId="1" fillId="30" borderId="4" xfId="0" applyFont="1" applyFill="1" applyBorder="1" applyAlignment="1">
      <alignment horizontal="center"/>
    </xf>
    <xf numFmtId="0" fontId="42" fillId="7" borderId="15" xfId="0" applyFont="1" applyFill="1" applyBorder="1" applyAlignment="1">
      <alignment horizontal="center" vertical="center" wrapText="1"/>
    </xf>
    <xf numFmtId="0" fontId="42" fillId="7" borderId="9" xfId="0" applyFont="1" applyFill="1" applyBorder="1" applyAlignment="1">
      <alignment horizontal="center" vertical="center" wrapText="1"/>
    </xf>
    <xf numFmtId="0" fontId="42" fillId="7" borderId="55" xfId="0" applyFont="1" applyFill="1" applyBorder="1" applyAlignment="1">
      <alignment horizontal="center" vertical="center" wrapText="1"/>
    </xf>
    <xf numFmtId="0" fontId="4" fillId="14" borderId="3" xfId="0" applyFont="1" applyFill="1" applyBorder="1" applyAlignment="1">
      <alignment horizontal="center" vertical="center"/>
    </xf>
    <xf numFmtId="0" fontId="4" fillId="14" borderId="46" xfId="0" applyFont="1" applyFill="1" applyBorder="1" applyAlignment="1">
      <alignment horizontal="center" vertical="center"/>
    </xf>
    <xf numFmtId="0" fontId="4" fillId="14" borderId="62" xfId="0" applyFont="1" applyFill="1" applyBorder="1" applyAlignment="1">
      <alignment horizontal="center" vertical="center"/>
    </xf>
    <xf numFmtId="0" fontId="4" fillId="14" borderId="4" xfId="0" applyFont="1" applyFill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164" fontId="4" fillId="6" borderId="115" xfId="0" applyNumberFormat="1" applyFont="1" applyFill="1" applyBorder="1" applyAlignment="1">
      <alignment horizontal="left" vertical="center"/>
    </xf>
    <xf numFmtId="164" fontId="4" fillId="6" borderId="58" xfId="0" applyNumberFormat="1" applyFont="1" applyFill="1" applyBorder="1" applyAlignment="1">
      <alignment horizontal="left" vertical="center"/>
    </xf>
    <xf numFmtId="0" fontId="1" fillId="29" borderId="3" xfId="0" applyFont="1" applyFill="1" applyBorder="1" applyAlignment="1">
      <alignment horizontal="center" vertical="center"/>
    </xf>
    <xf numFmtId="0" fontId="1" fillId="29" borderId="46" xfId="0" applyFont="1" applyFill="1" applyBorder="1" applyAlignment="1">
      <alignment horizontal="center" vertical="center"/>
    </xf>
    <xf numFmtId="0" fontId="1" fillId="29" borderId="62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4" fillId="29" borderId="3" xfId="0" applyFont="1" applyFill="1" applyBorder="1" applyAlignment="1">
      <alignment horizontal="center" vertical="center"/>
    </xf>
    <xf numFmtId="0" fontId="4" fillId="29" borderId="4" xfId="0" applyFont="1" applyFill="1" applyBorder="1" applyAlignment="1">
      <alignment horizontal="center" vertical="center"/>
    </xf>
    <xf numFmtId="164" fontId="27" fillId="7" borderId="0" xfId="0" applyNumberFormat="1" applyFont="1" applyFill="1" applyAlignment="1">
      <alignment horizontal="left"/>
    </xf>
    <xf numFmtId="164" fontId="4" fillId="6" borderId="0" xfId="0" applyNumberFormat="1" applyFont="1" applyFill="1" applyAlignment="1">
      <alignment horizontal="left"/>
    </xf>
    <xf numFmtId="166" fontId="30" fillId="15" borderId="64" xfId="0" applyNumberFormat="1" applyFont="1" applyFill="1" applyBorder="1" applyAlignment="1">
      <alignment horizontal="center"/>
    </xf>
    <xf numFmtId="166" fontId="30" fillId="15" borderId="46" xfId="0" applyNumberFormat="1" applyFont="1" applyFill="1" applyBorder="1" applyAlignment="1">
      <alignment horizontal="center"/>
    </xf>
    <xf numFmtId="166" fontId="30" fillId="15" borderId="4" xfId="0" applyNumberFormat="1" applyFont="1" applyFill="1" applyBorder="1" applyAlignment="1">
      <alignment horizontal="center"/>
    </xf>
    <xf numFmtId="2" fontId="1" fillId="6" borderId="64" xfId="0" applyNumberFormat="1" applyFont="1" applyFill="1" applyBorder="1" applyAlignment="1">
      <alignment horizontal="center"/>
    </xf>
    <xf numFmtId="2" fontId="1" fillId="6" borderId="46" xfId="0" applyNumberFormat="1" applyFont="1" applyFill="1" applyBorder="1" applyAlignment="1">
      <alignment horizontal="center"/>
    </xf>
    <xf numFmtId="2" fontId="1" fillId="6" borderId="4" xfId="0" applyNumberFormat="1" applyFont="1" applyFill="1" applyBorder="1" applyAlignment="1">
      <alignment horizontal="center"/>
    </xf>
    <xf numFmtId="164" fontId="4" fillId="6" borderId="3" xfId="0" applyNumberFormat="1" applyFont="1" applyFill="1" applyBorder="1" applyAlignment="1">
      <alignment horizontal="left"/>
    </xf>
    <xf numFmtId="164" fontId="4" fillId="6" borderId="46" xfId="0" applyNumberFormat="1" applyFont="1" applyFill="1" applyBorder="1" applyAlignment="1">
      <alignment horizontal="left"/>
    </xf>
    <xf numFmtId="164" fontId="4" fillId="6" borderId="62" xfId="0" applyNumberFormat="1" applyFont="1" applyFill="1" applyBorder="1" applyAlignment="1">
      <alignment horizontal="left"/>
    </xf>
    <xf numFmtId="0" fontId="43" fillId="0" borderId="8" xfId="0" applyFont="1" applyBorder="1" applyAlignment="1">
      <alignment vertical="center" textRotation="90" wrapText="1"/>
    </xf>
    <xf numFmtId="0" fontId="43" fillId="0" borderId="12" xfId="0" applyFont="1" applyBorder="1" applyAlignment="1">
      <alignment vertical="center" textRotation="90" wrapText="1"/>
    </xf>
    <xf numFmtId="0" fontId="43" fillId="0" borderId="13" xfId="0" applyFont="1" applyBorder="1" applyAlignment="1">
      <alignment vertical="center" textRotation="90" wrapText="1"/>
    </xf>
  </cellXfs>
  <cellStyles count="4">
    <cellStyle name="Comma" xfId="1" builtinId="3"/>
    <cellStyle name="Normal" xfId="0" builtinId="0"/>
    <cellStyle name="Normal_2-9 Tubing spaceout" xfId="2" xr:uid="{00000000-0005-0000-0000-000002000000}"/>
    <cellStyle name="Normal_Spaceout calc_drw 7-4" xfId="3" xr:uid="{00000000-0005-0000-0000-000003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cid:image001.gif@01D4EFA0.01FC6130" TargetMode="External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cid:image001.gif@01D4EFA0.01FC6130" TargetMode="External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25400</xdr:rowOff>
    </xdr:from>
    <xdr:to>
      <xdr:col>3</xdr:col>
      <xdr:colOff>44450</xdr:colOff>
      <xdr:row>3</xdr:row>
      <xdr:rowOff>50800</xdr:rowOff>
    </xdr:to>
    <xdr:pic>
      <xdr:nvPicPr>
        <xdr:cNvPr id="2" name="Picture 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9400" y="25400"/>
          <a:ext cx="1073150" cy="679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203200</xdr:colOff>
      <xdr:row>0</xdr:row>
      <xdr:rowOff>38100</xdr:rowOff>
    </xdr:from>
    <xdr:to>
      <xdr:col>5</xdr:col>
      <xdr:colOff>285750</xdr:colOff>
      <xdr:row>2</xdr:row>
      <xdr:rowOff>215900</xdr:rowOff>
    </xdr:to>
    <xdr:pic>
      <xdr:nvPicPr>
        <xdr:cNvPr id="3" name="Picture 155" descr="cid:image001.gif@01D374D0.A6E6A7B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1300" y="38100"/>
          <a:ext cx="1390650" cy="603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539750</xdr:colOff>
      <xdr:row>440</xdr:row>
      <xdr:rowOff>38100</xdr:rowOff>
    </xdr:from>
    <xdr:to>
      <xdr:col>11</xdr:col>
      <xdr:colOff>228600</xdr:colOff>
      <xdr:row>460</xdr:row>
      <xdr:rowOff>38100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/>
      </xdr:nvCxnSpPr>
      <xdr:spPr>
        <a:xfrm flipV="1">
          <a:off x="2501900" y="70834250"/>
          <a:ext cx="4540250" cy="165100"/>
        </a:xfrm>
        <a:prstGeom prst="straightConnector1">
          <a:avLst/>
        </a:prstGeom>
        <a:ln w="28575">
          <a:solidFill>
            <a:srgbClr val="00B0F0"/>
          </a:solidFill>
          <a:prstDash val="sysDot"/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469900</xdr:colOff>
      <xdr:row>434</xdr:row>
      <xdr:rowOff>63500</xdr:rowOff>
    </xdr:from>
    <xdr:to>
      <xdr:col>11</xdr:col>
      <xdr:colOff>330200</xdr:colOff>
      <xdr:row>437</xdr:row>
      <xdr:rowOff>76200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/>
      </xdr:nvCxnSpPr>
      <xdr:spPr>
        <a:xfrm flipV="1">
          <a:off x="2432050" y="69843650"/>
          <a:ext cx="4711700" cy="508000"/>
        </a:xfrm>
        <a:prstGeom prst="straightConnector1">
          <a:avLst/>
        </a:prstGeom>
        <a:ln w="28575">
          <a:solidFill>
            <a:srgbClr val="00B0F0"/>
          </a:solidFill>
          <a:prstDash val="sysDot"/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82550</xdr:colOff>
      <xdr:row>0</xdr:row>
      <xdr:rowOff>25400</xdr:rowOff>
    </xdr:from>
    <xdr:to>
      <xdr:col>3</xdr:col>
      <xdr:colOff>107950</xdr:colOff>
      <xdr:row>3</xdr:row>
      <xdr:rowOff>50800</xdr:rowOff>
    </xdr:to>
    <xdr:pic>
      <xdr:nvPicPr>
        <xdr:cNvPr id="6" name="Picture 17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" y="25400"/>
          <a:ext cx="1073150" cy="679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203200</xdr:colOff>
      <xdr:row>0</xdr:row>
      <xdr:rowOff>38100</xdr:rowOff>
    </xdr:from>
    <xdr:to>
      <xdr:col>5</xdr:col>
      <xdr:colOff>285750</xdr:colOff>
      <xdr:row>2</xdr:row>
      <xdr:rowOff>215900</xdr:rowOff>
    </xdr:to>
    <xdr:pic>
      <xdr:nvPicPr>
        <xdr:cNvPr id="7" name="Picture 155" descr="cid:image001.gif@01D374D0.A6E6A7B0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1300" y="38100"/>
          <a:ext cx="1390650" cy="603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463550</xdr:colOff>
      <xdr:row>437</xdr:row>
      <xdr:rowOff>133350</xdr:rowOff>
    </xdr:from>
    <xdr:to>
      <xdr:col>12</xdr:col>
      <xdr:colOff>247650</xdr:colOff>
      <xdr:row>463</xdr:row>
      <xdr:rowOff>133350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CxnSpPr/>
      </xdr:nvCxnSpPr>
      <xdr:spPr>
        <a:xfrm>
          <a:off x="2425700" y="70408800"/>
          <a:ext cx="5619750" cy="1016000"/>
        </a:xfrm>
        <a:prstGeom prst="straightConnector1">
          <a:avLst/>
        </a:prstGeom>
        <a:ln w="28575">
          <a:solidFill>
            <a:srgbClr val="00B0F0"/>
          </a:solidFill>
          <a:prstDash val="sysDot"/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25400</xdr:colOff>
      <xdr:row>19</xdr:row>
      <xdr:rowOff>71072</xdr:rowOff>
    </xdr:from>
    <xdr:to>
      <xdr:col>18</xdr:col>
      <xdr:colOff>52098</xdr:colOff>
      <xdr:row>21</xdr:row>
      <xdr:rowOff>68872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>
          <a:spLocks noChangeArrowheads="1"/>
        </xdr:cNvSpPr>
      </xdr:nvSpPr>
      <xdr:spPr bwMode="auto">
        <a:xfrm>
          <a:off x="3657600" y="3690572"/>
          <a:ext cx="1239548" cy="416900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lnSpc>
              <a:spcPts val="900"/>
            </a:lnSpc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Locator NoGo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 ft 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above PBR top</a:t>
          </a:r>
        </a:p>
      </xdr:txBody>
    </xdr:sp>
    <xdr:clientData/>
  </xdr:twoCellAnchor>
  <xdr:twoCellAnchor>
    <xdr:from>
      <xdr:col>12</xdr:col>
      <xdr:colOff>12700</xdr:colOff>
      <xdr:row>20</xdr:row>
      <xdr:rowOff>82550</xdr:rowOff>
    </xdr:from>
    <xdr:to>
      <xdr:col>15</xdr:col>
      <xdr:colOff>31750</xdr:colOff>
      <xdr:row>21</xdr:row>
      <xdr:rowOff>190500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>
          <a:spLocks noChangeShapeType="1"/>
        </xdr:cNvSpPr>
      </xdr:nvSpPr>
      <xdr:spPr bwMode="auto">
        <a:xfrm flipH="1">
          <a:off x="3213100" y="3911600"/>
          <a:ext cx="450850" cy="3175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17</xdr:col>
      <xdr:colOff>12700</xdr:colOff>
      <xdr:row>45</xdr:row>
      <xdr:rowOff>82550</xdr:rowOff>
    </xdr:from>
    <xdr:to>
      <xdr:col>17</xdr:col>
      <xdr:colOff>381000</xdr:colOff>
      <xdr:row>45</xdr:row>
      <xdr:rowOff>82550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>
          <a:spLocks noChangeShapeType="1"/>
        </xdr:cNvSpPr>
      </xdr:nvSpPr>
      <xdr:spPr bwMode="auto">
        <a:xfrm flipV="1">
          <a:off x="4476750" y="8382000"/>
          <a:ext cx="368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450850</xdr:colOff>
      <xdr:row>46</xdr:row>
      <xdr:rowOff>101600</xdr:rowOff>
    </xdr:from>
    <xdr:to>
      <xdr:col>17</xdr:col>
      <xdr:colOff>349250</xdr:colOff>
      <xdr:row>49</xdr:row>
      <xdr:rowOff>57150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>
          <a:spLocks noChangeShapeType="1"/>
        </xdr:cNvSpPr>
      </xdr:nvSpPr>
      <xdr:spPr bwMode="auto">
        <a:xfrm flipV="1">
          <a:off x="4464050" y="8559800"/>
          <a:ext cx="349250" cy="4381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482600</xdr:colOff>
      <xdr:row>49</xdr:row>
      <xdr:rowOff>95250</xdr:rowOff>
    </xdr:from>
    <xdr:to>
      <xdr:col>31</xdr:col>
      <xdr:colOff>387350</xdr:colOff>
      <xdr:row>49</xdr:row>
      <xdr:rowOff>95250</xdr:rowOff>
    </xdr:to>
    <xdr:sp macro="" textlink="">
      <xdr:nvSpPr>
        <xdr:cNvPr id="6" name="Line 6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>
          <a:spLocks noChangeShapeType="1"/>
        </xdr:cNvSpPr>
      </xdr:nvSpPr>
      <xdr:spPr bwMode="auto">
        <a:xfrm flipH="1" flipV="1">
          <a:off x="7486650" y="9036050"/>
          <a:ext cx="4953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374650</xdr:colOff>
      <xdr:row>37</xdr:row>
      <xdr:rowOff>12700</xdr:rowOff>
    </xdr:from>
    <xdr:to>
      <xdr:col>31</xdr:col>
      <xdr:colOff>374650</xdr:colOff>
      <xdr:row>49</xdr:row>
      <xdr:rowOff>95250</xdr:rowOff>
    </xdr:to>
    <xdr:sp macro="" textlink="">
      <xdr:nvSpPr>
        <xdr:cNvPr id="7" name="Line 7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>
          <a:spLocks noChangeShapeType="1"/>
        </xdr:cNvSpPr>
      </xdr:nvSpPr>
      <xdr:spPr bwMode="auto">
        <a:xfrm>
          <a:off x="7969250" y="7150100"/>
          <a:ext cx="0" cy="18859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80962</xdr:colOff>
      <xdr:row>25</xdr:row>
      <xdr:rowOff>109904</xdr:rowOff>
    </xdr:from>
    <xdr:to>
      <xdr:col>17</xdr:col>
      <xdr:colOff>347552</xdr:colOff>
      <xdr:row>27</xdr:row>
      <xdr:rowOff>106971</xdr:rowOff>
    </xdr:to>
    <xdr:sp macro="" textlink="">
      <xdr:nvSpPr>
        <xdr:cNvPr id="8" name="Text Box 1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>
          <a:spLocks noChangeArrowheads="1"/>
        </xdr:cNvSpPr>
      </xdr:nvSpPr>
      <xdr:spPr bwMode="auto">
        <a:xfrm>
          <a:off x="3586162" y="4974004"/>
          <a:ext cx="1225440" cy="390767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lnSpc>
              <a:spcPts val="900"/>
            </a:lnSpc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Position EOT </a:t>
          </a: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2.3 ft 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above Liner Packer</a:t>
          </a:r>
        </a:p>
      </xdr:txBody>
    </xdr:sp>
    <xdr:clientData/>
  </xdr:twoCellAnchor>
  <xdr:twoCellAnchor>
    <xdr:from>
      <xdr:col>10</xdr:col>
      <xdr:colOff>25400</xdr:colOff>
      <xdr:row>26</xdr:row>
      <xdr:rowOff>101600</xdr:rowOff>
    </xdr:from>
    <xdr:to>
      <xdr:col>14</xdr:col>
      <xdr:colOff>88900</xdr:colOff>
      <xdr:row>27</xdr:row>
      <xdr:rowOff>196850</xdr:rowOff>
    </xdr:to>
    <xdr:sp macro="" textlink="">
      <xdr:nvSpPr>
        <xdr:cNvPr id="9" name="Line 2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>
          <a:spLocks noChangeShapeType="1"/>
        </xdr:cNvSpPr>
      </xdr:nvSpPr>
      <xdr:spPr bwMode="auto">
        <a:xfrm flipH="1">
          <a:off x="3149600" y="5162550"/>
          <a:ext cx="444500" cy="292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87633</xdr:colOff>
      <xdr:row>15</xdr:row>
      <xdr:rowOff>41269</xdr:rowOff>
    </xdr:from>
    <xdr:to>
      <xdr:col>18</xdr:col>
      <xdr:colOff>1335</xdr:colOff>
      <xdr:row>17</xdr:row>
      <xdr:rowOff>19425</xdr:rowOff>
    </xdr:to>
    <xdr:sp macro="" textlink="">
      <xdr:nvSpPr>
        <xdr:cNvPr id="10" name="Text Box 1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>
          <a:spLocks noChangeArrowheads="1"/>
        </xdr:cNvSpPr>
      </xdr:nvSpPr>
      <xdr:spPr bwMode="auto">
        <a:xfrm>
          <a:off x="3592833" y="2822569"/>
          <a:ext cx="1253552" cy="397256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lnSpc>
              <a:spcPts val="900"/>
            </a:lnSpc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Prod Pkr Element </a:t>
          </a: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NOT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across any csg collar</a:t>
          </a:r>
        </a:p>
      </xdr:txBody>
    </xdr:sp>
    <xdr:clientData/>
  </xdr:twoCellAnchor>
  <xdr:twoCellAnchor>
    <xdr:from>
      <xdr:col>13</xdr:col>
      <xdr:colOff>25400</xdr:colOff>
      <xdr:row>16</xdr:row>
      <xdr:rowOff>107950</xdr:rowOff>
    </xdr:from>
    <xdr:to>
      <xdr:col>14</xdr:col>
      <xdr:colOff>127000</xdr:colOff>
      <xdr:row>17</xdr:row>
      <xdr:rowOff>0</xdr:rowOff>
    </xdr:to>
    <xdr:sp macro="" textlink="">
      <xdr:nvSpPr>
        <xdr:cNvPr id="11" name="Line 2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>
          <a:spLocks noChangeShapeType="1"/>
        </xdr:cNvSpPr>
      </xdr:nvSpPr>
      <xdr:spPr bwMode="auto">
        <a:xfrm flipH="1">
          <a:off x="3378200" y="3098800"/>
          <a:ext cx="254000" cy="1016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690218</xdr:colOff>
      <xdr:row>417</xdr:row>
      <xdr:rowOff>96631</xdr:rowOff>
    </xdr:from>
    <xdr:to>
      <xdr:col>3</xdr:col>
      <xdr:colOff>704022</xdr:colOff>
      <xdr:row>438</xdr:row>
      <xdr:rowOff>158750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2650435" y="68600707"/>
          <a:ext cx="13804" cy="3395869"/>
        </a:xfrm>
        <a:prstGeom prst="straightConnector1">
          <a:avLst/>
        </a:prstGeom>
        <a:ln>
          <a:solidFill>
            <a:sysClr val="windowText" lastClr="000000"/>
          </a:solidFill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48307</xdr:colOff>
      <xdr:row>427</xdr:row>
      <xdr:rowOff>82826</xdr:rowOff>
    </xdr:from>
    <xdr:ext cx="1276901" cy="69712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 rot="10800000" flipV="1">
          <a:off x="2008524" y="70174402"/>
          <a:ext cx="1276901" cy="697120"/>
        </a:xfrm>
        <a:prstGeom prst="rect">
          <a:avLst/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600" b="1" i="0" baseline="0">
              <a:latin typeface="Geneva"/>
            </a:rPr>
            <a:t>SPARE</a:t>
          </a:r>
          <a:r>
            <a:rPr lang="en-US" sz="2000" b="1" i="0" baseline="0">
              <a:latin typeface="Geneva"/>
            </a:rPr>
            <a:t> </a:t>
          </a:r>
        </a:p>
        <a:p>
          <a:pPr algn="ctr"/>
          <a:r>
            <a:rPr lang="en-US" sz="1600" b="1" i="0" baseline="0">
              <a:latin typeface="Geneva"/>
            </a:rPr>
            <a:t>JOINTS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25400</xdr:rowOff>
    </xdr:from>
    <xdr:to>
      <xdr:col>2</xdr:col>
      <xdr:colOff>44450</xdr:colOff>
      <xdr:row>3</xdr:row>
      <xdr:rowOff>50800</xdr:rowOff>
    </xdr:to>
    <xdr:pic>
      <xdr:nvPicPr>
        <xdr:cNvPr id="2" name="Picture 17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5400"/>
          <a:ext cx="1073150" cy="679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203200</xdr:colOff>
      <xdr:row>0</xdr:row>
      <xdr:rowOff>38100</xdr:rowOff>
    </xdr:from>
    <xdr:to>
      <xdr:col>4</xdr:col>
      <xdr:colOff>285750</xdr:colOff>
      <xdr:row>2</xdr:row>
      <xdr:rowOff>215900</xdr:rowOff>
    </xdr:to>
    <xdr:pic>
      <xdr:nvPicPr>
        <xdr:cNvPr id="3" name="Picture 155" descr="cid:image001.gif@01D374D0.A6E6A7B0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0950" y="38100"/>
          <a:ext cx="1390650" cy="603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25400</xdr:rowOff>
    </xdr:from>
    <xdr:to>
      <xdr:col>2</xdr:col>
      <xdr:colOff>44450</xdr:colOff>
      <xdr:row>3</xdr:row>
      <xdr:rowOff>50800</xdr:rowOff>
    </xdr:to>
    <xdr:pic>
      <xdr:nvPicPr>
        <xdr:cNvPr id="5" name="Picture 17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5400"/>
          <a:ext cx="1073150" cy="679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203200</xdr:colOff>
      <xdr:row>0</xdr:row>
      <xdr:rowOff>38100</xdr:rowOff>
    </xdr:from>
    <xdr:to>
      <xdr:col>4</xdr:col>
      <xdr:colOff>285750</xdr:colOff>
      <xdr:row>2</xdr:row>
      <xdr:rowOff>215900</xdr:rowOff>
    </xdr:to>
    <xdr:pic>
      <xdr:nvPicPr>
        <xdr:cNvPr id="6" name="Picture 155" descr="cid:image001.gif@01D374D0.A6E6A7B0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0950" y="38100"/>
          <a:ext cx="1390650" cy="603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25400</xdr:rowOff>
    </xdr:from>
    <xdr:to>
      <xdr:col>2</xdr:col>
      <xdr:colOff>44450</xdr:colOff>
      <xdr:row>3</xdr:row>
      <xdr:rowOff>50800</xdr:rowOff>
    </xdr:to>
    <xdr:pic>
      <xdr:nvPicPr>
        <xdr:cNvPr id="9" name="Picture 17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5400"/>
          <a:ext cx="1073150" cy="679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203200</xdr:colOff>
      <xdr:row>0</xdr:row>
      <xdr:rowOff>38100</xdr:rowOff>
    </xdr:from>
    <xdr:to>
      <xdr:col>4</xdr:col>
      <xdr:colOff>285750</xdr:colOff>
      <xdr:row>2</xdr:row>
      <xdr:rowOff>215900</xdr:rowOff>
    </xdr:to>
    <xdr:pic>
      <xdr:nvPicPr>
        <xdr:cNvPr id="10" name="Picture 155" descr="cid:image001.gif@01D374D0.A6E6A7B0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0950" y="38100"/>
          <a:ext cx="1390650" cy="603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25400</xdr:rowOff>
    </xdr:from>
    <xdr:to>
      <xdr:col>2</xdr:col>
      <xdr:colOff>44450</xdr:colOff>
      <xdr:row>3</xdr:row>
      <xdr:rowOff>50800</xdr:rowOff>
    </xdr:to>
    <xdr:pic>
      <xdr:nvPicPr>
        <xdr:cNvPr id="13" name="Picture 17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5400"/>
          <a:ext cx="1073150" cy="679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203200</xdr:colOff>
      <xdr:row>0</xdr:row>
      <xdr:rowOff>38100</xdr:rowOff>
    </xdr:from>
    <xdr:to>
      <xdr:col>4</xdr:col>
      <xdr:colOff>285750</xdr:colOff>
      <xdr:row>2</xdr:row>
      <xdr:rowOff>215900</xdr:rowOff>
    </xdr:to>
    <xdr:pic>
      <xdr:nvPicPr>
        <xdr:cNvPr id="14" name="Picture 155" descr="cid:image001.gif@01D374D0.A6E6A7B0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0950" y="38100"/>
          <a:ext cx="1390650" cy="603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19050</xdr:colOff>
      <xdr:row>0</xdr:row>
      <xdr:rowOff>25400</xdr:rowOff>
    </xdr:from>
    <xdr:to>
      <xdr:col>2</xdr:col>
      <xdr:colOff>44450</xdr:colOff>
      <xdr:row>3</xdr:row>
      <xdr:rowOff>50800</xdr:rowOff>
    </xdr:to>
    <xdr:pic>
      <xdr:nvPicPr>
        <xdr:cNvPr id="15" name="Picture 17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5400"/>
          <a:ext cx="1073150" cy="679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203200</xdr:colOff>
      <xdr:row>0</xdr:row>
      <xdr:rowOff>38100</xdr:rowOff>
    </xdr:from>
    <xdr:to>
      <xdr:col>4</xdr:col>
      <xdr:colOff>285750</xdr:colOff>
      <xdr:row>2</xdr:row>
      <xdr:rowOff>215900</xdr:rowOff>
    </xdr:to>
    <xdr:pic>
      <xdr:nvPicPr>
        <xdr:cNvPr id="16" name="Picture 155" descr="cid:image001.gif@01D374D0.A6E6A7B0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0950" y="38100"/>
          <a:ext cx="1390650" cy="603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457200</xdr:colOff>
      <xdr:row>329</xdr:row>
      <xdr:rowOff>82550</xdr:rowOff>
    </xdr:from>
    <xdr:to>
      <xdr:col>10</xdr:col>
      <xdr:colOff>63500</xdr:colOff>
      <xdr:row>329</xdr:row>
      <xdr:rowOff>107950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CxnSpPr/>
      </xdr:nvCxnSpPr>
      <xdr:spPr>
        <a:xfrm flipV="1">
          <a:off x="2159000" y="53155850"/>
          <a:ext cx="4457700" cy="25400"/>
        </a:xfrm>
        <a:prstGeom prst="straightConnector1">
          <a:avLst/>
        </a:prstGeom>
        <a:ln w="28575">
          <a:solidFill>
            <a:srgbClr val="00B0F0"/>
          </a:solidFill>
          <a:prstDash val="sysDot"/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19050</xdr:colOff>
      <xdr:row>0</xdr:row>
      <xdr:rowOff>25400</xdr:rowOff>
    </xdr:from>
    <xdr:to>
      <xdr:col>2</xdr:col>
      <xdr:colOff>44450</xdr:colOff>
      <xdr:row>3</xdr:row>
      <xdr:rowOff>50800</xdr:rowOff>
    </xdr:to>
    <xdr:pic>
      <xdr:nvPicPr>
        <xdr:cNvPr id="20" name="Picture 17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5400"/>
          <a:ext cx="1073150" cy="679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203200</xdr:colOff>
      <xdr:row>0</xdr:row>
      <xdr:rowOff>38100</xdr:rowOff>
    </xdr:from>
    <xdr:to>
      <xdr:col>4</xdr:col>
      <xdr:colOff>285750</xdr:colOff>
      <xdr:row>2</xdr:row>
      <xdr:rowOff>215900</xdr:rowOff>
    </xdr:to>
    <xdr:pic>
      <xdr:nvPicPr>
        <xdr:cNvPr id="22" name="Picture 155" descr="cid:image001.gif@01D374D0.A6E6A7B0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0950" y="38100"/>
          <a:ext cx="1390650" cy="603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590550</xdr:colOff>
      <xdr:row>293</xdr:row>
      <xdr:rowOff>139700</xdr:rowOff>
    </xdr:from>
    <xdr:to>
      <xdr:col>10</xdr:col>
      <xdr:colOff>387350</xdr:colOff>
      <xdr:row>297</xdr:row>
      <xdr:rowOff>99360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CxnSpPr/>
      </xdr:nvCxnSpPr>
      <xdr:spPr>
        <a:xfrm flipV="1">
          <a:off x="5499100" y="47434500"/>
          <a:ext cx="1441450" cy="613710"/>
        </a:xfrm>
        <a:prstGeom prst="straightConnector1">
          <a:avLst/>
        </a:prstGeom>
        <a:ln w="28575">
          <a:solidFill>
            <a:srgbClr val="00B0F0"/>
          </a:solidFill>
          <a:prstDash val="sysDot"/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19050</xdr:colOff>
      <xdr:row>0</xdr:row>
      <xdr:rowOff>25400</xdr:rowOff>
    </xdr:from>
    <xdr:to>
      <xdr:col>2</xdr:col>
      <xdr:colOff>44450</xdr:colOff>
      <xdr:row>3</xdr:row>
      <xdr:rowOff>50800</xdr:rowOff>
    </xdr:to>
    <xdr:pic>
      <xdr:nvPicPr>
        <xdr:cNvPr id="24" name="Picture 17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5400"/>
          <a:ext cx="1073150" cy="679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203200</xdr:colOff>
      <xdr:row>0</xdr:row>
      <xdr:rowOff>38100</xdr:rowOff>
    </xdr:from>
    <xdr:to>
      <xdr:col>4</xdr:col>
      <xdr:colOff>285750</xdr:colOff>
      <xdr:row>2</xdr:row>
      <xdr:rowOff>215900</xdr:rowOff>
    </xdr:to>
    <xdr:pic>
      <xdr:nvPicPr>
        <xdr:cNvPr id="25" name="Picture 155" descr="cid:image001.gif@01D374D0.A6E6A7B0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r:link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50950" y="38100"/>
          <a:ext cx="1390650" cy="603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workbookViewId="0"/>
  </sheetViews>
  <sheetFormatPr defaultRowHeight="12.75"/>
  <sheetData/>
  <phoneticPr fontId="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FFC000"/>
  </sheetPr>
  <dimension ref="A1:S503"/>
  <sheetViews>
    <sheetView showGridLines="0" tabSelected="1" defaultGridColor="0" colorId="10" zoomScaleNormal="100" zoomScaleSheetLayoutView="100" workbookViewId="0">
      <selection activeCell="A10" sqref="A10:M467"/>
    </sheetView>
  </sheetViews>
  <sheetFormatPr defaultColWidth="11.42578125" defaultRowHeight="12.75"/>
  <cols>
    <col min="1" max="1" width="3.7109375" customWidth="1"/>
    <col min="2" max="2" width="9.28515625" style="1" customWidth="1"/>
    <col min="3" max="3" width="5.7109375" style="28" customWidth="1"/>
    <col min="4" max="5" width="9.42578125" style="7" customWidth="1"/>
    <col min="6" max="6" width="8.140625" style="2" customWidth="1"/>
    <col min="7" max="7" width="10.85546875" style="2" customWidth="1"/>
    <col min="8" max="8" width="7.85546875" style="2" customWidth="1"/>
    <col min="9" max="9" width="9.7109375" style="2" customWidth="1"/>
    <col min="10" max="10" width="10" style="2" customWidth="1"/>
    <col min="11" max="11" width="13.5703125" style="5" customWidth="1"/>
    <col min="12" max="12" width="14.140625" style="10" customWidth="1"/>
    <col min="13" max="13" width="16.28515625" customWidth="1"/>
    <col min="14" max="14" width="10.5703125" customWidth="1"/>
    <col min="15" max="16" width="5.85546875" customWidth="1"/>
    <col min="17" max="17" width="3" style="377" customWidth="1"/>
    <col min="18" max="18" width="8.85546875" customWidth="1"/>
    <col min="19" max="19" width="6.5703125" customWidth="1"/>
  </cols>
  <sheetData>
    <row r="1" spans="1:19" ht="18" customHeight="1">
      <c r="A1" s="831" t="s">
        <v>232</v>
      </c>
      <c r="B1" s="34"/>
      <c r="C1" s="184"/>
      <c r="D1" s="185"/>
      <c r="E1" s="186"/>
      <c r="F1" s="187"/>
      <c r="G1" s="188"/>
      <c r="H1" s="187"/>
      <c r="I1" s="189" t="s">
        <v>14</v>
      </c>
      <c r="J1" s="190"/>
      <c r="K1" s="191"/>
      <c r="L1" s="192" t="s">
        <v>262</v>
      </c>
      <c r="M1" s="193"/>
    </row>
    <row r="2" spans="1:19" ht="15.75">
      <c r="A2" s="832"/>
      <c r="B2" s="197"/>
      <c r="C2" s="11"/>
      <c r="D2" s="20"/>
      <c r="E2" s="20"/>
      <c r="F2" s="3"/>
      <c r="G2" s="29"/>
      <c r="H2" s="3"/>
      <c r="I2" s="21" t="s">
        <v>15</v>
      </c>
      <c r="J2" s="8"/>
      <c r="K2" s="15" t="s">
        <v>13</v>
      </c>
      <c r="L2" s="354">
        <v>43422</v>
      </c>
      <c r="M2" s="194"/>
    </row>
    <row r="3" spans="1:19" ht="18">
      <c r="A3" s="832"/>
      <c r="B3" s="195"/>
      <c r="C3" s="27"/>
      <c r="D3" s="6"/>
      <c r="E3" s="14"/>
      <c r="F3" s="3"/>
      <c r="G3" s="22" t="s">
        <v>0</v>
      </c>
      <c r="H3" s="22" t="s">
        <v>215</v>
      </c>
      <c r="I3" s="14"/>
      <c r="J3" s="14"/>
      <c r="K3" s="4" t="s">
        <v>80</v>
      </c>
      <c r="L3" s="9" t="s">
        <v>214</v>
      </c>
      <c r="M3" s="173"/>
      <c r="P3" s="19"/>
    </row>
    <row r="4" spans="1:19" ht="13.5" thickBot="1">
      <c r="A4" s="832"/>
      <c r="B4" s="196"/>
      <c r="C4" s="11"/>
      <c r="D4" s="6"/>
      <c r="E4" s="14"/>
      <c r="F4" s="3"/>
      <c r="G4" s="22" t="s">
        <v>1</v>
      </c>
      <c r="H4" s="321" t="s">
        <v>216</v>
      </c>
      <c r="I4" s="14"/>
      <c r="J4" s="9"/>
      <c r="K4" s="4" t="s">
        <v>17</v>
      </c>
      <c r="L4" s="9" t="s">
        <v>213</v>
      </c>
      <c r="M4" s="173"/>
      <c r="P4" s="19"/>
      <c r="R4" s="218"/>
    </row>
    <row r="5" spans="1:19" ht="13.5" thickBot="1">
      <c r="A5" s="832"/>
      <c r="B5" s="197"/>
      <c r="C5" s="11"/>
      <c r="D5" s="25"/>
      <c r="E5" s="6"/>
      <c r="F5" s="3"/>
      <c r="G5" s="22" t="s">
        <v>196</v>
      </c>
      <c r="H5" s="322" t="s">
        <v>162</v>
      </c>
      <c r="I5" s="14"/>
      <c r="J5" s="14"/>
      <c r="K5" s="15" t="s">
        <v>81</v>
      </c>
      <c r="L5" s="476">
        <v>1312.41</v>
      </c>
      <c r="M5" s="173" t="s">
        <v>31</v>
      </c>
      <c r="P5" s="19"/>
    </row>
    <row r="6" spans="1:19" ht="13.5" thickBot="1">
      <c r="A6" s="832"/>
      <c r="B6" s="197"/>
      <c r="C6" s="11"/>
      <c r="D6" s="264" t="s">
        <v>77</v>
      </c>
      <c r="E6" s="265" t="s">
        <v>26</v>
      </c>
      <c r="F6" s="266" t="s">
        <v>111</v>
      </c>
      <c r="G6" s="22" t="s">
        <v>2</v>
      </c>
      <c r="H6" s="322">
        <v>128</v>
      </c>
      <c r="I6" s="570" t="s">
        <v>78</v>
      </c>
      <c r="J6" s="571"/>
      <c r="K6" s="15" t="s">
        <v>18</v>
      </c>
      <c r="L6" s="261">
        <v>13771.862500000001</v>
      </c>
      <c r="M6" s="173" t="s">
        <v>31</v>
      </c>
      <c r="N6" s="218"/>
      <c r="O6" s="218"/>
      <c r="P6" s="218"/>
    </row>
    <row r="7" spans="1:19" ht="13.5" thickBot="1">
      <c r="A7" s="832"/>
      <c r="B7" s="197"/>
      <c r="C7" s="11"/>
      <c r="D7" s="207" t="s">
        <v>3</v>
      </c>
      <c r="E7" s="212">
        <v>33.700000000000003</v>
      </c>
      <c r="F7" s="213">
        <v>26</v>
      </c>
      <c r="G7" s="22" t="s">
        <v>4</v>
      </c>
      <c r="H7" s="500">
        <v>11.4</v>
      </c>
      <c r="I7" s="568" t="s">
        <v>199</v>
      </c>
      <c r="J7" s="569"/>
      <c r="K7" s="15" t="s">
        <v>5</v>
      </c>
      <c r="L7" s="262">
        <v>22279</v>
      </c>
      <c r="M7" s="173" t="s">
        <v>31</v>
      </c>
      <c r="N7" s="218"/>
      <c r="O7" s="218"/>
      <c r="P7" s="218"/>
      <c r="R7" s="19"/>
    </row>
    <row r="8" spans="1:19" ht="13.5" thickBot="1">
      <c r="A8" s="832"/>
      <c r="B8" s="197"/>
      <c r="C8" s="11"/>
      <c r="D8" s="290" t="s">
        <v>6</v>
      </c>
      <c r="E8" s="214" t="s">
        <v>16</v>
      </c>
      <c r="F8" s="214" t="s">
        <v>82</v>
      </c>
      <c r="G8" s="22" t="s">
        <v>7</v>
      </c>
      <c r="H8" s="431">
        <f>(65.45-H7)/65.45</f>
        <v>0.8258212375859435</v>
      </c>
      <c r="I8" s="430"/>
      <c r="J8" s="14"/>
      <c r="K8" s="15" t="s">
        <v>19</v>
      </c>
      <c r="L8" s="476">
        <v>22269</v>
      </c>
      <c r="M8" s="173" t="s">
        <v>31</v>
      </c>
    </row>
    <row r="9" spans="1:19" ht="13.5" thickBot="1">
      <c r="A9" s="832"/>
      <c r="B9" s="201"/>
      <c r="C9" s="656" t="s">
        <v>10</v>
      </c>
      <c r="D9" s="657"/>
      <c r="E9" s="288">
        <f>3.783/12</f>
        <v>0.31524999999999997</v>
      </c>
      <c r="F9" s="289">
        <f>4.776/12</f>
        <v>0.39799999999999996</v>
      </c>
      <c r="G9" s="206"/>
      <c r="H9" s="208"/>
      <c r="I9" s="208"/>
      <c r="J9" s="209"/>
      <c r="K9" s="210" t="s">
        <v>30</v>
      </c>
      <c r="L9" s="352">
        <f>L6+F13-G12</f>
        <v>13789.5525</v>
      </c>
      <c r="M9" s="349" t="s">
        <v>31</v>
      </c>
      <c r="N9" s="19"/>
    </row>
    <row r="10" spans="1:19" ht="12.6" customHeight="1">
      <c r="A10" s="832"/>
      <c r="B10" s="636" t="s">
        <v>97</v>
      </c>
      <c r="C10" s="658"/>
      <c r="D10" s="638"/>
      <c r="E10" s="662" t="s">
        <v>96</v>
      </c>
      <c r="F10" s="613" t="s">
        <v>71</v>
      </c>
      <c r="G10" s="613" t="s">
        <v>72</v>
      </c>
      <c r="H10" s="613" t="s">
        <v>73</v>
      </c>
      <c r="I10" s="613" t="s">
        <v>74</v>
      </c>
      <c r="J10" s="613" t="s">
        <v>75</v>
      </c>
      <c r="K10" s="636" t="s">
        <v>76</v>
      </c>
      <c r="L10" s="636" t="s">
        <v>70</v>
      </c>
      <c r="M10" s="638"/>
      <c r="N10" s="19"/>
    </row>
    <row r="11" spans="1:19" ht="14.1" customHeight="1" thickBot="1">
      <c r="A11" s="833"/>
      <c r="B11" s="659"/>
      <c r="C11" s="660"/>
      <c r="D11" s="661"/>
      <c r="E11" s="663"/>
      <c r="F11" s="614"/>
      <c r="G11" s="614"/>
      <c r="H11" s="614"/>
      <c r="I11" s="614"/>
      <c r="J11" s="614"/>
      <c r="K11" s="637"/>
      <c r="L11" s="637"/>
      <c r="M11" s="639"/>
      <c r="N11" s="19"/>
      <c r="R11" s="19"/>
    </row>
    <row r="12" spans="1:19" ht="13.5" thickBot="1">
      <c r="A12" s="482"/>
      <c r="B12" s="640" t="s">
        <v>67</v>
      </c>
      <c r="C12" s="628"/>
      <c r="D12" s="628"/>
      <c r="E12" s="641"/>
      <c r="F12" s="230">
        <v>1.87</v>
      </c>
      <c r="G12" s="231">
        <v>1.87</v>
      </c>
      <c r="H12" s="231" t="s">
        <v>9</v>
      </c>
      <c r="I12" s="279">
        <v>1.87</v>
      </c>
      <c r="J12" s="281">
        <v>13769.9925</v>
      </c>
      <c r="K12" s="280">
        <v>128.04015142857142</v>
      </c>
      <c r="L12" s="642"/>
      <c r="M12" s="643"/>
      <c r="N12" s="218"/>
      <c r="O12" s="218"/>
      <c r="P12" s="218"/>
    </row>
    <row r="13" spans="1:19" ht="12.95" customHeight="1" thickBot="1">
      <c r="A13" s="531">
        <v>1</v>
      </c>
      <c r="B13" s="644" t="s">
        <v>23</v>
      </c>
      <c r="C13" s="647" t="s">
        <v>217</v>
      </c>
      <c r="D13" s="650" t="s">
        <v>21</v>
      </c>
      <c r="E13" s="651"/>
      <c r="F13" s="242">
        <v>19.559999999999999</v>
      </c>
      <c r="G13" s="242">
        <v>19.559999999999999</v>
      </c>
      <c r="H13" s="267" t="s">
        <v>11</v>
      </c>
      <c r="I13" s="242">
        <v>1.87</v>
      </c>
      <c r="J13" s="242">
        <v>13769.9925</v>
      </c>
      <c r="K13" s="243">
        <v>128.04015142857142</v>
      </c>
      <c r="L13" s="652" t="s">
        <v>218</v>
      </c>
      <c r="M13" s="653"/>
      <c r="N13" s="19"/>
      <c r="O13" s="218"/>
      <c r="P13" s="218"/>
      <c r="R13" s="630" t="s">
        <v>177</v>
      </c>
      <c r="S13" s="631" t="s">
        <v>178</v>
      </c>
    </row>
    <row r="14" spans="1:19" ht="12.95" customHeight="1">
      <c r="A14" s="532"/>
      <c r="B14" s="645"/>
      <c r="C14" s="648"/>
      <c r="D14" s="632" t="s">
        <v>20</v>
      </c>
      <c r="E14" s="633"/>
      <c r="F14" s="241">
        <v>2.72</v>
      </c>
      <c r="G14" s="241">
        <v>2.72</v>
      </c>
      <c r="H14" s="241" t="s">
        <v>9</v>
      </c>
      <c r="I14" s="241">
        <v>4.59</v>
      </c>
      <c r="J14" s="241">
        <v>13767.272500000001</v>
      </c>
      <c r="K14" s="244">
        <v>128.09855350649352</v>
      </c>
      <c r="L14" s="654"/>
      <c r="M14" s="655"/>
      <c r="N14" s="19"/>
      <c r="R14" s="630"/>
      <c r="S14" s="631"/>
    </row>
    <row r="15" spans="1:19" ht="12.6" customHeight="1" thickBot="1">
      <c r="A15" s="533"/>
      <c r="B15" s="646"/>
      <c r="C15" s="649"/>
      <c r="D15" s="634" t="s">
        <v>22</v>
      </c>
      <c r="E15" s="635"/>
      <c r="F15" s="245">
        <v>14.8</v>
      </c>
      <c r="G15" s="245">
        <v>14.8</v>
      </c>
      <c r="H15" s="245" t="s">
        <v>9</v>
      </c>
      <c r="I15" s="245">
        <v>19.39</v>
      </c>
      <c r="J15" s="245">
        <v>13752.472500000002</v>
      </c>
      <c r="K15" s="246">
        <v>128.41632951871657</v>
      </c>
      <c r="L15" s="529"/>
      <c r="M15" s="530"/>
      <c r="N15" s="19"/>
      <c r="R15" s="630"/>
      <c r="S15" s="631"/>
    </row>
    <row r="16" spans="1:19" s="17" customFormat="1" ht="13.5" thickBot="1">
      <c r="A16" s="495">
        <v>2</v>
      </c>
      <c r="B16" s="617" t="s">
        <v>223</v>
      </c>
      <c r="C16" s="618"/>
      <c r="D16" s="619"/>
      <c r="E16" s="463" t="s">
        <v>240</v>
      </c>
      <c r="F16" s="464">
        <v>10.199999999999999</v>
      </c>
      <c r="G16" s="442">
        <v>9.8019999999999996</v>
      </c>
      <c r="H16" s="442" t="s">
        <v>9</v>
      </c>
      <c r="I16" s="443">
        <v>29.192</v>
      </c>
      <c r="J16" s="443">
        <v>13742.670500000002</v>
      </c>
      <c r="K16" s="444">
        <v>128.62679171275784</v>
      </c>
      <c r="L16" s="615"/>
      <c r="M16" s="616"/>
      <c r="N16" s="24"/>
      <c r="O16" s="24"/>
      <c r="P16" s="24"/>
      <c r="Q16" s="377" t="str">
        <f>E16</f>
        <v>10-A</v>
      </c>
      <c r="R16" s="350">
        <v>10.199999999999999</v>
      </c>
      <c r="S16" s="351" t="str">
        <f t="shared" ref="S16:S79" si="0">IF(F16-R16=0,"OK","FALSE")</f>
        <v>OK</v>
      </c>
    </row>
    <row r="17" spans="1:19" ht="12.95" customHeight="1">
      <c r="A17" s="531">
        <v>3</v>
      </c>
      <c r="B17" s="620" t="s">
        <v>25</v>
      </c>
      <c r="C17" s="623" t="s">
        <v>219</v>
      </c>
      <c r="D17" s="626" t="s">
        <v>24</v>
      </c>
      <c r="E17" s="627"/>
      <c r="F17" s="230">
        <v>10.199999999999999</v>
      </c>
      <c r="G17" s="230">
        <v>9.8019999999999996</v>
      </c>
      <c r="H17" s="230" t="s">
        <v>9</v>
      </c>
      <c r="I17" s="437">
        <v>38.994</v>
      </c>
      <c r="J17" s="437">
        <v>13732.8685</v>
      </c>
      <c r="K17" s="438">
        <v>128.83725390679908</v>
      </c>
      <c r="L17" s="628" t="s">
        <v>198</v>
      </c>
      <c r="M17" s="629"/>
      <c r="N17" s="19"/>
      <c r="O17" s="19"/>
      <c r="P17" s="19"/>
      <c r="Q17" s="601" t="s">
        <v>188</v>
      </c>
      <c r="R17" s="380">
        <v>10.199999999999999</v>
      </c>
      <c r="S17" s="381" t="str">
        <f t="shared" si="0"/>
        <v>OK</v>
      </c>
    </row>
    <row r="18" spans="1:19" ht="12.95" customHeight="1">
      <c r="A18" s="532"/>
      <c r="B18" s="621"/>
      <c r="C18" s="624"/>
      <c r="D18" s="602" t="s">
        <v>83</v>
      </c>
      <c r="E18" s="603"/>
      <c r="F18" s="234">
        <v>9.9499999999999993</v>
      </c>
      <c r="G18" s="234">
        <v>9.9499999999999993</v>
      </c>
      <c r="H18" s="234" t="s">
        <v>9</v>
      </c>
      <c r="I18" s="234">
        <v>48.944000000000003</v>
      </c>
      <c r="J18" s="234">
        <v>13722.918500000002</v>
      </c>
      <c r="K18" s="249">
        <v>129.05089386096256</v>
      </c>
      <c r="L18" s="604" t="s">
        <v>220</v>
      </c>
      <c r="M18" s="605"/>
      <c r="N18" s="19"/>
      <c r="O18" s="19"/>
      <c r="P18" s="19"/>
      <c r="Q18" s="601"/>
      <c r="R18" s="380">
        <v>9.9499999999999993</v>
      </c>
      <c r="S18" s="381" t="str">
        <f t="shared" si="0"/>
        <v>OK</v>
      </c>
    </row>
    <row r="19" spans="1:19" ht="12.95" customHeight="1">
      <c r="A19" s="532"/>
      <c r="B19" s="621"/>
      <c r="C19" s="624"/>
      <c r="D19" s="606" t="s">
        <v>28</v>
      </c>
      <c r="E19" s="607"/>
      <c r="F19" s="232">
        <v>5.71</v>
      </c>
      <c r="G19" s="232">
        <v>5.71</v>
      </c>
      <c r="H19" s="232" t="s">
        <v>9</v>
      </c>
      <c r="I19" s="233">
        <v>54.654000000000003</v>
      </c>
      <c r="J19" s="232">
        <v>13717.208500000001</v>
      </c>
      <c r="K19" s="237">
        <v>129.17349528189459</v>
      </c>
      <c r="L19" s="608" t="s">
        <v>221</v>
      </c>
      <c r="M19" s="605"/>
      <c r="N19" s="19"/>
      <c r="O19" s="19"/>
      <c r="P19" s="19"/>
      <c r="Q19" s="601"/>
      <c r="R19" s="468">
        <v>5.71</v>
      </c>
      <c r="S19" s="381" t="str">
        <f t="shared" si="0"/>
        <v>OK</v>
      </c>
    </row>
    <row r="20" spans="1:19" ht="12.95" customHeight="1" thickBot="1">
      <c r="A20" s="533"/>
      <c r="B20" s="622"/>
      <c r="C20" s="625"/>
      <c r="D20" s="609" t="s">
        <v>24</v>
      </c>
      <c r="E20" s="610"/>
      <c r="F20" s="238">
        <v>9.8000000000000007</v>
      </c>
      <c r="G20" s="238">
        <v>9.8000000000000007</v>
      </c>
      <c r="H20" s="238" t="s">
        <v>9</v>
      </c>
      <c r="I20" s="239">
        <v>64.454000000000008</v>
      </c>
      <c r="J20" s="238">
        <v>13707.408500000001</v>
      </c>
      <c r="K20" s="240">
        <v>129.38391453323146</v>
      </c>
      <c r="L20" s="611" t="s">
        <v>169</v>
      </c>
      <c r="M20" s="612"/>
      <c r="N20" s="19"/>
      <c r="O20" s="19"/>
      <c r="P20" s="19"/>
      <c r="Q20" s="601"/>
      <c r="R20" s="468">
        <v>9.8000000000000007</v>
      </c>
      <c r="S20" s="381" t="str">
        <f t="shared" si="0"/>
        <v>OK</v>
      </c>
    </row>
    <row r="21" spans="1:19" s="17" customFormat="1" ht="14.1" customHeight="1" thickBot="1">
      <c r="A21" s="496">
        <v>4</v>
      </c>
      <c r="B21" s="540" t="s">
        <v>98</v>
      </c>
      <c r="C21" s="541"/>
      <c r="D21" s="542"/>
      <c r="E21" s="211">
        <v>319</v>
      </c>
      <c r="F21" s="347">
        <v>33.92</v>
      </c>
      <c r="G21" s="18">
        <v>33.521999999999998</v>
      </c>
      <c r="H21" s="18" t="s">
        <v>9</v>
      </c>
      <c r="I21" s="18">
        <v>97.975999999999999</v>
      </c>
      <c r="J21" s="18">
        <v>13673.886500000001</v>
      </c>
      <c r="K21" s="216">
        <v>130.10367720091674</v>
      </c>
      <c r="L21" s="229"/>
      <c r="M21" s="173"/>
      <c r="N21" s="593" t="s">
        <v>175</v>
      </c>
      <c r="O21" s="595" t="s">
        <v>176</v>
      </c>
      <c r="P21" s="382"/>
      <c r="Q21" s="377">
        <f t="shared" ref="Q21:Q84" si="1">E21</f>
        <v>319</v>
      </c>
      <c r="R21" s="350">
        <v>33.92</v>
      </c>
      <c r="S21" s="351" t="str">
        <f t="shared" si="0"/>
        <v>OK</v>
      </c>
    </row>
    <row r="22" spans="1:19" s="17" customFormat="1" ht="14.1" customHeight="1">
      <c r="A22" s="497">
        <v>5</v>
      </c>
      <c r="B22" s="540" t="s">
        <v>98</v>
      </c>
      <c r="C22" s="541"/>
      <c r="D22" s="542"/>
      <c r="E22" s="211">
        <v>318</v>
      </c>
      <c r="F22" s="347">
        <v>32.33</v>
      </c>
      <c r="G22" s="18">
        <v>31.931999999999999</v>
      </c>
      <c r="H22" s="18" t="s">
        <v>9</v>
      </c>
      <c r="I22" s="18">
        <v>129.90799999999999</v>
      </c>
      <c r="J22" s="18">
        <v>13641.954500000002</v>
      </c>
      <c r="K22" s="216">
        <v>130.78930041864018</v>
      </c>
      <c r="L22" s="597" t="s">
        <v>32</v>
      </c>
      <c r="M22" s="598"/>
      <c r="N22" s="594"/>
      <c r="O22" s="596"/>
      <c r="P22" s="382"/>
      <c r="Q22" s="377">
        <f t="shared" si="1"/>
        <v>318</v>
      </c>
      <c r="R22" s="350">
        <v>32.33</v>
      </c>
      <c r="S22" s="351" t="str">
        <f t="shared" si="0"/>
        <v>OK</v>
      </c>
    </row>
    <row r="23" spans="1:19" s="17" customFormat="1" ht="14.1" customHeight="1" thickBot="1">
      <c r="A23" s="497">
        <v>6</v>
      </c>
      <c r="B23" s="540" t="s">
        <v>98</v>
      </c>
      <c r="C23" s="541"/>
      <c r="D23" s="542"/>
      <c r="E23" s="211">
        <v>317</v>
      </c>
      <c r="F23" s="347">
        <v>33.729999999999997</v>
      </c>
      <c r="G23" s="18">
        <v>33.331999999999994</v>
      </c>
      <c r="H23" s="18" t="s">
        <v>9</v>
      </c>
      <c r="I23" s="18">
        <v>163.23999999999998</v>
      </c>
      <c r="J23" s="18">
        <v>13608.622500000001</v>
      </c>
      <c r="K23" s="216">
        <v>131.50498352941176</v>
      </c>
      <c r="L23" s="599" t="s">
        <v>222</v>
      </c>
      <c r="M23" s="600"/>
      <c r="N23" s="477">
        <f>J18-13742.68</f>
        <v>-19.761499999998705</v>
      </c>
      <c r="O23" s="477">
        <f>J18-13706.4</f>
        <v>16.51850000000195</v>
      </c>
      <c r="P23" s="383"/>
      <c r="Q23" s="377">
        <f t="shared" si="1"/>
        <v>317</v>
      </c>
      <c r="R23" s="350">
        <v>33.729999999999997</v>
      </c>
      <c r="S23" s="351" t="str">
        <f t="shared" si="0"/>
        <v>OK</v>
      </c>
    </row>
    <row r="24" spans="1:19" s="17" customFormat="1" ht="14.1" customHeight="1">
      <c r="A24" s="497">
        <v>7</v>
      </c>
      <c r="B24" s="540" t="s">
        <v>98</v>
      </c>
      <c r="C24" s="541"/>
      <c r="D24" s="542"/>
      <c r="E24" s="211">
        <v>316</v>
      </c>
      <c r="F24" s="347">
        <v>33.47</v>
      </c>
      <c r="G24" s="18">
        <v>33.071999999999996</v>
      </c>
      <c r="H24" s="18" t="s">
        <v>9</v>
      </c>
      <c r="I24" s="18">
        <v>196.31199999999998</v>
      </c>
      <c r="J24" s="18">
        <v>13575.550500000001</v>
      </c>
      <c r="K24" s="216">
        <v>132.21508408861726</v>
      </c>
      <c r="L24" s="196"/>
      <c r="M24" s="198"/>
      <c r="N24" s="31"/>
      <c r="O24" s="31"/>
      <c r="P24" s="31"/>
      <c r="Q24" s="377">
        <f t="shared" si="1"/>
        <v>316</v>
      </c>
      <c r="R24" s="350">
        <v>33.47</v>
      </c>
      <c r="S24" s="351" t="str">
        <f t="shared" si="0"/>
        <v>OK</v>
      </c>
    </row>
    <row r="25" spans="1:19" s="17" customFormat="1" ht="14.1" customHeight="1" thickBot="1">
      <c r="A25" s="497">
        <v>8</v>
      </c>
      <c r="B25" s="540" t="s">
        <v>98</v>
      </c>
      <c r="C25" s="541"/>
      <c r="D25" s="542"/>
      <c r="E25" s="211">
        <v>315</v>
      </c>
      <c r="F25" s="347">
        <v>33.590000000000003</v>
      </c>
      <c r="G25" s="18">
        <v>33.192</v>
      </c>
      <c r="H25" s="18" t="s">
        <v>9</v>
      </c>
      <c r="I25" s="18">
        <v>229.50399999999999</v>
      </c>
      <c r="J25" s="18">
        <v>13542.3585</v>
      </c>
      <c r="K25" s="216">
        <v>132.92776121008404</v>
      </c>
      <c r="L25" s="196"/>
      <c r="M25" s="198"/>
      <c r="N25" s="24"/>
      <c r="O25" s="24"/>
      <c r="P25" s="24"/>
      <c r="Q25" s="377">
        <f t="shared" si="1"/>
        <v>315</v>
      </c>
      <c r="R25" s="350">
        <v>33.590000000000003</v>
      </c>
      <c r="S25" s="351" t="str">
        <f t="shared" si="0"/>
        <v>OK</v>
      </c>
    </row>
    <row r="26" spans="1:19" s="17" customFormat="1" ht="14.1" customHeight="1">
      <c r="A26" s="497">
        <v>9</v>
      </c>
      <c r="B26" s="540" t="s">
        <v>98</v>
      </c>
      <c r="C26" s="541"/>
      <c r="D26" s="542"/>
      <c r="E26" s="211">
        <v>314</v>
      </c>
      <c r="F26" s="347">
        <v>33.630000000000003</v>
      </c>
      <c r="G26" s="18">
        <v>33.231999999999999</v>
      </c>
      <c r="H26" s="18" t="s">
        <v>9</v>
      </c>
      <c r="I26" s="18">
        <v>262.73599999999999</v>
      </c>
      <c r="J26" s="18">
        <v>13509.1265</v>
      </c>
      <c r="K26" s="216">
        <v>133.64129718563788</v>
      </c>
      <c r="L26" s="589" t="s">
        <v>104</v>
      </c>
      <c r="M26" s="590"/>
      <c r="N26" s="24"/>
      <c r="O26" s="24"/>
      <c r="P26" s="24"/>
      <c r="Q26" s="377">
        <f t="shared" si="1"/>
        <v>314</v>
      </c>
      <c r="R26" s="350">
        <v>33.630000000000003</v>
      </c>
      <c r="S26" s="351" t="str">
        <f t="shared" si="0"/>
        <v>OK</v>
      </c>
    </row>
    <row r="27" spans="1:19" s="17" customFormat="1" ht="14.1" customHeight="1" thickBot="1">
      <c r="A27" s="497">
        <v>10</v>
      </c>
      <c r="B27" s="540" t="s">
        <v>98</v>
      </c>
      <c r="C27" s="541"/>
      <c r="D27" s="542"/>
      <c r="E27" s="211">
        <v>313</v>
      </c>
      <c r="F27" s="347">
        <v>33.54</v>
      </c>
      <c r="G27" s="18">
        <v>33.141999999999996</v>
      </c>
      <c r="H27" s="18" t="s">
        <v>9</v>
      </c>
      <c r="I27" s="18">
        <v>295.87799999999999</v>
      </c>
      <c r="J27" s="18">
        <v>13475.9845</v>
      </c>
      <c r="K27" s="216">
        <v>134.35290073949579</v>
      </c>
      <c r="L27" s="591" t="s">
        <v>105</v>
      </c>
      <c r="M27" s="592"/>
      <c r="N27" s="24"/>
      <c r="O27" s="24"/>
      <c r="P27" s="24"/>
      <c r="Q27" s="377">
        <f t="shared" si="1"/>
        <v>313</v>
      </c>
      <c r="R27" s="350">
        <v>33.54</v>
      </c>
      <c r="S27" s="351" t="str">
        <f t="shared" si="0"/>
        <v>OK</v>
      </c>
    </row>
    <row r="28" spans="1:19" s="17" customFormat="1" ht="12.95" customHeight="1" thickBot="1">
      <c r="A28" s="497">
        <v>11</v>
      </c>
      <c r="B28" s="540" t="s">
        <v>98</v>
      </c>
      <c r="C28" s="541"/>
      <c r="D28" s="542"/>
      <c r="E28" s="211">
        <v>312</v>
      </c>
      <c r="F28" s="347">
        <v>33.82</v>
      </c>
      <c r="G28" s="18">
        <v>33.421999999999997</v>
      </c>
      <c r="H28" s="18" t="s">
        <v>9</v>
      </c>
      <c r="I28" s="18">
        <v>329.29999999999995</v>
      </c>
      <c r="J28" s="18">
        <v>13442.562500000002</v>
      </c>
      <c r="K28" s="216">
        <v>135.07051627196333</v>
      </c>
      <c r="L28" s="196"/>
      <c r="M28" s="198"/>
      <c r="N28" s="24"/>
      <c r="O28" s="24"/>
      <c r="P28" s="24"/>
      <c r="Q28" s="377">
        <f t="shared" si="1"/>
        <v>312</v>
      </c>
      <c r="R28" s="350">
        <v>33.82</v>
      </c>
      <c r="S28" s="351" t="str">
        <f t="shared" si="0"/>
        <v>OK</v>
      </c>
    </row>
    <row r="29" spans="1:19" s="17" customFormat="1" ht="12.95" customHeight="1">
      <c r="A29" s="497">
        <v>12</v>
      </c>
      <c r="B29" s="540" t="s">
        <v>98</v>
      </c>
      <c r="C29" s="541"/>
      <c r="D29" s="542"/>
      <c r="E29" s="211">
        <v>311</v>
      </c>
      <c r="F29" s="347">
        <v>33.130000000000003</v>
      </c>
      <c r="G29" s="18">
        <v>32.731999999999999</v>
      </c>
      <c r="H29" s="18" t="s">
        <v>9</v>
      </c>
      <c r="I29" s="18">
        <v>362.03199999999993</v>
      </c>
      <c r="J29" s="18">
        <v>13409.830500000002</v>
      </c>
      <c r="K29" s="216">
        <v>135.77331657142858</v>
      </c>
      <c r="L29" s="589" t="s">
        <v>107</v>
      </c>
      <c r="M29" s="590"/>
      <c r="N29" s="24"/>
      <c r="O29" s="24"/>
      <c r="P29" s="24"/>
      <c r="Q29" s="377">
        <f t="shared" si="1"/>
        <v>311</v>
      </c>
      <c r="R29" s="350">
        <v>33.130000000000003</v>
      </c>
      <c r="S29" s="351" t="str">
        <f t="shared" si="0"/>
        <v>OK</v>
      </c>
    </row>
    <row r="30" spans="1:19" s="17" customFormat="1" ht="12.95" customHeight="1" thickBot="1">
      <c r="A30" s="497">
        <v>13</v>
      </c>
      <c r="B30" s="540" t="s">
        <v>98</v>
      </c>
      <c r="C30" s="541"/>
      <c r="D30" s="542"/>
      <c r="E30" s="211">
        <v>310</v>
      </c>
      <c r="F30" s="347">
        <v>33.43</v>
      </c>
      <c r="G30" s="18">
        <v>33.031999999999996</v>
      </c>
      <c r="H30" s="18" t="s">
        <v>9</v>
      </c>
      <c r="I30" s="18">
        <v>395.06399999999991</v>
      </c>
      <c r="J30" s="18">
        <v>13376.798500000001</v>
      </c>
      <c r="K30" s="216">
        <v>136.48255827654697</v>
      </c>
      <c r="L30" s="591" t="s">
        <v>106</v>
      </c>
      <c r="M30" s="592"/>
      <c r="N30" s="24"/>
      <c r="O30" s="24"/>
      <c r="P30" s="24"/>
      <c r="Q30" s="377">
        <f t="shared" si="1"/>
        <v>310</v>
      </c>
      <c r="R30" s="350">
        <v>33.43</v>
      </c>
      <c r="S30" s="351" t="str">
        <f t="shared" si="0"/>
        <v>OK</v>
      </c>
    </row>
    <row r="31" spans="1:19" s="17" customFormat="1" ht="12.95" customHeight="1">
      <c r="A31" s="497">
        <v>14</v>
      </c>
      <c r="B31" s="540" t="s">
        <v>98</v>
      </c>
      <c r="C31" s="541"/>
      <c r="D31" s="542"/>
      <c r="E31" s="211">
        <v>309</v>
      </c>
      <c r="F31" s="347">
        <v>33.68</v>
      </c>
      <c r="G31" s="18">
        <v>33.281999999999996</v>
      </c>
      <c r="H31" s="18" t="s">
        <v>9</v>
      </c>
      <c r="I31" s="18">
        <v>428.34599999999989</v>
      </c>
      <c r="J31" s="18">
        <v>13343.516500000002</v>
      </c>
      <c r="K31" s="216">
        <v>137.1971678197097</v>
      </c>
      <c r="L31" s="196"/>
      <c r="M31" s="198"/>
      <c r="Q31" s="377">
        <f t="shared" si="1"/>
        <v>309</v>
      </c>
      <c r="R31" s="350">
        <v>33.68</v>
      </c>
      <c r="S31" s="351" t="str">
        <f t="shared" si="0"/>
        <v>OK</v>
      </c>
    </row>
    <row r="32" spans="1:19" s="17" customFormat="1" ht="12.95" customHeight="1">
      <c r="A32" s="497">
        <v>15</v>
      </c>
      <c r="B32" s="540" t="s">
        <v>98</v>
      </c>
      <c r="C32" s="541"/>
      <c r="D32" s="542"/>
      <c r="E32" s="211">
        <v>308</v>
      </c>
      <c r="F32" s="347">
        <v>33.700000000000003</v>
      </c>
      <c r="G32" s="18">
        <v>33.302</v>
      </c>
      <c r="H32" s="18" t="s">
        <v>9</v>
      </c>
      <c r="I32" s="18">
        <v>461.64799999999991</v>
      </c>
      <c r="J32" s="18">
        <v>13310.214500000002</v>
      </c>
      <c r="K32" s="216">
        <v>137.91220678991596</v>
      </c>
      <c r="L32" s="196"/>
      <c r="M32" s="198"/>
      <c r="N32" s="24"/>
      <c r="O32" s="24"/>
      <c r="P32" s="24"/>
      <c r="Q32" s="377">
        <f t="shared" si="1"/>
        <v>308</v>
      </c>
      <c r="R32" s="350">
        <v>33.700000000000003</v>
      </c>
      <c r="S32" s="351" t="str">
        <f t="shared" si="0"/>
        <v>OK</v>
      </c>
    </row>
    <row r="33" spans="1:19" s="17" customFormat="1" ht="12.95" customHeight="1">
      <c r="A33" s="497">
        <v>16</v>
      </c>
      <c r="B33" s="540" t="s">
        <v>98</v>
      </c>
      <c r="C33" s="541"/>
      <c r="D33" s="542"/>
      <c r="E33" s="211">
        <v>307</v>
      </c>
      <c r="F33" s="347">
        <v>33.82</v>
      </c>
      <c r="G33" s="18">
        <v>33.421999999999997</v>
      </c>
      <c r="H33" s="18" t="s">
        <v>9</v>
      </c>
      <c r="I33" s="18">
        <v>495.06999999999994</v>
      </c>
      <c r="J33" s="18">
        <v>13276.792500000001</v>
      </c>
      <c r="K33" s="216">
        <v>138.62982232238349</v>
      </c>
      <c r="L33" s="196"/>
      <c r="M33" s="198"/>
      <c r="N33" s="24"/>
      <c r="O33" s="24"/>
      <c r="P33" s="24"/>
      <c r="Q33" s="377">
        <f t="shared" si="1"/>
        <v>307</v>
      </c>
      <c r="R33" s="350">
        <v>33.82</v>
      </c>
      <c r="S33" s="351" t="str">
        <f t="shared" si="0"/>
        <v>OK</v>
      </c>
    </row>
    <row r="34" spans="1:19" s="17" customFormat="1" ht="12.95" customHeight="1">
      <c r="A34" s="497">
        <v>17</v>
      </c>
      <c r="B34" s="540" t="s">
        <v>98</v>
      </c>
      <c r="C34" s="541"/>
      <c r="D34" s="542"/>
      <c r="E34" s="211">
        <v>306</v>
      </c>
      <c r="F34" s="347">
        <v>33.630000000000003</v>
      </c>
      <c r="G34" s="18">
        <v>33.231999999999999</v>
      </c>
      <c r="H34" s="18" t="s">
        <v>9</v>
      </c>
      <c r="I34" s="18">
        <v>528.30199999999991</v>
      </c>
      <c r="J34" s="18">
        <v>13243.560500000001</v>
      </c>
      <c r="K34" s="216">
        <v>139.34335829793736</v>
      </c>
      <c r="L34" s="196"/>
      <c r="M34" s="198"/>
      <c r="N34" s="24"/>
      <c r="O34" s="24"/>
      <c r="P34" s="24"/>
      <c r="Q34" s="377">
        <f t="shared" si="1"/>
        <v>306</v>
      </c>
      <c r="R34" s="350">
        <v>33.630000000000003</v>
      </c>
      <c r="S34" s="351" t="str">
        <f t="shared" si="0"/>
        <v>OK</v>
      </c>
    </row>
    <row r="35" spans="1:19" s="17" customFormat="1" ht="12.95" customHeight="1">
      <c r="A35" s="497">
        <v>18</v>
      </c>
      <c r="B35" s="540" t="s">
        <v>98</v>
      </c>
      <c r="C35" s="541"/>
      <c r="D35" s="542"/>
      <c r="E35" s="211">
        <v>305</v>
      </c>
      <c r="F35" s="347">
        <v>33.82</v>
      </c>
      <c r="G35" s="18">
        <v>33.421999999999997</v>
      </c>
      <c r="H35" s="18" t="s">
        <v>9</v>
      </c>
      <c r="I35" s="18">
        <v>561.72399999999993</v>
      </c>
      <c r="J35" s="18">
        <v>13210.138500000001</v>
      </c>
      <c r="K35" s="216">
        <v>140.06097383040489</v>
      </c>
      <c r="L35" s="196"/>
      <c r="M35" s="198"/>
      <c r="N35" s="24"/>
      <c r="O35" s="24"/>
      <c r="P35" s="24"/>
      <c r="Q35" s="377">
        <f t="shared" si="1"/>
        <v>305</v>
      </c>
      <c r="R35" s="350">
        <v>33.82</v>
      </c>
      <c r="S35" s="351" t="str">
        <f t="shared" si="0"/>
        <v>OK</v>
      </c>
    </row>
    <row r="36" spans="1:19" s="17" customFormat="1" ht="12.95" customHeight="1">
      <c r="A36" s="497">
        <v>19</v>
      </c>
      <c r="B36" s="540" t="s">
        <v>98</v>
      </c>
      <c r="C36" s="541"/>
      <c r="D36" s="542"/>
      <c r="E36" s="211">
        <v>304</v>
      </c>
      <c r="F36" s="347">
        <v>33.729999999999997</v>
      </c>
      <c r="G36" s="18">
        <v>33.331999999999994</v>
      </c>
      <c r="H36" s="18" t="s">
        <v>9</v>
      </c>
      <c r="I36" s="18">
        <v>595.05599999999993</v>
      </c>
      <c r="J36" s="18">
        <v>13176.806500000001</v>
      </c>
      <c r="K36" s="216">
        <v>140.77665694117647</v>
      </c>
      <c r="L36" s="196"/>
      <c r="M36" s="198"/>
      <c r="N36" s="24"/>
      <c r="O36" s="24"/>
      <c r="P36" s="24"/>
      <c r="Q36" s="377">
        <f t="shared" si="1"/>
        <v>304</v>
      </c>
      <c r="R36" s="350">
        <v>33.729999999999997</v>
      </c>
      <c r="S36" s="351" t="str">
        <f t="shared" si="0"/>
        <v>OK</v>
      </c>
    </row>
    <row r="37" spans="1:19" s="17" customFormat="1" ht="12.95" customHeight="1">
      <c r="A37" s="497">
        <v>20</v>
      </c>
      <c r="B37" s="540" t="s">
        <v>98</v>
      </c>
      <c r="C37" s="541"/>
      <c r="D37" s="542"/>
      <c r="E37" s="211">
        <v>303</v>
      </c>
      <c r="F37" s="347">
        <v>33.35</v>
      </c>
      <c r="G37" s="18">
        <v>32.951999999999998</v>
      </c>
      <c r="H37" s="18" t="s">
        <v>9</v>
      </c>
      <c r="I37" s="18">
        <v>628.00799999999992</v>
      </c>
      <c r="J37" s="18">
        <v>13143.854500000001</v>
      </c>
      <c r="K37" s="216">
        <v>141.48418093812069</v>
      </c>
      <c r="L37" s="196"/>
      <c r="M37" s="198"/>
      <c r="N37" s="24"/>
      <c r="O37" s="24"/>
      <c r="P37" s="24"/>
      <c r="Q37" s="377">
        <f t="shared" si="1"/>
        <v>303</v>
      </c>
      <c r="R37" s="350">
        <v>33.35</v>
      </c>
      <c r="S37" s="351" t="str">
        <f t="shared" si="0"/>
        <v>OK</v>
      </c>
    </row>
    <row r="38" spans="1:19" s="17" customFormat="1" ht="12.95" customHeight="1">
      <c r="A38" s="497">
        <v>21</v>
      </c>
      <c r="B38" s="540" t="s">
        <v>98</v>
      </c>
      <c r="C38" s="541"/>
      <c r="D38" s="542"/>
      <c r="E38" s="211">
        <v>302</v>
      </c>
      <c r="F38" s="347">
        <v>33.020000000000003</v>
      </c>
      <c r="G38" s="18">
        <v>32.622</v>
      </c>
      <c r="H38" s="18" t="s">
        <v>9</v>
      </c>
      <c r="I38" s="18">
        <v>660.62999999999988</v>
      </c>
      <c r="J38" s="18">
        <v>13111.232500000002</v>
      </c>
      <c r="K38" s="216">
        <v>142.18461938884644</v>
      </c>
      <c r="L38" s="196"/>
      <c r="M38" s="198"/>
      <c r="N38" s="24"/>
      <c r="O38" s="24"/>
      <c r="P38" s="24"/>
      <c r="Q38" s="377">
        <f t="shared" si="1"/>
        <v>302</v>
      </c>
      <c r="R38" s="350">
        <v>33.020000000000003</v>
      </c>
      <c r="S38" s="351" t="str">
        <f t="shared" si="0"/>
        <v>OK</v>
      </c>
    </row>
    <row r="39" spans="1:19" s="17" customFormat="1" ht="12.95" customHeight="1">
      <c r="A39" s="497">
        <v>22</v>
      </c>
      <c r="B39" s="540" t="s">
        <v>98</v>
      </c>
      <c r="C39" s="541"/>
      <c r="D39" s="542"/>
      <c r="E39" s="211">
        <v>301</v>
      </c>
      <c r="F39" s="347">
        <v>33.75</v>
      </c>
      <c r="G39" s="18">
        <v>33.351999999999997</v>
      </c>
      <c r="H39" s="18" t="s">
        <v>9</v>
      </c>
      <c r="I39" s="18">
        <v>693.98199999999986</v>
      </c>
      <c r="J39" s="18">
        <v>13077.880500000001</v>
      </c>
      <c r="K39" s="216">
        <v>142.90073192666156</v>
      </c>
      <c r="L39" s="252"/>
      <c r="M39" s="198"/>
      <c r="N39" s="24"/>
      <c r="O39" s="24"/>
      <c r="P39" s="24"/>
      <c r="Q39" s="377">
        <f t="shared" si="1"/>
        <v>301</v>
      </c>
      <c r="R39" s="350">
        <v>33.75</v>
      </c>
      <c r="S39" s="351" t="str">
        <f t="shared" si="0"/>
        <v>OK</v>
      </c>
    </row>
    <row r="40" spans="1:19" s="17" customFormat="1" ht="12.95" customHeight="1">
      <c r="A40" s="497">
        <v>23</v>
      </c>
      <c r="B40" s="540" t="s">
        <v>98</v>
      </c>
      <c r="C40" s="541"/>
      <c r="D40" s="542"/>
      <c r="E40" s="211">
        <v>300</v>
      </c>
      <c r="F40" s="347">
        <v>33.82</v>
      </c>
      <c r="G40" s="18">
        <v>33.421999999999997</v>
      </c>
      <c r="H40" s="18" t="s">
        <v>9</v>
      </c>
      <c r="I40" s="18">
        <v>727.40399999999988</v>
      </c>
      <c r="J40" s="18">
        <v>13044.458500000001</v>
      </c>
      <c r="K40" s="216">
        <v>143.6183474591291</v>
      </c>
      <c r="L40" s="196"/>
      <c r="M40" s="198"/>
      <c r="N40" s="24"/>
      <c r="O40" s="24"/>
      <c r="P40" s="24"/>
      <c r="Q40" s="377">
        <f t="shared" si="1"/>
        <v>300</v>
      </c>
      <c r="R40" s="350">
        <v>33.82</v>
      </c>
      <c r="S40" s="351" t="str">
        <f t="shared" si="0"/>
        <v>OK</v>
      </c>
    </row>
    <row r="41" spans="1:19" s="17" customFormat="1" ht="12.95" customHeight="1">
      <c r="A41" s="497">
        <v>24</v>
      </c>
      <c r="B41" s="540" t="s">
        <v>98</v>
      </c>
      <c r="C41" s="541"/>
      <c r="D41" s="542"/>
      <c r="E41" s="211">
        <v>299</v>
      </c>
      <c r="F41" s="347">
        <v>33.81</v>
      </c>
      <c r="G41" s="18">
        <v>33.411999999999999</v>
      </c>
      <c r="H41" s="18" t="s">
        <v>9</v>
      </c>
      <c r="I41" s="18">
        <v>760.81599999999992</v>
      </c>
      <c r="J41" s="18">
        <v>13011.0465</v>
      </c>
      <c r="K41" s="216">
        <v>144.33574827807487</v>
      </c>
      <c r="L41" s="196"/>
      <c r="M41" s="198"/>
      <c r="N41" s="24"/>
      <c r="O41" s="24"/>
      <c r="P41" s="24"/>
      <c r="Q41" s="377">
        <f t="shared" si="1"/>
        <v>299</v>
      </c>
      <c r="R41" s="350">
        <v>33.81</v>
      </c>
      <c r="S41" s="351" t="str">
        <f t="shared" si="0"/>
        <v>OK</v>
      </c>
    </row>
    <row r="42" spans="1:19" s="17" customFormat="1" ht="12.95" customHeight="1">
      <c r="A42" s="497">
        <v>25</v>
      </c>
      <c r="B42" s="540" t="s">
        <v>98</v>
      </c>
      <c r="C42" s="541"/>
      <c r="D42" s="542"/>
      <c r="E42" s="211">
        <v>298</v>
      </c>
      <c r="F42" s="347">
        <v>33.94</v>
      </c>
      <c r="G42" s="18">
        <v>33.541999999999994</v>
      </c>
      <c r="H42" s="18" t="s">
        <v>9</v>
      </c>
      <c r="I42" s="18">
        <v>794.35799999999995</v>
      </c>
      <c r="J42" s="18">
        <v>12977.504500000001</v>
      </c>
      <c r="K42" s="216">
        <v>145.05594037280366</v>
      </c>
      <c r="L42" s="196"/>
      <c r="M42" s="198"/>
      <c r="N42" s="24"/>
      <c r="O42" s="24"/>
      <c r="P42" s="24"/>
      <c r="Q42" s="377">
        <f t="shared" si="1"/>
        <v>298</v>
      </c>
      <c r="R42" s="350">
        <v>33.94</v>
      </c>
      <c r="S42" s="351" t="str">
        <f t="shared" si="0"/>
        <v>OK</v>
      </c>
    </row>
    <row r="43" spans="1:19" s="17" customFormat="1" ht="12.95" customHeight="1">
      <c r="A43" s="497">
        <v>26</v>
      </c>
      <c r="B43" s="540" t="s">
        <v>98</v>
      </c>
      <c r="C43" s="541"/>
      <c r="D43" s="542"/>
      <c r="E43" s="211">
        <v>297</v>
      </c>
      <c r="F43" s="347">
        <v>33.950000000000003</v>
      </c>
      <c r="G43" s="18">
        <v>33.552</v>
      </c>
      <c r="H43" s="18" t="s">
        <v>9</v>
      </c>
      <c r="I43" s="18">
        <v>827.91</v>
      </c>
      <c r="J43" s="18">
        <v>12943.952500000001</v>
      </c>
      <c r="K43" s="216">
        <v>145.77634718105423</v>
      </c>
      <c r="L43" s="196"/>
      <c r="M43" s="198"/>
      <c r="N43" s="24"/>
      <c r="O43" s="24"/>
      <c r="P43" s="24"/>
      <c r="Q43" s="377">
        <f t="shared" si="1"/>
        <v>297</v>
      </c>
      <c r="R43" s="350">
        <v>33.950000000000003</v>
      </c>
      <c r="S43" s="351" t="str">
        <f t="shared" si="0"/>
        <v>OK</v>
      </c>
    </row>
    <row r="44" spans="1:19" s="17" customFormat="1" ht="12.95" customHeight="1">
      <c r="A44" s="497">
        <v>27</v>
      </c>
      <c r="B44" s="540" t="s">
        <v>98</v>
      </c>
      <c r="C44" s="541"/>
      <c r="D44" s="542"/>
      <c r="E44" s="211">
        <v>296</v>
      </c>
      <c r="F44" s="347">
        <v>32.85</v>
      </c>
      <c r="G44" s="18">
        <v>32.451999999999998</v>
      </c>
      <c r="H44" s="18" t="s">
        <v>9</v>
      </c>
      <c r="I44" s="18">
        <v>860.36199999999997</v>
      </c>
      <c r="J44" s="18">
        <v>12911.500500000002</v>
      </c>
      <c r="K44" s="216">
        <v>146.47313550190987</v>
      </c>
      <c r="L44" s="196"/>
      <c r="M44" s="198"/>
      <c r="N44" s="24"/>
      <c r="O44" s="24"/>
      <c r="P44" s="24"/>
      <c r="Q44" s="377">
        <f t="shared" si="1"/>
        <v>296</v>
      </c>
      <c r="R44" s="350">
        <v>32.85</v>
      </c>
      <c r="S44" s="351" t="str">
        <f t="shared" si="0"/>
        <v>OK</v>
      </c>
    </row>
    <row r="45" spans="1:19" s="17" customFormat="1" ht="12.95" customHeight="1">
      <c r="A45" s="497">
        <v>28</v>
      </c>
      <c r="B45" s="540" t="s">
        <v>98</v>
      </c>
      <c r="C45" s="541"/>
      <c r="D45" s="542"/>
      <c r="E45" s="211">
        <v>295</v>
      </c>
      <c r="F45" s="347">
        <v>33.57</v>
      </c>
      <c r="G45" s="18">
        <v>33.171999999999997</v>
      </c>
      <c r="H45" s="18" t="s">
        <v>9</v>
      </c>
      <c r="I45" s="18">
        <v>893.53399999999999</v>
      </c>
      <c r="J45" s="18">
        <v>12878.328500000001</v>
      </c>
      <c r="K45" s="216">
        <v>147.18538319633308</v>
      </c>
      <c r="L45" s="196"/>
      <c r="M45" s="198"/>
      <c r="N45" s="24"/>
      <c r="O45" s="24"/>
      <c r="P45" s="24"/>
      <c r="Q45" s="377">
        <f t="shared" si="1"/>
        <v>295</v>
      </c>
      <c r="R45" s="350">
        <v>33.57</v>
      </c>
      <c r="S45" s="351" t="str">
        <f t="shared" si="0"/>
        <v>OK</v>
      </c>
    </row>
    <row r="46" spans="1:19" s="17" customFormat="1" ht="12.95" customHeight="1">
      <c r="A46" s="497">
        <v>29</v>
      </c>
      <c r="B46" s="540" t="s">
        <v>98</v>
      </c>
      <c r="C46" s="541"/>
      <c r="D46" s="542"/>
      <c r="E46" s="211">
        <v>294</v>
      </c>
      <c r="F46" s="347">
        <v>33.47</v>
      </c>
      <c r="G46" s="18">
        <v>33.071999999999996</v>
      </c>
      <c r="H46" s="18" t="s">
        <v>9</v>
      </c>
      <c r="I46" s="18">
        <v>926.60599999999999</v>
      </c>
      <c r="J46" s="18">
        <v>12845.256500000001</v>
      </c>
      <c r="K46" s="216">
        <v>147.89548375553858</v>
      </c>
      <c r="L46" s="196"/>
      <c r="M46" s="198"/>
      <c r="N46" s="24"/>
      <c r="O46" s="24"/>
      <c r="P46" s="24"/>
      <c r="Q46" s="377">
        <f t="shared" si="1"/>
        <v>294</v>
      </c>
      <c r="R46" s="350">
        <v>33.47</v>
      </c>
      <c r="S46" s="351" t="str">
        <f t="shared" si="0"/>
        <v>OK</v>
      </c>
    </row>
    <row r="47" spans="1:19" s="17" customFormat="1" ht="12.95" customHeight="1">
      <c r="A47" s="497">
        <v>30</v>
      </c>
      <c r="B47" s="540" t="s">
        <v>98</v>
      </c>
      <c r="C47" s="541"/>
      <c r="D47" s="542"/>
      <c r="E47" s="211">
        <v>293</v>
      </c>
      <c r="F47" s="347">
        <v>33.64</v>
      </c>
      <c r="G47" s="18">
        <v>33.241999999999997</v>
      </c>
      <c r="H47" s="18" t="s">
        <v>9</v>
      </c>
      <c r="I47" s="18">
        <v>959.84799999999996</v>
      </c>
      <c r="J47" s="18">
        <v>12812.014500000001</v>
      </c>
      <c r="K47" s="216">
        <v>148.6092344446142</v>
      </c>
      <c r="L47" s="196"/>
      <c r="M47" s="198"/>
      <c r="N47" s="24"/>
      <c r="O47" s="24"/>
      <c r="P47" s="24"/>
      <c r="Q47" s="377">
        <f t="shared" si="1"/>
        <v>293</v>
      </c>
      <c r="R47" s="350">
        <v>33.64</v>
      </c>
      <c r="S47" s="351" t="str">
        <f t="shared" si="0"/>
        <v>OK</v>
      </c>
    </row>
    <row r="48" spans="1:19" s="17" customFormat="1" ht="12.95" customHeight="1">
      <c r="A48" s="497">
        <v>31</v>
      </c>
      <c r="B48" s="540" t="s">
        <v>98</v>
      </c>
      <c r="C48" s="541"/>
      <c r="D48" s="542"/>
      <c r="E48" s="211">
        <v>292</v>
      </c>
      <c r="F48" s="347">
        <v>33.42</v>
      </c>
      <c r="G48" s="18">
        <v>33.021999999999998</v>
      </c>
      <c r="H48" s="18" t="s">
        <v>9</v>
      </c>
      <c r="I48" s="18">
        <v>992.87</v>
      </c>
      <c r="J48" s="18">
        <v>12778.9925</v>
      </c>
      <c r="K48" s="216">
        <v>149.31826143621083</v>
      </c>
      <c r="L48" s="196"/>
      <c r="M48" s="198"/>
      <c r="N48" s="24"/>
      <c r="O48" s="24"/>
      <c r="P48" s="24"/>
      <c r="Q48" s="377">
        <f t="shared" si="1"/>
        <v>292</v>
      </c>
      <c r="R48" s="350">
        <v>33.42</v>
      </c>
      <c r="S48" s="351" t="str">
        <f t="shared" si="0"/>
        <v>OK</v>
      </c>
    </row>
    <row r="49" spans="1:19" s="17" customFormat="1" ht="12.95" customHeight="1">
      <c r="A49" s="497">
        <v>32</v>
      </c>
      <c r="B49" s="540" t="s">
        <v>98</v>
      </c>
      <c r="C49" s="541"/>
      <c r="D49" s="542"/>
      <c r="E49" s="211">
        <v>291</v>
      </c>
      <c r="F49" s="347">
        <v>33.31</v>
      </c>
      <c r="G49" s="18">
        <v>32.911999999999999</v>
      </c>
      <c r="H49" s="18" t="s">
        <v>9</v>
      </c>
      <c r="I49" s="18">
        <v>1025.7819999999999</v>
      </c>
      <c r="J49" s="18">
        <v>12746.080500000002</v>
      </c>
      <c r="K49" s="216">
        <v>150.02492657906799</v>
      </c>
      <c r="L49" s="196"/>
      <c r="M49" s="173"/>
      <c r="N49" s="24"/>
      <c r="O49" s="24"/>
      <c r="P49" s="24"/>
      <c r="Q49" s="377">
        <f t="shared" si="1"/>
        <v>291</v>
      </c>
      <c r="R49" s="350">
        <v>33.31</v>
      </c>
      <c r="S49" s="351" t="str">
        <f t="shared" si="0"/>
        <v>OK</v>
      </c>
    </row>
    <row r="50" spans="1:19" s="17" customFormat="1" ht="12.95" customHeight="1">
      <c r="A50" s="497">
        <v>33</v>
      </c>
      <c r="B50" s="540" t="s">
        <v>98</v>
      </c>
      <c r="C50" s="541"/>
      <c r="D50" s="542"/>
      <c r="E50" s="211">
        <v>290</v>
      </c>
      <c r="F50" s="347">
        <v>33.5</v>
      </c>
      <c r="G50" s="18">
        <v>33.101999999999997</v>
      </c>
      <c r="H50" s="18" t="s">
        <v>9</v>
      </c>
      <c r="I50" s="18">
        <v>1058.884</v>
      </c>
      <c r="J50" s="18">
        <v>12712.978500000001</v>
      </c>
      <c r="K50" s="216">
        <v>150.73567127883882</v>
      </c>
      <c r="L50" s="196"/>
      <c r="M50" s="173"/>
      <c r="N50" s="24"/>
      <c r="O50" s="24"/>
      <c r="P50" s="24"/>
      <c r="Q50" s="377">
        <f t="shared" si="1"/>
        <v>290</v>
      </c>
      <c r="R50" s="350">
        <v>33.5</v>
      </c>
      <c r="S50" s="351" t="str">
        <f t="shared" si="0"/>
        <v>OK</v>
      </c>
    </row>
    <row r="51" spans="1:19" s="17" customFormat="1" ht="12.95" customHeight="1">
      <c r="A51" s="497">
        <v>34</v>
      </c>
      <c r="B51" s="540" t="s">
        <v>98</v>
      </c>
      <c r="C51" s="541"/>
      <c r="D51" s="542"/>
      <c r="E51" s="211">
        <v>289</v>
      </c>
      <c r="F51" s="347">
        <v>33.409999999999997</v>
      </c>
      <c r="G51" s="18">
        <v>33.011999999999993</v>
      </c>
      <c r="H51" s="18" t="s">
        <v>9</v>
      </c>
      <c r="I51" s="18">
        <v>1091.896</v>
      </c>
      <c r="J51" s="18">
        <v>12679.9665</v>
      </c>
      <c r="K51" s="216">
        <v>151.44448355691367</v>
      </c>
      <c r="L51" s="196" t="s">
        <v>8</v>
      </c>
      <c r="M51" s="173"/>
      <c r="N51" s="24"/>
      <c r="O51" s="24"/>
      <c r="P51" s="24"/>
      <c r="Q51" s="377">
        <f t="shared" si="1"/>
        <v>289</v>
      </c>
      <c r="R51" s="350">
        <v>33.409999999999997</v>
      </c>
      <c r="S51" s="351" t="str">
        <f t="shared" si="0"/>
        <v>OK</v>
      </c>
    </row>
    <row r="52" spans="1:19" s="17" customFormat="1" ht="12.95" customHeight="1">
      <c r="A52" s="497">
        <v>35</v>
      </c>
      <c r="B52" s="540" t="s">
        <v>98</v>
      </c>
      <c r="C52" s="541"/>
      <c r="D52" s="542"/>
      <c r="E52" s="211">
        <v>288</v>
      </c>
      <c r="F52" s="347">
        <v>32.56</v>
      </c>
      <c r="G52" s="18">
        <v>32.161999999999999</v>
      </c>
      <c r="H52" s="18" t="s">
        <v>9</v>
      </c>
      <c r="I52" s="18">
        <v>1124.058</v>
      </c>
      <c r="J52" s="18">
        <v>12647.804500000002</v>
      </c>
      <c r="K52" s="216">
        <v>152.13504518563789</v>
      </c>
      <c r="L52" s="196"/>
      <c r="M52" s="173"/>
      <c r="N52" s="24"/>
      <c r="O52" s="24"/>
      <c r="P52" s="24"/>
      <c r="Q52" s="377">
        <f t="shared" si="1"/>
        <v>288</v>
      </c>
      <c r="R52" s="350">
        <v>32.56</v>
      </c>
      <c r="S52" s="351" t="str">
        <f t="shared" si="0"/>
        <v>OK</v>
      </c>
    </row>
    <row r="53" spans="1:19" s="17" customFormat="1" ht="12.95" customHeight="1">
      <c r="A53" s="497">
        <v>36</v>
      </c>
      <c r="B53" s="540" t="s">
        <v>98</v>
      </c>
      <c r="C53" s="541"/>
      <c r="D53" s="542"/>
      <c r="E53" s="211">
        <v>287</v>
      </c>
      <c r="F53" s="347">
        <v>33.04</v>
      </c>
      <c r="G53" s="18">
        <v>32.641999999999996</v>
      </c>
      <c r="H53" s="18" t="s">
        <v>9</v>
      </c>
      <c r="I53" s="18">
        <v>1156.7</v>
      </c>
      <c r="J53" s="18">
        <v>12615.1625</v>
      </c>
      <c r="K53" s="216">
        <v>152.83591306340719</v>
      </c>
      <c r="L53" s="196"/>
      <c r="M53" s="173"/>
      <c r="N53" s="24"/>
      <c r="O53" s="24"/>
      <c r="P53" s="24"/>
      <c r="Q53" s="377">
        <f t="shared" si="1"/>
        <v>287</v>
      </c>
      <c r="R53" s="350">
        <v>33.04</v>
      </c>
      <c r="S53" s="351" t="str">
        <f t="shared" si="0"/>
        <v>OK</v>
      </c>
    </row>
    <row r="54" spans="1:19" s="17" customFormat="1" ht="12.95" customHeight="1">
      <c r="A54" s="497">
        <v>37</v>
      </c>
      <c r="B54" s="540" t="s">
        <v>98</v>
      </c>
      <c r="C54" s="541"/>
      <c r="D54" s="542"/>
      <c r="E54" s="211">
        <v>286</v>
      </c>
      <c r="F54" s="347">
        <v>33.229999999999997</v>
      </c>
      <c r="G54" s="18">
        <v>32.831999999999994</v>
      </c>
      <c r="H54" s="18" t="s">
        <v>9</v>
      </c>
      <c r="I54" s="18">
        <v>1189.5320000000002</v>
      </c>
      <c r="J54" s="18">
        <v>12582.3305</v>
      </c>
      <c r="K54" s="216">
        <v>153.54086049809015</v>
      </c>
      <c r="L54" s="196"/>
      <c r="M54" s="173"/>
      <c r="N54" s="24"/>
      <c r="O54" s="24"/>
      <c r="P54" s="24"/>
      <c r="Q54" s="377">
        <f t="shared" si="1"/>
        <v>286</v>
      </c>
      <c r="R54" s="350">
        <v>33.229999999999997</v>
      </c>
      <c r="S54" s="351" t="str">
        <f t="shared" si="0"/>
        <v>OK</v>
      </c>
    </row>
    <row r="55" spans="1:19" s="17" customFormat="1" ht="12.95" customHeight="1">
      <c r="A55" s="497">
        <v>38</v>
      </c>
      <c r="B55" s="540" t="s">
        <v>98</v>
      </c>
      <c r="C55" s="541"/>
      <c r="D55" s="542"/>
      <c r="E55" s="211">
        <v>285</v>
      </c>
      <c r="F55" s="347">
        <v>33.21</v>
      </c>
      <c r="G55" s="18">
        <v>32.811999999999998</v>
      </c>
      <c r="H55" s="18" t="s">
        <v>9</v>
      </c>
      <c r="I55" s="18">
        <v>1222.3440000000001</v>
      </c>
      <c r="J55" s="18">
        <v>12549.518500000002</v>
      </c>
      <c r="K55" s="216">
        <v>154.24537850572958</v>
      </c>
      <c r="L55" s="196"/>
      <c r="M55" s="173"/>
      <c r="N55" s="24"/>
      <c r="O55" s="24"/>
      <c r="P55" s="24"/>
      <c r="Q55" s="377">
        <f t="shared" si="1"/>
        <v>285</v>
      </c>
      <c r="R55" s="350">
        <v>33.21</v>
      </c>
      <c r="S55" s="351" t="str">
        <f t="shared" si="0"/>
        <v>OK</v>
      </c>
    </row>
    <row r="56" spans="1:19" s="17" customFormat="1" ht="12.95" customHeight="1">
      <c r="A56" s="497">
        <v>39</v>
      </c>
      <c r="B56" s="540" t="s">
        <v>98</v>
      </c>
      <c r="C56" s="541"/>
      <c r="D56" s="542"/>
      <c r="E56" s="211">
        <v>284</v>
      </c>
      <c r="F56" s="347">
        <v>33.619999999999997</v>
      </c>
      <c r="G56" s="18">
        <v>33.221999999999994</v>
      </c>
      <c r="H56" s="18" t="s">
        <v>9</v>
      </c>
      <c r="I56" s="18">
        <v>1255.566</v>
      </c>
      <c r="J56" s="18">
        <v>12516.2965</v>
      </c>
      <c r="K56" s="216">
        <v>154.95869976776166</v>
      </c>
      <c r="L56" s="196"/>
      <c r="M56" s="173"/>
      <c r="N56" s="24"/>
      <c r="O56" s="24"/>
      <c r="P56" s="24"/>
      <c r="Q56" s="377">
        <f t="shared" si="1"/>
        <v>284</v>
      </c>
      <c r="R56" s="350">
        <v>33.619999999999997</v>
      </c>
      <c r="S56" s="351" t="str">
        <f t="shared" si="0"/>
        <v>OK</v>
      </c>
    </row>
    <row r="57" spans="1:19" s="17" customFormat="1" ht="12.95" customHeight="1">
      <c r="A57" s="497">
        <v>40</v>
      </c>
      <c r="B57" s="540" t="s">
        <v>98</v>
      </c>
      <c r="C57" s="541"/>
      <c r="D57" s="542"/>
      <c r="E57" s="211">
        <v>283</v>
      </c>
      <c r="F57" s="347">
        <v>33.799999999999997</v>
      </c>
      <c r="G57" s="18">
        <v>33.401999999999994</v>
      </c>
      <c r="H57" s="18" t="s">
        <v>9</v>
      </c>
      <c r="I57" s="18">
        <v>1288.9680000000001</v>
      </c>
      <c r="J57" s="18">
        <v>12482.8945</v>
      </c>
      <c r="K57" s="216">
        <v>155.67588587318565</v>
      </c>
      <c r="L57" s="227"/>
      <c r="M57" s="173"/>
      <c r="N57" s="24"/>
      <c r="O57" s="24"/>
      <c r="P57" s="24"/>
      <c r="Q57" s="377">
        <f t="shared" si="1"/>
        <v>283</v>
      </c>
      <c r="R57" s="350">
        <v>33.799999999999997</v>
      </c>
      <c r="S57" s="351" t="str">
        <f t="shared" si="0"/>
        <v>OK</v>
      </c>
    </row>
    <row r="58" spans="1:19" s="17" customFormat="1" ht="12.95" customHeight="1">
      <c r="A58" s="497">
        <v>41</v>
      </c>
      <c r="B58" s="540" t="s">
        <v>98</v>
      </c>
      <c r="C58" s="541"/>
      <c r="D58" s="542"/>
      <c r="E58" s="211">
        <v>282</v>
      </c>
      <c r="F58" s="347">
        <v>33.15</v>
      </c>
      <c r="G58" s="18">
        <v>32.751999999999995</v>
      </c>
      <c r="H58" s="18" t="s">
        <v>9</v>
      </c>
      <c r="I58" s="18">
        <v>1321.72</v>
      </c>
      <c r="J58" s="18">
        <v>12450.142500000002</v>
      </c>
      <c r="K58" s="216">
        <v>156.37911559969442</v>
      </c>
      <c r="L58" s="196"/>
      <c r="M58" s="173"/>
      <c r="N58" s="24"/>
      <c r="O58" s="24"/>
      <c r="P58" s="24"/>
      <c r="Q58" s="377">
        <f t="shared" si="1"/>
        <v>282</v>
      </c>
      <c r="R58" s="350">
        <v>33.15</v>
      </c>
      <c r="S58" s="351" t="str">
        <f t="shared" si="0"/>
        <v>OK</v>
      </c>
    </row>
    <row r="59" spans="1:19" s="17" customFormat="1" ht="12.95" customHeight="1">
      <c r="A59" s="497">
        <v>42</v>
      </c>
      <c r="B59" s="540" t="s">
        <v>98</v>
      </c>
      <c r="C59" s="541"/>
      <c r="D59" s="542"/>
      <c r="E59" s="211">
        <v>281</v>
      </c>
      <c r="F59" s="347">
        <v>33.71</v>
      </c>
      <c r="G59" s="18">
        <v>33.311999999999998</v>
      </c>
      <c r="H59" s="18" t="s">
        <v>9</v>
      </c>
      <c r="I59" s="18">
        <v>1355.0319999999999</v>
      </c>
      <c r="J59" s="18">
        <v>12416.830500000002</v>
      </c>
      <c r="K59" s="216">
        <v>157.09436928342245</v>
      </c>
      <c r="L59" s="227"/>
      <c r="M59" s="173"/>
      <c r="N59" s="24"/>
      <c r="O59" s="24"/>
      <c r="P59" s="24"/>
      <c r="Q59" s="377">
        <f t="shared" si="1"/>
        <v>281</v>
      </c>
      <c r="R59" s="350">
        <v>33.71</v>
      </c>
      <c r="S59" s="351" t="str">
        <f t="shared" si="0"/>
        <v>OK</v>
      </c>
    </row>
    <row r="60" spans="1:19" s="17" customFormat="1" ht="12.95" customHeight="1">
      <c r="A60" s="497">
        <v>43</v>
      </c>
      <c r="B60" s="540" t="s">
        <v>98</v>
      </c>
      <c r="C60" s="541"/>
      <c r="D60" s="542"/>
      <c r="E60" s="211">
        <v>280</v>
      </c>
      <c r="F60" s="347">
        <v>33.94</v>
      </c>
      <c r="G60" s="18">
        <v>33.541999999999994</v>
      </c>
      <c r="H60" s="18" t="s">
        <v>9</v>
      </c>
      <c r="I60" s="18">
        <v>1388.5739999999998</v>
      </c>
      <c r="J60" s="18">
        <v>12383.288500000001</v>
      </c>
      <c r="K60" s="216">
        <v>157.81456137815127</v>
      </c>
      <c r="L60" s="196"/>
      <c r="M60" s="173"/>
      <c r="N60" s="24"/>
      <c r="O60" s="24"/>
      <c r="P60" s="24"/>
      <c r="Q60" s="377">
        <f t="shared" si="1"/>
        <v>280</v>
      </c>
      <c r="R60" s="350">
        <v>33.94</v>
      </c>
      <c r="S60" s="351" t="str">
        <f t="shared" si="0"/>
        <v>OK</v>
      </c>
    </row>
    <row r="61" spans="1:19" s="17" customFormat="1" ht="12.95" customHeight="1">
      <c r="A61" s="497">
        <v>44</v>
      </c>
      <c r="B61" s="540" t="s">
        <v>98</v>
      </c>
      <c r="C61" s="541"/>
      <c r="D61" s="542"/>
      <c r="E61" s="211">
        <v>279</v>
      </c>
      <c r="F61" s="347">
        <v>33.58</v>
      </c>
      <c r="G61" s="18">
        <v>33.181999999999995</v>
      </c>
      <c r="H61" s="18" t="s">
        <v>9</v>
      </c>
      <c r="I61" s="18">
        <v>1421.7559999999999</v>
      </c>
      <c r="J61" s="18">
        <v>12350.106500000002</v>
      </c>
      <c r="K61" s="216">
        <v>158.52702378609627</v>
      </c>
      <c r="L61" s="227"/>
      <c r="M61" s="199"/>
      <c r="N61" s="24"/>
      <c r="O61" s="24"/>
      <c r="P61" s="24"/>
      <c r="Q61" s="377">
        <f t="shared" si="1"/>
        <v>279</v>
      </c>
      <c r="R61" s="350">
        <v>33.58</v>
      </c>
      <c r="S61" s="351" t="str">
        <f t="shared" si="0"/>
        <v>OK</v>
      </c>
    </row>
    <row r="62" spans="1:19" s="17" customFormat="1" ht="12.95" customHeight="1">
      <c r="A62" s="497">
        <v>45</v>
      </c>
      <c r="B62" s="540" t="s">
        <v>98</v>
      </c>
      <c r="C62" s="541"/>
      <c r="D62" s="542"/>
      <c r="E62" s="211">
        <v>278</v>
      </c>
      <c r="F62" s="347">
        <v>33.479999999999997</v>
      </c>
      <c r="G62" s="18">
        <v>33.081999999999994</v>
      </c>
      <c r="H62" s="18" t="s">
        <v>9</v>
      </c>
      <c r="I62" s="18">
        <v>1454.8379999999997</v>
      </c>
      <c r="J62" s="18">
        <v>12317.024500000001</v>
      </c>
      <c r="K62" s="216">
        <v>159.23733905882352</v>
      </c>
      <c r="L62" s="196"/>
      <c r="M62" s="173"/>
      <c r="N62" s="24"/>
      <c r="O62" s="24"/>
      <c r="P62" s="24"/>
      <c r="Q62" s="377">
        <f t="shared" si="1"/>
        <v>278</v>
      </c>
      <c r="R62" s="350">
        <v>33.479999999999997</v>
      </c>
      <c r="S62" s="351" t="str">
        <f t="shared" si="0"/>
        <v>OK</v>
      </c>
    </row>
    <row r="63" spans="1:19" s="17" customFormat="1" ht="12.95" customHeight="1">
      <c r="A63" s="497">
        <v>46</v>
      </c>
      <c r="B63" s="540" t="s">
        <v>98</v>
      </c>
      <c r="C63" s="541"/>
      <c r="D63" s="542"/>
      <c r="E63" s="211">
        <v>277</v>
      </c>
      <c r="F63" s="347">
        <v>33.19</v>
      </c>
      <c r="G63" s="18">
        <v>32.791999999999994</v>
      </c>
      <c r="H63" s="18" t="s">
        <v>9</v>
      </c>
      <c r="I63" s="18">
        <v>1487.6299999999997</v>
      </c>
      <c r="J63" s="18">
        <v>12284.232500000002</v>
      </c>
      <c r="K63" s="216">
        <v>159.9414276394194</v>
      </c>
      <c r="L63" s="228"/>
      <c r="M63" s="173"/>
      <c r="N63" s="24"/>
      <c r="O63" s="24"/>
      <c r="P63" s="24"/>
      <c r="Q63" s="377">
        <f t="shared" si="1"/>
        <v>277</v>
      </c>
      <c r="R63" s="350">
        <v>33.19</v>
      </c>
      <c r="S63" s="351" t="str">
        <f t="shared" si="0"/>
        <v>OK</v>
      </c>
    </row>
    <row r="64" spans="1:19" s="17" customFormat="1" ht="12.95" customHeight="1">
      <c r="A64" s="497">
        <v>47</v>
      </c>
      <c r="B64" s="540" t="s">
        <v>98</v>
      </c>
      <c r="C64" s="541"/>
      <c r="D64" s="542"/>
      <c r="E64" s="211">
        <v>276</v>
      </c>
      <c r="F64" s="347">
        <v>33.880000000000003</v>
      </c>
      <c r="G64" s="18">
        <v>33.481999999999999</v>
      </c>
      <c r="H64" s="18" t="s">
        <v>9</v>
      </c>
      <c r="I64" s="18">
        <v>1521.1119999999996</v>
      </c>
      <c r="J64" s="18">
        <v>12250.750500000002</v>
      </c>
      <c r="K64" s="216">
        <v>160.66033145301756</v>
      </c>
      <c r="L64" s="229"/>
      <c r="M64" s="173"/>
      <c r="N64" s="24"/>
      <c r="O64" s="24"/>
      <c r="P64" s="24"/>
      <c r="Q64" s="377">
        <f t="shared" si="1"/>
        <v>276</v>
      </c>
      <c r="R64" s="350">
        <v>33.880000000000003</v>
      </c>
      <c r="S64" s="351" t="str">
        <f t="shared" si="0"/>
        <v>OK</v>
      </c>
    </row>
    <row r="65" spans="1:19" s="17" customFormat="1" ht="12.95" customHeight="1">
      <c r="A65" s="497">
        <v>48</v>
      </c>
      <c r="B65" s="540" t="s">
        <v>98</v>
      </c>
      <c r="C65" s="541"/>
      <c r="D65" s="542"/>
      <c r="E65" s="211">
        <v>275</v>
      </c>
      <c r="F65" s="347">
        <v>33.380000000000003</v>
      </c>
      <c r="G65" s="18">
        <v>32.981999999999999</v>
      </c>
      <c r="H65" s="18" t="s">
        <v>9</v>
      </c>
      <c r="I65" s="18">
        <v>1554.0939999999996</v>
      </c>
      <c r="J65" s="18">
        <v>12217.768500000002</v>
      </c>
      <c r="K65" s="216">
        <v>161.36849959052711</v>
      </c>
      <c r="L65" s="228"/>
      <c r="M65" s="173"/>
      <c r="N65" s="24"/>
      <c r="O65" s="24"/>
      <c r="P65" s="24"/>
      <c r="Q65" s="377">
        <f t="shared" si="1"/>
        <v>275</v>
      </c>
      <c r="R65" s="350">
        <v>33.380000000000003</v>
      </c>
      <c r="S65" s="351" t="str">
        <f t="shared" si="0"/>
        <v>OK</v>
      </c>
    </row>
    <row r="66" spans="1:19" s="17" customFormat="1" ht="12.95" customHeight="1">
      <c r="A66" s="497">
        <v>49</v>
      </c>
      <c r="B66" s="540" t="s">
        <v>98</v>
      </c>
      <c r="C66" s="541"/>
      <c r="D66" s="542"/>
      <c r="E66" s="211">
        <v>274</v>
      </c>
      <c r="F66" s="347">
        <v>33.619999999999997</v>
      </c>
      <c r="G66" s="18">
        <v>33.221999999999994</v>
      </c>
      <c r="H66" s="18" t="s">
        <v>9</v>
      </c>
      <c r="I66" s="18">
        <v>1587.3159999999996</v>
      </c>
      <c r="J66" s="18">
        <v>12184.546500000002</v>
      </c>
      <c r="K66" s="216">
        <v>162.08182085255919</v>
      </c>
      <c r="L66" s="196"/>
      <c r="M66" s="173"/>
      <c r="N66" s="24"/>
      <c r="O66" s="24"/>
      <c r="P66" s="24"/>
      <c r="Q66" s="377">
        <f t="shared" si="1"/>
        <v>274</v>
      </c>
      <c r="R66" s="350">
        <v>33.619999999999997</v>
      </c>
      <c r="S66" s="351" t="str">
        <f t="shared" si="0"/>
        <v>OK</v>
      </c>
    </row>
    <row r="67" spans="1:19" s="17" customFormat="1" ht="12.95" customHeight="1">
      <c r="A67" s="497">
        <v>50</v>
      </c>
      <c r="B67" s="540" t="s">
        <v>98</v>
      </c>
      <c r="C67" s="541"/>
      <c r="D67" s="542"/>
      <c r="E67" s="211">
        <v>273</v>
      </c>
      <c r="F67" s="347">
        <v>33.4</v>
      </c>
      <c r="G67" s="18">
        <v>33.001999999999995</v>
      </c>
      <c r="H67" s="18" t="s">
        <v>9</v>
      </c>
      <c r="I67" s="18">
        <v>1620.3179999999995</v>
      </c>
      <c r="J67" s="18">
        <v>12151.544500000002</v>
      </c>
      <c r="K67" s="216">
        <v>162.79041841711228</v>
      </c>
      <c r="L67" s="227"/>
      <c r="M67" s="173"/>
      <c r="N67" s="24"/>
      <c r="O67" s="24"/>
      <c r="P67" s="24"/>
      <c r="Q67" s="377">
        <f t="shared" si="1"/>
        <v>273</v>
      </c>
      <c r="R67" s="350">
        <v>33.4</v>
      </c>
      <c r="S67" s="351" t="str">
        <f t="shared" si="0"/>
        <v>OK</v>
      </c>
    </row>
    <row r="68" spans="1:19" s="17" customFormat="1" ht="12.95" customHeight="1">
      <c r="A68" s="497">
        <v>51</v>
      </c>
      <c r="B68" s="540" t="s">
        <v>98</v>
      </c>
      <c r="C68" s="541"/>
      <c r="D68" s="542"/>
      <c r="E68" s="211">
        <v>272</v>
      </c>
      <c r="F68" s="347">
        <v>32.81</v>
      </c>
      <c r="G68" s="18">
        <v>32.411999999999999</v>
      </c>
      <c r="H68" s="18" t="s">
        <v>9</v>
      </c>
      <c r="I68" s="18">
        <v>1652.7299999999996</v>
      </c>
      <c r="J68" s="18">
        <v>12119.132500000002</v>
      </c>
      <c r="K68" s="216">
        <v>163.48634788388082</v>
      </c>
      <c r="L68" s="196"/>
      <c r="M68" s="173"/>
      <c r="N68" s="24"/>
      <c r="O68" s="24"/>
      <c r="P68" s="24"/>
      <c r="Q68" s="377">
        <f t="shared" si="1"/>
        <v>272</v>
      </c>
      <c r="R68" s="350">
        <v>32.81</v>
      </c>
      <c r="S68" s="351" t="str">
        <f t="shared" si="0"/>
        <v>OK</v>
      </c>
    </row>
    <row r="69" spans="1:19" s="17" customFormat="1" ht="12.95" customHeight="1">
      <c r="A69" s="497">
        <v>52</v>
      </c>
      <c r="B69" s="540" t="s">
        <v>98</v>
      </c>
      <c r="C69" s="541"/>
      <c r="D69" s="542"/>
      <c r="E69" s="211">
        <v>271</v>
      </c>
      <c r="F69" s="347">
        <v>33.01</v>
      </c>
      <c r="G69" s="18">
        <v>32.611999999999995</v>
      </c>
      <c r="H69" s="18" t="s">
        <v>9</v>
      </c>
      <c r="I69" s="18">
        <v>1685.3419999999996</v>
      </c>
      <c r="J69" s="18">
        <v>12086.520500000002</v>
      </c>
      <c r="K69" s="216">
        <v>164.18657162108479</v>
      </c>
      <c r="L69" s="227"/>
      <c r="M69" s="173"/>
      <c r="N69" s="24"/>
      <c r="O69" s="24"/>
      <c r="P69" s="24"/>
      <c r="Q69" s="377">
        <f t="shared" si="1"/>
        <v>271</v>
      </c>
      <c r="R69" s="350">
        <v>33.01</v>
      </c>
      <c r="S69" s="351" t="str">
        <f t="shared" si="0"/>
        <v>OK</v>
      </c>
    </row>
    <row r="70" spans="1:19" s="17" customFormat="1" ht="12.95" customHeight="1">
      <c r="A70" s="497">
        <v>53</v>
      </c>
      <c r="B70" s="540" t="s">
        <v>98</v>
      </c>
      <c r="C70" s="541"/>
      <c r="D70" s="542"/>
      <c r="E70" s="211">
        <v>270</v>
      </c>
      <c r="F70" s="347">
        <v>33.270000000000003</v>
      </c>
      <c r="G70" s="18">
        <v>32.872</v>
      </c>
      <c r="H70" s="18" t="s">
        <v>9</v>
      </c>
      <c r="I70" s="18">
        <v>1718.2139999999997</v>
      </c>
      <c r="J70" s="18">
        <v>12053.648500000001</v>
      </c>
      <c r="K70" s="216">
        <v>164.89237790985484</v>
      </c>
      <c r="L70" s="252"/>
      <c r="M70" s="173"/>
      <c r="N70" s="24"/>
      <c r="O70" s="24"/>
      <c r="P70" s="24"/>
      <c r="Q70" s="377">
        <f t="shared" si="1"/>
        <v>270</v>
      </c>
      <c r="R70" s="350">
        <v>33.270000000000003</v>
      </c>
      <c r="S70" s="351" t="str">
        <f t="shared" si="0"/>
        <v>OK</v>
      </c>
    </row>
    <row r="71" spans="1:19" s="17" customFormat="1" ht="12.95" customHeight="1">
      <c r="A71" s="497">
        <v>54</v>
      </c>
      <c r="B71" s="540" t="s">
        <v>98</v>
      </c>
      <c r="C71" s="541"/>
      <c r="D71" s="542"/>
      <c r="E71" s="211">
        <v>269</v>
      </c>
      <c r="F71" s="347">
        <v>33.08</v>
      </c>
      <c r="G71" s="18">
        <v>32.681999999999995</v>
      </c>
      <c r="H71" s="18" t="s">
        <v>9</v>
      </c>
      <c r="I71" s="18">
        <v>1750.8959999999997</v>
      </c>
      <c r="J71" s="18">
        <v>12020.966500000002</v>
      </c>
      <c r="K71" s="216">
        <v>165.59410464171123</v>
      </c>
      <c r="L71" s="227"/>
      <c r="M71" s="173"/>
      <c r="N71" s="24"/>
      <c r="O71" s="24"/>
      <c r="P71" s="24"/>
      <c r="Q71" s="377">
        <f t="shared" si="1"/>
        <v>269</v>
      </c>
      <c r="R71" s="350">
        <v>33.08</v>
      </c>
      <c r="S71" s="351" t="str">
        <f t="shared" si="0"/>
        <v>OK</v>
      </c>
    </row>
    <row r="72" spans="1:19" s="17" customFormat="1" ht="12.95" customHeight="1">
      <c r="A72" s="497">
        <v>55</v>
      </c>
      <c r="B72" s="540" t="s">
        <v>98</v>
      </c>
      <c r="C72" s="541"/>
      <c r="D72" s="542"/>
      <c r="E72" s="211">
        <v>268</v>
      </c>
      <c r="F72" s="347">
        <v>33.700000000000003</v>
      </c>
      <c r="G72" s="18">
        <v>33.302</v>
      </c>
      <c r="H72" s="18" t="s">
        <v>9</v>
      </c>
      <c r="I72" s="18">
        <v>1784.1979999999996</v>
      </c>
      <c r="J72" s="18">
        <v>11987.664500000001</v>
      </c>
      <c r="K72" s="216">
        <v>166.30914361191748</v>
      </c>
      <c r="L72" s="196"/>
      <c r="M72" s="173"/>
      <c r="N72" s="24"/>
      <c r="O72" s="24"/>
      <c r="P72" s="24"/>
      <c r="Q72" s="377">
        <f t="shared" si="1"/>
        <v>268</v>
      </c>
      <c r="R72" s="350">
        <v>33.700000000000003</v>
      </c>
      <c r="S72" s="351" t="str">
        <f t="shared" si="0"/>
        <v>OK</v>
      </c>
    </row>
    <row r="73" spans="1:19" s="17" customFormat="1" ht="12.95" customHeight="1">
      <c r="A73" s="497">
        <v>56</v>
      </c>
      <c r="B73" s="540" t="s">
        <v>98</v>
      </c>
      <c r="C73" s="541"/>
      <c r="D73" s="542"/>
      <c r="E73" s="211">
        <v>267</v>
      </c>
      <c r="F73" s="347">
        <v>33.78</v>
      </c>
      <c r="G73" s="18">
        <v>33.381999999999998</v>
      </c>
      <c r="H73" s="18" t="s">
        <v>9</v>
      </c>
      <c r="I73" s="18">
        <v>1817.5799999999997</v>
      </c>
      <c r="J73" s="18">
        <v>11954.282500000001</v>
      </c>
      <c r="K73" s="216">
        <v>167.02590029029793</v>
      </c>
      <c r="L73" s="227"/>
      <c r="M73" s="173"/>
      <c r="N73" s="24"/>
      <c r="O73" s="24"/>
      <c r="P73" s="24"/>
      <c r="Q73" s="377">
        <f t="shared" si="1"/>
        <v>267</v>
      </c>
      <c r="R73" s="350">
        <v>33.78</v>
      </c>
      <c r="S73" s="351" t="str">
        <f t="shared" si="0"/>
        <v>OK</v>
      </c>
    </row>
    <row r="74" spans="1:19" s="17" customFormat="1" ht="12.95" customHeight="1">
      <c r="A74" s="497">
        <v>57</v>
      </c>
      <c r="B74" s="540" t="s">
        <v>98</v>
      </c>
      <c r="C74" s="541"/>
      <c r="D74" s="542"/>
      <c r="E74" s="211">
        <v>266</v>
      </c>
      <c r="F74" s="347">
        <v>33.93</v>
      </c>
      <c r="G74" s="18">
        <v>33.531999999999996</v>
      </c>
      <c r="H74" s="18" t="s">
        <v>9</v>
      </c>
      <c r="I74" s="18">
        <v>1851.1119999999996</v>
      </c>
      <c r="J74" s="18">
        <v>11920.750500000002</v>
      </c>
      <c r="K74" s="216">
        <v>167.74587767150496</v>
      </c>
      <c r="L74" s="196"/>
      <c r="M74" s="173"/>
      <c r="N74" s="24"/>
      <c r="O74" s="24"/>
      <c r="P74" s="24"/>
      <c r="Q74" s="377">
        <f t="shared" si="1"/>
        <v>266</v>
      </c>
      <c r="R74" s="350">
        <v>33.93</v>
      </c>
      <c r="S74" s="351" t="str">
        <f t="shared" si="0"/>
        <v>OK</v>
      </c>
    </row>
    <row r="75" spans="1:19" s="17" customFormat="1" ht="12.95" customHeight="1">
      <c r="A75" s="497">
        <v>58</v>
      </c>
      <c r="B75" s="540" t="s">
        <v>98</v>
      </c>
      <c r="C75" s="541"/>
      <c r="D75" s="542"/>
      <c r="E75" s="211">
        <v>265</v>
      </c>
      <c r="F75" s="347">
        <v>33.67</v>
      </c>
      <c r="G75" s="18">
        <v>33.271999999999998</v>
      </c>
      <c r="H75" s="18" t="s">
        <v>9</v>
      </c>
      <c r="I75" s="18">
        <v>1884.3839999999996</v>
      </c>
      <c r="J75" s="18">
        <v>11887.478500000001</v>
      </c>
      <c r="K75" s="216">
        <v>168.46027250114591</v>
      </c>
      <c r="L75" s="227"/>
      <c r="M75" s="173"/>
      <c r="N75" s="24"/>
      <c r="O75" s="24"/>
      <c r="P75" s="24"/>
      <c r="Q75" s="377">
        <f t="shared" si="1"/>
        <v>265</v>
      </c>
      <c r="R75" s="350">
        <v>33.67</v>
      </c>
      <c r="S75" s="351" t="str">
        <f t="shared" si="0"/>
        <v>OK</v>
      </c>
    </row>
    <row r="76" spans="1:19" s="17" customFormat="1" ht="12.95" customHeight="1">
      <c r="A76" s="497">
        <v>59</v>
      </c>
      <c r="B76" s="540" t="s">
        <v>98</v>
      </c>
      <c r="C76" s="541"/>
      <c r="D76" s="542"/>
      <c r="E76" s="211">
        <v>264</v>
      </c>
      <c r="F76" s="347">
        <v>33.93</v>
      </c>
      <c r="G76" s="18">
        <v>33.531999999999996</v>
      </c>
      <c r="H76" s="18" t="s">
        <v>9</v>
      </c>
      <c r="I76" s="18">
        <v>1917.9159999999995</v>
      </c>
      <c r="J76" s="18">
        <v>11853.946500000002</v>
      </c>
      <c r="K76" s="216">
        <v>169.18024988235294</v>
      </c>
      <c r="L76" s="196"/>
      <c r="M76" s="173"/>
      <c r="N76" s="24"/>
      <c r="O76" s="24"/>
      <c r="P76" s="24"/>
      <c r="Q76" s="377">
        <f t="shared" si="1"/>
        <v>264</v>
      </c>
      <c r="R76" s="350">
        <v>33.93</v>
      </c>
      <c r="S76" s="351" t="str">
        <f t="shared" si="0"/>
        <v>OK</v>
      </c>
    </row>
    <row r="77" spans="1:19" s="17" customFormat="1" ht="12.95" customHeight="1">
      <c r="A77" s="497">
        <v>60</v>
      </c>
      <c r="B77" s="540" t="s">
        <v>98</v>
      </c>
      <c r="C77" s="541"/>
      <c r="D77" s="542"/>
      <c r="E77" s="211">
        <v>263</v>
      </c>
      <c r="F77" s="347">
        <v>33.93</v>
      </c>
      <c r="G77" s="18">
        <v>33.531999999999996</v>
      </c>
      <c r="H77" s="18" t="s">
        <v>9</v>
      </c>
      <c r="I77" s="18">
        <v>1951.4479999999994</v>
      </c>
      <c r="J77" s="18">
        <v>11820.414500000003</v>
      </c>
      <c r="K77" s="216">
        <v>169.90022726355994</v>
      </c>
      <c r="L77" s="227"/>
      <c r="M77" s="173"/>
      <c r="N77" s="24"/>
      <c r="O77" s="24"/>
      <c r="P77" s="24"/>
      <c r="Q77" s="377">
        <f t="shared" si="1"/>
        <v>263</v>
      </c>
      <c r="R77" s="350">
        <v>33.93</v>
      </c>
      <c r="S77" s="351" t="str">
        <f t="shared" si="0"/>
        <v>OK</v>
      </c>
    </row>
    <row r="78" spans="1:19" s="17" customFormat="1" ht="12.95" customHeight="1">
      <c r="A78" s="497">
        <v>61</v>
      </c>
      <c r="B78" s="540" t="s">
        <v>98</v>
      </c>
      <c r="C78" s="541"/>
      <c r="D78" s="542"/>
      <c r="E78" s="211">
        <v>262</v>
      </c>
      <c r="F78" s="347">
        <v>33.950000000000003</v>
      </c>
      <c r="G78" s="18">
        <v>33.552</v>
      </c>
      <c r="H78" s="18" t="s">
        <v>9</v>
      </c>
      <c r="I78" s="18">
        <v>1984.9999999999993</v>
      </c>
      <c r="J78" s="18">
        <v>11786.862500000001</v>
      </c>
      <c r="K78" s="216">
        <v>170.62063407181054</v>
      </c>
      <c r="L78" s="196"/>
      <c r="M78" s="173"/>
      <c r="N78" s="24"/>
      <c r="O78" s="24"/>
      <c r="P78" s="24"/>
      <c r="Q78" s="377">
        <f t="shared" si="1"/>
        <v>262</v>
      </c>
      <c r="R78" s="350">
        <v>33.950000000000003</v>
      </c>
      <c r="S78" s="351" t="str">
        <f t="shared" si="0"/>
        <v>OK</v>
      </c>
    </row>
    <row r="79" spans="1:19" s="17" customFormat="1" ht="12.95" customHeight="1">
      <c r="A79" s="497">
        <v>62</v>
      </c>
      <c r="B79" s="540" t="s">
        <v>98</v>
      </c>
      <c r="C79" s="541"/>
      <c r="D79" s="542"/>
      <c r="E79" s="211">
        <v>261</v>
      </c>
      <c r="F79" s="347">
        <v>33.950000000000003</v>
      </c>
      <c r="G79" s="18">
        <v>33.552</v>
      </c>
      <c r="H79" s="18" t="s">
        <v>9</v>
      </c>
      <c r="I79" s="18">
        <v>2018.5519999999992</v>
      </c>
      <c r="J79" s="18">
        <v>11753.310500000001</v>
      </c>
      <c r="K79" s="216">
        <v>171.34104088006109</v>
      </c>
      <c r="L79" s="196"/>
      <c r="M79" s="173"/>
      <c r="Q79" s="377">
        <f t="shared" si="1"/>
        <v>261</v>
      </c>
      <c r="R79" s="350">
        <v>33.950000000000003</v>
      </c>
      <c r="S79" s="351" t="str">
        <f t="shared" si="0"/>
        <v>OK</v>
      </c>
    </row>
    <row r="80" spans="1:19" s="17" customFormat="1" ht="12.95" customHeight="1">
      <c r="A80" s="497">
        <v>63</v>
      </c>
      <c r="B80" s="540" t="s">
        <v>98</v>
      </c>
      <c r="C80" s="541"/>
      <c r="D80" s="542"/>
      <c r="E80" s="211">
        <v>260</v>
      </c>
      <c r="F80" s="347">
        <v>33.950000000000003</v>
      </c>
      <c r="G80" s="18">
        <v>33.552</v>
      </c>
      <c r="H80" s="18" t="s">
        <v>9</v>
      </c>
      <c r="I80" s="18">
        <v>2052.1039999999994</v>
      </c>
      <c r="J80" s="18">
        <v>11719.758500000002</v>
      </c>
      <c r="K80" s="216">
        <v>172.06144768831166</v>
      </c>
      <c r="L80" s="196"/>
      <c r="M80" s="173"/>
      <c r="N80" s="24"/>
      <c r="O80" s="24"/>
      <c r="P80" s="24"/>
      <c r="Q80" s="377">
        <f t="shared" si="1"/>
        <v>260</v>
      </c>
      <c r="R80" s="350">
        <v>33.950000000000003</v>
      </c>
      <c r="S80" s="351" t="str">
        <f t="shared" ref="S80:S143" si="2">IF(F80-R80=0,"OK","FALSE")</f>
        <v>OK</v>
      </c>
    </row>
    <row r="81" spans="1:19" s="17" customFormat="1" ht="12.95" customHeight="1">
      <c r="A81" s="497">
        <v>64</v>
      </c>
      <c r="B81" s="540" t="s">
        <v>98</v>
      </c>
      <c r="C81" s="541"/>
      <c r="D81" s="542"/>
      <c r="E81" s="211">
        <v>259</v>
      </c>
      <c r="F81" s="347">
        <v>33.950000000000003</v>
      </c>
      <c r="G81" s="18">
        <v>33.552</v>
      </c>
      <c r="H81" s="18" t="s">
        <v>9</v>
      </c>
      <c r="I81" s="18">
        <v>2085.6559999999995</v>
      </c>
      <c r="J81" s="18">
        <v>11686.206500000002</v>
      </c>
      <c r="K81" s="216">
        <v>172.78185449656226</v>
      </c>
      <c r="L81" s="227"/>
      <c r="M81" s="173"/>
      <c r="Q81" s="377">
        <f t="shared" si="1"/>
        <v>259</v>
      </c>
      <c r="R81" s="350">
        <v>33.950000000000003</v>
      </c>
      <c r="S81" s="351" t="str">
        <f t="shared" si="2"/>
        <v>OK</v>
      </c>
    </row>
    <row r="82" spans="1:19" s="17" customFormat="1" ht="12.95" customHeight="1">
      <c r="A82" s="497">
        <v>65</v>
      </c>
      <c r="B82" s="540" t="s">
        <v>98</v>
      </c>
      <c r="C82" s="541"/>
      <c r="D82" s="542"/>
      <c r="E82" s="211">
        <v>258</v>
      </c>
      <c r="F82" s="347">
        <v>33.72</v>
      </c>
      <c r="G82" s="18">
        <v>33.321999999999996</v>
      </c>
      <c r="H82" s="18" t="s">
        <v>9</v>
      </c>
      <c r="I82" s="18">
        <v>2118.9779999999996</v>
      </c>
      <c r="J82" s="18">
        <v>11652.884500000002</v>
      </c>
      <c r="K82" s="216">
        <v>173.49732289381205</v>
      </c>
      <c r="L82" s="196"/>
      <c r="M82" s="173"/>
      <c r="Q82" s="377">
        <f t="shared" si="1"/>
        <v>258</v>
      </c>
      <c r="R82" s="350">
        <v>33.72</v>
      </c>
      <c r="S82" s="351" t="str">
        <f t="shared" si="2"/>
        <v>OK</v>
      </c>
    </row>
    <row r="83" spans="1:19" s="17" customFormat="1" ht="12.95" customHeight="1">
      <c r="A83" s="497">
        <v>66</v>
      </c>
      <c r="B83" s="540" t="s">
        <v>98</v>
      </c>
      <c r="C83" s="541"/>
      <c r="D83" s="542"/>
      <c r="E83" s="211">
        <v>257</v>
      </c>
      <c r="F83" s="347">
        <v>33.520000000000003</v>
      </c>
      <c r="G83" s="18">
        <v>33.122</v>
      </c>
      <c r="H83" s="18" t="s">
        <v>9</v>
      </c>
      <c r="I83" s="18">
        <v>2152.0999999999995</v>
      </c>
      <c r="J83" s="18">
        <v>11619.762500000001</v>
      </c>
      <c r="K83" s="216">
        <v>174.20849702062642</v>
      </c>
      <c r="L83" s="227"/>
      <c r="M83" s="173"/>
      <c r="Q83" s="377">
        <f t="shared" si="1"/>
        <v>257</v>
      </c>
      <c r="R83" s="350">
        <v>33.520000000000003</v>
      </c>
      <c r="S83" s="351" t="str">
        <f t="shared" si="2"/>
        <v>OK</v>
      </c>
    </row>
    <row r="84" spans="1:19" s="17" customFormat="1" ht="12.95" customHeight="1">
      <c r="A84" s="497">
        <v>67</v>
      </c>
      <c r="B84" s="540" t="s">
        <v>98</v>
      </c>
      <c r="C84" s="541"/>
      <c r="D84" s="542"/>
      <c r="E84" s="211">
        <v>256</v>
      </c>
      <c r="F84" s="347">
        <v>33.74</v>
      </c>
      <c r="G84" s="18">
        <v>33.341999999999999</v>
      </c>
      <c r="H84" s="18" t="s">
        <v>9</v>
      </c>
      <c r="I84" s="18">
        <v>2185.4419999999996</v>
      </c>
      <c r="J84" s="18">
        <v>11586.420500000002</v>
      </c>
      <c r="K84" s="216">
        <v>174.92439484491979</v>
      </c>
      <c r="L84" s="196"/>
      <c r="M84" s="173"/>
      <c r="Q84" s="377">
        <f t="shared" si="1"/>
        <v>256</v>
      </c>
      <c r="R84" s="350">
        <v>33.74</v>
      </c>
      <c r="S84" s="351" t="str">
        <f t="shared" si="2"/>
        <v>OK</v>
      </c>
    </row>
    <row r="85" spans="1:19" s="17" customFormat="1" ht="12.95" customHeight="1">
      <c r="A85" s="497">
        <v>68</v>
      </c>
      <c r="B85" s="540" t="s">
        <v>98</v>
      </c>
      <c r="C85" s="541"/>
      <c r="D85" s="542"/>
      <c r="E85" s="211">
        <v>255</v>
      </c>
      <c r="F85" s="347">
        <v>33.58</v>
      </c>
      <c r="G85" s="18">
        <v>33.181999999999995</v>
      </c>
      <c r="H85" s="18" t="s">
        <v>9</v>
      </c>
      <c r="I85" s="18">
        <v>2218.6239999999993</v>
      </c>
      <c r="J85" s="18">
        <v>11553.238500000001</v>
      </c>
      <c r="K85" s="216">
        <v>175.63685725286479</v>
      </c>
      <c r="L85" s="197"/>
      <c r="M85" s="173"/>
      <c r="Q85" s="377">
        <f t="shared" ref="Q85:Q148" si="3">E85</f>
        <v>255</v>
      </c>
      <c r="R85" s="350">
        <v>33.58</v>
      </c>
      <c r="S85" s="351" t="str">
        <f t="shared" si="2"/>
        <v>OK</v>
      </c>
    </row>
    <row r="86" spans="1:19" s="17" customFormat="1" ht="12.95" customHeight="1">
      <c r="A86" s="497">
        <v>69</v>
      </c>
      <c r="B86" s="540" t="s">
        <v>98</v>
      </c>
      <c r="C86" s="541"/>
      <c r="D86" s="542"/>
      <c r="E86" s="211">
        <v>254</v>
      </c>
      <c r="F86" s="347">
        <v>33.89</v>
      </c>
      <c r="G86" s="18">
        <v>33.491999999999997</v>
      </c>
      <c r="H86" s="18" t="s">
        <v>9</v>
      </c>
      <c r="I86" s="18">
        <v>2252.1159999999995</v>
      </c>
      <c r="J86" s="18">
        <v>11519.746500000001</v>
      </c>
      <c r="K86" s="216">
        <v>176.3559757799847</v>
      </c>
      <c r="L86" s="197"/>
      <c r="M86" s="173"/>
      <c r="Q86" s="377">
        <f t="shared" si="3"/>
        <v>254</v>
      </c>
      <c r="R86" s="350">
        <v>33.89</v>
      </c>
      <c r="S86" s="351" t="str">
        <f t="shared" si="2"/>
        <v>OK</v>
      </c>
    </row>
    <row r="87" spans="1:19" s="17" customFormat="1" ht="12.95" customHeight="1">
      <c r="A87" s="497">
        <v>70</v>
      </c>
      <c r="B87" s="540" t="s">
        <v>98</v>
      </c>
      <c r="C87" s="541"/>
      <c r="D87" s="542"/>
      <c r="E87" s="211">
        <v>253</v>
      </c>
      <c r="F87" s="347">
        <v>33.53</v>
      </c>
      <c r="G87" s="18">
        <v>33.131999999999998</v>
      </c>
      <c r="H87" s="18" t="s">
        <v>9</v>
      </c>
      <c r="I87" s="18">
        <v>2285.2479999999996</v>
      </c>
      <c r="J87" s="18">
        <v>11486.614500000001</v>
      </c>
      <c r="K87" s="216">
        <v>177.06736462032086</v>
      </c>
      <c r="L87" s="197"/>
      <c r="M87" s="173"/>
      <c r="Q87" s="377">
        <f t="shared" si="3"/>
        <v>253</v>
      </c>
      <c r="R87" s="350">
        <v>33.53</v>
      </c>
      <c r="S87" s="351" t="str">
        <f t="shared" si="2"/>
        <v>OK</v>
      </c>
    </row>
    <row r="88" spans="1:19" s="17" customFormat="1" ht="12.95" customHeight="1">
      <c r="A88" s="497">
        <v>71</v>
      </c>
      <c r="B88" s="540" t="s">
        <v>98</v>
      </c>
      <c r="C88" s="541"/>
      <c r="D88" s="542"/>
      <c r="E88" s="211">
        <v>252</v>
      </c>
      <c r="F88" s="347">
        <v>33.82</v>
      </c>
      <c r="G88" s="18">
        <v>33.421999999999997</v>
      </c>
      <c r="H88" s="18" t="s">
        <v>9</v>
      </c>
      <c r="I88" s="18">
        <v>2318.6699999999996</v>
      </c>
      <c r="J88" s="18">
        <v>11453.192500000001</v>
      </c>
      <c r="K88" s="216">
        <v>177.78498015278839</v>
      </c>
      <c r="L88" s="197"/>
      <c r="M88" s="173"/>
      <c r="Q88" s="377">
        <f t="shared" si="3"/>
        <v>252</v>
      </c>
      <c r="R88" s="350">
        <v>33.82</v>
      </c>
      <c r="S88" s="351" t="str">
        <f t="shared" si="2"/>
        <v>OK</v>
      </c>
    </row>
    <row r="89" spans="1:19" s="17" customFormat="1" ht="12.95" customHeight="1">
      <c r="A89" s="497">
        <v>72</v>
      </c>
      <c r="B89" s="540" t="s">
        <v>98</v>
      </c>
      <c r="C89" s="541"/>
      <c r="D89" s="542"/>
      <c r="E89" s="211">
        <v>251</v>
      </c>
      <c r="F89" s="347">
        <v>33.61</v>
      </c>
      <c r="G89" s="18">
        <v>33.211999999999996</v>
      </c>
      <c r="H89" s="18" t="s">
        <v>9</v>
      </c>
      <c r="I89" s="18">
        <v>2351.8819999999996</v>
      </c>
      <c r="J89" s="18">
        <v>11419.980500000001</v>
      </c>
      <c r="K89" s="216">
        <v>178.49808670129869</v>
      </c>
      <c r="L89" s="196"/>
      <c r="M89" s="173"/>
      <c r="Q89" s="377">
        <f t="shared" si="3"/>
        <v>251</v>
      </c>
      <c r="R89" s="350">
        <v>33.61</v>
      </c>
      <c r="S89" s="351" t="str">
        <f t="shared" si="2"/>
        <v>OK</v>
      </c>
    </row>
    <row r="90" spans="1:19" s="17" customFormat="1" ht="12.95" customHeight="1">
      <c r="A90" s="497">
        <v>73</v>
      </c>
      <c r="B90" s="540" t="s">
        <v>98</v>
      </c>
      <c r="C90" s="541"/>
      <c r="D90" s="542"/>
      <c r="E90" s="211">
        <v>250</v>
      </c>
      <c r="F90" s="347">
        <v>33.450000000000003</v>
      </c>
      <c r="G90" s="18">
        <v>33.052</v>
      </c>
      <c r="H90" s="18" t="s">
        <v>9</v>
      </c>
      <c r="I90" s="18">
        <v>2384.9339999999997</v>
      </c>
      <c r="J90" s="18">
        <v>11386.928500000002</v>
      </c>
      <c r="K90" s="216">
        <v>179.20775783346065</v>
      </c>
      <c r="L90" s="197"/>
      <c r="M90" s="173"/>
      <c r="N90" s="24"/>
      <c r="O90" s="24"/>
      <c r="P90" s="24"/>
      <c r="Q90" s="377">
        <f t="shared" si="3"/>
        <v>250</v>
      </c>
      <c r="R90" s="350">
        <v>33.450000000000003</v>
      </c>
      <c r="S90" s="351" t="str">
        <f t="shared" si="2"/>
        <v>OK</v>
      </c>
    </row>
    <row r="91" spans="1:19" s="17" customFormat="1" ht="12.95" customHeight="1">
      <c r="A91" s="497">
        <v>74</v>
      </c>
      <c r="B91" s="540" t="s">
        <v>98</v>
      </c>
      <c r="C91" s="541"/>
      <c r="D91" s="542"/>
      <c r="E91" s="211">
        <v>249</v>
      </c>
      <c r="F91" s="347">
        <v>33.68</v>
      </c>
      <c r="G91" s="18">
        <v>33.281999999999996</v>
      </c>
      <c r="H91" s="18" t="s">
        <v>9</v>
      </c>
      <c r="I91" s="18">
        <v>2418.2159999999999</v>
      </c>
      <c r="J91" s="18">
        <v>11353.646500000001</v>
      </c>
      <c r="K91" s="216">
        <v>179.92236737662338</v>
      </c>
      <c r="L91" s="196"/>
      <c r="M91" s="173"/>
      <c r="Q91" s="377">
        <f t="shared" si="3"/>
        <v>249</v>
      </c>
      <c r="R91" s="350">
        <v>33.68</v>
      </c>
      <c r="S91" s="351" t="str">
        <f t="shared" si="2"/>
        <v>OK</v>
      </c>
    </row>
    <row r="92" spans="1:19" s="17" customFormat="1" ht="12.95" customHeight="1">
      <c r="A92" s="497">
        <v>75</v>
      </c>
      <c r="B92" s="540" t="s">
        <v>98</v>
      </c>
      <c r="C92" s="541"/>
      <c r="D92" s="542"/>
      <c r="E92" s="211">
        <v>248</v>
      </c>
      <c r="F92" s="347">
        <v>33.24</v>
      </c>
      <c r="G92" s="18">
        <v>32.841999999999999</v>
      </c>
      <c r="H92" s="18" t="s">
        <v>9</v>
      </c>
      <c r="I92" s="18">
        <v>2451.058</v>
      </c>
      <c r="J92" s="18">
        <v>11320.804500000002</v>
      </c>
      <c r="K92" s="216">
        <v>180.62752952482811</v>
      </c>
      <c r="L92" s="360"/>
      <c r="M92" s="200"/>
      <c r="Q92" s="377">
        <f t="shared" si="3"/>
        <v>248</v>
      </c>
      <c r="R92" s="350">
        <v>33.24</v>
      </c>
      <c r="S92" s="351" t="str">
        <f t="shared" si="2"/>
        <v>OK</v>
      </c>
    </row>
    <row r="93" spans="1:19" s="17" customFormat="1" ht="12.95" customHeight="1">
      <c r="A93" s="497">
        <v>76</v>
      </c>
      <c r="B93" s="540" t="s">
        <v>98</v>
      </c>
      <c r="C93" s="541"/>
      <c r="D93" s="542"/>
      <c r="E93" s="211">
        <v>247</v>
      </c>
      <c r="F93" s="347">
        <v>31</v>
      </c>
      <c r="G93" s="18">
        <v>30.602</v>
      </c>
      <c r="H93" s="18" t="s">
        <v>9</v>
      </c>
      <c r="I93" s="18">
        <v>2481.66</v>
      </c>
      <c r="J93" s="18">
        <v>11290.202500000001</v>
      </c>
      <c r="K93" s="216">
        <v>181.28459584415583</v>
      </c>
      <c r="L93" s="360"/>
      <c r="M93" s="200"/>
      <c r="Q93" s="377">
        <f t="shared" si="3"/>
        <v>247</v>
      </c>
      <c r="R93" s="350">
        <v>31</v>
      </c>
      <c r="S93" s="351" t="str">
        <f t="shared" si="2"/>
        <v>OK</v>
      </c>
    </row>
    <row r="94" spans="1:19" s="17" customFormat="1" ht="12.95" customHeight="1">
      <c r="A94" s="497">
        <v>77</v>
      </c>
      <c r="B94" s="540" t="s">
        <v>98</v>
      </c>
      <c r="C94" s="541"/>
      <c r="D94" s="542"/>
      <c r="E94" s="211">
        <v>246</v>
      </c>
      <c r="F94" s="347">
        <v>33.76</v>
      </c>
      <c r="G94" s="18">
        <v>33.361999999999995</v>
      </c>
      <c r="H94" s="18" t="s">
        <v>9</v>
      </c>
      <c r="I94" s="18">
        <v>2515.0219999999999</v>
      </c>
      <c r="J94" s="18">
        <v>11256.840500000002</v>
      </c>
      <c r="K94" s="216">
        <v>182.00092309549274</v>
      </c>
      <c r="L94" s="360"/>
      <c r="M94" s="200"/>
      <c r="Q94" s="377">
        <f t="shared" si="3"/>
        <v>246</v>
      </c>
      <c r="R94" s="350">
        <v>33.76</v>
      </c>
      <c r="S94" s="351" t="str">
        <f t="shared" si="2"/>
        <v>OK</v>
      </c>
    </row>
    <row r="95" spans="1:19" s="17" customFormat="1">
      <c r="A95" s="497">
        <v>78</v>
      </c>
      <c r="B95" s="540" t="s">
        <v>98</v>
      </c>
      <c r="C95" s="541"/>
      <c r="D95" s="542"/>
      <c r="E95" s="211">
        <v>245</v>
      </c>
      <c r="F95" s="347">
        <v>33.74</v>
      </c>
      <c r="G95" s="18">
        <v>33.341999999999999</v>
      </c>
      <c r="H95" s="18" t="s">
        <v>9</v>
      </c>
      <c r="I95" s="18">
        <v>2548.364</v>
      </c>
      <c r="J95" s="18">
        <v>11223.498500000002</v>
      </c>
      <c r="K95" s="216">
        <v>182.7168209197861</v>
      </c>
      <c r="L95" s="360"/>
      <c r="M95" s="200"/>
      <c r="N95" s="24"/>
      <c r="O95" s="24"/>
      <c r="P95" s="24"/>
      <c r="Q95" s="377">
        <f t="shared" si="3"/>
        <v>245</v>
      </c>
      <c r="R95" s="350">
        <v>33.74</v>
      </c>
      <c r="S95" s="351" t="str">
        <f t="shared" si="2"/>
        <v>OK</v>
      </c>
    </row>
    <row r="96" spans="1:19" s="17" customFormat="1">
      <c r="A96" s="497">
        <v>79</v>
      </c>
      <c r="B96" s="540" t="s">
        <v>98</v>
      </c>
      <c r="C96" s="541"/>
      <c r="D96" s="542"/>
      <c r="E96" s="211">
        <v>244</v>
      </c>
      <c r="F96" s="347">
        <v>33.94</v>
      </c>
      <c r="G96" s="18">
        <v>33.541999999999994</v>
      </c>
      <c r="H96" s="18" t="s">
        <v>9</v>
      </c>
      <c r="I96" s="18">
        <v>2581.9059999999999</v>
      </c>
      <c r="J96" s="18">
        <v>11189.9565</v>
      </c>
      <c r="K96" s="216">
        <v>183.43701301451489</v>
      </c>
      <c r="L96" s="360"/>
      <c r="M96" s="200"/>
      <c r="Q96" s="377">
        <f t="shared" si="3"/>
        <v>244</v>
      </c>
      <c r="R96" s="350">
        <v>33.94</v>
      </c>
      <c r="S96" s="351" t="str">
        <f t="shared" si="2"/>
        <v>OK</v>
      </c>
    </row>
    <row r="97" spans="1:19" s="17" customFormat="1">
      <c r="A97" s="497">
        <v>80</v>
      </c>
      <c r="B97" s="540" t="s">
        <v>98</v>
      </c>
      <c r="C97" s="541"/>
      <c r="D97" s="542"/>
      <c r="E97" s="211">
        <v>243</v>
      </c>
      <c r="F97" s="347">
        <v>33.520000000000003</v>
      </c>
      <c r="G97" s="18">
        <v>33.122</v>
      </c>
      <c r="H97" s="18" t="s">
        <v>9</v>
      </c>
      <c r="I97" s="18">
        <v>2615.0279999999998</v>
      </c>
      <c r="J97" s="18">
        <v>11156.834500000001</v>
      </c>
      <c r="K97" s="216">
        <v>184.14818714132926</v>
      </c>
      <c r="L97" s="360"/>
      <c r="M97" s="200"/>
      <c r="Q97" s="377">
        <f t="shared" si="3"/>
        <v>243</v>
      </c>
      <c r="R97" s="350">
        <v>33.520000000000003</v>
      </c>
      <c r="S97" s="351" t="str">
        <f t="shared" si="2"/>
        <v>OK</v>
      </c>
    </row>
    <row r="98" spans="1:19" s="17" customFormat="1">
      <c r="A98" s="497">
        <v>81</v>
      </c>
      <c r="B98" s="540" t="s">
        <v>98</v>
      </c>
      <c r="C98" s="541"/>
      <c r="D98" s="542"/>
      <c r="E98" s="211">
        <v>242</v>
      </c>
      <c r="F98" s="347">
        <v>33.71</v>
      </c>
      <c r="G98" s="18">
        <v>33.311999999999998</v>
      </c>
      <c r="H98" s="18" t="s">
        <v>9</v>
      </c>
      <c r="I98" s="18">
        <v>2648.3399999999997</v>
      </c>
      <c r="J98" s="18">
        <v>11123.522500000001</v>
      </c>
      <c r="K98" s="216">
        <v>184.8634408250573</v>
      </c>
      <c r="L98" s="360"/>
      <c r="M98" s="200"/>
      <c r="Q98" s="377">
        <f t="shared" si="3"/>
        <v>242</v>
      </c>
      <c r="R98" s="350">
        <v>33.71</v>
      </c>
      <c r="S98" s="351" t="str">
        <f t="shared" si="2"/>
        <v>OK</v>
      </c>
    </row>
    <row r="99" spans="1:19" s="17" customFormat="1">
      <c r="A99" s="497">
        <v>82</v>
      </c>
      <c r="B99" s="540" t="s">
        <v>98</v>
      </c>
      <c r="C99" s="541"/>
      <c r="D99" s="542"/>
      <c r="E99" s="211">
        <v>241</v>
      </c>
      <c r="F99" s="347">
        <v>33.71</v>
      </c>
      <c r="G99" s="18">
        <v>33.311999999999998</v>
      </c>
      <c r="H99" s="18" t="s">
        <v>9</v>
      </c>
      <c r="I99" s="18">
        <v>2681.6519999999996</v>
      </c>
      <c r="J99" s="18">
        <v>11090.210500000001</v>
      </c>
      <c r="K99" s="216">
        <v>185.57869450878533</v>
      </c>
      <c r="L99" s="360"/>
      <c r="M99" s="200"/>
      <c r="Q99" s="377">
        <f t="shared" si="3"/>
        <v>241</v>
      </c>
      <c r="R99" s="350">
        <v>33.71</v>
      </c>
      <c r="S99" s="351" t="str">
        <f t="shared" si="2"/>
        <v>OK</v>
      </c>
    </row>
    <row r="100" spans="1:19" s="17" customFormat="1">
      <c r="A100" s="497">
        <v>83</v>
      </c>
      <c r="B100" s="540" t="s">
        <v>98</v>
      </c>
      <c r="C100" s="541"/>
      <c r="D100" s="542"/>
      <c r="E100" s="211">
        <v>240</v>
      </c>
      <c r="F100" s="347">
        <v>33.159999999999997</v>
      </c>
      <c r="G100" s="18">
        <v>32.761999999999993</v>
      </c>
      <c r="H100" s="18" t="s">
        <v>9</v>
      </c>
      <c r="I100" s="18">
        <v>2714.4139999999998</v>
      </c>
      <c r="J100" s="18">
        <v>11057.448500000002</v>
      </c>
      <c r="K100" s="216">
        <v>186.28213894881588</v>
      </c>
      <c r="L100" s="360"/>
      <c r="M100" s="200"/>
      <c r="N100" s="24"/>
      <c r="O100" s="24"/>
      <c r="P100" s="24"/>
      <c r="Q100" s="377">
        <f t="shared" si="3"/>
        <v>240</v>
      </c>
      <c r="R100" s="350">
        <v>33.159999999999997</v>
      </c>
      <c r="S100" s="351" t="str">
        <f t="shared" si="2"/>
        <v>OK</v>
      </c>
    </row>
    <row r="101" spans="1:19" s="17" customFormat="1">
      <c r="A101" s="497">
        <v>84</v>
      </c>
      <c r="B101" s="540" t="s">
        <v>98</v>
      </c>
      <c r="C101" s="541"/>
      <c r="D101" s="542"/>
      <c r="E101" s="211">
        <v>239</v>
      </c>
      <c r="F101" s="347">
        <v>33.65</v>
      </c>
      <c r="G101" s="18">
        <v>33.251999999999995</v>
      </c>
      <c r="H101" s="18" t="s">
        <v>9</v>
      </c>
      <c r="I101" s="18">
        <v>2747.6659999999997</v>
      </c>
      <c r="J101" s="18">
        <v>11024.196500000002</v>
      </c>
      <c r="K101" s="216">
        <v>186.99610435141329</v>
      </c>
      <c r="L101" s="360"/>
      <c r="M101" s="200"/>
      <c r="Q101" s="377">
        <f t="shared" si="3"/>
        <v>239</v>
      </c>
      <c r="R101" s="350">
        <v>33.65</v>
      </c>
      <c r="S101" s="351" t="str">
        <f t="shared" si="2"/>
        <v>OK</v>
      </c>
    </row>
    <row r="102" spans="1:19" s="17" customFormat="1">
      <c r="A102" s="497">
        <v>85</v>
      </c>
      <c r="B102" s="540" t="s">
        <v>98</v>
      </c>
      <c r="C102" s="541"/>
      <c r="D102" s="542"/>
      <c r="E102" s="211">
        <v>238</v>
      </c>
      <c r="F102" s="347">
        <v>33.590000000000003</v>
      </c>
      <c r="G102" s="18">
        <v>33.192</v>
      </c>
      <c r="H102" s="18" t="s">
        <v>9</v>
      </c>
      <c r="I102" s="18">
        <v>2780.8579999999997</v>
      </c>
      <c r="J102" s="18">
        <v>10991.004500000001</v>
      </c>
      <c r="K102" s="216">
        <v>187.70878147288005</v>
      </c>
      <c r="L102" s="253"/>
      <c r="M102" s="200"/>
      <c r="Q102" s="377">
        <f t="shared" si="3"/>
        <v>238</v>
      </c>
      <c r="R102" s="350">
        <v>33.590000000000003</v>
      </c>
      <c r="S102" s="351" t="str">
        <f t="shared" si="2"/>
        <v>OK</v>
      </c>
    </row>
    <row r="103" spans="1:19" s="17" customFormat="1">
      <c r="A103" s="497">
        <v>86</v>
      </c>
      <c r="B103" s="540" t="s">
        <v>98</v>
      </c>
      <c r="C103" s="541"/>
      <c r="D103" s="542"/>
      <c r="E103" s="211">
        <v>237</v>
      </c>
      <c r="F103" s="347">
        <v>33.69</v>
      </c>
      <c r="G103" s="18">
        <v>33.291999999999994</v>
      </c>
      <c r="H103" s="18" t="s">
        <v>9</v>
      </c>
      <c r="I103" s="18">
        <v>2814.1499999999996</v>
      </c>
      <c r="J103" s="18">
        <v>10957.712500000001</v>
      </c>
      <c r="K103" s="216">
        <v>188.42360572956454</v>
      </c>
      <c r="L103" s="253"/>
      <c r="M103" s="200"/>
      <c r="Q103" s="377">
        <f t="shared" si="3"/>
        <v>237</v>
      </c>
      <c r="R103" s="350">
        <v>33.69</v>
      </c>
      <c r="S103" s="351" t="str">
        <f t="shared" si="2"/>
        <v>OK</v>
      </c>
    </row>
    <row r="104" spans="1:19" s="17" customFormat="1">
      <c r="A104" s="497">
        <v>87</v>
      </c>
      <c r="B104" s="540" t="s">
        <v>98</v>
      </c>
      <c r="C104" s="541"/>
      <c r="D104" s="542"/>
      <c r="E104" s="211">
        <v>236</v>
      </c>
      <c r="F104" s="347">
        <v>33.74</v>
      </c>
      <c r="G104" s="18">
        <v>33.341999999999999</v>
      </c>
      <c r="H104" s="18" t="s">
        <v>9</v>
      </c>
      <c r="I104" s="18">
        <v>2847.4919999999997</v>
      </c>
      <c r="J104" s="18">
        <v>10924.370500000001</v>
      </c>
      <c r="K104" s="216">
        <v>189.13950355385788</v>
      </c>
      <c r="L104" s="253"/>
      <c r="M104" s="200"/>
      <c r="Q104" s="377">
        <f t="shared" si="3"/>
        <v>236</v>
      </c>
      <c r="R104" s="350">
        <v>33.74</v>
      </c>
      <c r="S104" s="351" t="str">
        <f t="shared" si="2"/>
        <v>OK</v>
      </c>
    </row>
    <row r="105" spans="1:19" s="17" customFormat="1">
      <c r="A105" s="497">
        <v>88</v>
      </c>
      <c r="B105" s="540" t="s">
        <v>98</v>
      </c>
      <c r="C105" s="541"/>
      <c r="D105" s="542"/>
      <c r="E105" s="211">
        <v>235</v>
      </c>
      <c r="F105" s="347">
        <v>32.51</v>
      </c>
      <c r="G105" s="18">
        <v>32.111999999999995</v>
      </c>
      <c r="H105" s="18" t="s">
        <v>9</v>
      </c>
      <c r="I105" s="18">
        <v>2879.6039999999998</v>
      </c>
      <c r="J105" s="18">
        <v>10892.258500000002</v>
      </c>
      <c r="K105" s="216">
        <v>189.82899161497326</v>
      </c>
      <c r="L105" s="360"/>
      <c r="M105" s="200"/>
      <c r="Q105" s="377">
        <f t="shared" si="3"/>
        <v>235</v>
      </c>
      <c r="R105" s="350">
        <v>32.51</v>
      </c>
      <c r="S105" s="351" t="str">
        <f t="shared" si="2"/>
        <v>OK</v>
      </c>
    </row>
    <row r="106" spans="1:19" s="17" customFormat="1">
      <c r="A106" s="497">
        <v>89</v>
      </c>
      <c r="B106" s="540" t="s">
        <v>98</v>
      </c>
      <c r="C106" s="541"/>
      <c r="D106" s="542"/>
      <c r="E106" s="211">
        <v>234</v>
      </c>
      <c r="F106" s="347">
        <v>33.44</v>
      </c>
      <c r="G106" s="18">
        <v>33.041999999999994</v>
      </c>
      <c r="H106" s="18" t="s">
        <v>9</v>
      </c>
      <c r="I106" s="18">
        <v>2912.6459999999997</v>
      </c>
      <c r="J106" s="18">
        <v>10859.216500000002</v>
      </c>
      <c r="K106" s="216">
        <v>190.53844803361343</v>
      </c>
      <c r="L106" s="360"/>
      <c r="M106" s="200"/>
      <c r="Q106" s="377">
        <f t="shared" si="3"/>
        <v>234</v>
      </c>
      <c r="R106" s="350">
        <v>33.44</v>
      </c>
      <c r="S106" s="351" t="str">
        <f t="shared" si="2"/>
        <v>OK</v>
      </c>
    </row>
    <row r="107" spans="1:19" s="17" customFormat="1">
      <c r="A107" s="497">
        <v>90</v>
      </c>
      <c r="B107" s="540" t="s">
        <v>98</v>
      </c>
      <c r="C107" s="541"/>
      <c r="D107" s="542"/>
      <c r="E107" s="211">
        <v>233</v>
      </c>
      <c r="F107" s="347">
        <v>33.68</v>
      </c>
      <c r="G107" s="18">
        <v>33.281999999999996</v>
      </c>
      <c r="H107" s="18" t="s">
        <v>9</v>
      </c>
      <c r="I107" s="18">
        <v>2945.9279999999999</v>
      </c>
      <c r="J107" s="18">
        <v>10825.934500000001</v>
      </c>
      <c r="K107" s="216">
        <v>191.25305757677617</v>
      </c>
      <c r="L107" s="360"/>
      <c r="M107" s="200"/>
      <c r="Q107" s="377">
        <f t="shared" si="3"/>
        <v>233</v>
      </c>
      <c r="R107" s="350">
        <v>33.68</v>
      </c>
      <c r="S107" s="351" t="str">
        <f t="shared" si="2"/>
        <v>OK</v>
      </c>
    </row>
    <row r="108" spans="1:19" s="17" customFormat="1">
      <c r="A108" s="497">
        <v>91</v>
      </c>
      <c r="B108" s="540" t="s">
        <v>98</v>
      </c>
      <c r="C108" s="541"/>
      <c r="D108" s="542"/>
      <c r="E108" s="211">
        <v>232</v>
      </c>
      <c r="F108" s="347">
        <v>33.94</v>
      </c>
      <c r="G108" s="18">
        <v>33.541999999999994</v>
      </c>
      <c r="H108" s="18" t="s">
        <v>9</v>
      </c>
      <c r="I108" s="18">
        <v>2979.47</v>
      </c>
      <c r="J108" s="18">
        <v>10792.392500000002</v>
      </c>
      <c r="K108" s="216">
        <v>191.97324967150496</v>
      </c>
      <c r="L108" s="360"/>
      <c r="M108" s="200"/>
      <c r="Q108" s="377">
        <f t="shared" si="3"/>
        <v>232</v>
      </c>
      <c r="R108" s="350">
        <v>33.94</v>
      </c>
      <c r="S108" s="351" t="str">
        <f t="shared" si="2"/>
        <v>OK</v>
      </c>
    </row>
    <row r="109" spans="1:19" s="17" customFormat="1" ht="12.95" customHeight="1">
      <c r="A109" s="497">
        <v>92</v>
      </c>
      <c r="B109" s="540" t="s">
        <v>98</v>
      </c>
      <c r="C109" s="541"/>
      <c r="D109" s="542"/>
      <c r="E109" s="211">
        <v>231</v>
      </c>
      <c r="F109" s="347">
        <v>33.5</v>
      </c>
      <c r="G109" s="18">
        <v>33.101999999999997</v>
      </c>
      <c r="H109" s="18" t="s">
        <v>9</v>
      </c>
      <c r="I109" s="18">
        <v>3012.5719999999997</v>
      </c>
      <c r="J109" s="18">
        <v>10759.290500000001</v>
      </c>
      <c r="K109" s="216">
        <v>192.68399437127579</v>
      </c>
      <c r="L109" s="197"/>
      <c r="M109" s="173"/>
      <c r="Q109" s="377">
        <f t="shared" si="3"/>
        <v>231</v>
      </c>
      <c r="R109" s="350">
        <v>33.5</v>
      </c>
      <c r="S109" s="351" t="str">
        <f t="shared" si="2"/>
        <v>OK</v>
      </c>
    </row>
    <row r="110" spans="1:19" s="17" customFormat="1" ht="12.95" customHeight="1">
      <c r="A110" s="497">
        <v>93</v>
      </c>
      <c r="B110" s="540" t="s">
        <v>98</v>
      </c>
      <c r="C110" s="541"/>
      <c r="D110" s="542"/>
      <c r="E110" s="211">
        <v>230</v>
      </c>
      <c r="F110" s="347">
        <v>33.92</v>
      </c>
      <c r="G110" s="18">
        <v>33.521999999999998</v>
      </c>
      <c r="H110" s="18" t="s">
        <v>9</v>
      </c>
      <c r="I110" s="18">
        <v>3046.0939999999996</v>
      </c>
      <c r="J110" s="18">
        <v>10725.768500000002</v>
      </c>
      <c r="K110" s="216">
        <v>193.40375703896103</v>
      </c>
      <c r="L110" s="197"/>
      <c r="M110" s="173"/>
      <c r="Q110" s="377">
        <f t="shared" si="3"/>
        <v>230</v>
      </c>
      <c r="R110" s="350">
        <v>33.92</v>
      </c>
      <c r="S110" s="351" t="str">
        <f t="shared" si="2"/>
        <v>OK</v>
      </c>
    </row>
    <row r="111" spans="1:19" s="17" customFormat="1" ht="12.95" customHeight="1">
      <c r="A111" s="497">
        <v>94</v>
      </c>
      <c r="B111" s="540" t="s">
        <v>98</v>
      </c>
      <c r="C111" s="541"/>
      <c r="D111" s="542"/>
      <c r="E111" s="211">
        <v>229</v>
      </c>
      <c r="F111" s="347">
        <v>33.65</v>
      </c>
      <c r="G111" s="18">
        <v>33.251999999999995</v>
      </c>
      <c r="H111" s="18" t="s">
        <v>9</v>
      </c>
      <c r="I111" s="18">
        <v>3079.3459999999995</v>
      </c>
      <c r="J111" s="18">
        <v>10692.516500000002</v>
      </c>
      <c r="K111" s="216">
        <v>194.11772244155844</v>
      </c>
      <c r="L111" s="196"/>
      <c r="M111" s="173"/>
      <c r="Q111" s="377">
        <f t="shared" si="3"/>
        <v>229</v>
      </c>
      <c r="R111" s="350">
        <v>33.65</v>
      </c>
      <c r="S111" s="351" t="str">
        <f t="shared" si="2"/>
        <v>OK</v>
      </c>
    </row>
    <row r="112" spans="1:19" s="17" customFormat="1" ht="12.95" customHeight="1">
      <c r="A112" s="497">
        <v>95</v>
      </c>
      <c r="B112" s="540" t="s">
        <v>98</v>
      </c>
      <c r="C112" s="541"/>
      <c r="D112" s="542"/>
      <c r="E112" s="211">
        <v>228</v>
      </c>
      <c r="F112" s="347">
        <v>33.94</v>
      </c>
      <c r="G112" s="18">
        <v>33.541999999999994</v>
      </c>
      <c r="H112" s="18" t="s">
        <v>9</v>
      </c>
      <c r="I112" s="18">
        <v>3112.8879999999995</v>
      </c>
      <c r="J112" s="18">
        <v>10658.974500000002</v>
      </c>
      <c r="K112" s="216">
        <v>194.83791453628726</v>
      </c>
      <c r="L112" s="197"/>
      <c r="M112" s="173"/>
      <c r="N112" s="24"/>
      <c r="O112" s="24"/>
      <c r="P112" s="24"/>
      <c r="Q112" s="377">
        <f t="shared" si="3"/>
        <v>228</v>
      </c>
      <c r="R112" s="350">
        <v>33.94</v>
      </c>
      <c r="S112" s="351" t="str">
        <f t="shared" si="2"/>
        <v>OK</v>
      </c>
    </row>
    <row r="113" spans="1:19" s="17" customFormat="1" ht="12.95" customHeight="1">
      <c r="A113" s="497">
        <v>96</v>
      </c>
      <c r="B113" s="540" t="s">
        <v>98</v>
      </c>
      <c r="C113" s="541"/>
      <c r="D113" s="542"/>
      <c r="E113" s="211">
        <v>227</v>
      </c>
      <c r="F113" s="347">
        <v>33.92</v>
      </c>
      <c r="G113" s="18">
        <v>33.521999999999998</v>
      </c>
      <c r="H113" s="18" t="s">
        <v>9</v>
      </c>
      <c r="I113" s="18">
        <v>3146.4099999999994</v>
      </c>
      <c r="J113" s="18">
        <v>10625.452500000001</v>
      </c>
      <c r="K113" s="216">
        <v>195.5576772039725</v>
      </c>
      <c r="L113" s="196"/>
      <c r="M113" s="173"/>
      <c r="Q113" s="377">
        <f t="shared" si="3"/>
        <v>227</v>
      </c>
      <c r="R113" s="350">
        <v>33.92</v>
      </c>
      <c r="S113" s="351" t="str">
        <f t="shared" si="2"/>
        <v>OK</v>
      </c>
    </row>
    <row r="114" spans="1:19" s="17" customFormat="1" ht="12.95" customHeight="1">
      <c r="A114" s="497">
        <v>97</v>
      </c>
      <c r="B114" s="540" t="s">
        <v>98</v>
      </c>
      <c r="C114" s="541"/>
      <c r="D114" s="542"/>
      <c r="E114" s="211">
        <v>226</v>
      </c>
      <c r="F114" s="347">
        <v>33.299999999999997</v>
      </c>
      <c r="G114" s="18">
        <v>32.901999999999994</v>
      </c>
      <c r="H114" s="18" t="s">
        <v>9</v>
      </c>
      <c r="I114" s="18">
        <v>3179.3119999999994</v>
      </c>
      <c r="J114" s="18">
        <v>10592.550500000001</v>
      </c>
      <c r="K114" s="216">
        <v>196.26412763330785</v>
      </c>
      <c r="L114" s="360"/>
      <c r="M114" s="200"/>
      <c r="Q114" s="377">
        <f t="shared" si="3"/>
        <v>226</v>
      </c>
      <c r="R114" s="350">
        <v>33.299999999999997</v>
      </c>
      <c r="S114" s="351" t="str">
        <f t="shared" si="2"/>
        <v>OK</v>
      </c>
    </row>
    <row r="115" spans="1:19" s="17" customFormat="1" ht="12.95" customHeight="1">
      <c r="A115" s="497">
        <v>98</v>
      </c>
      <c r="B115" s="540" t="s">
        <v>98</v>
      </c>
      <c r="C115" s="541"/>
      <c r="D115" s="542"/>
      <c r="E115" s="211">
        <v>225</v>
      </c>
      <c r="F115" s="347">
        <v>33.56</v>
      </c>
      <c r="G115" s="18">
        <v>33.161999999999999</v>
      </c>
      <c r="H115" s="18" t="s">
        <v>9</v>
      </c>
      <c r="I115" s="18">
        <v>3212.4739999999993</v>
      </c>
      <c r="J115" s="18">
        <v>10559.388500000001</v>
      </c>
      <c r="K115" s="216">
        <v>196.97616061420931</v>
      </c>
      <c r="L115" s="360"/>
      <c r="M115" s="200"/>
      <c r="Q115" s="377">
        <f t="shared" si="3"/>
        <v>225</v>
      </c>
      <c r="R115" s="350">
        <v>33.56</v>
      </c>
      <c r="S115" s="351" t="str">
        <f t="shared" si="2"/>
        <v>OK</v>
      </c>
    </row>
    <row r="116" spans="1:19" s="17" customFormat="1" ht="12.95" customHeight="1">
      <c r="A116" s="497">
        <v>99</v>
      </c>
      <c r="B116" s="540" t="s">
        <v>98</v>
      </c>
      <c r="C116" s="541"/>
      <c r="D116" s="542"/>
      <c r="E116" s="211">
        <v>224</v>
      </c>
      <c r="F116" s="347">
        <v>33.840000000000003</v>
      </c>
      <c r="G116" s="18">
        <v>33.442</v>
      </c>
      <c r="H116" s="18" t="s">
        <v>9</v>
      </c>
      <c r="I116" s="18">
        <v>3245.9159999999993</v>
      </c>
      <c r="J116" s="18">
        <v>10525.946500000002</v>
      </c>
      <c r="K116" s="216">
        <v>197.69420557372038</v>
      </c>
      <c r="L116" s="360"/>
      <c r="M116" s="200"/>
      <c r="Q116" s="377">
        <f t="shared" si="3"/>
        <v>224</v>
      </c>
      <c r="R116" s="350">
        <v>33.840000000000003</v>
      </c>
      <c r="S116" s="351" t="str">
        <f t="shared" si="2"/>
        <v>OK</v>
      </c>
    </row>
    <row r="117" spans="1:19" s="17" customFormat="1">
      <c r="A117" s="497">
        <v>100</v>
      </c>
      <c r="B117" s="540" t="s">
        <v>98</v>
      </c>
      <c r="C117" s="541"/>
      <c r="D117" s="542"/>
      <c r="E117" s="211">
        <v>223</v>
      </c>
      <c r="F117" s="347">
        <v>33.47</v>
      </c>
      <c r="G117" s="18">
        <v>33.071999999999996</v>
      </c>
      <c r="H117" s="18" t="s">
        <v>9</v>
      </c>
      <c r="I117" s="18">
        <v>3278.9879999999994</v>
      </c>
      <c r="J117" s="18">
        <v>10492.874500000002</v>
      </c>
      <c r="K117" s="216">
        <v>198.40430613292588</v>
      </c>
      <c r="L117" s="360"/>
      <c r="M117" s="200"/>
      <c r="N117" s="24"/>
      <c r="O117" s="24"/>
      <c r="P117" s="24"/>
      <c r="Q117" s="377">
        <f t="shared" si="3"/>
        <v>223</v>
      </c>
      <c r="R117" s="350">
        <v>33.47</v>
      </c>
      <c r="S117" s="351" t="str">
        <f t="shared" si="2"/>
        <v>OK</v>
      </c>
    </row>
    <row r="118" spans="1:19" s="17" customFormat="1">
      <c r="A118" s="497">
        <v>101</v>
      </c>
      <c r="B118" s="540" t="s">
        <v>98</v>
      </c>
      <c r="C118" s="541"/>
      <c r="D118" s="542"/>
      <c r="E118" s="211">
        <v>222</v>
      </c>
      <c r="F118" s="347">
        <v>33.950000000000003</v>
      </c>
      <c r="G118" s="18">
        <v>33.552</v>
      </c>
      <c r="H118" s="18" t="s">
        <v>9</v>
      </c>
      <c r="I118" s="18">
        <v>3312.5399999999995</v>
      </c>
      <c r="J118" s="18">
        <v>10459.322500000002</v>
      </c>
      <c r="K118" s="216">
        <v>199.12471294117645</v>
      </c>
      <c r="L118" s="360"/>
      <c r="M118" s="200"/>
      <c r="Q118" s="377">
        <f t="shared" si="3"/>
        <v>222</v>
      </c>
      <c r="R118" s="350">
        <v>33.950000000000003</v>
      </c>
      <c r="S118" s="351" t="str">
        <f t="shared" si="2"/>
        <v>OK</v>
      </c>
    </row>
    <row r="119" spans="1:19" s="17" customFormat="1">
      <c r="A119" s="497">
        <v>102</v>
      </c>
      <c r="B119" s="540" t="s">
        <v>98</v>
      </c>
      <c r="C119" s="541"/>
      <c r="D119" s="542"/>
      <c r="E119" s="211">
        <v>221</v>
      </c>
      <c r="F119" s="347">
        <v>33.880000000000003</v>
      </c>
      <c r="G119" s="18">
        <v>33.481999999999999</v>
      </c>
      <c r="H119" s="18" t="s">
        <v>9</v>
      </c>
      <c r="I119" s="18">
        <v>3346.0219999999995</v>
      </c>
      <c r="J119" s="18">
        <v>10425.840500000002</v>
      </c>
      <c r="K119" s="216">
        <v>199.84361675477464</v>
      </c>
      <c r="L119" s="565"/>
      <c r="M119" s="566"/>
      <c r="Q119" s="377">
        <f t="shared" si="3"/>
        <v>221</v>
      </c>
      <c r="R119" s="350">
        <v>33.880000000000003</v>
      </c>
      <c r="S119" s="351" t="str">
        <f t="shared" si="2"/>
        <v>OK</v>
      </c>
    </row>
    <row r="120" spans="1:19" s="17" customFormat="1">
      <c r="A120" s="497">
        <v>103</v>
      </c>
      <c r="B120" s="540" t="s">
        <v>98</v>
      </c>
      <c r="C120" s="541"/>
      <c r="D120" s="542"/>
      <c r="E120" s="211">
        <v>220</v>
      </c>
      <c r="F120" s="347">
        <v>33.86</v>
      </c>
      <c r="G120" s="18">
        <v>33.461999999999996</v>
      </c>
      <c r="H120" s="18" t="s">
        <v>9</v>
      </c>
      <c r="I120" s="18">
        <v>3379.4839999999995</v>
      </c>
      <c r="J120" s="18">
        <v>10392.378500000003</v>
      </c>
      <c r="K120" s="216">
        <v>200.56209114132923</v>
      </c>
      <c r="L120" s="360"/>
      <c r="M120" s="200"/>
      <c r="Q120" s="377">
        <f t="shared" si="3"/>
        <v>220</v>
      </c>
      <c r="R120" s="350">
        <v>33.86</v>
      </c>
      <c r="S120" s="351" t="str">
        <f t="shared" si="2"/>
        <v>OK</v>
      </c>
    </row>
    <row r="121" spans="1:19" s="17" customFormat="1">
      <c r="A121" s="497">
        <v>104</v>
      </c>
      <c r="B121" s="540" t="s">
        <v>98</v>
      </c>
      <c r="C121" s="541"/>
      <c r="D121" s="542"/>
      <c r="E121" s="211">
        <v>219</v>
      </c>
      <c r="F121" s="347">
        <v>31.14</v>
      </c>
      <c r="G121" s="18">
        <v>30.742000000000001</v>
      </c>
      <c r="H121" s="18" t="s">
        <v>9</v>
      </c>
      <c r="I121" s="18">
        <v>3410.2259999999997</v>
      </c>
      <c r="J121" s="18">
        <v>10361.636500000001</v>
      </c>
      <c r="K121" s="216">
        <v>201.22216344996178</v>
      </c>
      <c r="L121" s="360"/>
      <c r="M121" s="200"/>
      <c r="Q121" s="377">
        <f t="shared" si="3"/>
        <v>219</v>
      </c>
      <c r="R121" s="350">
        <v>31.14</v>
      </c>
      <c r="S121" s="351" t="str">
        <f t="shared" si="2"/>
        <v>OK</v>
      </c>
    </row>
    <row r="122" spans="1:19" s="17" customFormat="1">
      <c r="A122" s="497">
        <v>105</v>
      </c>
      <c r="B122" s="540" t="s">
        <v>98</v>
      </c>
      <c r="C122" s="541"/>
      <c r="D122" s="542"/>
      <c r="E122" s="211">
        <v>218</v>
      </c>
      <c r="F122" s="347">
        <v>33.869999999999997</v>
      </c>
      <c r="G122" s="18">
        <v>33.471999999999994</v>
      </c>
      <c r="H122" s="18" t="s">
        <v>9</v>
      </c>
      <c r="I122" s="18">
        <v>3443.6979999999999</v>
      </c>
      <c r="J122" s="18">
        <v>10328.164500000001</v>
      </c>
      <c r="K122" s="216">
        <v>201.94085255003819</v>
      </c>
      <c r="L122" s="360"/>
      <c r="M122" s="200"/>
      <c r="N122" s="24"/>
      <c r="O122" s="24"/>
      <c r="P122" s="24"/>
      <c r="Q122" s="377">
        <f t="shared" si="3"/>
        <v>218</v>
      </c>
      <c r="R122" s="350">
        <v>33.869999999999997</v>
      </c>
      <c r="S122" s="351" t="str">
        <f t="shared" si="2"/>
        <v>OK</v>
      </c>
    </row>
    <row r="123" spans="1:19" s="17" customFormat="1">
      <c r="A123" s="497">
        <v>106</v>
      </c>
      <c r="B123" s="540" t="s">
        <v>98</v>
      </c>
      <c r="C123" s="541"/>
      <c r="D123" s="542"/>
      <c r="E123" s="211">
        <v>217</v>
      </c>
      <c r="F123" s="347">
        <v>33.950000000000003</v>
      </c>
      <c r="G123" s="18">
        <v>33.552</v>
      </c>
      <c r="H123" s="18" t="s">
        <v>9</v>
      </c>
      <c r="I123" s="18">
        <v>3477.25</v>
      </c>
      <c r="J123" s="18">
        <v>10294.612500000001</v>
      </c>
      <c r="K123" s="216">
        <v>202.66125935828876</v>
      </c>
      <c r="L123" s="360"/>
      <c r="M123" s="200"/>
      <c r="Q123" s="377">
        <f t="shared" si="3"/>
        <v>217</v>
      </c>
      <c r="R123" s="350">
        <v>33.950000000000003</v>
      </c>
      <c r="S123" s="351" t="str">
        <f t="shared" si="2"/>
        <v>OK</v>
      </c>
    </row>
    <row r="124" spans="1:19" s="17" customFormat="1">
      <c r="A124" s="497">
        <v>107</v>
      </c>
      <c r="B124" s="540" t="s">
        <v>98</v>
      </c>
      <c r="C124" s="541"/>
      <c r="D124" s="542"/>
      <c r="E124" s="211">
        <v>216</v>
      </c>
      <c r="F124" s="347">
        <v>33.08</v>
      </c>
      <c r="G124" s="18">
        <v>32.681999999999995</v>
      </c>
      <c r="H124" s="18" t="s">
        <v>9</v>
      </c>
      <c r="I124" s="18">
        <v>3509.9319999999998</v>
      </c>
      <c r="J124" s="18">
        <v>10261.930500000002</v>
      </c>
      <c r="K124" s="216">
        <v>203.36298609014514</v>
      </c>
      <c r="L124" s="253"/>
      <c r="M124" s="200"/>
      <c r="Q124" s="377">
        <f t="shared" si="3"/>
        <v>216</v>
      </c>
      <c r="R124" s="350">
        <v>33.08</v>
      </c>
      <c r="S124" s="351" t="str">
        <f t="shared" si="2"/>
        <v>OK</v>
      </c>
    </row>
    <row r="125" spans="1:19" s="17" customFormat="1">
      <c r="A125" s="497">
        <v>108</v>
      </c>
      <c r="B125" s="540" t="s">
        <v>98</v>
      </c>
      <c r="C125" s="541"/>
      <c r="D125" s="542"/>
      <c r="E125" s="211">
        <v>215</v>
      </c>
      <c r="F125" s="347">
        <v>33.770000000000003</v>
      </c>
      <c r="G125" s="18">
        <v>33.372</v>
      </c>
      <c r="H125" s="18" t="s">
        <v>9</v>
      </c>
      <c r="I125" s="18">
        <v>3543.3039999999996</v>
      </c>
      <c r="J125" s="18">
        <v>10228.558500000001</v>
      </c>
      <c r="K125" s="216">
        <v>204.07952805500383</v>
      </c>
      <c r="L125" s="253"/>
      <c r="M125" s="200"/>
      <c r="Q125" s="377">
        <f t="shared" si="3"/>
        <v>215</v>
      </c>
      <c r="R125" s="350">
        <v>33.770000000000003</v>
      </c>
      <c r="S125" s="351" t="str">
        <f t="shared" si="2"/>
        <v>OK</v>
      </c>
    </row>
    <row r="126" spans="1:19" s="17" customFormat="1">
      <c r="A126" s="497">
        <v>109</v>
      </c>
      <c r="B126" s="540" t="s">
        <v>98</v>
      </c>
      <c r="C126" s="541"/>
      <c r="D126" s="542"/>
      <c r="E126" s="211">
        <v>214</v>
      </c>
      <c r="F126" s="347">
        <v>33.369999999999997</v>
      </c>
      <c r="G126" s="18">
        <v>32.971999999999994</v>
      </c>
      <c r="H126" s="18" t="s">
        <v>9</v>
      </c>
      <c r="I126" s="18">
        <v>3576.2759999999998</v>
      </c>
      <c r="J126" s="18">
        <v>10195.586500000001</v>
      </c>
      <c r="K126" s="216">
        <v>204.78748147899159</v>
      </c>
      <c r="L126" s="253"/>
      <c r="M126" s="200"/>
      <c r="Q126" s="377">
        <f t="shared" si="3"/>
        <v>214</v>
      </c>
      <c r="R126" s="350">
        <v>33.369999999999997</v>
      </c>
      <c r="S126" s="351" t="str">
        <f t="shared" si="2"/>
        <v>OK</v>
      </c>
    </row>
    <row r="127" spans="1:19" s="17" customFormat="1">
      <c r="A127" s="497">
        <v>110</v>
      </c>
      <c r="B127" s="540" t="s">
        <v>98</v>
      </c>
      <c r="C127" s="541"/>
      <c r="D127" s="542"/>
      <c r="E127" s="211">
        <v>213</v>
      </c>
      <c r="F127" s="347">
        <v>33.950000000000003</v>
      </c>
      <c r="G127" s="18">
        <v>33.552</v>
      </c>
      <c r="H127" s="18" t="s">
        <v>9</v>
      </c>
      <c r="I127" s="18">
        <v>3609.828</v>
      </c>
      <c r="J127" s="18">
        <v>10162.034500000002</v>
      </c>
      <c r="K127" s="216">
        <v>205.50788828724217</v>
      </c>
      <c r="L127" s="360"/>
      <c r="M127" s="200"/>
      <c r="Q127" s="377">
        <f t="shared" si="3"/>
        <v>213</v>
      </c>
      <c r="R127" s="350">
        <v>33.950000000000003</v>
      </c>
      <c r="S127" s="351" t="str">
        <f t="shared" si="2"/>
        <v>OK</v>
      </c>
    </row>
    <row r="128" spans="1:19" s="17" customFormat="1">
      <c r="A128" s="497">
        <v>111</v>
      </c>
      <c r="B128" s="540" t="s">
        <v>98</v>
      </c>
      <c r="C128" s="541"/>
      <c r="D128" s="542"/>
      <c r="E128" s="211">
        <v>212</v>
      </c>
      <c r="F128" s="347">
        <v>33.86</v>
      </c>
      <c r="G128" s="18">
        <v>33.461999999999996</v>
      </c>
      <c r="H128" s="18" t="s">
        <v>9</v>
      </c>
      <c r="I128" s="18">
        <v>3643.29</v>
      </c>
      <c r="J128" s="18">
        <v>10128.572500000002</v>
      </c>
      <c r="K128" s="216">
        <v>206.22636267379679</v>
      </c>
      <c r="L128" s="360"/>
      <c r="M128" s="200"/>
      <c r="Q128" s="377">
        <f t="shared" si="3"/>
        <v>212</v>
      </c>
      <c r="R128" s="350">
        <v>33.86</v>
      </c>
      <c r="S128" s="351" t="str">
        <f t="shared" si="2"/>
        <v>OK</v>
      </c>
    </row>
    <row r="129" spans="1:19" s="17" customFormat="1">
      <c r="A129" s="497">
        <v>112</v>
      </c>
      <c r="B129" s="540" t="s">
        <v>98</v>
      </c>
      <c r="C129" s="541"/>
      <c r="D129" s="542"/>
      <c r="E129" s="211">
        <v>211</v>
      </c>
      <c r="F129" s="347">
        <v>33.82</v>
      </c>
      <c r="G129" s="18">
        <v>33.421999999999997</v>
      </c>
      <c r="H129" s="18" t="s">
        <v>9</v>
      </c>
      <c r="I129" s="18">
        <v>3676.712</v>
      </c>
      <c r="J129" s="18">
        <v>10095.150500000002</v>
      </c>
      <c r="K129" s="216">
        <v>206.94397820626432</v>
      </c>
      <c r="L129" s="360"/>
      <c r="M129" s="200"/>
      <c r="Q129" s="377">
        <f t="shared" si="3"/>
        <v>211</v>
      </c>
      <c r="R129" s="350">
        <v>33.82</v>
      </c>
      <c r="S129" s="351" t="str">
        <f t="shared" si="2"/>
        <v>OK</v>
      </c>
    </row>
    <row r="130" spans="1:19" s="17" customFormat="1" ht="12.95" customHeight="1">
      <c r="A130" s="497">
        <v>113</v>
      </c>
      <c r="B130" s="540" t="s">
        <v>98</v>
      </c>
      <c r="C130" s="541"/>
      <c r="D130" s="542"/>
      <c r="E130" s="211">
        <v>210</v>
      </c>
      <c r="F130" s="347">
        <v>33.71</v>
      </c>
      <c r="G130" s="18">
        <v>33.311999999999998</v>
      </c>
      <c r="H130" s="18" t="s">
        <v>9</v>
      </c>
      <c r="I130" s="18">
        <v>3710.0239999999999</v>
      </c>
      <c r="J130" s="18">
        <v>10061.838500000002</v>
      </c>
      <c r="K130" s="216">
        <v>207.65923188999236</v>
      </c>
      <c r="L130" s="360"/>
      <c r="M130" s="200"/>
      <c r="Q130" s="377">
        <f t="shared" si="3"/>
        <v>210</v>
      </c>
      <c r="R130" s="350">
        <v>33.71</v>
      </c>
      <c r="S130" s="351" t="str">
        <f t="shared" si="2"/>
        <v>OK</v>
      </c>
    </row>
    <row r="131" spans="1:19" s="17" customFormat="1" ht="12.95" customHeight="1">
      <c r="A131" s="497">
        <v>114</v>
      </c>
      <c r="B131" s="540" t="s">
        <v>98</v>
      </c>
      <c r="C131" s="541"/>
      <c r="D131" s="542"/>
      <c r="E131" s="211">
        <v>209</v>
      </c>
      <c r="F131" s="347">
        <v>33.94</v>
      </c>
      <c r="G131" s="18">
        <v>33.541999999999994</v>
      </c>
      <c r="H131" s="18" t="s">
        <v>9</v>
      </c>
      <c r="I131" s="18">
        <v>3743.5659999999998</v>
      </c>
      <c r="J131" s="18">
        <v>10028.2965</v>
      </c>
      <c r="K131" s="216">
        <v>208.37942398472114</v>
      </c>
      <c r="L131" s="360"/>
      <c r="M131" s="200"/>
      <c r="Q131" s="377">
        <f t="shared" si="3"/>
        <v>209</v>
      </c>
      <c r="R131" s="350">
        <v>33.94</v>
      </c>
      <c r="S131" s="351" t="str">
        <f t="shared" si="2"/>
        <v>OK</v>
      </c>
    </row>
    <row r="132" spans="1:19" s="17" customFormat="1">
      <c r="A132" s="497">
        <v>115</v>
      </c>
      <c r="B132" s="540" t="s">
        <v>98</v>
      </c>
      <c r="C132" s="541"/>
      <c r="D132" s="542"/>
      <c r="E132" s="211">
        <v>208</v>
      </c>
      <c r="F132" s="347">
        <v>33.950000000000003</v>
      </c>
      <c r="G132" s="18">
        <v>33.552</v>
      </c>
      <c r="H132" s="18" t="s">
        <v>9</v>
      </c>
      <c r="I132" s="18">
        <v>3777.1179999999999</v>
      </c>
      <c r="J132" s="18">
        <v>9994.7445000000007</v>
      </c>
      <c r="K132" s="216">
        <v>209.09983079297174</v>
      </c>
      <c r="L132" s="360"/>
      <c r="M132" s="200"/>
      <c r="N132" s="24"/>
      <c r="O132" s="24"/>
      <c r="P132" s="24"/>
      <c r="Q132" s="377">
        <f t="shared" si="3"/>
        <v>208</v>
      </c>
      <c r="R132" s="350">
        <v>33.950000000000003</v>
      </c>
      <c r="S132" s="351" t="str">
        <f t="shared" si="2"/>
        <v>OK</v>
      </c>
    </row>
    <row r="133" spans="1:19" s="17" customFormat="1">
      <c r="A133" s="497">
        <v>116</v>
      </c>
      <c r="B133" s="540" t="s">
        <v>98</v>
      </c>
      <c r="C133" s="541"/>
      <c r="D133" s="542"/>
      <c r="E133" s="211">
        <v>207</v>
      </c>
      <c r="F133" s="347">
        <v>33.67</v>
      </c>
      <c r="G133" s="18">
        <v>33.271999999999998</v>
      </c>
      <c r="H133" s="18" t="s">
        <v>9</v>
      </c>
      <c r="I133" s="18">
        <v>3810.39</v>
      </c>
      <c r="J133" s="18">
        <v>9961.4725000000017</v>
      </c>
      <c r="K133" s="216">
        <v>209.8142256226127</v>
      </c>
      <c r="L133" s="360"/>
      <c r="M133" s="200"/>
      <c r="Q133" s="377">
        <f t="shared" si="3"/>
        <v>207</v>
      </c>
      <c r="R133" s="350">
        <v>33.67</v>
      </c>
      <c r="S133" s="351" t="str">
        <f t="shared" si="2"/>
        <v>OK</v>
      </c>
    </row>
    <row r="134" spans="1:19" s="17" customFormat="1">
      <c r="A134" s="497">
        <v>117</v>
      </c>
      <c r="B134" s="540" t="s">
        <v>98</v>
      </c>
      <c r="C134" s="541"/>
      <c r="D134" s="542"/>
      <c r="E134" s="211">
        <v>206</v>
      </c>
      <c r="F134" s="347">
        <v>33.51</v>
      </c>
      <c r="G134" s="18">
        <v>33.111999999999995</v>
      </c>
      <c r="H134" s="18" t="s">
        <v>9</v>
      </c>
      <c r="I134" s="18">
        <v>3843.502</v>
      </c>
      <c r="J134" s="18">
        <v>9928.3605000000007</v>
      </c>
      <c r="K134" s="216">
        <v>210.52518503590528</v>
      </c>
      <c r="L134" s="360"/>
      <c r="M134" s="200"/>
      <c r="Q134" s="377">
        <f t="shared" si="3"/>
        <v>206</v>
      </c>
      <c r="R134" s="350">
        <v>33.51</v>
      </c>
      <c r="S134" s="351" t="str">
        <f t="shared" si="2"/>
        <v>OK</v>
      </c>
    </row>
    <row r="135" spans="1:19" s="17" customFormat="1">
      <c r="A135" s="497">
        <v>118</v>
      </c>
      <c r="B135" s="540" t="s">
        <v>98</v>
      </c>
      <c r="C135" s="541"/>
      <c r="D135" s="542"/>
      <c r="E135" s="211">
        <v>205</v>
      </c>
      <c r="F135" s="347">
        <v>33.549999999999997</v>
      </c>
      <c r="G135" s="18">
        <v>33.151999999999994</v>
      </c>
      <c r="H135" s="18" t="s">
        <v>9</v>
      </c>
      <c r="I135" s="18">
        <v>3876.654</v>
      </c>
      <c r="J135" s="18">
        <v>9895.2085000000006</v>
      </c>
      <c r="K135" s="216">
        <v>211.23700330328495</v>
      </c>
      <c r="L135" s="360"/>
      <c r="M135" s="200"/>
      <c r="Q135" s="377">
        <f t="shared" si="3"/>
        <v>205</v>
      </c>
      <c r="R135" s="350">
        <v>33.549999999999997</v>
      </c>
      <c r="S135" s="351" t="str">
        <f t="shared" si="2"/>
        <v>OK</v>
      </c>
    </row>
    <row r="136" spans="1:19" s="17" customFormat="1">
      <c r="A136" s="497">
        <v>119</v>
      </c>
      <c r="B136" s="540" t="s">
        <v>98</v>
      </c>
      <c r="C136" s="541"/>
      <c r="D136" s="542"/>
      <c r="E136" s="211">
        <v>204</v>
      </c>
      <c r="F136" s="347">
        <v>33.83</v>
      </c>
      <c r="G136" s="18">
        <v>33.431999999999995</v>
      </c>
      <c r="H136" s="18" t="s">
        <v>9</v>
      </c>
      <c r="I136" s="18">
        <v>3910.0859999999998</v>
      </c>
      <c r="J136" s="18">
        <v>9861.7765000000018</v>
      </c>
      <c r="K136" s="216">
        <v>211.95483354927424</v>
      </c>
      <c r="L136" s="360"/>
      <c r="M136" s="200"/>
      <c r="Q136" s="377">
        <f t="shared" si="3"/>
        <v>204</v>
      </c>
      <c r="R136" s="350">
        <v>33.83</v>
      </c>
      <c r="S136" s="351" t="str">
        <f t="shared" si="2"/>
        <v>OK</v>
      </c>
    </row>
    <row r="137" spans="1:19" s="17" customFormat="1">
      <c r="A137" s="497">
        <v>120</v>
      </c>
      <c r="B137" s="540" t="s">
        <v>98</v>
      </c>
      <c r="C137" s="541"/>
      <c r="D137" s="542"/>
      <c r="E137" s="211">
        <v>203</v>
      </c>
      <c r="F137" s="347">
        <v>33.619999999999997</v>
      </c>
      <c r="G137" s="18">
        <v>33.221999999999994</v>
      </c>
      <c r="H137" s="18" t="s">
        <v>9</v>
      </c>
      <c r="I137" s="18">
        <v>3943.308</v>
      </c>
      <c r="J137" s="18">
        <v>9828.554500000002</v>
      </c>
      <c r="K137" s="216">
        <v>212.66815481130635</v>
      </c>
      <c r="L137" s="360"/>
      <c r="M137" s="200"/>
      <c r="N137" s="24"/>
      <c r="O137" s="24"/>
      <c r="P137" s="24"/>
      <c r="Q137" s="377">
        <f t="shared" si="3"/>
        <v>203</v>
      </c>
      <c r="R137" s="350">
        <v>33.619999999999997</v>
      </c>
      <c r="S137" s="351" t="str">
        <f t="shared" si="2"/>
        <v>OK</v>
      </c>
    </row>
    <row r="138" spans="1:19" s="17" customFormat="1">
      <c r="A138" s="497">
        <v>121</v>
      </c>
      <c r="B138" s="540" t="s">
        <v>98</v>
      </c>
      <c r="C138" s="541"/>
      <c r="D138" s="542"/>
      <c r="E138" s="211">
        <v>202</v>
      </c>
      <c r="F138" s="347">
        <v>33.299999999999997</v>
      </c>
      <c r="G138" s="18">
        <v>32.901999999999994</v>
      </c>
      <c r="H138" s="18" t="s">
        <v>9</v>
      </c>
      <c r="I138" s="18">
        <v>3976.21</v>
      </c>
      <c r="J138" s="18">
        <v>9795.6525000000001</v>
      </c>
      <c r="K138" s="216">
        <v>213.3746052406417</v>
      </c>
      <c r="L138" s="360"/>
      <c r="M138" s="200"/>
      <c r="Q138" s="377">
        <f t="shared" si="3"/>
        <v>202</v>
      </c>
      <c r="R138" s="350">
        <v>33.299999999999997</v>
      </c>
      <c r="S138" s="351" t="str">
        <f t="shared" si="2"/>
        <v>OK</v>
      </c>
    </row>
    <row r="139" spans="1:19" s="17" customFormat="1">
      <c r="A139" s="497">
        <v>122</v>
      </c>
      <c r="B139" s="540" t="s">
        <v>98</v>
      </c>
      <c r="C139" s="541"/>
      <c r="D139" s="542"/>
      <c r="E139" s="211">
        <v>201</v>
      </c>
      <c r="F139" s="347">
        <v>33.409999999999997</v>
      </c>
      <c r="G139" s="18">
        <v>33.011999999999993</v>
      </c>
      <c r="H139" s="18" t="s">
        <v>9</v>
      </c>
      <c r="I139" s="18">
        <v>4009.2220000000002</v>
      </c>
      <c r="J139" s="18">
        <v>9762.6405000000013</v>
      </c>
      <c r="K139" s="216">
        <v>214.0834175187166</v>
      </c>
      <c r="L139" s="253"/>
      <c r="M139" s="200"/>
      <c r="Q139" s="377">
        <f t="shared" si="3"/>
        <v>201</v>
      </c>
      <c r="R139" s="350">
        <v>33.409999999999997</v>
      </c>
      <c r="S139" s="351" t="str">
        <f t="shared" si="2"/>
        <v>OK</v>
      </c>
    </row>
    <row r="140" spans="1:19" s="17" customFormat="1">
      <c r="A140" s="497">
        <v>123</v>
      </c>
      <c r="B140" s="540" t="s">
        <v>98</v>
      </c>
      <c r="C140" s="541"/>
      <c r="D140" s="542"/>
      <c r="E140" s="211">
        <v>200</v>
      </c>
      <c r="F140" s="347">
        <v>33.380000000000003</v>
      </c>
      <c r="G140" s="18">
        <v>32.981999999999999</v>
      </c>
      <c r="H140" s="18" t="s">
        <v>9</v>
      </c>
      <c r="I140" s="18">
        <v>4042.2040000000002</v>
      </c>
      <c r="J140" s="18">
        <v>9729.6585000000014</v>
      </c>
      <c r="K140" s="216">
        <v>214.79158565622612</v>
      </c>
      <c r="L140" s="253"/>
      <c r="M140" s="200"/>
      <c r="Q140" s="377">
        <f t="shared" si="3"/>
        <v>200</v>
      </c>
      <c r="R140" s="350">
        <v>33.380000000000003</v>
      </c>
      <c r="S140" s="351" t="str">
        <f t="shared" si="2"/>
        <v>OK</v>
      </c>
    </row>
    <row r="141" spans="1:19" s="17" customFormat="1">
      <c r="A141" s="497">
        <v>124</v>
      </c>
      <c r="B141" s="540" t="s">
        <v>98</v>
      </c>
      <c r="C141" s="541"/>
      <c r="D141" s="542"/>
      <c r="E141" s="211">
        <v>199</v>
      </c>
      <c r="F141" s="347">
        <v>33.74</v>
      </c>
      <c r="G141" s="18">
        <v>33.341999999999999</v>
      </c>
      <c r="H141" s="18" t="s">
        <v>9</v>
      </c>
      <c r="I141" s="18">
        <v>4075.5460000000003</v>
      </c>
      <c r="J141" s="18">
        <v>9696.3165000000008</v>
      </c>
      <c r="K141" s="216">
        <v>215.50748348051951</v>
      </c>
      <c r="L141" s="253"/>
      <c r="M141" s="200"/>
      <c r="Q141" s="377">
        <f t="shared" si="3"/>
        <v>199</v>
      </c>
      <c r="R141" s="350">
        <v>33.74</v>
      </c>
      <c r="S141" s="351" t="str">
        <f t="shared" si="2"/>
        <v>OK</v>
      </c>
    </row>
    <row r="142" spans="1:19" s="17" customFormat="1">
      <c r="A142" s="497">
        <v>125</v>
      </c>
      <c r="B142" s="540" t="s">
        <v>98</v>
      </c>
      <c r="C142" s="541"/>
      <c r="D142" s="542"/>
      <c r="E142" s="211">
        <v>198</v>
      </c>
      <c r="F142" s="347">
        <v>33.65</v>
      </c>
      <c r="G142" s="18">
        <v>33.251999999999995</v>
      </c>
      <c r="H142" s="18" t="s">
        <v>9</v>
      </c>
      <c r="I142" s="18">
        <v>4108.7980000000007</v>
      </c>
      <c r="J142" s="18">
        <v>9663.0645000000004</v>
      </c>
      <c r="K142" s="216">
        <v>216.22144888311692</v>
      </c>
      <c r="L142" s="360"/>
      <c r="M142" s="200"/>
      <c r="Q142" s="377">
        <f t="shared" si="3"/>
        <v>198</v>
      </c>
      <c r="R142" s="350">
        <v>33.65</v>
      </c>
      <c r="S142" s="351" t="str">
        <f t="shared" si="2"/>
        <v>OK</v>
      </c>
    </row>
    <row r="143" spans="1:19" s="17" customFormat="1">
      <c r="A143" s="497">
        <v>126</v>
      </c>
      <c r="B143" s="540" t="s">
        <v>98</v>
      </c>
      <c r="C143" s="541"/>
      <c r="D143" s="542"/>
      <c r="E143" s="211">
        <v>197</v>
      </c>
      <c r="F143" s="347">
        <v>33.770000000000003</v>
      </c>
      <c r="G143" s="18">
        <v>33.372</v>
      </c>
      <c r="H143" s="18" t="s">
        <v>9</v>
      </c>
      <c r="I143" s="18">
        <v>4142.170000000001</v>
      </c>
      <c r="J143" s="18">
        <v>9629.692500000001</v>
      </c>
      <c r="K143" s="216">
        <v>216.93799084797558</v>
      </c>
      <c r="L143" s="565"/>
      <c r="M143" s="588"/>
      <c r="Q143" s="377">
        <f t="shared" si="3"/>
        <v>197</v>
      </c>
      <c r="R143" s="350">
        <v>33.770000000000003</v>
      </c>
      <c r="S143" s="351" t="str">
        <f t="shared" si="2"/>
        <v>OK</v>
      </c>
    </row>
    <row r="144" spans="1:19">
      <c r="A144" s="497">
        <v>127</v>
      </c>
      <c r="B144" s="540" t="s">
        <v>98</v>
      </c>
      <c r="C144" s="541"/>
      <c r="D144" s="542"/>
      <c r="E144" s="211">
        <v>196</v>
      </c>
      <c r="F144" s="347">
        <v>33.840000000000003</v>
      </c>
      <c r="G144" s="18">
        <v>33.442</v>
      </c>
      <c r="H144" s="18" t="s">
        <v>9</v>
      </c>
      <c r="I144" s="18">
        <v>4175.612000000001</v>
      </c>
      <c r="J144" s="18">
        <v>9596.2505000000001</v>
      </c>
      <c r="K144" s="216">
        <v>217.65603580748666</v>
      </c>
      <c r="L144" s="229"/>
      <c r="M144" s="173"/>
      <c r="Q144" s="377">
        <f t="shared" si="3"/>
        <v>196</v>
      </c>
      <c r="R144" s="350">
        <v>33.840000000000003</v>
      </c>
      <c r="S144" s="351" t="str">
        <f t="shared" ref="S144:S207" si="4">IF(F144-R144=0,"OK","FALSE")</f>
        <v>OK</v>
      </c>
    </row>
    <row r="145" spans="1:19">
      <c r="A145" s="497">
        <v>128</v>
      </c>
      <c r="B145" s="540" t="s">
        <v>98</v>
      </c>
      <c r="C145" s="541"/>
      <c r="D145" s="542"/>
      <c r="E145" s="211">
        <v>195</v>
      </c>
      <c r="F145" s="347">
        <v>32.21</v>
      </c>
      <c r="G145" s="18">
        <v>31.812000000000001</v>
      </c>
      <c r="H145" s="18" t="s">
        <v>9</v>
      </c>
      <c r="I145" s="18">
        <v>4207.4240000000009</v>
      </c>
      <c r="J145" s="18">
        <v>9564.4385000000002</v>
      </c>
      <c r="K145" s="216">
        <v>218.33908246294885</v>
      </c>
      <c r="L145" s="229"/>
      <c r="M145" s="173"/>
      <c r="Q145" s="377">
        <f t="shared" si="3"/>
        <v>195</v>
      </c>
      <c r="R145" s="350">
        <v>32.21</v>
      </c>
      <c r="S145" s="351" t="str">
        <f t="shared" si="4"/>
        <v>OK</v>
      </c>
    </row>
    <row r="146" spans="1:19">
      <c r="A146" s="497">
        <v>129</v>
      </c>
      <c r="B146" s="540" t="s">
        <v>98</v>
      </c>
      <c r="C146" s="541"/>
      <c r="D146" s="542"/>
      <c r="E146" s="211">
        <v>194</v>
      </c>
      <c r="F146" s="347">
        <v>33.21</v>
      </c>
      <c r="G146" s="18">
        <v>32.811999999999998</v>
      </c>
      <c r="H146" s="18" t="s">
        <v>9</v>
      </c>
      <c r="I146" s="18">
        <v>4240.2360000000008</v>
      </c>
      <c r="J146" s="18">
        <v>9531.6265000000003</v>
      </c>
      <c r="K146" s="216">
        <v>219.04360047058827</v>
      </c>
      <c r="L146" s="229"/>
      <c r="M146" s="173"/>
      <c r="Q146" s="377">
        <f t="shared" si="3"/>
        <v>194</v>
      </c>
      <c r="R146" s="350">
        <v>33.21</v>
      </c>
      <c r="S146" s="351" t="str">
        <f t="shared" si="4"/>
        <v>OK</v>
      </c>
    </row>
    <row r="147" spans="1:19">
      <c r="A147" s="497">
        <v>130</v>
      </c>
      <c r="B147" s="540" t="s">
        <v>98</v>
      </c>
      <c r="C147" s="541"/>
      <c r="D147" s="542"/>
      <c r="E147" s="211">
        <v>193</v>
      </c>
      <c r="F147" s="347">
        <v>33.979999999999997</v>
      </c>
      <c r="G147" s="18">
        <v>33.581999999999994</v>
      </c>
      <c r="H147" s="18" t="s">
        <v>9</v>
      </c>
      <c r="I147" s="18">
        <v>4273.8180000000011</v>
      </c>
      <c r="J147" s="18">
        <v>9498.0445</v>
      </c>
      <c r="K147" s="216">
        <v>219.76465141940415</v>
      </c>
      <c r="L147" s="229"/>
      <c r="M147" s="173"/>
      <c r="Q147" s="377">
        <f t="shared" si="3"/>
        <v>193</v>
      </c>
      <c r="R147" s="350">
        <v>33.979999999999997</v>
      </c>
      <c r="S147" s="351" t="str">
        <f t="shared" si="4"/>
        <v>OK</v>
      </c>
    </row>
    <row r="148" spans="1:19">
      <c r="A148" s="497">
        <v>131</v>
      </c>
      <c r="B148" s="540" t="s">
        <v>98</v>
      </c>
      <c r="C148" s="541"/>
      <c r="D148" s="542"/>
      <c r="E148" s="211">
        <v>192</v>
      </c>
      <c r="F148" s="347">
        <v>33.86</v>
      </c>
      <c r="G148" s="18">
        <v>33.461999999999996</v>
      </c>
      <c r="H148" s="18" t="s">
        <v>9</v>
      </c>
      <c r="I148" s="18">
        <v>4307.2800000000016</v>
      </c>
      <c r="J148" s="18">
        <v>9464.5825000000004</v>
      </c>
      <c r="K148" s="216">
        <v>220.48312580595879</v>
      </c>
      <c r="L148" s="229"/>
      <c r="M148" s="173"/>
      <c r="Q148" s="377">
        <f t="shared" si="3"/>
        <v>192</v>
      </c>
      <c r="R148" s="350">
        <v>33.86</v>
      </c>
      <c r="S148" s="351" t="str">
        <f t="shared" si="4"/>
        <v>OK</v>
      </c>
    </row>
    <row r="149" spans="1:19">
      <c r="A149" s="497">
        <v>132</v>
      </c>
      <c r="B149" s="540" t="s">
        <v>98</v>
      </c>
      <c r="C149" s="541"/>
      <c r="D149" s="542"/>
      <c r="E149" s="211">
        <v>191</v>
      </c>
      <c r="F149" s="347">
        <v>33.51</v>
      </c>
      <c r="G149" s="18">
        <v>33.111999999999995</v>
      </c>
      <c r="H149" s="18" t="s">
        <v>9</v>
      </c>
      <c r="I149" s="18">
        <v>4340.3920000000016</v>
      </c>
      <c r="J149" s="18">
        <v>9431.4704999999994</v>
      </c>
      <c r="K149" s="216">
        <v>221.19408521925138</v>
      </c>
      <c r="L149" s="229"/>
      <c r="M149" s="173"/>
      <c r="Q149" s="377">
        <f t="shared" ref="Q149:Q212" si="5">E149</f>
        <v>191</v>
      </c>
      <c r="R149" s="350">
        <v>33.51</v>
      </c>
      <c r="S149" s="351" t="str">
        <f t="shared" si="4"/>
        <v>OK</v>
      </c>
    </row>
    <row r="150" spans="1:19">
      <c r="A150" s="497">
        <v>133</v>
      </c>
      <c r="B150" s="540" t="s">
        <v>98</v>
      </c>
      <c r="C150" s="541"/>
      <c r="D150" s="542"/>
      <c r="E150" s="211">
        <v>190</v>
      </c>
      <c r="F150" s="347">
        <v>33.78</v>
      </c>
      <c r="G150" s="18">
        <v>33.381999999999998</v>
      </c>
      <c r="H150" s="18" t="s">
        <v>9</v>
      </c>
      <c r="I150" s="18">
        <v>4373.7740000000013</v>
      </c>
      <c r="J150" s="18">
        <v>9398.0884999999998</v>
      </c>
      <c r="K150" s="216">
        <v>221.91084189763183</v>
      </c>
      <c r="L150" s="254"/>
      <c r="M150" s="200"/>
      <c r="Q150" s="377">
        <f t="shared" si="5"/>
        <v>190</v>
      </c>
      <c r="R150" s="350">
        <v>33.78</v>
      </c>
      <c r="S150" s="351" t="str">
        <f t="shared" si="4"/>
        <v>OK</v>
      </c>
    </row>
    <row r="151" spans="1:19">
      <c r="A151" s="497">
        <v>134</v>
      </c>
      <c r="B151" s="540" t="s">
        <v>98</v>
      </c>
      <c r="C151" s="541"/>
      <c r="D151" s="542"/>
      <c r="E151" s="211">
        <v>189</v>
      </c>
      <c r="F151" s="347">
        <v>33.869999999999997</v>
      </c>
      <c r="G151" s="18">
        <v>33.471999999999994</v>
      </c>
      <c r="H151" s="18" t="s">
        <v>9</v>
      </c>
      <c r="I151" s="18">
        <v>4407.246000000001</v>
      </c>
      <c r="J151" s="18">
        <v>9364.6165000000001</v>
      </c>
      <c r="K151" s="216">
        <v>222.62953099770817</v>
      </c>
      <c r="L151" s="360"/>
      <c r="M151" s="200"/>
      <c r="Q151" s="377">
        <f t="shared" si="5"/>
        <v>189</v>
      </c>
      <c r="R151" s="350">
        <v>33.869999999999997</v>
      </c>
      <c r="S151" s="351" t="str">
        <f t="shared" si="4"/>
        <v>OK</v>
      </c>
    </row>
    <row r="152" spans="1:19">
      <c r="A152" s="497">
        <v>135</v>
      </c>
      <c r="B152" s="540" t="s">
        <v>98</v>
      </c>
      <c r="C152" s="541"/>
      <c r="D152" s="542"/>
      <c r="E152" s="211">
        <v>188</v>
      </c>
      <c r="F152" s="347">
        <v>33.92</v>
      </c>
      <c r="G152" s="18">
        <v>33.521999999999998</v>
      </c>
      <c r="H152" s="18" t="s">
        <v>9</v>
      </c>
      <c r="I152" s="18">
        <v>4440.7680000000009</v>
      </c>
      <c r="J152" s="18">
        <v>9331.0944999999992</v>
      </c>
      <c r="K152" s="216">
        <v>223.34929366539347</v>
      </c>
      <c r="L152" s="229"/>
      <c r="M152" s="173"/>
      <c r="Q152" s="377">
        <f t="shared" si="5"/>
        <v>188</v>
      </c>
      <c r="R152" s="350">
        <v>33.92</v>
      </c>
      <c r="S152" s="351" t="str">
        <f t="shared" si="4"/>
        <v>OK</v>
      </c>
    </row>
    <row r="153" spans="1:19">
      <c r="A153" s="497">
        <v>136</v>
      </c>
      <c r="B153" s="540" t="s">
        <v>98</v>
      </c>
      <c r="C153" s="541"/>
      <c r="D153" s="542"/>
      <c r="E153" s="211">
        <v>187</v>
      </c>
      <c r="F153" s="347">
        <v>33.71</v>
      </c>
      <c r="G153" s="18">
        <v>33.311999999999998</v>
      </c>
      <c r="H153" s="18" t="s">
        <v>9</v>
      </c>
      <c r="I153" s="18">
        <v>4474.0800000000008</v>
      </c>
      <c r="J153" s="18">
        <v>9297.7825000000012</v>
      </c>
      <c r="K153" s="216">
        <v>224.06454734912148</v>
      </c>
      <c r="L153" s="229"/>
      <c r="M153" s="173"/>
      <c r="Q153" s="377">
        <f t="shared" si="5"/>
        <v>187</v>
      </c>
      <c r="R153" s="350">
        <v>33.71</v>
      </c>
      <c r="S153" s="351" t="str">
        <f t="shared" si="4"/>
        <v>OK</v>
      </c>
    </row>
    <row r="154" spans="1:19">
      <c r="A154" s="497">
        <v>137</v>
      </c>
      <c r="B154" s="540" t="s">
        <v>98</v>
      </c>
      <c r="C154" s="541"/>
      <c r="D154" s="542"/>
      <c r="E154" s="211">
        <v>186</v>
      </c>
      <c r="F154" s="347">
        <v>31.57</v>
      </c>
      <c r="G154" s="18">
        <v>31.172000000000001</v>
      </c>
      <c r="H154" s="18" t="s">
        <v>9</v>
      </c>
      <c r="I154" s="18">
        <v>4505.2520000000004</v>
      </c>
      <c r="J154" s="18">
        <v>9266.6105000000007</v>
      </c>
      <c r="K154" s="216">
        <v>224.73385233919021</v>
      </c>
      <c r="L154" s="229"/>
      <c r="M154" s="173"/>
      <c r="Q154" s="377">
        <f t="shared" si="5"/>
        <v>186</v>
      </c>
      <c r="R154" s="350">
        <v>31.57</v>
      </c>
      <c r="S154" s="351" t="str">
        <f t="shared" si="4"/>
        <v>OK</v>
      </c>
    </row>
    <row r="155" spans="1:19">
      <c r="A155" s="497">
        <v>138</v>
      </c>
      <c r="B155" s="540" t="s">
        <v>98</v>
      </c>
      <c r="C155" s="541"/>
      <c r="D155" s="542"/>
      <c r="E155" s="211">
        <v>185</v>
      </c>
      <c r="F155" s="347">
        <v>33.659999999999997</v>
      </c>
      <c r="G155" s="18">
        <v>33.261999999999993</v>
      </c>
      <c r="H155" s="18" t="s">
        <v>9</v>
      </c>
      <c r="I155" s="18">
        <v>4538.5140000000001</v>
      </c>
      <c r="J155" s="18">
        <v>9233.3485000000001</v>
      </c>
      <c r="K155" s="216">
        <v>225.4480324553094</v>
      </c>
      <c r="L155" s="229"/>
      <c r="M155" s="173"/>
      <c r="Q155" s="377">
        <f t="shared" si="5"/>
        <v>185</v>
      </c>
      <c r="R155" s="350">
        <v>33.659999999999997</v>
      </c>
      <c r="S155" s="351" t="str">
        <f t="shared" si="4"/>
        <v>OK</v>
      </c>
    </row>
    <row r="156" spans="1:19">
      <c r="A156" s="497">
        <v>139</v>
      </c>
      <c r="B156" s="540" t="s">
        <v>98</v>
      </c>
      <c r="C156" s="541"/>
      <c r="D156" s="542"/>
      <c r="E156" s="211">
        <v>184</v>
      </c>
      <c r="F156" s="347">
        <v>33.46</v>
      </c>
      <c r="G156" s="18">
        <v>33.061999999999998</v>
      </c>
      <c r="H156" s="18" t="s">
        <v>9</v>
      </c>
      <c r="I156" s="18">
        <v>4571.576</v>
      </c>
      <c r="J156" s="18">
        <v>9200.286500000002</v>
      </c>
      <c r="K156" s="216">
        <v>226.15791830099312</v>
      </c>
      <c r="L156" s="229"/>
      <c r="M156" s="173"/>
      <c r="Q156" s="377">
        <f t="shared" si="5"/>
        <v>184</v>
      </c>
      <c r="R156" s="350">
        <v>33.46</v>
      </c>
      <c r="S156" s="351" t="str">
        <f t="shared" si="4"/>
        <v>OK</v>
      </c>
    </row>
    <row r="157" spans="1:19">
      <c r="A157" s="497">
        <v>140</v>
      </c>
      <c r="B157" s="540" t="s">
        <v>98</v>
      </c>
      <c r="C157" s="541"/>
      <c r="D157" s="542"/>
      <c r="E157" s="211">
        <v>183</v>
      </c>
      <c r="F157" s="347">
        <v>33.96</v>
      </c>
      <c r="G157" s="18">
        <v>33.561999999999998</v>
      </c>
      <c r="H157" s="18" t="s">
        <v>9</v>
      </c>
      <c r="I157" s="18">
        <v>4605.1379999999999</v>
      </c>
      <c r="J157" s="18">
        <v>9166.7245000000003</v>
      </c>
      <c r="K157" s="216">
        <v>226.87853982276548</v>
      </c>
      <c r="L157" s="229"/>
      <c r="M157" s="173"/>
      <c r="Q157" s="377">
        <f t="shared" si="5"/>
        <v>183</v>
      </c>
      <c r="R157" s="350">
        <v>33.96</v>
      </c>
      <c r="S157" s="351" t="str">
        <f t="shared" si="4"/>
        <v>OK</v>
      </c>
    </row>
    <row r="158" spans="1:19">
      <c r="A158" s="497">
        <v>141</v>
      </c>
      <c r="B158" s="540" t="s">
        <v>98</v>
      </c>
      <c r="C158" s="541"/>
      <c r="D158" s="542"/>
      <c r="E158" s="211">
        <v>182</v>
      </c>
      <c r="F158" s="347">
        <v>33.909999999999997</v>
      </c>
      <c r="G158" s="18">
        <v>33.511999999999993</v>
      </c>
      <c r="H158" s="18" t="s">
        <v>9</v>
      </c>
      <c r="I158" s="18">
        <v>4638.6499999999996</v>
      </c>
      <c r="J158" s="18">
        <v>9133.2125000000015</v>
      </c>
      <c r="K158" s="216">
        <v>227.59808777692893</v>
      </c>
      <c r="L158" s="229"/>
      <c r="M158" s="173"/>
      <c r="Q158" s="377">
        <f t="shared" si="5"/>
        <v>182</v>
      </c>
      <c r="R158" s="350">
        <v>33.909999999999997</v>
      </c>
      <c r="S158" s="351" t="str">
        <f t="shared" si="4"/>
        <v>OK</v>
      </c>
    </row>
    <row r="159" spans="1:19">
      <c r="A159" s="497">
        <v>142</v>
      </c>
      <c r="B159" s="540" t="s">
        <v>98</v>
      </c>
      <c r="C159" s="541"/>
      <c r="D159" s="542"/>
      <c r="E159" s="211">
        <v>181</v>
      </c>
      <c r="F159" s="347">
        <v>33.69</v>
      </c>
      <c r="G159" s="18">
        <v>33.291999999999994</v>
      </c>
      <c r="H159" s="18" t="s">
        <v>9</v>
      </c>
      <c r="I159" s="18">
        <v>4671.942</v>
      </c>
      <c r="J159" s="18">
        <v>9099.9205000000002</v>
      </c>
      <c r="K159" s="216">
        <v>228.31291203361346</v>
      </c>
      <c r="L159" s="229"/>
      <c r="M159" s="173"/>
      <c r="Q159" s="377">
        <f t="shared" si="5"/>
        <v>181</v>
      </c>
      <c r="R159" s="350">
        <v>33.69</v>
      </c>
      <c r="S159" s="351" t="str">
        <f t="shared" si="4"/>
        <v>OK</v>
      </c>
    </row>
    <row r="160" spans="1:19">
      <c r="A160" s="497">
        <v>143</v>
      </c>
      <c r="B160" s="540" t="s">
        <v>98</v>
      </c>
      <c r="C160" s="541"/>
      <c r="D160" s="542"/>
      <c r="E160" s="211">
        <v>180</v>
      </c>
      <c r="F160" s="347">
        <v>33.49</v>
      </c>
      <c r="G160" s="18">
        <v>33.091999999999999</v>
      </c>
      <c r="H160" s="18" t="s">
        <v>9</v>
      </c>
      <c r="I160" s="18">
        <v>4705.0339999999997</v>
      </c>
      <c r="J160" s="18">
        <v>9066.8285000000014</v>
      </c>
      <c r="K160" s="216">
        <v>229.0234420198625</v>
      </c>
      <c r="L160" s="229"/>
      <c r="M160" s="173"/>
      <c r="Q160" s="377">
        <f t="shared" si="5"/>
        <v>180</v>
      </c>
      <c r="R160" s="350">
        <v>33.49</v>
      </c>
      <c r="S160" s="351" t="str">
        <f t="shared" si="4"/>
        <v>OK</v>
      </c>
    </row>
    <row r="161" spans="1:19">
      <c r="A161" s="497">
        <v>144</v>
      </c>
      <c r="B161" s="540" t="s">
        <v>98</v>
      </c>
      <c r="C161" s="541"/>
      <c r="D161" s="542"/>
      <c r="E161" s="211">
        <v>179</v>
      </c>
      <c r="F161" s="347">
        <v>33.630000000000003</v>
      </c>
      <c r="G161" s="18">
        <v>33.231999999999999</v>
      </c>
      <c r="H161" s="18" t="s">
        <v>9</v>
      </c>
      <c r="I161" s="18">
        <v>4738.2659999999996</v>
      </c>
      <c r="J161" s="18">
        <v>9033.5965000000015</v>
      </c>
      <c r="K161" s="216">
        <v>229.73697799541634</v>
      </c>
      <c r="L161" s="229"/>
      <c r="M161" s="173"/>
      <c r="Q161" s="377">
        <f t="shared" si="5"/>
        <v>179</v>
      </c>
      <c r="R161" s="350">
        <v>33.630000000000003</v>
      </c>
      <c r="S161" s="351" t="str">
        <f t="shared" si="4"/>
        <v>OK</v>
      </c>
    </row>
    <row r="162" spans="1:19">
      <c r="A162" s="497">
        <v>145</v>
      </c>
      <c r="B162" s="540" t="s">
        <v>98</v>
      </c>
      <c r="C162" s="541"/>
      <c r="D162" s="542"/>
      <c r="E162" s="211">
        <v>178</v>
      </c>
      <c r="F162" s="347">
        <v>33.72</v>
      </c>
      <c r="G162" s="18">
        <v>33.321999999999996</v>
      </c>
      <c r="H162" s="18" t="s">
        <v>9</v>
      </c>
      <c r="I162" s="18">
        <v>4771.5879999999997</v>
      </c>
      <c r="J162" s="18">
        <v>9000.2745000000014</v>
      </c>
      <c r="K162" s="216">
        <v>230.45244639266616</v>
      </c>
      <c r="L162" s="229"/>
      <c r="M162" s="173"/>
      <c r="N162" s="19"/>
      <c r="O162" s="19"/>
      <c r="P162" s="19"/>
      <c r="Q162" s="377">
        <f t="shared" si="5"/>
        <v>178</v>
      </c>
      <c r="R162" s="350">
        <v>33.72</v>
      </c>
      <c r="S162" s="351" t="str">
        <f t="shared" si="4"/>
        <v>OK</v>
      </c>
    </row>
    <row r="163" spans="1:19">
      <c r="A163" s="497">
        <v>146</v>
      </c>
      <c r="B163" s="540" t="s">
        <v>98</v>
      </c>
      <c r="C163" s="541"/>
      <c r="D163" s="542"/>
      <c r="E163" s="211">
        <v>177</v>
      </c>
      <c r="F163" s="347">
        <v>33.479999999999997</v>
      </c>
      <c r="G163" s="18">
        <v>33.081999999999994</v>
      </c>
      <c r="H163" s="18" t="s">
        <v>9</v>
      </c>
      <c r="I163" s="18">
        <v>4804.67</v>
      </c>
      <c r="J163" s="18">
        <v>8967.192500000001</v>
      </c>
      <c r="K163" s="216">
        <v>231.16276166539342</v>
      </c>
      <c r="L163" s="229"/>
      <c r="M163" s="173"/>
      <c r="Q163" s="377">
        <f t="shared" si="5"/>
        <v>177</v>
      </c>
      <c r="R163" s="350">
        <v>33.479999999999997</v>
      </c>
      <c r="S163" s="351" t="str">
        <f t="shared" si="4"/>
        <v>OK</v>
      </c>
    </row>
    <row r="164" spans="1:19">
      <c r="A164" s="497">
        <v>147</v>
      </c>
      <c r="B164" s="540" t="s">
        <v>98</v>
      </c>
      <c r="C164" s="541"/>
      <c r="D164" s="542"/>
      <c r="E164" s="211">
        <v>176</v>
      </c>
      <c r="F164" s="347">
        <v>33.56</v>
      </c>
      <c r="G164" s="18">
        <v>33.161999999999999</v>
      </c>
      <c r="H164" s="18" t="s">
        <v>9</v>
      </c>
      <c r="I164" s="18">
        <v>4837.8320000000003</v>
      </c>
      <c r="J164" s="18">
        <v>8934.0305000000008</v>
      </c>
      <c r="K164" s="216">
        <v>231.8747946462949</v>
      </c>
      <c r="L164" s="229"/>
      <c r="M164" s="173"/>
      <c r="Q164" s="377">
        <f t="shared" si="5"/>
        <v>176</v>
      </c>
      <c r="R164" s="350">
        <v>33.56</v>
      </c>
      <c r="S164" s="351" t="str">
        <f t="shared" si="4"/>
        <v>OK</v>
      </c>
    </row>
    <row r="165" spans="1:19">
      <c r="A165" s="497">
        <v>148</v>
      </c>
      <c r="B165" s="540" t="s">
        <v>98</v>
      </c>
      <c r="C165" s="541"/>
      <c r="D165" s="542"/>
      <c r="E165" s="211">
        <v>175</v>
      </c>
      <c r="F165" s="347">
        <v>33.44</v>
      </c>
      <c r="G165" s="18">
        <v>33.041999999999994</v>
      </c>
      <c r="H165" s="18" t="s">
        <v>9</v>
      </c>
      <c r="I165" s="18">
        <v>4870.8740000000007</v>
      </c>
      <c r="J165" s="18">
        <v>8900.9884999999995</v>
      </c>
      <c r="K165" s="216">
        <v>232.58425106493507</v>
      </c>
      <c r="L165" s="229"/>
      <c r="M165" s="173"/>
      <c r="Q165" s="377">
        <f t="shared" si="5"/>
        <v>175</v>
      </c>
      <c r="R165" s="350">
        <v>33.44</v>
      </c>
      <c r="S165" s="351" t="str">
        <f t="shared" si="4"/>
        <v>OK</v>
      </c>
    </row>
    <row r="166" spans="1:19">
      <c r="A166" s="497">
        <v>149</v>
      </c>
      <c r="B166" s="540" t="s">
        <v>98</v>
      </c>
      <c r="C166" s="541"/>
      <c r="D166" s="542"/>
      <c r="E166" s="211">
        <v>174</v>
      </c>
      <c r="F166" s="347">
        <v>33.58</v>
      </c>
      <c r="G166" s="18">
        <v>33.181999999999995</v>
      </c>
      <c r="H166" s="18" t="s">
        <v>9</v>
      </c>
      <c r="I166" s="18">
        <v>4904.0560000000005</v>
      </c>
      <c r="J166" s="18">
        <v>8867.8065000000006</v>
      </c>
      <c r="K166" s="216">
        <v>233.29671347288007</v>
      </c>
      <c r="L166" s="229"/>
      <c r="M166" s="173"/>
      <c r="Q166" s="377">
        <f t="shared" si="5"/>
        <v>174</v>
      </c>
      <c r="R166" s="350">
        <v>33.58</v>
      </c>
      <c r="S166" s="351" t="str">
        <f t="shared" si="4"/>
        <v>OK</v>
      </c>
    </row>
    <row r="167" spans="1:19">
      <c r="A167" s="497">
        <v>150</v>
      </c>
      <c r="B167" s="540" t="s">
        <v>98</v>
      </c>
      <c r="C167" s="541"/>
      <c r="D167" s="542"/>
      <c r="E167" s="211">
        <v>173</v>
      </c>
      <c r="F167" s="347">
        <v>33.64</v>
      </c>
      <c r="G167" s="18">
        <v>33.241999999999997</v>
      </c>
      <c r="H167" s="18" t="s">
        <v>9</v>
      </c>
      <c r="I167" s="18">
        <v>4937.2980000000007</v>
      </c>
      <c r="J167" s="18">
        <v>8834.5645000000004</v>
      </c>
      <c r="K167" s="216">
        <v>234.01046416195572</v>
      </c>
      <c r="L167" s="229"/>
      <c r="M167" s="173"/>
      <c r="Q167" s="377">
        <f t="shared" si="5"/>
        <v>173</v>
      </c>
      <c r="R167" s="350">
        <v>33.64</v>
      </c>
      <c r="S167" s="351" t="str">
        <f t="shared" si="4"/>
        <v>OK</v>
      </c>
    </row>
    <row r="168" spans="1:19">
      <c r="A168" s="497">
        <v>151</v>
      </c>
      <c r="B168" s="540" t="s">
        <v>98</v>
      </c>
      <c r="C168" s="541"/>
      <c r="D168" s="542"/>
      <c r="E168" s="211">
        <v>172</v>
      </c>
      <c r="F168" s="347">
        <v>33.75</v>
      </c>
      <c r="G168" s="18">
        <v>33.351999999999997</v>
      </c>
      <c r="H168" s="18" t="s">
        <v>9</v>
      </c>
      <c r="I168" s="18">
        <v>4970.6500000000005</v>
      </c>
      <c r="J168" s="18">
        <v>8801.2125000000015</v>
      </c>
      <c r="K168" s="216">
        <v>234.72657669977082</v>
      </c>
      <c r="L168" s="229"/>
      <c r="M168" s="173"/>
      <c r="Q168" s="377">
        <f t="shared" si="5"/>
        <v>172</v>
      </c>
      <c r="R168" s="350">
        <v>33.75</v>
      </c>
      <c r="S168" s="351" t="str">
        <f t="shared" si="4"/>
        <v>OK</v>
      </c>
    </row>
    <row r="169" spans="1:19">
      <c r="A169" s="497">
        <v>152</v>
      </c>
      <c r="B169" s="540" t="s">
        <v>98</v>
      </c>
      <c r="C169" s="541"/>
      <c r="D169" s="542"/>
      <c r="E169" s="211">
        <v>171</v>
      </c>
      <c r="F169" s="347">
        <v>33.51</v>
      </c>
      <c r="G169" s="18">
        <v>33.111999999999995</v>
      </c>
      <c r="H169" s="18" t="s">
        <v>9</v>
      </c>
      <c r="I169" s="18">
        <v>5003.7620000000006</v>
      </c>
      <c r="J169" s="18">
        <v>8768.1005000000005</v>
      </c>
      <c r="K169" s="216">
        <v>235.43753611306343</v>
      </c>
      <c r="L169" s="229"/>
      <c r="M169" s="173"/>
      <c r="Q169" s="377">
        <f t="shared" si="5"/>
        <v>171</v>
      </c>
      <c r="R169" s="350">
        <v>33.51</v>
      </c>
      <c r="S169" s="351" t="str">
        <f t="shared" si="4"/>
        <v>OK</v>
      </c>
    </row>
    <row r="170" spans="1:19">
      <c r="A170" s="497">
        <v>153</v>
      </c>
      <c r="B170" s="540" t="s">
        <v>98</v>
      </c>
      <c r="C170" s="541"/>
      <c r="D170" s="542"/>
      <c r="E170" s="211">
        <v>170</v>
      </c>
      <c r="F170" s="347">
        <v>33.869999999999997</v>
      </c>
      <c r="G170" s="18">
        <v>33.471999999999994</v>
      </c>
      <c r="H170" s="18" t="s">
        <v>9</v>
      </c>
      <c r="I170" s="18">
        <v>5037.2340000000004</v>
      </c>
      <c r="J170" s="18">
        <v>8734.6285000000007</v>
      </c>
      <c r="K170" s="216">
        <v>236.15622521313981</v>
      </c>
      <c r="L170" s="229"/>
      <c r="M170" s="173"/>
      <c r="Q170" s="377">
        <f t="shared" si="5"/>
        <v>170</v>
      </c>
      <c r="R170" s="350">
        <v>33.869999999999997</v>
      </c>
      <c r="S170" s="351" t="str">
        <f t="shared" si="4"/>
        <v>OK</v>
      </c>
    </row>
    <row r="171" spans="1:19">
      <c r="A171" s="497">
        <v>154</v>
      </c>
      <c r="B171" s="540" t="s">
        <v>98</v>
      </c>
      <c r="C171" s="541"/>
      <c r="D171" s="542"/>
      <c r="E171" s="211">
        <v>169</v>
      </c>
      <c r="F171" s="347">
        <v>33.659999999999997</v>
      </c>
      <c r="G171" s="18">
        <v>33.261999999999993</v>
      </c>
      <c r="H171" s="18" t="s">
        <v>9</v>
      </c>
      <c r="I171" s="18">
        <v>5070.4960000000001</v>
      </c>
      <c r="J171" s="18">
        <v>8701.3665000000001</v>
      </c>
      <c r="K171" s="216">
        <v>236.87040532925897</v>
      </c>
      <c r="L171" s="229"/>
      <c r="M171" s="173"/>
      <c r="Q171" s="377">
        <f t="shared" si="5"/>
        <v>169</v>
      </c>
      <c r="R171" s="350">
        <v>33.659999999999997</v>
      </c>
      <c r="S171" s="351" t="str">
        <f t="shared" si="4"/>
        <v>OK</v>
      </c>
    </row>
    <row r="172" spans="1:19">
      <c r="A172" s="497">
        <v>155</v>
      </c>
      <c r="B172" s="540" t="s">
        <v>98</v>
      </c>
      <c r="C172" s="541"/>
      <c r="D172" s="542"/>
      <c r="E172" s="211">
        <v>168</v>
      </c>
      <c r="F172" s="347">
        <v>33.409999999999997</v>
      </c>
      <c r="G172" s="18">
        <v>33.011999999999993</v>
      </c>
      <c r="H172" s="18" t="s">
        <v>9</v>
      </c>
      <c r="I172" s="18">
        <v>5103.5079999999998</v>
      </c>
      <c r="J172" s="18">
        <v>8668.3545000000013</v>
      </c>
      <c r="K172" s="216">
        <v>237.57921760733382</v>
      </c>
      <c r="L172" s="229"/>
      <c r="M172" s="173"/>
      <c r="Q172" s="377">
        <f t="shared" si="5"/>
        <v>168</v>
      </c>
      <c r="R172" s="350">
        <v>33.409999999999997</v>
      </c>
      <c r="S172" s="351" t="str">
        <f t="shared" si="4"/>
        <v>OK</v>
      </c>
    </row>
    <row r="173" spans="1:19">
      <c r="A173" s="497">
        <v>156</v>
      </c>
      <c r="B173" s="540" t="s">
        <v>98</v>
      </c>
      <c r="C173" s="541"/>
      <c r="D173" s="542"/>
      <c r="E173" s="211">
        <v>167</v>
      </c>
      <c r="F173" s="347">
        <v>33.68</v>
      </c>
      <c r="G173" s="18">
        <v>33.281999999999996</v>
      </c>
      <c r="H173" s="18" t="s">
        <v>9</v>
      </c>
      <c r="I173" s="18">
        <v>5136.79</v>
      </c>
      <c r="J173" s="18">
        <v>8635.072500000002</v>
      </c>
      <c r="K173" s="216">
        <v>238.29382715049655</v>
      </c>
      <c r="L173" s="229"/>
      <c r="M173" s="173"/>
      <c r="Q173" s="377">
        <f t="shared" si="5"/>
        <v>167</v>
      </c>
      <c r="R173" s="350">
        <v>33.68</v>
      </c>
      <c r="S173" s="351" t="str">
        <f t="shared" si="4"/>
        <v>OK</v>
      </c>
    </row>
    <row r="174" spans="1:19">
      <c r="A174" s="497">
        <v>157</v>
      </c>
      <c r="B174" s="540" t="s">
        <v>98</v>
      </c>
      <c r="C174" s="541"/>
      <c r="D174" s="542"/>
      <c r="E174" s="211">
        <v>166</v>
      </c>
      <c r="F174" s="347">
        <v>33.590000000000003</v>
      </c>
      <c r="G174" s="18">
        <v>33.192</v>
      </c>
      <c r="H174" s="18" t="s">
        <v>9</v>
      </c>
      <c r="I174" s="18">
        <v>5169.982</v>
      </c>
      <c r="J174" s="18">
        <v>8601.8805000000011</v>
      </c>
      <c r="K174" s="216">
        <v>239.00650427196334</v>
      </c>
      <c r="L174" s="229"/>
      <c r="M174" s="173"/>
      <c r="Q174" s="377">
        <f t="shared" si="5"/>
        <v>166</v>
      </c>
      <c r="R174" s="350">
        <v>33.590000000000003</v>
      </c>
      <c r="S174" s="351" t="str">
        <f t="shared" si="4"/>
        <v>OK</v>
      </c>
    </row>
    <row r="175" spans="1:19">
      <c r="A175" s="497">
        <v>158</v>
      </c>
      <c r="B175" s="540" t="s">
        <v>98</v>
      </c>
      <c r="C175" s="541"/>
      <c r="D175" s="542"/>
      <c r="E175" s="211">
        <v>165</v>
      </c>
      <c r="F175" s="347">
        <v>33.28</v>
      </c>
      <c r="G175" s="18">
        <v>32.881999999999998</v>
      </c>
      <c r="H175" s="18" t="s">
        <v>9</v>
      </c>
      <c r="I175" s="18">
        <v>5202.8639999999996</v>
      </c>
      <c r="J175" s="18">
        <v>8568.9985000000015</v>
      </c>
      <c r="K175" s="216">
        <v>239.71252527425514</v>
      </c>
      <c r="L175" s="229"/>
      <c r="M175" s="173"/>
      <c r="Q175" s="377">
        <f t="shared" si="5"/>
        <v>165</v>
      </c>
      <c r="R175" s="350">
        <v>33.28</v>
      </c>
      <c r="S175" s="351" t="str">
        <f t="shared" si="4"/>
        <v>OK</v>
      </c>
    </row>
    <row r="176" spans="1:19">
      <c r="A176" s="497">
        <v>159</v>
      </c>
      <c r="B176" s="540" t="s">
        <v>98</v>
      </c>
      <c r="C176" s="541"/>
      <c r="D176" s="542"/>
      <c r="E176" s="211">
        <v>164</v>
      </c>
      <c r="F176" s="347">
        <v>33.64</v>
      </c>
      <c r="G176" s="18">
        <v>33.241999999999997</v>
      </c>
      <c r="H176" s="18" t="s">
        <v>9</v>
      </c>
      <c r="I176" s="18">
        <v>5236.1059999999998</v>
      </c>
      <c r="J176" s="18">
        <v>8535.7565000000013</v>
      </c>
      <c r="K176" s="216">
        <v>240.4262759633308</v>
      </c>
      <c r="L176" s="229"/>
      <c r="M176" s="173"/>
      <c r="Q176" s="377">
        <f t="shared" si="5"/>
        <v>164</v>
      </c>
      <c r="R176" s="350">
        <v>33.64</v>
      </c>
      <c r="S176" s="351" t="str">
        <f t="shared" si="4"/>
        <v>OK</v>
      </c>
    </row>
    <row r="177" spans="1:19">
      <c r="A177" s="497">
        <v>160</v>
      </c>
      <c r="B177" s="540" t="s">
        <v>98</v>
      </c>
      <c r="C177" s="541"/>
      <c r="D177" s="542"/>
      <c r="E177" s="211">
        <v>163</v>
      </c>
      <c r="F177" s="347">
        <v>33.979999999999997</v>
      </c>
      <c r="G177" s="18">
        <v>33.581999999999994</v>
      </c>
      <c r="H177" s="18" t="s">
        <v>9</v>
      </c>
      <c r="I177" s="18">
        <v>5269.6880000000001</v>
      </c>
      <c r="J177" s="18">
        <v>8502.174500000001</v>
      </c>
      <c r="K177" s="216">
        <v>241.1473269121467</v>
      </c>
      <c r="L177" s="229"/>
      <c r="M177" s="173"/>
      <c r="Q177" s="377">
        <f t="shared" si="5"/>
        <v>163</v>
      </c>
      <c r="R177" s="350">
        <v>33.979999999999997</v>
      </c>
      <c r="S177" s="351" t="str">
        <f t="shared" si="4"/>
        <v>OK</v>
      </c>
    </row>
    <row r="178" spans="1:19">
      <c r="A178" s="497">
        <v>161</v>
      </c>
      <c r="B178" s="540" t="s">
        <v>98</v>
      </c>
      <c r="C178" s="541"/>
      <c r="D178" s="542"/>
      <c r="E178" s="211">
        <v>162</v>
      </c>
      <c r="F178" s="347">
        <v>33.75</v>
      </c>
      <c r="G178" s="18">
        <v>33.351999999999997</v>
      </c>
      <c r="H178" s="18" t="s">
        <v>9</v>
      </c>
      <c r="I178" s="18">
        <v>5303.04</v>
      </c>
      <c r="J178" s="18">
        <v>8468.822500000002</v>
      </c>
      <c r="K178" s="216">
        <v>241.86343944996182</v>
      </c>
      <c r="L178" s="229"/>
      <c r="M178" s="173"/>
      <c r="Q178" s="377">
        <f t="shared" si="5"/>
        <v>162</v>
      </c>
      <c r="R178" s="350">
        <v>33.75</v>
      </c>
      <c r="S178" s="351" t="str">
        <f t="shared" si="4"/>
        <v>OK</v>
      </c>
    </row>
    <row r="179" spans="1:19">
      <c r="A179" s="497">
        <v>162</v>
      </c>
      <c r="B179" s="540" t="s">
        <v>98</v>
      </c>
      <c r="C179" s="541"/>
      <c r="D179" s="542"/>
      <c r="E179" s="211">
        <v>161</v>
      </c>
      <c r="F179" s="347">
        <v>32.049999999999997</v>
      </c>
      <c r="G179" s="18">
        <v>31.651999999999997</v>
      </c>
      <c r="H179" s="18" t="s">
        <v>9</v>
      </c>
      <c r="I179" s="18">
        <v>5334.692</v>
      </c>
      <c r="J179" s="18">
        <v>8437.1705000000002</v>
      </c>
      <c r="K179" s="216">
        <v>242.54305068907564</v>
      </c>
      <c r="L179" s="229"/>
      <c r="M179" s="173"/>
      <c r="Q179" s="377">
        <f t="shared" si="5"/>
        <v>161</v>
      </c>
      <c r="R179" s="350">
        <v>32.049999999999997</v>
      </c>
      <c r="S179" s="351" t="str">
        <f t="shared" si="4"/>
        <v>OK</v>
      </c>
    </row>
    <row r="180" spans="1:19">
      <c r="A180" s="497">
        <v>163</v>
      </c>
      <c r="B180" s="540" t="s">
        <v>98</v>
      </c>
      <c r="C180" s="541"/>
      <c r="D180" s="542"/>
      <c r="E180" s="211">
        <v>160</v>
      </c>
      <c r="F180" s="347">
        <v>33.81</v>
      </c>
      <c r="G180" s="18">
        <v>33.411999999999999</v>
      </c>
      <c r="H180" s="18" t="s">
        <v>9</v>
      </c>
      <c r="I180" s="18">
        <v>5368.1040000000003</v>
      </c>
      <c r="J180" s="18">
        <v>8403.7584999999999</v>
      </c>
      <c r="K180" s="216">
        <v>243.26045150802139</v>
      </c>
      <c r="L180" s="229"/>
      <c r="M180" s="173"/>
      <c r="Q180" s="377">
        <f t="shared" si="5"/>
        <v>160</v>
      </c>
      <c r="R180" s="350">
        <v>33.81</v>
      </c>
      <c r="S180" s="351" t="str">
        <f t="shared" si="4"/>
        <v>OK</v>
      </c>
    </row>
    <row r="181" spans="1:19">
      <c r="A181" s="497">
        <v>164</v>
      </c>
      <c r="B181" s="540" t="s">
        <v>98</v>
      </c>
      <c r="C181" s="541"/>
      <c r="D181" s="542"/>
      <c r="E181" s="211">
        <v>159</v>
      </c>
      <c r="F181" s="347">
        <v>32.14</v>
      </c>
      <c r="G181" s="18">
        <v>31.742000000000001</v>
      </c>
      <c r="H181" s="18" t="s">
        <v>9</v>
      </c>
      <c r="I181" s="18">
        <v>5399.8460000000005</v>
      </c>
      <c r="J181" s="18">
        <v>8372.0165000000015</v>
      </c>
      <c r="K181" s="216">
        <v>243.94199516883117</v>
      </c>
      <c r="L181" s="229"/>
      <c r="M181" s="173"/>
      <c r="Q181" s="377">
        <f t="shared" si="5"/>
        <v>159</v>
      </c>
      <c r="R181" s="350">
        <v>32.14</v>
      </c>
      <c r="S181" s="351" t="str">
        <f t="shared" si="4"/>
        <v>OK</v>
      </c>
    </row>
    <row r="182" spans="1:19">
      <c r="A182" s="497">
        <v>165</v>
      </c>
      <c r="B182" s="540" t="s">
        <v>98</v>
      </c>
      <c r="C182" s="541"/>
      <c r="D182" s="542"/>
      <c r="E182" s="211">
        <v>158</v>
      </c>
      <c r="F182" s="347">
        <v>33.82</v>
      </c>
      <c r="G182" s="18">
        <v>33.421999999999997</v>
      </c>
      <c r="H182" s="18" t="s">
        <v>9</v>
      </c>
      <c r="I182" s="18">
        <v>5433.268</v>
      </c>
      <c r="J182" s="18">
        <v>8338.5945000000011</v>
      </c>
      <c r="K182" s="216">
        <v>244.6596107012987</v>
      </c>
      <c r="L182" s="229"/>
      <c r="M182" s="173"/>
      <c r="Q182" s="377">
        <f t="shared" si="5"/>
        <v>158</v>
      </c>
      <c r="R182" s="350">
        <v>33.82</v>
      </c>
      <c r="S182" s="351" t="str">
        <f t="shared" si="4"/>
        <v>OK</v>
      </c>
    </row>
    <row r="183" spans="1:19">
      <c r="A183" s="497">
        <v>166</v>
      </c>
      <c r="B183" s="540" t="s">
        <v>98</v>
      </c>
      <c r="C183" s="541"/>
      <c r="D183" s="542"/>
      <c r="E183" s="211">
        <v>157</v>
      </c>
      <c r="F183" s="347">
        <v>33.57</v>
      </c>
      <c r="G183" s="18">
        <v>33.171999999999997</v>
      </c>
      <c r="H183" s="18" t="s">
        <v>9</v>
      </c>
      <c r="I183" s="18">
        <v>5466.44</v>
      </c>
      <c r="J183" s="18">
        <v>8305.4225000000006</v>
      </c>
      <c r="K183" s="216">
        <v>245.37185839572194</v>
      </c>
      <c r="L183" s="229"/>
      <c r="M183" s="173"/>
      <c r="Q183" s="377">
        <f t="shared" si="5"/>
        <v>157</v>
      </c>
      <c r="R183" s="350">
        <v>33.57</v>
      </c>
      <c r="S183" s="351" t="str">
        <f t="shared" si="4"/>
        <v>OK</v>
      </c>
    </row>
    <row r="184" spans="1:19">
      <c r="A184" s="497">
        <v>167</v>
      </c>
      <c r="B184" s="540" t="s">
        <v>98</v>
      </c>
      <c r="C184" s="541"/>
      <c r="D184" s="542"/>
      <c r="E184" s="211">
        <v>156</v>
      </c>
      <c r="F184" s="347">
        <v>33.65</v>
      </c>
      <c r="G184" s="18">
        <v>33.251999999999995</v>
      </c>
      <c r="H184" s="18" t="s">
        <v>9</v>
      </c>
      <c r="I184" s="18">
        <v>5499.692</v>
      </c>
      <c r="J184" s="18">
        <v>8272.1705000000002</v>
      </c>
      <c r="K184" s="216">
        <v>246.08582379831932</v>
      </c>
      <c r="L184" s="229"/>
      <c r="M184" s="173"/>
      <c r="Q184" s="377">
        <f t="shared" si="5"/>
        <v>156</v>
      </c>
      <c r="R184" s="350">
        <v>33.65</v>
      </c>
      <c r="S184" s="351" t="str">
        <f t="shared" si="4"/>
        <v>OK</v>
      </c>
    </row>
    <row r="185" spans="1:19">
      <c r="A185" s="497">
        <v>168</v>
      </c>
      <c r="B185" s="540" t="s">
        <v>98</v>
      </c>
      <c r="C185" s="541"/>
      <c r="D185" s="542"/>
      <c r="E185" s="211">
        <v>155</v>
      </c>
      <c r="F185" s="347">
        <v>33.67</v>
      </c>
      <c r="G185" s="18">
        <v>33.271999999999998</v>
      </c>
      <c r="H185" s="18" t="s">
        <v>9</v>
      </c>
      <c r="I185" s="18">
        <v>5532.9639999999999</v>
      </c>
      <c r="J185" s="18">
        <v>8238.8985000000011</v>
      </c>
      <c r="K185" s="216">
        <v>246.80021862796031</v>
      </c>
      <c r="L185" s="229"/>
      <c r="M185" s="173"/>
      <c r="Q185" s="377">
        <f t="shared" si="5"/>
        <v>155</v>
      </c>
      <c r="R185" s="350">
        <v>33.67</v>
      </c>
      <c r="S185" s="351" t="str">
        <f t="shared" si="4"/>
        <v>OK</v>
      </c>
    </row>
    <row r="186" spans="1:19">
      <c r="A186" s="497">
        <v>169</v>
      </c>
      <c r="B186" s="540" t="s">
        <v>98</v>
      </c>
      <c r="C186" s="541"/>
      <c r="D186" s="542"/>
      <c r="E186" s="211">
        <v>154</v>
      </c>
      <c r="F186" s="347">
        <v>32.11</v>
      </c>
      <c r="G186" s="18">
        <v>31.712</v>
      </c>
      <c r="H186" s="18" t="s">
        <v>9</v>
      </c>
      <c r="I186" s="18">
        <v>5564.6760000000004</v>
      </c>
      <c r="J186" s="18">
        <v>8207.1864999999998</v>
      </c>
      <c r="K186" s="216">
        <v>247.48111814820476</v>
      </c>
      <c r="L186" s="229"/>
      <c r="M186" s="173"/>
      <c r="Q186" s="377">
        <f t="shared" si="5"/>
        <v>154</v>
      </c>
      <c r="R186" s="350">
        <v>32.11</v>
      </c>
      <c r="S186" s="351" t="str">
        <f t="shared" si="4"/>
        <v>OK</v>
      </c>
    </row>
    <row r="187" spans="1:19">
      <c r="A187" s="497">
        <v>170</v>
      </c>
      <c r="B187" s="540" t="s">
        <v>98</v>
      </c>
      <c r="C187" s="541"/>
      <c r="D187" s="542"/>
      <c r="E187" s="211">
        <v>153</v>
      </c>
      <c r="F187" s="347">
        <v>33.630000000000003</v>
      </c>
      <c r="G187" s="18">
        <v>33.231999999999999</v>
      </c>
      <c r="H187" s="18" t="s">
        <v>9</v>
      </c>
      <c r="I187" s="18">
        <v>5597.9080000000004</v>
      </c>
      <c r="J187" s="18">
        <v>8173.9545000000007</v>
      </c>
      <c r="K187" s="216">
        <v>248.1946541237586</v>
      </c>
      <c r="L187" s="229"/>
      <c r="M187" s="173"/>
      <c r="Q187" s="377">
        <f t="shared" si="5"/>
        <v>153</v>
      </c>
      <c r="R187" s="350">
        <v>33.630000000000003</v>
      </c>
      <c r="S187" s="351" t="str">
        <f t="shared" si="4"/>
        <v>OK</v>
      </c>
    </row>
    <row r="188" spans="1:19">
      <c r="A188" s="497">
        <v>171</v>
      </c>
      <c r="B188" s="540" t="s">
        <v>98</v>
      </c>
      <c r="C188" s="541"/>
      <c r="D188" s="542"/>
      <c r="E188" s="211">
        <v>152</v>
      </c>
      <c r="F188" s="347">
        <v>31.35</v>
      </c>
      <c r="G188" s="18">
        <v>30.952000000000002</v>
      </c>
      <c r="H188" s="18" t="s">
        <v>9</v>
      </c>
      <c r="I188" s="18">
        <v>5628.8600000000006</v>
      </c>
      <c r="J188" s="18">
        <v>8143.0025000000005</v>
      </c>
      <c r="K188" s="216">
        <v>248.85923541634838</v>
      </c>
      <c r="L188" s="229"/>
      <c r="M188" s="173"/>
      <c r="Q188" s="377">
        <f t="shared" si="5"/>
        <v>152</v>
      </c>
      <c r="R188" s="350">
        <v>31.35</v>
      </c>
      <c r="S188" s="351" t="str">
        <f t="shared" si="4"/>
        <v>OK</v>
      </c>
    </row>
    <row r="189" spans="1:19">
      <c r="A189" s="497">
        <v>172</v>
      </c>
      <c r="B189" s="540" t="s">
        <v>98</v>
      </c>
      <c r="C189" s="541"/>
      <c r="D189" s="542"/>
      <c r="E189" s="211">
        <v>151</v>
      </c>
      <c r="F189" s="347">
        <v>33.47</v>
      </c>
      <c r="G189" s="18">
        <v>33.071999999999996</v>
      </c>
      <c r="H189" s="18" t="s">
        <v>9</v>
      </c>
      <c r="I189" s="18">
        <v>5661.9320000000007</v>
      </c>
      <c r="J189" s="18">
        <v>8109.9305000000004</v>
      </c>
      <c r="K189" s="216">
        <v>249.56933597555388</v>
      </c>
      <c r="L189" s="229"/>
      <c r="M189" s="173"/>
      <c r="Q189" s="377">
        <f t="shared" si="5"/>
        <v>151</v>
      </c>
      <c r="R189" s="350">
        <v>33.47</v>
      </c>
      <c r="S189" s="351" t="str">
        <f t="shared" si="4"/>
        <v>OK</v>
      </c>
    </row>
    <row r="190" spans="1:19">
      <c r="A190" s="497">
        <v>173</v>
      </c>
      <c r="B190" s="540" t="s">
        <v>98</v>
      </c>
      <c r="C190" s="541"/>
      <c r="D190" s="542"/>
      <c r="E190" s="211">
        <v>150</v>
      </c>
      <c r="F190" s="347">
        <v>33.49</v>
      </c>
      <c r="G190" s="18">
        <v>33.091999999999999</v>
      </c>
      <c r="H190" s="18" t="s">
        <v>9</v>
      </c>
      <c r="I190" s="18">
        <v>5695.0240000000003</v>
      </c>
      <c r="J190" s="18">
        <v>8076.8385000000007</v>
      </c>
      <c r="K190" s="216">
        <v>250.27986596180293</v>
      </c>
      <c r="L190" s="229"/>
      <c r="M190" s="173"/>
      <c r="Q190" s="377">
        <f t="shared" si="5"/>
        <v>150</v>
      </c>
      <c r="R190" s="350">
        <v>33.49</v>
      </c>
      <c r="S190" s="351" t="str">
        <f t="shared" si="4"/>
        <v>OK</v>
      </c>
    </row>
    <row r="191" spans="1:19">
      <c r="A191" s="497">
        <v>174</v>
      </c>
      <c r="B191" s="540" t="s">
        <v>98</v>
      </c>
      <c r="C191" s="541"/>
      <c r="D191" s="542"/>
      <c r="E191" s="211">
        <v>149</v>
      </c>
      <c r="F191" s="347">
        <v>33.57</v>
      </c>
      <c r="G191" s="18">
        <v>33.171999999999997</v>
      </c>
      <c r="H191" s="18" t="s">
        <v>9</v>
      </c>
      <c r="I191" s="18">
        <v>5728.1959999999999</v>
      </c>
      <c r="J191" s="18">
        <v>8043.6665000000012</v>
      </c>
      <c r="K191" s="216">
        <v>250.99211365622614</v>
      </c>
      <c r="L191" s="229"/>
      <c r="M191" s="173"/>
      <c r="Q191" s="377">
        <f t="shared" si="5"/>
        <v>149</v>
      </c>
      <c r="R191" s="350">
        <v>33.57</v>
      </c>
      <c r="S191" s="351" t="str">
        <f t="shared" si="4"/>
        <v>OK</v>
      </c>
    </row>
    <row r="192" spans="1:19">
      <c r="A192" s="497">
        <v>175</v>
      </c>
      <c r="B192" s="540" t="s">
        <v>98</v>
      </c>
      <c r="C192" s="541"/>
      <c r="D192" s="542"/>
      <c r="E192" s="211">
        <v>148</v>
      </c>
      <c r="F192" s="347">
        <v>33.6</v>
      </c>
      <c r="G192" s="18">
        <v>33.201999999999998</v>
      </c>
      <c r="H192" s="18" t="s">
        <v>9</v>
      </c>
      <c r="I192" s="18">
        <v>5761.3980000000001</v>
      </c>
      <c r="J192" s="18">
        <v>8010.464500000001</v>
      </c>
      <c r="K192" s="216">
        <v>251.70500549121468</v>
      </c>
      <c r="L192" s="229"/>
      <c r="M192" s="173"/>
      <c r="Q192" s="377">
        <f t="shared" si="5"/>
        <v>148</v>
      </c>
      <c r="R192" s="350">
        <v>33.6</v>
      </c>
      <c r="S192" s="351" t="str">
        <f t="shared" si="4"/>
        <v>OK</v>
      </c>
    </row>
    <row r="193" spans="1:19">
      <c r="A193" s="497">
        <v>176</v>
      </c>
      <c r="B193" s="540" t="s">
        <v>98</v>
      </c>
      <c r="C193" s="541"/>
      <c r="D193" s="542"/>
      <c r="E193" s="211">
        <v>147</v>
      </c>
      <c r="F193" s="347">
        <v>33.78</v>
      </c>
      <c r="G193" s="18">
        <v>33.381999999999998</v>
      </c>
      <c r="H193" s="18" t="s">
        <v>9</v>
      </c>
      <c r="I193" s="18">
        <v>5794.78</v>
      </c>
      <c r="J193" s="18">
        <v>7977.0825000000013</v>
      </c>
      <c r="K193" s="216">
        <v>252.42176216959513</v>
      </c>
      <c r="L193" s="229"/>
      <c r="M193" s="173"/>
      <c r="Q193" s="377">
        <f t="shared" si="5"/>
        <v>147</v>
      </c>
      <c r="R193" s="350">
        <v>33.78</v>
      </c>
      <c r="S193" s="351" t="str">
        <f t="shared" si="4"/>
        <v>OK</v>
      </c>
    </row>
    <row r="194" spans="1:19">
      <c r="A194" s="497">
        <v>177</v>
      </c>
      <c r="B194" s="540" t="s">
        <v>98</v>
      </c>
      <c r="C194" s="541"/>
      <c r="D194" s="542"/>
      <c r="E194" s="211">
        <v>146</v>
      </c>
      <c r="F194" s="347">
        <v>33.46</v>
      </c>
      <c r="G194" s="18">
        <v>33.061999999999998</v>
      </c>
      <c r="H194" s="18" t="s">
        <v>9</v>
      </c>
      <c r="I194" s="18">
        <v>5827.8419999999996</v>
      </c>
      <c r="J194" s="18">
        <v>7944.0205000000014</v>
      </c>
      <c r="K194" s="216">
        <v>253.13164801527884</v>
      </c>
      <c r="L194" s="229"/>
      <c r="M194" s="173"/>
      <c r="Q194" s="377">
        <f t="shared" si="5"/>
        <v>146</v>
      </c>
      <c r="R194" s="350">
        <v>33.46</v>
      </c>
      <c r="S194" s="351" t="str">
        <f t="shared" si="4"/>
        <v>OK</v>
      </c>
    </row>
    <row r="195" spans="1:19">
      <c r="A195" s="497">
        <v>178</v>
      </c>
      <c r="B195" s="540" t="s">
        <v>98</v>
      </c>
      <c r="C195" s="541"/>
      <c r="D195" s="542"/>
      <c r="E195" s="211">
        <v>145</v>
      </c>
      <c r="F195" s="347">
        <v>33.630000000000003</v>
      </c>
      <c r="G195" s="18">
        <v>33.231999999999999</v>
      </c>
      <c r="H195" s="18" t="s">
        <v>9</v>
      </c>
      <c r="I195" s="18">
        <v>5861.0739999999996</v>
      </c>
      <c r="J195" s="18">
        <v>7910.7885000000015</v>
      </c>
      <c r="K195" s="216">
        <v>253.84518399083271</v>
      </c>
      <c r="L195" s="229"/>
      <c r="M195" s="173"/>
      <c r="Q195" s="377">
        <f t="shared" si="5"/>
        <v>145</v>
      </c>
      <c r="R195" s="350">
        <v>33.630000000000003</v>
      </c>
      <c r="S195" s="351" t="str">
        <f t="shared" si="4"/>
        <v>OK</v>
      </c>
    </row>
    <row r="196" spans="1:19">
      <c r="A196" s="497">
        <v>179</v>
      </c>
      <c r="B196" s="540" t="s">
        <v>98</v>
      </c>
      <c r="C196" s="541"/>
      <c r="D196" s="542"/>
      <c r="E196" s="211">
        <v>144</v>
      </c>
      <c r="F196" s="347">
        <v>33.89</v>
      </c>
      <c r="G196" s="18">
        <v>33.491999999999997</v>
      </c>
      <c r="H196" s="18" t="s">
        <v>9</v>
      </c>
      <c r="I196" s="18">
        <v>5894.5659999999998</v>
      </c>
      <c r="J196" s="18">
        <v>7877.2965000000013</v>
      </c>
      <c r="K196" s="216">
        <v>254.56430251795263</v>
      </c>
      <c r="L196" s="229"/>
      <c r="M196" s="173"/>
      <c r="Q196" s="377">
        <f t="shared" si="5"/>
        <v>144</v>
      </c>
      <c r="R196" s="350">
        <v>33.89</v>
      </c>
      <c r="S196" s="351" t="str">
        <f t="shared" si="4"/>
        <v>OK</v>
      </c>
    </row>
    <row r="197" spans="1:19">
      <c r="A197" s="497">
        <v>180</v>
      </c>
      <c r="B197" s="540" t="s">
        <v>98</v>
      </c>
      <c r="C197" s="541"/>
      <c r="D197" s="542"/>
      <c r="E197" s="211">
        <v>143</v>
      </c>
      <c r="F197" s="347">
        <v>33.369999999999997</v>
      </c>
      <c r="G197" s="18">
        <v>32.971999999999994</v>
      </c>
      <c r="H197" s="18" t="s">
        <v>9</v>
      </c>
      <c r="I197" s="18">
        <v>5927.5379999999996</v>
      </c>
      <c r="J197" s="18">
        <v>7844.3245000000015</v>
      </c>
      <c r="K197" s="216">
        <v>255.27225594194039</v>
      </c>
      <c r="L197" s="229"/>
      <c r="M197" s="173"/>
      <c r="Q197" s="377">
        <f t="shared" si="5"/>
        <v>143</v>
      </c>
      <c r="R197" s="350">
        <v>33.369999999999997</v>
      </c>
      <c r="S197" s="351" t="str">
        <f t="shared" si="4"/>
        <v>OK</v>
      </c>
    </row>
    <row r="198" spans="1:19">
      <c r="A198" s="497">
        <v>181</v>
      </c>
      <c r="B198" s="540" t="s">
        <v>98</v>
      </c>
      <c r="C198" s="541"/>
      <c r="D198" s="542"/>
      <c r="E198" s="211">
        <v>142</v>
      </c>
      <c r="F198" s="347">
        <v>33.869999999999997</v>
      </c>
      <c r="G198" s="18">
        <v>33.471999999999994</v>
      </c>
      <c r="H198" s="18" t="s">
        <v>9</v>
      </c>
      <c r="I198" s="18">
        <v>5961.0099999999993</v>
      </c>
      <c r="J198" s="18">
        <v>7810.8525000000018</v>
      </c>
      <c r="K198" s="216">
        <v>255.99094504201679</v>
      </c>
      <c r="L198" s="229"/>
      <c r="M198" s="173"/>
      <c r="Q198" s="377">
        <f t="shared" si="5"/>
        <v>142</v>
      </c>
      <c r="R198" s="350">
        <v>33.869999999999997</v>
      </c>
      <c r="S198" s="351" t="str">
        <f t="shared" si="4"/>
        <v>OK</v>
      </c>
    </row>
    <row r="199" spans="1:19">
      <c r="A199" s="497">
        <v>182</v>
      </c>
      <c r="B199" s="540" t="s">
        <v>98</v>
      </c>
      <c r="C199" s="541"/>
      <c r="D199" s="542"/>
      <c r="E199" s="211">
        <v>141</v>
      </c>
      <c r="F199" s="347">
        <v>33.950000000000003</v>
      </c>
      <c r="G199" s="18">
        <v>33.552</v>
      </c>
      <c r="H199" s="18" t="s">
        <v>9</v>
      </c>
      <c r="I199" s="18">
        <v>5994.561999999999</v>
      </c>
      <c r="J199" s="18">
        <v>7777.3005000000021</v>
      </c>
      <c r="K199" s="216">
        <v>256.71135185026736</v>
      </c>
      <c r="L199" s="229"/>
      <c r="M199" s="173"/>
      <c r="Q199" s="377">
        <f t="shared" si="5"/>
        <v>141</v>
      </c>
      <c r="R199" s="350">
        <v>33.950000000000003</v>
      </c>
      <c r="S199" s="351" t="str">
        <f t="shared" si="4"/>
        <v>OK</v>
      </c>
    </row>
    <row r="200" spans="1:19">
      <c r="A200" s="497">
        <v>183</v>
      </c>
      <c r="B200" s="540" t="s">
        <v>98</v>
      </c>
      <c r="C200" s="541"/>
      <c r="D200" s="542"/>
      <c r="E200" s="211">
        <v>140</v>
      </c>
      <c r="F200" s="347">
        <v>33.86</v>
      </c>
      <c r="G200" s="18">
        <v>33.461999999999996</v>
      </c>
      <c r="H200" s="18" t="s">
        <v>9</v>
      </c>
      <c r="I200" s="18">
        <v>6028.0239999999994</v>
      </c>
      <c r="J200" s="18">
        <v>7743.8385000000017</v>
      </c>
      <c r="K200" s="216">
        <v>257.42982623682201</v>
      </c>
      <c r="L200" s="229"/>
      <c r="M200" s="173"/>
      <c r="Q200" s="377">
        <f t="shared" si="5"/>
        <v>140</v>
      </c>
      <c r="R200" s="350">
        <v>33.86</v>
      </c>
      <c r="S200" s="351" t="str">
        <f t="shared" si="4"/>
        <v>OK</v>
      </c>
    </row>
    <row r="201" spans="1:19">
      <c r="A201" s="497">
        <v>184</v>
      </c>
      <c r="B201" s="540" t="s">
        <v>98</v>
      </c>
      <c r="C201" s="541"/>
      <c r="D201" s="542"/>
      <c r="E201" s="211">
        <v>139</v>
      </c>
      <c r="F201" s="347">
        <v>33.799999999999997</v>
      </c>
      <c r="G201" s="18">
        <v>33.401999999999994</v>
      </c>
      <c r="H201" s="18" t="s">
        <v>9</v>
      </c>
      <c r="I201" s="18">
        <v>6061.4259999999995</v>
      </c>
      <c r="J201" s="18">
        <v>7710.4365000000016</v>
      </c>
      <c r="K201" s="216">
        <v>258.147012342246</v>
      </c>
      <c r="L201" s="229"/>
      <c r="M201" s="173"/>
      <c r="Q201" s="377">
        <f t="shared" si="5"/>
        <v>139</v>
      </c>
      <c r="R201" s="350">
        <v>33.799999999999997</v>
      </c>
      <c r="S201" s="351" t="str">
        <f t="shared" si="4"/>
        <v>OK</v>
      </c>
    </row>
    <row r="202" spans="1:19">
      <c r="A202" s="497">
        <v>185</v>
      </c>
      <c r="B202" s="540" t="s">
        <v>98</v>
      </c>
      <c r="C202" s="541"/>
      <c r="D202" s="542"/>
      <c r="E202" s="211">
        <v>138</v>
      </c>
      <c r="F202" s="347">
        <v>33.880000000000003</v>
      </c>
      <c r="G202" s="18">
        <v>33.481999999999999</v>
      </c>
      <c r="H202" s="18" t="s">
        <v>9</v>
      </c>
      <c r="I202" s="18">
        <v>6094.9079999999994</v>
      </c>
      <c r="J202" s="18">
        <v>7676.9545000000016</v>
      </c>
      <c r="K202" s="216">
        <v>258.86591615584416</v>
      </c>
      <c r="L202" s="229"/>
      <c r="M202" s="173"/>
      <c r="Q202" s="377">
        <f t="shared" si="5"/>
        <v>138</v>
      </c>
      <c r="R202" s="350">
        <v>33.880000000000003</v>
      </c>
      <c r="S202" s="351" t="str">
        <f t="shared" si="4"/>
        <v>OK</v>
      </c>
    </row>
    <row r="203" spans="1:19">
      <c r="A203" s="497">
        <v>186</v>
      </c>
      <c r="B203" s="540" t="s">
        <v>98</v>
      </c>
      <c r="C203" s="541"/>
      <c r="D203" s="542"/>
      <c r="E203" s="211">
        <v>137</v>
      </c>
      <c r="F203" s="347">
        <v>33.69</v>
      </c>
      <c r="G203" s="18">
        <v>33.291999999999994</v>
      </c>
      <c r="H203" s="18" t="s">
        <v>9</v>
      </c>
      <c r="I203" s="18">
        <v>6128.2</v>
      </c>
      <c r="J203" s="18">
        <v>7643.6625000000013</v>
      </c>
      <c r="K203" s="216">
        <v>259.5807404125286</v>
      </c>
      <c r="L203" s="229"/>
      <c r="M203" s="173"/>
      <c r="Q203" s="377">
        <f t="shared" si="5"/>
        <v>137</v>
      </c>
      <c r="R203" s="350">
        <v>33.69</v>
      </c>
      <c r="S203" s="351" t="str">
        <f t="shared" si="4"/>
        <v>OK</v>
      </c>
    </row>
    <row r="204" spans="1:19">
      <c r="A204" s="497">
        <v>187</v>
      </c>
      <c r="B204" s="540" t="s">
        <v>98</v>
      </c>
      <c r="C204" s="541"/>
      <c r="D204" s="542"/>
      <c r="E204" s="211">
        <v>136</v>
      </c>
      <c r="F204" s="347">
        <v>33.08</v>
      </c>
      <c r="G204" s="18">
        <v>32.681999999999995</v>
      </c>
      <c r="H204" s="18" t="s">
        <v>9</v>
      </c>
      <c r="I204" s="18">
        <v>6160.8819999999996</v>
      </c>
      <c r="J204" s="18">
        <v>7610.9805000000015</v>
      </c>
      <c r="K204" s="216">
        <v>260.28246714438501</v>
      </c>
      <c r="L204" s="229"/>
      <c r="M204" s="173"/>
      <c r="Q204" s="377">
        <f t="shared" si="5"/>
        <v>136</v>
      </c>
      <c r="R204" s="350">
        <v>33.08</v>
      </c>
      <c r="S204" s="351" t="str">
        <f t="shared" si="4"/>
        <v>OK</v>
      </c>
    </row>
    <row r="205" spans="1:19">
      <c r="A205" s="497">
        <v>188</v>
      </c>
      <c r="B205" s="540" t="s">
        <v>98</v>
      </c>
      <c r="C205" s="541"/>
      <c r="D205" s="542"/>
      <c r="E205" s="211">
        <v>135</v>
      </c>
      <c r="F205" s="347">
        <v>33.950000000000003</v>
      </c>
      <c r="G205" s="18">
        <v>33.552</v>
      </c>
      <c r="H205" s="18" t="s">
        <v>9</v>
      </c>
      <c r="I205" s="18">
        <v>6194.4339999999993</v>
      </c>
      <c r="J205" s="18">
        <v>7577.4285000000018</v>
      </c>
      <c r="K205" s="216">
        <v>261.00287395263558</v>
      </c>
      <c r="L205" s="229"/>
      <c r="M205" s="173"/>
      <c r="Q205" s="377">
        <f t="shared" si="5"/>
        <v>135</v>
      </c>
      <c r="R205" s="350">
        <v>33.950000000000003</v>
      </c>
      <c r="S205" s="351" t="str">
        <f t="shared" si="4"/>
        <v>OK</v>
      </c>
    </row>
    <row r="206" spans="1:19">
      <c r="A206" s="497">
        <v>189</v>
      </c>
      <c r="B206" s="540" t="s">
        <v>98</v>
      </c>
      <c r="C206" s="541"/>
      <c r="D206" s="542"/>
      <c r="E206" s="211">
        <v>134</v>
      </c>
      <c r="F206" s="347">
        <v>33.49</v>
      </c>
      <c r="G206" s="18">
        <v>33.091999999999999</v>
      </c>
      <c r="H206" s="18" t="s">
        <v>9</v>
      </c>
      <c r="I206" s="18">
        <v>6227.5259999999989</v>
      </c>
      <c r="J206" s="18">
        <v>7544.3365000000022</v>
      </c>
      <c r="K206" s="216">
        <v>261.71340393888465</v>
      </c>
      <c r="L206" s="229"/>
      <c r="M206" s="173"/>
      <c r="Q206" s="377">
        <f t="shared" si="5"/>
        <v>134</v>
      </c>
      <c r="R206" s="350">
        <v>33.49</v>
      </c>
      <c r="S206" s="351" t="str">
        <f t="shared" si="4"/>
        <v>OK</v>
      </c>
    </row>
    <row r="207" spans="1:19">
      <c r="A207" s="497">
        <v>190</v>
      </c>
      <c r="B207" s="540" t="s">
        <v>98</v>
      </c>
      <c r="C207" s="541"/>
      <c r="D207" s="542"/>
      <c r="E207" s="211">
        <v>133</v>
      </c>
      <c r="F207" s="347">
        <v>33.33</v>
      </c>
      <c r="G207" s="18">
        <v>32.931999999999995</v>
      </c>
      <c r="H207" s="18" t="s">
        <v>9</v>
      </c>
      <c r="I207" s="18">
        <v>6260.4579999999987</v>
      </c>
      <c r="J207" s="18">
        <v>7511.4045000000024</v>
      </c>
      <c r="K207" s="216">
        <v>262.42049850878527</v>
      </c>
      <c r="L207" s="229"/>
      <c r="M207" s="173"/>
      <c r="Q207" s="377">
        <f t="shared" si="5"/>
        <v>133</v>
      </c>
      <c r="R207" s="350">
        <v>33.33</v>
      </c>
      <c r="S207" s="351" t="str">
        <f t="shared" si="4"/>
        <v>OK</v>
      </c>
    </row>
    <row r="208" spans="1:19">
      <c r="A208" s="497">
        <v>191</v>
      </c>
      <c r="B208" s="540" t="s">
        <v>98</v>
      </c>
      <c r="C208" s="541"/>
      <c r="D208" s="542"/>
      <c r="E208" s="211">
        <v>132</v>
      </c>
      <c r="F208" s="347">
        <v>33.549999999999997</v>
      </c>
      <c r="G208" s="18">
        <v>33.151999999999994</v>
      </c>
      <c r="H208" s="18" t="s">
        <v>9</v>
      </c>
      <c r="I208" s="18">
        <v>6293.6099999999988</v>
      </c>
      <c r="J208" s="18">
        <v>7478.2525000000023</v>
      </c>
      <c r="K208" s="216">
        <v>263.132316776165</v>
      </c>
      <c r="L208" s="229"/>
      <c r="M208" s="173"/>
      <c r="Q208" s="377">
        <f t="shared" si="5"/>
        <v>132</v>
      </c>
      <c r="R208" s="350">
        <v>33.549999999999997</v>
      </c>
      <c r="S208" s="351" t="str">
        <f t="shared" ref="S208:S271" si="6">IF(F208-R208=0,"OK","FALSE")</f>
        <v>OK</v>
      </c>
    </row>
    <row r="209" spans="1:19">
      <c r="A209" s="497">
        <v>192</v>
      </c>
      <c r="B209" s="540" t="s">
        <v>98</v>
      </c>
      <c r="C209" s="541"/>
      <c r="D209" s="542"/>
      <c r="E209" s="211">
        <v>131</v>
      </c>
      <c r="F209" s="347">
        <v>32.1</v>
      </c>
      <c r="G209" s="18">
        <v>31.702000000000002</v>
      </c>
      <c r="H209" s="18" t="s">
        <v>9</v>
      </c>
      <c r="I209" s="18">
        <v>6325.311999999999</v>
      </c>
      <c r="J209" s="18">
        <v>7446.5505000000021</v>
      </c>
      <c r="K209" s="216">
        <v>263.81300158288764</v>
      </c>
      <c r="L209" s="229"/>
      <c r="M209" s="173"/>
      <c r="Q209" s="377">
        <f t="shared" si="5"/>
        <v>131</v>
      </c>
      <c r="R209" s="350">
        <v>32.1</v>
      </c>
      <c r="S209" s="351" t="str">
        <f t="shared" si="6"/>
        <v>OK</v>
      </c>
    </row>
    <row r="210" spans="1:19">
      <c r="A210" s="497">
        <v>193</v>
      </c>
      <c r="B210" s="540" t="s">
        <v>98</v>
      </c>
      <c r="C210" s="541"/>
      <c r="D210" s="542"/>
      <c r="E210" s="211">
        <v>130</v>
      </c>
      <c r="F210" s="347">
        <v>33.83</v>
      </c>
      <c r="G210" s="18">
        <v>33.431999999999995</v>
      </c>
      <c r="H210" s="18" t="s">
        <v>9</v>
      </c>
      <c r="I210" s="18">
        <v>6358.7439999999988</v>
      </c>
      <c r="J210" s="18">
        <v>7413.1185000000023</v>
      </c>
      <c r="K210" s="216">
        <v>264.53083182887701</v>
      </c>
      <c r="L210" s="229"/>
      <c r="M210" s="173"/>
      <c r="Q210" s="377">
        <f t="shared" si="5"/>
        <v>130</v>
      </c>
      <c r="R210" s="350">
        <v>33.83</v>
      </c>
      <c r="S210" s="351" t="str">
        <f t="shared" si="6"/>
        <v>OK</v>
      </c>
    </row>
    <row r="211" spans="1:19">
      <c r="A211" s="497">
        <v>194</v>
      </c>
      <c r="B211" s="540" t="s">
        <v>98</v>
      </c>
      <c r="C211" s="541"/>
      <c r="D211" s="542"/>
      <c r="E211" s="211">
        <v>129</v>
      </c>
      <c r="F211" s="347">
        <v>33.729999999999997</v>
      </c>
      <c r="G211" s="18">
        <v>33.331999999999994</v>
      </c>
      <c r="H211" s="18" t="s">
        <v>9</v>
      </c>
      <c r="I211" s="18">
        <v>6392.0759999999991</v>
      </c>
      <c r="J211" s="18">
        <v>7379.786500000002</v>
      </c>
      <c r="K211" s="216">
        <v>265.24651493964859</v>
      </c>
      <c r="L211" s="229"/>
      <c r="M211" s="173"/>
      <c r="Q211" s="377">
        <f t="shared" si="5"/>
        <v>129</v>
      </c>
      <c r="R211" s="350">
        <v>33.729999999999997</v>
      </c>
      <c r="S211" s="351" t="str">
        <f t="shared" si="6"/>
        <v>OK</v>
      </c>
    </row>
    <row r="212" spans="1:19">
      <c r="A212" s="497">
        <v>195</v>
      </c>
      <c r="B212" s="540" t="s">
        <v>98</v>
      </c>
      <c r="C212" s="541"/>
      <c r="D212" s="542"/>
      <c r="E212" s="211">
        <v>128</v>
      </c>
      <c r="F212" s="347">
        <v>33.44</v>
      </c>
      <c r="G212" s="18">
        <v>33.041999999999994</v>
      </c>
      <c r="H212" s="18" t="s">
        <v>9</v>
      </c>
      <c r="I212" s="18">
        <v>6425.1179999999995</v>
      </c>
      <c r="J212" s="18">
        <v>7346.7445000000016</v>
      </c>
      <c r="K212" s="216">
        <v>265.95597135828876</v>
      </c>
      <c r="L212" s="229"/>
      <c r="M212" s="173"/>
      <c r="Q212" s="377">
        <f t="shared" si="5"/>
        <v>128</v>
      </c>
      <c r="R212" s="350">
        <v>33.44</v>
      </c>
      <c r="S212" s="351" t="str">
        <f t="shared" si="6"/>
        <v>OK</v>
      </c>
    </row>
    <row r="213" spans="1:19">
      <c r="A213" s="497">
        <v>196</v>
      </c>
      <c r="B213" s="540" t="s">
        <v>98</v>
      </c>
      <c r="C213" s="541"/>
      <c r="D213" s="542"/>
      <c r="E213" s="211">
        <v>127</v>
      </c>
      <c r="F213" s="347">
        <v>33.65</v>
      </c>
      <c r="G213" s="18">
        <v>33.251999999999995</v>
      </c>
      <c r="H213" s="18" t="s">
        <v>9</v>
      </c>
      <c r="I213" s="18">
        <v>6458.37</v>
      </c>
      <c r="J213" s="18">
        <v>7313.4925000000012</v>
      </c>
      <c r="K213" s="216">
        <v>266.66993676088617</v>
      </c>
      <c r="L213" s="229"/>
      <c r="M213" s="173"/>
      <c r="Q213" s="377">
        <f t="shared" ref="Q213:Q234" si="7">E213</f>
        <v>127</v>
      </c>
      <c r="R213" s="350">
        <v>33.65</v>
      </c>
      <c r="S213" s="351" t="str">
        <f t="shared" si="6"/>
        <v>OK</v>
      </c>
    </row>
    <row r="214" spans="1:19">
      <c r="A214" s="497">
        <v>197</v>
      </c>
      <c r="B214" s="540" t="s">
        <v>98</v>
      </c>
      <c r="C214" s="541"/>
      <c r="D214" s="542"/>
      <c r="E214" s="211">
        <v>126</v>
      </c>
      <c r="F214" s="347">
        <v>33.369999999999997</v>
      </c>
      <c r="G214" s="18">
        <v>32.971999999999994</v>
      </c>
      <c r="H214" s="18" t="s">
        <v>9</v>
      </c>
      <c r="I214" s="18">
        <v>6491.3419999999996</v>
      </c>
      <c r="J214" s="18">
        <v>7280.5205000000014</v>
      </c>
      <c r="K214" s="216">
        <v>267.37789018487393</v>
      </c>
      <c r="L214" s="229"/>
      <c r="M214" s="173"/>
      <c r="Q214" s="377">
        <f t="shared" si="7"/>
        <v>126</v>
      </c>
      <c r="R214" s="350">
        <v>33.369999999999997</v>
      </c>
      <c r="S214" s="351" t="str">
        <f t="shared" si="6"/>
        <v>OK</v>
      </c>
    </row>
    <row r="215" spans="1:19">
      <c r="A215" s="497">
        <v>198</v>
      </c>
      <c r="B215" s="540" t="s">
        <v>98</v>
      </c>
      <c r="C215" s="541"/>
      <c r="D215" s="542"/>
      <c r="E215" s="211">
        <v>125</v>
      </c>
      <c r="F215" s="347">
        <v>33.590000000000003</v>
      </c>
      <c r="G215" s="18">
        <v>33.192</v>
      </c>
      <c r="H215" s="18" t="s">
        <v>9</v>
      </c>
      <c r="I215" s="18">
        <v>6524.5339999999997</v>
      </c>
      <c r="J215" s="18">
        <v>7247.3285000000014</v>
      </c>
      <c r="K215" s="216">
        <v>268.09056730634074</v>
      </c>
      <c r="L215" s="229"/>
      <c r="M215" s="173"/>
      <c r="Q215" s="377">
        <f t="shared" si="7"/>
        <v>125</v>
      </c>
      <c r="R215" s="350">
        <v>33.590000000000003</v>
      </c>
      <c r="S215" s="351" t="str">
        <f t="shared" si="6"/>
        <v>OK</v>
      </c>
    </row>
    <row r="216" spans="1:19">
      <c r="A216" s="497">
        <v>199</v>
      </c>
      <c r="B216" s="540" t="s">
        <v>98</v>
      </c>
      <c r="C216" s="541"/>
      <c r="D216" s="542"/>
      <c r="E216" s="211">
        <v>124</v>
      </c>
      <c r="F216" s="347">
        <v>33.119999999999997</v>
      </c>
      <c r="G216" s="18">
        <v>32.721999999999994</v>
      </c>
      <c r="H216" s="18" t="s">
        <v>9</v>
      </c>
      <c r="I216" s="18">
        <v>6557.2559999999994</v>
      </c>
      <c r="J216" s="18">
        <v>7214.6065000000017</v>
      </c>
      <c r="K216" s="216">
        <v>268.79315289228418</v>
      </c>
      <c r="L216" s="229"/>
      <c r="M216" s="173"/>
      <c r="Q216" s="377">
        <f t="shared" si="7"/>
        <v>124</v>
      </c>
      <c r="R216" s="350">
        <v>33.119999999999997</v>
      </c>
      <c r="S216" s="351" t="str">
        <f t="shared" si="6"/>
        <v>OK</v>
      </c>
    </row>
    <row r="217" spans="1:19">
      <c r="A217" s="497">
        <v>200</v>
      </c>
      <c r="B217" s="540" t="s">
        <v>98</v>
      </c>
      <c r="C217" s="541"/>
      <c r="D217" s="542"/>
      <c r="E217" s="211">
        <v>123</v>
      </c>
      <c r="F217" s="347">
        <v>33.94</v>
      </c>
      <c r="G217" s="18">
        <v>33.541999999999994</v>
      </c>
      <c r="H217" s="18" t="s">
        <v>9</v>
      </c>
      <c r="I217" s="18">
        <v>6590.7979999999998</v>
      </c>
      <c r="J217" s="18">
        <v>7181.0645000000013</v>
      </c>
      <c r="K217" s="216">
        <v>269.513344987013</v>
      </c>
      <c r="L217" s="229"/>
      <c r="M217" s="173"/>
      <c r="Q217" s="377">
        <f t="shared" si="7"/>
        <v>123</v>
      </c>
      <c r="R217" s="350">
        <v>33.94</v>
      </c>
      <c r="S217" s="351" t="str">
        <f t="shared" si="6"/>
        <v>OK</v>
      </c>
    </row>
    <row r="218" spans="1:19">
      <c r="A218" s="497">
        <v>201</v>
      </c>
      <c r="B218" s="540" t="s">
        <v>98</v>
      </c>
      <c r="C218" s="541"/>
      <c r="D218" s="542"/>
      <c r="E218" s="211">
        <v>122</v>
      </c>
      <c r="F218" s="347">
        <v>33.85</v>
      </c>
      <c r="G218" s="18">
        <v>33.451999999999998</v>
      </c>
      <c r="H218" s="18" t="s">
        <v>9</v>
      </c>
      <c r="I218" s="18">
        <v>6624.25</v>
      </c>
      <c r="J218" s="18">
        <v>7147.6125000000011</v>
      </c>
      <c r="K218" s="216">
        <v>270.23160466004583</v>
      </c>
      <c r="L218" s="229"/>
      <c r="M218" s="173"/>
      <c r="Q218" s="377">
        <f t="shared" si="7"/>
        <v>122</v>
      </c>
      <c r="R218" s="350">
        <v>33.85</v>
      </c>
      <c r="S218" s="351" t="str">
        <f t="shared" si="6"/>
        <v>OK</v>
      </c>
    </row>
    <row r="219" spans="1:19">
      <c r="A219" s="497">
        <v>202</v>
      </c>
      <c r="B219" s="540" t="s">
        <v>98</v>
      </c>
      <c r="C219" s="541"/>
      <c r="D219" s="542"/>
      <c r="E219" s="211">
        <v>121</v>
      </c>
      <c r="F219" s="347">
        <v>33.659999999999997</v>
      </c>
      <c r="G219" s="18">
        <v>33.261999999999993</v>
      </c>
      <c r="H219" s="18" t="s">
        <v>9</v>
      </c>
      <c r="I219" s="18">
        <v>6657.5119999999997</v>
      </c>
      <c r="J219" s="18">
        <v>7114.3505000000014</v>
      </c>
      <c r="K219" s="216">
        <v>270.94578477616506</v>
      </c>
      <c r="L219" s="229"/>
      <c r="M219" s="173"/>
      <c r="Q219" s="377">
        <f t="shared" si="7"/>
        <v>121</v>
      </c>
      <c r="R219" s="350">
        <v>33.659999999999997</v>
      </c>
      <c r="S219" s="351" t="str">
        <f t="shared" si="6"/>
        <v>OK</v>
      </c>
    </row>
    <row r="220" spans="1:19">
      <c r="A220" s="497">
        <v>203</v>
      </c>
      <c r="B220" s="540" t="s">
        <v>98</v>
      </c>
      <c r="C220" s="541"/>
      <c r="D220" s="542"/>
      <c r="E220" s="211">
        <v>120</v>
      </c>
      <c r="F220" s="347">
        <v>33.53</v>
      </c>
      <c r="G220" s="18">
        <v>33.131999999999998</v>
      </c>
      <c r="H220" s="18" t="s">
        <v>9</v>
      </c>
      <c r="I220" s="18">
        <v>6690.6439999999993</v>
      </c>
      <c r="J220" s="18">
        <v>7081.2185000000018</v>
      </c>
      <c r="K220" s="216">
        <v>271.65717361650115</v>
      </c>
      <c r="L220" s="229"/>
      <c r="M220" s="173"/>
      <c r="Q220" s="377">
        <f t="shared" si="7"/>
        <v>120</v>
      </c>
      <c r="R220" s="350">
        <v>33.53</v>
      </c>
      <c r="S220" s="351" t="str">
        <f t="shared" si="6"/>
        <v>OK</v>
      </c>
    </row>
    <row r="221" spans="1:19">
      <c r="A221" s="497">
        <v>204</v>
      </c>
      <c r="B221" s="540" t="s">
        <v>98</v>
      </c>
      <c r="C221" s="541"/>
      <c r="D221" s="542"/>
      <c r="E221" s="211">
        <v>119</v>
      </c>
      <c r="F221" s="347">
        <v>33.51</v>
      </c>
      <c r="G221" s="18">
        <v>33.111999999999995</v>
      </c>
      <c r="H221" s="18" t="s">
        <v>9</v>
      </c>
      <c r="I221" s="18">
        <v>6723.7559999999994</v>
      </c>
      <c r="J221" s="18">
        <v>7048.1065000000017</v>
      </c>
      <c r="K221" s="216">
        <v>272.36813302979374</v>
      </c>
      <c r="L221" s="229"/>
      <c r="M221" s="173"/>
      <c r="Q221" s="377">
        <f t="shared" si="7"/>
        <v>119</v>
      </c>
      <c r="R221" s="350">
        <v>33.51</v>
      </c>
      <c r="S221" s="351" t="str">
        <f t="shared" si="6"/>
        <v>OK</v>
      </c>
    </row>
    <row r="222" spans="1:19">
      <c r="A222" s="497">
        <v>205</v>
      </c>
      <c r="B222" s="540" t="s">
        <v>98</v>
      </c>
      <c r="C222" s="541"/>
      <c r="D222" s="542"/>
      <c r="E222" s="211">
        <v>118</v>
      </c>
      <c r="F222" s="347">
        <v>33.71</v>
      </c>
      <c r="G222" s="18">
        <v>33.311999999999998</v>
      </c>
      <c r="H222" s="18" t="s">
        <v>9</v>
      </c>
      <c r="I222" s="18">
        <v>6757.0679999999993</v>
      </c>
      <c r="J222" s="18">
        <v>7014.7945000000018</v>
      </c>
      <c r="K222" s="216">
        <v>273.08338671352175</v>
      </c>
      <c r="L222" s="229"/>
      <c r="M222" s="173"/>
      <c r="Q222" s="377">
        <f t="shared" si="7"/>
        <v>118</v>
      </c>
      <c r="R222" s="350">
        <v>33.71</v>
      </c>
      <c r="S222" s="351" t="str">
        <f t="shared" si="6"/>
        <v>OK</v>
      </c>
    </row>
    <row r="223" spans="1:19">
      <c r="A223" s="497">
        <v>206</v>
      </c>
      <c r="B223" s="540" t="s">
        <v>98</v>
      </c>
      <c r="C223" s="541"/>
      <c r="D223" s="542"/>
      <c r="E223" s="211">
        <v>117</v>
      </c>
      <c r="F223" s="347">
        <v>33.94</v>
      </c>
      <c r="G223" s="18">
        <v>33.541999999999994</v>
      </c>
      <c r="H223" s="18" t="s">
        <v>9</v>
      </c>
      <c r="I223" s="18">
        <v>6790.61</v>
      </c>
      <c r="J223" s="18">
        <v>6981.2525000000014</v>
      </c>
      <c r="K223" s="216">
        <v>273.80357880825056</v>
      </c>
      <c r="L223" s="229"/>
      <c r="M223" s="173"/>
      <c r="Q223" s="377">
        <f t="shared" si="7"/>
        <v>117</v>
      </c>
      <c r="R223" s="350">
        <v>33.94</v>
      </c>
      <c r="S223" s="351" t="str">
        <f t="shared" si="6"/>
        <v>OK</v>
      </c>
    </row>
    <row r="224" spans="1:19">
      <c r="A224" s="497">
        <v>207</v>
      </c>
      <c r="B224" s="540" t="s">
        <v>98</v>
      </c>
      <c r="C224" s="541"/>
      <c r="D224" s="542"/>
      <c r="E224" s="211">
        <v>116</v>
      </c>
      <c r="F224" s="347">
        <v>32.89</v>
      </c>
      <c r="G224" s="18">
        <v>32.491999999999997</v>
      </c>
      <c r="H224" s="18" t="s">
        <v>9</v>
      </c>
      <c r="I224" s="18">
        <v>6823.1019999999999</v>
      </c>
      <c r="J224" s="18">
        <v>6948.7605000000012</v>
      </c>
      <c r="K224" s="216">
        <v>274.50122598319331</v>
      </c>
      <c r="L224" s="229"/>
      <c r="M224" s="173"/>
      <c r="Q224" s="377">
        <f t="shared" si="7"/>
        <v>116</v>
      </c>
      <c r="R224" s="350">
        <v>32.89</v>
      </c>
      <c r="S224" s="351" t="str">
        <f t="shared" si="6"/>
        <v>OK</v>
      </c>
    </row>
    <row r="225" spans="1:19">
      <c r="A225" s="497">
        <v>208</v>
      </c>
      <c r="B225" s="540" t="s">
        <v>98</v>
      </c>
      <c r="C225" s="541"/>
      <c r="D225" s="542"/>
      <c r="E225" s="211">
        <v>115</v>
      </c>
      <c r="F225" s="347">
        <v>33.479999999999997</v>
      </c>
      <c r="G225" s="18">
        <v>33.081999999999994</v>
      </c>
      <c r="H225" s="18" t="s">
        <v>9</v>
      </c>
      <c r="I225" s="18">
        <v>6856.1840000000002</v>
      </c>
      <c r="J225" s="18">
        <v>6915.6785000000009</v>
      </c>
      <c r="K225" s="216">
        <v>275.21154125592057</v>
      </c>
      <c r="L225" s="229"/>
      <c r="M225" s="173"/>
      <c r="Q225" s="377">
        <f t="shared" si="7"/>
        <v>115</v>
      </c>
      <c r="R225" s="350">
        <v>33.479999999999997</v>
      </c>
      <c r="S225" s="351" t="str">
        <f t="shared" si="6"/>
        <v>OK</v>
      </c>
    </row>
    <row r="226" spans="1:19">
      <c r="A226" s="497">
        <v>209</v>
      </c>
      <c r="B226" s="540" t="s">
        <v>98</v>
      </c>
      <c r="C226" s="541"/>
      <c r="D226" s="542"/>
      <c r="E226" s="211">
        <v>114</v>
      </c>
      <c r="F226" s="347">
        <v>33.950000000000003</v>
      </c>
      <c r="G226" s="18">
        <v>33.552</v>
      </c>
      <c r="H226" s="18" t="s">
        <v>9</v>
      </c>
      <c r="I226" s="18">
        <v>6889.7359999999999</v>
      </c>
      <c r="J226" s="18">
        <v>6882.1265000000012</v>
      </c>
      <c r="K226" s="216">
        <v>275.93194806417114</v>
      </c>
      <c r="L226" s="229"/>
      <c r="M226" s="173"/>
      <c r="Q226" s="377">
        <f t="shared" si="7"/>
        <v>114</v>
      </c>
      <c r="R226" s="350">
        <v>33.950000000000003</v>
      </c>
      <c r="S226" s="351" t="str">
        <f t="shared" si="6"/>
        <v>OK</v>
      </c>
    </row>
    <row r="227" spans="1:19">
      <c r="A227" s="497">
        <v>210</v>
      </c>
      <c r="B227" s="540" t="s">
        <v>98</v>
      </c>
      <c r="C227" s="541"/>
      <c r="D227" s="542"/>
      <c r="E227" s="211">
        <v>113</v>
      </c>
      <c r="F227" s="347">
        <v>33.51</v>
      </c>
      <c r="G227" s="18">
        <v>33.111999999999995</v>
      </c>
      <c r="H227" s="18" t="s">
        <v>9</v>
      </c>
      <c r="I227" s="18">
        <v>6922.848</v>
      </c>
      <c r="J227" s="18">
        <v>6849.0145000000011</v>
      </c>
      <c r="K227" s="216">
        <v>276.64290747746372</v>
      </c>
      <c r="L227" s="229"/>
      <c r="M227" s="173"/>
      <c r="Q227" s="377">
        <f t="shared" si="7"/>
        <v>113</v>
      </c>
      <c r="R227" s="350">
        <v>33.51</v>
      </c>
      <c r="S227" s="351" t="str">
        <f t="shared" si="6"/>
        <v>OK</v>
      </c>
    </row>
    <row r="228" spans="1:19">
      <c r="A228" s="497">
        <v>211</v>
      </c>
      <c r="B228" s="540" t="s">
        <v>98</v>
      </c>
      <c r="C228" s="541"/>
      <c r="D228" s="542"/>
      <c r="E228" s="211">
        <v>112</v>
      </c>
      <c r="F228" s="347">
        <v>33.06</v>
      </c>
      <c r="G228" s="18">
        <v>32.661999999999999</v>
      </c>
      <c r="H228" s="18" t="s">
        <v>9</v>
      </c>
      <c r="I228" s="18">
        <v>6955.51</v>
      </c>
      <c r="J228" s="18">
        <v>6816.3525000000009</v>
      </c>
      <c r="K228" s="216">
        <v>277.34420478227656</v>
      </c>
      <c r="L228" s="229"/>
      <c r="M228" s="173"/>
      <c r="Q228" s="377">
        <f t="shared" si="7"/>
        <v>112</v>
      </c>
      <c r="R228" s="350">
        <v>33.06</v>
      </c>
      <c r="S228" s="351" t="str">
        <f t="shared" si="6"/>
        <v>OK</v>
      </c>
    </row>
    <row r="229" spans="1:19">
      <c r="A229" s="497">
        <v>212</v>
      </c>
      <c r="B229" s="540" t="s">
        <v>98</v>
      </c>
      <c r="C229" s="541"/>
      <c r="D229" s="542"/>
      <c r="E229" s="211">
        <v>111</v>
      </c>
      <c r="F229" s="347">
        <v>32.729999999999997</v>
      </c>
      <c r="G229" s="18">
        <v>32.331999999999994</v>
      </c>
      <c r="H229" s="18" t="s">
        <v>9</v>
      </c>
      <c r="I229" s="18">
        <v>6987.8420000000006</v>
      </c>
      <c r="J229" s="18">
        <v>6784.0205000000005</v>
      </c>
      <c r="K229" s="216">
        <v>278.03841654087091</v>
      </c>
      <c r="L229" s="229"/>
      <c r="M229" s="173"/>
      <c r="Q229" s="377">
        <f t="shared" si="7"/>
        <v>111</v>
      </c>
      <c r="R229" s="350">
        <v>32.729999999999997</v>
      </c>
      <c r="S229" s="351" t="str">
        <f t="shared" si="6"/>
        <v>OK</v>
      </c>
    </row>
    <row r="230" spans="1:19">
      <c r="A230" s="497">
        <v>213</v>
      </c>
      <c r="B230" s="540" t="s">
        <v>98</v>
      </c>
      <c r="C230" s="541"/>
      <c r="D230" s="542"/>
      <c r="E230" s="211">
        <v>110</v>
      </c>
      <c r="F230" s="347">
        <v>33.020000000000003</v>
      </c>
      <c r="G230" s="18">
        <v>32.622</v>
      </c>
      <c r="H230" s="18" t="s">
        <v>9</v>
      </c>
      <c r="I230" s="18">
        <v>7020.4640000000009</v>
      </c>
      <c r="J230" s="18">
        <v>6751.3985000000002</v>
      </c>
      <c r="K230" s="216">
        <v>278.73885499159667</v>
      </c>
      <c r="L230" s="586"/>
      <c r="M230" s="587"/>
      <c r="Q230" s="377">
        <f t="shared" si="7"/>
        <v>110</v>
      </c>
      <c r="R230" s="350">
        <v>33.020000000000003</v>
      </c>
      <c r="S230" s="351" t="str">
        <f t="shared" si="6"/>
        <v>OK</v>
      </c>
    </row>
    <row r="231" spans="1:19">
      <c r="A231" s="497">
        <v>214</v>
      </c>
      <c r="B231" s="540" t="s">
        <v>98</v>
      </c>
      <c r="C231" s="541"/>
      <c r="D231" s="542"/>
      <c r="E231" s="211">
        <v>109</v>
      </c>
      <c r="F231" s="347">
        <v>32.9</v>
      </c>
      <c r="G231" s="18">
        <v>32.501999999999995</v>
      </c>
      <c r="H231" s="18" t="s">
        <v>9</v>
      </c>
      <c r="I231" s="18">
        <v>7052.9660000000013</v>
      </c>
      <c r="J231" s="18">
        <v>6718.8964999999998</v>
      </c>
      <c r="K231" s="216">
        <v>279.43671688006111</v>
      </c>
      <c r="L231" s="372"/>
      <c r="M231" s="373"/>
      <c r="Q231" s="377">
        <f t="shared" si="7"/>
        <v>109</v>
      </c>
      <c r="R231" s="350">
        <v>32.9</v>
      </c>
      <c r="S231" s="351" t="str">
        <f t="shared" si="6"/>
        <v>OK</v>
      </c>
    </row>
    <row r="232" spans="1:19">
      <c r="A232" s="497">
        <v>215</v>
      </c>
      <c r="B232" s="540" t="s">
        <v>98</v>
      </c>
      <c r="C232" s="541"/>
      <c r="D232" s="542"/>
      <c r="E232" s="211">
        <v>108</v>
      </c>
      <c r="F232" s="347">
        <v>32.869999999999997</v>
      </c>
      <c r="G232" s="18">
        <v>32.471999999999994</v>
      </c>
      <c r="H232" s="18" t="s">
        <v>9</v>
      </c>
      <c r="I232" s="18">
        <v>7085.438000000001</v>
      </c>
      <c r="J232" s="18">
        <v>6686.4245000000001</v>
      </c>
      <c r="K232" s="216">
        <v>280.13393462796034</v>
      </c>
      <c r="L232" s="586"/>
      <c r="M232" s="587"/>
      <c r="Q232" s="377">
        <f t="shared" si="7"/>
        <v>108</v>
      </c>
      <c r="R232" s="350">
        <v>32.869999999999997</v>
      </c>
      <c r="S232" s="351" t="str">
        <f t="shared" si="6"/>
        <v>OK</v>
      </c>
    </row>
    <row r="233" spans="1:19">
      <c r="A233" s="497">
        <v>216</v>
      </c>
      <c r="B233" s="540" t="s">
        <v>98</v>
      </c>
      <c r="C233" s="541"/>
      <c r="D233" s="542"/>
      <c r="E233" s="211">
        <v>107</v>
      </c>
      <c r="F233" s="347">
        <v>32.97</v>
      </c>
      <c r="G233" s="18">
        <v>32.571999999999996</v>
      </c>
      <c r="H233" s="18" t="s">
        <v>9</v>
      </c>
      <c r="I233" s="18">
        <v>7118.0100000000011</v>
      </c>
      <c r="J233" s="18">
        <v>6653.8525</v>
      </c>
      <c r="K233" s="216">
        <v>280.8332995110772</v>
      </c>
      <c r="L233" s="372"/>
      <c r="M233" s="373"/>
      <c r="Q233" s="377">
        <f t="shared" si="7"/>
        <v>107</v>
      </c>
      <c r="R233" s="350">
        <v>32.97</v>
      </c>
      <c r="S233" s="351" t="str">
        <f t="shared" si="6"/>
        <v>OK</v>
      </c>
    </row>
    <row r="234" spans="1:19">
      <c r="A234" s="497">
        <v>217</v>
      </c>
      <c r="B234" s="540" t="s">
        <v>98</v>
      </c>
      <c r="C234" s="541"/>
      <c r="D234" s="542"/>
      <c r="E234" s="211">
        <v>106</v>
      </c>
      <c r="F234" s="347">
        <v>31.64</v>
      </c>
      <c r="G234" s="18">
        <v>31.242000000000001</v>
      </c>
      <c r="H234" s="18" t="s">
        <v>9</v>
      </c>
      <c r="I234" s="18">
        <v>7149.2520000000013</v>
      </c>
      <c r="J234" s="18">
        <v>6622.6104999999998</v>
      </c>
      <c r="K234" s="216">
        <v>281.50410749579834</v>
      </c>
      <c r="L234" s="372"/>
      <c r="M234" s="373"/>
      <c r="Q234" s="377">
        <f t="shared" si="7"/>
        <v>106</v>
      </c>
      <c r="R234" s="350">
        <v>31.64</v>
      </c>
      <c r="S234" s="351" t="str">
        <f t="shared" si="6"/>
        <v>OK</v>
      </c>
    </row>
    <row r="235" spans="1:19">
      <c r="A235" s="497">
        <v>218</v>
      </c>
      <c r="B235" s="540" t="s">
        <v>98</v>
      </c>
      <c r="C235" s="541"/>
      <c r="D235" s="542"/>
      <c r="E235" s="211">
        <v>105</v>
      </c>
      <c r="F235" s="347">
        <v>33.67</v>
      </c>
      <c r="G235" s="18">
        <v>33.271999999999998</v>
      </c>
      <c r="H235" s="18" t="s">
        <v>9</v>
      </c>
      <c r="I235" s="18">
        <v>7182.5240000000013</v>
      </c>
      <c r="J235" s="18">
        <v>6589.3384999999998</v>
      </c>
      <c r="K235" s="216">
        <v>282.21850232543932</v>
      </c>
      <c r="L235" s="372"/>
      <c r="M235" s="373"/>
      <c r="Q235" s="377">
        <f t="shared" ref="Q235:Q237" si="8">E235</f>
        <v>105</v>
      </c>
      <c r="R235" s="350">
        <v>33.67</v>
      </c>
      <c r="S235" s="351" t="str">
        <f t="shared" si="6"/>
        <v>OK</v>
      </c>
    </row>
    <row r="236" spans="1:19">
      <c r="A236" s="497">
        <v>219</v>
      </c>
      <c r="B236" s="540" t="s">
        <v>98</v>
      </c>
      <c r="C236" s="541"/>
      <c r="D236" s="542"/>
      <c r="E236" s="211">
        <v>104</v>
      </c>
      <c r="F236" s="347">
        <v>32.57</v>
      </c>
      <c r="G236" s="18">
        <v>32.171999999999997</v>
      </c>
      <c r="H236" s="18" t="s">
        <v>9</v>
      </c>
      <c r="I236" s="18">
        <v>7214.6960000000008</v>
      </c>
      <c r="J236" s="18">
        <v>6557.1665000000003</v>
      </c>
      <c r="K236" s="216">
        <v>282.90927866768527</v>
      </c>
      <c r="L236" s="441"/>
      <c r="M236" s="432"/>
      <c r="Q236" s="377">
        <f t="shared" si="8"/>
        <v>104</v>
      </c>
      <c r="R236" s="350">
        <v>32.57</v>
      </c>
      <c r="S236" s="351" t="str">
        <f t="shared" si="6"/>
        <v>OK</v>
      </c>
    </row>
    <row r="237" spans="1:19">
      <c r="A237" s="497">
        <v>220</v>
      </c>
      <c r="B237" s="540" t="s">
        <v>98</v>
      </c>
      <c r="C237" s="541"/>
      <c r="D237" s="542"/>
      <c r="E237" s="211">
        <v>103</v>
      </c>
      <c r="F237" s="347">
        <v>32.880000000000003</v>
      </c>
      <c r="G237" s="18">
        <v>32.481999999999999</v>
      </c>
      <c r="H237" s="18" t="s">
        <v>9</v>
      </c>
      <c r="I237" s="18">
        <v>7247.1780000000008</v>
      </c>
      <c r="J237" s="18">
        <v>6524.6845000000003</v>
      </c>
      <c r="K237" s="216">
        <v>283.6067111291062</v>
      </c>
      <c r="L237" s="229"/>
      <c r="M237" s="173"/>
      <c r="Q237" s="377">
        <f t="shared" si="8"/>
        <v>103</v>
      </c>
      <c r="R237" s="350">
        <v>32.880000000000003</v>
      </c>
      <c r="S237" s="351" t="str">
        <f t="shared" si="6"/>
        <v>OK</v>
      </c>
    </row>
    <row r="238" spans="1:19">
      <c r="A238" s="497">
        <v>221</v>
      </c>
      <c r="B238" s="540" t="s">
        <v>98</v>
      </c>
      <c r="C238" s="541"/>
      <c r="D238" s="542"/>
      <c r="E238" s="211">
        <v>102</v>
      </c>
      <c r="F238" s="347">
        <v>33.119999999999997</v>
      </c>
      <c r="G238" s="18">
        <v>32.721999999999994</v>
      </c>
      <c r="H238" s="18" t="s">
        <v>9</v>
      </c>
      <c r="I238" s="18">
        <v>7279.9000000000005</v>
      </c>
      <c r="J238" s="18">
        <v>6491.9625000000005</v>
      </c>
      <c r="K238" s="216">
        <v>284.3092967150497</v>
      </c>
      <c r="L238" s="229"/>
      <c r="M238" s="173"/>
      <c r="Q238" s="377">
        <f t="shared" ref="Q238:Q282" si="9">E238</f>
        <v>102</v>
      </c>
      <c r="R238" s="350">
        <v>33.119999999999997</v>
      </c>
      <c r="S238" s="351" t="str">
        <f t="shared" si="6"/>
        <v>OK</v>
      </c>
    </row>
    <row r="239" spans="1:19">
      <c r="A239" s="497">
        <v>222</v>
      </c>
      <c r="B239" s="540" t="s">
        <v>98</v>
      </c>
      <c r="C239" s="541"/>
      <c r="D239" s="542"/>
      <c r="E239" s="211">
        <v>101</v>
      </c>
      <c r="F239" s="347">
        <v>33.090000000000003</v>
      </c>
      <c r="G239" s="18">
        <v>32.692</v>
      </c>
      <c r="H239" s="18" t="s">
        <v>9</v>
      </c>
      <c r="I239" s="18">
        <v>7312.5920000000006</v>
      </c>
      <c r="J239" s="18">
        <v>6459.2705000000005</v>
      </c>
      <c r="K239" s="216">
        <v>285.01123816042787</v>
      </c>
      <c r="L239" s="229"/>
      <c r="M239" s="173"/>
      <c r="Q239" s="377">
        <f t="shared" si="9"/>
        <v>101</v>
      </c>
      <c r="R239" s="350">
        <v>33.090000000000003</v>
      </c>
      <c r="S239" s="351" t="str">
        <f t="shared" si="6"/>
        <v>OK</v>
      </c>
    </row>
    <row r="240" spans="1:19">
      <c r="A240" s="497">
        <v>223</v>
      </c>
      <c r="B240" s="540" t="s">
        <v>98</v>
      </c>
      <c r="C240" s="541"/>
      <c r="D240" s="542"/>
      <c r="E240" s="211">
        <v>100</v>
      </c>
      <c r="F240" s="347">
        <v>31.73</v>
      </c>
      <c r="G240" s="18">
        <v>31.332000000000001</v>
      </c>
      <c r="H240" s="18" t="s">
        <v>9</v>
      </c>
      <c r="I240" s="18">
        <v>7343.9240000000009</v>
      </c>
      <c r="J240" s="18">
        <v>6427.9385000000002</v>
      </c>
      <c r="K240" s="216">
        <v>285.68397856684498</v>
      </c>
      <c r="L240" s="229"/>
      <c r="M240" s="173"/>
      <c r="Q240" s="377">
        <f t="shared" si="9"/>
        <v>100</v>
      </c>
      <c r="R240" s="350">
        <v>31.73</v>
      </c>
      <c r="S240" s="351" t="str">
        <f t="shared" si="6"/>
        <v>OK</v>
      </c>
    </row>
    <row r="241" spans="1:19" ht="12.6" customHeight="1">
      <c r="A241" s="497">
        <v>224</v>
      </c>
      <c r="B241" s="540" t="s">
        <v>98</v>
      </c>
      <c r="C241" s="541"/>
      <c r="D241" s="542"/>
      <c r="E241" s="211">
        <v>99</v>
      </c>
      <c r="F241" s="347">
        <v>33.1</v>
      </c>
      <c r="G241" s="18">
        <v>32.701999999999998</v>
      </c>
      <c r="H241" s="18" t="s">
        <v>9</v>
      </c>
      <c r="I241" s="18">
        <v>7376.6260000000011</v>
      </c>
      <c r="J241" s="18">
        <v>6395.2365</v>
      </c>
      <c r="K241" s="216">
        <v>286.38613472574491</v>
      </c>
      <c r="L241" s="229"/>
      <c r="M241" s="173"/>
      <c r="Q241" s="377">
        <f t="shared" si="9"/>
        <v>99</v>
      </c>
      <c r="R241" s="350">
        <v>33.1</v>
      </c>
      <c r="S241" s="351" t="str">
        <f t="shared" si="6"/>
        <v>OK</v>
      </c>
    </row>
    <row r="242" spans="1:19" ht="12.6" customHeight="1">
      <c r="A242" s="497">
        <v>225</v>
      </c>
      <c r="B242" s="540" t="s">
        <v>98</v>
      </c>
      <c r="C242" s="541"/>
      <c r="D242" s="542"/>
      <c r="E242" s="211">
        <v>98</v>
      </c>
      <c r="F242" s="347">
        <v>33.57</v>
      </c>
      <c r="G242" s="18">
        <v>33.171999999999997</v>
      </c>
      <c r="H242" s="18" t="s">
        <v>9</v>
      </c>
      <c r="I242" s="18">
        <v>7409.7980000000007</v>
      </c>
      <c r="J242" s="18">
        <v>6362.0645000000004</v>
      </c>
      <c r="K242" s="216">
        <v>287.09838242016809</v>
      </c>
      <c r="L242" s="229"/>
      <c r="M242" s="173"/>
      <c r="Q242" s="377">
        <f t="shared" si="9"/>
        <v>98</v>
      </c>
      <c r="R242" s="350">
        <v>33.57</v>
      </c>
      <c r="S242" s="351" t="str">
        <f t="shared" si="6"/>
        <v>OK</v>
      </c>
    </row>
    <row r="243" spans="1:19" ht="12.6" customHeight="1">
      <c r="A243" s="497">
        <v>226</v>
      </c>
      <c r="B243" s="540" t="s">
        <v>98</v>
      </c>
      <c r="C243" s="541"/>
      <c r="D243" s="542"/>
      <c r="E243" s="211">
        <v>97</v>
      </c>
      <c r="F243" s="347">
        <v>33.43</v>
      </c>
      <c r="G243" s="18">
        <v>33.031999999999996</v>
      </c>
      <c r="H243" s="18" t="s">
        <v>9</v>
      </c>
      <c r="I243" s="18">
        <v>7442.8300000000008</v>
      </c>
      <c r="J243" s="18">
        <v>6329.0325000000003</v>
      </c>
      <c r="K243" s="216">
        <v>287.80762412528651</v>
      </c>
      <c r="L243" s="229"/>
      <c r="M243" s="173"/>
      <c r="Q243" s="377">
        <f t="shared" si="9"/>
        <v>97</v>
      </c>
      <c r="R243" s="350">
        <v>33.43</v>
      </c>
      <c r="S243" s="351" t="str">
        <f t="shared" si="6"/>
        <v>OK</v>
      </c>
    </row>
    <row r="244" spans="1:19" ht="12.6" customHeight="1">
      <c r="A244" s="497">
        <v>227</v>
      </c>
      <c r="B244" s="540" t="s">
        <v>98</v>
      </c>
      <c r="C244" s="541"/>
      <c r="D244" s="542"/>
      <c r="E244" s="211">
        <v>96</v>
      </c>
      <c r="F244" s="347">
        <v>33.630000000000003</v>
      </c>
      <c r="G244" s="18">
        <v>33.231999999999999</v>
      </c>
      <c r="H244" s="18" t="s">
        <v>9</v>
      </c>
      <c r="I244" s="18">
        <v>7476.0620000000008</v>
      </c>
      <c r="J244" s="18">
        <v>6295.8005000000003</v>
      </c>
      <c r="K244" s="216">
        <v>288.52116010084035</v>
      </c>
      <c r="L244" s="229"/>
      <c r="M244" s="173"/>
      <c r="Q244" s="377">
        <f t="shared" si="9"/>
        <v>96</v>
      </c>
      <c r="R244" s="350">
        <v>33.630000000000003</v>
      </c>
      <c r="S244" s="351" t="str">
        <f t="shared" si="6"/>
        <v>OK</v>
      </c>
    </row>
    <row r="245" spans="1:19" ht="12.6" customHeight="1">
      <c r="A245" s="497">
        <v>228</v>
      </c>
      <c r="B245" s="540" t="s">
        <v>98</v>
      </c>
      <c r="C245" s="541"/>
      <c r="D245" s="542"/>
      <c r="E245" s="211">
        <v>95</v>
      </c>
      <c r="F245" s="347">
        <v>32</v>
      </c>
      <c r="G245" s="18">
        <v>31.602</v>
      </c>
      <c r="H245" s="18" t="s">
        <v>9</v>
      </c>
      <c r="I245" s="18">
        <v>7507.6640000000007</v>
      </c>
      <c r="J245" s="18">
        <v>6264.1985000000004</v>
      </c>
      <c r="K245" s="216">
        <v>289.1996977723453</v>
      </c>
      <c r="L245" s="229"/>
      <c r="M245" s="173"/>
      <c r="Q245" s="377">
        <f t="shared" si="9"/>
        <v>95</v>
      </c>
      <c r="R245" s="350">
        <v>32</v>
      </c>
      <c r="S245" s="351" t="str">
        <f t="shared" si="6"/>
        <v>OK</v>
      </c>
    </row>
    <row r="246" spans="1:19">
      <c r="A246" s="497">
        <v>229</v>
      </c>
      <c r="B246" s="540" t="s">
        <v>98</v>
      </c>
      <c r="C246" s="541"/>
      <c r="D246" s="542"/>
      <c r="E246" s="211">
        <v>94</v>
      </c>
      <c r="F246" s="347">
        <v>31.88</v>
      </c>
      <c r="G246" s="18">
        <v>31.481999999999999</v>
      </c>
      <c r="H246" s="18" t="s">
        <v>9</v>
      </c>
      <c r="I246" s="18">
        <v>7539.1460000000006</v>
      </c>
      <c r="J246" s="18">
        <v>6232.7165000000005</v>
      </c>
      <c r="K246" s="216">
        <v>289.87565888158906</v>
      </c>
      <c r="L246" s="229"/>
      <c r="M246" s="173"/>
      <c r="Q246" s="377">
        <f t="shared" si="9"/>
        <v>94</v>
      </c>
      <c r="R246" s="350">
        <v>31.88</v>
      </c>
      <c r="S246" s="351" t="str">
        <f t="shared" si="6"/>
        <v>OK</v>
      </c>
    </row>
    <row r="247" spans="1:19">
      <c r="A247" s="497">
        <v>230</v>
      </c>
      <c r="B247" s="540" t="s">
        <v>98</v>
      </c>
      <c r="C247" s="541"/>
      <c r="D247" s="542"/>
      <c r="E247" s="211">
        <v>93</v>
      </c>
      <c r="F247" s="347">
        <v>33.4</v>
      </c>
      <c r="G247" s="18">
        <v>33.001999999999995</v>
      </c>
      <c r="H247" s="18" t="s">
        <v>9</v>
      </c>
      <c r="I247" s="18">
        <v>7572.148000000001</v>
      </c>
      <c r="J247" s="18">
        <v>6199.7145</v>
      </c>
      <c r="K247" s="216">
        <v>290.58425644614215</v>
      </c>
      <c r="L247" s="229"/>
      <c r="M247" s="173"/>
      <c r="Q247" s="377">
        <f t="shared" si="9"/>
        <v>93</v>
      </c>
      <c r="R247" s="350">
        <v>33.4</v>
      </c>
      <c r="S247" s="351" t="str">
        <f t="shared" si="6"/>
        <v>OK</v>
      </c>
    </row>
    <row r="248" spans="1:19">
      <c r="A248" s="497">
        <v>231</v>
      </c>
      <c r="B248" s="540" t="s">
        <v>98</v>
      </c>
      <c r="C248" s="541"/>
      <c r="D248" s="542"/>
      <c r="E248" s="211">
        <v>92</v>
      </c>
      <c r="F248" s="347">
        <v>33.25</v>
      </c>
      <c r="G248" s="18">
        <v>32.851999999999997</v>
      </c>
      <c r="H248" s="18" t="s">
        <v>9</v>
      </c>
      <c r="I248" s="18">
        <v>7605.0000000000009</v>
      </c>
      <c r="J248" s="18">
        <v>6166.8625000000002</v>
      </c>
      <c r="K248" s="216">
        <v>291.28963330786866</v>
      </c>
      <c r="L248" s="229"/>
      <c r="M248" s="173"/>
      <c r="Q248" s="377">
        <f t="shared" si="9"/>
        <v>92</v>
      </c>
      <c r="R248" s="350">
        <v>33.25</v>
      </c>
      <c r="S248" s="351" t="str">
        <f t="shared" si="6"/>
        <v>OK</v>
      </c>
    </row>
    <row r="249" spans="1:19">
      <c r="A249" s="497">
        <v>232</v>
      </c>
      <c r="B249" s="540" t="s">
        <v>98</v>
      </c>
      <c r="C249" s="541"/>
      <c r="D249" s="542"/>
      <c r="E249" s="211">
        <v>91</v>
      </c>
      <c r="F249" s="347">
        <v>33.14</v>
      </c>
      <c r="G249" s="18">
        <v>32.741999999999997</v>
      </c>
      <c r="H249" s="18" t="s">
        <v>9</v>
      </c>
      <c r="I249" s="18">
        <v>7637.7420000000011</v>
      </c>
      <c r="J249" s="18">
        <v>6134.1205</v>
      </c>
      <c r="K249" s="216">
        <v>291.99264832085566</v>
      </c>
      <c r="L249" s="229"/>
      <c r="M249" s="173"/>
      <c r="Q249" s="377">
        <f t="shared" si="9"/>
        <v>91</v>
      </c>
      <c r="R249" s="350">
        <v>33.14</v>
      </c>
      <c r="S249" s="351" t="str">
        <f t="shared" si="6"/>
        <v>OK</v>
      </c>
    </row>
    <row r="250" spans="1:19">
      <c r="A250" s="497">
        <v>233</v>
      </c>
      <c r="B250" s="540" t="s">
        <v>98</v>
      </c>
      <c r="C250" s="541"/>
      <c r="D250" s="542"/>
      <c r="E250" s="211">
        <v>90</v>
      </c>
      <c r="F250" s="347">
        <v>33.35</v>
      </c>
      <c r="G250" s="18">
        <v>32.951999999999998</v>
      </c>
      <c r="H250" s="18" t="s">
        <v>9</v>
      </c>
      <c r="I250" s="18">
        <v>7670.6940000000013</v>
      </c>
      <c r="J250" s="18">
        <v>6101.1684999999998</v>
      </c>
      <c r="K250" s="216">
        <v>292.70017231779991</v>
      </c>
      <c r="L250" s="229"/>
      <c r="M250" s="173"/>
      <c r="Q250" s="377">
        <f t="shared" si="9"/>
        <v>90</v>
      </c>
      <c r="R250" s="350">
        <v>33.35</v>
      </c>
      <c r="S250" s="351" t="str">
        <f t="shared" si="6"/>
        <v>OK</v>
      </c>
    </row>
    <row r="251" spans="1:19" ht="12.6" customHeight="1">
      <c r="A251" s="497">
        <v>234</v>
      </c>
      <c r="B251" s="540" t="s">
        <v>98</v>
      </c>
      <c r="C251" s="541"/>
      <c r="D251" s="542"/>
      <c r="E251" s="211">
        <v>89</v>
      </c>
      <c r="F251" s="347">
        <v>33.950000000000003</v>
      </c>
      <c r="G251" s="18">
        <v>33.552</v>
      </c>
      <c r="H251" s="18" t="s">
        <v>9</v>
      </c>
      <c r="I251" s="18">
        <v>7704.246000000001</v>
      </c>
      <c r="J251" s="18">
        <v>6067.6165000000001</v>
      </c>
      <c r="K251" s="216">
        <v>293.42057912605048</v>
      </c>
      <c r="L251" s="229"/>
      <c r="M251" s="173"/>
      <c r="Q251" s="377">
        <f t="shared" si="9"/>
        <v>89</v>
      </c>
      <c r="R251" s="350">
        <v>33.950000000000003</v>
      </c>
      <c r="S251" s="351" t="str">
        <f t="shared" si="6"/>
        <v>OK</v>
      </c>
    </row>
    <row r="252" spans="1:19" ht="12.6" customHeight="1">
      <c r="A252" s="497">
        <v>235</v>
      </c>
      <c r="B252" s="540" t="s">
        <v>98</v>
      </c>
      <c r="C252" s="541"/>
      <c r="D252" s="542"/>
      <c r="E252" s="211">
        <v>88</v>
      </c>
      <c r="F252" s="347">
        <v>33.950000000000003</v>
      </c>
      <c r="G252" s="18">
        <v>33.552</v>
      </c>
      <c r="H252" s="18" t="s">
        <v>9</v>
      </c>
      <c r="I252" s="18">
        <v>7737.7980000000007</v>
      </c>
      <c r="J252" s="18">
        <v>6034.0645000000004</v>
      </c>
      <c r="K252" s="216">
        <v>294.14098593430106</v>
      </c>
      <c r="L252" s="229"/>
      <c r="M252" s="173"/>
      <c r="Q252" s="377">
        <f t="shared" si="9"/>
        <v>88</v>
      </c>
      <c r="R252" s="350">
        <v>33.950000000000003</v>
      </c>
      <c r="S252" s="351" t="str">
        <f t="shared" si="6"/>
        <v>OK</v>
      </c>
    </row>
    <row r="253" spans="1:19">
      <c r="A253" s="497">
        <v>236</v>
      </c>
      <c r="B253" s="540" t="s">
        <v>98</v>
      </c>
      <c r="C253" s="541"/>
      <c r="D253" s="542"/>
      <c r="E253" s="211">
        <v>87</v>
      </c>
      <c r="F253" s="347">
        <v>33.950000000000003</v>
      </c>
      <c r="G253" s="18">
        <v>33.552</v>
      </c>
      <c r="H253" s="18" t="s">
        <v>9</v>
      </c>
      <c r="I253" s="18">
        <v>7771.35</v>
      </c>
      <c r="J253" s="18">
        <v>6000.5125000000007</v>
      </c>
      <c r="K253" s="216">
        <v>294.86139274255157</v>
      </c>
      <c r="L253" s="229"/>
      <c r="M253" s="173"/>
      <c r="Q253" s="377">
        <f t="shared" si="9"/>
        <v>87</v>
      </c>
      <c r="R253" s="350">
        <v>33.950000000000003</v>
      </c>
      <c r="S253" s="351" t="str">
        <f t="shared" si="6"/>
        <v>OK</v>
      </c>
    </row>
    <row r="254" spans="1:19">
      <c r="A254" s="497">
        <v>237</v>
      </c>
      <c r="B254" s="540" t="s">
        <v>98</v>
      </c>
      <c r="C254" s="541"/>
      <c r="D254" s="542"/>
      <c r="E254" s="211">
        <v>86</v>
      </c>
      <c r="F254" s="347">
        <v>33.94</v>
      </c>
      <c r="G254" s="18">
        <v>33.541999999999994</v>
      </c>
      <c r="H254" s="18" t="s">
        <v>9</v>
      </c>
      <c r="I254" s="18">
        <v>7804.8920000000007</v>
      </c>
      <c r="J254" s="18">
        <v>5966.9705000000004</v>
      </c>
      <c r="K254" s="216">
        <v>295.58158483728039</v>
      </c>
      <c r="L254" s="567"/>
      <c r="M254" s="566"/>
      <c r="Q254" s="377">
        <f t="shared" si="9"/>
        <v>86</v>
      </c>
      <c r="R254" s="350">
        <v>33.94</v>
      </c>
      <c r="S254" s="351" t="str">
        <f t="shared" si="6"/>
        <v>OK</v>
      </c>
    </row>
    <row r="255" spans="1:19">
      <c r="A255" s="497">
        <v>238</v>
      </c>
      <c r="B255" s="540" t="s">
        <v>98</v>
      </c>
      <c r="C255" s="541"/>
      <c r="D255" s="542"/>
      <c r="E255" s="211">
        <v>85</v>
      </c>
      <c r="F255" s="347">
        <v>33.61</v>
      </c>
      <c r="G255" s="18">
        <v>33.211999999999996</v>
      </c>
      <c r="H255" s="18" t="s">
        <v>9</v>
      </c>
      <c r="I255" s="18">
        <v>7838.1040000000012</v>
      </c>
      <c r="J255" s="18">
        <v>5933.7584999999999</v>
      </c>
      <c r="K255" s="216">
        <v>296.29469138579071</v>
      </c>
      <c r="L255" s="567"/>
      <c r="M255" s="566"/>
      <c r="N255" s="435"/>
      <c r="O255" s="384"/>
      <c r="P255" s="384"/>
      <c r="Q255" s="377">
        <f t="shared" si="9"/>
        <v>85</v>
      </c>
      <c r="R255" s="350">
        <v>33.61</v>
      </c>
      <c r="S255" s="351" t="str">
        <f t="shared" si="6"/>
        <v>OK</v>
      </c>
    </row>
    <row r="256" spans="1:19">
      <c r="A256" s="497">
        <v>239</v>
      </c>
      <c r="B256" s="540" t="s">
        <v>98</v>
      </c>
      <c r="C256" s="541"/>
      <c r="D256" s="542"/>
      <c r="E256" s="211">
        <v>84</v>
      </c>
      <c r="F256" s="347">
        <v>33.950000000000003</v>
      </c>
      <c r="G256" s="18">
        <v>33.552</v>
      </c>
      <c r="H256" s="18" t="s">
        <v>9</v>
      </c>
      <c r="I256" s="18">
        <v>7871.6560000000009</v>
      </c>
      <c r="J256" s="18">
        <v>5900.2065000000002</v>
      </c>
      <c r="K256" s="216">
        <v>297.01509819404123</v>
      </c>
      <c r="L256" s="567"/>
      <c r="M256" s="566"/>
      <c r="N256" s="435"/>
      <c r="O256" s="384"/>
      <c r="P256" s="384"/>
      <c r="Q256" s="377">
        <f t="shared" si="9"/>
        <v>84</v>
      </c>
      <c r="R256" s="350">
        <v>33.950000000000003</v>
      </c>
      <c r="S256" s="351" t="str">
        <f t="shared" si="6"/>
        <v>OK</v>
      </c>
    </row>
    <row r="257" spans="1:19" ht="12.6" customHeight="1">
      <c r="A257" s="497">
        <v>240</v>
      </c>
      <c r="B257" s="540" t="s">
        <v>98</v>
      </c>
      <c r="C257" s="541"/>
      <c r="D257" s="542"/>
      <c r="E257" s="211">
        <v>83</v>
      </c>
      <c r="F257" s="347">
        <v>32.72</v>
      </c>
      <c r="G257" s="18">
        <v>32.321999999999996</v>
      </c>
      <c r="H257" s="18" t="s">
        <v>9</v>
      </c>
      <c r="I257" s="18">
        <v>7903.978000000001</v>
      </c>
      <c r="J257" s="18">
        <v>5867.8845000000001</v>
      </c>
      <c r="K257" s="216">
        <v>297.70909523911382</v>
      </c>
      <c r="L257" s="567"/>
      <c r="M257" s="566"/>
      <c r="N257" s="435"/>
      <c r="O257" s="384"/>
      <c r="Q257" s="377">
        <f t="shared" si="9"/>
        <v>83</v>
      </c>
      <c r="R257" s="350">
        <v>32.72</v>
      </c>
      <c r="S257" s="351" t="str">
        <f t="shared" si="6"/>
        <v>OK</v>
      </c>
    </row>
    <row r="258" spans="1:19">
      <c r="A258" s="497">
        <v>241</v>
      </c>
      <c r="B258" s="540" t="s">
        <v>98</v>
      </c>
      <c r="C258" s="541"/>
      <c r="D258" s="542"/>
      <c r="E258" s="211">
        <v>82</v>
      </c>
      <c r="F258" s="347">
        <v>32.67</v>
      </c>
      <c r="G258" s="18">
        <v>32.271999999999998</v>
      </c>
      <c r="H258" s="18" t="s">
        <v>9</v>
      </c>
      <c r="I258" s="18">
        <v>7936.2500000000009</v>
      </c>
      <c r="J258" s="18">
        <v>5835.6125000000002</v>
      </c>
      <c r="K258" s="216">
        <v>298.40201871657757</v>
      </c>
      <c r="L258" s="567"/>
      <c r="M258" s="566"/>
      <c r="N258" s="435"/>
      <c r="O258" s="384"/>
      <c r="Q258" s="377">
        <f t="shared" si="9"/>
        <v>82</v>
      </c>
      <c r="R258" s="350">
        <v>32.67</v>
      </c>
      <c r="S258" s="351" t="str">
        <f t="shared" si="6"/>
        <v>OK</v>
      </c>
    </row>
    <row r="259" spans="1:19">
      <c r="A259" s="497">
        <v>242</v>
      </c>
      <c r="B259" s="540" t="s">
        <v>98</v>
      </c>
      <c r="C259" s="541"/>
      <c r="D259" s="542"/>
      <c r="E259" s="211">
        <v>81</v>
      </c>
      <c r="F259" s="347">
        <v>32.76</v>
      </c>
      <c r="G259" s="18">
        <v>32.361999999999995</v>
      </c>
      <c r="H259" s="18" t="s">
        <v>9</v>
      </c>
      <c r="I259" s="18">
        <v>7968.612000000001</v>
      </c>
      <c r="J259" s="18">
        <v>5803.2505000000001</v>
      </c>
      <c r="K259" s="216">
        <v>299.09687461573719</v>
      </c>
      <c r="L259" s="567"/>
      <c r="M259" s="566"/>
      <c r="N259" s="435"/>
      <c r="O259" s="384"/>
      <c r="Q259" s="377">
        <f t="shared" si="9"/>
        <v>81</v>
      </c>
      <c r="R259" s="350">
        <v>32.76</v>
      </c>
      <c r="S259" s="351" t="str">
        <f t="shared" si="6"/>
        <v>OK</v>
      </c>
    </row>
    <row r="260" spans="1:19">
      <c r="A260" s="497">
        <v>243</v>
      </c>
      <c r="B260" s="540" t="s">
        <v>98</v>
      </c>
      <c r="C260" s="541"/>
      <c r="D260" s="542"/>
      <c r="E260" s="211">
        <v>80</v>
      </c>
      <c r="F260" s="347">
        <v>33.96</v>
      </c>
      <c r="G260" s="18">
        <v>33.561999999999998</v>
      </c>
      <c r="H260" s="18" t="s">
        <v>9</v>
      </c>
      <c r="I260" s="18">
        <v>8002.1740000000009</v>
      </c>
      <c r="J260" s="18">
        <v>5769.6885000000002</v>
      </c>
      <c r="K260" s="216">
        <v>299.81749613750958</v>
      </c>
      <c r="L260" s="567"/>
      <c r="M260" s="566"/>
      <c r="N260" s="435"/>
      <c r="O260" s="384"/>
      <c r="Q260" s="377">
        <f t="shared" si="9"/>
        <v>80</v>
      </c>
      <c r="R260" s="350">
        <v>33.96</v>
      </c>
      <c r="S260" s="351" t="str">
        <f t="shared" si="6"/>
        <v>OK</v>
      </c>
    </row>
    <row r="261" spans="1:19">
      <c r="A261" s="497">
        <v>244</v>
      </c>
      <c r="B261" s="540" t="s">
        <v>98</v>
      </c>
      <c r="C261" s="541"/>
      <c r="D261" s="542"/>
      <c r="E261" s="211">
        <v>79</v>
      </c>
      <c r="F261" s="347">
        <v>33.950000000000003</v>
      </c>
      <c r="G261" s="18">
        <v>33.552</v>
      </c>
      <c r="H261" s="18" t="s">
        <v>9</v>
      </c>
      <c r="I261" s="18">
        <v>8035.7260000000006</v>
      </c>
      <c r="J261" s="18">
        <v>5736.1365000000005</v>
      </c>
      <c r="K261" s="216">
        <v>300.53790294576015</v>
      </c>
      <c r="L261" s="567"/>
      <c r="M261" s="566"/>
      <c r="N261" s="435"/>
      <c r="O261" s="384"/>
      <c r="Q261" s="377">
        <f t="shared" si="9"/>
        <v>79</v>
      </c>
      <c r="R261" s="350">
        <v>33.950000000000003</v>
      </c>
      <c r="S261" s="351" t="str">
        <f t="shared" si="6"/>
        <v>OK</v>
      </c>
    </row>
    <row r="262" spans="1:19">
      <c r="A262" s="497">
        <v>245</v>
      </c>
      <c r="B262" s="540" t="s">
        <v>98</v>
      </c>
      <c r="C262" s="541"/>
      <c r="D262" s="542"/>
      <c r="E262" s="211">
        <v>78</v>
      </c>
      <c r="F262" s="347">
        <v>33.92</v>
      </c>
      <c r="G262" s="18">
        <v>33.521999999999998</v>
      </c>
      <c r="H262" s="18" t="s">
        <v>9</v>
      </c>
      <c r="I262" s="18">
        <v>8069.2480000000005</v>
      </c>
      <c r="J262" s="18">
        <v>5702.6145000000006</v>
      </c>
      <c r="K262" s="216">
        <v>301.2576656134454</v>
      </c>
      <c r="L262" s="567"/>
      <c r="M262" s="566"/>
      <c r="N262" s="435"/>
      <c r="O262" s="384"/>
      <c r="Q262" s="377">
        <f t="shared" si="9"/>
        <v>78</v>
      </c>
      <c r="R262" s="350">
        <v>33.92</v>
      </c>
      <c r="S262" s="351" t="str">
        <f t="shared" si="6"/>
        <v>OK</v>
      </c>
    </row>
    <row r="263" spans="1:19">
      <c r="A263" s="497">
        <v>246</v>
      </c>
      <c r="B263" s="540" t="s">
        <v>98</v>
      </c>
      <c r="C263" s="541"/>
      <c r="D263" s="542"/>
      <c r="E263" s="211">
        <v>77</v>
      </c>
      <c r="F263" s="347">
        <v>33.82</v>
      </c>
      <c r="G263" s="18">
        <v>33.421999999999997</v>
      </c>
      <c r="H263" s="18" t="s">
        <v>9</v>
      </c>
      <c r="I263" s="18">
        <v>8102.67</v>
      </c>
      <c r="J263" s="18">
        <v>5669.192500000001</v>
      </c>
      <c r="K263" s="216">
        <v>301.9752811459129</v>
      </c>
      <c r="L263" s="567"/>
      <c r="M263" s="566"/>
      <c r="N263" s="435"/>
      <c r="O263" s="384"/>
      <c r="Q263" s="377">
        <f t="shared" si="9"/>
        <v>77</v>
      </c>
      <c r="R263" s="350">
        <v>33.82</v>
      </c>
      <c r="S263" s="351" t="str">
        <f t="shared" si="6"/>
        <v>OK</v>
      </c>
    </row>
    <row r="264" spans="1:19">
      <c r="A264" s="497">
        <v>247</v>
      </c>
      <c r="B264" s="540" t="s">
        <v>98</v>
      </c>
      <c r="C264" s="541"/>
      <c r="D264" s="542"/>
      <c r="E264" s="211">
        <v>76</v>
      </c>
      <c r="F264" s="347">
        <v>33.49</v>
      </c>
      <c r="G264" s="18">
        <v>33.091999999999999</v>
      </c>
      <c r="H264" s="18" t="s">
        <v>9</v>
      </c>
      <c r="I264" s="18">
        <v>8135.7619999999997</v>
      </c>
      <c r="J264" s="18">
        <v>5636.1005000000014</v>
      </c>
      <c r="K264" s="216">
        <v>302.68581113216197</v>
      </c>
      <c r="L264" s="567"/>
      <c r="M264" s="566"/>
      <c r="N264" s="435"/>
      <c r="O264" s="384"/>
      <c r="Q264" s="377">
        <f t="shared" si="9"/>
        <v>76</v>
      </c>
      <c r="R264" s="350">
        <v>33.49</v>
      </c>
      <c r="S264" s="351" t="str">
        <f t="shared" si="6"/>
        <v>OK</v>
      </c>
    </row>
    <row r="265" spans="1:19">
      <c r="A265" s="497">
        <v>248</v>
      </c>
      <c r="B265" s="540" t="s">
        <v>98</v>
      </c>
      <c r="C265" s="541"/>
      <c r="D265" s="542"/>
      <c r="E265" s="211">
        <v>75</v>
      </c>
      <c r="F265" s="347">
        <v>33.479999999999997</v>
      </c>
      <c r="G265" s="18">
        <v>33.081999999999994</v>
      </c>
      <c r="H265" s="18" t="s">
        <v>9</v>
      </c>
      <c r="I265" s="18">
        <v>8168.8440000000001</v>
      </c>
      <c r="J265" s="18">
        <v>5603.018500000001</v>
      </c>
      <c r="K265" s="216">
        <v>303.39612640488923</v>
      </c>
      <c r="L265" s="229"/>
      <c r="M265" s="173"/>
      <c r="N265" s="435"/>
      <c r="O265" s="384"/>
      <c r="Q265" s="377">
        <f t="shared" si="9"/>
        <v>75</v>
      </c>
      <c r="R265" s="350">
        <v>33.479999999999997</v>
      </c>
      <c r="S265" s="351" t="str">
        <f t="shared" si="6"/>
        <v>OK</v>
      </c>
    </row>
    <row r="266" spans="1:19">
      <c r="A266" s="497">
        <v>249</v>
      </c>
      <c r="B266" s="540" t="s">
        <v>98</v>
      </c>
      <c r="C266" s="541"/>
      <c r="D266" s="542"/>
      <c r="E266" s="211">
        <v>74</v>
      </c>
      <c r="F266" s="347">
        <v>33.729999999999997</v>
      </c>
      <c r="G266" s="18">
        <v>33.331999999999994</v>
      </c>
      <c r="H266" s="18" t="s">
        <v>9</v>
      </c>
      <c r="I266" s="18">
        <v>8202.1759999999995</v>
      </c>
      <c r="J266" s="18">
        <v>5569.6865000000016</v>
      </c>
      <c r="K266" s="216">
        <v>304.11180951566081</v>
      </c>
      <c r="L266" s="229"/>
      <c r="M266" s="173"/>
      <c r="N266" s="435"/>
      <c r="O266" s="384"/>
      <c r="Q266" s="377">
        <f t="shared" si="9"/>
        <v>74</v>
      </c>
      <c r="R266" s="350">
        <v>33.729999999999997</v>
      </c>
      <c r="S266" s="351" t="str">
        <f t="shared" si="6"/>
        <v>OK</v>
      </c>
    </row>
    <row r="267" spans="1:19">
      <c r="A267" s="497">
        <v>250</v>
      </c>
      <c r="B267" s="540" t="s">
        <v>98</v>
      </c>
      <c r="C267" s="541"/>
      <c r="D267" s="542"/>
      <c r="E267" s="211">
        <v>73</v>
      </c>
      <c r="F267" s="347">
        <v>33.6</v>
      </c>
      <c r="G267" s="18">
        <v>33.201999999999998</v>
      </c>
      <c r="H267" s="18" t="s">
        <v>9</v>
      </c>
      <c r="I267" s="18">
        <v>8235.3779999999988</v>
      </c>
      <c r="J267" s="18">
        <v>5536.4845000000023</v>
      </c>
      <c r="K267" s="216">
        <v>304.82470135064932</v>
      </c>
      <c r="L267" s="229"/>
      <c r="M267" s="173"/>
      <c r="N267" s="435"/>
      <c r="O267" s="384"/>
      <c r="Q267" s="377">
        <f t="shared" si="9"/>
        <v>73</v>
      </c>
      <c r="R267" s="350">
        <v>33.6</v>
      </c>
      <c r="S267" s="351" t="str">
        <f t="shared" si="6"/>
        <v>OK</v>
      </c>
    </row>
    <row r="268" spans="1:19">
      <c r="A268" s="497">
        <v>251</v>
      </c>
      <c r="B268" s="540" t="s">
        <v>98</v>
      </c>
      <c r="C268" s="541"/>
      <c r="D268" s="542"/>
      <c r="E268" s="211">
        <v>72</v>
      </c>
      <c r="F268" s="347">
        <v>33.590000000000003</v>
      </c>
      <c r="G268" s="18">
        <v>33.192</v>
      </c>
      <c r="H268" s="18" t="s">
        <v>9</v>
      </c>
      <c r="I268" s="18">
        <v>8268.5699999999979</v>
      </c>
      <c r="J268" s="18">
        <v>5503.2925000000032</v>
      </c>
      <c r="K268" s="216">
        <v>305.53737847211607</v>
      </c>
      <c r="L268" s="229"/>
      <c r="M268" s="173"/>
      <c r="N268" s="435"/>
      <c r="O268" s="384"/>
      <c r="Q268" s="377">
        <f t="shared" si="9"/>
        <v>72</v>
      </c>
      <c r="R268" s="350">
        <v>33.590000000000003</v>
      </c>
      <c r="S268" s="351" t="str">
        <f t="shared" si="6"/>
        <v>OK</v>
      </c>
    </row>
    <row r="269" spans="1:19">
      <c r="A269" s="497">
        <v>252</v>
      </c>
      <c r="B269" s="540" t="s">
        <v>98</v>
      </c>
      <c r="C269" s="541"/>
      <c r="D269" s="542"/>
      <c r="E269" s="211">
        <v>71</v>
      </c>
      <c r="F269" s="347">
        <v>33.92</v>
      </c>
      <c r="G269" s="18">
        <v>33.521999999999998</v>
      </c>
      <c r="H269" s="18" t="s">
        <v>9</v>
      </c>
      <c r="I269" s="18">
        <v>8302.0919999999987</v>
      </c>
      <c r="J269" s="18">
        <v>5469.7705000000024</v>
      </c>
      <c r="K269" s="216">
        <v>306.25714113980132</v>
      </c>
      <c r="L269" s="229"/>
      <c r="M269" s="173"/>
      <c r="N269" s="435"/>
      <c r="O269" s="384"/>
      <c r="Q269" s="377">
        <f t="shared" si="9"/>
        <v>71</v>
      </c>
      <c r="R269" s="350">
        <v>33.92</v>
      </c>
      <c r="S269" s="351" t="str">
        <f t="shared" si="6"/>
        <v>OK</v>
      </c>
    </row>
    <row r="270" spans="1:19">
      <c r="A270" s="497">
        <v>253</v>
      </c>
      <c r="B270" s="540" t="s">
        <v>98</v>
      </c>
      <c r="C270" s="541"/>
      <c r="D270" s="542"/>
      <c r="E270" s="211">
        <v>70</v>
      </c>
      <c r="F270" s="347">
        <v>33.93</v>
      </c>
      <c r="G270" s="18">
        <v>33.531999999999996</v>
      </c>
      <c r="H270" s="18" t="s">
        <v>9</v>
      </c>
      <c r="I270" s="18">
        <v>8335.623999999998</v>
      </c>
      <c r="J270" s="18">
        <v>5436.2385000000031</v>
      </c>
      <c r="K270" s="216">
        <v>306.97711852100838</v>
      </c>
      <c r="L270" s="229"/>
      <c r="M270" s="173"/>
      <c r="N270" s="435"/>
      <c r="O270" s="384"/>
      <c r="Q270" s="377">
        <f t="shared" si="9"/>
        <v>70</v>
      </c>
      <c r="R270" s="350">
        <v>33.93</v>
      </c>
      <c r="S270" s="351" t="str">
        <f t="shared" si="6"/>
        <v>OK</v>
      </c>
    </row>
    <row r="271" spans="1:19">
      <c r="A271" s="497">
        <v>254</v>
      </c>
      <c r="B271" s="540" t="s">
        <v>98</v>
      </c>
      <c r="C271" s="541"/>
      <c r="D271" s="542"/>
      <c r="E271" s="211">
        <v>69</v>
      </c>
      <c r="F271" s="347">
        <v>33.65</v>
      </c>
      <c r="G271" s="18">
        <v>33.251999999999995</v>
      </c>
      <c r="H271" s="18" t="s">
        <v>9</v>
      </c>
      <c r="I271" s="18">
        <v>8368.8759999999984</v>
      </c>
      <c r="J271" s="18">
        <v>5402.9865000000027</v>
      </c>
      <c r="K271" s="216">
        <v>307.69108392360579</v>
      </c>
      <c r="L271" s="229"/>
      <c r="M271" s="173"/>
      <c r="N271" s="435"/>
      <c r="O271" s="384"/>
      <c r="Q271" s="377">
        <f t="shared" si="9"/>
        <v>69</v>
      </c>
      <c r="R271" s="350">
        <v>33.65</v>
      </c>
      <c r="S271" s="351" t="str">
        <f t="shared" si="6"/>
        <v>OK</v>
      </c>
    </row>
    <row r="272" spans="1:19">
      <c r="A272" s="497">
        <v>255</v>
      </c>
      <c r="B272" s="540" t="s">
        <v>98</v>
      </c>
      <c r="C272" s="541"/>
      <c r="D272" s="542"/>
      <c r="E272" s="211">
        <v>68</v>
      </c>
      <c r="F272" s="347">
        <v>33.94</v>
      </c>
      <c r="G272" s="18">
        <v>33.541999999999994</v>
      </c>
      <c r="H272" s="18" t="s">
        <v>9</v>
      </c>
      <c r="I272" s="18">
        <v>8402.4179999999978</v>
      </c>
      <c r="J272" s="18">
        <v>5369.4445000000032</v>
      </c>
      <c r="K272" s="216">
        <v>308.41127601833455</v>
      </c>
      <c r="L272" s="229"/>
      <c r="M272" s="173"/>
      <c r="N272" s="435"/>
      <c r="O272" s="384"/>
      <c r="Q272" s="377">
        <f t="shared" si="9"/>
        <v>68</v>
      </c>
      <c r="R272" s="350">
        <v>33.94</v>
      </c>
      <c r="S272" s="351" t="str">
        <f t="shared" ref="S272:S282" si="10">IF(F272-R272=0,"OK","FALSE")</f>
        <v>OK</v>
      </c>
    </row>
    <row r="273" spans="1:19">
      <c r="A273" s="497">
        <v>256</v>
      </c>
      <c r="B273" s="540" t="s">
        <v>98</v>
      </c>
      <c r="C273" s="541"/>
      <c r="D273" s="542"/>
      <c r="E273" s="211">
        <v>67</v>
      </c>
      <c r="F273" s="347">
        <v>33.520000000000003</v>
      </c>
      <c r="G273" s="18">
        <v>33.122</v>
      </c>
      <c r="H273" s="18" t="s">
        <v>9</v>
      </c>
      <c r="I273" s="18">
        <v>8435.5399999999972</v>
      </c>
      <c r="J273" s="18">
        <v>5336.3225000000039</v>
      </c>
      <c r="K273" s="216">
        <v>309.12245014514895</v>
      </c>
      <c r="L273" s="229"/>
      <c r="M273" s="173"/>
      <c r="N273" s="435"/>
      <c r="O273" s="384"/>
      <c r="Q273" s="377">
        <f t="shared" si="9"/>
        <v>67</v>
      </c>
      <c r="R273" s="350">
        <v>33.520000000000003</v>
      </c>
      <c r="S273" s="351" t="str">
        <f t="shared" si="10"/>
        <v>OK</v>
      </c>
    </row>
    <row r="274" spans="1:19">
      <c r="A274" s="497">
        <v>257</v>
      </c>
      <c r="B274" s="540" t="s">
        <v>98</v>
      </c>
      <c r="C274" s="541"/>
      <c r="D274" s="542"/>
      <c r="E274" s="211">
        <v>66</v>
      </c>
      <c r="F274" s="347">
        <v>33.56</v>
      </c>
      <c r="G274" s="18">
        <v>33.161999999999999</v>
      </c>
      <c r="H274" s="18" t="s">
        <v>9</v>
      </c>
      <c r="I274" s="18">
        <v>8468.7019999999975</v>
      </c>
      <c r="J274" s="18">
        <v>5303.1605000000036</v>
      </c>
      <c r="K274" s="358">
        <v>309.83448312605037</v>
      </c>
      <c r="L274" s="229"/>
      <c r="M274" s="173"/>
      <c r="N274" s="435"/>
      <c r="O274" s="384"/>
      <c r="Q274" s="377">
        <f t="shared" si="9"/>
        <v>66</v>
      </c>
      <c r="R274" s="350">
        <v>33.56</v>
      </c>
      <c r="S274" s="351" t="str">
        <f t="shared" si="10"/>
        <v>OK</v>
      </c>
    </row>
    <row r="275" spans="1:19">
      <c r="A275" s="497">
        <v>258</v>
      </c>
      <c r="B275" s="540" t="s">
        <v>98</v>
      </c>
      <c r="C275" s="541"/>
      <c r="D275" s="542"/>
      <c r="E275" s="211">
        <v>65</v>
      </c>
      <c r="F275" s="347">
        <v>33.450000000000003</v>
      </c>
      <c r="G275" s="18">
        <v>33.052</v>
      </c>
      <c r="H275" s="18" t="s">
        <v>9</v>
      </c>
      <c r="I275" s="18">
        <v>8501.7539999999972</v>
      </c>
      <c r="J275" s="18">
        <v>5270.1085000000039</v>
      </c>
      <c r="K275" s="358">
        <v>310.5441542582123</v>
      </c>
      <c r="L275" s="229"/>
      <c r="M275" s="173"/>
      <c r="N275" s="435"/>
      <c r="O275" s="384"/>
      <c r="Q275" s="377">
        <f t="shared" si="9"/>
        <v>65</v>
      </c>
      <c r="R275" s="350">
        <v>33.450000000000003</v>
      </c>
      <c r="S275" s="351" t="str">
        <f t="shared" si="10"/>
        <v>OK</v>
      </c>
    </row>
    <row r="276" spans="1:19">
      <c r="A276" s="497">
        <v>259</v>
      </c>
      <c r="B276" s="540" t="s">
        <v>98</v>
      </c>
      <c r="C276" s="541"/>
      <c r="D276" s="542"/>
      <c r="E276" s="211">
        <v>64</v>
      </c>
      <c r="F276" s="347">
        <v>33.770000000000003</v>
      </c>
      <c r="G276" s="18">
        <v>33.372</v>
      </c>
      <c r="H276" s="18" t="s">
        <v>9</v>
      </c>
      <c r="I276" s="18">
        <v>8535.1259999999966</v>
      </c>
      <c r="J276" s="18">
        <v>5236.7365000000045</v>
      </c>
      <c r="K276" s="216">
        <v>311.26069622307097</v>
      </c>
      <c r="L276" s="229"/>
      <c r="M276" s="173"/>
      <c r="N276" s="435"/>
      <c r="O276" s="384"/>
      <c r="Q276" s="377">
        <f t="shared" si="9"/>
        <v>64</v>
      </c>
      <c r="R276" s="350">
        <v>33.770000000000003</v>
      </c>
      <c r="S276" s="351" t="str">
        <f t="shared" si="10"/>
        <v>OK</v>
      </c>
    </row>
    <row r="277" spans="1:19">
      <c r="A277" s="497">
        <v>260</v>
      </c>
      <c r="B277" s="540" t="s">
        <v>98</v>
      </c>
      <c r="C277" s="541"/>
      <c r="D277" s="542"/>
      <c r="E277" s="211">
        <v>63</v>
      </c>
      <c r="F277" s="347">
        <v>33.770000000000003</v>
      </c>
      <c r="G277" s="18">
        <v>33.372</v>
      </c>
      <c r="H277" s="18" t="s">
        <v>9</v>
      </c>
      <c r="I277" s="18">
        <v>8568.497999999996</v>
      </c>
      <c r="J277" s="18">
        <v>5203.3645000000051</v>
      </c>
      <c r="K277" s="358">
        <v>311.97723818792963</v>
      </c>
      <c r="L277" s="229"/>
      <c r="M277" s="173"/>
      <c r="N277" s="435"/>
      <c r="O277" s="384"/>
      <c r="Q277" s="377">
        <f t="shared" si="9"/>
        <v>63</v>
      </c>
      <c r="R277" s="350">
        <v>33.770000000000003</v>
      </c>
      <c r="S277" s="351" t="str">
        <f t="shared" si="10"/>
        <v>OK</v>
      </c>
    </row>
    <row r="278" spans="1:19">
      <c r="A278" s="497">
        <v>261</v>
      </c>
      <c r="B278" s="540" t="s">
        <v>98</v>
      </c>
      <c r="C278" s="541"/>
      <c r="D278" s="542"/>
      <c r="E278" s="211">
        <v>62</v>
      </c>
      <c r="F278" s="347">
        <v>33.549999999999997</v>
      </c>
      <c r="G278" s="18">
        <v>33.151999999999994</v>
      </c>
      <c r="H278" s="18" t="s">
        <v>9</v>
      </c>
      <c r="I278" s="18">
        <v>8601.649999999996</v>
      </c>
      <c r="J278" s="18">
        <v>5170.2125000000051</v>
      </c>
      <c r="K278" s="358">
        <v>312.68905645530936</v>
      </c>
      <c r="L278" s="229"/>
      <c r="M278" s="173"/>
      <c r="N278" s="435"/>
      <c r="O278" s="384"/>
      <c r="Q278" s="377">
        <f t="shared" si="9"/>
        <v>62</v>
      </c>
      <c r="R278" s="350">
        <v>33.549999999999997</v>
      </c>
      <c r="S278" s="351" t="str">
        <f t="shared" si="10"/>
        <v>OK</v>
      </c>
    </row>
    <row r="279" spans="1:19">
      <c r="A279" s="497">
        <v>262</v>
      </c>
      <c r="B279" s="540" t="s">
        <v>98</v>
      </c>
      <c r="C279" s="541"/>
      <c r="D279" s="542"/>
      <c r="E279" s="211">
        <v>61</v>
      </c>
      <c r="F279" s="347">
        <v>33.18</v>
      </c>
      <c r="G279" s="18">
        <v>32.781999999999996</v>
      </c>
      <c r="H279" s="18" t="s">
        <v>9</v>
      </c>
      <c r="I279" s="18">
        <v>8634.4319999999952</v>
      </c>
      <c r="J279" s="18">
        <v>5137.4305000000058</v>
      </c>
      <c r="K279" s="358">
        <v>313.39293032238345</v>
      </c>
      <c r="L279" s="229"/>
      <c r="M279" s="173"/>
      <c r="N279" s="435"/>
      <c r="O279" s="384"/>
      <c r="Q279" s="377">
        <f t="shared" si="9"/>
        <v>61</v>
      </c>
      <c r="R279" s="350">
        <v>33.18</v>
      </c>
      <c r="S279" s="351" t="str">
        <f t="shared" si="10"/>
        <v>OK</v>
      </c>
    </row>
    <row r="280" spans="1:19">
      <c r="A280" s="497">
        <v>263</v>
      </c>
      <c r="B280" s="540" t="s">
        <v>98</v>
      </c>
      <c r="C280" s="541"/>
      <c r="D280" s="542"/>
      <c r="E280" s="211">
        <v>60</v>
      </c>
      <c r="F280" s="347">
        <v>33.69</v>
      </c>
      <c r="G280" s="18">
        <v>33.291999999999994</v>
      </c>
      <c r="H280" s="18" t="s">
        <v>9</v>
      </c>
      <c r="I280" s="18">
        <v>8667.7239999999947</v>
      </c>
      <c r="J280" s="18">
        <v>5104.1385000000064</v>
      </c>
      <c r="K280" s="216">
        <v>314.10775457906789</v>
      </c>
      <c r="L280" s="229"/>
      <c r="M280" s="173"/>
      <c r="N280" s="435"/>
      <c r="O280" s="384"/>
      <c r="Q280" s="377">
        <f t="shared" si="9"/>
        <v>60</v>
      </c>
      <c r="R280" s="350">
        <v>33.69</v>
      </c>
      <c r="S280" s="351" t="str">
        <f t="shared" si="10"/>
        <v>OK</v>
      </c>
    </row>
    <row r="281" spans="1:19">
      <c r="A281" s="497">
        <v>264</v>
      </c>
      <c r="B281" s="540" t="s">
        <v>98</v>
      </c>
      <c r="C281" s="541"/>
      <c r="D281" s="542"/>
      <c r="E281" s="211">
        <v>59</v>
      </c>
      <c r="F281" s="347">
        <v>33.43</v>
      </c>
      <c r="G281" s="18">
        <v>33.031999999999996</v>
      </c>
      <c r="H281" s="18" t="s">
        <v>9</v>
      </c>
      <c r="I281" s="18">
        <v>8700.7559999999939</v>
      </c>
      <c r="J281" s="18">
        <v>5071.1065000000071</v>
      </c>
      <c r="K281" s="358">
        <v>314.8169962841863</v>
      </c>
      <c r="L281" s="229"/>
      <c r="M281" s="173"/>
      <c r="N281" s="435"/>
      <c r="O281" s="384"/>
      <c r="Q281" s="377">
        <f t="shared" si="9"/>
        <v>59</v>
      </c>
      <c r="R281" s="350">
        <v>33.43</v>
      </c>
      <c r="S281" s="351" t="str">
        <f t="shared" si="10"/>
        <v>OK</v>
      </c>
    </row>
    <row r="282" spans="1:19">
      <c r="A282" s="497">
        <v>265</v>
      </c>
      <c r="B282" s="540" t="s">
        <v>98</v>
      </c>
      <c r="C282" s="541"/>
      <c r="D282" s="542"/>
      <c r="E282" s="211">
        <v>58</v>
      </c>
      <c r="F282" s="347">
        <v>33.72</v>
      </c>
      <c r="G282" s="18">
        <v>33.321999999999996</v>
      </c>
      <c r="H282" s="18" t="s">
        <v>9</v>
      </c>
      <c r="I282" s="18">
        <v>8734.0779999999941</v>
      </c>
      <c r="J282" s="18">
        <v>5037.784500000007</v>
      </c>
      <c r="K282" s="358">
        <v>315.53246468143607</v>
      </c>
      <c r="L282" s="229"/>
      <c r="M282" s="173"/>
      <c r="N282" s="435"/>
      <c r="O282" s="384"/>
      <c r="Q282" s="377">
        <f t="shared" si="9"/>
        <v>58</v>
      </c>
      <c r="R282" s="350">
        <v>33.72</v>
      </c>
      <c r="S282" s="351" t="str">
        <f t="shared" si="10"/>
        <v>OK</v>
      </c>
    </row>
    <row r="283" spans="1:19">
      <c r="A283" s="497">
        <v>266</v>
      </c>
      <c r="B283" s="540" t="s">
        <v>98</v>
      </c>
      <c r="C283" s="541"/>
      <c r="D283" s="542"/>
      <c r="E283" s="211">
        <v>57</v>
      </c>
      <c r="F283" s="347">
        <v>33.93</v>
      </c>
      <c r="G283" s="18">
        <v>33.531999999999996</v>
      </c>
      <c r="H283" s="18" t="s">
        <v>9</v>
      </c>
      <c r="I283" s="18">
        <v>8767.6099999999933</v>
      </c>
      <c r="J283" s="18">
        <v>5004.2525000000078</v>
      </c>
      <c r="K283" s="358">
        <v>316.25244206264313</v>
      </c>
      <c r="L283" s="229"/>
      <c r="M283" s="173"/>
      <c r="N283" s="435"/>
      <c r="O283" s="384"/>
      <c r="Q283" s="377">
        <f t="shared" ref="Q283:Q346" si="11">E283</f>
        <v>57</v>
      </c>
      <c r="R283" s="350">
        <v>33.93</v>
      </c>
      <c r="S283" s="351" t="str">
        <f t="shared" ref="S283:S346" si="12">IF(F283-R283=0,"OK","FALSE")</f>
        <v>OK</v>
      </c>
    </row>
    <row r="284" spans="1:19">
      <c r="A284" s="497">
        <v>267</v>
      </c>
      <c r="B284" s="540" t="s">
        <v>98</v>
      </c>
      <c r="C284" s="541"/>
      <c r="D284" s="542"/>
      <c r="E284" s="211">
        <v>56</v>
      </c>
      <c r="F284" s="347">
        <v>33.35</v>
      </c>
      <c r="G284" s="18">
        <v>32.951999999999998</v>
      </c>
      <c r="H284" s="18" t="s">
        <v>9</v>
      </c>
      <c r="I284" s="18">
        <v>8800.5619999999926</v>
      </c>
      <c r="J284" s="18">
        <v>4971.3005000000085</v>
      </c>
      <c r="K284" s="358">
        <v>316.95996605958737</v>
      </c>
      <c r="L284" s="229"/>
      <c r="M284" s="173"/>
      <c r="N284" s="435"/>
      <c r="O284" s="384"/>
      <c r="Q284" s="377">
        <f t="shared" si="11"/>
        <v>56</v>
      </c>
      <c r="R284" s="350">
        <v>33.35</v>
      </c>
      <c r="S284" s="351" t="str">
        <f t="shared" si="12"/>
        <v>OK</v>
      </c>
    </row>
    <row r="285" spans="1:19">
      <c r="A285" s="497">
        <v>268</v>
      </c>
      <c r="B285" s="540" t="s">
        <v>98</v>
      </c>
      <c r="C285" s="541"/>
      <c r="D285" s="542"/>
      <c r="E285" s="211">
        <v>55</v>
      </c>
      <c r="F285" s="347">
        <v>33.93</v>
      </c>
      <c r="G285" s="18">
        <v>33.531999999999996</v>
      </c>
      <c r="H285" s="18" t="s">
        <v>9</v>
      </c>
      <c r="I285" s="18">
        <v>8834.0939999999919</v>
      </c>
      <c r="J285" s="18">
        <v>4937.7685000000092</v>
      </c>
      <c r="K285" s="216">
        <v>317.67994344079432</v>
      </c>
      <c r="L285" s="229"/>
      <c r="M285" s="173"/>
      <c r="N285" s="435"/>
      <c r="O285" s="384"/>
      <c r="Q285" s="377">
        <f t="shared" si="11"/>
        <v>55</v>
      </c>
      <c r="R285" s="350">
        <v>33.93</v>
      </c>
      <c r="S285" s="351" t="str">
        <f t="shared" si="12"/>
        <v>OK</v>
      </c>
    </row>
    <row r="286" spans="1:19">
      <c r="A286" s="497">
        <v>269</v>
      </c>
      <c r="B286" s="540" t="s">
        <v>98</v>
      </c>
      <c r="C286" s="541"/>
      <c r="D286" s="542"/>
      <c r="E286" s="211">
        <v>54</v>
      </c>
      <c r="F286" s="347">
        <v>33.93</v>
      </c>
      <c r="G286" s="18">
        <v>33.531999999999996</v>
      </c>
      <c r="H286" s="18" t="s">
        <v>9</v>
      </c>
      <c r="I286" s="18">
        <v>8867.6259999999911</v>
      </c>
      <c r="J286" s="18">
        <v>4904.23650000001</v>
      </c>
      <c r="K286" s="358">
        <v>318.39992082200138</v>
      </c>
      <c r="L286" s="229"/>
      <c r="M286" s="173"/>
      <c r="N286" s="435"/>
      <c r="O286" s="384"/>
      <c r="Q286" s="377">
        <f t="shared" si="11"/>
        <v>54</v>
      </c>
      <c r="R286" s="350">
        <v>33.93</v>
      </c>
      <c r="S286" s="351" t="str">
        <f t="shared" si="12"/>
        <v>OK</v>
      </c>
    </row>
    <row r="287" spans="1:19">
      <c r="A287" s="497">
        <v>270</v>
      </c>
      <c r="B287" s="540" t="s">
        <v>98</v>
      </c>
      <c r="C287" s="541"/>
      <c r="D287" s="542"/>
      <c r="E287" s="211">
        <v>53</v>
      </c>
      <c r="F287" s="347">
        <v>33.78</v>
      </c>
      <c r="G287" s="18">
        <v>33.381999999999998</v>
      </c>
      <c r="H287" s="18" t="s">
        <v>9</v>
      </c>
      <c r="I287" s="18">
        <v>8901.0079999999907</v>
      </c>
      <c r="J287" s="18">
        <v>4870.8545000000104</v>
      </c>
      <c r="K287" s="358">
        <v>319.1166775003818</v>
      </c>
      <c r="L287" s="229"/>
      <c r="M287" s="173"/>
      <c r="N287" s="435"/>
      <c r="O287" s="384"/>
      <c r="Q287" s="377">
        <f t="shared" si="11"/>
        <v>53</v>
      </c>
      <c r="R287" s="350">
        <v>33.78</v>
      </c>
      <c r="S287" s="351" t="str">
        <f t="shared" si="12"/>
        <v>OK</v>
      </c>
    </row>
    <row r="288" spans="1:19">
      <c r="A288" s="497">
        <v>271</v>
      </c>
      <c r="B288" s="540" t="s">
        <v>98</v>
      </c>
      <c r="C288" s="541"/>
      <c r="D288" s="542"/>
      <c r="E288" s="211">
        <v>52</v>
      </c>
      <c r="F288" s="347">
        <v>33.67</v>
      </c>
      <c r="G288" s="18">
        <v>33.271999999999998</v>
      </c>
      <c r="H288" s="18" t="s">
        <v>9</v>
      </c>
      <c r="I288" s="18">
        <v>8934.2799999999916</v>
      </c>
      <c r="J288" s="18">
        <v>4837.5825000000095</v>
      </c>
      <c r="K288" s="358">
        <v>319.83107233002272</v>
      </c>
      <c r="L288" s="229"/>
      <c r="M288" s="173"/>
      <c r="N288" s="435"/>
      <c r="O288" s="384"/>
      <c r="Q288" s="377">
        <f t="shared" si="11"/>
        <v>52</v>
      </c>
      <c r="R288" s="350">
        <v>33.67</v>
      </c>
      <c r="S288" s="351" t="str">
        <f t="shared" si="12"/>
        <v>OK</v>
      </c>
    </row>
    <row r="289" spans="1:19">
      <c r="A289" s="497">
        <v>272</v>
      </c>
      <c r="B289" s="540" t="s">
        <v>98</v>
      </c>
      <c r="C289" s="541"/>
      <c r="D289" s="542"/>
      <c r="E289" s="211">
        <v>51</v>
      </c>
      <c r="F289" s="347">
        <v>33.93</v>
      </c>
      <c r="G289" s="18">
        <v>33.531999999999996</v>
      </c>
      <c r="H289" s="18" t="s">
        <v>9</v>
      </c>
      <c r="I289" s="18">
        <v>8967.8119999999908</v>
      </c>
      <c r="J289" s="18">
        <v>4804.0505000000103</v>
      </c>
      <c r="K289" s="358">
        <v>320.55104971122978</v>
      </c>
      <c r="L289" s="229"/>
      <c r="M289" s="173"/>
      <c r="N289" s="435"/>
      <c r="O289" s="384"/>
      <c r="Q289" s="377">
        <f t="shared" si="11"/>
        <v>51</v>
      </c>
      <c r="R289" s="350">
        <v>33.93</v>
      </c>
      <c r="S289" s="351" t="str">
        <f t="shared" si="12"/>
        <v>OK</v>
      </c>
    </row>
    <row r="290" spans="1:19">
      <c r="A290" s="497">
        <v>273</v>
      </c>
      <c r="B290" s="540" t="s">
        <v>98</v>
      </c>
      <c r="C290" s="541"/>
      <c r="D290" s="542"/>
      <c r="E290" s="211">
        <v>50</v>
      </c>
      <c r="F290" s="347">
        <v>33.76</v>
      </c>
      <c r="G290" s="18">
        <v>33.361999999999995</v>
      </c>
      <c r="H290" s="18" t="s">
        <v>9</v>
      </c>
      <c r="I290" s="18">
        <v>9001.17399999999</v>
      </c>
      <c r="J290" s="18">
        <v>4770.6885000000111</v>
      </c>
      <c r="K290" s="216">
        <v>321.26737696256663</v>
      </c>
      <c r="L290" s="229"/>
      <c r="M290" s="173"/>
      <c r="N290" s="435"/>
      <c r="O290" s="384"/>
      <c r="Q290" s="377">
        <f t="shared" si="11"/>
        <v>50</v>
      </c>
      <c r="R290" s="350">
        <v>33.76</v>
      </c>
      <c r="S290" s="351" t="str">
        <f t="shared" si="12"/>
        <v>OK</v>
      </c>
    </row>
    <row r="291" spans="1:19">
      <c r="A291" s="497">
        <v>274</v>
      </c>
      <c r="B291" s="540" t="s">
        <v>98</v>
      </c>
      <c r="C291" s="541"/>
      <c r="D291" s="542"/>
      <c r="E291" s="211">
        <v>49</v>
      </c>
      <c r="F291" s="347">
        <v>33.369999999999997</v>
      </c>
      <c r="G291" s="18">
        <v>32.971999999999994</v>
      </c>
      <c r="H291" s="18" t="s">
        <v>9</v>
      </c>
      <c r="I291" s="18">
        <v>9034.1459999999897</v>
      </c>
      <c r="J291" s="18">
        <v>4737.7165000000114</v>
      </c>
      <c r="K291" s="358">
        <v>321.97533038655445</v>
      </c>
      <c r="L291" s="229"/>
      <c r="M291" s="173"/>
      <c r="N291" s="435"/>
      <c r="O291" s="384"/>
      <c r="Q291" s="377">
        <f t="shared" si="11"/>
        <v>49</v>
      </c>
      <c r="R291" s="350">
        <v>33.369999999999997</v>
      </c>
      <c r="S291" s="351" t="str">
        <f t="shared" si="12"/>
        <v>OK</v>
      </c>
    </row>
    <row r="292" spans="1:19">
      <c r="A292" s="497">
        <v>275</v>
      </c>
      <c r="B292" s="540" t="s">
        <v>98</v>
      </c>
      <c r="C292" s="541"/>
      <c r="D292" s="542"/>
      <c r="E292" s="211">
        <v>48</v>
      </c>
      <c r="F292" s="347">
        <v>33.549999999999997</v>
      </c>
      <c r="G292" s="18">
        <v>33.151999999999994</v>
      </c>
      <c r="H292" s="18" t="s">
        <v>9</v>
      </c>
      <c r="I292" s="18">
        <v>9067.2979999999898</v>
      </c>
      <c r="J292" s="18">
        <v>4704.5645000000113</v>
      </c>
      <c r="K292" s="358">
        <v>322.68714865393406</v>
      </c>
      <c r="L292" s="229"/>
      <c r="M292" s="173"/>
      <c r="N292" s="435"/>
      <c r="O292" s="384"/>
      <c r="Q292" s="377">
        <f t="shared" si="11"/>
        <v>48</v>
      </c>
      <c r="R292" s="350">
        <v>33.549999999999997</v>
      </c>
      <c r="S292" s="351" t="str">
        <f t="shared" si="12"/>
        <v>OK</v>
      </c>
    </row>
    <row r="293" spans="1:19">
      <c r="A293" s="497">
        <v>276</v>
      </c>
      <c r="B293" s="540" t="s">
        <v>98</v>
      </c>
      <c r="C293" s="541"/>
      <c r="D293" s="542"/>
      <c r="E293" s="211">
        <v>47</v>
      </c>
      <c r="F293" s="347">
        <v>33.39</v>
      </c>
      <c r="G293" s="18">
        <v>32.991999999999997</v>
      </c>
      <c r="H293" s="18" t="s">
        <v>9</v>
      </c>
      <c r="I293" s="18">
        <v>9100.28999999999</v>
      </c>
      <c r="J293" s="18">
        <v>4671.5725000000111</v>
      </c>
      <c r="K293" s="358">
        <v>323.39553150496545</v>
      </c>
      <c r="L293" s="229"/>
      <c r="M293" s="173"/>
      <c r="N293" s="435"/>
      <c r="O293" s="384"/>
      <c r="Q293" s="377">
        <f t="shared" si="11"/>
        <v>47</v>
      </c>
      <c r="R293" s="350">
        <v>33.39</v>
      </c>
      <c r="S293" s="351" t="str">
        <f t="shared" si="12"/>
        <v>OK</v>
      </c>
    </row>
    <row r="294" spans="1:19">
      <c r="A294" s="497">
        <v>277</v>
      </c>
      <c r="B294" s="540" t="s">
        <v>98</v>
      </c>
      <c r="C294" s="541"/>
      <c r="D294" s="542"/>
      <c r="E294" s="211">
        <v>46</v>
      </c>
      <c r="F294" s="347">
        <v>32.950000000000003</v>
      </c>
      <c r="G294" s="18">
        <v>32.552</v>
      </c>
      <c r="H294" s="18" t="s">
        <v>9</v>
      </c>
      <c r="I294" s="18">
        <v>9132.8419999999896</v>
      </c>
      <c r="J294" s="18">
        <v>4639.0205000000115</v>
      </c>
      <c r="K294" s="358">
        <v>324.09446696103873</v>
      </c>
      <c r="L294" s="229"/>
      <c r="M294" s="173"/>
      <c r="N294" s="435"/>
      <c r="O294" s="384"/>
      <c r="Q294" s="377">
        <f t="shared" si="11"/>
        <v>46</v>
      </c>
      <c r="R294" s="350">
        <v>32.950000000000003</v>
      </c>
      <c r="S294" s="351" t="str">
        <f t="shared" si="12"/>
        <v>OK</v>
      </c>
    </row>
    <row r="295" spans="1:19">
      <c r="A295" s="497">
        <v>278</v>
      </c>
      <c r="B295" s="540" t="s">
        <v>98</v>
      </c>
      <c r="C295" s="541"/>
      <c r="D295" s="542"/>
      <c r="E295" s="211">
        <v>45</v>
      </c>
      <c r="F295" s="347">
        <v>33.24</v>
      </c>
      <c r="G295" s="18">
        <v>32.841999999999999</v>
      </c>
      <c r="H295" s="18" t="s">
        <v>9</v>
      </c>
      <c r="I295" s="18">
        <v>9165.6839999999902</v>
      </c>
      <c r="J295" s="18">
        <v>4606.1785000000109</v>
      </c>
      <c r="K295" s="216">
        <v>324.79962910924348</v>
      </c>
      <c r="L295" s="229"/>
      <c r="M295" s="173"/>
      <c r="N295" s="435"/>
      <c r="O295" s="384"/>
      <c r="Q295" s="377">
        <f t="shared" si="11"/>
        <v>45</v>
      </c>
      <c r="R295" s="350">
        <v>33.24</v>
      </c>
      <c r="S295" s="351" t="str">
        <f t="shared" si="12"/>
        <v>OK</v>
      </c>
    </row>
    <row r="296" spans="1:19">
      <c r="A296" s="497">
        <v>279</v>
      </c>
      <c r="B296" s="540" t="s">
        <v>98</v>
      </c>
      <c r="C296" s="541"/>
      <c r="D296" s="542"/>
      <c r="E296" s="211">
        <v>44</v>
      </c>
      <c r="F296" s="347">
        <v>32.86</v>
      </c>
      <c r="G296" s="18">
        <v>32.461999999999996</v>
      </c>
      <c r="H296" s="18" t="s">
        <v>9</v>
      </c>
      <c r="I296" s="18">
        <v>9198.1459999999897</v>
      </c>
      <c r="J296" s="18">
        <v>4573.7165000000114</v>
      </c>
      <c r="K296" s="358">
        <v>325.4966321436209</v>
      </c>
      <c r="L296" s="229"/>
      <c r="M296" s="173"/>
      <c r="N296" s="435"/>
      <c r="O296" s="384"/>
      <c r="Q296" s="377">
        <f t="shared" si="11"/>
        <v>44</v>
      </c>
      <c r="R296" s="350">
        <v>32.86</v>
      </c>
      <c r="S296" s="351" t="str">
        <f t="shared" si="12"/>
        <v>OK</v>
      </c>
    </row>
    <row r="297" spans="1:19">
      <c r="A297" s="497">
        <v>280</v>
      </c>
      <c r="B297" s="540" t="s">
        <v>98</v>
      </c>
      <c r="C297" s="541"/>
      <c r="D297" s="542"/>
      <c r="E297" s="211">
        <v>43</v>
      </c>
      <c r="F297" s="347">
        <v>33.26</v>
      </c>
      <c r="G297" s="18">
        <v>32.861999999999995</v>
      </c>
      <c r="H297" s="18" t="s">
        <v>9</v>
      </c>
      <c r="I297" s="18">
        <v>9231.0079999999889</v>
      </c>
      <c r="J297" s="18">
        <v>4540.8545000000122</v>
      </c>
      <c r="K297" s="358">
        <v>326.20222371886916</v>
      </c>
      <c r="L297" s="229"/>
      <c r="M297" s="173"/>
      <c r="N297" s="435"/>
      <c r="O297" s="384"/>
      <c r="Q297" s="377">
        <f t="shared" si="11"/>
        <v>43</v>
      </c>
      <c r="R297" s="350">
        <v>33.26</v>
      </c>
      <c r="S297" s="351" t="str">
        <f t="shared" si="12"/>
        <v>OK</v>
      </c>
    </row>
    <row r="298" spans="1:19">
      <c r="A298" s="497">
        <v>281</v>
      </c>
      <c r="B298" s="540" t="s">
        <v>98</v>
      </c>
      <c r="C298" s="541"/>
      <c r="D298" s="542"/>
      <c r="E298" s="211">
        <v>42</v>
      </c>
      <c r="F298" s="347">
        <v>33.76</v>
      </c>
      <c r="G298" s="18">
        <v>33.361999999999995</v>
      </c>
      <c r="H298" s="18" t="s">
        <v>9</v>
      </c>
      <c r="I298" s="18">
        <v>9264.3699999999881</v>
      </c>
      <c r="J298" s="18">
        <v>4507.492500000013</v>
      </c>
      <c r="K298" s="358">
        <v>326.91855097020607</v>
      </c>
      <c r="L298" s="229"/>
      <c r="M298" s="173"/>
      <c r="N298" s="435"/>
      <c r="O298" s="384"/>
      <c r="Q298" s="377">
        <f t="shared" si="11"/>
        <v>42</v>
      </c>
      <c r="R298" s="350">
        <v>33.76</v>
      </c>
      <c r="S298" s="351" t="str">
        <f t="shared" si="12"/>
        <v>OK</v>
      </c>
    </row>
    <row r="299" spans="1:19">
      <c r="A299" s="497">
        <v>282</v>
      </c>
      <c r="B299" s="540" t="s">
        <v>98</v>
      </c>
      <c r="C299" s="541"/>
      <c r="D299" s="542"/>
      <c r="E299" s="211">
        <v>41</v>
      </c>
      <c r="F299" s="347">
        <v>33.119999999999997</v>
      </c>
      <c r="G299" s="18">
        <v>32.721999999999994</v>
      </c>
      <c r="H299" s="18" t="s">
        <v>9</v>
      </c>
      <c r="I299" s="18">
        <v>9297.0919999999878</v>
      </c>
      <c r="J299" s="18">
        <v>4474.7705000000133</v>
      </c>
      <c r="K299" s="358">
        <v>327.62113655614945</v>
      </c>
      <c r="L299" s="229"/>
      <c r="M299" s="173"/>
      <c r="N299" s="435"/>
      <c r="O299" s="384"/>
      <c r="Q299" s="377">
        <f t="shared" si="11"/>
        <v>41</v>
      </c>
      <c r="R299" s="350">
        <v>33.119999999999997</v>
      </c>
      <c r="S299" s="351" t="str">
        <f t="shared" si="12"/>
        <v>OK</v>
      </c>
    </row>
    <row r="300" spans="1:19">
      <c r="A300" s="497">
        <v>283</v>
      </c>
      <c r="B300" s="540" t="s">
        <v>98</v>
      </c>
      <c r="C300" s="541"/>
      <c r="D300" s="542"/>
      <c r="E300" s="211">
        <v>40</v>
      </c>
      <c r="F300" s="347">
        <v>33.54</v>
      </c>
      <c r="G300" s="18">
        <v>33.141999999999996</v>
      </c>
      <c r="H300" s="18" t="s">
        <v>9</v>
      </c>
      <c r="I300" s="18">
        <v>9330.2339999999876</v>
      </c>
      <c r="J300" s="18">
        <v>4441.6285000000134</v>
      </c>
      <c r="K300" s="216">
        <v>328.33274011000736</v>
      </c>
      <c r="L300" s="229"/>
      <c r="M300" s="173"/>
      <c r="N300" s="435"/>
      <c r="O300" s="384"/>
      <c r="Q300" s="377">
        <f t="shared" si="11"/>
        <v>40</v>
      </c>
      <c r="R300" s="350">
        <v>33.54</v>
      </c>
      <c r="S300" s="351" t="str">
        <f t="shared" si="12"/>
        <v>OK</v>
      </c>
    </row>
    <row r="301" spans="1:19">
      <c r="A301" s="497">
        <v>284</v>
      </c>
      <c r="B301" s="540" t="s">
        <v>98</v>
      </c>
      <c r="C301" s="541"/>
      <c r="D301" s="542"/>
      <c r="E301" s="211">
        <v>39</v>
      </c>
      <c r="F301" s="347">
        <v>33.46</v>
      </c>
      <c r="G301" s="18">
        <v>33.061999999999998</v>
      </c>
      <c r="H301" s="18" t="s">
        <v>9</v>
      </c>
      <c r="I301" s="18">
        <v>9363.2959999999875</v>
      </c>
      <c r="J301" s="18">
        <v>4408.5665000000135</v>
      </c>
      <c r="K301" s="358">
        <v>329.04262595569111</v>
      </c>
      <c r="L301" s="229"/>
      <c r="M301" s="173"/>
      <c r="N301" s="435"/>
      <c r="O301" s="384"/>
      <c r="Q301" s="377">
        <f t="shared" si="11"/>
        <v>39</v>
      </c>
      <c r="R301" s="350">
        <v>33.46</v>
      </c>
      <c r="S301" s="351" t="str">
        <f t="shared" si="12"/>
        <v>OK</v>
      </c>
    </row>
    <row r="302" spans="1:19">
      <c r="A302" s="497">
        <v>285</v>
      </c>
      <c r="B302" s="540" t="s">
        <v>98</v>
      </c>
      <c r="C302" s="541"/>
      <c r="D302" s="542"/>
      <c r="E302" s="211">
        <v>38</v>
      </c>
      <c r="F302" s="347">
        <v>33.369999999999997</v>
      </c>
      <c r="G302" s="18">
        <v>32.971999999999994</v>
      </c>
      <c r="H302" s="18" t="s">
        <v>9</v>
      </c>
      <c r="I302" s="18">
        <v>9396.2679999999873</v>
      </c>
      <c r="J302" s="18">
        <v>4375.5945000000138</v>
      </c>
      <c r="K302" s="358">
        <v>329.75057937967887</v>
      </c>
      <c r="L302" s="229"/>
      <c r="M302" s="173"/>
      <c r="N302" s="435"/>
      <c r="O302" s="384"/>
      <c r="Q302" s="377">
        <f t="shared" si="11"/>
        <v>38</v>
      </c>
      <c r="R302" s="350">
        <v>33.369999999999997</v>
      </c>
      <c r="S302" s="351" t="str">
        <f t="shared" si="12"/>
        <v>OK</v>
      </c>
    </row>
    <row r="303" spans="1:19">
      <c r="A303" s="497">
        <v>286</v>
      </c>
      <c r="B303" s="540" t="s">
        <v>98</v>
      </c>
      <c r="C303" s="541"/>
      <c r="D303" s="542"/>
      <c r="E303" s="211">
        <v>37</v>
      </c>
      <c r="F303" s="347">
        <v>33.380000000000003</v>
      </c>
      <c r="G303" s="18">
        <v>32.981999999999999</v>
      </c>
      <c r="H303" s="18" t="s">
        <v>9</v>
      </c>
      <c r="I303" s="18">
        <v>9429.2499999999873</v>
      </c>
      <c r="J303" s="18">
        <v>4342.6125000000138</v>
      </c>
      <c r="K303" s="358">
        <v>330.45874751718844</v>
      </c>
      <c r="L303" s="229"/>
      <c r="M303" s="173"/>
      <c r="N303" s="435"/>
      <c r="O303" s="384"/>
      <c r="Q303" s="377">
        <f t="shared" si="11"/>
        <v>37</v>
      </c>
      <c r="R303" s="350">
        <v>33.380000000000003</v>
      </c>
      <c r="S303" s="351" t="str">
        <f t="shared" si="12"/>
        <v>OK</v>
      </c>
    </row>
    <row r="304" spans="1:19">
      <c r="A304" s="497">
        <v>287</v>
      </c>
      <c r="B304" s="540" t="s">
        <v>98</v>
      </c>
      <c r="C304" s="541"/>
      <c r="D304" s="542"/>
      <c r="E304" s="211">
        <v>36</v>
      </c>
      <c r="F304" s="347">
        <v>31.7</v>
      </c>
      <c r="G304" s="18">
        <v>31.302</v>
      </c>
      <c r="H304" s="18" t="s">
        <v>9</v>
      </c>
      <c r="I304" s="18">
        <v>9460.5519999999869</v>
      </c>
      <c r="J304" s="18">
        <v>4311.3105000000141</v>
      </c>
      <c r="K304" s="358">
        <v>331.13084378304018</v>
      </c>
      <c r="L304" s="229"/>
      <c r="M304" s="173"/>
      <c r="N304" s="435"/>
      <c r="O304" s="384"/>
      <c r="Q304" s="377">
        <f t="shared" si="11"/>
        <v>36</v>
      </c>
      <c r="R304" s="350">
        <v>31.7</v>
      </c>
      <c r="S304" s="351" t="str">
        <f t="shared" si="12"/>
        <v>OK</v>
      </c>
    </row>
    <row r="305" spans="1:19">
      <c r="A305" s="497">
        <v>288</v>
      </c>
      <c r="B305" s="540" t="s">
        <v>98</v>
      </c>
      <c r="C305" s="541"/>
      <c r="D305" s="542"/>
      <c r="E305" s="211">
        <v>35</v>
      </c>
      <c r="F305" s="347">
        <v>32.21</v>
      </c>
      <c r="G305" s="18">
        <v>31.812000000000001</v>
      </c>
      <c r="H305" s="18" t="s">
        <v>9</v>
      </c>
      <c r="I305" s="18">
        <v>9492.3639999999868</v>
      </c>
      <c r="J305" s="18">
        <v>4279.4985000000142</v>
      </c>
      <c r="K305" s="216">
        <v>331.81389043850243</v>
      </c>
      <c r="L305" s="229"/>
      <c r="M305" s="173"/>
      <c r="N305" s="435"/>
      <c r="O305" s="384"/>
      <c r="Q305" s="377">
        <f t="shared" si="11"/>
        <v>35</v>
      </c>
      <c r="R305" s="350">
        <v>32.21</v>
      </c>
      <c r="S305" s="351" t="str">
        <f t="shared" si="12"/>
        <v>OK</v>
      </c>
    </row>
    <row r="306" spans="1:19">
      <c r="A306" s="497">
        <v>289</v>
      </c>
      <c r="B306" s="540" t="s">
        <v>98</v>
      </c>
      <c r="C306" s="541"/>
      <c r="D306" s="542"/>
      <c r="E306" s="211">
        <v>34</v>
      </c>
      <c r="F306" s="347">
        <v>32.94</v>
      </c>
      <c r="G306" s="18">
        <v>32.541999999999994</v>
      </c>
      <c r="H306" s="18" t="s">
        <v>9</v>
      </c>
      <c r="I306" s="18">
        <v>9524.9059999999863</v>
      </c>
      <c r="J306" s="18">
        <v>4246.9565000000148</v>
      </c>
      <c r="K306" s="358">
        <v>332.51261118105396</v>
      </c>
      <c r="L306" s="229"/>
      <c r="M306" s="173"/>
      <c r="N306" s="435"/>
      <c r="O306" s="384"/>
      <c r="Q306" s="377">
        <f t="shared" si="11"/>
        <v>34</v>
      </c>
      <c r="R306" s="350">
        <v>32.94</v>
      </c>
      <c r="S306" s="351" t="str">
        <f t="shared" si="12"/>
        <v>OK</v>
      </c>
    </row>
    <row r="307" spans="1:19">
      <c r="A307" s="497">
        <v>290</v>
      </c>
      <c r="B307" s="540" t="s">
        <v>98</v>
      </c>
      <c r="C307" s="541"/>
      <c r="D307" s="542"/>
      <c r="E307" s="211">
        <v>33</v>
      </c>
      <c r="F307" s="347">
        <v>33.35</v>
      </c>
      <c r="G307" s="18">
        <v>32.951999999999998</v>
      </c>
      <c r="H307" s="18" t="s">
        <v>9</v>
      </c>
      <c r="I307" s="18">
        <v>9557.8579999999856</v>
      </c>
      <c r="J307" s="18">
        <v>4214.0045000000155</v>
      </c>
      <c r="K307" s="358">
        <v>333.22013517799815</v>
      </c>
      <c r="L307" s="229"/>
      <c r="M307" s="173"/>
      <c r="N307" s="435"/>
      <c r="O307" s="384"/>
      <c r="Q307" s="377">
        <f t="shared" si="11"/>
        <v>33</v>
      </c>
      <c r="R307" s="350">
        <v>33.35</v>
      </c>
      <c r="S307" s="351" t="str">
        <f t="shared" si="12"/>
        <v>OK</v>
      </c>
    </row>
    <row r="308" spans="1:19">
      <c r="A308" s="497">
        <v>291</v>
      </c>
      <c r="B308" s="540" t="s">
        <v>98</v>
      </c>
      <c r="C308" s="541"/>
      <c r="D308" s="542"/>
      <c r="E308" s="211">
        <v>32</v>
      </c>
      <c r="F308" s="347">
        <v>32.619999999999997</v>
      </c>
      <c r="G308" s="18">
        <v>32.221999999999994</v>
      </c>
      <c r="H308" s="18" t="s">
        <v>9</v>
      </c>
      <c r="I308" s="18">
        <v>9590.0799999999854</v>
      </c>
      <c r="J308" s="18">
        <v>4181.7825000000157</v>
      </c>
      <c r="K308" s="358">
        <v>333.91198508785305</v>
      </c>
      <c r="L308" s="229"/>
      <c r="M308" s="173"/>
      <c r="N308" s="435"/>
      <c r="O308" s="384"/>
      <c r="Q308" s="377">
        <f t="shared" si="11"/>
        <v>32</v>
      </c>
      <c r="R308" s="350">
        <v>32.619999999999997</v>
      </c>
      <c r="S308" s="351" t="str">
        <f t="shared" si="12"/>
        <v>OK</v>
      </c>
    </row>
    <row r="309" spans="1:19">
      <c r="A309" s="497">
        <v>292</v>
      </c>
      <c r="B309" s="540" t="s">
        <v>98</v>
      </c>
      <c r="C309" s="541"/>
      <c r="D309" s="542"/>
      <c r="E309" s="211">
        <v>31</v>
      </c>
      <c r="F309" s="347">
        <v>33.31</v>
      </c>
      <c r="G309" s="18">
        <v>32.911999999999999</v>
      </c>
      <c r="H309" s="18" t="s">
        <v>9</v>
      </c>
      <c r="I309" s="18">
        <v>9622.9919999999856</v>
      </c>
      <c r="J309" s="18">
        <v>4148.8705000000155</v>
      </c>
      <c r="K309" s="358">
        <v>334.61865023071016</v>
      </c>
      <c r="L309" s="229"/>
      <c r="M309" s="173"/>
      <c r="N309" s="435"/>
      <c r="O309" s="384"/>
      <c r="Q309" s="377">
        <f t="shared" si="11"/>
        <v>31</v>
      </c>
      <c r="R309" s="350">
        <v>33.31</v>
      </c>
      <c r="S309" s="351" t="str">
        <f t="shared" si="12"/>
        <v>OK</v>
      </c>
    </row>
    <row r="310" spans="1:19">
      <c r="A310" s="497">
        <v>293</v>
      </c>
      <c r="B310" s="540" t="s">
        <v>98</v>
      </c>
      <c r="C310" s="541"/>
      <c r="D310" s="542"/>
      <c r="E310" s="211">
        <v>30</v>
      </c>
      <c r="F310" s="347">
        <v>33.229999999999997</v>
      </c>
      <c r="G310" s="18">
        <v>32.831999999999994</v>
      </c>
      <c r="H310" s="18" t="s">
        <v>9</v>
      </c>
      <c r="I310" s="18">
        <v>9655.823999999986</v>
      </c>
      <c r="J310" s="18">
        <v>4116.0385000000151</v>
      </c>
      <c r="K310" s="216">
        <v>335.32359766539315</v>
      </c>
      <c r="L310" s="229"/>
      <c r="M310" s="173"/>
      <c r="N310" s="435"/>
      <c r="O310" s="384"/>
      <c r="Q310" s="377">
        <f t="shared" si="11"/>
        <v>30</v>
      </c>
      <c r="R310" s="350">
        <v>33.229999999999997</v>
      </c>
      <c r="S310" s="351" t="str">
        <f t="shared" si="12"/>
        <v>OK</v>
      </c>
    </row>
    <row r="311" spans="1:19">
      <c r="A311" s="497">
        <v>294</v>
      </c>
      <c r="B311" s="540" t="s">
        <v>98</v>
      </c>
      <c r="C311" s="541"/>
      <c r="D311" s="542"/>
      <c r="E311" s="211">
        <v>29</v>
      </c>
      <c r="F311" s="347">
        <v>33.25</v>
      </c>
      <c r="G311" s="18">
        <v>32.851999999999997</v>
      </c>
      <c r="H311" s="18" t="s">
        <v>9</v>
      </c>
      <c r="I311" s="18">
        <v>9688.6759999999867</v>
      </c>
      <c r="J311" s="18">
        <v>4083.1865000000143</v>
      </c>
      <c r="K311" s="358">
        <v>336.02897452711966</v>
      </c>
      <c r="L311" s="229"/>
      <c r="M311" s="173"/>
      <c r="N311" s="435"/>
      <c r="O311" s="384"/>
      <c r="Q311" s="377">
        <f t="shared" si="11"/>
        <v>29</v>
      </c>
      <c r="R311" s="350">
        <v>33.25</v>
      </c>
      <c r="S311" s="351" t="str">
        <f t="shared" si="12"/>
        <v>OK</v>
      </c>
    </row>
    <row r="312" spans="1:19">
      <c r="A312" s="497">
        <v>295</v>
      </c>
      <c r="B312" s="540" t="s">
        <v>98</v>
      </c>
      <c r="C312" s="541"/>
      <c r="D312" s="542"/>
      <c r="E312" s="211">
        <v>28</v>
      </c>
      <c r="F312" s="347">
        <v>33.46</v>
      </c>
      <c r="G312" s="18">
        <v>33.061999999999998</v>
      </c>
      <c r="H312" s="18" t="s">
        <v>9</v>
      </c>
      <c r="I312" s="18">
        <v>9721.7379999999866</v>
      </c>
      <c r="J312" s="18">
        <v>4050.1245000000145</v>
      </c>
      <c r="K312" s="358">
        <v>336.7388603728034</v>
      </c>
      <c r="L312" s="229"/>
      <c r="M312" s="173"/>
      <c r="N312" s="435"/>
      <c r="O312" s="384"/>
      <c r="Q312" s="377">
        <f t="shared" si="11"/>
        <v>28</v>
      </c>
      <c r="R312" s="350">
        <v>33.46</v>
      </c>
      <c r="S312" s="351" t="str">
        <f t="shared" si="12"/>
        <v>OK</v>
      </c>
    </row>
    <row r="313" spans="1:19">
      <c r="A313" s="497">
        <v>296</v>
      </c>
      <c r="B313" s="540" t="s">
        <v>98</v>
      </c>
      <c r="C313" s="541"/>
      <c r="D313" s="542"/>
      <c r="E313" s="211">
        <v>27</v>
      </c>
      <c r="F313" s="347">
        <v>33.590000000000003</v>
      </c>
      <c r="G313" s="18">
        <v>33.192</v>
      </c>
      <c r="H313" s="18" t="s">
        <v>9</v>
      </c>
      <c r="I313" s="18">
        <v>9754.9299999999857</v>
      </c>
      <c r="J313" s="18">
        <v>4016.9325000000154</v>
      </c>
      <c r="K313" s="358">
        <v>337.45153749427016</v>
      </c>
      <c r="L313" s="229"/>
      <c r="M313" s="173"/>
      <c r="N313" s="435"/>
      <c r="O313" s="384"/>
      <c r="Q313" s="377">
        <f t="shared" si="11"/>
        <v>27</v>
      </c>
      <c r="R313" s="350">
        <v>33.590000000000003</v>
      </c>
      <c r="S313" s="351" t="str">
        <f t="shared" si="12"/>
        <v>OK</v>
      </c>
    </row>
    <row r="314" spans="1:19">
      <c r="A314" s="497">
        <v>297</v>
      </c>
      <c r="B314" s="540" t="s">
        <v>98</v>
      </c>
      <c r="C314" s="541"/>
      <c r="D314" s="542"/>
      <c r="E314" s="211">
        <v>26</v>
      </c>
      <c r="F314" s="347">
        <v>33.47</v>
      </c>
      <c r="G314" s="18">
        <v>33.071999999999996</v>
      </c>
      <c r="H314" s="18" t="s">
        <v>9</v>
      </c>
      <c r="I314" s="18">
        <v>9788.0019999999859</v>
      </c>
      <c r="J314" s="18">
        <v>3983.8605000000152</v>
      </c>
      <c r="K314" s="358">
        <v>338.1616380534756</v>
      </c>
      <c r="L314" s="229"/>
      <c r="M314" s="173"/>
      <c r="N314" s="435"/>
      <c r="O314" s="384"/>
      <c r="Q314" s="377">
        <f t="shared" si="11"/>
        <v>26</v>
      </c>
      <c r="R314" s="350">
        <v>33.47</v>
      </c>
      <c r="S314" s="351" t="str">
        <f t="shared" si="12"/>
        <v>OK</v>
      </c>
    </row>
    <row r="315" spans="1:19">
      <c r="A315" s="497">
        <v>298</v>
      </c>
      <c r="B315" s="540" t="s">
        <v>98</v>
      </c>
      <c r="C315" s="541"/>
      <c r="D315" s="542"/>
      <c r="E315" s="211">
        <v>25</v>
      </c>
      <c r="F315" s="347">
        <v>33.6</v>
      </c>
      <c r="G315" s="18">
        <v>33.201999999999998</v>
      </c>
      <c r="H315" s="18" t="s">
        <v>9</v>
      </c>
      <c r="I315" s="18">
        <v>9821.2039999999852</v>
      </c>
      <c r="J315" s="18">
        <v>3950.6585000000159</v>
      </c>
      <c r="K315" s="216">
        <v>338.87452988846417</v>
      </c>
      <c r="L315" s="229"/>
      <c r="M315" s="173"/>
      <c r="N315" s="435"/>
      <c r="O315" s="384"/>
      <c r="Q315" s="377">
        <f t="shared" si="11"/>
        <v>25</v>
      </c>
      <c r="R315" s="350">
        <v>33.6</v>
      </c>
      <c r="S315" s="351" t="str">
        <f t="shared" si="12"/>
        <v>OK</v>
      </c>
    </row>
    <row r="316" spans="1:19">
      <c r="A316" s="497">
        <v>299</v>
      </c>
      <c r="B316" s="540" t="s">
        <v>98</v>
      </c>
      <c r="C316" s="541"/>
      <c r="D316" s="542"/>
      <c r="E316" s="211">
        <v>24</v>
      </c>
      <c r="F316" s="347">
        <v>33.61</v>
      </c>
      <c r="G316" s="18">
        <v>33.211999999999996</v>
      </c>
      <c r="H316" s="18" t="s">
        <v>9</v>
      </c>
      <c r="I316" s="18">
        <v>9854.4159999999847</v>
      </c>
      <c r="J316" s="18">
        <v>3917.4465000000164</v>
      </c>
      <c r="K316" s="358">
        <v>339.58763643697449</v>
      </c>
      <c r="L316" s="229"/>
      <c r="M316" s="173"/>
      <c r="N316" s="435"/>
      <c r="O316" s="384"/>
      <c r="Q316" s="377">
        <f t="shared" si="11"/>
        <v>24</v>
      </c>
      <c r="R316" s="350">
        <v>33.61</v>
      </c>
      <c r="S316" s="351" t="str">
        <f t="shared" si="12"/>
        <v>OK</v>
      </c>
    </row>
    <row r="317" spans="1:19">
      <c r="A317" s="497">
        <v>300</v>
      </c>
      <c r="B317" s="540" t="s">
        <v>98</v>
      </c>
      <c r="C317" s="541"/>
      <c r="D317" s="542"/>
      <c r="E317" s="211">
        <v>23</v>
      </c>
      <c r="F317" s="347">
        <v>33.04</v>
      </c>
      <c r="G317" s="18">
        <v>32.641999999999996</v>
      </c>
      <c r="H317" s="18" t="s">
        <v>9</v>
      </c>
      <c r="I317" s="18">
        <v>9887.0579999999845</v>
      </c>
      <c r="J317" s="18">
        <v>3884.8045000000166</v>
      </c>
      <c r="K317" s="358">
        <v>340.2885043147437</v>
      </c>
      <c r="L317" s="229"/>
      <c r="M317" s="173"/>
      <c r="N317" s="435"/>
      <c r="O317" s="384"/>
      <c r="Q317" s="377">
        <f t="shared" si="11"/>
        <v>23</v>
      </c>
      <c r="R317" s="350">
        <v>33.04</v>
      </c>
      <c r="S317" s="351" t="str">
        <f t="shared" si="12"/>
        <v>OK</v>
      </c>
    </row>
    <row r="318" spans="1:19">
      <c r="A318" s="497">
        <v>301</v>
      </c>
      <c r="B318" s="540" t="s">
        <v>98</v>
      </c>
      <c r="C318" s="541"/>
      <c r="D318" s="542"/>
      <c r="E318" s="211">
        <v>22</v>
      </c>
      <c r="F318" s="347">
        <v>32.159999999999997</v>
      </c>
      <c r="G318" s="18">
        <v>31.761999999999997</v>
      </c>
      <c r="H318" s="18" t="s">
        <v>9</v>
      </c>
      <c r="I318" s="18">
        <v>9918.8199999999852</v>
      </c>
      <c r="J318" s="18">
        <v>3853.0425000000159</v>
      </c>
      <c r="K318" s="358">
        <v>340.97047740259711</v>
      </c>
      <c r="L318" s="229"/>
      <c r="M318" s="173"/>
      <c r="N318" s="435"/>
      <c r="O318" s="384"/>
      <c r="Q318" s="377">
        <f t="shared" si="11"/>
        <v>22</v>
      </c>
      <c r="R318" s="350">
        <v>32.159999999999997</v>
      </c>
      <c r="S318" s="351" t="str">
        <f t="shared" si="12"/>
        <v>OK</v>
      </c>
    </row>
    <row r="319" spans="1:19">
      <c r="A319" s="497">
        <v>302</v>
      </c>
      <c r="B319" s="540" t="s">
        <v>98</v>
      </c>
      <c r="C319" s="541"/>
      <c r="D319" s="542"/>
      <c r="E319" s="211">
        <v>21</v>
      </c>
      <c r="F319" s="347">
        <v>32.17</v>
      </c>
      <c r="G319" s="18">
        <v>31.772000000000002</v>
      </c>
      <c r="H319" s="18" t="s">
        <v>9</v>
      </c>
      <c r="I319" s="18">
        <v>9950.591999999986</v>
      </c>
      <c r="J319" s="18">
        <v>3821.2705000000151</v>
      </c>
      <c r="K319" s="358">
        <v>341.65266520397222</v>
      </c>
      <c r="L319" s="229"/>
      <c r="M319" s="173"/>
      <c r="N319" s="435"/>
      <c r="O319" s="384"/>
      <c r="Q319" s="377">
        <f t="shared" si="11"/>
        <v>21</v>
      </c>
      <c r="R319" s="350">
        <v>32.17</v>
      </c>
      <c r="S319" s="351" t="str">
        <f t="shared" si="12"/>
        <v>OK</v>
      </c>
    </row>
    <row r="320" spans="1:19">
      <c r="A320" s="497">
        <v>303</v>
      </c>
      <c r="B320" s="540" t="s">
        <v>98</v>
      </c>
      <c r="C320" s="541"/>
      <c r="D320" s="542"/>
      <c r="E320" s="211">
        <v>20</v>
      </c>
      <c r="F320" s="347">
        <v>32.21</v>
      </c>
      <c r="G320" s="18">
        <v>31.812000000000001</v>
      </c>
      <c r="H320" s="18" t="s">
        <v>9</v>
      </c>
      <c r="I320" s="18">
        <v>9982.4039999999859</v>
      </c>
      <c r="J320" s="18">
        <v>3789.4585000000152</v>
      </c>
      <c r="K320" s="358">
        <v>342.33571185943435</v>
      </c>
      <c r="L320" s="229"/>
      <c r="M320" s="173"/>
      <c r="N320" s="435"/>
      <c r="O320" s="384"/>
      <c r="Q320" s="377">
        <f t="shared" si="11"/>
        <v>20</v>
      </c>
      <c r="R320" s="350">
        <v>32.21</v>
      </c>
      <c r="S320" s="351" t="str">
        <f t="shared" si="12"/>
        <v>OK</v>
      </c>
    </row>
    <row r="321" spans="1:19">
      <c r="A321" s="497">
        <v>304</v>
      </c>
      <c r="B321" s="540" t="s">
        <v>98</v>
      </c>
      <c r="C321" s="541"/>
      <c r="D321" s="542"/>
      <c r="E321" s="211">
        <v>19</v>
      </c>
      <c r="F321" s="347">
        <v>33.94</v>
      </c>
      <c r="G321" s="18">
        <v>33.541999999999994</v>
      </c>
      <c r="H321" s="18" t="s">
        <v>9</v>
      </c>
      <c r="I321" s="18">
        <v>10015.945999999985</v>
      </c>
      <c r="J321" s="18">
        <v>3755.9165000000157</v>
      </c>
      <c r="K321" s="358">
        <v>343.05590395416317</v>
      </c>
      <c r="L321" s="229"/>
      <c r="M321" s="173"/>
      <c r="N321" s="435"/>
      <c r="O321" s="384"/>
      <c r="Q321" s="377">
        <f t="shared" si="11"/>
        <v>19</v>
      </c>
      <c r="R321" s="350">
        <v>33.94</v>
      </c>
      <c r="S321" s="351" t="str">
        <f t="shared" si="12"/>
        <v>OK</v>
      </c>
    </row>
    <row r="322" spans="1:19">
      <c r="A322" s="497">
        <v>305</v>
      </c>
      <c r="B322" s="540" t="s">
        <v>98</v>
      </c>
      <c r="C322" s="541"/>
      <c r="D322" s="542"/>
      <c r="E322" s="211">
        <v>18</v>
      </c>
      <c r="F322" s="347">
        <v>33.950000000000003</v>
      </c>
      <c r="G322" s="18">
        <v>33.552</v>
      </c>
      <c r="H322" s="18" t="s">
        <v>9</v>
      </c>
      <c r="I322" s="18">
        <v>10049.497999999985</v>
      </c>
      <c r="J322" s="18">
        <v>3722.3645000000161</v>
      </c>
      <c r="K322" s="358">
        <v>343.77631076241374</v>
      </c>
      <c r="L322" s="229"/>
      <c r="M322" s="173"/>
      <c r="N322" s="435"/>
      <c r="O322" s="384"/>
      <c r="Q322" s="377">
        <f t="shared" si="11"/>
        <v>18</v>
      </c>
      <c r="R322" s="350">
        <v>33.950000000000003</v>
      </c>
      <c r="S322" s="351" t="str">
        <f t="shared" si="12"/>
        <v>OK</v>
      </c>
    </row>
    <row r="323" spans="1:19">
      <c r="A323" s="497">
        <v>306</v>
      </c>
      <c r="B323" s="540" t="s">
        <v>98</v>
      </c>
      <c r="C323" s="541"/>
      <c r="D323" s="542"/>
      <c r="E323" s="211">
        <v>17</v>
      </c>
      <c r="F323" s="347">
        <v>33.950000000000003</v>
      </c>
      <c r="G323" s="18">
        <v>33.552</v>
      </c>
      <c r="H323" s="18" t="s">
        <v>9</v>
      </c>
      <c r="I323" s="18">
        <v>10083.049999999985</v>
      </c>
      <c r="J323" s="18">
        <v>3688.8125000000164</v>
      </c>
      <c r="K323" s="358">
        <v>344.49671757066432</v>
      </c>
      <c r="L323" s="229"/>
      <c r="M323" s="173"/>
      <c r="N323" s="435"/>
      <c r="O323" s="384"/>
      <c r="Q323" s="377">
        <f t="shared" si="11"/>
        <v>17</v>
      </c>
      <c r="R323" s="350">
        <v>33.950000000000003</v>
      </c>
      <c r="S323" s="351" t="str">
        <f t="shared" si="12"/>
        <v>OK</v>
      </c>
    </row>
    <row r="324" spans="1:19">
      <c r="A324" s="497">
        <v>307</v>
      </c>
      <c r="B324" s="540" t="s">
        <v>98</v>
      </c>
      <c r="C324" s="541"/>
      <c r="D324" s="542"/>
      <c r="E324" s="211">
        <v>16</v>
      </c>
      <c r="F324" s="347">
        <v>33.950000000000003</v>
      </c>
      <c r="G324" s="18">
        <v>33.552</v>
      </c>
      <c r="H324" s="18" t="s">
        <v>9</v>
      </c>
      <c r="I324" s="18">
        <v>10116.601999999984</v>
      </c>
      <c r="J324" s="18">
        <v>3655.2605000000167</v>
      </c>
      <c r="K324" s="358">
        <v>345.21712437891489</v>
      </c>
      <c r="L324" s="229"/>
      <c r="M324" s="173"/>
      <c r="N324" s="435"/>
      <c r="O324" s="384"/>
      <c r="Q324" s="377">
        <f t="shared" si="11"/>
        <v>16</v>
      </c>
      <c r="R324" s="350">
        <v>33.950000000000003</v>
      </c>
      <c r="S324" s="351" t="str">
        <f t="shared" si="12"/>
        <v>OK</v>
      </c>
    </row>
    <row r="325" spans="1:19">
      <c r="A325" s="497">
        <v>308</v>
      </c>
      <c r="B325" s="540" t="s">
        <v>98</v>
      </c>
      <c r="C325" s="541"/>
      <c r="D325" s="542"/>
      <c r="E325" s="211">
        <v>15</v>
      </c>
      <c r="F325" s="347">
        <v>33.340000000000003</v>
      </c>
      <c r="G325" s="18">
        <v>32.942</v>
      </c>
      <c r="H325" s="18" t="s">
        <v>9</v>
      </c>
      <c r="I325" s="18">
        <v>10149.543999999983</v>
      </c>
      <c r="J325" s="18">
        <v>3622.3185000000176</v>
      </c>
      <c r="K325" s="358">
        <v>345.92443366233732</v>
      </c>
      <c r="L325" s="229"/>
      <c r="M325" s="173"/>
      <c r="N325" s="435"/>
      <c r="O325" s="384"/>
      <c r="Q325" s="377">
        <f t="shared" si="11"/>
        <v>15</v>
      </c>
      <c r="R325" s="350">
        <v>33.340000000000003</v>
      </c>
      <c r="S325" s="351" t="str">
        <f t="shared" si="12"/>
        <v>OK</v>
      </c>
    </row>
    <row r="326" spans="1:19">
      <c r="A326" s="497">
        <v>309</v>
      </c>
      <c r="B326" s="540" t="s">
        <v>98</v>
      </c>
      <c r="C326" s="541"/>
      <c r="D326" s="542"/>
      <c r="E326" s="211">
        <v>14</v>
      </c>
      <c r="F326" s="347">
        <v>33.520000000000003</v>
      </c>
      <c r="G326" s="18">
        <v>33.122</v>
      </c>
      <c r="H326" s="18" t="s">
        <v>9</v>
      </c>
      <c r="I326" s="18">
        <v>10182.665999999983</v>
      </c>
      <c r="J326" s="18">
        <v>3589.1965000000182</v>
      </c>
      <c r="K326" s="358">
        <v>346.63560778915166</v>
      </c>
      <c r="L326" s="229"/>
      <c r="M326" s="173"/>
      <c r="N326" s="435"/>
      <c r="O326" s="384"/>
      <c r="Q326" s="377">
        <f t="shared" si="11"/>
        <v>14</v>
      </c>
      <c r="R326" s="350">
        <v>33.520000000000003</v>
      </c>
      <c r="S326" s="351" t="str">
        <f t="shared" si="12"/>
        <v>OK</v>
      </c>
    </row>
    <row r="327" spans="1:19">
      <c r="A327" s="497">
        <v>310</v>
      </c>
      <c r="B327" s="540" t="s">
        <v>98</v>
      </c>
      <c r="C327" s="541"/>
      <c r="D327" s="542"/>
      <c r="E327" s="211">
        <v>13</v>
      </c>
      <c r="F327" s="347">
        <v>33.450000000000003</v>
      </c>
      <c r="G327" s="18">
        <v>33.052</v>
      </c>
      <c r="H327" s="18" t="s">
        <v>9</v>
      </c>
      <c r="I327" s="18">
        <v>10215.717999999983</v>
      </c>
      <c r="J327" s="18">
        <v>3556.1445000000185</v>
      </c>
      <c r="K327" s="358">
        <v>347.34527892131359</v>
      </c>
      <c r="L327" s="229"/>
      <c r="M327" s="173"/>
      <c r="N327" s="435"/>
      <c r="O327" s="384"/>
      <c r="Q327" s="377">
        <f t="shared" si="11"/>
        <v>13</v>
      </c>
      <c r="R327" s="350">
        <v>33.450000000000003</v>
      </c>
      <c r="S327" s="351" t="str">
        <f t="shared" si="12"/>
        <v>OK</v>
      </c>
    </row>
    <row r="328" spans="1:19">
      <c r="A328" s="497">
        <v>311</v>
      </c>
      <c r="B328" s="540" t="s">
        <v>98</v>
      </c>
      <c r="C328" s="541"/>
      <c r="D328" s="542"/>
      <c r="E328" s="211">
        <v>12</v>
      </c>
      <c r="F328" s="347">
        <v>33.6</v>
      </c>
      <c r="G328" s="18">
        <v>33.201999999999998</v>
      </c>
      <c r="H328" s="18" t="s">
        <v>9</v>
      </c>
      <c r="I328" s="18">
        <v>10248.919999999982</v>
      </c>
      <c r="J328" s="18">
        <v>3522.9425000000192</v>
      </c>
      <c r="K328" s="358">
        <v>348.05817075630216</v>
      </c>
      <c r="L328" s="229"/>
      <c r="M328" s="173"/>
      <c r="N328" s="435"/>
      <c r="O328" s="384"/>
      <c r="Q328" s="377">
        <f t="shared" si="11"/>
        <v>12</v>
      </c>
      <c r="R328" s="350">
        <v>33.6</v>
      </c>
      <c r="S328" s="351" t="str">
        <f t="shared" si="12"/>
        <v>OK</v>
      </c>
    </row>
    <row r="329" spans="1:19">
      <c r="A329" s="497">
        <v>312</v>
      </c>
      <c r="B329" s="540" t="s">
        <v>98</v>
      </c>
      <c r="C329" s="541"/>
      <c r="D329" s="542"/>
      <c r="E329" s="211">
        <v>11</v>
      </c>
      <c r="F329" s="347">
        <v>33.229999999999997</v>
      </c>
      <c r="G329" s="18">
        <v>32.831999999999994</v>
      </c>
      <c r="H329" s="18" t="s">
        <v>9</v>
      </c>
      <c r="I329" s="18">
        <v>10281.751999999982</v>
      </c>
      <c r="J329" s="18">
        <v>3490.1105000000189</v>
      </c>
      <c r="K329" s="358">
        <v>348.76311819098515</v>
      </c>
      <c r="L329" s="229"/>
      <c r="M329" s="173"/>
      <c r="N329" s="435"/>
      <c r="O329" s="384"/>
      <c r="Q329" s="377">
        <f t="shared" si="11"/>
        <v>11</v>
      </c>
      <c r="R329" s="350">
        <v>33.229999999999997</v>
      </c>
      <c r="S329" s="351" t="str">
        <f t="shared" si="12"/>
        <v>OK</v>
      </c>
    </row>
    <row r="330" spans="1:19">
      <c r="A330" s="497">
        <v>313</v>
      </c>
      <c r="B330" s="540" t="s">
        <v>98</v>
      </c>
      <c r="C330" s="541"/>
      <c r="D330" s="542"/>
      <c r="E330" s="211">
        <v>10</v>
      </c>
      <c r="F330" s="347">
        <v>33.94</v>
      </c>
      <c r="G330" s="18">
        <v>33.541999999999994</v>
      </c>
      <c r="H330" s="18" t="s">
        <v>9</v>
      </c>
      <c r="I330" s="18">
        <v>10315.293999999982</v>
      </c>
      <c r="J330" s="18">
        <v>3456.5685000000194</v>
      </c>
      <c r="K330" s="358">
        <v>349.48331028571386</v>
      </c>
      <c r="L330" s="229"/>
      <c r="M330" s="173"/>
      <c r="N330" s="435"/>
      <c r="O330" s="384"/>
      <c r="Q330" s="377">
        <f t="shared" si="11"/>
        <v>10</v>
      </c>
      <c r="R330" s="350">
        <v>33.94</v>
      </c>
      <c r="S330" s="351" t="str">
        <f t="shared" si="12"/>
        <v>OK</v>
      </c>
    </row>
    <row r="331" spans="1:19">
      <c r="A331" s="497">
        <v>314</v>
      </c>
      <c r="B331" s="540" t="s">
        <v>98</v>
      </c>
      <c r="C331" s="541"/>
      <c r="D331" s="542"/>
      <c r="E331" s="211">
        <v>9</v>
      </c>
      <c r="F331" s="347">
        <v>33.64</v>
      </c>
      <c r="G331" s="18">
        <v>33.241999999999997</v>
      </c>
      <c r="H331" s="18" t="s">
        <v>9</v>
      </c>
      <c r="I331" s="18">
        <v>10348.535999999982</v>
      </c>
      <c r="J331" s="18">
        <v>3423.3265000000192</v>
      </c>
      <c r="K331" s="358">
        <v>350.19706097478951</v>
      </c>
      <c r="L331" s="229"/>
      <c r="M331" s="173"/>
      <c r="N331" s="435"/>
      <c r="O331" s="384"/>
      <c r="Q331" s="377">
        <f t="shared" si="11"/>
        <v>9</v>
      </c>
      <c r="R331" s="350">
        <v>33.64</v>
      </c>
      <c r="S331" s="351" t="str">
        <f t="shared" si="12"/>
        <v>OK</v>
      </c>
    </row>
    <row r="332" spans="1:19">
      <c r="A332" s="497">
        <v>315</v>
      </c>
      <c r="B332" s="540" t="s">
        <v>98</v>
      </c>
      <c r="C332" s="541"/>
      <c r="D332" s="542"/>
      <c r="E332" s="211">
        <v>8</v>
      </c>
      <c r="F332" s="347">
        <v>33.99</v>
      </c>
      <c r="G332" s="18">
        <v>33.591999999999999</v>
      </c>
      <c r="H332" s="18" t="s">
        <v>9</v>
      </c>
      <c r="I332" s="18">
        <v>10382.127999999982</v>
      </c>
      <c r="J332" s="18">
        <v>3389.7345000000187</v>
      </c>
      <c r="K332" s="358">
        <v>350.91832663712717</v>
      </c>
      <c r="L332" s="229"/>
      <c r="M332" s="173"/>
      <c r="N332" s="435"/>
      <c r="O332" s="384"/>
      <c r="Q332" s="377">
        <f t="shared" si="11"/>
        <v>8</v>
      </c>
      <c r="R332" s="350">
        <v>33.99</v>
      </c>
      <c r="S332" s="351" t="str">
        <f t="shared" si="12"/>
        <v>OK</v>
      </c>
    </row>
    <row r="333" spans="1:19">
      <c r="A333" s="497">
        <v>316</v>
      </c>
      <c r="B333" s="540" t="s">
        <v>98</v>
      </c>
      <c r="C333" s="541"/>
      <c r="D333" s="542"/>
      <c r="E333" s="211">
        <v>7</v>
      </c>
      <c r="F333" s="347">
        <v>33.729999999999997</v>
      </c>
      <c r="G333" s="18">
        <v>33.331999999999994</v>
      </c>
      <c r="H333" s="18" t="s">
        <v>9</v>
      </c>
      <c r="I333" s="18">
        <v>10415.459999999983</v>
      </c>
      <c r="J333" s="18">
        <v>3356.4025000000183</v>
      </c>
      <c r="K333" s="358">
        <v>351.6340097478988</v>
      </c>
      <c r="L333" s="229"/>
      <c r="M333" s="173"/>
      <c r="N333" s="435"/>
      <c r="O333" s="384"/>
      <c r="Q333" s="377">
        <f t="shared" si="11"/>
        <v>7</v>
      </c>
      <c r="R333" s="350">
        <v>33.729999999999997</v>
      </c>
      <c r="S333" s="351" t="str">
        <f t="shared" si="12"/>
        <v>OK</v>
      </c>
    </row>
    <row r="334" spans="1:19">
      <c r="A334" s="497">
        <v>317</v>
      </c>
      <c r="B334" s="540" t="s">
        <v>98</v>
      </c>
      <c r="C334" s="541"/>
      <c r="D334" s="542"/>
      <c r="E334" s="211">
        <v>6</v>
      </c>
      <c r="F334" s="347">
        <v>33.58</v>
      </c>
      <c r="G334" s="18">
        <v>33.181999999999995</v>
      </c>
      <c r="H334" s="18" t="s">
        <v>9</v>
      </c>
      <c r="I334" s="18">
        <v>10448.641999999983</v>
      </c>
      <c r="J334" s="18">
        <v>3323.2205000000176</v>
      </c>
      <c r="K334" s="358">
        <v>352.3464721558438</v>
      </c>
      <c r="L334" s="229"/>
      <c r="M334" s="173"/>
      <c r="N334" s="435"/>
      <c r="O334" s="384"/>
      <c r="Q334" s="377">
        <f t="shared" si="11"/>
        <v>6</v>
      </c>
      <c r="R334" s="350">
        <v>33.58</v>
      </c>
      <c r="S334" s="351" t="str">
        <f t="shared" si="12"/>
        <v>OK</v>
      </c>
    </row>
    <row r="335" spans="1:19">
      <c r="A335" s="497">
        <v>318</v>
      </c>
      <c r="B335" s="540" t="s">
        <v>98</v>
      </c>
      <c r="C335" s="541"/>
      <c r="D335" s="542"/>
      <c r="E335" s="211">
        <v>5</v>
      </c>
      <c r="F335" s="347">
        <v>33.659999999999997</v>
      </c>
      <c r="G335" s="18">
        <v>33.261999999999993</v>
      </c>
      <c r="H335" s="18" t="s">
        <v>9</v>
      </c>
      <c r="I335" s="18">
        <v>10481.903999999984</v>
      </c>
      <c r="J335" s="18">
        <v>3289.958500000017</v>
      </c>
      <c r="K335" s="358">
        <v>353.06065227196302</v>
      </c>
      <c r="L335" s="229"/>
      <c r="M335" s="173"/>
      <c r="N335" s="435"/>
      <c r="O335" s="384"/>
      <c r="Q335" s="377">
        <f t="shared" si="11"/>
        <v>5</v>
      </c>
      <c r="R335" s="350">
        <v>33.659999999999997</v>
      </c>
      <c r="S335" s="351" t="str">
        <f t="shared" si="12"/>
        <v>OK</v>
      </c>
    </row>
    <row r="336" spans="1:19">
      <c r="A336" s="497">
        <v>319</v>
      </c>
      <c r="B336" s="540" t="s">
        <v>98</v>
      </c>
      <c r="C336" s="541"/>
      <c r="D336" s="542"/>
      <c r="E336" s="211">
        <v>4</v>
      </c>
      <c r="F336" s="347">
        <v>33.950000000000003</v>
      </c>
      <c r="G336" s="18">
        <v>33.552</v>
      </c>
      <c r="H336" s="18" t="s">
        <v>9</v>
      </c>
      <c r="I336" s="18">
        <v>10515.455999999984</v>
      </c>
      <c r="J336" s="18">
        <v>3256.4065000000173</v>
      </c>
      <c r="K336" s="358">
        <v>353.78105908021354</v>
      </c>
      <c r="L336" s="229"/>
      <c r="M336" s="173"/>
      <c r="N336" s="435"/>
      <c r="O336" s="384"/>
      <c r="Q336" s="377">
        <f t="shared" si="11"/>
        <v>4</v>
      </c>
      <c r="R336" s="350">
        <v>33.950000000000003</v>
      </c>
      <c r="S336" s="351" t="str">
        <f t="shared" si="12"/>
        <v>OK</v>
      </c>
    </row>
    <row r="337" spans="1:19">
      <c r="A337" s="497">
        <v>320</v>
      </c>
      <c r="B337" s="540" t="s">
        <v>98</v>
      </c>
      <c r="C337" s="541"/>
      <c r="D337" s="542"/>
      <c r="E337" s="211">
        <v>3</v>
      </c>
      <c r="F337" s="347">
        <v>33.950000000000003</v>
      </c>
      <c r="G337" s="18">
        <v>33.552</v>
      </c>
      <c r="H337" s="18" t="s">
        <v>9</v>
      </c>
      <c r="I337" s="18">
        <v>10549.007999999983</v>
      </c>
      <c r="J337" s="18">
        <v>3222.8545000000177</v>
      </c>
      <c r="K337" s="358">
        <v>354.50146588846411</v>
      </c>
      <c r="L337" s="229"/>
      <c r="M337" s="173"/>
      <c r="N337" s="435"/>
      <c r="O337" s="384"/>
      <c r="Q337" s="377">
        <f t="shared" si="11"/>
        <v>3</v>
      </c>
      <c r="R337" s="350">
        <v>33.950000000000003</v>
      </c>
      <c r="S337" s="351" t="str">
        <f t="shared" si="12"/>
        <v>OK</v>
      </c>
    </row>
    <row r="338" spans="1:19">
      <c r="A338" s="497">
        <v>321</v>
      </c>
      <c r="B338" s="540" t="s">
        <v>98</v>
      </c>
      <c r="C338" s="541"/>
      <c r="D338" s="542"/>
      <c r="E338" s="211">
        <v>2</v>
      </c>
      <c r="F338" s="347">
        <v>33.950000000000003</v>
      </c>
      <c r="G338" s="18">
        <v>33.552</v>
      </c>
      <c r="H338" s="18" t="s">
        <v>9</v>
      </c>
      <c r="I338" s="18">
        <v>10582.559999999983</v>
      </c>
      <c r="J338" s="18">
        <v>3189.302500000018</v>
      </c>
      <c r="K338" s="358">
        <v>355.22187269671474</v>
      </c>
      <c r="L338" s="229"/>
      <c r="M338" s="173"/>
      <c r="N338" s="435"/>
      <c r="O338" s="384"/>
      <c r="Q338" s="377">
        <f t="shared" si="11"/>
        <v>2</v>
      </c>
      <c r="R338" s="350">
        <v>33.950000000000003</v>
      </c>
      <c r="S338" s="351" t="str">
        <f t="shared" si="12"/>
        <v>OK</v>
      </c>
    </row>
    <row r="339" spans="1:19">
      <c r="A339" s="497">
        <v>322</v>
      </c>
      <c r="B339" s="540" t="s">
        <v>98</v>
      </c>
      <c r="C339" s="541"/>
      <c r="D339" s="542"/>
      <c r="E339" s="211">
        <v>1</v>
      </c>
      <c r="F339" s="347">
        <v>33.909999999999997</v>
      </c>
      <c r="G339" s="18">
        <v>33.511999999999993</v>
      </c>
      <c r="H339" s="18" t="s">
        <v>9</v>
      </c>
      <c r="I339" s="18">
        <v>10616.071999999984</v>
      </c>
      <c r="J339" s="18">
        <v>3155.7905000000173</v>
      </c>
      <c r="K339" s="358">
        <v>355.94142065087817</v>
      </c>
      <c r="L339" s="229"/>
      <c r="M339" s="173"/>
      <c r="N339" s="435"/>
      <c r="O339" s="384"/>
      <c r="Q339" s="377">
        <f t="shared" si="11"/>
        <v>1</v>
      </c>
      <c r="R339" s="350">
        <v>33.909999999999997</v>
      </c>
      <c r="S339" s="351" t="str">
        <f t="shared" si="12"/>
        <v>OK</v>
      </c>
    </row>
    <row r="340" spans="1:19">
      <c r="A340" s="497">
        <v>323</v>
      </c>
      <c r="B340" s="540" t="s">
        <v>98</v>
      </c>
      <c r="C340" s="541"/>
      <c r="D340" s="542"/>
      <c r="E340" s="211">
        <v>436</v>
      </c>
      <c r="F340" s="347">
        <v>33.61</v>
      </c>
      <c r="G340" s="18">
        <v>33.211999999999996</v>
      </c>
      <c r="H340" s="18" t="s">
        <v>9</v>
      </c>
      <c r="I340" s="18">
        <v>10649.283999999983</v>
      </c>
      <c r="J340" s="18">
        <v>3122.5785000000178</v>
      </c>
      <c r="K340" s="216">
        <v>356.65452719938844</v>
      </c>
      <c r="L340" s="229"/>
      <c r="M340" s="173"/>
      <c r="N340" s="435"/>
      <c r="O340" s="384"/>
      <c r="Q340" s="377">
        <f t="shared" si="11"/>
        <v>436</v>
      </c>
      <c r="R340" s="350">
        <v>33.61</v>
      </c>
      <c r="S340" s="351" t="str">
        <f t="shared" si="12"/>
        <v>OK</v>
      </c>
    </row>
    <row r="341" spans="1:19">
      <c r="A341" s="497">
        <v>324</v>
      </c>
      <c r="B341" s="540" t="s">
        <v>98</v>
      </c>
      <c r="C341" s="541"/>
      <c r="D341" s="542"/>
      <c r="E341" s="211">
        <v>435</v>
      </c>
      <c r="F341" s="347">
        <v>33.5</v>
      </c>
      <c r="G341" s="18">
        <v>33.101999999999997</v>
      </c>
      <c r="H341" s="18" t="s">
        <v>9</v>
      </c>
      <c r="I341" s="18">
        <v>10682.385999999984</v>
      </c>
      <c r="J341" s="18">
        <v>3089.476500000017</v>
      </c>
      <c r="K341" s="358">
        <v>357.36527189915932</v>
      </c>
      <c r="L341" s="229"/>
      <c r="M341" s="173"/>
      <c r="N341" s="435"/>
      <c r="O341" s="384"/>
      <c r="Q341" s="377">
        <f t="shared" si="11"/>
        <v>435</v>
      </c>
      <c r="R341" s="350">
        <v>33.5</v>
      </c>
      <c r="S341" s="351" t="str">
        <f t="shared" si="12"/>
        <v>OK</v>
      </c>
    </row>
    <row r="342" spans="1:19">
      <c r="A342" s="497">
        <v>325</v>
      </c>
      <c r="B342" s="540" t="s">
        <v>98</v>
      </c>
      <c r="C342" s="541"/>
      <c r="D342" s="542"/>
      <c r="E342" s="211">
        <v>434</v>
      </c>
      <c r="F342" s="347">
        <v>33.630000000000003</v>
      </c>
      <c r="G342" s="18">
        <v>33.231999999999999</v>
      </c>
      <c r="H342" s="18" t="s">
        <v>9</v>
      </c>
      <c r="I342" s="18">
        <v>10715.617999999984</v>
      </c>
      <c r="J342" s="18">
        <v>3056.2445000000171</v>
      </c>
      <c r="K342" s="358">
        <v>358.07880787471322</v>
      </c>
      <c r="L342" s="229"/>
      <c r="M342" s="173"/>
      <c r="N342" s="435"/>
      <c r="O342" s="384"/>
      <c r="Q342" s="377">
        <f t="shared" si="11"/>
        <v>434</v>
      </c>
      <c r="R342" s="350">
        <v>33.630000000000003</v>
      </c>
      <c r="S342" s="351" t="str">
        <f t="shared" si="12"/>
        <v>OK</v>
      </c>
    </row>
    <row r="343" spans="1:19">
      <c r="A343" s="497">
        <v>326</v>
      </c>
      <c r="B343" s="540" t="s">
        <v>98</v>
      </c>
      <c r="C343" s="541"/>
      <c r="D343" s="542"/>
      <c r="E343" s="211">
        <v>433</v>
      </c>
      <c r="F343" s="347">
        <v>33.94</v>
      </c>
      <c r="G343" s="18">
        <v>33.541999999999994</v>
      </c>
      <c r="H343" s="18" t="s">
        <v>9</v>
      </c>
      <c r="I343" s="18">
        <v>10749.159999999983</v>
      </c>
      <c r="J343" s="18">
        <v>3022.7025000000176</v>
      </c>
      <c r="K343" s="358">
        <v>358.79899996944198</v>
      </c>
      <c r="L343" s="229"/>
      <c r="N343" s="435"/>
      <c r="O343" s="384"/>
      <c r="Q343" s="377">
        <f t="shared" si="11"/>
        <v>433</v>
      </c>
      <c r="R343" s="350">
        <v>33.94</v>
      </c>
      <c r="S343" s="351" t="str">
        <f t="shared" si="12"/>
        <v>OK</v>
      </c>
    </row>
    <row r="344" spans="1:19">
      <c r="A344" s="497">
        <v>327</v>
      </c>
      <c r="B344" s="540" t="s">
        <v>98</v>
      </c>
      <c r="C344" s="541"/>
      <c r="D344" s="542"/>
      <c r="E344" s="211">
        <v>432</v>
      </c>
      <c r="F344" s="347">
        <v>33.36</v>
      </c>
      <c r="G344" s="18">
        <v>32.961999999999996</v>
      </c>
      <c r="H344" s="18" t="s">
        <v>9</v>
      </c>
      <c r="I344" s="18">
        <v>10782.121999999983</v>
      </c>
      <c r="J344" s="18">
        <v>2989.7405000000181</v>
      </c>
      <c r="K344" s="358">
        <v>359.50673867990798</v>
      </c>
      <c r="L344" s="229"/>
      <c r="M344" s="173"/>
      <c r="N344" s="435"/>
      <c r="O344" s="384"/>
      <c r="Q344" s="377">
        <f t="shared" si="11"/>
        <v>432</v>
      </c>
      <c r="R344" s="350">
        <v>33.36</v>
      </c>
      <c r="S344" s="351" t="str">
        <f t="shared" si="12"/>
        <v>OK</v>
      </c>
    </row>
    <row r="345" spans="1:19">
      <c r="A345" s="497">
        <v>328</v>
      </c>
      <c r="B345" s="540" t="s">
        <v>98</v>
      </c>
      <c r="C345" s="541"/>
      <c r="D345" s="542"/>
      <c r="E345" s="211">
        <v>431</v>
      </c>
      <c r="F345" s="347">
        <v>33.11</v>
      </c>
      <c r="G345" s="18">
        <v>32.711999999999996</v>
      </c>
      <c r="H345" s="18" t="s">
        <v>9</v>
      </c>
      <c r="I345" s="18">
        <v>10814.833999999983</v>
      </c>
      <c r="J345" s="18">
        <v>2957.0285000000185</v>
      </c>
      <c r="K345" s="216">
        <v>360.20910955232966</v>
      </c>
      <c r="L345" s="229"/>
      <c r="M345" s="173"/>
      <c r="N345" s="435"/>
      <c r="O345" s="384"/>
      <c r="Q345" s="377">
        <f t="shared" si="11"/>
        <v>431</v>
      </c>
      <c r="R345" s="350">
        <v>33.11</v>
      </c>
      <c r="S345" s="351" t="str">
        <f t="shared" si="12"/>
        <v>OK</v>
      </c>
    </row>
    <row r="346" spans="1:19">
      <c r="A346" s="497">
        <v>329</v>
      </c>
      <c r="B346" s="540" t="s">
        <v>98</v>
      </c>
      <c r="C346" s="541"/>
      <c r="D346" s="542"/>
      <c r="E346" s="211">
        <v>430</v>
      </c>
      <c r="F346" s="347">
        <v>33.19</v>
      </c>
      <c r="G346" s="18">
        <v>32.791999999999994</v>
      </c>
      <c r="H346" s="18" t="s">
        <v>9</v>
      </c>
      <c r="I346" s="18">
        <v>10847.625999999982</v>
      </c>
      <c r="J346" s="18">
        <v>2924.2365000000191</v>
      </c>
      <c r="K346" s="358">
        <v>360.91319813292552</v>
      </c>
      <c r="L346" s="229"/>
      <c r="M346" s="173"/>
      <c r="N346" s="435"/>
      <c r="O346" s="384"/>
      <c r="Q346" s="377">
        <f t="shared" si="11"/>
        <v>430</v>
      </c>
      <c r="R346" s="350">
        <v>33.19</v>
      </c>
      <c r="S346" s="351" t="str">
        <f t="shared" si="12"/>
        <v>OK</v>
      </c>
    </row>
    <row r="347" spans="1:19">
      <c r="A347" s="497">
        <v>330</v>
      </c>
      <c r="B347" s="540" t="s">
        <v>98</v>
      </c>
      <c r="C347" s="541"/>
      <c r="D347" s="542"/>
      <c r="E347" s="211">
        <v>429</v>
      </c>
      <c r="F347" s="347">
        <v>33</v>
      </c>
      <c r="G347" s="18">
        <v>32.601999999999997</v>
      </c>
      <c r="H347" s="18" t="s">
        <v>9</v>
      </c>
      <c r="I347" s="18">
        <v>10880.227999999983</v>
      </c>
      <c r="J347" s="18">
        <v>2891.6345000000183</v>
      </c>
      <c r="K347" s="358">
        <v>361.6132071566077</v>
      </c>
      <c r="L347" s="229"/>
      <c r="M347" s="173"/>
      <c r="N347" s="435"/>
      <c r="O347" s="384"/>
      <c r="Q347" s="377">
        <f t="shared" ref="Q347:Q414" si="13">E347</f>
        <v>429</v>
      </c>
      <c r="R347" s="350">
        <v>33</v>
      </c>
      <c r="S347" s="351" t="str">
        <f t="shared" ref="S347:S390" si="14">IF(F347-R347=0,"OK","FALSE")</f>
        <v>OK</v>
      </c>
    </row>
    <row r="348" spans="1:19">
      <c r="A348" s="497">
        <v>331</v>
      </c>
      <c r="B348" s="540" t="s">
        <v>98</v>
      </c>
      <c r="C348" s="541"/>
      <c r="D348" s="542"/>
      <c r="E348" s="211">
        <v>428</v>
      </c>
      <c r="F348" s="347">
        <v>31.95</v>
      </c>
      <c r="G348" s="18">
        <v>31.552</v>
      </c>
      <c r="H348" s="18" t="s">
        <v>9</v>
      </c>
      <c r="I348" s="18">
        <v>10911.779999999982</v>
      </c>
      <c r="J348" s="18">
        <v>2860.0825000000186</v>
      </c>
      <c r="K348" s="358">
        <v>362.29067126050381</v>
      </c>
      <c r="L348" s="229"/>
      <c r="M348" s="173"/>
      <c r="N348" s="435"/>
      <c r="O348" s="384"/>
      <c r="Q348" s="377">
        <f t="shared" si="13"/>
        <v>428</v>
      </c>
      <c r="R348" s="350">
        <v>31.95</v>
      </c>
      <c r="S348" s="351" t="str">
        <f t="shared" si="14"/>
        <v>OK</v>
      </c>
    </row>
    <row r="349" spans="1:19">
      <c r="A349" s="497">
        <v>332</v>
      </c>
      <c r="B349" s="540" t="s">
        <v>98</v>
      </c>
      <c r="C349" s="541"/>
      <c r="D349" s="542"/>
      <c r="E349" s="211">
        <v>427</v>
      </c>
      <c r="F349" s="347">
        <v>33.409999999999997</v>
      </c>
      <c r="G349" s="18">
        <v>33.011999999999993</v>
      </c>
      <c r="H349" s="18" t="s">
        <v>9</v>
      </c>
      <c r="I349" s="18">
        <v>10944.791999999983</v>
      </c>
      <c r="J349" s="18">
        <v>2827.070500000018</v>
      </c>
      <c r="K349" s="358">
        <v>362.99948353857872</v>
      </c>
      <c r="L349" s="465"/>
      <c r="M349" s="466"/>
      <c r="N349" s="435"/>
      <c r="O349" s="384"/>
      <c r="Q349" s="377">
        <f t="shared" si="13"/>
        <v>427</v>
      </c>
      <c r="R349" s="350">
        <v>33.409999999999997</v>
      </c>
      <c r="S349" s="351" t="str">
        <f t="shared" si="14"/>
        <v>OK</v>
      </c>
    </row>
    <row r="350" spans="1:19">
      <c r="A350" s="497">
        <v>333</v>
      </c>
      <c r="B350" s="540" t="s">
        <v>98</v>
      </c>
      <c r="C350" s="541"/>
      <c r="D350" s="542"/>
      <c r="E350" s="211">
        <v>426</v>
      </c>
      <c r="F350" s="347">
        <v>31.17</v>
      </c>
      <c r="G350" s="18">
        <v>30.772000000000002</v>
      </c>
      <c r="H350" s="18" t="s">
        <v>9</v>
      </c>
      <c r="I350" s="18">
        <v>10975.563999999984</v>
      </c>
      <c r="J350" s="18">
        <v>2796.2985000000172</v>
      </c>
      <c r="K350" s="216">
        <v>363.66019998777659</v>
      </c>
      <c r="L350" s="465"/>
      <c r="M350" s="466"/>
      <c r="N350" s="435"/>
      <c r="O350" s="384"/>
      <c r="Q350" s="377">
        <f t="shared" si="13"/>
        <v>426</v>
      </c>
      <c r="R350" s="350">
        <v>31.17</v>
      </c>
      <c r="S350" s="351" t="str">
        <f t="shared" si="14"/>
        <v>OK</v>
      </c>
    </row>
    <row r="351" spans="1:19">
      <c r="A351" s="497">
        <v>334</v>
      </c>
      <c r="B351" s="540" t="s">
        <v>98</v>
      </c>
      <c r="C351" s="541"/>
      <c r="D351" s="542"/>
      <c r="E351" s="211">
        <v>425</v>
      </c>
      <c r="F351" s="347">
        <v>33.71</v>
      </c>
      <c r="G351" s="18">
        <v>33.311999999999998</v>
      </c>
      <c r="H351" s="18" t="s">
        <v>9</v>
      </c>
      <c r="I351" s="18">
        <v>11008.875999999984</v>
      </c>
      <c r="J351" s="18">
        <v>2762.9865000000173</v>
      </c>
      <c r="K351" s="358">
        <v>364.37545367150466</v>
      </c>
      <c r="L351" s="229"/>
      <c r="M351" s="173"/>
      <c r="N351" s="435"/>
      <c r="O351" s="384"/>
      <c r="Q351" s="377">
        <f t="shared" si="13"/>
        <v>425</v>
      </c>
      <c r="R351" s="350">
        <v>33.71</v>
      </c>
      <c r="S351" s="351" t="str">
        <f t="shared" si="14"/>
        <v>OK</v>
      </c>
    </row>
    <row r="352" spans="1:19">
      <c r="A352" s="497">
        <v>335</v>
      </c>
      <c r="B352" s="540" t="s">
        <v>98</v>
      </c>
      <c r="C352" s="541"/>
      <c r="D352" s="542"/>
      <c r="E352" s="211">
        <v>424</v>
      </c>
      <c r="F352" s="347">
        <v>33.909999999999997</v>
      </c>
      <c r="G352" s="18">
        <v>33.511999999999993</v>
      </c>
      <c r="H352" s="18" t="s">
        <v>9</v>
      </c>
      <c r="I352" s="18">
        <v>11042.387999999984</v>
      </c>
      <c r="J352" s="18">
        <v>2729.4745000000166</v>
      </c>
      <c r="K352" s="358">
        <v>365.09500162566815</v>
      </c>
      <c r="L352" s="229"/>
      <c r="M352" s="173"/>
      <c r="N352" s="435"/>
      <c r="O352" s="384"/>
      <c r="Q352" s="377">
        <f t="shared" si="13"/>
        <v>424</v>
      </c>
      <c r="R352" s="350">
        <v>33.909999999999997</v>
      </c>
      <c r="S352" s="351" t="str">
        <f t="shared" si="14"/>
        <v>OK</v>
      </c>
    </row>
    <row r="353" spans="1:19">
      <c r="A353" s="497">
        <v>336</v>
      </c>
      <c r="B353" s="540" t="s">
        <v>98</v>
      </c>
      <c r="C353" s="541"/>
      <c r="D353" s="542"/>
      <c r="E353" s="211">
        <v>423</v>
      </c>
      <c r="F353" s="347">
        <v>31.81</v>
      </c>
      <c r="G353" s="18">
        <v>31.411999999999999</v>
      </c>
      <c r="H353" s="18" t="s">
        <v>9</v>
      </c>
      <c r="I353" s="18">
        <v>11073.799999999985</v>
      </c>
      <c r="J353" s="18">
        <v>2698.0625000000164</v>
      </c>
      <c r="K353" s="358">
        <v>365.76945974025944</v>
      </c>
      <c r="L353" s="543"/>
      <c r="M353" s="544"/>
      <c r="N353" s="435"/>
      <c r="O353" s="384"/>
      <c r="Q353" s="377">
        <f t="shared" si="13"/>
        <v>423</v>
      </c>
      <c r="R353" s="350">
        <v>31.81</v>
      </c>
      <c r="S353" s="351" t="str">
        <f t="shared" si="14"/>
        <v>OK</v>
      </c>
    </row>
    <row r="354" spans="1:19">
      <c r="A354" s="497">
        <v>337</v>
      </c>
      <c r="B354" s="540" t="s">
        <v>98</v>
      </c>
      <c r="C354" s="541"/>
      <c r="D354" s="542"/>
      <c r="E354" s="211">
        <v>422</v>
      </c>
      <c r="F354" s="347">
        <v>33.9</v>
      </c>
      <c r="G354" s="18">
        <v>33.501999999999995</v>
      </c>
      <c r="H354" s="18" t="s">
        <v>9</v>
      </c>
      <c r="I354" s="18">
        <v>11107.301999999985</v>
      </c>
      <c r="J354" s="18">
        <v>2664.560500000016</v>
      </c>
      <c r="K354" s="358">
        <v>366.48879298090117</v>
      </c>
      <c r="L354" s="543"/>
      <c r="M354" s="544"/>
      <c r="N354" s="435"/>
      <c r="O354" s="384"/>
      <c r="Q354" s="377">
        <f t="shared" si="13"/>
        <v>422</v>
      </c>
      <c r="R354" s="350">
        <v>33.9</v>
      </c>
      <c r="S354" s="351" t="str">
        <f t="shared" si="14"/>
        <v>OK</v>
      </c>
    </row>
    <row r="355" spans="1:19" ht="15">
      <c r="A355" s="497">
        <v>338</v>
      </c>
      <c r="B355" s="540" t="s">
        <v>98</v>
      </c>
      <c r="C355" s="541"/>
      <c r="D355" s="542"/>
      <c r="E355" s="211">
        <v>421</v>
      </c>
      <c r="F355" s="347">
        <v>33.4</v>
      </c>
      <c r="G355" s="18">
        <v>33.001999999999995</v>
      </c>
      <c r="H355" s="18" t="s">
        <v>9</v>
      </c>
      <c r="I355" s="18">
        <v>11140.303999999986</v>
      </c>
      <c r="J355" s="18">
        <v>2631.5585000000156</v>
      </c>
      <c r="K355" s="216">
        <v>367.19739054545425</v>
      </c>
      <c r="L355" s="523"/>
      <c r="M355" s="524"/>
      <c r="N355" s="435"/>
      <c r="O355" s="384"/>
      <c r="Q355" s="377">
        <f t="shared" si="13"/>
        <v>421</v>
      </c>
      <c r="R355" s="350">
        <v>33.4</v>
      </c>
      <c r="S355" s="351" t="str">
        <f t="shared" si="14"/>
        <v>OK</v>
      </c>
    </row>
    <row r="356" spans="1:19" ht="15">
      <c r="A356" s="497">
        <v>339</v>
      </c>
      <c r="B356" s="540" t="s">
        <v>98</v>
      </c>
      <c r="C356" s="541"/>
      <c r="D356" s="542"/>
      <c r="E356" s="211">
        <v>420</v>
      </c>
      <c r="F356" s="347">
        <v>33.22</v>
      </c>
      <c r="G356" s="18">
        <v>32.821999999999996</v>
      </c>
      <c r="H356" s="18" t="s">
        <v>9</v>
      </c>
      <c r="I356" s="18">
        <v>11173.125999999986</v>
      </c>
      <c r="J356" s="18">
        <v>2598.7365000000154</v>
      </c>
      <c r="K356" s="358">
        <v>367.90212326661538</v>
      </c>
      <c r="L356" s="523"/>
      <c r="M356" s="524"/>
      <c r="N356" s="435"/>
      <c r="O356" s="384"/>
      <c r="Q356" s="377">
        <f t="shared" si="13"/>
        <v>420</v>
      </c>
      <c r="R356" s="350">
        <v>33.22</v>
      </c>
      <c r="S356" s="351" t="str">
        <f t="shared" si="14"/>
        <v>OK</v>
      </c>
    </row>
    <row r="357" spans="1:19">
      <c r="A357" s="497">
        <v>340</v>
      </c>
      <c r="B357" s="540" t="s">
        <v>98</v>
      </c>
      <c r="C357" s="541"/>
      <c r="D357" s="542"/>
      <c r="E357" s="211">
        <v>419</v>
      </c>
      <c r="F357" s="347">
        <v>33.159999999999997</v>
      </c>
      <c r="G357" s="18">
        <v>32.761999999999993</v>
      </c>
      <c r="H357" s="18" t="s">
        <v>9</v>
      </c>
      <c r="I357" s="18">
        <v>11205.887999999986</v>
      </c>
      <c r="J357" s="18">
        <v>2565.9745000000148</v>
      </c>
      <c r="K357" s="358">
        <v>368.60556770664601</v>
      </c>
      <c r="L357" s="229"/>
      <c r="M357" s="173"/>
      <c r="N357" s="435"/>
      <c r="O357" s="384"/>
      <c r="Q357" s="377">
        <f t="shared" si="13"/>
        <v>419</v>
      </c>
      <c r="R357" s="350">
        <v>33.159999999999997</v>
      </c>
      <c r="S357" s="351" t="str">
        <f t="shared" si="14"/>
        <v>OK</v>
      </c>
    </row>
    <row r="358" spans="1:19">
      <c r="A358" s="497">
        <v>341</v>
      </c>
      <c r="B358" s="540" t="s">
        <v>98</v>
      </c>
      <c r="C358" s="541"/>
      <c r="D358" s="542"/>
      <c r="E358" s="211">
        <v>418</v>
      </c>
      <c r="F358" s="347">
        <v>33.33</v>
      </c>
      <c r="G358" s="18">
        <v>32.931999999999995</v>
      </c>
      <c r="H358" s="18" t="s">
        <v>9</v>
      </c>
      <c r="I358" s="18">
        <v>11238.819999999987</v>
      </c>
      <c r="J358" s="18">
        <v>2533.0425000000141</v>
      </c>
      <c r="K358" s="358">
        <v>369.31266227654669</v>
      </c>
      <c r="L358" s="229"/>
      <c r="M358" s="173"/>
      <c r="N358" s="435"/>
      <c r="O358" s="384"/>
      <c r="Q358" s="377">
        <f t="shared" si="13"/>
        <v>418</v>
      </c>
      <c r="R358" s="350">
        <v>33.33</v>
      </c>
      <c r="S358" s="351" t="str">
        <f t="shared" si="14"/>
        <v>OK</v>
      </c>
    </row>
    <row r="359" spans="1:19">
      <c r="A359" s="497">
        <v>342</v>
      </c>
      <c r="B359" s="540" t="s">
        <v>98</v>
      </c>
      <c r="C359" s="541"/>
      <c r="D359" s="542"/>
      <c r="E359" s="211">
        <v>417</v>
      </c>
      <c r="F359" s="347">
        <v>33.92</v>
      </c>
      <c r="G359" s="18">
        <v>33.521999999999998</v>
      </c>
      <c r="H359" s="18" t="s">
        <v>9</v>
      </c>
      <c r="I359" s="18">
        <v>11272.341999999988</v>
      </c>
      <c r="J359" s="18">
        <v>2499.5205000000133</v>
      </c>
      <c r="K359" s="358">
        <v>370.03242494423205</v>
      </c>
      <c r="L359" s="229"/>
      <c r="M359" s="173"/>
      <c r="N359" s="435"/>
      <c r="O359" s="384"/>
      <c r="Q359" s="377">
        <f t="shared" si="13"/>
        <v>417</v>
      </c>
      <c r="R359" s="350">
        <v>33.92</v>
      </c>
      <c r="S359" s="351" t="str">
        <f t="shared" si="14"/>
        <v>OK</v>
      </c>
    </row>
    <row r="360" spans="1:19">
      <c r="A360" s="497">
        <v>343</v>
      </c>
      <c r="B360" s="540" t="s">
        <v>98</v>
      </c>
      <c r="C360" s="541"/>
      <c r="D360" s="542"/>
      <c r="E360" s="211">
        <v>416</v>
      </c>
      <c r="F360" s="347">
        <v>33.65</v>
      </c>
      <c r="G360" s="18">
        <v>33.251999999999995</v>
      </c>
      <c r="H360" s="18" t="s">
        <v>9</v>
      </c>
      <c r="I360" s="18">
        <v>11305.593999999988</v>
      </c>
      <c r="J360" s="18">
        <v>2466.2685000000129</v>
      </c>
      <c r="K360" s="216">
        <v>370.74639034682934</v>
      </c>
      <c r="L360" s="229"/>
      <c r="M360" s="173"/>
      <c r="N360" s="435"/>
      <c r="O360" s="384"/>
      <c r="Q360" s="377">
        <f t="shared" si="13"/>
        <v>416</v>
      </c>
      <c r="R360" s="350">
        <v>33.65</v>
      </c>
      <c r="S360" s="351" t="str">
        <f t="shared" si="14"/>
        <v>OK</v>
      </c>
    </row>
    <row r="361" spans="1:19">
      <c r="A361" s="497">
        <v>344</v>
      </c>
      <c r="B361" s="540" t="s">
        <v>98</v>
      </c>
      <c r="C361" s="541"/>
      <c r="D361" s="542"/>
      <c r="E361" s="211">
        <v>415</v>
      </c>
      <c r="F361" s="347">
        <v>33.869999999999997</v>
      </c>
      <c r="G361" s="18">
        <v>33.471999999999994</v>
      </c>
      <c r="H361" s="18" t="s">
        <v>9</v>
      </c>
      <c r="I361" s="18">
        <v>11339.065999999988</v>
      </c>
      <c r="J361" s="18">
        <v>2432.7965000000131</v>
      </c>
      <c r="K361" s="358">
        <v>371.46507944690575</v>
      </c>
      <c r="L361" s="229"/>
      <c r="M361" s="173"/>
      <c r="N361" s="435"/>
      <c r="O361" s="384"/>
      <c r="Q361" s="377">
        <f t="shared" si="13"/>
        <v>415</v>
      </c>
      <c r="R361" s="350">
        <v>33.869999999999997</v>
      </c>
      <c r="S361" s="351" t="str">
        <f t="shared" si="14"/>
        <v>OK</v>
      </c>
    </row>
    <row r="362" spans="1:19">
      <c r="A362" s="497">
        <v>345</v>
      </c>
      <c r="B362" s="540" t="s">
        <v>98</v>
      </c>
      <c r="C362" s="541"/>
      <c r="D362" s="542"/>
      <c r="E362" s="211">
        <v>414</v>
      </c>
      <c r="F362" s="347">
        <v>33.4</v>
      </c>
      <c r="G362" s="18">
        <v>33.001999999999995</v>
      </c>
      <c r="H362" s="18" t="s">
        <v>9</v>
      </c>
      <c r="I362" s="18">
        <v>11372.067999999988</v>
      </c>
      <c r="J362" s="18">
        <v>2399.7945000000127</v>
      </c>
      <c r="K362" s="358">
        <v>372.17367701145884</v>
      </c>
      <c r="L362" s="229"/>
      <c r="M362" s="173"/>
      <c r="N362" s="435"/>
      <c r="O362" s="384"/>
      <c r="Q362" s="377">
        <f t="shared" si="13"/>
        <v>414</v>
      </c>
      <c r="R362" s="350">
        <v>33.4</v>
      </c>
      <c r="S362" s="351" t="str">
        <f t="shared" si="14"/>
        <v>OK</v>
      </c>
    </row>
    <row r="363" spans="1:19">
      <c r="A363" s="497">
        <v>346</v>
      </c>
      <c r="B363" s="540" t="s">
        <v>98</v>
      </c>
      <c r="C363" s="541"/>
      <c r="D363" s="542"/>
      <c r="E363" s="211">
        <v>413</v>
      </c>
      <c r="F363" s="347">
        <v>33.49</v>
      </c>
      <c r="G363" s="18">
        <v>33.091999999999999</v>
      </c>
      <c r="H363" s="18" t="s">
        <v>9</v>
      </c>
      <c r="I363" s="18">
        <v>11405.159999999989</v>
      </c>
      <c r="J363" s="18">
        <v>2366.7025000000122</v>
      </c>
      <c r="K363" s="358">
        <v>372.88420699770791</v>
      </c>
      <c r="L363" s="229"/>
      <c r="M363" s="173"/>
      <c r="N363" s="435"/>
      <c r="O363" s="384"/>
      <c r="Q363" s="377">
        <f t="shared" si="13"/>
        <v>413</v>
      </c>
      <c r="R363" s="350">
        <v>33.49</v>
      </c>
      <c r="S363" s="351" t="str">
        <f t="shared" si="14"/>
        <v>OK</v>
      </c>
    </row>
    <row r="364" spans="1:19">
      <c r="A364" s="497">
        <v>347</v>
      </c>
      <c r="B364" s="540" t="s">
        <v>98</v>
      </c>
      <c r="C364" s="541"/>
      <c r="D364" s="542"/>
      <c r="E364" s="211">
        <v>412</v>
      </c>
      <c r="F364" s="347">
        <v>33.65</v>
      </c>
      <c r="G364" s="18">
        <v>33.251999999999995</v>
      </c>
      <c r="H364" s="18" t="s">
        <v>9</v>
      </c>
      <c r="I364" s="18">
        <v>11438.411999999989</v>
      </c>
      <c r="J364" s="18">
        <v>2333.4505000000117</v>
      </c>
      <c r="K364" s="358">
        <v>373.59817240030532</v>
      </c>
      <c r="L364" s="229"/>
      <c r="M364" s="173"/>
      <c r="N364" s="435"/>
      <c r="O364" s="384"/>
      <c r="Q364" s="377">
        <f t="shared" si="13"/>
        <v>412</v>
      </c>
      <c r="R364" s="350">
        <v>33.65</v>
      </c>
      <c r="S364" s="351" t="str">
        <f t="shared" si="14"/>
        <v>OK</v>
      </c>
    </row>
    <row r="365" spans="1:19">
      <c r="A365" s="497">
        <v>348</v>
      </c>
      <c r="B365" s="540" t="s">
        <v>98</v>
      </c>
      <c r="C365" s="541"/>
      <c r="D365" s="542"/>
      <c r="E365" s="211">
        <v>411</v>
      </c>
      <c r="F365" s="347">
        <v>33.64</v>
      </c>
      <c r="G365" s="18">
        <v>33.241999999999997</v>
      </c>
      <c r="H365" s="18" t="s">
        <v>9</v>
      </c>
      <c r="I365" s="18">
        <v>11471.65399999999</v>
      </c>
      <c r="J365" s="18">
        <v>2300.2085000000116</v>
      </c>
      <c r="K365" s="216">
        <v>374.31192308938103</v>
      </c>
      <c r="L365" s="229"/>
      <c r="M365" s="173"/>
      <c r="N365" s="435"/>
      <c r="O365" s="384"/>
      <c r="Q365" s="377">
        <f t="shared" si="13"/>
        <v>411</v>
      </c>
      <c r="R365" s="350">
        <v>33.64</v>
      </c>
      <c r="S365" s="351" t="str">
        <f t="shared" si="14"/>
        <v>OK</v>
      </c>
    </row>
    <row r="366" spans="1:19">
      <c r="A366" s="497">
        <v>349</v>
      </c>
      <c r="B366" s="540" t="s">
        <v>98</v>
      </c>
      <c r="C366" s="541"/>
      <c r="D366" s="542"/>
      <c r="E366" s="211">
        <v>410</v>
      </c>
      <c r="F366" s="347">
        <v>33.549999999999997</v>
      </c>
      <c r="G366" s="18">
        <v>33.151999999999994</v>
      </c>
      <c r="H366" s="18" t="s">
        <v>9</v>
      </c>
      <c r="I366" s="18">
        <v>11504.80599999999</v>
      </c>
      <c r="J366" s="18">
        <v>2267.0565000000115</v>
      </c>
      <c r="K366" s="358">
        <v>375.02374135676064</v>
      </c>
      <c r="L366" s="229"/>
      <c r="M366" s="173"/>
      <c r="N366" s="435"/>
      <c r="O366" s="384"/>
      <c r="Q366" s="377">
        <f t="shared" si="13"/>
        <v>410</v>
      </c>
      <c r="R366" s="350">
        <v>33.549999999999997</v>
      </c>
      <c r="S366" s="351" t="str">
        <f t="shared" si="14"/>
        <v>OK</v>
      </c>
    </row>
    <row r="367" spans="1:19">
      <c r="A367" s="497">
        <v>350</v>
      </c>
      <c r="B367" s="540" t="s">
        <v>98</v>
      </c>
      <c r="C367" s="541"/>
      <c r="D367" s="542"/>
      <c r="E367" s="211">
        <v>409</v>
      </c>
      <c r="F367" s="347">
        <v>33.020000000000003</v>
      </c>
      <c r="G367" s="18">
        <v>32.622</v>
      </c>
      <c r="H367" s="18" t="s">
        <v>9</v>
      </c>
      <c r="I367" s="18">
        <v>11537.427999999989</v>
      </c>
      <c r="J367" s="18">
        <v>2234.4345000000121</v>
      </c>
      <c r="K367" s="358">
        <v>375.72417980748639</v>
      </c>
      <c r="L367" s="229"/>
      <c r="M367" s="173"/>
      <c r="N367" s="435"/>
      <c r="O367" s="384"/>
      <c r="Q367" s="377">
        <f t="shared" si="13"/>
        <v>409</v>
      </c>
      <c r="R367" s="350">
        <v>33.020000000000003</v>
      </c>
      <c r="S367" s="351" t="str">
        <f t="shared" si="14"/>
        <v>OK</v>
      </c>
    </row>
    <row r="368" spans="1:19">
      <c r="A368" s="497">
        <v>351</v>
      </c>
      <c r="B368" s="540" t="s">
        <v>98</v>
      </c>
      <c r="C368" s="541"/>
      <c r="D368" s="542"/>
      <c r="E368" s="211">
        <v>408</v>
      </c>
      <c r="F368" s="347">
        <v>33.4</v>
      </c>
      <c r="G368" s="18">
        <v>33.001999999999995</v>
      </c>
      <c r="H368" s="18" t="s">
        <v>9</v>
      </c>
      <c r="I368" s="18">
        <v>11570.429999999989</v>
      </c>
      <c r="J368" s="18">
        <v>2201.4325000000117</v>
      </c>
      <c r="K368" s="358">
        <v>376.43277737203948</v>
      </c>
      <c r="L368" s="229"/>
      <c r="M368" s="173"/>
      <c r="N368" s="435"/>
      <c r="O368" s="384"/>
      <c r="Q368" s="377">
        <f t="shared" si="13"/>
        <v>408</v>
      </c>
      <c r="R368" s="350">
        <v>33.4</v>
      </c>
      <c r="S368" s="351" t="str">
        <f t="shared" si="14"/>
        <v>OK</v>
      </c>
    </row>
    <row r="369" spans="1:19">
      <c r="A369" s="497">
        <v>352</v>
      </c>
      <c r="B369" s="540" t="s">
        <v>98</v>
      </c>
      <c r="C369" s="541"/>
      <c r="D369" s="542"/>
      <c r="E369" s="211">
        <v>407</v>
      </c>
      <c r="F369" s="347">
        <v>33.380000000000003</v>
      </c>
      <c r="G369" s="18">
        <v>32.981999999999999</v>
      </c>
      <c r="H369" s="18" t="s">
        <v>9</v>
      </c>
      <c r="I369" s="18">
        <v>11603.411999999989</v>
      </c>
      <c r="J369" s="18">
        <v>2168.4505000000117</v>
      </c>
      <c r="K369" s="358">
        <v>377.14094550954906</v>
      </c>
      <c r="L369" s="229"/>
      <c r="M369" s="173"/>
      <c r="N369" s="435"/>
      <c r="O369" s="384"/>
      <c r="Q369" s="377">
        <f>E369</f>
        <v>407</v>
      </c>
      <c r="R369" s="350">
        <v>33.380000000000003</v>
      </c>
      <c r="S369" s="351" t="str">
        <f>IF(F369-R369=0,"OK","FALSE")</f>
        <v>OK</v>
      </c>
    </row>
    <row r="370" spans="1:19">
      <c r="A370" s="497">
        <v>353</v>
      </c>
      <c r="B370" s="540" t="s">
        <v>98</v>
      </c>
      <c r="C370" s="541"/>
      <c r="D370" s="542"/>
      <c r="E370" s="211">
        <v>406</v>
      </c>
      <c r="F370" s="347">
        <v>33.369999999999997</v>
      </c>
      <c r="G370" s="18">
        <v>32.971999999999994</v>
      </c>
      <c r="H370" s="18" t="s">
        <v>9</v>
      </c>
      <c r="I370" s="18">
        <v>11636.383999999989</v>
      </c>
      <c r="J370" s="18">
        <v>2135.478500000012</v>
      </c>
      <c r="K370" s="358">
        <v>377.84889893353682</v>
      </c>
      <c r="L370" s="229"/>
      <c r="M370" s="173"/>
      <c r="N370" s="435"/>
      <c r="O370" s="384"/>
      <c r="Q370" s="377">
        <f t="shared" si="13"/>
        <v>406</v>
      </c>
      <c r="R370" s="350">
        <v>33.369999999999997</v>
      </c>
      <c r="S370" s="351" t="str">
        <f t="shared" si="14"/>
        <v>OK</v>
      </c>
    </row>
    <row r="371" spans="1:19">
      <c r="A371" s="497">
        <v>354</v>
      </c>
      <c r="B371" s="540" t="s">
        <v>98</v>
      </c>
      <c r="C371" s="541"/>
      <c r="D371" s="542"/>
      <c r="E371" s="211">
        <v>405</v>
      </c>
      <c r="F371" s="347">
        <v>33.770000000000003</v>
      </c>
      <c r="G371" s="18">
        <v>33.372</v>
      </c>
      <c r="H371" s="18" t="s">
        <v>9</v>
      </c>
      <c r="I371" s="18">
        <v>11669.755999999988</v>
      </c>
      <c r="J371" s="18">
        <v>2102.1065000000126</v>
      </c>
      <c r="K371" s="358">
        <v>378.56544089839548</v>
      </c>
      <c r="L371" s="229"/>
      <c r="M371" s="173"/>
      <c r="N371" s="435"/>
      <c r="O371" s="384"/>
      <c r="Q371" s="377">
        <f t="shared" si="13"/>
        <v>405</v>
      </c>
      <c r="R371" s="350">
        <v>33.770000000000003</v>
      </c>
      <c r="S371" s="351" t="str">
        <f t="shared" si="14"/>
        <v>OK</v>
      </c>
    </row>
    <row r="372" spans="1:19">
      <c r="A372" s="497">
        <v>355</v>
      </c>
      <c r="B372" s="540" t="s">
        <v>98</v>
      </c>
      <c r="C372" s="541"/>
      <c r="D372" s="542"/>
      <c r="E372" s="211">
        <v>404</v>
      </c>
      <c r="F372" s="347">
        <v>33.94</v>
      </c>
      <c r="G372" s="18">
        <v>33.541999999999994</v>
      </c>
      <c r="H372" s="18" t="s">
        <v>9</v>
      </c>
      <c r="I372" s="18">
        <v>11703.297999999988</v>
      </c>
      <c r="J372" s="18">
        <v>2068.5645000000131</v>
      </c>
      <c r="K372" s="216">
        <v>379.28563299312424</v>
      </c>
      <c r="L372" s="229"/>
      <c r="M372" s="173"/>
      <c r="N372" s="435"/>
      <c r="O372" s="384"/>
      <c r="Q372" s="377">
        <f t="shared" si="13"/>
        <v>404</v>
      </c>
      <c r="R372" s="350">
        <v>33.94</v>
      </c>
      <c r="S372" s="351" t="str">
        <f t="shared" si="14"/>
        <v>OK</v>
      </c>
    </row>
    <row r="373" spans="1:19">
      <c r="A373" s="497">
        <v>356</v>
      </c>
      <c r="B373" s="540" t="s">
        <v>98</v>
      </c>
      <c r="C373" s="541"/>
      <c r="D373" s="542"/>
      <c r="E373" s="211">
        <v>403</v>
      </c>
      <c r="F373" s="347">
        <v>32.92</v>
      </c>
      <c r="G373" s="18">
        <v>32.521999999999998</v>
      </c>
      <c r="H373" s="18" t="s">
        <v>9</v>
      </c>
      <c r="I373" s="18">
        <v>11735.819999999989</v>
      </c>
      <c r="J373" s="18">
        <v>2036.0425000000123</v>
      </c>
      <c r="K373" s="358">
        <v>379.98392430863237</v>
      </c>
      <c r="L373" s="229"/>
      <c r="M373" s="173"/>
      <c r="N373" s="435"/>
      <c r="O373" s="384"/>
      <c r="Q373" s="377">
        <f t="shared" si="13"/>
        <v>403</v>
      </c>
      <c r="R373" s="350">
        <v>32.92</v>
      </c>
      <c r="S373" s="351" t="str">
        <f t="shared" si="14"/>
        <v>OK</v>
      </c>
    </row>
    <row r="374" spans="1:19">
      <c r="A374" s="497">
        <v>357</v>
      </c>
      <c r="B374" s="540" t="s">
        <v>98</v>
      </c>
      <c r="C374" s="541"/>
      <c r="D374" s="542"/>
      <c r="E374" s="211">
        <v>402</v>
      </c>
      <c r="F374" s="347">
        <v>33.94</v>
      </c>
      <c r="G374" s="18">
        <v>33.541999999999994</v>
      </c>
      <c r="H374" s="18" t="s">
        <v>9</v>
      </c>
      <c r="I374" s="18">
        <v>11769.361999999988</v>
      </c>
      <c r="J374" s="18">
        <v>2002.5005000000128</v>
      </c>
      <c r="K374" s="358">
        <v>380.70411640336113</v>
      </c>
      <c r="L374" s="229"/>
      <c r="M374" s="173"/>
      <c r="N374" s="435"/>
      <c r="O374" s="384"/>
      <c r="Q374" s="377">
        <f t="shared" si="13"/>
        <v>402</v>
      </c>
      <c r="R374" s="350">
        <v>33.94</v>
      </c>
      <c r="S374" s="351" t="str">
        <f t="shared" si="14"/>
        <v>OK</v>
      </c>
    </row>
    <row r="375" spans="1:19">
      <c r="A375" s="497">
        <v>358</v>
      </c>
      <c r="B375" s="540" t="s">
        <v>98</v>
      </c>
      <c r="C375" s="541"/>
      <c r="D375" s="542"/>
      <c r="E375" s="211">
        <v>401</v>
      </c>
      <c r="F375" s="347">
        <v>33.93</v>
      </c>
      <c r="G375" s="18">
        <v>33.531999999999996</v>
      </c>
      <c r="H375" s="18" t="s">
        <v>9</v>
      </c>
      <c r="I375" s="18">
        <v>11802.893999999987</v>
      </c>
      <c r="J375" s="18">
        <v>1968.9685000000136</v>
      </c>
      <c r="K375" s="358">
        <v>381.42409378456807</v>
      </c>
      <c r="L375" s="229"/>
      <c r="M375" s="173"/>
      <c r="N375" s="435"/>
      <c r="O375" s="384"/>
      <c r="Q375" s="377">
        <f t="shared" si="13"/>
        <v>401</v>
      </c>
      <c r="R375" s="350">
        <v>33.93</v>
      </c>
      <c r="S375" s="351" t="str">
        <f t="shared" si="14"/>
        <v>OK</v>
      </c>
    </row>
    <row r="376" spans="1:19">
      <c r="A376" s="497">
        <v>359</v>
      </c>
      <c r="B376" s="540" t="s">
        <v>98</v>
      </c>
      <c r="C376" s="541"/>
      <c r="D376" s="542"/>
      <c r="E376" s="211">
        <v>400</v>
      </c>
      <c r="F376" s="347">
        <v>33.11</v>
      </c>
      <c r="G376" s="18">
        <v>32.711999999999996</v>
      </c>
      <c r="H376" s="18" t="s">
        <v>9</v>
      </c>
      <c r="I376" s="18">
        <v>11835.605999999987</v>
      </c>
      <c r="J376" s="18">
        <v>1936.2565000000141</v>
      </c>
      <c r="K376" s="358">
        <v>382.12646465698981</v>
      </c>
      <c r="L376" s="229"/>
      <c r="M376" s="173"/>
      <c r="N376" s="435"/>
      <c r="O376" s="384"/>
      <c r="Q376" s="377">
        <f t="shared" si="13"/>
        <v>400</v>
      </c>
      <c r="R376" s="350">
        <v>33.11</v>
      </c>
      <c r="S376" s="351" t="str">
        <f t="shared" si="14"/>
        <v>OK</v>
      </c>
    </row>
    <row r="377" spans="1:19">
      <c r="A377" s="497">
        <v>360</v>
      </c>
      <c r="B377" s="540" t="s">
        <v>98</v>
      </c>
      <c r="C377" s="541"/>
      <c r="D377" s="542"/>
      <c r="E377" s="211">
        <v>399</v>
      </c>
      <c r="F377" s="347">
        <v>33.94</v>
      </c>
      <c r="G377" s="18">
        <v>33.541999999999994</v>
      </c>
      <c r="H377" s="18" t="s">
        <v>9</v>
      </c>
      <c r="I377" s="18">
        <v>11869.147999999986</v>
      </c>
      <c r="J377" s="18">
        <v>1902.7145000000146</v>
      </c>
      <c r="K377" s="358">
        <v>382.84665675171857</v>
      </c>
      <c r="L377" s="229"/>
      <c r="M377" s="173"/>
      <c r="N377" s="435"/>
      <c r="O377" s="384"/>
      <c r="Q377" s="377">
        <f t="shared" si="13"/>
        <v>399</v>
      </c>
      <c r="R377" s="350">
        <v>33.94</v>
      </c>
      <c r="S377" s="351" t="str">
        <f t="shared" si="14"/>
        <v>OK</v>
      </c>
    </row>
    <row r="378" spans="1:19">
      <c r="A378" s="497">
        <v>361</v>
      </c>
      <c r="B378" s="540" t="s">
        <v>98</v>
      </c>
      <c r="C378" s="541"/>
      <c r="D378" s="542"/>
      <c r="E378" s="211">
        <v>398</v>
      </c>
      <c r="F378" s="347">
        <v>33.49</v>
      </c>
      <c r="G378" s="18">
        <v>33.091999999999999</v>
      </c>
      <c r="H378" s="18" t="s">
        <v>9</v>
      </c>
      <c r="I378" s="18">
        <v>11902.239999999987</v>
      </c>
      <c r="J378" s="18">
        <v>1869.622500000014</v>
      </c>
      <c r="K378" s="358">
        <v>383.55718673796764</v>
      </c>
      <c r="L378" s="229"/>
      <c r="M378" s="173"/>
      <c r="N378" s="435"/>
      <c r="O378" s="384"/>
      <c r="Q378" s="377">
        <f t="shared" si="13"/>
        <v>398</v>
      </c>
      <c r="R378" s="350">
        <v>33.49</v>
      </c>
      <c r="S378" s="351" t="str">
        <f t="shared" si="14"/>
        <v>OK</v>
      </c>
    </row>
    <row r="379" spans="1:19">
      <c r="A379" s="497">
        <v>362</v>
      </c>
      <c r="B379" s="540" t="s">
        <v>98</v>
      </c>
      <c r="C379" s="541"/>
      <c r="D379" s="542"/>
      <c r="E379" s="211">
        <v>397</v>
      </c>
      <c r="F379" s="347">
        <v>33.86</v>
      </c>
      <c r="G379" s="18">
        <v>33.461999999999996</v>
      </c>
      <c r="H379" s="18" t="s">
        <v>9</v>
      </c>
      <c r="I379" s="18">
        <v>11935.701999999987</v>
      </c>
      <c r="J379" s="18">
        <v>1836.1605000000145</v>
      </c>
      <c r="K379" s="216">
        <v>384.27566112452223</v>
      </c>
      <c r="L379" s="229"/>
      <c r="M379" s="173"/>
      <c r="N379" s="435"/>
      <c r="O379" s="384"/>
      <c r="Q379" s="377">
        <f t="shared" si="13"/>
        <v>397</v>
      </c>
      <c r="R379" s="350">
        <v>33.86</v>
      </c>
      <c r="S379" s="351" t="str">
        <f t="shared" si="14"/>
        <v>OK</v>
      </c>
    </row>
    <row r="380" spans="1:19">
      <c r="A380" s="497">
        <v>363</v>
      </c>
      <c r="B380" s="540" t="s">
        <v>98</v>
      </c>
      <c r="C380" s="541"/>
      <c r="D380" s="542"/>
      <c r="E380" s="211">
        <v>396</v>
      </c>
      <c r="F380" s="347">
        <v>33.69</v>
      </c>
      <c r="G380" s="18">
        <v>33.291999999999994</v>
      </c>
      <c r="H380" s="18" t="s">
        <v>9</v>
      </c>
      <c r="I380" s="18">
        <v>11968.993999999986</v>
      </c>
      <c r="J380" s="18">
        <v>1802.868500000015</v>
      </c>
      <c r="K380" s="358">
        <v>384.99048538120672</v>
      </c>
      <c r="L380" s="229"/>
      <c r="M380" s="173"/>
      <c r="N380" s="435"/>
      <c r="O380" s="384"/>
      <c r="Q380" s="377">
        <f t="shared" si="13"/>
        <v>396</v>
      </c>
      <c r="R380" s="350">
        <v>33.69</v>
      </c>
      <c r="S380" s="351" t="str">
        <f t="shared" si="14"/>
        <v>OK</v>
      </c>
    </row>
    <row r="381" spans="1:19">
      <c r="A381" s="497">
        <v>364</v>
      </c>
      <c r="B381" s="540" t="s">
        <v>98</v>
      </c>
      <c r="C381" s="541"/>
      <c r="D381" s="542"/>
      <c r="E381" s="211">
        <v>395</v>
      </c>
      <c r="F381" s="347">
        <v>33.450000000000003</v>
      </c>
      <c r="G381" s="18">
        <v>33.052</v>
      </c>
      <c r="H381" s="18" t="s">
        <v>9</v>
      </c>
      <c r="I381" s="18">
        <v>12002.045999999986</v>
      </c>
      <c r="J381" s="18">
        <v>1769.8165000000154</v>
      </c>
      <c r="K381" s="358">
        <v>385.70015651336871</v>
      </c>
      <c r="L381" s="229"/>
      <c r="M381" s="173"/>
      <c r="N381" s="435"/>
      <c r="O381" s="384"/>
      <c r="Q381" s="377">
        <f t="shared" si="13"/>
        <v>395</v>
      </c>
      <c r="R381" s="350">
        <v>33.450000000000003</v>
      </c>
      <c r="S381" s="351" t="str">
        <f t="shared" si="14"/>
        <v>OK</v>
      </c>
    </row>
    <row r="382" spans="1:19">
      <c r="A382" s="497">
        <v>365</v>
      </c>
      <c r="B382" s="540" t="s">
        <v>98</v>
      </c>
      <c r="C382" s="541"/>
      <c r="D382" s="542"/>
      <c r="E382" s="211">
        <v>394</v>
      </c>
      <c r="F382" s="347">
        <v>33.700000000000003</v>
      </c>
      <c r="G382" s="18">
        <v>33.302</v>
      </c>
      <c r="H382" s="18" t="s">
        <v>9</v>
      </c>
      <c r="I382" s="18">
        <v>12035.347999999985</v>
      </c>
      <c r="J382" s="18">
        <v>1736.5145000000157</v>
      </c>
      <c r="K382" s="358">
        <v>386.41519548357496</v>
      </c>
      <c r="L382" s="229"/>
      <c r="M382" s="173"/>
      <c r="N382" s="435"/>
      <c r="O382" s="384"/>
      <c r="Q382" s="377">
        <f t="shared" si="13"/>
        <v>394</v>
      </c>
      <c r="R382" s="350">
        <v>33.700000000000003</v>
      </c>
      <c r="S382" s="351" t="str">
        <f t="shared" si="14"/>
        <v>OK</v>
      </c>
    </row>
    <row r="383" spans="1:19">
      <c r="A383" s="497">
        <v>366</v>
      </c>
      <c r="B383" s="540" t="s">
        <v>98</v>
      </c>
      <c r="C383" s="541"/>
      <c r="D383" s="542"/>
      <c r="E383" s="211">
        <v>393</v>
      </c>
      <c r="F383" s="347">
        <v>33.92</v>
      </c>
      <c r="G383" s="18">
        <v>33.521999999999998</v>
      </c>
      <c r="H383" s="18" t="s">
        <v>9</v>
      </c>
      <c r="I383" s="18">
        <v>12068.869999999986</v>
      </c>
      <c r="J383" s="18">
        <v>1702.9925000000148</v>
      </c>
      <c r="K383" s="358">
        <v>387.13495815126021</v>
      </c>
      <c r="L383" s="229"/>
      <c r="M383" s="173"/>
      <c r="N383" s="435"/>
      <c r="O383" s="384"/>
      <c r="Q383" s="377">
        <f t="shared" si="13"/>
        <v>393</v>
      </c>
      <c r="R383" s="350">
        <v>33.92</v>
      </c>
      <c r="S383" s="351" t="str">
        <f t="shared" si="14"/>
        <v>OK</v>
      </c>
    </row>
    <row r="384" spans="1:19">
      <c r="A384" s="497">
        <v>367</v>
      </c>
      <c r="B384" s="540" t="s">
        <v>98</v>
      </c>
      <c r="C384" s="541"/>
      <c r="D384" s="542"/>
      <c r="E384" s="211">
        <v>392</v>
      </c>
      <c r="F384" s="347">
        <v>33.79</v>
      </c>
      <c r="G384" s="18">
        <v>33.391999999999996</v>
      </c>
      <c r="H384" s="18" t="s">
        <v>9</v>
      </c>
      <c r="I384" s="18">
        <v>12102.261999999986</v>
      </c>
      <c r="J384" s="18">
        <v>1669.600500000015</v>
      </c>
      <c r="K384" s="358">
        <v>387.85192954316244</v>
      </c>
      <c r="L384" s="229"/>
      <c r="M384" s="173"/>
      <c r="N384" s="435"/>
      <c r="O384" s="384"/>
      <c r="Q384" s="377">
        <f t="shared" si="13"/>
        <v>392</v>
      </c>
      <c r="R384" s="350">
        <v>33.79</v>
      </c>
      <c r="S384" s="351" t="str">
        <f t="shared" si="14"/>
        <v>OK</v>
      </c>
    </row>
    <row r="385" spans="1:19">
      <c r="A385" s="497">
        <v>368</v>
      </c>
      <c r="B385" s="540" t="s">
        <v>98</v>
      </c>
      <c r="C385" s="541"/>
      <c r="D385" s="542"/>
      <c r="E385" s="211">
        <v>391</v>
      </c>
      <c r="F385" s="347">
        <v>33.24</v>
      </c>
      <c r="G385" s="18">
        <v>32.841999999999999</v>
      </c>
      <c r="H385" s="18" t="s">
        <v>9</v>
      </c>
      <c r="I385" s="18">
        <v>12135.103999999987</v>
      </c>
      <c r="J385" s="18">
        <v>1636.7585000000145</v>
      </c>
      <c r="K385" s="358">
        <v>388.55709169136719</v>
      </c>
      <c r="L385" s="229"/>
      <c r="M385" s="173"/>
      <c r="N385" s="435"/>
      <c r="O385" s="384"/>
      <c r="Q385" s="377">
        <f t="shared" si="13"/>
        <v>391</v>
      </c>
      <c r="R385" s="350">
        <v>33.24</v>
      </c>
      <c r="S385" s="351" t="str">
        <f t="shared" si="14"/>
        <v>OK</v>
      </c>
    </row>
    <row r="386" spans="1:19">
      <c r="A386" s="497">
        <v>369</v>
      </c>
      <c r="B386" s="540" t="s">
        <v>98</v>
      </c>
      <c r="C386" s="541"/>
      <c r="D386" s="542"/>
      <c r="E386" s="211">
        <v>390</v>
      </c>
      <c r="F386" s="347">
        <v>33.92</v>
      </c>
      <c r="G386" s="18">
        <v>33.521999999999998</v>
      </c>
      <c r="H386" s="18" t="s">
        <v>9</v>
      </c>
      <c r="I386" s="18">
        <v>12168.625999999987</v>
      </c>
      <c r="J386" s="18">
        <v>1603.2365000000136</v>
      </c>
      <c r="K386" s="216">
        <v>389.27685435905244</v>
      </c>
      <c r="L386" s="229"/>
      <c r="M386" s="173"/>
      <c r="N386" s="435"/>
      <c r="O386" s="384"/>
      <c r="Q386" s="377">
        <f t="shared" si="13"/>
        <v>390</v>
      </c>
      <c r="R386" s="350">
        <v>33.92</v>
      </c>
      <c r="S386" s="351" t="str">
        <f t="shared" si="14"/>
        <v>OK</v>
      </c>
    </row>
    <row r="387" spans="1:19">
      <c r="A387" s="497">
        <v>370</v>
      </c>
      <c r="B387" s="540" t="s">
        <v>98</v>
      </c>
      <c r="C387" s="541"/>
      <c r="D387" s="542"/>
      <c r="E387" s="211">
        <v>389</v>
      </c>
      <c r="F387" s="347">
        <v>32.92</v>
      </c>
      <c r="G387" s="18">
        <v>32.521999999999998</v>
      </c>
      <c r="H387" s="18" t="s">
        <v>9</v>
      </c>
      <c r="I387" s="18">
        <v>12201.147999999988</v>
      </c>
      <c r="J387" s="18">
        <v>1570.7145000000128</v>
      </c>
      <c r="K387" s="358">
        <v>389.97514567456051</v>
      </c>
      <c r="L387" s="229"/>
      <c r="M387" s="173"/>
      <c r="N387" s="435"/>
      <c r="O387" s="384"/>
      <c r="Q387" s="377">
        <f t="shared" si="13"/>
        <v>389</v>
      </c>
      <c r="R387" s="350">
        <v>32.92</v>
      </c>
      <c r="S387" s="351" t="str">
        <f t="shared" si="14"/>
        <v>OK</v>
      </c>
    </row>
    <row r="388" spans="1:19">
      <c r="A388" s="497">
        <v>371</v>
      </c>
      <c r="B388" s="540" t="s">
        <v>98</v>
      </c>
      <c r="C388" s="541"/>
      <c r="D388" s="542"/>
      <c r="E388" s="211">
        <v>388</v>
      </c>
      <c r="F388" s="347">
        <v>31.17</v>
      </c>
      <c r="G388" s="18">
        <v>30.772000000000002</v>
      </c>
      <c r="H388" s="18" t="s">
        <v>9</v>
      </c>
      <c r="I388" s="18">
        <v>12231.919999999989</v>
      </c>
      <c r="J388" s="18">
        <v>1539.9425000000119</v>
      </c>
      <c r="K388" s="358">
        <v>390.63586212375833</v>
      </c>
      <c r="L388" s="229"/>
      <c r="M388" s="173"/>
      <c r="N388" s="435"/>
      <c r="O388" s="384"/>
      <c r="Q388" s="377">
        <f t="shared" si="13"/>
        <v>388</v>
      </c>
      <c r="R388" s="350">
        <v>31.17</v>
      </c>
      <c r="S388" s="351" t="str">
        <f t="shared" si="14"/>
        <v>OK</v>
      </c>
    </row>
    <row r="389" spans="1:19">
      <c r="A389" s="497">
        <v>372</v>
      </c>
      <c r="B389" s="540" t="s">
        <v>98</v>
      </c>
      <c r="C389" s="541"/>
      <c r="D389" s="542"/>
      <c r="E389" s="211">
        <v>387</v>
      </c>
      <c r="F389" s="347">
        <v>33.130000000000003</v>
      </c>
      <c r="G389" s="18">
        <v>32.731999999999999</v>
      </c>
      <c r="H389" s="18" t="s">
        <v>9</v>
      </c>
      <c r="I389" s="18">
        <v>12264.651999999989</v>
      </c>
      <c r="J389" s="18">
        <v>1507.210500000012</v>
      </c>
      <c r="K389" s="358">
        <v>391.33866242322358</v>
      </c>
      <c r="L389" s="229"/>
      <c r="M389" s="173"/>
      <c r="N389" s="435"/>
      <c r="O389" s="384"/>
      <c r="Q389" s="377">
        <f t="shared" si="13"/>
        <v>387</v>
      </c>
      <c r="R389" s="350">
        <v>33.130000000000003</v>
      </c>
      <c r="S389" s="351" t="str">
        <f t="shared" si="14"/>
        <v>OK</v>
      </c>
    </row>
    <row r="390" spans="1:19">
      <c r="A390" s="497">
        <v>373</v>
      </c>
      <c r="B390" s="540" t="s">
        <v>98</v>
      </c>
      <c r="C390" s="541"/>
      <c r="D390" s="542"/>
      <c r="E390" s="211">
        <v>386</v>
      </c>
      <c r="F390" s="347">
        <v>32.82</v>
      </c>
      <c r="G390" s="18">
        <v>32.421999999999997</v>
      </c>
      <c r="H390" s="18" t="s">
        <v>9</v>
      </c>
      <c r="I390" s="18">
        <v>12297.07399999999</v>
      </c>
      <c r="J390" s="18">
        <v>1474.7885000000115</v>
      </c>
      <c r="K390" s="358">
        <v>392.03480660351391</v>
      </c>
      <c r="L390" s="229"/>
      <c r="M390" s="173"/>
      <c r="N390" s="474"/>
      <c r="O390" s="384"/>
      <c r="Q390" s="377">
        <f t="shared" si="13"/>
        <v>386</v>
      </c>
      <c r="R390" s="350">
        <v>32.82</v>
      </c>
      <c r="S390" s="351" t="str">
        <f t="shared" si="14"/>
        <v>OK</v>
      </c>
    </row>
    <row r="391" spans="1:19">
      <c r="A391" s="497">
        <v>374</v>
      </c>
      <c r="B391" s="540" t="s">
        <v>98</v>
      </c>
      <c r="C391" s="541"/>
      <c r="D391" s="542"/>
      <c r="E391" s="211">
        <v>385</v>
      </c>
      <c r="F391" s="347">
        <v>32.79</v>
      </c>
      <c r="G391" s="18">
        <v>32.391999999999996</v>
      </c>
      <c r="H391" s="18" t="s">
        <v>9</v>
      </c>
      <c r="I391" s="18">
        <v>12329.465999999989</v>
      </c>
      <c r="J391" s="18">
        <v>1442.3965000000117</v>
      </c>
      <c r="K391" s="216">
        <v>392.73030664323892</v>
      </c>
      <c r="L391" s="229"/>
      <c r="M391" s="173"/>
      <c r="N391" s="474"/>
      <c r="O391" s="384"/>
      <c r="Q391" s="377">
        <f t="shared" si="13"/>
        <v>385</v>
      </c>
      <c r="R391" s="350">
        <v>32.79</v>
      </c>
      <c r="S391" s="351" t="str">
        <f t="shared" ref="S391:S443" si="15">IF(F391-R391=0,"OK","FALSE")</f>
        <v>OK</v>
      </c>
    </row>
    <row r="392" spans="1:19">
      <c r="A392" s="497">
        <v>375</v>
      </c>
      <c r="B392" s="540" t="s">
        <v>98</v>
      </c>
      <c r="C392" s="541"/>
      <c r="D392" s="542"/>
      <c r="E392" s="211">
        <v>384</v>
      </c>
      <c r="F392" s="347">
        <v>33.76</v>
      </c>
      <c r="G392" s="18">
        <v>33.361999999999995</v>
      </c>
      <c r="H392" s="18" t="s">
        <v>9</v>
      </c>
      <c r="I392" s="18">
        <v>12362.827999999989</v>
      </c>
      <c r="J392" s="18">
        <v>1409.0345000000125</v>
      </c>
      <c r="K392" s="358">
        <v>393.44663389457577</v>
      </c>
      <c r="L392" s="229"/>
      <c r="M392" s="173"/>
      <c r="N392" s="474"/>
      <c r="O392" s="384"/>
      <c r="Q392" s="377">
        <f t="shared" si="13"/>
        <v>384</v>
      </c>
      <c r="R392" s="350">
        <v>33.76</v>
      </c>
      <c r="S392" s="351" t="str">
        <f t="shared" si="15"/>
        <v>OK</v>
      </c>
    </row>
    <row r="393" spans="1:19">
      <c r="A393" s="497">
        <v>376</v>
      </c>
      <c r="B393" s="540" t="s">
        <v>98</v>
      </c>
      <c r="C393" s="541"/>
      <c r="D393" s="542"/>
      <c r="E393" s="211">
        <v>383</v>
      </c>
      <c r="F393" s="347">
        <v>33.58</v>
      </c>
      <c r="G393" s="18">
        <v>33.181999999999995</v>
      </c>
      <c r="H393" s="18" t="s">
        <v>9</v>
      </c>
      <c r="I393" s="18">
        <v>12396.009999999989</v>
      </c>
      <c r="J393" s="18">
        <v>1375.8525000000118</v>
      </c>
      <c r="K393" s="358">
        <v>394.15909630252077</v>
      </c>
      <c r="L393" s="229"/>
      <c r="M393" s="173"/>
      <c r="N393" s="474"/>
      <c r="O393" s="384"/>
      <c r="Q393" s="377">
        <f t="shared" si="13"/>
        <v>383</v>
      </c>
      <c r="R393" s="350">
        <v>33.58</v>
      </c>
      <c r="S393" s="351" t="str">
        <f t="shared" si="15"/>
        <v>OK</v>
      </c>
    </row>
    <row r="394" spans="1:19">
      <c r="A394" s="497">
        <v>377</v>
      </c>
      <c r="B394" s="540" t="s">
        <v>98</v>
      </c>
      <c r="C394" s="541"/>
      <c r="D394" s="542"/>
      <c r="E394" s="211">
        <v>382</v>
      </c>
      <c r="F394" s="347">
        <v>33.65</v>
      </c>
      <c r="G394" s="18">
        <v>33.251999999999995</v>
      </c>
      <c r="H394" s="18" t="s">
        <v>9</v>
      </c>
      <c r="I394" s="18">
        <v>12429.26199999999</v>
      </c>
      <c r="J394" s="18">
        <v>1342.6005000000114</v>
      </c>
      <c r="K394" s="358">
        <v>394.87306170511823</v>
      </c>
      <c r="L394" s="229"/>
      <c r="M394" s="173"/>
      <c r="N394" s="474"/>
      <c r="O394" s="384"/>
      <c r="Q394" s="377">
        <f t="shared" si="13"/>
        <v>382</v>
      </c>
      <c r="R394" s="350">
        <v>33.65</v>
      </c>
      <c r="S394" s="351" t="str">
        <f t="shared" si="15"/>
        <v>OK</v>
      </c>
    </row>
    <row r="395" spans="1:19">
      <c r="A395" s="497">
        <v>378</v>
      </c>
      <c r="B395" s="540" t="s">
        <v>98</v>
      </c>
      <c r="C395" s="541"/>
      <c r="D395" s="542"/>
      <c r="E395" s="211">
        <v>381</v>
      </c>
      <c r="F395" s="347">
        <v>33.83</v>
      </c>
      <c r="G395" s="18">
        <v>33.431999999999995</v>
      </c>
      <c r="H395" s="18" t="s">
        <v>9</v>
      </c>
      <c r="I395" s="18">
        <v>12462.69399999999</v>
      </c>
      <c r="J395" s="18">
        <v>1309.1685000000107</v>
      </c>
      <c r="K395" s="216">
        <v>395.59089195110755</v>
      </c>
      <c r="L395" s="229"/>
      <c r="M395" s="173"/>
      <c r="N395" s="474"/>
      <c r="O395" s="384"/>
      <c r="Q395" s="377">
        <f t="shared" si="13"/>
        <v>381</v>
      </c>
      <c r="R395" s="350">
        <v>33.83</v>
      </c>
      <c r="S395" s="351" t="str">
        <f t="shared" si="15"/>
        <v>OK</v>
      </c>
    </row>
    <row r="396" spans="1:19">
      <c r="A396" s="497">
        <v>379</v>
      </c>
      <c r="B396" s="540" t="s">
        <v>98</v>
      </c>
      <c r="C396" s="541"/>
      <c r="D396" s="542"/>
      <c r="E396" s="211">
        <v>380</v>
      </c>
      <c r="F396" s="347">
        <v>33.659999999999997</v>
      </c>
      <c r="G396" s="18">
        <v>33.261999999999993</v>
      </c>
      <c r="H396" s="18" t="s">
        <v>9</v>
      </c>
      <c r="I396" s="18">
        <v>12495.955999999991</v>
      </c>
      <c r="J396" s="18">
        <v>1275.9065000000101</v>
      </c>
      <c r="K396" s="216">
        <v>396.30507206722677</v>
      </c>
      <c r="L396" s="229"/>
      <c r="M396" s="173"/>
      <c r="N396" s="474"/>
      <c r="O396" s="384"/>
      <c r="Q396" s="377">
        <f t="shared" si="13"/>
        <v>380</v>
      </c>
      <c r="R396" s="350">
        <v>33.659999999999997</v>
      </c>
      <c r="S396" s="351" t="str">
        <f t="shared" si="15"/>
        <v>OK</v>
      </c>
    </row>
    <row r="397" spans="1:19">
      <c r="A397" s="497">
        <v>380</v>
      </c>
      <c r="B397" s="540" t="s">
        <v>98</v>
      </c>
      <c r="C397" s="541"/>
      <c r="D397" s="542"/>
      <c r="E397" s="211">
        <v>379</v>
      </c>
      <c r="F397" s="347">
        <v>33.06</v>
      </c>
      <c r="G397" s="18">
        <v>32.661999999999999</v>
      </c>
      <c r="H397" s="18" t="s">
        <v>9</v>
      </c>
      <c r="I397" s="18">
        <v>12528.617999999991</v>
      </c>
      <c r="J397" s="18">
        <v>1243.2445000000098</v>
      </c>
      <c r="K397" s="358">
        <v>397.00636937203956</v>
      </c>
      <c r="L397" s="229"/>
      <c r="M397" s="173"/>
      <c r="N397" s="474"/>
      <c r="O397" s="384"/>
      <c r="Q397" s="377">
        <f t="shared" si="13"/>
        <v>379</v>
      </c>
      <c r="R397" s="350">
        <v>33.06</v>
      </c>
      <c r="S397" s="351" t="str">
        <f t="shared" si="15"/>
        <v>OK</v>
      </c>
    </row>
    <row r="398" spans="1:19" ht="13.5" thickBot="1">
      <c r="A398" s="497">
        <v>381</v>
      </c>
      <c r="B398" s="540" t="s">
        <v>98</v>
      </c>
      <c r="C398" s="541"/>
      <c r="D398" s="542"/>
      <c r="E398" s="211">
        <v>378</v>
      </c>
      <c r="F398" s="347">
        <v>33.56</v>
      </c>
      <c r="G398" s="18">
        <v>33.161999999999999</v>
      </c>
      <c r="H398" s="18" t="s">
        <v>9</v>
      </c>
      <c r="I398" s="18">
        <v>12561.779999999992</v>
      </c>
      <c r="J398" s="18">
        <v>1210.0825000000095</v>
      </c>
      <c r="K398" s="358">
        <v>397.71840235294098</v>
      </c>
      <c r="L398" s="229"/>
      <c r="M398" s="173"/>
      <c r="N398" s="474"/>
      <c r="O398" s="384"/>
      <c r="Q398" s="377">
        <f t="shared" si="13"/>
        <v>378</v>
      </c>
      <c r="R398" s="350">
        <v>33.56</v>
      </c>
      <c r="S398" s="351" t="str">
        <f t="shared" si="15"/>
        <v>OK</v>
      </c>
    </row>
    <row r="399" spans="1:19" ht="14.1" customHeight="1" thickTop="1" thickBot="1">
      <c r="A399" s="537">
        <v>382</v>
      </c>
      <c r="B399" s="551" t="s">
        <v>114</v>
      </c>
      <c r="C399" s="554" t="s">
        <v>226</v>
      </c>
      <c r="D399" s="557" t="s">
        <v>84</v>
      </c>
      <c r="E399" s="558"/>
      <c r="F399" s="374">
        <v>6.22</v>
      </c>
      <c r="G399" s="310">
        <v>5.8220000000000001</v>
      </c>
      <c r="H399" s="310" t="s">
        <v>9</v>
      </c>
      <c r="I399" s="310">
        <v>12567.601999999992</v>
      </c>
      <c r="J399" s="310">
        <v>1204.2605000000094</v>
      </c>
      <c r="K399" s="311">
        <v>397.84340856531685</v>
      </c>
      <c r="L399" s="469" t="s">
        <v>113</v>
      </c>
      <c r="M399" s="292">
        <v>1189.9505000000099</v>
      </c>
      <c r="N399" s="353" t="s">
        <v>233</v>
      </c>
      <c r="R399" s="378">
        <v>6.22</v>
      </c>
      <c r="S399" s="379" t="str">
        <f t="shared" si="15"/>
        <v>OK</v>
      </c>
    </row>
    <row r="400" spans="1:19">
      <c r="A400" s="538"/>
      <c r="B400" s="552"/>
      <c r="C400" s="555"/>
      <c r="D400" s="559" t="s">
        <v>85</v>
      </c>
      <c r="E400" s="560"/>
      <c r="F400" s="294">
        <v>5.84</v>
      </c>
      <c r="G400" s="439">
        <v>5.84</v>
      </c>
      <c r="H400" s="439" t="s">
        <v>9</v>
      </c>
      <c r="I400" s="439">
        <v>12573.441999999992</v>
      </c>
      <c r="J400" s="439">
        <v>1198.4205000000093</v>
      </c>
      <c r="K400" s="481">
        <v>397.96880126203195</v>
      </c>
      <c r="L400" s="376"/>
      <c r="M400" s="283"/>
      <c r="N400" s="353" t="s">
        <v>234</v>
      </c>
      <c r="R400" s="378">
        <v>5.84</v>
      </c>
      <c r="S400" s="379" t="str">
        <f t="shared" si="15"/>
        <v>OK</v>
      </c>
    </row>
    <row r="401" spans="1:19" ht="13.5" thickBot="1">
      <c r="A401" s="538"/>
      <c r="B401" s="552"/>
      <c r="C401" s="555"/>
      <c r="D401" s="561" t="s">
        <v>27</v>
      </c>
      <c r="E401" s="562"/>
      <c r="F401" s="300">
        <v>8.4700000000000006</v>
      </c>
      <c r="G401" s="301">
        <v>8.4700000000000006</v>
      </c>
      <c r="H401" s="301" t="s">
        <v>9</v>
      </c>
      <c r="I401" s="301">
        <v>12581.911999999991</v>
      </c>
      <c r="J401" s="301">
        <v>1189.9505000000099</v>
      </c>
      <c r="K401" s="302">
        <v>398.1506636149731</v>
      </c>
      <c r="L401" s="376"/>
      <c r="M401" s="283"/>
      <c r="N401" s="353" t="s">
        <v>112</v>
      </c>
      <c r="R401" s="378">
        <v>8.4700000000000006</v>
      </c>
      <c r="S401" s="379" t="str">
        <f t="shared" si="15"/>
        <v>OK</v>
      </c>
    </row>
    <row r="402" spans="1:19" ht="12.6" customHeight="1">
      <c r="A402" s="538"/>
      <c r="B402" s="552"/>
      <c r="C402" s="555"/>
      <c r="D402" s="559" t="s">
        <v>85</v>
      </c>
      <c r="E402" s="560"/>
      <c r="F402" s="294">
        <v>11.85</v>
      </c>
      <c r="G402" s="439">
        <v>11.85</v>
      </c>
      <c r="H402" s="439" t="s">
        <v>9</v>
      </c>
      <c r="I402" s="439">
        <v>12593.761999999992</v>
      </c>
      <c r="J402" s="439">
        <v>1178.1005000000096</v>
      </c>
      <c r="K402" s="481">
        <v>398.40509913827333</v>
      </c>
      <c r="L402" s="525" t="s">
        <v>163</v>
      </c>
      <c r="M402" s="526"/>
      <c r="N402" s="353" t="s">
        <v>235</v>
      </c>
      <c r="R402" s="378">
        <v>11.85</v>
      </c>
      <c r="S402" s="379" t="str">
        <f t="shared" si="15"/>
        <v>OK</v>
      </c>
    </row>
    <row r="403" spans="1:19" ht="12.95" customHeight="1" thickBot="1">
      <c r="A403" s="539"/>
      <c r="B403" s="553"/>
      <c r="C403" s="556"/>
      <c r="D403" s="527" t="s">
        <v>84</v>
      </c>
      <c r="E403" s="528"/>
      <c r="F403" s="375">
        <v>5.81</v>
      </c>
      <c r="G403" s="440">
        <v>5.81</v>
      </c>
      <c r="H403" s="440" t="s">
        <v>9</v>
      </c>
      <c r="I403" s="440">
        <v>12599.571999999991</v>
      </c>
      <c r="J403" s="440">
        <v>1172.2905000000101</v>
      </c>
      <c r="K403" s="485">
        <v>398.52984769442304</v>
      </c>
      <c r="L403" s="529" t="s">
        <v>227</v>
      </c>
      <c r="M403" s="530"/>
      <c r="N403" s="353" t="s">
        <v>136</v>
      </c>
      <c r="R403" s="378">
        <v>5.81</v>
      </c>
      <c r="S403" s="379" t="str">
        <f t="shared" si="15"/>
        <v>OK</v>
      </c>
    </row>
    <row r="404" spans="1:19" ht="13.5" thickTop="1">
      <c r="A404" s="498">
        <v>383</v>
      </c>
      <c r="B404" s="664" t="s">
        <v>98</v>
      </c>
      <c r="C404" s="665"/>
      <c r="D404" s="519" t="s">
        <v>259</v>
      </c>
      <c r="E404" s="211">
        <v>377</v>
      </c>
      <c r="F404" s="368">
        <v>33.64</v>
      </c>
      <c r="G404" s="357">
        <v>33.241999999999997</v>
      </c>
      <c r="H404" s="18" t="s">
        <v>9</v>
      </c>
      <c r="I404" s="18">
        <v>12632.813999999991</v>
      </c>
      <c r="J404" s="18">
        <v>1139.0485000000099</v>
      </c>
      <c r="K404" s="358">
        <v>399.24359838349869</v>
      </c>
      <c r="L404" s="229"/>
      <c r="M404" s="173"/>
      <c r="N404" s="474"/>
      <c r="O404" s="384"/>
      <c r="Q404" s="377">
        <f t="shared" si="13"/>
        <v>377</v>
      </c>
      <c r="R404" s="350">
        <v>33.64</v>
      </c>
      <c r="S404" s="351" t="str">
        <f t="shared" si="15"/>
        <v>OK</v>
      </c>
    </row>
    <row r="405" spans="1:19">
      <c r="A405" s="498">
        <v>384</v>
      </c>
      <c r="B405" s="563" t="s">
        <v>98</v>
      </c>
      <c r="C405" s="564"/>
      <c r="D405" s="519" t="s">
        <v>259</v>
      </c>
      <c r="E405" s="211">
        <v>376</v>
      </c>
      <c r="F405" s="368">
        <v>33.78</v>
      </c>
      <c r="G405" s="357">
        <v>33.381999999999998</v>
      </c>
      <c r="H405" s="18" t="s">
        <v>9</v>
      </c>
      <c r="I405" s="18">
        <v>12666.195999999991</v>
      </c>
      <c r="J405" s="18">
        <v>1105.6665000000103</v>
      </c>
      <c r="K405" s="216">
        <v>399.96035506187917</v>
      </c>
      <c r="L405" s="229"/>
      <c r="M405" s="173"/>
      <c r="N405" s="474"/>
      <c r="O405" s="384"/>
      <c r="Q405" s="377">
        <f t="shared" si="13"/>
        <v>376</v>
      </c>
      <c r="R405" s="350">
        <v>33.78</v>
      </c>
      <c r="S405" s="351" t="str">
        <f t="shared" si="15"/>
        <v>OK</v>
      </c>
    </row>
    <row r="406" spans="1:19">
      <c r="A406" s="498">
        <v>385</v>
      </c>
      <c r="B406" s="563" t="s">
        <v>98</v>
      </c>
      <c r="C406" s="564"/>
      <c r="D406" s="519" t="s">
        <v>259</v>
      </c>
      <c r="E406" s="211">
        <v>375</v>
      </c>
      <c r="F406" s="368">
        <v>33.68</v>
      </c>
      <c r="G406" s="357">
        <v>33.281999999999996</v>
      </c>
      <c r="H406" s="18" t="s">
        <v>9</v>
      </c>
      <c r="I406" s="18">
        <v>12699.47799999999</v>
      </c>
      <c r="J406" s="18">
        <v>1072.384500000011</v>
      </c>
      <c r="K406" s="358">
        <v>400.67496460504179</v>
      </c>
      <c r="L406" s="229"/>
      <c r="M406" s="173"/>
      <c r="N406" s="474"/>
      <c r="O406" s="384"/>
      <c r="Q406" s="377">
        <f t="shared" si="13"/>
        <v>375</v>
      </c>
      <c r="R406" s="350">
        <v>33.68</v>
      </c>
      <c r="S406" s="351" t="str">
        <f t="shared" si="15"/>
        <v>OK</v>
      </c>
    </row>
    <row r="407" spans="1:19">
      <c r="A407" s="498">
        <v>386</v>
      </c>
      <c r="B407" s="563" t="s">
        <v>98</v>
      </c>
      <c r="C407" s="564"/>
      <c r="D407" s="519" t="s">
        <v>259</v>
      </c>
      <c r="E407" s="211">
        <v>374</v>
      </c>
      <c r="F407" s="368">
        <v>31.81</v>
      </c>
      <c r="G407" s="357">
        <v>31.411999999999999</v>
      </c>
      <c r="H407" s="18" t="s">
        <v>9</v>
      </c>
      <c r="I407" s="18">
        <v>12730.88999999999</v>
      </c>
      <c r="J407" s="18">
        <v>1040.9725000000108</v>
      </c>
      <c r="K407" s="358">
        <v>401.34942271963308</v>
      </c>
      <c r="L407" s="229"/>
      <c r="M407" s="173"/>
      <c r="N407" s="474"/>
      <c r="O407" s="384"/>
      <c r="Q407" s="377">
        <f t="shared" si="13"/>
        <v>374</v>
      </c>
      <c r="R407" s="350">
        <v>31.81</v>
      </c>
      <c r="S407" s="351" t="str">
        <f t="shared" si="15"/>
        <v>OK</v>
      </c>
    </row>
    <row r="408" spans="1:19">
      <c r="A408" s="498">
        <v>387</v>
      </c>
      <c r="B408" s="563" t="s">
        <v>98</v>
      </c>
      <c r="C408" s="564"/>
      <c r="D408" s="519" t="s">
        <v>259</v>
      </c>
      <c r="E408" s="211">
        <v>373</v>
      </c>
      <c r="F408" s="368">
        <v>33.590000000000003</v>
      </c>
      <c r="G408" s="357">
        <v>33.192</v>
      </c>
      <c r="H408" s="18" t="s">
        <v>9</v>
      </c>
      <c r="I408" s="18">
        <v>12764.081999999989</v>
      </c>
      <c r="J408" s="18">
        <v>1007.7805000000117</v>
      </c>
      <c r="K408" s="358">
        <v>402.06209984109989</v>
      </c>
      <c r="L408" s="229"/>
      <c r="M408" s="173"/>
      <c r="N408" s="474"/>
      <c r="O408" s="384"/>
      <c r="Q408" s="377">
        <f t="shared" si="13"/>
        <v>373</v>
      </c>
      <c r="R408" s="350">
        <v>33.590000000000003</v>
      </c>
      <c r="S408" s="351" t="str">
        <f t="shared" si="15"/>
        <v>OK</v>
      </c>
    </row>
    <row r="409" spans="1:19">
      <c r="A409" s="498">
        <v>388</v>
      </c>
      <c r="B409" s="563" t="s">
        <v>98</v>
      </c>
      <c r="C409" s="564"/>
      <c r="D409" s="519" t="s">
        <v>259</v>
      </c>
      <c r="E409" s="211">
        <v>372</v>
      </c>
      <c r="F409" s="368">
        <v>33.159999999999997</v>
      </c>
      <c r="G409" s="357">
        <v>32.761999999999993</v>
      </c>
      <c r="H409" s="18" t="s">
        <v>9</v>
      </c>
      <c r="I409" s="18">
        <v>12796.84399999999</v>
      </c>
      <c r="J409" s="18">
        <v>975.01850000001104</v>
      </c>
      <c r="K409" s="358">
        <v>402.76554428113042</v>
      </c>
      <c r="L409" s="229"/>
      <c r="M409" s="173"/>
      <c r="N409" s="474"/>
      <c r="O409" s="384"/>
      <c r="Q409" s="377">
        <f t="shared" si="13"/>
        <v>372</v>
      </c>
      <c r="R409" s="350">
        <v>33.159999999999997</v>
      </c>
      <c r="S409" s="351" t="str">
        <f t="shared" si="15"/>
        <v>OK</v>
      </c>
    </row>
    <row r="410" spans="1:19">
      <c r="A410" s="498">
        <v>389</v>
      </c>
      <c r="B410" s="563" t="s">
        <v>98</v>
      </c>
      <c r="C410" s="564"/>
      <c r="D410" s="519" t="s">
        <v>259</v>
      </c>
      <c r="E410" s="211">
        <v>371</v>
      </c>
      <c r="F410" s="368">
        <v>32.89</v>
      </c>
      <c r="G410" s="357">
        <v>32.491999999999997</v>
      </c>
      <c r="H410" s="18" t="s">
        <v>9</v>
      </c>
      <c r="I410" s="18">
        <v>12829.33599999999</v>
      </c>
      <c r="J410" s="18">
        <v>942.52650000001086</v>
      </c>
      <c r="K410" s="216">
        <v>403.46319145607316</v>
      </c>
      <c r="L410" s="229"/>
      <c r="M410" s="173"/>
      <c r="N410" s="474"/>
      <c r="O410" s="384"/>
      <c r="Q410" s="377">
        <f t="shared" si="13"/>
        <v>371</v>
      </c>
      <c r="R410" s="350">
        <v>32.89</v>
      </c>
      <c r="S410" s="351" t="str">
        <f t="shared" si="15"/>
        <v>OK</v>
      </c>
    </row>
    <row r="411" spans="1:19">
      <c r="A411" s="498">
        <v>390</v>
      </c>
      <c r="B411" s="563" t="s">
        <v>98</v>
      </c>
      <c r="C411" s="564"/>
      <c r="D411" s="519" t="s">
        <v>259</v>
      </c>
      <c r="E411" s="211">
        <v>370</v>
      </c>
      <c r="F411" s="368">
        <v>31.46</v>
      </c>
      <c r="G411" s="357">
        <v>31.062000000000001</v>
      </c>
      <c r="H411" s="18" t="s">
        <v>9</v>
      </c>
      <c r="I411" s="18">
        <v>12860.39799999999</v>
      </c>
      <c r="J411" s="18">
        <v>911.46450000001096</v>
      </c>
      <c r="K411" s="358">
        <v>404.13013459740239</v>
      </c>
      <c r="L411" s="229"/>
      <c r="M411" s="173"/>
      <c r="N411" s="474"/>
      <c r="O411" s="384"/>
      <c r="Q411" s="377">
        <f t="shared" si="13"/>
        <v>370</v>
      </c>
      <c r="R411" s="350">
        <v>31.46</v>
      </c>
      <c r="S411" s="351" t="str">
        <f t="shared" si="15"/>
        <v>OK</v>
      </c>
    </row>
    <row r="412" spans="1:19">
      <c r="A412" s="498">
        <v>391</v>
      </c>
      <c r="B412" s="563" t="s">
        <v>98</v>
      </c>
      <c r="C412" s="564"/>
      <c r="D412" s="519" t="s">
        <v>259</v>
      </c>
      <c r="E412" s="211">
        <v>369</v>
      </c>
      <c r="F412" s="368">
        <v>32.909999999999997</v>
      </c>
      <c r="G412" s="357">
        <v>32.511999999999993</v>
      </c>
      <c r="H412" s="18" t="s">
        <v>9</v>
      </c>
      <c r="I412" s="18">
        <v>12892.909999999991</v>
      </c>
      <c r="J412" s="18">
        <v>878.95250000001033</v>
      </c>
      <c r="K412" s="358">
        <v>404.82821119938865</v>
      </c>
      <c r="L412" s="229"/>
      <c r="M412" s="173"/>
      <c r="N412" s="474"/>
      <c r="O412" s="384"/>
      <c r="Q412" s="377">
        <f t="shared" si="13"/>
        <v>369</v>
      </c>
      <c r="R412" s="350">
        <v>32.909999999999997</v>
      </c>
      <c r="S412" s="351" t="str">
        <f t="shared" si="15"/>
        <v>OK</v>
      </c>
    </row>
    <row r="413" spans="1:19">
      <c r="A413" s="498">
        <v>392</v>
      </c>
      <c r="B413" s="563" t="s">
        <v>98</v>
      </c>
      <c r="C413" s="564"/>
      <c r="D413" s="519" t="s">
        <v>259</v>
      </c>
      <c r="E413" s="211">
        <v>368</v>
      </c>
      <c r="F413" s="368">
        <v>33.43</v>
      </c>
      <c r="G413" s="357">
        <v>33.031999999999996</v>
      </c>
      <c r="H413" s="18" t="s">
        <v>9</v>
      </c>
      <c r="I413" s="18">
        <v>12925.94199999999</v>
      </c>
      <c r="J413" s="18">
        <v>845.92050000001109</v>
      </c>
      <c r="K413" s="358">
        <v>405.53745290450706</v>
      </c>
      <c r="L413" s="229"/>
      <c r="M413" s="173"/>
      <c r="N413" s="474"/>
      <c r="O413" s="384"/>
      <c r="Q413" s="377">
        <f t="shared" si="13"/>
        <v>368</v>
      </c>
      <c r="R413" s="350">
        <v>33.43</v>
      </c>
      <c r="S413" s="351" t="str">
        <f t="shared" si="15"/>
        <v>OK</v>
      </c>
    </row>
    <row r="414" spans="1:19">
      <c r="A414" s="498">
        <v>393</v>
      </c>
      <c r="B414" s="563" t="s">
        <v>98</v>
      </c>
      <c r="C414" s="564"/>
      <c r="D414" s="519" t="s">
        <v>259</v>
      </c>
      <c r="E414" s="211">
        <v>367</v>
      </c>
      <c r="F414" s="368">
        <v>33.54</v>
      </c>
      <c r="G414" s="357">
        <v>33.141999999999996</v>
      </c>
      <c r="H414" s="18" t="s">
        <v>9</v>
      </c>
      <c r="I414" s="18">
        <v>12959.08399999999</v>
      </c>
      <c r="J414" s="18">
        <v>812.77850000001126</v>
      </c>
      <c r="K414" s="358">
        <v>406.24905645836492</v>
      </c>
      <c r="L414" s="229"/>
      <c r="M414" s="173"/>
      <c r="N414" s="474"/>
      <c r="O414" s="384"/>
      <c r="Q414" s="377">
        <f t="shared" si="13"/>
        <v>367</v>
      </c>
      <c r="R414" s="350">
        <v>33.54</v>
      </c>
      <c r="S414" s="351" t="str">
        <f t="shared" si="15"/>
        <v>OK</v>
      </c>
    </row>
    <row r="415" spans="1:19">
      <c r="A415" s="498">
        <v>394</v>
      </c>
      <c r="B415" s="563" t="s">
        <v>98</v>
      </c>
      <c r="C415" s="564"/>
      <c r="D415" s="519" t="s">
        <v>259</v>
      </c>
      <c r="E415" s="211">
        <v>366</v>
      </c>
      <c r="F415" s="368">
        <v>31.62</v>
      </c>
      <c r="G415" s="357">
        <v>31.222000000000001</v>
      </c>
      <c r="H415" s="18" t="s">
        <v>9</v>
      </c>
      <c r="I415" s="18">
        <v>12990.30599999999</v>
      </c>
      <c r="J415" s="18">
        <v>781.55650000001151</v>
      </c>
      <c r="K415" s="216">
        <v>406.91943501604254</v>
      </c>
      <c r="L415" s="229"/>
      <c r="M415" s="173"/>
      <c r="N415" s="474"/>
      <c r="O415" s="384"/>
      <c r="Q415" s="377">
        <f t="shared" ref="Q415:Q443" si="16">E415</f>
        <v>366</v>
      </c>
      <c r="R415" s="350">
        <v>31.62</v>
      </c>
      <c r="S415" s="351" t="str">
        <f t="shared" si="15"/>
        <v>OK</v>
      </c>
    </row>
    <row r="416" spans="1:19">
      <c r="A416" s="498">
        <v>395</v>
      </c>
      <c r="B416" s="563" t="s">
        <v>98</v>
      </c>
      <c r="C416" s="564"/>
      <c r="D416" s="519" t="s">
        <v>259</v>
      </c>
      <c r="E416" s="211">
        <v>365</v>
      </c>
      <c r="F416" s="368">
        <v>33.19</v>
      </c>
      <c r="G416" s="357">
        <v>32.791999999999994</v>
      </c>
      <c r="H416" s="18" t="s">
        <v>9</v>
      </c>
      <c r="I416" s="18">
        <v>13023.097999999989</v>
      </c>
      <c r="J416" s="18">
        <v>748.76450000001205</v>
      </c>
      <c r="K416" s="358">
        <v>407.62352359663839</v>
      </c>
      <c r="L416" s="229"/>
      <c r="M416" s="173"/>
      <c r="N416" s="474"/>
      <c r="O416" s="384"/>
      <c r="Q416" s="377">
        <f t="shared" si="16"/>
        <v>365</v>
      </c>
      <c r="R416" s="350">
        <v>33.19</v>
      </c>
      <c r="S416" s="351" t="str">
        <f t="shared" si="15"/>
        <v>OK</v>
      </c>
    </row>
    <row r="417" spans="1:19">
      <c r="A417" s="498">
        <v>396</v>
      </c>
      <c r="B417" s="563" t="s">
        <v>98</v>
      </c>
      <c r="C417" s="564"/>
      <c r="D417" s="519" t="s">
        <v>259</v>
      </c>
      <c r="E417" s="211">
        <v>364</v>
      </c>
      <c r="F417" s="368">
        <v>33.47</v>
      </c>
      <c r="G417" s="357">
        <v>33.071999999999996</v>
      </c>
      <c r="H417" s="18" t="s">
        <v>9</v>
      </c>
      <c r="I417" s="18">
        <v>13056.169999999989</v>
      </c>
      <c r="J417" s="18">
        <v>715.69250000001193</v>
      </c>
      <c r="K417" s="358">
        <v>408.33362415584395</v>
      </c>
      <c r="L417" s="229"/>
      <c r="M417" s="173"/>
      <c r="N417" s="474"/>
      <c r="O417" s="384"/>
      <c r="Q417" s="377">
        <f t="shared" si="16"/>
        <v>364</v>
      </c>
      <c r="R417" s="350">
        <v>33.47</v>
      </c>
      <c r="S417" s="351" t="str">
        <f t="shared" si="15"/>
        <v>OK</v>
      </c>
    </row>
    <row r="418" spans="1:19">
      <c r="A418" s="498">
        <v>397</v>
      </c>
      <c r="B418" s="563" t="s">
        <v>98</v>
      </c>
      <c r="C418" s="564"/>
      <c r="D418" s="519" t="s">
        <v>259</v>
      </c>
      <c r="E418" s="211">
        <v>363</v>
      </c>
      <c r="F418" s="368">
        <v>33.24</v>
      </c>
      <c r="G418" s="357">
        <v>32.841999999999999</v>
      </c>
      <c r="H418" s="18" t="s">
        <v>9</v>
      </c>
      <c r="I418" s="18">
        <v>13089.01199999999</v>
      </c>
      <c r="J418" s="18">
        <v>682.85050000001138</v>
      </c>
      <c r="K418" s="358">
        <v>409.03878630404864</v>
      </c>
      <c r="L418" s="229"/>
      <c r="M418" s="173"/>
      <c r="N418" s="474"/>
      <c r="O418" s="384"/>
      <c r="Q418" s="377">
        <f t="shared" si="16"/>
        <v>363</v>
      </c>
      <c r="R418" s="350">
        <v>33.24</v>
      </c>
      <c r="S418" s="351" t="str">
        <f t="shared" si="15"/>
        <v>OK</v>
      </c>
    </row>
    <row r="419" spans="1:19">
      <c r="A419" s="498">
        <v>398</v>
      </c>
      <c r="B419" s="563" t="s">
        <v>98</v>
      </c>
      <c r="C419" s="564"/>
      <c r="D419" s="519" t="s">
        <v>259</v>
      </c>
      <c r="E419" s="211">
        <v>362</v>
      </c>
      <c r="F419" s="368">
        <v>33.54</v>
      </c>
      <c r="G419" s="357">
        <v>33.141999999999996</v>
      </c>
      <c r="H419" s="18" t="s">
        <v>9</v>
      </c>
      <c r="I419" s="18">
        <v>13122.15399999999</v>
      </c>
      <c r="J419" s="18">
        <v>649.70850000001155</v>
      </c>
      <c r="K419" s="358">
        <v>409.75038985790655</v>
      </c>
      <c r="L419" s="229"/>
      <c r="M419" s="173"/>
      <c r="N419" s="474"/>
      <c r="O419" s="384"/>
      <c r="Q419" s="377">
        <f t="shared" si="16"/>
        <v>362</v>
      </c>
      <c r="R419" s="350">
        <v>33.54</v>
      </c>
      <c r="S419" s="351" t="str">
        <f t="shared" si="15"/>
        <v>OK</v>
      </c>
    </row>
    <row r="420" spans="1:19">
      <c r="A420" s="498">
        <v>399</v>
      </c>
      <c r="B420" s="563" t="s">
        <v>98</v>
      </c>
      <c r="C420" s="564"/>
      <c r="D420" s="519" t="s">
        <v>259</v>
      </c>
      <c r="E420" s="211">
        <v>361</v>
      </c>
      <c r="F420" s="368">
        <v>32.89</v>
      </c>
      <c r="G420" s="357">
        <v>32.491999999999997</v>
      </c>
      <c r="H420" s="18" t="s">
        <v>9</v>
      </c>
      <c r="I420" s="18">
        <v>13154.64599999999</v>
      </c>
      <c r="J420" s="18">
        <v>617.21650000001137</v>
      </c>
      <c r="K420" s="216">
        <v>410.4480370328493</v>
      </c>
      <c r="L420" s="229"/>
      <c r="M420" s="173"/>
      <c r="N420" s="474"/>
      <c r="O420" s="384"/>
      <c r="Q420" s="377">
        <f t="shared" si="16"/>
        <v>361</v>
      </c>
      <c r="R420" s="350">
        <v>32.89</v>
      </c>
      <c r="S420" s="351" t="str">
        <f t="shared" si="15"/>
        <v>OK</v>
      </c>
    </row>
    <row r="421" spans="1:19">
      <c r="A421" s="498">
        <v>400</v>
      </c>
      <c r="B421" s="563" t="s">
        <v>98</v>
      </c>
      <c r="C421" s="564"/>
      <c r="D421" s="519" t="s">
        <v>259</v>
      </c>
      <c r="E421" s="211">
        <v>360</v>
      </c>
      <c r="F421" s="368">
        <v>33.57</v>
      </c>
      <c r="G421" s="357">
        <v>33.171999999999997</v>
      </c>
      <c r="H421" s="18" t="s">
        <v>9</v>
      </c>
      <c r="I421" s="18">
        <v>13187.81799999999</v>
      </c>
      <c r="J421" s="18">
        <v>584.04450000001088</v>
      </c>
      <c r="K421" s="358">
        <v>411.16028472727254</v>
      </c>
      <c r="L421" s="229"/>
      <c r="M421" s="173"/>
      <c r="N421" s="474"/>
      <c r="O421" s="384"/>
      <c r="Q421" s="377">
        <f t="shared" si="16"/>
        <v>360</v>
      </c>
      <c r="R421" s="350">
        <v>33.57</v>
      </c>
      <c r="S421" s="351" t="str">
        <f t="shared" si="15"/>
        <v>OK</v>
      </c>
    </row>
    <row r="422" spans="1:19">
      <c r="A422" s="498">
        <v>401</v>
      </c>
      <c r="B422" s="563" t="s">
        <v>98</v>
      </c>
      <c r="C422" s="564"/>
      <c r="D422" s="519" t="s">
        <v>259</v>
      </c>
      <c r="E422" s="211">
        <v>359</v>
      </c>
      <c r="F422" s="368">
        <v>33.159999999999997</v>
      </c>
      <c r="G422" s="357">
        <v>32.761999999999993</v>
      </c>
      <c r="H422" s="18" t="s">
        <v>9</v>
      </c>
      <c r="I422" s="18">
        <v>13220.579999999991</v>
      </c>
      <c r="J422" s="18">
        <v>551.28250000001026</v>
      </c>
      <c r="K422" s="358">
        <v>411.86372916730312</v>
      </c>
      <c r="L422" s="229"/>
      <c r="M422" s="173"/>
      <c r="N422" s="474"/>
      <c r="O422" s="384"/>
      <c r="Q422" s="377">
        <f t="shared" si="16"/>
        <v>359</v>
      </c>
      <c r="R422" s="350">
        <v>33.159999999999997</v>
      </c>
      <c r="S422" s="351" t="str">
        <f t="shared" si="15"/>
        <v>OK</v>
      </c>
    </row>
    <row r="423" spans="1:19">
      <c r="A423" s="498">
        <v>402</v>
      </c>
      <c r="B423" s="563" t="s">
        <v>98</v>
      </c>
      <c r="C423" s="564"/>
      <c r="D423" s="519" t="s">
        <v>259</v>
      </c>
      <c r="E423" s="211">
        <v>358</v>
      </c>
      <c r="F423" s="368">
        <v>33.270000000000003</v>
      </c>
      <c r="G423" s="357">
        <v>32.872</v>
      </c>
      <c r="H423" s="18" t="s">
        <v>9</v>
      </c>
      <c r="I423" s="18">
        <v>13253.45199999999</v>
      </c>
      <c r="J423" s="18">
        <v>518.41050000001087</v>
      </c>
      <c r="K423" s="358">
        <v>412.56953545607314</v>
      </c>
      <c r="L423" s="229"/>
      <c r="M423" s="173"/>
      <c r="N423" s="474"/>
      <c r="O423" s="384"/>
      <c r="Q423" s="377">
        <f t="shared" si="16"/>
        <v>358</v>
      </c>
      <c r="R423" s="350">
        <v>33.270000000000003</v>
      </c>
      <c r="S423" s="351" t="str">
        <f t="shared" si="15"/>
        <v>OK</v>
      </c>
    </row>
    <row r="424" spans="1:19">
      <c r="A424" s="498">
        <v>403</v>
      </c>
      <c r="B424" s="563" t="s">
        <v>98</v>
      </c>
      <c r="C424" s="564"/>
      <c r="D424" s="519" t="s">
        <v>259</v>
      </c>
      <c r="E424" s="211">
        <v>357</v>
      </c>
      <c r="F424" s="368">
        <v>33.119999999999997</v>
      </c>
      <c r="G424" s="357">
        <v>32.721999999999994</v>
      </c>
      <c r="H424" s="18" t="s">
        <v>9</v>
      </c>
      <c r="I424" s="18">
        <v>13286.17399999999</v>
      </c>
      <c r="J424" s="18">
        <v>485.68850000001112</v>
      </c>
      <c r="K424" s="358">
        <v>413.27212104201658</v>
      </c>
      <c r="L424" s="229"/>
      <c r="M424" s="173"/>
      <c r="N424" s="474"/>
      <c r="O424" s="384"/>
      <c r="Q424" s="377">
        <f t="shared" si="16"/>
        <v>357</v>
      </c>
      <c r="R424" s="350">
        <v>33.119999999999997</v>
      </c>
      <c r="S424" s="351" t="str">
        <f t="shared" si="15"/>
        <v>OK</v>
      </c>
    </row>
    <row r="425" spans="1:19">
      <c r="A425" s="498">
        <v>404</v>
      </c>
      <c r="B425" s="563" t="s">
        <v>98</v>
      </c>
      <c r="C425" s="564"/>
      <c r="D425" s="519" t="s">
        <v>259</v>
      </c>
      <c r="E425" s="211">
        <v>356</v>
      </c>
      <c r="F425" s="368">
        <v>33.83</v>
      </c>
      <c r="G425" s="357">
        <v>33.431999999999995</v>
      </c>
      <c r="H425" s="18" t="s">
        <v>9</v>
      </c>
      <c r="I425" s="18">
        <v>13319.605999999991</v>
      </c>
      <c r="J425" s="18">
        <v>452.25650000001042</v>
      </c>
      <c r="K425" s="216">
        <v>413.9899512880059</v>
      </c>
      <c r="L425" s="229"/>
      <c r="M425" s="173"/>
      <c r="N425" s="474"/>
      <c r="O425" s="384"/>
      <c r="Q425" s="377">
        <f t="shared" si="16"/>
        <v>356</v>
      </c>
      <c r="R425" s="350">
        <v>33.83</v>
      </c>
      <c r="S425" s="351" t="str">
        <f t="shared" si="15"/>
        <v>OK</v>
      </c>
    </row>
    <row r="426" spans="1:19">
      <c r="A426" s="498">
        <v>405</v>
      </c>
      <c r="B426" s="563" t="s">
        <v>98</v>
      </c>
      <c r="C426" s="564"/>
      <c r="D426" s="519" t="s">
        <v>259</v>
      </c>
      <c r="E426" s="211">
        <v>355</v>
      </c>
      <c r="F426" s="368">
        <v>33.96</v>
      </c>
      <c r="G426" s="357">
        <v>33.561999999999998</v>
      </c>
      <c r="H426" s="18" t="s">
        <v>9</v>
      </c>
      <c r="I426" s="18">
        <v>13353.167999999991</v>
      </c>
      <c r="J426" s="18">
        <v>418.69450000001052</v>
      </c>
      <c r="K426" s="358">
        <v>414.71057280977828</v>
      </c>
      <c r="L426" s="229"/>
      <c r="M426" s="173"/>
      <c r="N426" s="474"/>
      <c r="O426" s="384"/>
      <c r="Q426" s="377">
        <f t="shared" si="16"/>
        <v>355</v>
      </c>
      <c r="R426" s="350">
        <v>33.96</v>
      </c>
      <c r="S426" s="351" t="str">
        <f t="shared" si="15"/>
        <v>OK</v>
      </c>
    </row>
    <row r="427" spans="1:19">
      <c r="A427" s="498">
        <v>406</v>
      </c>
      <c r="B427" s="563" t="s">
        <v>98</v>
      </c>
      <c r="C427" s="564"/>
      <c r="D427" s="519" t="s">
        <v>259</v>
      </c>
      <c r="E427" s="211">
        <v>354</v>
      </c>
      <c r="F427" s="368">
        <v>33.950000000000003</v>
      </c>
      <c r="G427" s="357">
        <v>33.552</v>
      </c>
      <c r="H427" s="18" t="s">
        <v>9</v>
      </c>
      <c r="I427" s="18">
        <v>13386.71999999999</v>
      </c>
      <c r="J427" s="18">
        <v>385.14250000001084</v>
      </c>
      <c r="K427" s="358">
        <v>415.43097961802886</v>
      </c>
      <c r="L427" s="229"/>
      <c r="M427" s="173"/>
      <c r="N427" s="474"/>
      <c r="O427" s="384"/>
      <c r="Q427" s="377">
        <f t="shared" si="16"/>
        <v>354</v>
      </c>
      <c r="R427" s="350">
        <v>33.950000000000003</v>
      </c>
      <c r="S427" s="351" t="str">
        <f t="shared" si="15"/>
        <v>OK</v>
      </c>
    </row>
    <row r="428" spans="1:19">
      <c r="A428" s="498">
        <v>407</v>
      </c>
      <c r="B428" s="563" t="s">
        <v>98</v>
      </c>
      <c r="C428" s="564"/>
      <c r="D428" s="519" t="s">
        <v>259</v>
      </c>
      <c r="E428" s="211">
        <v>353</v>
      </c>
      <c r="F428" s="368">
        <v>33.67</v>
      </c>
      <c r="G428" s="357">
        <v>33.271999999999998</v>
      </c>
      <c r="H428" s="18" t="s">
        <v>9</v>
      </c>
      <c r="I428" s="18">
        <v>13419.991999999991</v>
      </c>
      <c r="J428" s="18">
        <v>351.87050000001</v>
      </c>
      <c r="K428" s="358">
        <v>416.14537444766984</v>
      </c>
      <c r="L428" s="229"/>
      <c r="M428" s="173"/>
      <c r="N428" s="474"/>
      <c r="O428" s="384"/>
      <c r="Q428" s="377">
        <f t="shared" si="16"/>
        <v>353</v>
      </c>
      <c r="R428" s="350">
        <v>33.67</v>
      </c>
      <c r="S428" s="351" t="str">
        <f t="shared" si="15"/>
        <v>OK</v>
      </c>
    </row>
    <row r="429" spans="1:19">
      <c r="A429" s="498">
        <v>408</v>
      </c>
      <c r="B429" s="563" t="s">
        <v>98</v>
      </c>
      <c r="C429" s="564"/>
      <c r="D429" s="519" t="s">
        <v>259</v>
      </c>
      <c r="E429" s="211">
        <v>352</v>
      </c>
      <c r="F429" s="368">
        <v>33.97</v>
      </c>
      <c r="G429" s="357">
        <v>33.571999999999996</v>
      </c>
      <c r="H429" s="18" t="s">
        <v>9</v>
      </c>
      <c r="I429" s="18">
        <v>13453.563999999991</v>
      </c>
      <c r="J429" s="18">
        <v>318.29850000000988</v>
      </c>
      <c r="K429" s="358">
        <v>416.86621068296387</v>
      </c>
      <c r="L429" s="229"/>
      <c r="M429" s="173"/>
      <c r="N429" s="474"/>
      <c r="O429" s="384"/>
      <c r="Q429" s="377">
        <f t="shared" si="16"/>
        <v>352</v>
      </c>
      <c r="R429" s="350">
        <v>33.97</v>
      </c>
      <c r="S429" s="351" t="str">
        <f t="shared" si="15"/>
        <v>OK</v>
      </c>
    </row>
    <row r="430" spans="1:19">
      <c r="A430" s="498">
        <v>409</v>
      </c>
      <c r="B430" s="563" t="s">
        <v>98</v>
      </c>
      <c r="C430" s="564"/>
      <c r="D430" s="519" t="s">
        <v>259</v>
      </c>
      <c r="E430" s="211">
        <v>351</v>
      </c>
      <c r="F430" s="368">
        <v>33.92</v>
      </c>
      <c r="G430" s="357">
        <v>33.521999999999998</v>
      </c>
      <c r="H430" s="18" t="s">
        <v>9</v>
      </c>
      <c r="I430" s="18">
        <v>13487.085999999992</v>
      </c>
      <c r="J430" s="18">
        <v>284.77650000000904</v>
      </c>
      <c r="K430" s="216">
        <v>417.58597335064917</v>
      </c>
      <c r="L430" s="229"/>
      <c r="M430" s="173"/>
      <c r="N430" s="474"/>
      <c r="O430" s="384"/>
      <c r="Q430" s="377">
        <f t="shared" si="16"/>
        <v>351</v>
      </c>
      <c r="R430" s="350">
        <v>33.92</v>
      </c>
      <c r="S430" s="351" t="str">
        <f t="shared" si="15"/>
        <v>OK</v>
      </c>
    </row>
    <row r="431" spans="1:19">
      <c r="A431" s="498">
        <v>410</v>
      </c>
      <c r="B431" s="563" t="s">
        <v>98</v>
      </c>
      <c r="C431" s="564"/>
      <c r="D431" s="519" t="s">
        <v>259</v>
      </c>
      <c r="E431" s="211">
        <v>350</v>
      </c>
      <c r="F431" s="368">
        <v>33.92</v>
      </c>
      <c r="G431" s="357">
        <v>33.521999999999998</v>
      </c>
      <c r="H431" s="18" t="s">
        <v>9</v>
      </c>
      <c r="I431" s="18">
        <v>13520.607999999993</v>
      </c>
      <c r="J431" s="18">
        <v>251.25450000000819</v>
      </c>
      <c r="K431" s="358">
        <v>418.30573601833453</v>
      </c>
      <c r="L431" s="229"/>
      <c r="M431" s="173"/>
      <c r="N431" s="474"/>
      <c r="O431" s="384"/>
      <c r="Q431" s="377">
        <f t="shared" si="16"/>
        <v>350</v>
      </c>
      <c r="R431" s="350">
        <v>33.92</v>
      </c>
      <c r="S431" s="351" t="str">
        <f t="shared" si="15"/>
        <v>OK</v>
      </c>
    </row>
    <row r="432" spans="1:19">
      <c r="A432" s="498">
        <v>411</v>
      </c>
      <c r="B432" s="563" t="s">
        <v>98</v>
      </c>
      <c r="C432" s="564"/>
      <c r="D432" s="519" t="s">
        <v>259</v>
      </c>
      <c r="E432" s="211">
        <v>349</v>
      </c>
      <c r="F432" s="368">
        <v>33.58</v>
      </c>
      <c r="G432" s="357">
        <v>33.181999999999995</v>
      </c>
      <c r="H432" s="18" t="s">
        <v>9</v>
      </c>
      <c r="I432" s="18">
        <v>13553.789999999994</v>
      </c>
      <c r="J432" s="18">
        <v>218.07250000000749</v>
      </c>
      <c r="K432" s="358">
        <v>419.01819842627947</v>
      </c>
      <c r="L432" s="229"/>
      <c r="M432" s="173"/>
      <c r="N432" s="474"/>
      <c r="O432" s="384"/>
      <c r="Q432" s="377">
        <f t="shared" si="16"/>
        <v>349</v>
      </c>
      <c r="R432" s="350">
        <v>33.58</v>
      </c>
      <c r="S432" s="351" t="str">
        <f t="shared" si="15"/>
        <v>OK</v>
      </c>
    </row>
    <row r="433" spans="1:19">
      <c r="A433" s="498">
        <v>412</v>
      </c>
      <c r="B433" s="563" t="s">
        <v>98</v>
      </c>
      <c r="C433" s="564"/>
      <c r="D433" s="519" t="s">
        <v>259</v>
      </c>
      <c r="E433" s="211">
        <v>348</v>
      </c>
      <c r="F433" s="368">
        <v>33.99</v>
      </c>
      <c r="G433" s="357">
        <v>33.591999999999999</v>
      </c>
      <c r="H433" s="18" t="s">
        <v>9</v>
      </c>
      <c r="I433" s="18">
        <v>13587.381999999994</v>
      </c>
      <c r="J433" s="18">
        <v>184.48050000000694</v>
      </c>
      <c r="K433" s="358">
        <v>419.73946408861718</v>
      </c>
      <c r="L433" s="229"/>
      <c r="M433" s="173"/>
      <c r="N433" s="474"/>
      <c r="O433" s="384"/>
      <c r="Q433" s="377">
        <f t="shared" si="16"/>
        <v>348</v>
      </c>
      <c r="R433" s="350">
        <v>33.99</v>
      </c>
      <c r="S433" s="351" t="str">
        <f t="shared" si="15"/>
        <v>OK</v>
      </c>
    </row>
    <row r="434" spans="1:19">
      <c r="A434" s="498">
        <v>413</v>
      </c>
      <c r="B434" s="563" t="s">
        <v>98</v>
      </c>
      <c r="C434" s="564"/>
      <c r="D434" s="519" t="s">
        <v>259</v>
      </c>
      <c r="E434" s="211">
        <v>347</v>
      </c>
      <c r="F434" s="368">
        <v>33.83</v>
      </c>
      <c r="G434" s="18">
        <v>33.431999999999995</v>
      </c>
      <c r="H434" s="18" t="s">
        <v>9</v>
      </c>
      <c r="I434" s="18">
        <v>13620.813999999995</v>
      </c>
      <c r="J434" s="18">
        <v>151.04850000000624</v>
      </c>
      <c r="K434" s="216">
        <v>420.4572943346065</v>
      </c>
      <c r="L434" s="229"/>
      <c r="M434" s="173"/>
      <c r="N434" s="474"/>
      <c r="O434" s="384"/>
      <c r="Q434" s="377">
        <f t="shared" si="16"/>
        <v>347</v>
      </c>
      <c r="R434" s="429">
        <v>33.83</v>
      </c>
      <c r="S434" s="351" t="str">
        <f t="shared" si="15"/>
        <v>OK</v>
      </c>
    </row>
    <row r="435" spans="1:19" ht="13.5" hidden="1" customHeight="1" thickBot="1">
      <c r="A435" s="498">
        <v>414</v>
      </c>
      <c r="B435" s="563" t="s">
        <v>98</v>
      </c>
      <c r="C435" s="564"/>
      <c r="D435" s="519" t="s">
        <v>259</v>
      </c>
      <c r="E435" s="211">
        <v>346</v>
      </c>
      <c r="F435" s="368">
        <v>33.590000000000003</v>
      </c>
      <c r="G435" s="357">
        <v>33.192</v>
      </c>
      <c r="H435" s="18" t="s">
        <v>11</v>
      </c>
      <c r="I435" s="18">
        <v>13620.813999999995</v>
      </c>
      <c r="J435" s="18">
        <v>151.04850000000624</v>
      </c>
      <c r="K435" s="216">
        <v>420.4572943346065</v>
      </c>
      <c r="L435" s="547" t="s">
        <v>249</v>
      </c>
      <c r="M435" s="548"/>
      <c r="N435" s="474"/>
      <c r="O435" s="384"/>
      <c r="Q435" s="377">
        <f t="shared" si="16"/>
        <v>346</v>
      </c>
      <c r="R435" s="350">
        <v>33.590000000000003</v>
      </c>
      <c r="S435" s="351" t="str">
        <f t="shared" si="15"/>
        <v>OK</v>
      </c>
    </row>
    <row r="436" spans="1:19" ht="13.5" thickBot="1">
      <c r="A436" s="498">
        <v>414</v>
      </c>
      <c r="B436" s="563" t="s">
        <v>98</v>
      </c>
      <c r="C436" s="564"/>
      <c r="D436" s="519" t="s">
        <v>259</v>
      </c>
      <c r="E436" s="211">
        <v>339</v>
      </c>
      <c r="F436" s="368">
        <v>32.299999999999997</v>
      </c>
      <c r="G436" s="18">
        <v>31.901999999999997</v>
      </c>
      <c r="H436" s="18" t="s">
        <v>9</v>
      </c>
      <c r="I436" s="18">
        <v>13652.715999999995</v>
      </c>
      <c r="J436" s="18">
        <v>119.1465000000062</v>
      </c>
      <c r="K436" s="216">
        <v>421.14227341176456</v>
      </c>
      <c r="L436" s="521"/>
      <c r="M436" s="522"/>
      <c r="N436" s="474"/>
      <c r="O436" s="384"/>
      <c r="Q436" s="377">
        <f t="shared" si="16"/>
        <v>339</v>
      </c>
      <c r="R436" s="350">
        <v>32.299999999999997</v>
      </c>
      <c r="S436" s="351" t="str">
        <f t="shared" si="15"/>
        <v>OK</v>
      </c>
    </row>
    <row r="437" spans="1:19" ht="12.95" hidden="1" customHeight="1" thickBot="1">
      <c r="A437" s="498">
        <v>415</v>
      </c>
      <c r="B437" s="540" t="s">
        <v>98</v>
      </c>
      <c r="C437" s="666"/>
      <c r="D437" s="508"/>
      <c r="E437" s="489">
        <v>335</v>
      </c>
      <c r="F437" s="490">
        <v>32.22</v>
      </c>
      <c r="G437" s="439">
        <v>31.821999999999999</v>
      </c>
      <c r="H437" s="439" t="s">
        <v>11</v>
      </c>
      <c r="I437" s="439">
        <v>13652.715999999995</v>
      </c>
      <c r="J437" s="439">
        <v>119.1465000000062</v>
      </c>
      <c r="K437" s="358">
        <v>421.14227341176456</v>
      </c>
      <c r="L437" s="229"/>
      <c r="M437" s="173"/>
      <c r="N437" s="474"/>
      <c r="O437" s="384"/>
      <c r="Q437" s="377">
        <f t="shared" si="16"/>
        <v>335</v>
      </c>
      <c r="R437" s="350">
        <v>32.22</v>
      </c>
      <c r="S437" s="351" t="str">
        <f t="shared" si="15"/>
        <v>OK</v>
      </c>
    </row>
    <row r="438" spans="1:19" ht="13.5" hidden="1" customHeight="1" thickBot="1">
      <c r="A438" s="498">
        <v>416</v>
      </c>
      <c r="B438" s="540" t="s">
        <v>98</v>
      </c>
      <c r="C438" s="666"/>
      <c r="D438" s="508"/>
      <c r="E438" s="211">
        <v>343</v>
      </c>
      <c r="F438" s="368">
        <v>33.950000000000003</v>
      </c>
      <c r="G438" s="357">
        <v>33.552</v>
      </c>
      <c r="H438" s="18" t="s">
        <v>11</v>
      </c>
      <c r="I438" s="18">
        <v>13652.715999999995</v>
      </c>
      <c r="J438" s="18">
        <v>119.1465000000062</v>
      </c>
      <c r="K438" s="216">
        <v>421.14227341176456</v>
      </c>
      <c r="L438" s="475" t="s">
        <v>93</v>
      </c>
      <c r="M438" s="479">
        <v>13771.862500000001</v>
      </c>
      <c r="N438" s="474"/>
      <c r="O438" s="384"/>
      <c r="Q438" s="377">
        <f t="shared" si="16"/>
        <v>343</v>
      </c>
      <c r="R438" s="350">
        <v>33.950000000000003</v>
      </c>
      <c r="S438" s="351" t="str">
        <f t="shared" si="15"/>
        <v>OK</v>
      </c>
    </row>
    <row r="439" spans="1:19" ht="12.95" hidden="1" customHeight="1" thickBot="1">
      <c r="A439" s="498">
        <v>417</v>
      </c>
      <c r="B439" s="540" t="s">
        <v>98</v>
      </c>
      <c r="C439" s="666"/>
      <c r="D439" s="508"/>
      <c r="E439" s="491">
        <v>342</v>
      </c>
      <c r="F439" s="492">
        <v>32.5</v>
      </c>
      <c r="G439" s="493">
        <v>32.101999999999997</v>
      </c>
      <c r="H439" s="493" t="s">
        <v>11</v>
      </c>
      <c r="I439" s="493">
        <v>13652.715999999995</v>
      </c>
      <c r="J439" s="493">
        <v>119.1465000000062</v>
      </c>
      <c r="K439" s="216">
        <v>421.14227341176456</v>
      </c>
      <c r="L439" s="229"/>
      <c r="M439" s="173"/>
      <c r="N439" s="474"/>
      <c r="O439" s="384"/>
      <c r="Q439" s="377">
        <f t="shared" si="16"/>
        <v>342</v>
      </c>
      <c r="R439" s="350">
        <v>32.5</v>
      </c>
      <c r="S439" s="351" t="str">
        <f t="shared" si="15"/>
        <v>OK</v>
      </c>
    </row>
    <row r="440" spans="1:19" ht="14.45" hidden="1" customHeight="1" thickBot="1">
      <c r="A440" s="498">
        <v>418</v>
      </c>
      <c r="B440" s="540" t="s">
        <v>98</v>
      </c>
      <c r="C440" s="666"/>
      <c r="D440" s="508"/>
      <c r="E440" s="491">
        <v>341</v>
      </c>
      <c r="F440" s="492">
        <v>33.26</v>
      </c>
      <c r="G440" s="493">
        <v>32.861999999999995</v>
      </c>
      <c r="H440" s="493" t="s">
        <v>11</v>
      </c>
      <c r="I440" s="493">
        <v>13652.715999999995</v>
      </c>
      <c r="J440" s="493">
        <v>119.1465000000062</v>
      </c>
      <c r="K440" s="216">
        <v>421.14227341176456</v>
      </c>
      <c r="L440" s="549" t="s">
        <v>250</v>
      </c>
      <c r="M440" s="550"/>
      <c r="N440" s="474"/>
      <c r="O440" s="384"/>
      <c r="Q440" s="377">
        <f t="shared" si="16"/>
        <v>341</v>
      </c>
      <c r="R440" s="350">
        <v>33.26</v>
      </c>
      <c r="S440" s="351" t="str">
        <f t="shared" si="15"/>
        <v>OK</v>
      </c>
    </row>
    <row r="441" spans="1:19" ht="12.95" hidden="1" customHeight="1" thickBot="1">
      <c r="A441" s="498">
        <v>419</v>
      </c>
      <c r="B441" s="540" t="s">
        <v>98</v>
      </c>
      <c r="C441" s="666"/>
      <c r="D441" s="508"/>
      <c r="E441" s="491">
        <v>340</v>
      </c>
      <c r="F441" s="492">
        <v>33.950000000000003</v>
      </c>
      <c r="G441" s="493">
        <v>33.552</v>
      </c>
      <c r="H441" s="493" t="s">
        <v>11</v>
      </c>
      <c r="I441" s="493">
        <v>13652.715999999995</v>
      </c>
      <c r="J441" s="493">
        <v>119.1465000000062</v>
      </c>
      <c r="K441" s="358">
        <v>421.14227341176456</v>
      </c>
      <c r="L441" s="545" t="s">
        <v>251</v>
      </c>
      <c r="M441" s="546"/>
      <c r="N441" s="474"/>
      <c r="O441" s="384"/>
      <c r="Q441" s="377">
        <f t="shared" si="16"/>
        <v>340</v>
      </c>
      <c r="R441" s="350">
        <v>33.950000000000003</v>
      </c>
      <c r="S441" s="351" t="str">
        <f t="shared" si="15"/>
        <v>OK</v>
      </c>
    </row>
    <row r="442" spans="1:19" ht="12.6" hidden="1" customHeight="1">
      <c r="A442" s="507">
        <v>420</v>
      </c>
      <c r="B442" s="540" t="s">
        <v>98</v>
      </c>
      <c r="C442" s="666"/>
      <c r="D442" s="508"/>
      <c r="E442" s="489">
        <v>345</v>
      </c>
      <c r="F442" s="490">
        <v>33.75</v>
      </c>
      <c r="G442" s="439">
        <v>33.351999999999997</v>
      </c>
      <c r="H442" s="439" t="s">
        <v>11</v>
      </c>
      <c r="I442" s="439">
        <v>13652.715999999995</v>
      </c>
      <c r="J442" s="439">
        <v>119.1465000000062</v>
      </c>
      <c r="K442" s="216">
        <v>421.14227341176456</v>
      </c>
      <c r="L442" s="229"/>
      <c r="M442" s="173"/>
      <c r="N442" s="474"/>
      <c r="O442" s="384"/>
      <c r="Q442" s="377">
        <f t="shared" si="16"/>
        <v>345</v>
      </c>
      <c r="R442" s="350">
        <v>81.489999999999995</v>
      </c>
      <c r="S442" s="351" t="str">
        <f t="shared" si="15"/>
        <v>FALSE</v>
      </c>
    </row>
    <row r="443" spans="1:19" ht="12.6" hidden="1" customHeight="1">
      <c r="A443" s="483">
        <v>421</v>
      </c>
      <c r="B443" s="540" t="s">
        <v>98</v>
      </c>
      <c r="C443" s="666"/>
      <c r="D443" s="508"/>
      <c r="E443" s="211">
        <v>338</v>
      </c>
      <c r="F443" s="368">
        <v>33.81</v>
      </c>
      <c r="G443" s="357">
        <v>33.411999999999999</v>
      </c>
      <c r="H443" s="18" t="s">
        <v>11</v>
      </c>
      <c r="I443" s="18">
        <v>13652.715999999995</v>
      </c>
      <c r="J443" s="18">
        <v>119.1465000000062</v>
      </c>
      <c r="K443" s="216">
        <v>421.14227341176456</v>
      </c>
      <c r="L443" s="229"/>
      <c r="M443" s="173"/>
      <c r="N443" s="474"/>
      <c r="O443" s="384"/>
      <c r="Q443" s="377">
        <f t="shared" si="16"/>
        <v>338</v>
      </c>
      <c r="R443" s="350">
        <v>82.49</v>
      </c>
      <c r="S443" s="351" t="str">
        <f t="shared" si="15"/>
        <v>FALSE</v>
      </c>
    </row>
    <row r="444" spans="1:19" ht="12.6" hidden="1" customHeight="1">
      <c r="A444" s="483">
        <v>422</v>
      </c>
      <c r="B444" s="540" t="s">
        <v>98</v>
      </c>
      <c r="C444" s="666"/>
      <c r="D444" s="508"/>
      <c r="E444" s="211">
        <v>337</v>
      </c>
      <c r="F444" s="368">
        <v>33.33</v>
      </c>
      <c r="G444" s="357">
        <v>32.931999999999995</v>
      </c>
      <c r="H444" s="18" t="s">
        <v>11</v>
      </c>
      <c r="I444" s="18">
        <v>13652.715999999995</v>
      </c>
      <c r="J444" s="18">
        <v>119.1465000000062</v>
      </c>
      <c r="K444" s="216">
        <v>421.14227341176456</v>
      </c>
      <c r="L444" s="229"/>
      <c r="M444" s="173"/>
      <c r="N444" s="474"/>
      <c r="O444" s="384"/>
      <c r="R444" s="355"/>
      <c r="S444" s="356"/>
    </row>
    <row r="445" spans="1:19" ht="12.6" hidden="1" customHeight="1">
      <c r="A445" s="483">
        <v>423</v>
      </c>
      <c r="B445" s="540" t="s">
        <v>98</v>
      </c>
      <c r="C445" s="666"/>
      <c r="D445" s="508"/>
      <c r="E445" s="211">
        <v>336</v>
      </c>
      <c r="F445" s="368">
        <v>33.64</v>
      </c>
      <c r="G445" s="357">
        <v>33.241999999999997</v>
      </c>
      <c r="H445" s="18" t="s">
        <v>11</v>
      </c>
      <c r="I445" s="18">
        <v>13652.715999999995</v>
      </c>
      <c r="J445" s="18">
        <v>119.1465000000062</v>
      </c>
      <c r="K445" s="358">
        <v>421.14227341176456</v>
      </c>
      <c r="L445" s="229"/>
      <c r="M445" s="173"/>
      <c r="N445" s="474"/>
      <c r="O445" s="384"/>
      <c r="R445" s="355"/>
      <c r="S445" s="356"/>
    </row>
    <row r="446" spans="1:19" ht="12.6" hidden="1" customHeight="1">
      <c r="A446" s="483">
        <v>424</v>
      </c>
      <c r="B446" s="540" t="s">
        <v>98</v>
      </c>
      <c r="C446" s="666"/>
      <c r="D446" s="508"/>
      <c r="E446" s="489">
        <v>344</v>
      </c>
      <c r="F446" s="490">
        <v>33.950000000000003</v>
      </c>
      <c r="G446" s="439">
        <v>33.552</v>
      </c>
      <c r="H446" s="439" t="s">
        <v>11</v>
      </c>
      <c r="I446" s="439">
        <v>13652.715999999995</v>
      </c>
      <c r="J446" s="439">
        <v>119.1465000000062</v>
      </c>
      <c r="K446" s="216">
        <v>421.14227341176456</v>
      </c>
      <c r="L446" s="229"/>
      <c r="M446" s="173"/>
      <c r="N446" s="474"/>
      <c r="O446" s="384"/>
      <c r="R446" s="355"/>
      <c r="S446" s="356"/>
    </row>
    <row r="447" spans="1:19" ht="13.5" hidden="1" thickBot="1">
      <c r="A447" s="483">
        <v>425</v>
      </c>
      <c r="B447" s="540" t="s">
        <v>98</v>
      </c>
      <c r="C447" s="541"/>
      <c r="D447" s="542"/>
      <c r="E447" s="211">
        <v>334</v>
      </c>
      <c r="F447" s="368">
        <v>33.07</v>
      </c>
      <c r="G447" s="357">
        <v>32.671999999999997</v>
      </c>
      <c r="H447" s="18" t="s">
        <v>11</v>
      </c>
      <c r="I447" s="18">
        <v>13652.715999999995</v>
      </c>
      <c r="J447" s="18">
        <v>119.1465000000062</v>
      </c>
      <c r="K447" s="216">
        <v>421.14227341176456</v>
      </c>
      <c r="L447" s="229"/>
      <c r="M447" s="173"/>
      <c r="N447" s="474"/>
      <c r="O447" s="384"/>
      <c r="R447" s="355"/>
      <c r="S447" s="356"/>
    </row>
    <row r="448" spans="1:19" ht="13.5" hidden="1" thickBot="1">
      <c r="A448" s="483">
        <v>426</v>
      </c>
      <c r="B448" s="540" t="s">
        <v>98</v>
      </c>
      <c r="C448" s="541"/>
      <c r="D448" s="542"/>
      <c r="E448" s="211">
        <v>333</v>
      </c>
      <c r="F448" s="368">
        <v>33.159999999999997</v>
      </c>
      <c r="G448" s="357">
        <v>32.761999999999993</v>
      </c>
      <c r="H448" s="18" t="s">
        <v>11</v>
      </c>
      <c r="I448" s="18">
        <v>13652.715999999995</v>
      </c>
      <c r="J448" s="18">
        <v>119.1465000000062</v>
      </c>
      <c r="K448" s="216">
        <v>421.14227341176456</v>
      </c>
      <c r="L448" s="229"/>
      <c r="M448" s="173"/>
      <c r="N448" s="474"/>
      <c r="O448" s="384"/>
      <c r="R448" s="355"/>
      <c r="S448" s="356"/>
    </row>
    <row r="449" spans="1:19" ht="13.5" hidden="1" thickBot="1">
      <c r="A449" s="483">
        <v>427</v>
      </c>
      <c r="B449" s="540" t="s">
        <v>98</v>
      </c>
      <c r="C449" s="541"/>
      <c r="D449" s="542"/>
      <c r="E449" s="211">
        <v>332</v>
      </c>
      <c r="F449" s="368">
        <v>32.92</v>
      </c>
      <c r="G449" s="357">
        <v>32.521999999999998</v>
      </c>
      <c r="H449" s="18" t="s">
        <v>11</v>
      </c>
      <c r="I449" s="18">
        <v>13652.715999999995</v>
      </c>
      <c r="J449" s="18">
        <v>119.1465000000062</v>
      </c>
      <c r="K449" s="358">
        <v>421.14227341176456</v>
      </c>
      <c r="L449" s="229"/>
      <c r="M449" s="173"/>
      <c r="N449" s="474"/>
      <c r="O449" s="384"/>
      <c r="R449" s="355"/>
      <c r="S449" s="356"/>
    </row>
    <row r="450" spans="1:19" ht="13.5" hidden="1" thickBot="1">
      <c r="A450" s="483">
        <v>428</v>
      </c>
      <c r="B450" s="540" t="s">
        <v>98</v>
      </c>
      <c r="C450" s="541"/>
      <c r="D450" s="542"/>
      <c r="E450" s="211">
        <v>331</v>
      </c>
      <c r="F450" s="368">
        <v>33.15</v>
      </c>
      <c r="G450" s="357">
        <v>32.751999999999995</v>
      </c>
      <c r="H450" s="18" t="s">
        <v>11</v>
      </c>
      <c r="I450" s="18">
        <v>13652.715999999995</v>
      </c>
      <c r="J450" s="18">
        <v>119.1465000000062</v>
      </c>
      <c r="K450" s="216">
        <v>421.14227341176456</v>
      </c>
      <c r="L450" s="229"/>
      <c r="M450" s="173"/>
      <c r="N450" s="474"/>
      <c r="O450" s="384"/>
      <c r="R450" s="355"/>
      <c r="S450" s="356"/>
    </row>
    <row r="451" spans="1:19" ht="13.5" hidden="1" thickBot="1">
      <c r="A451" s="483">
        <v>429</v>
      </c>
      <c r="B451" s="540" t="s">
        <v>98</v>
      </c>
      <c r="C451" s="541"/>
      <c r="D451" s="542"/>
      <c r="E451" s="211">
        <v>330</v>
      </c>
      <c r="F451" s="368">
        <v>33.49</v>
      </c>
      <c r="G451" s="357">
        <v>33.091999999999999</v>
      </c>
      <c r="H451" s="18" t="s">
        <v>11</v>
      </c>
      <c r="I451" s="18">
        <v>13652.715999999995</v>
      </c>
      <c r="J451" s="18">
        <v>119.1465000000062</v>
      </c>
      <c r="K451" s="216">
        <v>421.14227341176456</v>
      </c>
      <c r="L451" s="229"/>
      <c r="M451" s="173"/>
      <c r="N451" s="474"/>
      <c r="O451" s="384"/>
      <c r="R451" s="355"/>
      <c r="S451" s="356"/>
    </row>
    <row r="452" spans="1:19" ht="13.5" hidden="1" thickBot="1">
      <c r="A452" s="483">
        <v>430</v>
      </c>
      <c r="B452" s="540" t="s">
        <v>98</v>
      </c>
      <c r="C452" s="541"/>
      <c r="D452" s="542"/>
      <c r="E452" s="211">
        <v>329</v>
      </c>
      <c r="F452" s="368">
        <v>33.630000000000003</v>
      </c>
      <c r="G452" s="357">
        <v>33.231999999999999</v>
      </c>
      <c r="H452" s="18" t="s">
        <v>11</v>
      </c>
      <c r="I452" s="18">
        <v>13652.715999999995</v>
      </c>
      <c r="J452" s="18">
        <v>119.1465000000062</v>
      </c>
      <c r="K452" s="216">
        <v>421.14227341176456</v>
      </c>
      <c r="L452" s="229"/>
      <c r="M452" s="173"/>
      <c r="N452" s="474"/>
      <c r="O452" s="384"/>
      <c r="R452" s="355"/>
      <c r="S452" s="356"/>
    </row>
    <row r="453" spans="1:19" ht="13.5" hidden="1" thickBot="1">
      <c r="A453" s="483">
        <v>431</v>
      </c>
      <c r="B453" s="540" t="s">
        <v>98</v>
      </c>
      <c r="C453" s="541"/>
      <c r="D453" s="542"/>
      <c r="E453" s="211">
        <v>328</v>
      </c>
      <c r="F453" s="368">
        <v>33.39</v>
      </c>
      <c r="G453" s="357">
        <v>32.991999999999997</v>
      </c>
      <c r="H453" s="18" t="s">
        <v>11</v>
      </c>
      <c r="I453" s="18">
        <v>13652.715999999995</v>
      </c>
      <c r="J453" s="18">
        <v>119.1465000000062</v>
      </c>
      <c r="K453" s="358">
        <v>421.14227341176456</v>
      </c>
      <c r="L453" s="229"/>
      <c r="M453" s="173"/>
      <c r="N453" s="474"/>
      <c r="O453" s="384"/>
      <c r="R453" s="355"/>
      <c r="S453" s="356"/>
    </row>
    <row r="454" spans="1:19" ht="13.5" hidden="1" thickBot="1">
      <c r="A454" s="483">
        <v>432</v>
      </c>
      <c r="B454" s="540" t="s">
        <v>98</v>
      </c>
      <c r="C454" s="541"/>
      <c r="D454" s="542"/>
      <c r="E454" s="211">
        <v>327</v>
      </c>
      <c r="F454" s="368">
        <v>33.17</v>
      </c>
      <c r="G454" s="357">
        <v>32.771999999999998</v>
      </c>
      <c r="H454" s="18" t="s">
        <v>11</v>
      </c>
      <c r="I454" s="18">
        <v>13652.715999999995</v>
      </c>
      <c r="J454" s="18">
        <v>119.1465000000062</v>
      </c>
      <c r="K454" s="216">
        <v>421.14227341176456</v>
      </c>
      <c r="L454" s="229"/>
      <c r="M454" s="173"/>
      <c r="N454" s="474"/>
      <c r="O454" s="384"/>
      <c r="R454" s="355"/>
      <c r="S454" s="356"/>
    </row>
    <row r="455" spans="1:19" ht="13.5" hidden="1" thickBot="1">
      <c r="A455" s="483">
        <v>433</v>
      </c>
      <c r="B455" s="540" t="s">
        <v>98</v>
      </c>
      <c r="C455" s="541"/>
      <c r="D455" s="542"/>
      <c r="E455" s="211">
        <v>326</v>
      </c>
      <c r="F455" s="368">
        <v>33.200000000000003</v>
      </c>
      <c r="G455" s="357">
        <v>32.802</v>
      </c>
      <c r="H455" s="18" t="s">
        <v>11</v>
      </c>
      <c r="I455" s="18">
        <v>13652.715999999995</v>
      </c>
      <c r="J455" s="18">
        <v>119.1465000000062</v>
      </c>
      <c r="K455" s="216">
        <v>421.14227341176456</v>
      </c>
      <c r="L455" s="229"/>
      <c r="M455" s="173"/>
      <c r="N455" s="474"/>
      <c r="O455" s="384"/>
      <c r="R455" s="355"/>
      <c r="S455" s="356"/>
    </row>
    <row r="456" spans="1:19" ht="13.5" hidden="1" thickBot="1">
      <c r="A456" s="483">
        <v>434</v>
      </c>
      <c r="B456" s="540" t="s">
        <v>98</v>
      </c>
      <c r="C456" s="541"/>
      <c r="D456" s="542"/>
      <c r="E456" s="211">
        <v>325</v>
      </c>
      <c r="F456" s="368">
        <v>33.44</v>
      </c>
      <c r="G456" s="357">
        <v>33.041999999999994</v>
      </c>
      <c r="H456" s="18" t="s">
        <v>11</v>
      </c>
      <c r="I456" s="18">
        <v>13652.715999999995</v>
      </c>
      <c r="J456" s="18">
        <v>119.1465000000062</v>
      </c>
      <c r="K456" s="216">
        <v>421.14227341176456</v>
      </c>
      <c r="L456" s="229"/>
      <c r="M456" s="173"/>
      <c r="N456" s="474"/>
      <c r="O456" s="384"/>
      <c r="R456" s="355"/>
      <c r="S456" s="356"/>
    </row>
    <row r="457" spans="1:19" ht="13.5" hidden="1" thickBot="1">
      <c r="A457" s="483">
        <v>435</v>
      </c>
      <c r="B457" s="540" t="s">
        <v>98</v>
      </c>
      <c r="C457" s="541"/>
      <c r="D457" s="542"/>
      <c r="E457" s="211">
        <v>324</v>
      </c>
      <c r="F457" s="368">
        <v>33.92</v>
      </c>
      <c r="G457" s="357">
        <v>33.521999999999998</v>
      </c>
      <c r="H457" s="18" t="s">
        <v>11</v>
      </c>
      <c r="I457" s="18">
        <v>13652.715999999995</v>
      </c>
      <c r="J457" s="18">
        <v>119.1465000000062</v>
      </c>
      <c r="K457" s="358">
        <v>421.14227341176456</v>
      </c>
      <c r="L457" s="229"/>
      <c r="M457" s="173"/>
      <c r="N457" s="474"/>
      <c r="O457" s="384"/>
      <c r="R457" s="355"/>
      <c r="S457" s="356"/>
    </row>
    <row r="458" spans="1:19" ht="13.5" hidden="1" thickBot="1">
      <c r="A458" s="483">
        <v>436</v>
      </c>
      <c r="B458" s="540" t="s">
        <v>98</v>
      </c>
      <c r="C458" s="541"/>
      <c r="D458" s="542"/>
      <c r="E458" s="211">
        <v>323</v>
      </c>
      <c r="F458" s="368">
        <v>33.979999999999997</v>
      </c>
      <c r="G458" s="357">
        <v>33.581999999999994</v>
      </c>
      <c r="H458" s="18" t="s">
        <v>11</v>
      </c>
      <c r="I458" s="18">
        <v>13652.715999999995</v>
      </c>
      <c r="J458" s="18">
        <v>119.1465000000062</v>
      </c>
      <c r="K458" s="216">
        <v>421.14227341176456</v>
      </c>
      <c r="L458" s="229"/>
      <c r="M458" s="173"/>
      <c r="N458" s="474"/>
      <c r="O458" s="384"/>
      <c r="R458" s="355"/>
      <c r="S458" s="356"/>
    </row>
    <row r="459" spans="1:19" ht="13.5" hidden="1" thickBot="1">
      <c r="A459" s="483">
        <v>437</v>
      </c>
      <c r="B459" s="540" t="s">
        <v>98</v>
      </c>
      <c r="C459" s="541"/>
      <c r="D459" s="542"/>
      <c r="E459" s="211">
        <v>322</v>
      </c>
      <c r="F459" s="368">
        <v>33.4</v>
      </c>
      <c r="G459" s="357">
        <v>33.001999999999995</v>
      </c>
      <c r="H459" s="18" t="s">
        <v>11</v>
      </c>
      <c r="I459" s="18">
        <v>13652.715999999995</v>
      </c>
      <c r="J459" s="18">
        <v>119.1465000000062</v>
      </c>
      <c r="K459" s="216">
        <v>421.14227341176456</v>
      </c>
      <c r="L459" s="229"/>
      <c r="M459" s="173"/>
      <c r="N459" s="474"/>
      <c r="O459" s="384"/>
      <c r="R459" s="355"/>
      <c r="S459" s="356"/>
    </row>
    <row r="460" spans="1:19" ht="13.5" hidden="1" thickBot="1">
      <c r="A460" s="483">
        <v>438</v>
      </c>
      <c r="B460" s="540" t="s">
        <v>98</v>
      </c>
      <c r="C460" s="541"/>
      <c r="D460" s="542"/>
      <c r="E460" s="211">
        <v>321</v>
      </c>
      <c r="F460" s="368">
        <v>33.549999999999997</v>
      </c>
      <c r="G460" s="357">
        <v>33.151999999999994</v>
      </c>
      <c r="H460" s="18" t="s">
        <v>11</v>
      </c>
      <c r="I460" s="18">
        <v>13652.715999999995</v>
      </c>
      <c r="J460" s="18">
        <v>119.1465000000062</v>
      </c>
      <c r="K460" s="216">
        <v>421.14227341176456</v>
      </c>
      <c r="L460" s="478"/>
      <c r="M460" s="349"/>
      <c r="N460" s="474"/>
      <c r="O460" s="384"/>
      <c r="R460" s="355"/>
      <c r="S460" s="356"/>
    </row>
    <row r="461" spans="1:19" ht="13.5" hidden="1" thickBot="1">
      <c r="A461" s="483"/>
      <c r="B461" s="584" t="s">
        <v>92</v>
      </c>
      <c r="C461" s="585"/>
      <c r="D461" s="486" t="s">
        <v>111</v>
      </c>
      <c r="E461" s="487">
        <v>320</v>
      </c>
      <c r="F461" s="217">
        <v>33.56</v>
      </c>
      <c r="G461" s="217">
        <v>33.161999999999999</v>
      </c>
      <c r="H461" s="488" t="s">
        <v>11</v>
      </c>
      <c r="I461" s="301">
        <v>13652.715999999995</v>
      </c>
      <c r="J461" s="301">
        <v>119.1465000000062</v>
      </c>
      <c r="K461" s="358">
        <v>421.14227341176456</v>
      </c>
      <c r="L461" s="673"/>
      <c r="M461" s="674"/>
      <c r="N461" s="435"/>
      <c r="O461" s="384"/>
      <c r="P461" s="384"/>
    </row>
    <row r="462" spans="1:19" ht="13.5" thickBot="1">
      <c r="A462" s="483"/>
      <c r="B462" s="671" t="s">
        <v>257</v>
      </c>
      <c r="C462" s="672"/>
      <c r="D462" s="518" t="s">
        <v>258</v>
      </c>
      <c r="E462" s="510" t="s">
        <v>243</v>
      </c>
      <c r="F462" s="511">
        <v>3.22</v>
      </c>
      <c r="G462" s="512">
        <v>2.8220000000000001</v>
      </c>
      <c r="H462" s="513" t="s">
        <v>9</v>
      </c>
      <c r="I462" s="512">
        <v>13655.537999999995</v>
      </c>
      <c r="J462" s="512">
        <v>116.32450000000608</v>
      </c>
      <c r="K462" s="520">
        <v>421.2028655676088</v>
      </c>
      <c r="L462" s="667" t="s">
        <v>261</v>
      </c>
      <c r="M462" s="668"/>
      <c r="N462" s="435"/>
      <c r="O462" s="384"/>
      <c r="P462" s="384"/>
    </row>
    <row r="463" spans="1:19" ht="13.5" thickBot="1">
      <c r="A463" s="483"/>
      <c r="B463" s="671" t="s">
        <v>257</v>
      </c>
      <c r="C463" s="672"/>
      <c r="D463" s="518" t="s">
        <v>258</v>
      </c>
      <c r="E463" s="510" t="s">
        <v>242</v>
      </c>
      <c r="F463" s="511">
        <v>6.22</v>
      </c>
      <c r="G463" s="512">
        <v>5.8220000000000001</v>
      </c>
      <c r="H463" s="513" t="s">
        <v>9</v>
      </c>
      <c r="I463" s="515">
        <v>13661.359999999995</v>
      </c>
      <c r="J463" s="515">
        <v>110.50250000000597</v>
      </c>
      <c r="K463" s="520">
        <v>421.3278717799846</v>
      </c>
      <c r="L463" s="667"/>
      <c r="M463" s="668"/>
      <c r="N463" s="435"/>
      <c r="O463" s="384"/>
      <c r="P463" s="384"/>
    </row>
    <row r="464" spans="1:19" ht="12.95" customHeight="1">
      <c r="A464" s="483"/>
      <c r="B464" s="572" t="s">
        <v>225</v>
      </c>
      <c r="C464" s="575" t="s">
        <v>68</v>
      </c>
      <c r="D464" s="576"/>
      <c r="E464" s="577"/>
      <c r="F464" s="182">
        <v>6.73</v>
      </c>
      <c r="G464" s="183">
        <v>6.3320000000000007</v>
      </c>
      <c r="H464" s="183" t="s">
        <v>9</v>
      </c>
      <c r="I464" s="516">
        <v>13667.691999999995</v>
      </c>
      <c r="J464" s="516">
        <v>104.17050000000563</v>
      </c>
      <c r="K464" s="331" t="s">
        <v>120</v>
      </c>
      <c r="L464" s="667"/>
      <c r="M464" s="668"/>
      <c r="N464" s="435"/>
    </row>
    <row r="465" spans="1:18" ht="12.95" customHeight="1" thickBot="1">
      <c r="A465" s="483"/>
      <c r="B465" s="573"/>
      <c r="C465" s="578" t="s">
        <v>110</v>
      </c>
      <c r="D465" s="579"/>
      <c r="E465" s="580"/>
      <c r="F465" s="332">
        <v>99.55</v>
      </c>
      <c r="G465" s="306">
        <v>99.55</v>
      </c>
      <c r="H465" s="306" t="s">
        <v>9</v>
      </c>
      <c r="I465" s="517">
        <v>13767.241999999995</v>
      </c>
      <c r="J465" s="517">
        <v>4.6205000000063592</v>
      </c>
      <c r="K465" s="333" t="s">
        <v>224</v>
      </c>
      <c r="L465" s="667"/>
      <c r="M465" s="668"/>
      <c r="N465" s="474"/>
      <c r="R465" s="19"/>
    </row>
    <row r="466" spans="1:18" ht="12.95" customHeight="1" thickBot="1">
      <c r="A466" s="483"/>
      <c r="B466" s="574"/>
      <c r="C466" s="581" t="s">
        <v>69</v>
      </c>
      <c r="D466" s="582"/>
      <c r="E466" s="582"/>
      <c r="F466" s="583"/>
      <c r="G466" s="217">
        <v>4.62</v>
      </c>
      <c r="H466" s="181" t="s">
        <v>9</v>
      </c>
      <c r="I466" s="514">
        <v>13771.861999999996</v>
      </c>
      <c r="J466" s="514">
        <v>5.0000000555883162E-4</v>
      </c>
      <c r="K466" s="434"/>
      <c r="L466" s="667"/>
      <c r="M466" s="668"/>
      <c r="N466" s="19"/>
      <c r="R466" s="19"/>
    </row>
    <row r="467" spans="1:18" ht="13.5" thickBot="1">
      <c r="A467" s="484"/>
      <c r="B467" s="201"/>
      <c r="C467" s="202"/>
      <c r="D467" s="203"/>
      <c r="E467" s="204"/>
      <c r="F467" s="205"/>
      <c r="G467" s="205"/>
      <c r="H467" s="205"/>
      <c r="I467" s="205"/>
      <c r="J467" s="205"/>
      <c r="K467" s="226"/>
      <c r="L467" s="669"/>
      <c r="M467" s="670"/>
      <c r="R467" s="19"/>
    </row>
    <row r="468" spans="1:18">
      <c r="B468" s="11"/>
      <c r="C468" s="11"/>
      <c r="D468" s="12"/>
      <c r="E468" s="175"/>
      <c r="F468" s="8"/>
      <c r="G468" s="8"/>
      <c r="H468" s="8"/>
      <c r="I468" s="8"/>
      <c r="J468" s="8"/>
      <c r="K468" s="176"/>
      <c r="L468" s="30"/>
      <c r="M468" s="10"/>
      <c r="P468" s="19"/>
      <c r="R468" s="19"/>
    </row>
    <row r="469" spans="1:18">
      <c r="B469" s="11"/>
      <c r="C469" s="11"/>
      <c r="D469" s="12"/>
      <c r="E469" s="175"/>
      <c r="F469" s="8"/>
      <c r="G469" s="8"/>
      <c r="H469" s="8"/>
      <c r="I469" s="8"/>
      <c r="J469" s="8"/>
      <c r="K469" s="176"/>
      <c r="M469" s="10"/>
      <c r="R469" s="19"/>
    </row>
    <row r="470" spans="1:18">
      <c r="B470" s="11"/>
      <c r="C470" s="11"/>
      <c r="D470" s="12"/>
      <c r="E470" s="175"/>
      <c r="F470" s="8"/>
      <c r="G470" s="8"/>
      <c r="H470" s="8"/>
      <c r="I470" s="8"/>
      <c r="J470" s="8"/>
      <c r="K470" s="176"/>
      <c r="M470" s="359"/>
      <c r="N470" s="467"/>
      <c r="O470" s="19"/>
      <c r="P470" s="19"/>
      <c r="R470" s="19"/>
    </row>
    <row r="471" spans="1:18">
      <c r="B471" s="11"/>
      <c r="C471" s="11"/>
      <c r="D471" s="12"/>
      <c r="E471" s="175"/>
      <c r="F471" s="8"/>
      <c r="G471" s="8"/>
      <c r="H471" s="8"/>
      <c r="I471" s="8"/>
      <c r="J471" s="8"/>
      <c r="K471" s="176"/>
      <c r="M471" s="10"/>
    </row>
    <row r="472" spans="1:18">
      <c r="B472" s="11"/>
      <c r="C472" s="11"/>
      <c r="D472" s="12"/>
      <c r="E472" s="175"/>
      <c r="F472" s="8"/>
      <c r="G472" s="8"/>
      <c r="H472" s="8"/>
      <c r="I472" s="8"/>
      <c r="J472" s="8"/>
      <c r="K472" s="176"/>
      <c r="M472" s="359"/>
    </row>
    <row r="473" spans="1:18">
      <c r="B473" s="11"/>
      <c r="C473" s="11"/>
      <c r="D473" s="12"/>
      <c r="E473" s="175"/>
      <c r="F473" s="8"/>
      <c r="G473" s="8"/>
      <c r="H473" s="8"/>
      <c r="I473" s="8"/>
      <c r="J473" s="8"/>
      <c r="K473" s="176"/>
      <c r="M473" s="10"/>
    </row>
    <row r="474" spans="1:18">
      <c r="B474" s="11"/>
      <c r="C474" s="11"/>
      <c r="D474" s="12"/>
      <c r="E474" s="175"/>
      <c r="F474" s="8"/>
      <c r="G474" s="8"/>
      <c r="H474" s="8"/>
      <c r="I474" s="8"/>
      <c r="J474" s="8"/>
      <c r="K474" s="176"/>
      <c r="M474" s="10"/>
    </row>
    <row r="475" spans="1:18">
      <c r="B475" s="11"/>
      <c r="C475" s="11"/>
      <c r="D475" s="12"/>
      <c r="E475" s="175"/>
      <c r="F475" s="8"/>
      <c r="G475" s="8"/>
      <c r="H475" s="8"/>
      <c r="I475" s="8"/>
      <c r="J475" s="8"/>
      <c r="K475" s="176"/>
      <c r="M475" s="10"/>
    </row>
    <row r="476" spans="1:18">
      <c r="B476" s="11"/>
      <c r="C476" s="11"/>
      <c r="D476" s="12"/>
      <c r="E476" s="175"/>
      <c r="F476" s="8"/>
      <c r="G476" s="8"/>
      <c r="H476" s="8"/>
      <c r="I476" s="8"/>
      <c r="J476" s="8"/>
      <c r="K476" s="176"/>
      <c r="M476" s="10"/>
    </row>
    <row r="477" spans="1:18">
      <c r="B477" s="11"/>
      <c r="C477" s="11"/>
      <c r="D477" s="12"/>
      <c r="E477" s="175"/>
      <c r="F477" s="8"/>
      <c r="G477" s="8"/>
      <c r="H477" s="8"/>
      <c r="I477" s="8"/>
      <c r="J477" s="8"/>
      <c r="K477" s="176"/>
      <c r="M477" s="10"/>
    </row>
    <row r="478" spans="1:18">
      <c r="B478" s="11"/>
      <c r="C478" s="11"/>
      <c r="D478" s="12"/>
      <c r="E478" s="175"/>
      <c r="F478" s="8"/>
      <c r="G478" s="8"/>
      <c r="H478" s="8"/>
      <c r="I478" s="8"/>
      <c r="J478" s="8"/>
      <c r="K478" s="176"/>
      <c r="M478" s="10"/>
    </row>
    <row r="479" spans="1:18">
      <c r="B479" s="11"/>
      <c r="C479" s="11"/>
      <c r="D479" s="12"/>
      <c r="E479" s="175"/>
      <c r="F479" s="8"/>
      <c r="G479" s="8"/>
      <c r="H479" s="8"/>
      <c r="I479" s="8"/>
      <c r="J479" s="8"/>
      <c r="K479" s="176"/>
      <c r="M479" s="10"/>
    </row>
    <row r="480" spans="1:18">
      <c r="B480" s="11"/>
      <c r="C480" s="11"/>
      <c r="D480" s="12"/>
      <c r="E480" s="175"/>
      <c r="F480" s="8"/>
      <c r="G480" s="8"/>
      <c r="H480" s="8"/>
      <c r="I480" s="8"/>
      <c r="J480" s="8"/>
      <c r="K480" s="176"/>
      <c r="M480" s="10"/>
    </row>
    <row r="481" spans="2:13">
      <c r="B481" s="11"/>
      <c r="C481" s="11"/>
      <c r="D481" s="12"/>
      <c r="E481" s="175"/>
      <c r="F481" s="8"/>
      <c r="G481" s="8"/>
      <c r="H481" s="8"/>
      <c r="I481" s="8"/>
      <c r="J481" s="8"/>
      <c r="K481" s="176"/>
      <c r="M481" s="10"/>
    </row>
    <row r="482" spans="2:13">
      <c r="B482" s="11"/>
      <c r="C482" s="11"/>
      <c r="D482" s="12"/>
      <c r="E482" s="175"/>
      <c r="F482" s="8"/>
      <c r="G482" s="8"/>
      <c r="H482" s="8"/>
      <c r="I482" s="8"/>
      <c r="J482" s="8"/>
      <c r="K482" s="176"/>
      <c r="M482" s="10"/>
    </row>
    <row r="483" spans="2:13">
      <c r="B483"/>
      <c r="C483"/>
      <c r="D483" s="26"/>
      <c r="E483"/>
      <c r="F483"/>
      <c r="G483" s="28"/>
      <c r="H483"/>
      <c r="I483"/>
      <c r="J483"/>
      <c r="K483"/>
      <c r="M483" s="10"/>
    </row>
    <row r="484" spans="2:13">
      <c r="B484"/>
      <c r="C484"/>
      <c r="D484" s="26"/>
      <c r="E484"/>
      <c r="F484"/>
      <c r="G484" s="28"/>
      <c r="H484"/>
      <c r="I484"/>
      <c r="J484"/>
      <c r="K484"/>
      <c r="M484" s="10"/>
    </row>
    <row r="485" spans="2:13">
      <c r="B485"/>
      <c r="C485"/>
      <c r="D485" s="26"/>
      <c r="E485"/>
      <c r="F485"/>
      <c r="G485" s="28"/>
      <c r="H485"/>
      <c r="I485"/>
      <c r="J485"/>
      <c r="K485"/>
      <c r="M485" s="10"/>
    </row>
    <row r="486" spans="2:13">
      <c r="B486"/>
      <c r="C486"/>
      <c r="D486" s="26"/>
      <c r="E486"/>
      <c r="F486"/>
      <c r="G486" s="28"/>
      <c r="H486"/>
      <c r="I486"/>
      <c r="J486"/>
      <c r="K486"/>
      <c r="M486" s="10"/>
    </row>
    <row r="487" spans="2:13">
      <c r="B487"/>
      <c r="C487"/>
      <c r="D487" s="26"/>
      <c r="E487"/>
      <c r="F487"/>
      <c r="G487" s="28"/>
      <c r="H487"/>
      <c r="I487"/>
      <c r="J487"/>
      <c r="K487"/>
      <c r="M487" s="10"/>
    </row>
    <row r="488" spans="2:13">
      <c r="B488"/>
      <c r="C488"/>
      <c r="D488" s="26"/>
      <c r="E488"/>
      <c r="F488"/>
      <c r="G488" s="28"/>
      <c r="H488"/>
      <c r="I488"/>
      <c r="J488"/>
      <c r="K488"/>
      <c r="M488" s="10"/>
    </row>
    <row r="489" spans="2:13">
      <c r="B489"/>
      <c r="C489"/>
      <c r="D489" s="26"/>
      <c r="E489"/>
      <c r="F489"/>
      <c r="G489" s="28"/>
      <c r="H489"/>
      <c r="I489"/>
      <c r="J489"/>
      <c r="K489"/>
      <c r="M489" s="10"/>
    </row>
    <row r="490" spans="2:13">
      <c r="M490" s="10"/>
    </row>
    <row r="491" spans="2:13">
      <c r="M491" s="10"/>
    </row>
    <row r="492" spans="2:13">
      <c r="M492" s="10"/>
    </row>
    <row r="493" spans="2:13">
      <c r="L493"/>
    </row>
    <row r="494" spans="2:13">
      <c r="L494"/>
    </row>
    <row r="495" spans="2:13">
      <c r="L495"/>
    </row>
    <row r="496" spans="2:13">
      <c r="L496"/>
    </row>
    <row r="497" spans="12:12">
      <c r="L497"/>
    </row>
    <row r="498" spans="12:12">
      <c r="L498"/>
    </row>
    <row r="499" spans="12:12">
      <c r="L499"/>
    </row>
    <row r="500" spans="12:12">
      <c r="L500"/>
    </row>
    <row r="501" spans="12:12">
      <c r="L501"/>
    </row>
    <row r="502" spans="12:12">
      <c r="L502"/>
    </row>
    <row r="503" spans="12:12">
      <c r="L503"/>
    </row>
  </sheetData>
  <mergeCells count="521">
    <mergeCell ref="L462:M467"/>
    <mergeCell ref="B431:C431"/>
    <mergeCell ref="B432:C432"/>
    <mergeCell ref="B433:C433"/>
    <mergeCell ref="B434:C434"/>
    <mergeCell ref="B435:C435"/>
    <mergeCell ref="B436:C436"/>
    <mergeCell ref="B437:C437"/>
    <mergeCell ref="B438:C438"/>
    <mergeCell ref="B439:C439"/>
    <mergeCell ref="B462:C462"/>
    <mergeCell ref="B463:C463"/>
    <mergeCell ref="L461:M461"/>
    <mergeCell ref="B458:D458"/>
    <mergeCell ref="B459:D459"/>
    <mergeCell ref="B460:D460"/>
    <mergeCell ref="B404:C404"/>
    <mergeCell ref="B405:C405"/>
    <mergeCell ref="B406:C406"/>
    <mergeCell ref="B407:C407"/>
    <mergeCell ref="B408:C408"/>
    <mergeCell ref="B409:C409"/>
    <mergeCell ref="B410:C410"/>
    <mergeCell ref="B411:C411"/>
    <mergeCell ref="B412:C412"/>
    <mergeCell ref="B413:C413"/>
    <mergeCell ref="B414:C414"/>
    <mergeCell ref="B415:C415"/>
    <mergeCell ref="B416:C416"/>
    <mergeCell ref="B417:C417"/>
    <mergeCell ref="B418:C418"/>
    <mergeCell ref="B419:C419"/>
    <mergeCell ref="B420:C420"/>
    <mergeCell ref="B421:C421"/>
    <mergeCell ref="B422:C422"/>
    <mergeCell ref="B423:C423"/>
    <mergeCell ref="B424:C424"/>
    <mergeCell ref="B425:C425"/>
    <mergeCell ref="C9:D9"/>
    <mergeCell ref="B10:D11"/>
    <mergeCell ref="E10:E11"/>
    <mergeCell ref="F10:F11"/>
    <mergeCell ref="G10:G11"/>
    <mergeCell ref="B24:D24"/>
    <mergeCell ref="B25:D25"/>
    <mergeCell ref="B26:D26"/>
    <mergeCell ref="B41:D41"/>
    <mergeCell ref="B42:D42"/>
    <mergeCell ref="B43:D43"/>
    <mergeCell ref="B50:D50"/>
    <mergeCell ref="B51:D51"/>
    <mergeCell ref="B52:D52"/>
    <mergeCell ref="B53:D53"/>
    <mergeCell ref="B54:D54"/>
    <mergeCell ref="B55:D55"/>
    <mergeCell ref="B44:D44"/>
    <mergeCell ref="B45:D45"/>
    <mergeCell ref="B46:D46"/>
    <mergeCell ref="H10:H11"/>
    <mergeCell ref="L16:M16"/>
    <mergeCell ref="B16:D16"/>
    <mergeCell ref="B17:B20"/>
    <mergeCell ref="C17:C20"/>
    <mergeCell ref="D17:E17"/>
    <mergeCell ref="L17:M17"/>
    <mergeCell ref="R13:R15"/>
    <mergeCell ref="S13:S15"/>
    <mergeCell ref="D14:E14"/>
    <mergeCell ref="D15:E15"/>
    <mergeCell ref="I10:I11"/>
    <mergeCell ref="J10:J11"/>
    <mergeCell ref="K10:K11"/>
    <mergeCell ref="L10:M11"/>
    <mergeCell ref="B12:E12"/>
    <mergeCell ref="L12:M12"/>
    <mergeCell ref="B13:B15"/>
    <mergeCell ref="C13:C15"/>
    <mergeCell ref="D13:E13"/>
    <mergeCell ref="L13:M15"/>
    <mergeCell ref="N21:N22"/>
    <mergeCell ref="O21:O22"/>
    <mergeCell ref="B22:D22"/>
    <mergeCell ref="L22:M22"/>
    <mergeCell ref="B23:D23"/>
    <mergeCell ref="L23:M23"/>
    <mergeCell ref="Q17:Q20"/>
    <mergeCell ref="D18:E18"/>
    <mergeCell ref="L18:M18"/>
    <mergeCell ref="D19:E19"/>
    <mergeCell ref="L19:M19"/>
    <mergeCell ref="D20:E20"/>
    <mergeCell ref="L20:M20"/>
    <mergeCell ref="B21:D21"/>
    <mergeCell ref="L26:M26"/>
    <mergeCell ref="B27:D27"/>
    <mergeCell ref="L27:M27"/>
    <mergeCell ref="B38:D38"/>
    <mergeCell ref="B39:D39"/>
    <mergeCell ref="B40:D40"/>
    <mergeCell ref="B28:D28"/>
    <mergeCell ref="B29:D29"/>
    <mergeCell ref="L29:M29"/>
    <mergeCell ref="B30:D30"/>
    <mergeCell ref="L30:M30"/>
    <mergeCell ref="B31:D31"/>
    <mergeCell ref="B32:D32"/>
    <mergeCell ref="B33:D33"/>
    <mergeCell ref="B34:D34"/>
    <mergeCell ref="B35:D35"/>
    <mergeCell ref="B36:D36"/>
    <mergeCell ref="B37:D37"/>
    <mergeCell ref="B47:D47"/>
    <mergeCell ref="B48:D48"/>
    <mergeCell ref="B49:D49"/>
    <mergeCell ref="B62:D62"/>
    <mergeCell ref="B63:D63"/>
    <mergeCell ref="B64:D64"/>
    <mergeCell ref="B65:D65"/>
    <mergeCell ref="B66:D66"/>
    <mergeCell ref="B67:D67"/>
    <mergeCell ref="B56:D56"/>
    <mergeCell ref="B57:D57"/>
    <mergeCell ref="B58:D58"/>
    <mergeCell ref="B59:D59"/>
    <mergeCell ref="B60:D60"/>
    <mergeCell ref="B61:D61"/>
    <mergeCell ref="B74:D74"/>
    <mergeCell ref="B75:D75"/>
    <mergeCell ref="B76:D76"/>
    <mergeCell ref="B77:D77"/>
    <mergeCell ref="B78:D78"/>
    <mergeCell ref="B79:D79"/>
    <mergeCell ref="B68:D68"/>
    <mergeCell ref="B69:D69"/>
    <mergeCell ref="B70:D70"/>
    <mergeCell ref="B71:D71"/>
    <mergeCell ref="B72:D72"/>
    <mergeCell ref="B73:D73"/>
    <mergeCell ref="B86:D86"/>
    <mergeCell ref="B87:D87"/>
    <mergeCell ref="B88:D88"/>
    <mergeCell ref="B89:D89"/>
    <mergeCell ref="B90:D90"/>
    <mergeCell ref="B91:D91"/>
    <mergeCell ref="B80:D80"/>
    <mergeCell ref="B81:D81"/>
    <mergeCell ref="B82:D82"/>
    <mergeCell ref="B83:D83"/>
    <mergeCell ref="B84:D84"/>
    <mergeCell ref="B85:D85"/>
    <mergeCell ref="B98:D98"/>
    <mergeCell ref="B99:D99"/>
    <mergeCell ref="B100:D100"/>
    <mergeCell ref="B101:D101"/>
    <mergeCell ref="B102:D102"/>
    <mergeCell ref="B103:D103"/>
    <mergeCell ref="B92:D92"/>
    <mergeCell ref="B93:D93"/>
    <mergeCell ref="B94:D94"/>
    <mergeCell ref="B95:D95"/>
    <mergeCell ref="B96:D96"/>
    <mergeCell ref="B97:D97"/>
    <mergeCell ref="B110:D110"/>
    <mergeCell ref="B111:D111"/>
    <mergeCell ref="B112:D112"/>
    <mergeCell ref="B113:D113"/>
    <mergeCell ref="B114:D114"/>
    <mergeCell ref="B115:D115"/>
    <mergeCell ref="B104:D104"/>
    <mergeCell ref="B105:D105"/>
    <mergeCell ref="B106:D106"/>
    <mergeCell ref="B107:D107"/>
    <mergeCell ref="B108:D108"/>
    <mergeCell ref="B109:D109"/>
    <mergeCell ref="B122:D122"/>
    <mergeCell ref="B123:D123"/>
    <mergeCell ref="B124:D124"/>
    <mergeCell ref="B125:D125"/>
    <mergeCell ref="B126:D126"/>
    <mergeCell ref="B127:D127"/>
    <mergeCell ref="B116:D116"/>
    <mergeCell ref="B117:D117"/>
    <mergeCell ref="B118:D118"/>
    <mergeCell ref="B119:D119"/>
    <mergeCell ref="B120:D120"/>
    <mergeCell ref="B121:D121"/>
    <mergeCell ref="L143:M143"/>
    <mergeCell ref="B144:D144"/>
    <mergeCell ref="B134:D134"/>
    <mergeCell ref="B135:D135"/>
    <mergeCell ref="B136:D136"/>
    <mergeCell ref="B137:D137"/>
    <mergeCell ref="B138:D138"/>
    <mergeCell ref="B139:D139"/>
    <mergeCell ref="B128:D128"/>
    <mergeCell ref="B129:D129"/>
    <mergeCell ref="B130:D130"/>
    <mergeCell ref="B131:D131"/>
    <mergeCell ref="B132:D132"/>
    <mergeCell ref="B133:D133"/>
    <mergeCell ref="B145:D145"/>
    <mergeCell ref="B146:D146"/>
    <mergeCell ref="B147:D147"/>
    <mergeCell ref="B148:D148"/>
    <mergeCell ref="B149:D149"/>
    <mergeCell ref="B150:D150"/>
    <mergeCell ref="B140:D140"/>
    <mergeCell ref="B141:D141"/>
    <mergeCell ref="B142:D142"/>
    <mergeCell ref="B143:D143"/>
    <mergeCell ref="B157:D157"/>
    <mergeCell ref="B158:D158"/>
    <mergeCell ref="B159:D159"/>
    <mergeCell ref="B160:D160"/>
    <mergeCell ref="B161:D161"/>
    <mergeCell ref="B162:D162"/>
    <mergeCell ref="B151:D151"/>
    <mergeCell ref="B152:D152"/>
    <mergeCell ref="B153:D153"/>
    <mergeCell ref="B154:D154"/>
    <mergeCell ref="B155:D155"/>
    <mergeCell ref="B156:D156"/>
    <mergeCell ref="B169:D169"/>
    <mergeCell ref="B170:D170"/>
    <mergeCell ref="B171:D171"/>
    <mergeCell ref="B172:D172"/>
    <mergeCell ref="B173:D173"/>
    <mergeCell ref="B174:D174"/>
    <mergeCell ref="B163:D163"/>
    <mergeCell ref="B164:D164"/>
    <mergeCell ref="B165:D165"/>
    <mergeCell ref="B166:D166"/>
    <mergeCell ref="B167:D167"/>
    <mergeCell ref="B168:D168"/>
    <mergeCell ref="B181:D181"/>
    <mergeCell ref="B182:D182"/>
    <mergeCell ref="B183:D183"/>
    <mergeCell ref="B184:D184"/>
    <mergeCell ref="B185:D185"/>
    <mergeCell ref="B186:D186"/>
    <mergeCell ref="B175:D175"/>
    <mergeCell ref="B176:D176"/>
    <mergeCell ref="B177:D177"/>
    <mergeCell ref="B178:D178"/>
    <mergeCell ref="B179:D179"/>
    <mergeCell ref="B180:D180"/>
    <mergeCell ref="B193:D193"/>
    <mergeCell ref="B194:D194"/>
    <mergeCell ref="B195:D195"/>
    <mergeCell ref="B196:D196"/>
    <mergeCell ref="B197:D197"/>
    <mergeCell ref="B198:D198"/>
    <mergeCell ref="B187:D187"/>
    <mergeCell ref="B188:D188"/>
    <mergeCell ref="B189:D189"/>
    <mergeCell ref="B190:D190"/>
    <mergeCell ref="B191:D191"/>
    <mergeCell ref="B192:D192"/>
    <mergeCell ref="B205:D205"/>
    <mergeCell ref="B206:D206"/>
    <mergeCell ref="B207:D207"/>
    <mergeCell ref="B208:D208"/>
    <mergeCell ref="B209:D209"/>
    <mergeCell ref="B210:D210"/>
    <mergeCell ref="B199:D199"/>
    <mergeCell ref="B200:D200"/>
    <mergeCell ref="B201:D201"/>
    <mergeCell ref="B202:D202"/>
    <mergeCell ref="B203:D203"/>
    <mergeCell ref="B204:D204"/>
    <mergeCell ref="B217:D217"/>
    <mergeCell ref="B218:D218"/>
    <mergeCell ref="B219:D219"/>
    <mergeCell ref="B220:D220"/>
    <mergeCell ref="B221:D221"/>
    <mergeCell ref="B222:D222"/>
    <mergeCell ref="B211:D211"/>
    <mergeCell ref="B212:D212"/>
    <mergeCell ref="B213:D213"/>
    <mergeCell ref="B214:D214"/>
    <mergeCell ref="B215:D215"/>
    <mergeCell ref="B216:D216"/>
    <mergeCell ref="B229:D229"/>
    <mergeCell ref="B230:D230"/>
    <mergeCell ref="L230:M230"/>
    <mergeCell ref="B231:D231"/>
    <mergeCell ref="B232:D232"/>
    <mergeCell ref="L232:M232"/>
    <mergeCell ref="B223:D223"/>
    <mergeCell ref="B224:D224"/>
    <mergeCell ref="B225:D225"/>
    <mergeCell ref="B226:D226"/>
    <mergeCell ref="B227:D227"/>
    <mergeCell ref="B228:D228"/>
    <mergeCell ref="B248:D248"/>
    <mergeCell ref="B237:D237"/>
    <mergeCell ref="B238:D238"/>
    <mergeCell ref="B239:D239"/>
    <mergeCell ref="B240:D240"/>
    <mergeCell ref="B241:D241"/>
    <mergeCell ref="B242:D242"/>
    <mergeCell ref="B233:D233"/>
    <mergeCell ref="B234:D234"/>
    <mergeCell ref="B235:D235"/>
    <mergeCell ref="B236:D236"/>
    <mergeCell ref="B247:D247"/>
    <mergeCell ref="L255:M255"/>
    <mergeCell ref="B256:D256"/>
    <mergeCell ref="B257:D257"/>
    <mergeCell ref="B258:D258"/>
    <mergeCell ref="B249:D249"/>
    <mergeCell ref="B250:D250"/>
    <mergeCell ref="B251:D251"/>
    <mergeCell ref="B252:D252"/>
    <mergeCell ref="B253:D253"/>
    <mergeCell ref="B254:D254"/>
    <mergeCell ref="L254:M254"/>
    <mergeCell ref="B301:D301"/>
    <mergeCell ref="B302:D302"/>
    <mergeCell ref="B303:D303"/>
    <mergeCell ref="L263:M263"/>
    <mergeCell ref="B264:D264"/>
    <mergeCell ref="B265:D265"/>
    <mergeCell ref="B266:D266"/>
    <mergeCell ref="B259:D259"/>
    <mergeCell ref="B260:D260"/>
    <mergeCell ref="B261:D261"/>
    <mergeCell ref="L261:M261"/>
    <mergeCell ref="B262:D262"/>
    <mergeCell ref="B291:D291"/>
    <mergeCell ref="B292:D292"/>
    <mergeCell ref="B293:D293"/>
    <mergeCell ref="B294:D294"/>
    <mergeCell ref="B295:D295"/>
    <mergeCell ref="B296:D296"/>
    <mergeCell ref="B297:D297"/>
    <mergeCell ref="B298:D298"/>
    <mergeCell ref="B299:D299"/>
    <mergeCell ref="B275:D275"/>
    <mergeCell ref="B276:D276"/>
    <mergeCell ref="B278:D278"/>
    <mergeCell ref="B279:D279"/>
    <mergeCell ref="B280:D280"/>
    <mergeCell ref="B281:D281"/>
    <mergeCell ref="B282:D282"/>
    <mergeCell ref="B290:D290"/>
    <mergeCell ref="B464:B466"/>
    <mergeCell ref="C464:E464"/>
    <mergeCell ref="C465:E465"/>
    <mergeCell ref="C466:F466"/>
    <mergeCell ref="B461:C461"/>
    <mergeCell ref="B381:D381"/>
    <mergeCell ref="B382:D382"/>
    <mergeCell ref="B383:D383"/>
    <mergeCell ref="B384:D384"/>
    <mergeCell ref="B385:D385"/>
    <mergeCell ref="B386:D386"/>
    <mergeCell ref="B387:D387"/>
    <mergeCell ref="B388:D388"/>
    <mergeCell ref="B389:D389"/>
    <mergeCell ref="B390:D390"/>
    <mergeCell ref="B304:D304"/>
    <mergeCell ref="B305:D305"/>
    <mergeCell ref="B300:D300"/>
    <mergeCell ref="I7:J7"/>
    <mergeCell ref="I6:J6"/>
    <mergeCell ref="B283:D283"/>
    <mergeCell ref="B284:D284"/>
    <mergeCell ref="B285:D285"/>
    <mergeCell ref="B286:D286"/>
    <mergeCell ref="B287:D287"/>
    <mergeCell ref="B288:D288"/>
    <mergeCell ref="B289:D289"/>
    <mergeCell ref="B271:D271"/>
    <mergeCell ref="B272:D272"/>
    <mergeCell ref="B273:D273"/>
    <mergeCell ref="B274:D274"/>
    <mergeCell ref="B267:D267"/>
    <mergeCell ref="B268:D268"/>
    <mergeCell ref="B269:D269"/>
    <mergeCell ref="B270:D270"/>
    <mergeCell ref="B263:D263"/>
    <mergeCell ref="B255:D255"/>
    <mergeCell ref="B243:D243"/>
    <mergeCell ref="B244:D244"/>
    <mergeCell ref="B245:D245"/>
    <mergeCell ref="B246:D246"/>
    <mergeCell ref="B277:D277"/>
    <mergeCell ref="B306:D306"/>
    <mergeCell ref="B307:D307"/>
    <mergeCell ref="B308:D308"/>
    <mergeCell ref="B309:D309"/>
    <mergeCell ref="B310:D310"/>
    <mergeCell ref="B311:D311"/>
    <mergeCell ref="B312:D312"/>
    <mergeCell ref="B313:D313"/>
    <mergeCell ref="B314:D314"/>
    <mergeCell ref="B315:D315"/>
    <mergeCell ref="B316:D316"/>
    <mergeCell ref="B317:D317"/>
    <mergeCell ref="B318:D318"/>
    <mergeCell ref="B319:D319"/>
    <mergeCell ref="B320:D320"/>
    <mergeCell ref="B321:D321"/>
    <mergeCell ref="B322:D322"/>
    <mergeCell ref="B323:D323"/>
    <mergeCell ref="B324:D324"/>
    <mergeCell ref="B325:D325"/>
    <mergeCell ref="B326:D326"/>
    <mergeCell ref="B327:D327"/>
    <mergeCell ref="B328:D328"/>
    <mergeCell ref="B329:D329"/>
    <mergeCell ref="B330:D330"/>
    <mergeCell ref="B340:D340"/>
    <mergeCell ref="B341:D341"/>
    <mergeCell ref="B342:D342"/>
    <mergeCell ref="B343:D343"/>
    <mergeCell ref="B344:D344"/>
    <mergeCell ref="B346:D346"/>
    <mergeCell ref="B347:D347"/>
    <mergeCell ref="B348:D348"/>
    <mergeCell ref="B331:D331"/>
    <mergeCell ref="B332:D332"/>
    <mergeCell ref="B333:D333"/>
    <mergeCell ref="B334:D334"/>
    <mergeCell ref="B335:D335"/>
    <mergeCell ref="B336:D336"/>
    <mergeCell ref="B337:D337"/>
    <mergeCell ref="B338:D338"/>
    <mergeCell ref="B339:D339"/>
    <mergeCell ref="L353:M353"/>
    <mergeCell ref="L355:M355"/>
    <mergeCell ref="L256:M256"/>
    <mergeCell ref="L257:M257"/>
    <mergeCell ref="L258:M258"/>
    <mergeCell ref="L259:M259"/>
    <mergeCell ref="L260:M260"/>
    <mergeCell ref="L262:M262"/>
    <mergeCell ref="L264:M264"/>
    <mergeCell ref="B365:D365"/>
    <mergeCell ref="B366:D366"/>
    <mergeCell ref="B349:D349"/>
    <mergeCell ref="B350:D350"/>
    <mergeCell ref="B351:D351"/>
    <mergeCell ref="B352:D352"/>
    <mergeCell ref="B353:D353"/>
    <mergeCell ref="B345:D345"/>
    <mergeCell ref="B380:D380"/>
    <mergeCell ref="B376:D376"/>
    <mergeCell ref="B377:D377"/>
    <mergeCell ref="B378:D378"/>
    <mergeCell ref="B367:D367"/>
    <mergeCell ref="B368:D368"/>
    <mergeCell ref="B354:D354"/>
    <mergeCell ref="B355:D355"/>
    <mergeCell ref="B356:D356"/>
    <mergeCell ref="B357:D357"/>
    <mergeCell ref="B391:D391"/>
    <mergeCell ref="B392:D392"/>
    <mergeCell ref="B393:D393"/>
    <mergeCell ref="B394:D394"/>
    <mergeCell ref="B395:D395"/>
    <mergeCell ref="B396:D396"/>
    <mergeCell ref="B397:D397"/>
    <mergeCell ref="B398:D398"/>
    <mergeCell ref="L119:M119"/>
    <mergeCell ref="B370:D370"/>
    <mergeCell ref="B371:D371"/>
    <mergeCell ref="B372:D372"/>
    <mergeCell ref="B373:D373"/>
    <mergeCell ref="B374:D374"/>
    <mergeCell ref="B375:D375"/>
    <mergeCell ref="B379:D379"/>
    <mergeCell ref="B369:D369"/>
    <mergeCell ref="B358:D358"/>
    <mergeCell ref="B359:D359"/>
    <mergeCell ref="B360:D360"/>
    <mergeCell ref="B361:D361"/>
    <mergeCell ref="B362:D362"/>
    <mergeCell ref="B363:D363"/>
    <mergeCell ref="B364:D364"/>
    <mergeCell ref="B428:C428"/>
    <mergeCell ref="B429:C429"/>
    <mergeCell ref="B430:C430"/>
    <mergeCell ref="B454:D454"/>
    <mergeCell ref="B455:D455"/>
    <mergeCell ref="B456:D456"/>
    <mergeCell ref="B457:D457"/>
    <mergeCell ref="B450:D450"/>
    <mergeCell ref="B451:D451"/>
    <mergeCell ref="B452:D452"/>
    <mergeCell ref="B440:C440"/>
    <mergeCell ref="B441:C441"/>
    <mergeCell ref="B442:C442"/>
    <mergeCell ref="B443:C443"/>
    <mergeCell ref="B444:C444"/>
    <mergeCell ref="B445:C445"/>
    <mergeCell ref="B446:C446"/>
    <mergeCell ref="L356:M356"/>
    <mergeCell ref="L402:M402"/>
    <mergeCell ref="D403:E403"/>
    <mergeCell ref="L403:M403"/>
    <mergeCell ref="A17:A20"/>
    <mergeCell ref="A13:A15"/>
    <mergeCell ref="A399:A403"/>
    <mergeCell ref="B453:D453"/>
    <mergeCell ref="L354:M354"/>
    <mergeCell ref="L441:M441"/>
    <mergeCell ref="L435:M435"/>
    <mergeCell ref="L440:M440"/>
    <mergeCell ref="B399:B403"/>
    <mergeCell ref="C399:C403"/>
    <mergeCell ref="D399:E399"/>
    <mergeCell ref="D400:E400"/>
    <mergeCell ref="D401:E401"/>
    <mergeCell ref="D402:E402"/>
    <mergeCell ref="B447:D447"/>
    <mergeCell ref="B448:D448"/>
    <mergeCell ref="B449:D449"/>
    <mergeCell ref="B426:C426"/>
    <mergeCell ref="B427:C427"/>
  </mergeCells>
  <printOptions horizontalCentered="1"/>
  <pageMargins left="0.15" right="0" top="0.5" bottom="0.75" header="0" footer="0"/>
  <pageSetup scale="84" fitToHeight="8" orientation="portrait" horizontalDpi="300" verticalDpi="300" r:id="rId1"/>
  <headerFooter alignWithMargins="0"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FFC000"/>
  </sheetPr>
  <dimension ref="A1:S502"/>
  <sheetViews>
    <sheetView showGridLines="0" defaultGridColor="0" colorId="10" zoomScaleNormal="100" zoomScaleSheetLayoutView="100" workbookViewId="0">
      <selection activeCell="N8" sqref="N8"/>
    </sheetView>
  </sheetViews>
  <sheetFormatPr defaultColWidth="11.42578125" defaultRowHeight="12.75"/>
  <cols>
    <col min="1" max="1" width="3.7109375" customWidth="1"/>
    <col min="2" max="2" width="9.28515625" style="1" customWidth="1"/>
    <col min="3" max="3" width="5.7109375" style="28" customWidth="1"/>
    <col min="4" max="5" width="9.42578125" style="7" customWidth="1"/>
    <col min="6" max="6" width="8.140625" style="2" customWidth="1"/>
    <col min="7" max="7" width="10.85546875" style="2" customWidth="1"/>
    <col min="8" max="8" width="7.85546875" style="2" customWidth="1"/>
    <col min="9" max="9" width="9.7109375" style="2" customWidth="1"/>
    <col min="10" max="10" width="10" style="2" customWidth="1"/>
    <col min="11" max="11" width="13.5703125" style="5" customWidth="1"/>
    <col min="12" max="12" width="14.140625" style="10" customWidth="1"/>
    <col min="13" max="13" width="16.28515625" customWidth="1"/>
    <col min="14" max="14" width="10.5703125" customWidth="1"/>
    <col min="15" max="16" width="5.85546875" customWidth="1"/>
    <col min="17" max="17" width="3" style="377" customWidth="1"/>
    <col min="18" max="18" width="8.85546875" customWidth="1"/>
    <col min="19" max="19" width="6.5703125" customWidth="1"/>
  </cols>
  <sheetData>
    <row r="1" spans="1:19" ht="18">
      <c r="A1" s="534" t="s">
        <v>232</v>
      </c>
      <c r="B1" s="34"/>
      <c r="C1" s="184"/>
      <c r="D1" s="185"/>
      <c r="E1" s="186"/>
      <c r="F1" s="187"/>
      <c r="G1" s="188"/>
      <c r="H1" s="187"/>
      <c r="I1" s="189" t="s">
        <v>14</v>
      </c>
      <c r="J1" s="190"/>
      <c r="K1" s="191"/>
      <c r="L1" s="192" t="s">
        <v>260</v>
      </c>
      <c r="M1" s="193"/>
    </row>
    <row r="2" spans="1:19" ht="15.75">
      <c r="A2" s="535"/>
      <c r="B2" s="197"/>
      <c r="C2" s="11"/>
      <c r="D2" s="20"/>
      <c r="E2" s="20"/>
      <c r="F2" s="3"/>
      <c r="G2" s="29"/>
      <c r="H2" s="3"/>
      <c r="I2" s="21" t="s">
        <v>15</v>
      </c>
      <c r="J2" s="8"/>
      <c r="K2" s="15" t="s">
        <v>13</v>
      </c>
      <c r="L2" s="354">
        <v>43422</v>
      </c>
      <c r="M2" s="194"/>
    </row>
    <row r="3" spans="1:19" ht="18">
      <c r="A3" s="535"/>
      <c r="B3" s="195"/>
      <c r="C3" s="27"/>
      <c r="D3" s="6"/>
      <c r="E3" s="14"/>
      <c r="F3" s="3"/>
      <c r="G3" s="22" t="s">
        <v>0</v>
      </c>
      <c r="H3" s="22" t="s">
        <v>215</v>
      </c>
      <c r="I3" s="14"/>
      <c r="J3" s="14"/>
      <c r="K3" s="4" t="s">
        <v>80</v>
      </c>
      <c r="L3" s="9" t="s">
        <v>214</v>
      </c>
      <c r="M3" s="173"/>
      <c r="P3" s="19"/>
    </row>
    <row r="4" spans="1:19" ht="13.5" thickBot="1">
      <c r="A4" s="535"/>
      <c r="B4" s="196"/>
      <c r="C4" s="11"/>
      <c r="D4" s="6"/>
      <c r="E4" s="14"/>
      <c r="F4" s="3"/>
      <c r="G4" s="22" t="s">
        <v>1</v>
      </c>
      <c r="H4" s="321" t="s">
        <v>216</v>
      </c>
      <c r="I4" s="14"/>
      <c r="J4" s="9"/>
      <c r="K4" s="4" t="s">
        <v>17</v>
      </c>
      <c r="L4" s="9" t="s">
        <v>213</v>
      </c>
      <c r="M4" s="173"/>
      <c r="P4" s="19"/>
      <c r="R4" s="218"/>
    </row>
    <row r="5" spans="1:19" ht="13.5" thickBot="1">
      <c r="A5" s="535"/>
      <c r="B5" s="197"/>
      <c r="C5" s="11"/>
      <c r="D5" s="25"/>
      <c r="E5" s="6"/>
      <c r="F5" s="3"/>
      <c r="G5" s="22" t="s">
        <v>196</v>
      </c>
      <c r="H5" s="322" t="s">
        <v>162</v>
      </c>
      <c r="I5" s="14"/>
      <c r="J5" s="14"/>
      <c r="K5" s="15" t="s">
        <v>81</v>
      </c>
      <c r="L5" s="476">
        <v>1312.41</v>
      </c>
      <c r="M5" s="173" t="s">
        <v>31</v>
      </c>
      <c r="P5" s="19"/>
    </row>
    <row r="6" spans="1:19" ht="13.5" thickBot="1">
      <c r="A6" s="535"/>
      <c r="B6" s="197"/>
      <c r="C6" s="11"/>
      <c r="D6" s="264" t="s">
        <v>77</v>
      </c>
      <c r="E6" s="265" t="s">
        <v>26</v>
      </c>
      <c r="F6" s="266" t="s">
        <v>111</v>
      </c>
      <c r="G6" s="22" t="s">
        <v>2</v>
      </c>
      <c r="H6" s="322">
        <v>128</v>
      </c>
      <c r="I6" s="570" t="s">
        <v>78</v>
      </c>
      <c r="J6" s="571"/>
      <c r="K6" s="15" t="s">
        <v>18</v>
      </c>
      <c r="L6" s="261">
        <v>13771.862500000001</v>
      </c>
      <c r="M6" s="173" t="s">
        <v>31</v>
      </c>
      <c r="N6" s="218"/>
      <c r="O6" s="218"/>
      <c r="P6" s="218"/>
    </row>
    <row r="7" spans="1:19" ht="13.5" thickBot="1">
      <c r="A7" s="535"/>
      <c r="B7" s="197"/>
      <c r="C7" s="11"/>
      <c r="D7" s="207" t="s">
        <v>3</v>
      </c>
      <c r="E7" s="212">
        <v>33.700000000000003</v>
      </c>
      <c r="F7" s="213">
        <v>26</v>
      </c>
      <c r="G7" s="22" t="s">
        <v>4</v>
      </c>
      <c r="H7" s="500">
        <v>11.4</v>
      </c>
      <c r="I7" s="568" t="s">
        <v>199</v>
      </c>
      <c r="J7" s="569"/>
      <c r="K7" s="15" t="s">
        <v>5</v>
      </c>
      <c r="L7" s="262">
        <v>22279</v>
      </c>
      <c r="M7" s="173" t="s">
        <v>31</v>
      </c>
      <c r="N7" s="218"/>
      <c r="O7" s="218"/>
      <c r="P7" s="218"/>
      <c r="R7" s="19"/>
    </row>
    <row r="8" spans="1:19" ht="13.5" thickBot="1">
      <c r="A8" s="535"/>
      <c r="B8" s="197"/>
      <c r="C8" s="11"/>
      <c r="D8" s="290" t="s">
        <v>6</v>
      </c>
      <c r="E8" s="214" t="s">
        <v>16</v>
      </c>
      <c r="F8" s="214" t="s">
        <v>82</v>
      </c>
      <c r="G8" s="22" t="s">
        <v>7</v>
      </c>
      <c r="H8" s="431">
        <f>(65.45-H7)/65.45</f>
        <v>0.8258212375859435</v>
      </c>
      <c r="I8" s="430"/>
      <c r="J8" s="14"/>
      <c r="K8" s="15" t="s">
        <v>19</v>
      </c>
      <c r="L8" s="476">
        <v>22269</v>
      </c>
      <c r="M8" s="173" t="s">
        <v>31</v>
      </c>
    </row>
    <row r="9" spans="1:19" ht="13.5" thickBot="1">
      <c r="A9" s="535"/>
      <c r="B9" s="201"/>
      <c r="C9" s="656" t="s">
        <v>10</v>
      </c>
      <c r="D9" s="657"/>
      <c r="E9" s="288">
        <f>3.783/12</f>
        <v>0.31524999999999997</v>
      </c>
      <c r="F9" s="289">
        <f>4.776/12</f>
        <v>0.39799999999999996</v>
      </c>
      <c r="G9" s="206"/>
      <c r="H9" s="208"/>
      <c r="I9" s="208"/>
      <c r="J9" s="209"/>
      <c r="K9" s="210" t="s">
        <v>30</v>
      </c>
      <c r="L9" s="352">
        <f>L6+F13-G12</f>
        <v>13791.422500000001</v>
      </c>
      <c r="M9" s="349" t="s">
        <v>31</v>
      </c>
      <c r="N9" s="19"/>
    </row>
    <row r="10" spans="1:19" ht="12.6" customHeight="1">
      <c r="A10" s="535"/>
      <c r="B10" s="636" t="s">
        <v>97</v>
      </c>
      <c r="C10" s="658"/>
      <c r="D10" s="638"/>
      <c r="E10" s="662" t="s">
        <v>96</v>
      </c>
      <c r="F10" s="613" t="s">
        <v>71</v>
      </c>
      <c r="G10" s="613" t="s">
        <v>72</v>
      </c>
      <c r="H10" s="613" t="s">
        <v>73</v>
      </c>
      <c r="I10" s="613" t="s">
        <v>74</v>
      </c>
      <c r="J10" s="613" t="s">
        <v>75</v>
      </c>
      <c r="K10" s="636" t="s">
        <v>76</v>
      </c>
      <c r="L10" s="636" t="s">
        <v>70</v>
      </c>
      <c r="M10" s="638"/>
      <c r="N10" s="19"/>
    </row>
    <row r="11" spans="1:19" ht="14.1" customHeight="1" thickBot="1">
      <c r="A11" s="536"/>
      <c r="B11" s="659"/>
      <c r="C11" s="660"/>
      <c r="D11" s="661"/>
      <c r="E11" s="663"/>
      <c r="F11" s="614"/>
      <c r="G11" s="614"/>
      <c r="H11" s="614"/>
      <c r="I11" s="614"/>
      <c r="J11" s="614"/>
      <c r="K11" s="637"/>
      <c r="L11" s="637"/>
      <c r="M11" s="639"/>
      <c r="N11" s="19"/>
      <c r="R11" s="19"/>
    </row>
    <row r="12" spans="1:19" ht="13.5" hidden="1" thickBot="1">
      <c r="A12" s="482"/>
      <c r="B12" s="640" t="s">
        <v>67</v>
      </c>
      <c r="C12" s="628"/>
      <c r="D12" s="628"/>
      <c r="E12" s="641"/>
      <c r="F12" s="230">
        <v>0</v>
      </c>
      <c r="G12" s="231">
        <f>F12</f>
        <v>0</v>
      </c>
      <c r="H12" s="231" t="s">
        <v>9</v>
      </c>
      <c r="I12" s="279">
        <f>IF(H12="IN",I11+G12,I11)</f>
        <v>0</v>
      </c>
      <c r="J12" s="281">
        <f>IF(I12="","",$L$6-I12)</f>
        <v>13771.862500000001</v>
      </c>
      <c r="K12" s="280">
        <f>$H$6+(I12*$F$7*$H$8/1000)</f>
        <v>128</v>
      </c>
      <c r="L12" s="642"/>
      <c r="M12" s="643"/>
      <c r="N12" s="218"/>
      <c r="O12" s="218"/>
      <c r="P12" s="218"/>
    </row>
    <row r="13" spans="1:19" ht="12.95" customHeight="1" thickBot="1">
      <c r="A13" s="531">
        <v>1</v>
      </c>
      <c r="B13" s="644" t="s">
        <v>23</v>
      </c>
      <c r="C13" s="647" t="s">
        <v>217</v>
      </c>
      <c r="D13" s="650" t="s">
        <v>21</v>
      </c>
      <c r="E13" s="651"/>
      <c r="F13" s="242">
        <v>19.559999999999999</v>
      </c>
      <c r="G13" s="242">
        <f>F13</f>
        <v>19.559999999999999</v>
      </c>
      <c r="H13" s="267" t="s">
        <v>11</v>
      </c>
      <c r="I13" s="242">
        <f t="shared" ref="I13:I76" si="0">IF(H13="IN",I12+G13,I12)</f>
        <v>0</v>
      </c>
      <c r="J13" s="242">
        <f>IF(I13="","",$L$6-I13)</f>
        <v>13771.862500000001</v>
      </c>
      <c r="K13" s="243">
        <f>$H$6+(I13*$F$7*$H$8/1000)</f>
        <v>128</v>
      </c>
      <c r="L13" s="652" t="s">
        <v>218</v>
      </c>
      <c r="M13" s="653"/>
      <c r="N13" s="19"/>
      <c r="O13" s="218"/>
      <c r="P13" s="218"/>
      <c r="R13" s="630" t="s">
        <v>177</v>
      </c>
      <c r="S13" s="631" t="s">
        <v>178</v>
      </c>
    </row>
    <row r="14" spans="1:19" ht="12.95" customHeight="1">
      <c r="A14" s="532"/>
      <c r="B14" s="645"/>
      <c r="C14" s="648"/>
      <c r="D14" s="632" t="s">
        <v>20</v>
      </c>
      <c r="E14" s="633"/>
      <c r="F14" s="241">
        <v>2.72</v>
      </c>
      <c r="G14" s="241">
        <f>F14</f>
        <v>2.72</v>
      </c>
      <c r="H14" s="241" t="s">
        <v>9</v>
      </c>
      <c r="I14" s="241">
        <f t="shared" si="0"/>
        <v>2.72</v>
      </c>
      <c r="J14" s="241">
        <f>IF(I14="","",$L$6-I14)</f>
        <v>13769.142500000002</v>
      </c>
      <c r="K14" s="244">
        <f>$H$6+(I14*$F$7*$H$8/1000)</f>
        <v>128.05840207792207</v>
      </c>
      <c r="L14" s="654"/>
      <c r="M14" s="655"/>
      <c r="N14" s="19"/>
      <c r="R14" s="630"/>
      <c r="S14" s="631"/>
    </row>
    <row r="15" spans="1:19" ht="12.6" customHeight="1" thickBot="1">
      <c r="A15" s="533"/>
      <c r="B15" s="646"/>
      <c r="C15" s="649"/>
      <c r="D15" s="634" t="s">
        <v>22</v>
      </c>
      <c r="E15" s="635"/>
      <c r="F15" s="245">
        <v>14.8</v>
      </c>
      <c r="G15" s="245">
        <f>F15</f>
        <v>14.8</v>
      </c>
      <c r="H15" s="245" t="s">
        <v>9</v>
      </c>
      <c r="I15" s="245">
        <f t="shared" si="0"/>
        <v>17.52</v>
      </c>
      <c r="J15" s="245">
        <f>IF(I15="","",$L$6-I15)</f>
        <v>13754.342500000001</v>
      </c>
      <c r="K15" s="246">
        <f>$H$6+(I15*$F$7*$H$8/1000)</f>
        <v>128.37617809014515</v>
      </c>
      <c r="L15" s="529"/>
      <c r="M15" s="530"/>
      <c r="N15" s="19"/>
      <c r="R15" s="630"/>
      <c r="S15" s="631"/>
    </row>
    <row r="16" spans="1:19" s="17" customFormat="1" ht="13.5" thickBot="1">
      <c r="A16" s="495">
        <v>2</v>
      </c>
      <c r="B16" s="617" t="s">
        <v>223</v>
      </c>
      <c r="C16" s="618"/>
      <c r="D16" s="619"/>
      <c r="E16" s="463" t="s">
        <v>240</v>
      </c>
      <c r="F16" s="464">
        <f>'7" 26# Deck Tally'!G10</f>
        <v>10.199999999999999</v>
      </c>
      <c r="G16" s="442">
        <f>F16-($F$9)</f>
        <v>9.8019999999999996</v>
      </c>
      <c r="H16" s="442" t="s">
        <v>9</v>
      </c>
      <c r="I16" s="443">
        <f t="shared" si="0"/>
        <v>27.321999999999999</v>
      </c>
      <c r="J16" s="443">
        <f t="shared" ref="J16:J79" si="1">IF(I16="","",$L$6-I16)</f>
        <v>13744.540500000001</v>
      </c>
      <c r="K16" s="444">
        <f t="shared" ref="K16:K79" si="2">$H$6+(I16*$F$7*$H$8/1000)</f>
        <v>128.58664028418642</v>
      </c>
      <c r="L16" s="615"/>
      <c r="M16" s="616"/>
      <c r="N16" s="24"/>
      <c r="O16" s="24"/>
      <c r="P16" s="24"/>
      <c r="Q16" s="377" t="str">
        <f>E16</f>
        <v>10-A</v>
      </c>
      <c r="R16" s="350">
        <v>10.199999999999999</v>
      </c>
      <c r="S16" s="351" t="str">
        <f t="shared" ref="S16:S79" si="3">IF(F16-R16=0,"OK","FALSE")</f>
        <v>OK</v>
      </c>
    </row>
    <row r="17" spans="1:19" ht="12.95" customHeight="1">
      <c r="A17" s="531">
        <v>3</v>
      </c>
      <c r="B17" s="620" t="s">
        <v>25</v>
      </c>
      <c r="C17" s="623" t="s">
        <v>219</v>
      </c>
      <c r="D17" s="626" t="s">
        <v>24</v>
      </c>
      <c r="E17" s="627"/>
      <c r="F17" s="230">
        <v>10.199999999999999</v>
      </c>
      <c r="G17" s="230">
        <f>F17-($F$9)</f>
        <v>9.8019999999999996</v>
      </c>
      <c r="H17" s="230" t="s">
        <v>9</v>
      </c>
      <c r="I17" s="437">
        <f>IF(H17="IN",I16+G17,I16)</f>
        <v>37.123999999999995</v>
      </c>
      <c r="J17" s="437">
        <f t="shared" si="1"/>
        <v>13734.738500000001</v>
      </c>
      <c r="K17" s="438">
        <f t="shared" si="2"/>
        <v>128.79710247822766</v>
      </c>
      <c r="L17" s="628" t="s">
        <v>198</v>
      </c>
      <c r="M17" s="629"/>
      <c r="N17" s="19"/>
      <c r="O17" s="19"/>
      <c r="P17" s="19"/>
      <c r="Q17" s="601" t="s">
        <v>188</v>
      </c>
      <c r="R17" s="380">
        <v>10.199999999999999</v>
      </c>
      <c r="S17" s="381" t="str">
        <f t="shared" si="3"/>
        <v>OK</v>
      </c>
    </row>
    <row r="18" spans="1:19" ht="12.95" customHeight="1">
      <c r="A18" s="532"/>
      <c r="B18" s="621"/>
      <c r="C18" s="624"/>
      <c r="D18" s="602" t="s">
        <v>83</v>
      </c>
      <c r="E18" s="603"/>
      <c r="F18" s="234">
        <v>9.9499999999999993</v>
      </c>
      <c r="G18" s="234">
        <f>F18</f>
        <v>9.9499999999999993</v>
      </c>
      <c r="H18" s="234" t="s">
        <v>9</v>
      </c>
      <c r="I18" s="234">
        <f t="shared" si="0"/>
        <v>47.073999999999998</v>
      </c>
      <c r="J18" s="234">
        <f t="shared" si="1"/>
        <v>13724.788500000001</v>
      </c>
      <c r="K18" s="249">
        <f t="shared" si="2"/>
        <v>129.01074243239114</v>
      </c>
      <c r="L18" s="604" t="s">
        <v>220</v>
      </c>
      <c r="M18" s="605"/>
      <c r="N18" s="19"/>
      <c r="O18" s="19"/>
      <c r="P18" s="19"/>
      <c r="Q18" s="601"/>
      <c r="R18" s="380">
        <v>9.9499999999999993</v>
      </c>
      <c r="S18" s="381" t="str">
        <f t="shared" si="3"/>
        <v>OK</v>
      </c>
    </row>
    <row r="19" spans="1:19" ht="12.95" customHeight="1">
      <c r="A19" s="532"/>
      <c r="B19" s="621"/>
      <c r="C19" s="624"/>
      <c r="D19" s="606" t="s">
        <v>28</v>
      </c>
      <c r="E19" s="607"/>
      <c r="F19" s="232">
        <f>3.25+2.46</f>
        <v>5.71</v>
      </c>
      <c r="G19" s="232">
        <f>F19</f>
        <v>5.71</v>
      </c>
      <c r="H19" s="232" t="s">
        <v>9</v>
      </c>
      <c r="I19" s="233">
        <f t="shared" si="0"/>
        <v>52.783999999999999</v>
      </c>
      <c r="J19" s="232">
        <f t="shared" si="1"/>
        <v>13719.078500000001</v>
      </c>
      <c r="K19" s="237">
        <f t="shared" si="2"/>
        <v>129.13334385332314</v>
      </c>
      <c r="L19" s="608" t="s">
        <v>221</v>
      </c>
      <c r="M19" s="605"/>
      <c r="N19" s="19"/>
      <c r="O19" s="19"/>
      <c r="P19" s="19"/>
      <c r="Q19" s="601"/>
      <c r="R19" s="468">
        <v>5.71</v>
      </c>
      <c r="S19" s="381" t="str">
        <f t="shared" si="3"/>
        <v>OK</v>
      </c>
    </row>
    <row r="20" spans="1:19" ht="12.95" customHeight="1" thickBot="1">
      <c r="A20" s="533"/>
      <c r="B20" s="622"/>
      <c r="C20" s="625"/>
      <c r="D20" s="609" t="s">
        <v>24</v>
      </c>
      <c r="E20" s="610"/>
      <c r="F20" s="238">
        <v>9.8000000000000007</v>
      </c>
      <c r="G20" s="238">
        <f>F20</f>
        <v>9.8000000000000007</v>
      </c>
      <c r="H20" s="238" t="s">
        <v>9</v>
      </c>
      <c r="I20" s="239">
        <f t="shared" si="0"/>
        <v>62.584000000000003</v>
      </c>
      <c r="J20" s="238">
        <f t="shared" si="1"/>
        <v>13709.2785</v>
      </c>
      <c r="K20" s="240">
        <f t="shared" si="2"/>
        <v>129.34376310466004</v>
      </c>
      <c r="L20" s="611" t="s">
        <v>169</v>
      </c>
      <c r="M20" s="612"/>
      <c r="N20" s="19"/>
      <c r="O20" s="19"/>
      <c r="P20" s="19"/>
      <c r="Q20" s="601"/>
      <c r="R20" s="468">
        <v>9.8000000000000007</v>
      </c>
      <c r="S20" s="381" t="str">
        <f t="shared" si="3"/>
        <v>OK</v>
      </c>
    </row>
    <row r="21" spans="1:19" s="17" customFormat="1" ht="14.1" customHeight="1" thickBot="1">
      <c r="A21" s="496">
        <v>4</v>
      </c>
      <c r="B21" s="540" t="s">
        <v>98</v>
      </c>
      <c r="C21" s="541"/>
      <c r="D21" s="542"/>
      <c r="E21" s="211">
        <f>'7" 26# Deck Tally'!B5</f>
        <v>319</v>
      </c>
      <c r="F21" s="347">
        <f>'7" 26# Deck Tally'!C5</f>
        <v>33.92</v>
      </c>
      <c r="G21" s="18">
        <f t="shared" ref="G21:G84" si="4">F21-($F$9)</f>
        <v>33.521999999999998</v>
      </c>
      <c r="H21" s="18" t="s">
        <v>9</v>
      </c>
      <c r="I21" s="18">
        <f t="shared" si="0"/>
        <v>96.105999999999995</v>
      </c>
      <c r="J21" s="18">
        <f t="shared" si="1"/>
        <v>13675.756500000001</v>
      </c>
      <c r="K21" s="216">
        <f t="shared" si="2"/>
        <v>130.06352577234532</v>
      </c>
      <c r="L21" s="229"/>
      <c r="M21" s="173"/>
      <c r="N21" s="593" t="s">
        <v>175</v>
      </c>
      <c r="O21" s="595" t="s">
        <v>176</v>
      </c>
      <c r="P21" s="382"/>
      <c r="Q21" s="377">
        <f t="shared" ref="Q21:Q84" si="5">E21</f>
        <v>319</v>
      </c>
      <c r="R21" s="350">
        <v>33.92</v>
      </c>
      <c r="S21" s="351" t="str">
        <f t="shared" si="3"/>
        <v>OK</v>
      </c>
    </row>
    <row r="22" spans="1:19" s="17" customFormat="1" ht="14.1" customHeight="1">
      <c r="A22" s="497">
        <f>A21+1</f>
        <v>5</v>
      </c>
      <c r="B22" s="540" t="s">
        <v>98</v>
      </c>
      <c r="C22" s="541"/>
      <c r="D22" s="542"/>
      <c r="E22" s="211">
        <f>'7" 26# Deck Tally'!B6</f>
        <v>318</v>
      </c>
      <c r="F22" s="347">
        <f>'7" 26# Deck Tally'!C6</f>
        <v>32.33</v>
      </c>
      <c r="G22" s="18">
        <f t="shared" si="4"/>
        <v>31.931999999999999</v>
      </c>
      <c r="H22" s="18" t="s">
        <v>9</v>
      </c>
      <c r="I22" s="18">
        <f t="shared" si="0"/>
        <v>128.03799999999998</v>
      </c>
      <c r="J22" s="18">
        <f t="shared" si="1"/>
        <v>13643.824500000001</v>
      </c>
      <c r="K22" s="216">
        <f t="shared" si="2"/>
        <v>130.74914899006876</v>
      </c>
      <c r="L22" s="597" t="s">
        <v>32</v>
      </c>
      <c r="M22" s="598"/>
      <c r="N22" s="594"/>
      <c r="O22" s="596"/>
      <c r="P22" s="382"/>
      <c r="Q22" s="377">
        <f t="shared" si="5"/>
        <v>318</v>
      </c>
      <c r="R22" s="350">
        <v>32.33</v>
      </c>
      <c r="S22" s="351" t="str">
        <f t="shared" si="3"/>
        <v>OK</v>
      </c>
    </row>
    <row r="23" spans="1:19" s="17" customFormat="1" ht="14.1" customHeight="1" thickBot="1">
      <c r="A23" s="497">
        <f t="shared" ref="A23:A86" si="6">A22+1</f>
        <v>6</v>
      </c>
      <c r="B23" s="540" t="s">
        <v>98</v>
      </c>
      <c r="C23" s="541"/>
      <c r="D23" s="542"/>
      <c r="E23" s="211">
        <f>'7" 26# Deck Tally'!B7</f>
        <v>317</v>
      </c>
      <c r="F23" s="347">
        <f>'7" 26# Deck Tally'!C7</f>
        <v>33.729999999999997</v>
      </c>
      <c r="G23" s="18">
        <f t="shared" si="4"/>
        <v>33.331999999999994</v>
      </c>
      <c r="H23" s="18" t="s">
        <v>9</v>
      </c>
      <c r="I23" s="18">
        <f t="shared" si="0"/>
        <v>161.36999999999998</v>
      </c>
      <c r="J23" s="18">
        <f t="shared" si="1"/>
        <v>13610.4925</v>
      </c>
      <c r="K23" s="216">
        <f t="shared" si="2"/>
        <v>131.46483210084034</v>
      </c>
      <c r="L23" s="599" t="s">
        <v>222</v>
      </c>
      <c r="M23" s="600"/>
      <c r="N23" s="477">
        <f>J18-13742.68</f>
        <v>-17.891499999999724</v>
      </c>
      <c r="O23" s="477">
        <f>J18-13706.4</f>
        <v>18.388500000000931</v>
      </c>
      <c r="P23" s="383"/>
      <c r="Q23" s="377">
        <f t="shared" si="5"/>
        <v>317</v>
      </c>
      <c r="R23" s="350">
        <v>33.729999999999997</v>
      </c>
      <c r="S23" s="351" t="str">
        <f t="shared" si="3"/>
        <v>OK</v>
      </c>
    </row>
    <row r="24" spans="1:19" s="17" customFormat="1" ht="14.1" customHeight="1">
      <c r="A24" s="497">
        <f t="shared" si="6"/>
        <v>7</v>
      </c>
      <c r="B24" s="540" t="s">
        <v>98</v>
      </c>
      <c r="C24" s="541"/>
      <c r="D24" s="542"/>
      <c r="E24" s="211">
        <f>'7" 26# Deck Tally'!B8</f>
        <v>316</v>
      </c>
      <c r="F24" s="347">
        <f>'7" 26# Deck Tally'!C8</f>
        <v>33.47</v>
      </c>
      <c r="G24" s="18">
        <f t="shared" si="4"/>
        <v>33.071999999999996</v>
      </c>
      <c r="H24" s="18" t="s">
        <v>9</v>
      </c>
      <c r="I24" s="18">
        <f t="shared" si="0"/>
        <v>194.44199999999998</v>
      </c>
      <c r="J24" s="18">
        <f t="shared" si="1"/>
        <v>13577.420500000002</v>
      </c>
      <c r="K24" s="216">
        <f t="shared" si="2"/>
        <v>132.17493266004584</v>
      </c>
      <c r="L24" s="196"/>
      <c r="M24" s="198"/>
      <c r="N24" s="31"/>
      <c r="O24" s="31"/>
      <c r="P24" s="31"/>
      <c r="Q24" s="377">
        <f t="shared" si="5"/>
        <v>316</v>
      </c>
      <c r="R24" s="350">
        <v>33.47</v>
      </c>
      <c r="S24" s="351" t="str">
        <f t="shared" si="3"/>
        <v>OK</v>
      </c>
    </row>
    <row r="25" spans="1:19" s="17" customFormat="1" ht="14.1" customHeight="1" thickBot="1">
      <c r="A25" s="497">
        <f t="shared" si="6"/>
        <v>8</v>
      </c>
      <c r="B25" s="540" t="s">
        <v>98</v>
      </c>
      <c r="C25" s="541"/>
      <c r="D25" s="542"/>
      <c r="E25" s="211">
        <f>'7" 26# Deck Tally'!B9</f>
        <v>315</v>
      </c>
      <c r="F25" s="347">
        <f>'7" 26# Deck Tally'!C9</f>
        <v>33.590000000000003</v>
      </c>
      <c r="G25" s="18">
        <f t="shared" si="4"/>
        <v>33.192</v>
      </c>
      <c r="H25" s="18" t="s">
        <v>9</v>
      </c>
      <c r="I25" s="18">
        <f t="shared" si="0"/>
        <v>227.63399999999999</v>
      </c>
      <c r="J25" s="18">
        <f t="shared" si="1"/>
        <v>13544.228500000001</v>
      </c>
      <c r="K25" s="216">
        <f t="shared" si="2"/>
        <v>132.88760978151259</v>
      </c>
      <c r="L25" s="196"/>
      <c r="M25" s="198"/>
      <c r="N25" s="24"/>
      <c r="O25" s="24"/>
      <c r="P25" s="24"/>
      <c r="Q25" s="377">
        <f t="shared" si="5"/>
        <v>315</v>
      </c>
      <c r="R25" s="350">
        <v>33.590000000000003</v>
      </c>
      <c r="S25" s="351" t="str">
        <f t="shared" si="3"/>
        <v>OK</v>
      </c>
    </row>
    <row r="26" spans="1:19" s="17" customFormat="1" ht="14.1" customHeight="1">
      <c r="A26" s="497">
        <f t="shared" si="6"/>
        <v>9</v>
      </c>
      <c r="B26" s="540" t="s">
        <v>98</v>
      </c>
      <c r="C26" s="541"/>
      <c r="D26" s="542"/>
      <c r="E26" s="211">
        <f>'7" 26# Deck Tally'!B10</f>
        <v>314</v>
      </c>
      <c r="F26" s="347">
        <f>'7" 26# Deck Tally'!C10</f>
        <v>33.630000000000003</v>
      </c>
      <c r="G26" s="18">
        <f t="shared" si="4"/>
        <v>33.231999999999999</v>
      </c>
      <c r="H26" s="18" t="s">
        <v>9</v>
      </c>
      <c r="I26" s="18">
        <f t="shared" si="0"/>
        <v>260.86599999999999</v>
      </c>
      <c r="J26" s="18">
        <f t="shared" si="1"/>
        <v>13510.996500000001</v>
      </c>
      <c r="K26" s="216">
        <f t="shared" si="2"/>
        <v>133.60114575706646</v>
      </c>
      <c r="L26" s="589" t="s">
        <v>104</v>
      </c>
      <c r="M26" s="590"/>
      <c r="N26" s="24"/>
      <c r="O26" s="24"/>
      <c r="P26" s="24"/>
      <c r="Q26" s="377">
        <f t="shared" si="5"/>
        <v>314</v>
      </c>
      <c r="R26" s="350">
        <v>33.630000000000003</v>
      </c>
      <c r="S26" s="351" t="str">
        <f t="shared" si="3"/>
        <v>OK</v>
      </c>
    </row>
    <row r="27" spans="1:19" s="17" customFormat="1" ht="14.1" customHeight="1" thickBot="1">
      <c r="A27" s="497">
        <f t="shared" si="6"/>
        <v>10</v>
      </c>
      <c r="B27" s="540" t="s">
        <v>98</v>
      </c>
      <c r="C27" s="541"/>
      <c r="D27" s="542"/>
      <c r="E27" s="211">
        <f>'7" 26# Deck Tally'!B11</f>
        <v>313</v>
      </c>
      <c r="F27" s="347">
        <f>'7" 26# Deck Tally'!C11</f>
        <v>33.54</v>
      </c>
      <c r="G27" s="18">
        <f t="shared" si="4"/>
        <v>33.141999999999996</v>
      </c>
      <c r="H27" s="18" t="s">
        <v>9</v>
      </c>
      <c r="I27" s="18">
        <f t="shared" si="0"/>
        <v>294.00799999999998</v>
      </c>
      <c r="J27" s="18">
        <f t="shared" si="1"/>
        <v>13477.854500000001</v>
      </c>
      <c r="K27" s="216">
        <f t="shared" si="2"/>
        <v>134.31274931092437</v>
      </c>
      <c r="L27" s="591" t="s">
        <v>105</v>
      </c>
      <c r="M27" s="592"/>
      <c r="N27" s="24"/>
      <c r="O27" s="24"/>
      <c r="P27" s="24"/>
      <c r="Q27" s="377">
        <f t="shared" si="5"/>
        <v>313</v>
      </c>
      <c r="R27" s="350">
        <v>33.54</v>
      </c>
      <c r="S27" s="351" t="str">
        <f t="shared" si="3"/>
        <v>OK</v>
      </c>
    </row>
    <row r="28" spans="1:19" s="17" customFormat="1" ht="12.95" customHeight="1" thickBot="1">
      <c r="A28" s="497">
        <f t="shared" si="6"/>
        <v>11</v>
      </c>
      <c r="B28" s="540" t="s">
        <v>98</v>
      </c>
      <c r="C28" s="541"/>
      <c r="D28" s="542"/>
      <c r="E28" s="211">
        <f>'7" 26# Deck Tally'!B12</f>
        <v>312</v>
      </c>
      <c r="F28" s="347">
        <f>'7" 26# Deck Tally'!C12</f>
        <v>33.82</v>
      </c>
      <c r="G28" s="18">
        <f t="shared" si="4"/>
        <v>33.421999999999997</v>
      </c>
      <c r="H28" s="18" t="s">
        <v>9</v>
      </c>
      <c r="I28" s="18">
        <f t="shared" si="0"/>
        <v>327.42999999999995</v>
      </c>
      <c r="J28" s="18">
        <f t="shared" si="1"/>
        <v>13444.432500000001</v>
      </c>
      <c r="K28" s="216">
        <f t="shared" si="2"/>
        <v>135.03036484339191</v>
      </c>
      <c r="L28" s="196"/>
      <c r="M28" s="198"/>
      <c r="N28" s="24"/>
      <c r="O28" s="24"/>
      <c r="P28" s="24"/>
      <c r="Q28" s="377">
        <f t="shared" si="5"/>
        <v>312</v>
      </c>
      <c r="R28" s="350">
        <v>33.82</v>
      </c>
      <c r="S28" s="351" t="str">
        <f t="shared" si="3"/>
        <v>OK</v>
      </c>
    </row>
    <row r="29" spans="1:19" s="17" customFormat="1" ht="12.95" customHeight="1">
      <c r="A29" s="497">
        <f t="shared" si="6"/>
        <v>12</v>
      </c>
      <c r="B29" s="540" t="s">
        <v>98</v>
      </c>
      <c r="C29" s="541"/>
      <c r="D29" s="542"/>
      <c r="E29" s="211">
        <f>'7" 26# Deck Tally'!B13</f>
        <v>311</v>
      </c>
      <c r="F29" s="347">
        <f>'7" 26# Deck Tally'!C13</f>
        <v>33.130000000000003</v>
      </c>
      <c r="G29" s="18">
        <f t="shared" si="4"/>
        <v>32.731999999999999</v>
      </c>
      <c r="H29" s="18" t="s">
        <v>9</v>
      </c>
      <c r="I29" s="18">
        <f t="shared" si="0"/>
        <v>360.16199999999992</v>
      </c>
      <c r="J29" s="18">
        <f t="shared" si="1"/>
        <v>13411.700500000001</v>
      </c>
      <c r="K29" s="216">
        <f t="shared" si="2"/>
        <v>135.73316514285713</v>
      </c>
      <c r="L29" s="589" t="s">
        <v>107</v>
      </c>
      <c r="M29" s="590"/>
      <c r="N29" s="24"/>
      <c r="O29" s="24"/>
      <c r="P29" s="24"/>
      <c r="Q29" s="377">
        <f t="shared" si="5"/>
        <v>311</v>
      </c>
      <c r="R29" s="350">
        <v>33.130000000000003</v>
      </c>
      <c r="S29" s="351" t="str">
        <f t="shared" si="3"/>
        <v>OK</v>
      </c>
    </row>
    <row r="30" spans="1:19" s="17" customFormat="1" ht="12.95" customHeight="1" thickBot="1">
      <c r="A30" s="497">
        <f t="shared" si="6"/>
        <v>13</v>
      </c>
      <c r="B30" s="540" t="s">
        <v>98</v>
      </c>
      <c r="C30" s="541"/>
      <c r="D30" s="542"/>
      <c r="E30" s="211">
        <f>'7" 26# Deck Tally'!B14</f>
        <v>310</v>
      </c>
      <c r="F30" s="347">
        <f>'7" 26# Deck Tally'!C14</f>
        <v>33.43</v>
      </c>
      <c r="G30" s="18">
        <f t="shared" si="4"/>
        <v>33.031999999999996</v>
      </c>
      <c r="H30" s="18" t="s">
        <v>9</v>
      </c>
      <c r="I30" s="18">
        <f t="shared" si="0"/>
        <v>393.1939999999999</v>
      </c>
      <c r="J30" s="18">
        <f t="shared" si="1"/>
        <v>13378.668500000002</v>
      </c>
      <c r="K30" s="216">
        <f t="shared" si="2"/>
        <v>136.44240684797555</v>
      </c>
      <c r="L30" s="591" t="s">
        <v>106</v>
      </c>
      <c r="M30" s="592"/>
      <c r="N30" s="24"/>
      <c r="O30" s="24"/>
      <c r="P30" s="24"/>
      <c r="Q30" s="377">
        <f t="shared" si="5"/>
        <v>310</v>
      </c>
      <c r="R30" s="350">
        <v>33.43</v>
      </c>
      <c r="S30" s="351" t="str">
        <f t="shared" si="3"/>
        <v>OK</v>
      </c>
    </row>
    <row r="31" spans="1:19" s="17" customFormat="1" ht="12.95" customHeight="1">
      <c r="A31" s="497">
        <f t="shared" si="6"/>
        <v>14</v>
      </c>
      <c r="B31" s="540" t="s">
        <v>98</v>
      </c>
      <c r="C31" s="541"/>
      <c r="D31" s="542"/>
      <c r="E31" s="211">
        <f>'7" 26# Deck Tally'!B15</f>
        <v>309</v>
      </c>
      <c r="F31" s="347">
        <f>'7" 26# Deck Tally'!C15</f>
        <v>33.68</v>
      </c>
      <c r="G31" s="18">
        <f t="shared" si="4"/>
        <v>33.281999999999996</v>
      </c>
      <c r="H31" s="18" t="s">
        <v>9</v>
      </c>
      <c r="I31" s="18">
        <f t="shared" si="0"/>
        <v>426.47599999999989</v>
      </c>
      <c r="J31" s="18">
        <f t="shared" si="1"/>
        <v>13345.386500000001</v>
      </c>
      <c r="K31" s="216">
        <f t="shared" si="2"/>
        <v>137.15701639113826</v>
      </c>
      <c r="L31" s="196"/>
      <c r="M31" s="198"/>
      <c r="Q31" s="377">
        <f t="shared" si="5"/>
        <v>309</v>
      </c>
      <c r="R31" s="350">
        <v>33.68</v>
      </c>
      <c r="S31" s="351" t="str">
        <f t="shared" si="3"/>
        <v>OK</v>
      </c>
    </row>
    <row r="32" spans="1:19" s="17" customFormat="1" ht="12.95" customHeight="1">
      <c r="A32" s="497">
        <f t="shared" si="6"/>
        <v>15</v>
      </c>
      <c r="B32" s="540" t="s">
        <v>98</v>
      </c>
      <c r="C32" s="541"/>
      <c r="D32" s="542"/>
      <c r="E32" s="211">
        <f>'7" 26# Deck Tally'!B16</f>
        <v>308</v>
      </c>
      <c r="F32" s="347">
        <f>'7" 26# Deck Tally'!C16</f>
        <v>33.700000000000003</v>
      </c>
      <c r="G32" s="18">
        <f t="shared" si="4"/>
        <v>33.302</v>
      </c>
      <c r="H32" s="18" t="s">
        <v>9</v>
      </c>
      <c r="I32" s="18">
        <f t="shared" si="0"/>
        <v>459.77799999999991</v>
      </c>
      <c r="J32" s="18">
        <f t="shared" si="1"/>
        <v>13312.084500000001</v>
      </c>
      <c r="K32" s="216">
        <f t="shared" si="2"/>
        <v>137.87205536134454</v>
      </c>
      <c r="L32" s="196"/>
      <c r="M32" s="198"/>
      <c r="N32" s="24"/>
      <c r="O32" s="24"/>
      <c r="P32" s="24"/>
      <c r="Q32" s="377">
        <f t="shared" si="5"/>
        <v>308</v>
      </c>
      <c r="R32" s="350">
        <v>33.700000000000003</v>
      </c>
      <c r="S32" s="351" t="str">
        <f t="shared" si="3"/>
        <v>OK</v>
      </c>
    </row>
    <row r="33" spans="1:19" s="17" customFormat="1" ht="12.95" customHeight="1">
      <c r="A33" s="497">
        <f t="shared" si="6"/>
        <v>16</v>
      </c>
      <c r="B33" s="540" t="s">
        <v>98</v>
      </c>
      <c r="C33" s="541"/>
      <c r="D33" s="542"/>
      <c r="E33" s="211">
        <f>'7" 26# Deck Tally'!B17</f>
        <v>307</v>
      </c>
      <c r="F33" s="347">
        <f>'7" 26# Deck Tally'!C17</f>
        <v>33.82</v>
      </c>
      <c r="G33" s="18">
        <f t="shared" si="4"/>
        <v>33.421999999999997</v>
      </c>
      <c r="H33" s="18" t="s">
        <v>9</v>
      </c>
      <c r="I33" s="18">
        <f t="shared" si="0"/>
        <v>493.19999999999993</v>
      </c>
      <c r="J33" s="18">
        <f t="shared" si="1"/>
        <v>13278.6625</v>
      </c>
      <c r="K33" s="216">
        <f t="shared" si="2"/>
        <v>138.58967089381207</v>
      </c>
      <c r="L33" s="196"/>
      <c r="M33" s="198"/>
      <c r="N33" s="24"/>
      <c r="O33" s="24"/>
      <c r="P33" s="24"/>
      <c r="Q33" s="377">
        <f t="shared" si="5"/>
        <v>307</v>
      </c>
      <c r="R33" s="350">
        <v>33.82</v>
      </c>
      <c r="S33" s="351" t="str">
        <f t="shared" si="3"/>
        <v>OK</v>
      </c>
    </row>
    <row r="34" spans="1:19" s="17" customFormat="1" ht="12.95" customHeight="1">
      <c r="A34" s="497">
        <f t="shared" si="6"/>
        <v>17</v>
      </c>
      <c r="B34" s="540" t="s">
        <v>98</v>
      </c>
      <c r="C34" s="541"/>
      <c r="D34" s="542"/>
      <c r="E34" s="211">
        <f>'7" 26# Deck Tally'!B18</f>
        <v>306</v>
      </c>
      <c r="F34" s="347">
        <f>'7" 26# Deck Tally'!C18</f>
        <v>33.630000000000003</v>
      </c>
      <c r="G34" s="18">
        <f t="shared" si="4"/>
        <v>33.231999999999999</v>
      </c>
      <c r="H34" s="18" t="s">
        <v>9</v>
      </c>
      <c r="I34" s="18">
        <f t="shared" si="0"/>
        <v>526.4319999999999</v>
      </c>
      <c r="J34" s="18">
        <f t="shared" si="1"/>
        <v>13245.4305</v>
      </c>
      <c r="K34" s="216">
        <f t="shared" si="2"/>
        <v>139.30320686936594</v>
      </c>
      <c r="L34" s="196"/>
      <c r="M34" s="198"/>
      <c r="N34" s="24"/>
      <c r="O34" s="24"/>
      <c r="P34" s="24"/>
      <c r="Q34" s="377">
        <f t="shared" si="5"/>
        <v>306</v>
      </c>
      <c r="R34" s="350">
        <v>33.630000000000003</v>
      </c>
      <c r="S34" s="351" t="str">
        <f t="shared" si="3"/>
        <v>OK</v>
      </c>
    </row>
    <row r="35" spans="1:19" s="17" customFormat="1" ht="12.95" customHeight="1">
      <c r="A35" s="497">
        <f t="shared" si="6"/>
        <v>18</v>
      </c>
      <c r="B35" s="540" t="s">
        <v>98</v>
      </c>
      <c r="C35" s="541"/>
      <c r="D35" s="542"/>
      <c r="E35" s="211">
        <f>'7" 26# Deck Tally'!B19</f>
        <v>305</v>
      </c>
      <c r="F35" s="347">
        <f>'7" 26# Deck Tally'!C19</f>
        <v>33.82</v>
      </c>
      <c r="G35" s="18">
        <f t="shared" si="4"/>
        <v>33.421999999999997</v>
      </c>
      <c r="H35" s="18" t="s">
        <v>9</v>
      </c>
      <c r="I35" s="18">
        <f t="shared" si="0"/>
        <v>559.85399999999993</v>
      </c>
      <c r="J35" s="18">
        <f t="shared" si="1"/>
        <v>13212.008500000002</v>
      </c>
      <c r="K35" s="216">
        <f t="shared" si="2"/>
        <v>140.02082240183347</v>
      </c>
      <c r="L35" s="196"/>
      <c r="M35" s="198"/>
      <c r="N35" s="24"/>
      <c r="O35" s="24"/>
      <c r="P35" s="24"/>
      <c r="Q35" s="377">
        <f t="shared" si="5"/>
        <v>305</v>
      </c>
      <c r="R35" s="350">
        <v>33.82</v>
      </c>
      <c r="S35" s="351" t="str">
        <f t="shared" si="3"/>
        <v>OK</v>
      </c>
    </row>
    <row r="36" spans="1:19" s="17" customFormat="1" ht="12.95" customHeight="1">
      <c r="A36" s="497">
        <f t="shared" si="6"/>
        <v>19</v>
      </c>
      <c r="B36" s="540" t="s">
        <v>98</v>
      </c>
      <c r="C36" s="541"/>
      <c r="D36" s="542"/>
      <c r="E36" s="211">
        <f>'7" 26# Deck Tally'!B20</f>
        <v>304</v>
      </c>
      <c r="F36" s="347">
        <f>'7" 26# Deck Tally'!C20</f>
        <v>33.729999999999997</v>
      </c>
      <c r="G36" s="18">
        <f t="shared" si="4"/>
        <v>33.331999999999994</v>
      </c>
      <c r="H36" s="18" t="s">
        <v>9</v>
      </c>
      <c r="I36" s="18">
        <f t="shared" si="0"/>
        <v>593.18599999999992</v>
      </c>
      <c r="J36" s="18">
        <f t="shared" si="1"/>
        <v>13178.676500000001</v>
      </c>
      <c r="K36" s="216">
        <f t="shared" si="2"/>
        <v>140.73650551260505</v>
      </c>
      <c r="L36" s="196"/>
      <c r="M36" s="198"/>
      <c r="N36" s="24"/>
      <c r="O36" s="24"/>
      <c r="P36" s="24"/>
      <c r="Q36" s="377">
        <f t="shared" si="5"/>
        <v>304</v>
      </c>
      <c r="R36" s="350">
        <v>33.729999999999997</v>
      </c>
      <c r="S36" s="351" t="str">
        <f t="shared" si="3"/>
        <v>OK</v>
      </c>
    </row>
    <row r="37" spans="1:19" s="17" customFormat="1" ht="12.95" customHeight="1">
      <c r="A37" s="497">
        <f t="shared" si="6"/>
        <v>20</v>
      </c>
      <c r="B37" s="540" t="s">
        <v>98</v>
      </c>
      <c r="C37" s="541"/>
      <c r="D37" s="542"/>
      <c r="E37" s="211">
        <f>'7" 26# Deck Tally'!B21</f>
        <v>303</v>
      </c>
      <c r="F37" s="347">
        <f>'7" 26# Deck Tally'!C21</f>
        <v>33.35</v>
      </c>
      <c r="G37" s="18">
        <f t="shared" si="4"/>
        <v>32.951999999999998</v>
      </c>
      <c r="H37" s="18" t="s">
        <v>9</v>
      </c>
      <c r="I37" s="18">
        <f t="shared" si="0"/>
        <v>626.13799999999992</v>
      </c>
      <c r="J37" s="18">
        <f t="shared" si="1"/>
        <v>13145.7245</v>
      </c>
      <c r="K37" s="216">
        <f t="shared" si="2"/>
        <v>141.44402950954927</v>
      </c>
      <c r="L37" s="196"/>
      <c r="M37" s="198"/>
      <c r="N37" s="24"/>
      <c r="O37" s="24"/>
      <c r="P37" s="24"/>
      <c r="Q37" s="377">
        <f t="shared" si="5"/>
        <v>303</v>
      </c>
      <c r="R37" s="350">
        <v>33.35</v>
      </c>
      <c r="S37" s="351" t="str">
        <f t="shared" si="3"/>
        <v>OK</v>
      </c>
    </row>
    <row r="38" spans="1:19" s="17" customFormat="1" ht="12.95" customHeight="1">
      <c r="A38" s="497">
        <f t="shared" si="6"/>
        <v>21</v>
      </c>
      <c r="B38" s="540" t="s">
        <v>98</v>
      </c>
      <c r="C38" s="541"/>
      <c r="D38" s="542"/>
      <c r="E38" s="211">
        <f>'7" 26# Deck Tally'!B22</f>
        <v>302</v>
      </c>
      <c r="F38" s="347">
        <f>'7" 26# Deck Tally'!C22</f>
        <v>33.020000000000003</v>
      </c>
      <c r="G38" s="18">
        <f t="shared" si="4"/>
        <v>32.622</v>
      </c>
      <c r="H38" s="18" t="s">
        <v>9</v>
      </c>
      <c r="I38" s="18">
        <f t="shared" si="0"/>
        <v>658.75999999999988</v>
      </c>
      <c r="J38" s="18">
        <f t="shared" si="1"/>
        <v>13113.102500000001</v>
      </c>
      <c r="K38" s="216">
        <f t="shared" si="2"/>
        <v>142.14446796027502</v>
      </c>
      <c r="L38" s="196"/>
      <c r="M38" s="198"/>
      <c r="N38" s="24"/>
      <c r="O38" s="24"/>
      <c r="P38" s="24"/>
      <c r="Q38" s="377">
        <f t="shared" si="5"/>
        <v>302</v>
      </c>
      <c r="R38" s="350">
        <v>33.020000000000003</v>
      </c>
      <c r="S38" s="351" t="str">
        <f t="shared" si="3"/>
        <v>OK</v>
      </c>
    </row>
    <row r="39" spans="1:19" s="17" customFormat="1" ht="12.95" customHeight="1">
      <c r="A39" s="497">
        <f t="shared" si="6"/>
        <v>22</v>
      </c>
      <c r="B39" s="540" t="s">
        <v>98</v>
      </c>
      <c r="C39" s="541"/>
      <c r="D39" s="542"/>
      <c r="E39" s="211">
        <f>'7" 26# Deck Tally'!B23</f>
        <v>301</v>
      </c>
      <c r="F39" s="347">
        <f>'7" 26# Deck Tally'!C23</f>
        <v>33.75</v>
      </c>
      <c r="G39" s="18">
        <f t="shared" si="4"/>
        <v>33.351999999999997</v>
      </c>
      <c r="H39" s="18" t="s">
        <v>9</v>
      </c>
      <c r="I39" s="18">
        <f t="shared" si="0"/>
        <v>692.11199999999985</v>
      </c>
      <c r="J39" s="18">
        <f t="shared" si="1"/>
        <v>13079.750500000002</v>
      </c>
      <c r="K39" s="216">
        <f t="shared" si="2"/>
        <v>142.86058049809014</v>
      </c>
      <c r="L39" s="252"/>
      <c r="M39" s="198"/>
      <c r="N39" s="24"/>
      <c r="O39" s="24"/>
      <c r="P39" s="24"/>
      <c r="Q39" s="377">
        <f t="shared" si="5"/>
        <v>301</v>
      </c>
      <c r="R39" s="350">
        <v>33.75</v>
      </c>
      <c r="S39" s="351" t="str">
        <f t="shared" si="3"/>
        <v>OK</v>
      </c>
    </row>
    <row r="40" spans="1:19" s="17" customFormat="1" ht="12.95" customHeight="1">
      <c r="A40" s="497">
        <f t="shared" si="6"/>
        <v>23</v>
      </c>
      <c r="B40" s="540" t="s">
        <v>98</v>
      </c>
      <c r="C40" s="541"/>
      <c r="D40" s="542"/>
      <c r="E40" s="211">
        <f>'7" 26# Deck Tally'!B24</f>
        <v>300</v>
      </c>
      <c r="F40" s="347">
        <f>'7" 26# Deck Tally'!C24</f>
        <v>33.82</v>
      </c>
      <c r="G40" s="18">
        <f t="shared" si="4"/>
        <v>33.421999999999997</v>
      </c>
      <c r="H40" s="18" t="s">
        <v>9</v>
      </c>
      <c r="I40" s="18">
        <f t="shared" si="0"/>
        <v>725.53399999999988</v>
      </c>
      <c r="J40" s="18">
        <f t="shared" si="1"/>
        <v>13046.328500000001</v>
      </c>
      <c r="K40" s="216">
        <f t="shared" si="2"/>
        <v>143.57819603055768</v>
      </c>
      <c r="L40" s="196"/>
      <c r="M40" s="198"/>
      <c r="N40" s="24"/>
      <c r="O40" s="24"/>
      <c r="P40" s="24"/>
      <c r="Q40" s="377">
        <f t="shared" si="5"/>
        <v>300</v>
      </c>
      <c r="R40" s="350">
        <v>33.82</v>
      </c>
      <c r="S40" s="351" t="str">
        <f t="shared" si="3"/>
        <v>OK</v>
      </c>
    </row>
    <row r="41" spans="1:19" s="17" customFormat="1" ht="12.95" customHeight="1">
      <c r="A41" s="497">
        <f t="shared" si="6"/>
        <v>24</v>
      </c>
      <c r="B41" s="540" t="s">
        <v>98</v>
      </c>
      <c r="C41" s="541"/>
      <c r="D41" s="542"/>
      <c r="E41" s="211">
        <f>'7" 26# Deck Tally'!B25</f>
        <v>299</v>
      </c>
      <c r="F41" s="347">
        <f>'7" 26# Deck Tally'!C25</f>
        <v>33.81</v>
      </c>
      <c r="G41" s="18">
        <f t="shared" si="4"/>
        <v>33.411999999999999</v>
      </c>
      <c r="H41" s="18" t="s">
        <v>9</v>
      </c>
      <c r="I41" s="18">
        <f t="shared" si="0"/>
        <v>758.94599999999991</v>
      </c>
      <c r="J41" s="18">
        <f t="shared" si="1"/>
        <v>13012.916500000001</v>
      </c>
      <c r="K41" s="216">
        <f t="shared" si="2"/>
        <v>144.29559684950343</v>
      </c>
      <c r="L41" s="196"/>
      <c r="M41" s="198"/>
      <c r="N41" s="24"/>
      <c r="O41" s="24"/>
      <c r="P41" s="24"/>
      <c r="Q41" s="377">
        <f t="shared" si="5"/>
        <v>299</v>
      </c>
      <c r="R41" s="350">
        <v>33.81</v>
      </c>
      <c r="S41" s="351" t="str">
        <f t="shared" si="3"/>
        <v>OK</v>
      </c>
    </row>
    <row r="42" spans="1:19" s="17" customFormat="1" ht="12.95" customHeight="1">
      <c r="A42" s="497">
        <f t="shared" si="6"/>
        <v>25</v>
      </c>
      <c r="B42" s="540" t="s">
        <v>98</v>
      </c>
      <c r="C42" s="541"/>
      <c r="D42" s="542"/>
      <c r="E42" s="211">
        <f>'7" 26# Deck Tally'!B26</f>
        <v>298</v>
      </c>
      <c r="F42" s="347">
        <f>'7" 26# Deck Tally'!C26</f>
        <v>33.94</v>
      </c>
      <c r="G42" s="18">
        <f t="shared" si="4"/>
        <v>33.541999999999994</v>
      </c>
      <c r="H42" s="18" t="s">
        <v>9</v>
      </c>
      <c r="I42" s="18">
        <f t="shared" si="0"/>
        <v>792.48799999999994</v>
      </c>
      <c r="J42" s="18">
        <f t="shared" si="1"/>
        <v>12979.374500000002</v>
      </c>
      <c r="K42" s="216">
        <f t="shared" si="2"/>
        <v>145.01578894423224</v>
      </c>
      <c r="L42" s="196"/>
      <c r="M42" s="198"/>
      <c r="N42" s="24"/>
      <c r="O42" s="24"/>
      <c r="P42" s="24"/>
      <c r="Q42" s="377">
        <f t="shared" si="5"/>
        <v>298</v>
      </c>
      <c r="R42" s="350">
        <v>33.94</v>
      </c>
      <c r="S42" s="351" t="str">
        <f t="shared" si="3"/>
        <v>OK</v>
      </c>
    </row>
    <row r="43" spans="1:19" s="17" customFormat="1" ht="12.95" customHeight="1">
      <c r="A43" s="497">
        <f t="shared" si="6"/>
        <v>26</v>
      </c>
      <c r="B43" s="540" t="s">
        <v>98</v>
      </c>
      <c r="C43" s="541"/>
      <c r="D43" s="542"/>
      <c r="E43" s="211">
        <f>'7" 26# Deck Tally'!B27</f>
        <v>297</v>
      </c>
      <c r="F43" s="347">
        <f>'7" 26# Deck Tally'!C27</f>
        <v>33.950000000000003</v>
      </c>
      <c r="G43" s="18">
        <f t="shared" si="4"/>
        <v>33.552</v>
      </c>
      <c r="H43" s="18" t="s">
        <v>9</v>
      </c>
      <c r="I43" s="18">
        <f t="shared" si="0"/>
        <v>826.04</v>
      </c>
      <c r="J43" s="18">
        <f t="shared" si="1"/>
        <v>12945.822500000002</v>
      </c>
      <c r="K43" s="216">
        <f t="shared" si="2"/>
        <v>145.73619575248281</v>
      </c>
      <c r="L43" s="196"/>
      <c r="M43" s="198"/>
      <c r="N43" s="24"/>
      <c r="O43" s="24"/>
      <c r="P43" s="24"/>
      <c r="Q43" s="377">
        <f t="shared" si="5"/>
        <v>297</v>
      </c>
      <c r="R43" s="350">
        <v>33.950000000000003</v>
      </c>
      <c r="S43" s="351" t="str">
        <f t="shared" si="3"/>
        <v>OK</v>
      </c>
    </row>
    <row r="44" spans="1:19" s="17" customFormat="1" ht="12.95" customHeight="1">
      <c r="A44" s="497">
        <f t="shared" si="6"/>
        <v>27</v>
      </c>
      <c r="B44" s="540" t="s">
        <v>98</v>
      </c>
      <c r="C44" s="541"/>
      <c r="D44" s="542"/>
      <c r="E44" s="211">
        <f>'7" 26# Deck Tally'!B28</f>
        <v>296</v>
      </c>
      <c r="F44" s="347">
        <f>'7" 26# Deck Tally'!C28</f>
        <v>32.85</v>
      </c>
      <c r="G44" s="18">
        <f t="shared" si="4"/>
        <v>32.451999999999998</v>
      </c>
      <c r="H44" s="18" t="s">
        <v>9</v>
      </c>
      <c r="I44" s="18">
        <f t="shared" si="0"/>
        <v>858.49199999999996</v>
      </c>
      <c r="J44" s="18">
        <f t="shared" si="1"/>
        <v>12913.370500000001</v>
      </c>
      <c r="K44" s="216">
        <f t="shared" si="2"/>
        <v>146.43298407333842</v>
      </c>
      <c r="L44" s="196"/>
      <c r="M44" s="198"/>
      <c r="N44" s="24"/>
      <c r="O44" s="24"/>
      <c r="P44" s="24"/>
      <c r="Q44" s="377">
        <f t="shared" si="5"/>
        <v>296</v>
      </c>
      <c r="R44" s="350">
        <v>32.85</v>
      </c>
      <c r="S44" s="351" t="str">
        <f t="shared" si="3"/>
        <v>OK</v>
      </c>
    </row>
    <row r="45" spans="1:19" s="17" customFormat="1" ht="12.95" customHeight="1">
      <c r="A45" s="497">
        <f t="shared" si="6"/>
        <v>28</v>
      </c>
      <c r="B45" s="540" t="s">
        <v>98</v>
      </c>
      <c r="C45" s="541"/>
      <c r="D45" s="542"/>
      <c r="E45" s="211">
        <f>'7" 26# Deck Tally'!B29</f>
        <v>295</v>
      </c>
      <c r="F45" s="347">
        <f>'7" 26# Deck Tally'!C29</f>
        <v>33.57</v>
      </c>
      <c r="G45" s="18">
        <f t="shared" si="4"/>
        <v>33.171999999999997</v>
      </c>
      <c r="H45" s="18" t="s">
        <v>9</v>
      </c>
      <c r="I45" s="18">
        <f t="shared" si="0"/>
        <v>891.66399999999999</v>
      </c>
      <c r="J45" s="18">
        <f t="shared" si="1"/>
        <v>12880.1985</v>
      </c>
      <c r="K45" s="216">
        <f t="shared" si="2"/>
        <v>147.14523176776166</v>
      </c>
      <c r="L45" s="196"/>
      <c r="M45" s="198"/>
      <c r="N45" s="24"/>
      <c r="O45" s="24"/>
      <c r="P45" s="24"/>
      <c r="Q45" s="377">
        <f t="shared" si="5"/>
        <v>295</v>
      </c>
      <c r="R45" s="350">
        <v>33.57</v>
      </c>
      <c r="S45" s="351" t="str">
        <f t="shared" si="3"/>
        <v>OK</v>
      </c>
    </row>
    <row r="46" spans="1:19" s="17" customFormat="1" ht="12.95" customHeight="1">
      <c r="A46" s="497">
        <f t="shared" si="6"/>
        <v>29</v>
      </c>
      <c r="B46" s="540" t="s">
        <v>98</v>
      </c>
      <c r="C46" s="541"/>
      <c r="D46" s="542"/>
      <c r="E46" s="211">
        <f>'7" 26# Deck Tally'!B30</f>
        <v>294</v>
      </c>
      <c r="F46" s="347">
        <f>'7" 26# Deck Tally'!C30</f>
        <v>33.47</v>
      </c>
      <c r="G46" s="18">
        <f t="shared" si="4"/>
        <v>33.071999999999996</v>
      </c>
      <c r="H46" s="18" t="s">
        <v>9</v>
      </c>
      <c r="I46" s="18">
        <f t="shared" si="0"/>
        <v>924.73599999999999</v>
      </c>
      <c r="J46" s="18">
        <f t="shared" si="1"/>
        <v>12847.1265</v>
      </c>
      <c r="K46" s="216">
        <f t="shared" si="2"/>
        <v>147.85533232696716</v>
      </c>
      <c r="L46" s="196"/>
      <c r="M46" s="198"/>
      <c r="N46" s="24"/>
      <c r="O46" s="24"/>
      <c r="P46" s="24"/>
      <c r="Q46" s="377">
        <f t="shared" si="5"/>
        <v>294</v>
      </c>
      <c r="R46" s="350">
        <v>33.47</v>
      </c>
      <c r="S46" s="351" t="str">
        <f t="shared" si="3"/>
        <v>OK</v>
      </c>
    </row>
    <row r="47" spans="1:19" s="17" customFormat="1" ht="12.95" customHeight="1">
      <c r="A47" s="497">
        <f t="shared" si="6"/>
        <v>30</v>
      </c>
      <c r="B47" s="540" t="s">
        <v>98</v>
      </c>
      <c r="C47" s="541"/>
      <c r="D47" s="542"/>
      <c r="E47" s="211">
        <f>'7" 26# Deck Tally'!B31</f>
        <v>293</v>
      </c>
      <c r="F47" s="347">
        <f>'7" 26# Deck Tally'!C31</f>
        <v>33.64</v>
      </c>
      <c r="G47" s="18">
        <f t="shared" si="4"/>
        <v>33.241999999999997</v>
      </c>
      <c r="H47" s="18" t="s">
        <v>9</v>
      </c>
      <c r="I47" s="18">
        <f t="shared" si="0"/>
        <v>957.97799999999995</v>
      </c>
      <c r="J47" s="18">
        <f t="shared" si="1"/>
        <v>12813.884500000002</v>
      </c>
      <c r="K47" s="216">
        <f t="shared" si="2"/>
        <v>148.56908301604278</v>
      </c>
      <c r="L47" s="196"/>
      <c r="M47" s="198"/>
      <c r="N47" s="24"/>
      <c r="O47" s="24"/>
      <c r="P47" s="24"/>
      <c r="Q47" s="377">
        <f t="shared" si="5"/>
        <v>293</v>
      </c>
      <c r="R47" s="350">
        <v>33.64</v>
      </c>
      <c r="S47" s="351" t="str">
        <f t="shared" si="3"/>
        <v>OK</v>
      </c>
    </row>
    <row r="48" spans="1:19" s="17" customFormat="1" ht="12.95" customHeight="1">
      <c r="A48" s="497">
        <f t="shared" si="6"/>
        <v>31</v>
      </c>
      <c r="B48" s="540" t="s">
        <v>98</v>
      </c>
      <c r="C48" s="541"/>
      <c r="D48" s="542"/>
      <c r="E48" s="211">
        <f>'7" 26# Deck Tally'!B32</f>
        <v>292</v>
      </c>
      <c r="F48" s="347">
        <f>'7" 26# Deck Tally'!C32</f>
        <v>33.42</v>
      </c>
      <c r="G48" s="18">
        <f t="shared" si="4"/>
        <v>33.021999999999998</v>
      </c>
      <c r="H48" s="18" t="s">
        <v>9</v>
      </c>
      <c r="I48" s="18">
        <f t="shared" si="0"/>
        <v>991</v>
      </c>
      <c r="J48" s="18">
        <f t="shared" si="1"/>
        <v>12780.862500000001</v>
      </c>
      <c r="K48" s="216">
        <f t="shared" si="2"/>
        <v>149.27811000763941</v>
      </c>
      <c r="L48" s="196"/>
      <c r="M48" s="198"/>
      <c r="N48" s="24"/>
      <c r="O48" s="24"/>
      <c r="P48" s="24"/>
      <c r="Q48" s="377">
        <f t="shared" si="5"/>
        <v>292</v>
      </c>
      <c r="R48" s="350">
        <v>33.42</v>
      </c>
      <c r="S48" s="351" t="str">
        <f t="shared" si="3"/>
        <v>OK</v>
      </c>
    </row>
    <row r="49" spans="1:19" s="17" customFormat="1" ht="12.95" customHeight="1">
      <c r="A49" s="497">
        <f t="shared" si="6"/>
        <v>32</v>
      </c>
      <c r="B49" s="540" t="s">
        <v>98</v>
      </c>
      <c r="C49" s="541"/>
      <c r="D49" s="542"/>
      <c r="E49" s="211">
        <f>'7" 26# Deck Tally'!B33</f>
        <v>291</v>
      </c>
      <c r="F49" s="347">
        <f>'7" 26# Deck Tally'!C33</f>
        <v>33.31</v>
      </c>
      <c r="G49" s="18">
        <f t="shared" si="4"/>
        <v>32.911999999999999</v>
      </c>
      <c r="H49" s="18" t="s">
        <v>9</v>
      </c>
      <c r="I49" s="18">
        <f t="shared" si="0"/>
        <v>1023.912</v>
      </c>
      <c r="J49" s="18">
        <f t="shared" si="1"/>
        <v>12747.950500000001</v>
      </c>
      <c r="K49" s="216">
        <f t="shared" si="2"/>
        <v>149.98477515049657</v>
      </c>
      <c r="L49" s="196"/>
      <c r="M49" s="173"/>
      <c r="N49" s="24"/>
      <c r="O49" s="24"/>
      <c r="P49" s="24"/>
      <c r="Q49" s="377">
        <f t="shared" si="5"/>
        <v>291</v>
      </c>
      <c r="R49" s="350">
        <v>33.31</v>
      </c>
      <c r="S49" s="351" t="str">
        <f t="shared" si="3"/>
        <v>OK</v>
      </c>
    </row>
    <row r="50" spans="1:19" s="17" customFormat="1" ht="12.95" customHeight="1">
      <c r="A50" s="497">
        <f t="shared" si="6"/>
        <v>33</v>
      </c>
      <c r="B50" s="540" t="s">
        <v>98</v>
      </c>
      <c r="C50" s="541"/>
      <c r="D50" s="542"/>
      <c r="E50" s="211">
        <f>'7" 26# Deck Tally'!B34</f>
        <v>290</v>
      </c>
      <c r="F50" s="347">
        <f>'7" 26# Deck Tally'!C34</f>
        <v>33.5</v>
      </c>
      <c r="G50" s="18">
        <f t="shared" si="4"/>
        <v>33.101999999999997</v>
      </c>
      <c r="H50" s="18" t="s">
        <v>9</v>
      </c>
      <c r="I50" s="18">
        <f t="shared" si="0"/>
        <v>1057.0140000000001</v>
      </c>
      <c r="J50" s="18">
        <f t="shared" si="1"/>
        <v>12714.8485</v>
      </c>
      <c r="K50" s="216">
        <f t="shared" si="2"/>
        <v>150.69551985026737</v>
      </c>
      <c r="L50" s="196"/>
      <c r="M50" s="173"/>
      <c r="N50" s="24"/>
      <c r="O50" s="24"/>
      <c r="P50" s="24"/>
      <c r="Q50" s="377">
        <f t="shared" si="5"/>
        <v>290</v>
      </c>
      <c r="R50" s="350">
        <v>33.5</v>
      </c>
      <c r="S50" s="351" t="str">
        <f t="shared" si="3"/>
        <v>OK</v>
      </c>
    </row>
    <row r="51" spans="1:19" s="17" customFormat="1" ht="12.95" customHeight="1">
      <c r="A51" s="497">
        <f t="shared" si="6"/>
        <v>34</v>
      </c>
      <c r="B51" s="540" t="s">
        <v>98</v>
      </c>
      <c r="C51" s="541"/>
      <c r="D51" s="542"/>
      <c r="E51" s="211">
        <f>'7" 26# Deck Tally'!B35</f>
        <v>289</v>
      </c>
      <c r="F51" s="347">
        <f>'7" 26# Deck Tally'!C35</f>
        <v>33.409999999999997</v>
      </c>
      <c r="G51" s="18">
        <f t="shared" si="4"/>
        <v>33.011999999999993</v>
      </c>
      <c r="H51" s="18" t="s">
        <v>9</v>
      </c>
      <c r="I51" s="18">
        <f t="shared" si="0"/>
        <v>1090.0260000000001</v>
      </c>
      <c r="J51" s="18">
        <f t="shared" si="1"/>
        <v>12681.836500000001</v>
      </c>
      <c r="K51" s="216">
        <f t="shared" si="2"/>
        <v>151.40433212834225</v>
      </c>
      <c r="L51" s="196" t="s">
        <v>8</v>
      </c>
      <c r="M51" s="173"/>
      <c r="N51" s="24"/>
      <c r="O51" s="24"/>
      <c r="P51" s="24"/>
      <c r="Q51" s="377">
        <f t="shared" si="5"/>
        <v>289</v>
      </c>
      <c r="R51" s="350">
        <v>33.409999999999997</v>
      </c>
      <c r="S51" s="351" t="str">
        <f t="shared" si="3"/>
        <v>OK</v>
      </c>
    </row>
    <row r="52" spans="1:19" s="17" customFormat="1" ht="12.95" customHeight="1">
      <c r="A52" s="497">
        <f t="shared" si="6"/>
        <v>35</v>
      </c>
      <c r="B52" s="540" t="s">
        <v>98</v>
      </c>
      <c r="C52" s="541"/>
      <c r="D52" s="542"/>
      <c r="E52" s="211">
        <f>'7" 26# Deck Tally'!B36</f>
        <v>288</v>
      </c>
      <c r="F52" s="347">
        <f>'7" 26# Deck Tally'!C36</f>
        <v>32.56</v>
      </c>
      <c r="G52" s="18">
        <f t="shared" si="4"/>
        <v>32.161999999999999</v>
      </c>
      <c r="H52" s="18" t="s">
        <v>9</v>
      </c>
      <c r="I52" s="18">
        <f t="shared" si="0"/>
        <v>1122.1880000000001</v>
      </c>
      <c r="J52" s="18">
        <f t="shared" si="1"/>
        <v>12649.674500000001</v>
      </c>
      <c r="K52" s="216">
        <f t="shared" si="2"/>
        <v>152.09489375706647</v>
      </c>
      <c r="L52" s="196"/>
      <c r="M52" s="173"/>
      <c r="N52" s="24"/>
      <c r="O52" s="24"/>
      <c r="P52" s="24"/>
      <c r="Q52" s="377">
        <f t="shared" si="5"/>
        <v>288</v>
      </c>
      <c r="R52" s="350">
        <v>32.56</v>
      </c>
      <c r="S52" s="351" t="str">
        <f t="shared" si="3"/>
        <v>OK</v>
      </c>
    </row>
    <row r="53" spans="1:19" s="17" customFormat="1" ht="12.95" customHeight="1">
      <c r="A53" s="497">
        <f t="shared" si="6"/>
        <v>36</v>
      </c>
      <c r="B53" s="540" t="s">
        <v>98</v>
      </c>
      <c r="C53" s="541"/>
      <c r="D53" s="542"/>
      <c r="E53" s="211">
        <f>'7" 26# Deck Tally'!B37</f>
        <v>287</v>
      </c>
      <c r="F53" s="347">
        <f>'7" 26# Deck Tally'!C37</f>
        <v>33.04</v>
      </c>
      <c r="G53" s="18">
        <f t="shared" si="4"/>
        <v>32.641999999999996</v>
      </c>
      <c r="H53" s="18" t="s">
        <v>9</v>
      </c>
      <c r="I53" s="18">
        <f t="shared" si="0"/>
        <v>1154.8300000000002</v>
      </c>
      <c r="J53" s="18">
        <f t="shared" si="1"/>
        <v>12617.032500000001</v>
      </c>
      <c r="K53" s="216">
        <f t="shared" si="2"/>
        <v>152.79576163483577</v>
      </c>
      <c r="L53" s="196"/>
      <c r="M53" s="173"/>
      <c r="N53" s="24"/>
      <c r="O53" s="24"/>
      <c r="P53" s="24"/>
      <c r="Q53" s="377">
        <f t="shared" si="5"/>
        <v>287</v>
      </c>
      <c r="R53" s="350">
        <v>33.04</v>
      </c>
      <c r="S53" s="351" t="str">
        <f t="shared" si="3"/>
        <v>OK</v>
      </c>
    </row>
    <row r="54" spans="1:19" s="17" customFormat="1" ht="12.95" customHeight="1">
      <c r="A54" s="497">
        <f t="shared" si="6"/>
        <v>37</v>
      </c>
      <c r="B54" s="540" t="s">
        <v>98</v>
      </c>
      <c r="C54" s="541"/>
      <c r="D54" s="542"/>
      <c r="E54" s="211">
        <f>'7" 26# Deck Tally'!B38</f>
        <v>286</v>
      </c>
      <c r="F54" s="347">
        <f>'7" 26# Deck Tally'!C38</f>
        <v>33.229999999999997</v>
      </c>
      <c r="G54" s="18">
        <f t="shared" si="4"/>
        <v>32.831999999999994</v>
      </c>
      <c r="H54" s="18" t="s">
        <v>9</v>
      </c>
      <c r="I54" s="18">
        <f t="shared" si="0"/>
        <v>1187.6620000000003</v>
      </c>
      <c r="J54" s="18">
        <f t="shared" si="1"/>
        <v>12584.200500000001</v>
      </c>
      <c r="K54" s="216">
        <f t="shared" si="2"/>
        <v>153.50070906951873</v>
      </c>
      <c r="L54" s="196"/>
      <c r="M54" s="173"/>
      <c r="N54" s="24"/>
      <c r="O54" s="24"/>
      <c r="P54" s="24"/>
      <c r="Q54" s="377">
        <f t="shared" si="5"/>
        <v>286</v>
      </c>
      <c r="R54" s="350">
        <v>33.229999999999997</v>
      </c>
      <c r="S54" s="351" t="str">
        <f t="shared" si="3"/>
        <v>OK</v>
      </c>
    </row>
    <row r="55" spans="1:19" s="17" customFormat="1" ht="12.95" customHeight="1">
      <c r="A55" s="497">
        <f t="shared" si="6"/>
        <v>38</v>
      </c>
      <c r="B55" s="540" t="s">
        <v>98</v>
      </c>
      <c r="C55" s="541"/>
      <c r="D55" s="542"/>
      <c r="E55" s="211">
        <f>'7" 26# Deck Tally'!B39</f>
        <v>285</v>
      </c>
      <c r="F55" s="347">
        <f>'7" 26# Deck Tally'!C39</f>
        <v>33.21</v>
      </c>
      <c r="G55" s="18">
        <f t="shared" si="4"/>
        <v>32.811999999999998</v>
      </c>
      <c r="H55" s="18" t="s">
        <v>9</v>
      </c>
      <c r="I55" s="18">
        <f t="shared" si="0"/>
        <v>1220.4740000000002</v>
      </c>
      <c r="J55" s="18">
        <f t="shared" si="1"/>
        <v>12551.388500000001</v>
      </c>
      <c r="K55" s="216">
        <f t="shared" si="2"/>
        <v>154.20522707715813</v>
      </c>
      <c r="L55" s="196"/>
      <c r="M55" s="173"/>
      <c r="N55" s="24"/>
      <c r="O55" s="24"/>
      <c r="P55" s="24"/>
      <c r="Q55" s="377">
        <f t="shared" si="5"/>
        <v>285</v>
      </c>
      <c r="R55" s="350">
        <v>33.21</v>
      </c>
      <c r="S55" s="351" t="str">
        <f t="shared" si="3"/>
        <v>OK</v>
      </c>
    </row>
    <row r="56" spans="1:19" s="17" customFormat="1" ht="12.95" customHeight="1">
      <c r="A56" s="497">
        <f t="shared" si="6"/>
        <v>39</v>
      </c>
      <c r="B56" s="540" t="s">
        <v>98</v>
      </c>
      <c r="C56" s="541"/>
      <c r="D56" s="542"/>
      <c r="E56" s="211">
        <f>'7" 26# Deck Tally'!B40</f>
        <v>284</v>
      </c>
      <c r="F56" s="347">
        <f>'7" 26# Deck Tally'!C40</f>
        <v>33.619999999999997</v>
      </c>
      <c r="G56" s="18">
        <f t="shared" si="4"/>
        <v>33.221999999999994</v>
      </c>
      <c r="H56" s="18" t="s">
        <v>9</v>
      </c>
      <c r="I56" s="18">
        <f t="shared" si="0"/>
        <v>1253.6960000000001</v>
      </c>
      <c r="J56" s="18">
        <f t="shared" si="1"/>
        <v>12518.166500000001</v>
      </c>
      <c r="K56" s="216">
        <f t="shared" si="2"/>
        <v>154.91854833919024</v>
      </c>
      <c r="L56" s="196"/>
      <c r="M56" s="173"/>
      <c r="N56" s="24"/>
      <c r="O56" s="24"/>
      <c r="P56" s="24"/>
      <c r="Q56" s="377">
        <f t="shared" si="5"/>
        <v>284</v>
      </c>
      <c r="R56" s="350">
        <v>33.619999999999997</v>
      </c>
      <c r="S56" s="351" t="str">
        <f t="shared" si="3"/>
        <v>OK</v>
      </c>
    </row>
    <row r="57" spans="1:19" s="17" customFormat="1" ht="12.95" customHeight="1">
      <c r="A57" s="497">
        <f t="shared" si="6"/>
        <v>40</v>
      </c>
      <c r="B57" s="540" t="s">
        <v>98</v>
      </c>
      <c r="C57" s="541"/>
      <c r="D57" s="542"/>
      <c r="E57" s="211">
        <f>'7" 26# Deck Tally'!B41</f>
        <v>283</v>
      </c>
      <c r="F57" s="347">
        <f>'7" 26# Deck Tally'!C41</f>
        <v>33.799999999999997</v>
      </c>
      <c r="G57" s="18">
        <f t="shared" si="4"/>
        <v>33.401999999999994</v>
      </c>
      <c r="H57" s="18" t="s">
        <v>9</v>
      </c>
      <c r="I57" s="18">
        <f t="shared" si="0"/>
        <v>1287.0980000000002</v>
      </c>
      <c r="J57" s="18">
        <f t="shared" si="1"/>
        <v>12484.764500000001</v>
      </c>
      <c r="K57" s="216">
        <f t="shared" si="2"/>
        <v>155.6357344446142</v>
      </c>
      <c r="L57" s="227"/>
      <c r="M57" s="173"/>
      <c r="N57" s="24"/>
      <c r="O57" s="24"/>
      <c r="P57" s="24"/>
      <c r="Q57" s="377">
        <f t="shared" si="5"/>
        <v>283</v>
      </c>
      <c r="R57" s="350">
        <v>33.799999999999997</v>
      </c>
      <c r="S57" s="351" t="str">
        <f t="shared" si="3"/>
        <v>OK</v>
      </c>
    </row>
    <row r="58" spans="1:19" s="17" customFormat="1" ht="12.95" customHeight="1">
      <c r="A58" s="497">
        <f t="shared" si="6"/>
        <v>41</v>
      </c>
      <c r="B58" s="540" t="s">
        <v>98</v>
      </c>
      <c r="C58" s="541"/>
      <c r="D58" s="542"/>
      <c r="E58" s="211">
        <f>'7" 26# Deck Tally'!B42</f>
        <v>282</v>
      </c>
      <c r="F58" s="347">
        <f>'7" 26# Deck Tally'!C42</f>
        <v>33.15</v>
      </c>
      <c r="G58" s="18">
        <f t="shared" si="4"/>
        <v>32.751999999999995</v>
      </c>
      <c r="H58" s="18" t="s">
        <v>9</v>
      </c>
      <c r="I58" s="18">
        <f t="shared" si="0"/>
        <v>1319.8500000000001</v>
      </c>
      <c r="J58" s="18">
        <f t="shared" si="1"/>
        <v>12452.012500000001</v>
      </c>
      <c r="K58" s="216">
        <f t="shared" si="2"/>
        <v>156.338964171123</v>
      </c>
      <c r="L58" s="196"/>
      <c r="M58" s="173"/>
      <c r="N58" s="24"/>
      <c r="O58" s="24"/>
      <c r="P58" s="24"/>
      <c r="Q58" s="377">
        <f t="shared" si="5"/>
        <v>282</v>
      </c>
      <c r="R58" s="350">
        <v>33.15</v>
      </c>
      <c r="S58" s="351" t="str">
        <f t="shared" si="3"/>
        <v>OK</v>
      </c>
    </row>
    <row r="59" spans="1:19" s="17" customFormat="1" ht="12.95" customHeight="1">
      <c r="A59" s="497">
        <f t="shared" si="6"/>
        <v>42</v>
      </c>
      <c r="B59" s="540" t="s">
        <v>98</v>
      </c>
      <c r="C59" s="541"/>
      <c r="D59" s="542"/>
      <c r="E59" s="211">
        <f>'7" 26# Deck Tally'!B43</f>
        <v>281</v>
      </c>
      <c r="F59" s="347">
        <f>'7" 26# Deck Tally'!C43</f>
        <v>33.71</v>
      </c>
      <c r="G59" s="18">
        <f t="shared" si="4"/>
        <v>33.311999999999998</v>
      </c>
      <c r="H59" s="18" t="s">
        <v>9</v>
      </c>
      <c r="I59" s="18">
        <f t="shared" si="0"/>
        <v>1353.162</v>
      </c>
      <c r="J59" s="18">
        <f t="shared" si="1"/>
        <v>12418.700500000001</v>
      </c>
      <c r="K59" s="216">
        <f t="shared" si="2"/>
        <v>157.05421785485103</v>
      </c>
      <c r="L59" s="227"/>
      <c r="M59" s="173"/>
      <c r="N59" s="24"/>
      <c r="O59" s="24"/>
      <c r="P59" s="24"/>
      <c r="Q59" s="377">
        <f t="shared" si="5"/>
        <v>281</v>
      </c>
      <c r="R59" s="350">
        <v>33.71</v>
      </c>
      <c r="S59" s="351" t="str">
        <f t="shared" si="3"/>
        <v>OK</v>
      </c>
    </row>
    <row r="60" spans="1:19" s="17" customFormat="1" ht="12.95" customHeight="1">
      <c r="A60" s="497">
        <f t="shared" si="6"/>
        <v>43</v>
      </c>
      <c r="B60" s="540" t="s">
        <v>98</v>
      </c>
      <c r="C60" s="541"/>
      <c r="D60" s="542"/>
      <c r="E60" s="211">
        <f>'7" 26# Deck Tally'!B44</f>
        <v>280</v>
      </c>
      <c r="F60" s="347">
        <f>'7" 26# Deck Tally'!C44</f>
        <v>33.94</v>
      </c>
      <c r="G60" s="18">
        <f t="shared" si="4"/>
        <v>33.541999999999994</v>
      </c>
      <c r="H60" s="18" t="s">
        <v>9</v>
      </c>
      <c r="I60" s="18">
        <f t="shared" si="0"/>
        <v>1386.704</v>
      </c>
      <c r="J60" s="18">
        <f t="shared" si="1"/>
        <v>12385.158500000001</v>
      </c>
      <c r="K60" s="216">
        <f t="shared" si="2"/>
        <v>157.77440994957982</v>
      </c>
      <c r="L60" s="196"/>
      <c r="M60" s="173"/>
      <c r="N60" s="24"/>
      <c r="O60" s="24"/>
      <c r="P60" s="24"/>
      <c r="Q60" s="377">
        <f t="shared" si="5"/>
        <v>280</v>
      </c>
      <c r="R60" s="350">
        <v>33.94</v>
      </c>
      <c r="S60" s="351" t="str">
        <f t="shared" si="3"/>
        <v>OK</v>
      </c>
    </row>
    <row r="61" spans="1:19" s="17" customFormat="1" ht="12.95" customHeight="1">
      <c r="A61" s="497">
        <f t="shared" si="6"/>
        <v>44</v>
      </c>
      <c r="B61" s="540" t="s">
        <v>98</v>
      </c>
      <c r="C61" s="541"/>
      <c r="D61" s="542"/>
      <c r="E61" s="211">
        <f>'7" 26# Deck Tally'!B45</f>
        <v>279</v>
      </c>
      <c r="F61" s="347">
        <f>'7" 26# Deck Tally'!C45</f>
        <v>33.58</v>
      </c>
      <c r="G61" s="18">
        <f t="shared" si="4"/>
        <v>33.181999999999995</v>
      </c>
      <c r="H61" s="18" t="s">
        <v>9</v>
      </c>
      <c r="I61" s="18">
        <f t="shared" si="0"/>
        <v>1419.886</v>
      </c>
      <c r="J61" s="18">
        <f t="shared" si="1"/>
        <v>12351.976500000001</v>
      </c>
      <c r="K61" s="216">
        <f t="shared" si="2"/>
        <v>158.48687235752482</v>
      </c>
      <c r="L61" s="227"/>
      <c r="M61" s="199"/>
      <c r="N61" s="24"/>
      <c r="O61" s="24"/>
      <c r="P61" s="24"/>
      <c r="Q61" s="377">
        <f t="shared" si="5"/>
        <v>279</v>
      </c>
      <c r="R61" s="350">
        <v>33.58</v>
      </c>
      <c r="S61" s="351" t="str">
        <f t="shared" si="3"/>
        <v>OK</v>
      </c>
    </row>
    <row r="62" spans="1:19" s="17" customFormat="1" ht="12.95" customHeight="1">
      <c r="A62" s="497">
        <f t="shared" si="6"/>
        <v>45</v>
      </c>
      <c r="B62" s="540" t="s">
        <v>98</v>
      </c>
      <c r="C62" s="541"/>
      <c r="D62" s="542"/>
      <c r="E62" s="211">
        <f>'7" 26# Deck Tally'!B46</f>
        <v>278</v>
      </c>
      <c r="F62" s="347">
        <f>'7" 26# Deck Tally'!C46</f>
        <v>33.479999999999997</v>
      </c>
      <c r="G62" s="18">
        <f t="shared" si="4"/>
        <v>33.081999999999994</v>
      </c>
      <c r="H62" s="18" t="s">
        <v>9</v>
      </c>
      <c r="I62" s="18">
        <f t="shared" si="0"/>
        <v>1452.9679999999998</v>
      </c>
      <c r="J62" s="18">
        <f t="shared" si="1"/>
        <v>12318.894500000002</v>
      </c>
      <c r="K62" s="216">
        <f t="shared" si="2"/>
        <v>159.1971876302521</v>
      </c>
      <c r="L62" s="196"/>
      <c r="M62" s="173"/>
      <c r="N62" s="24"/>
      <c r="O62" s="24"/>
      <c r="P62" s="24"/>
      <c r="Q62" s="377">
        <f t="shared" si="5"/>
        <v>278</v>
      </c>
      <c r="R62" s="350">
        <v>33.479999999999997</v>
      </c>
      <c r="S62" s="351" t="str">
        <f t="shared" si="3"/>
        <v>OK</v>
      </c>
    </row>
    <row r="63" spans="1:19" s="17" customFormat="1" ht="12.95" customHeight="1">
      <c r="A63" s="497">
        <f t="shared" si="6"/>
        <v>46</v>
      </c>
      <c r="B63" s="540" t="s">
        <v>98</v>
      </c>
      <c r="C63" s="541"/>
      <c r="D63" s="542"/>
      <c r="E63" s="211">
        <f>'7" 26# Deck Tally'!B47</f>
        <v>277</v>
      </c>
      <c r="F63" s="347">
        <f>'7" 26# Deck Tally'!C47</f>
        <v>33.19</v>
      </c>
      <c r="G63" s="18">
        <f t="shared" si="4"/>
        <v>32.791999999999994</v>
      </c>
      <c r="H63" s="18" t="s">
        <v>9</v>
      </c>
      <c r="I63" s="18">
        <f t="shared" si="0"/>
        <v>1485.7599999999998</v>
      </c>
      <c r="J63" s="18">
        <f t="shared" si="1"/>
        <v>12286.102500000001</v>
      </c>
      <c r="K63" s="216">
        <f t="shared" si="2"/>
        <v>159.90127621084798</v>
      </c>
      <c r="L63" s="228"/>
      <c r="M63" s="173"/>
      <c r="N63" s="24"/>
      <c r="O63" s="24"/>
      <c r="P63" s="24"/>
      <c r="Q63" s="377">
        <f t="shared" si="5"/>
        <v>277</v>
      </c>
      <c r="R63" s="350">
        <v>33.19</v>
      </c>
      <c r="S63" s="351" t="str">
        <f t="shared" si="3"/>
        <v>OK</v>
      </c>
    </row>
    <row r="64" spans="1:19" s="17" customFormat="1" ht="12.95" customHeight="1">
      <c r="A64" s="497">
        <f t="shared" si="6"/>
        <v>47</v>
      </c>
      <c r="B64" s="540" t="s">
        <v>98</v>
      </c>
      <c r="C64" s="541"/>
      <c r="D64" s="542"/>
      <c r="E64" s="211">
        <f>'7" 26# Deck Tally'!B48</f>
        <v>276</v>
      </c>
      <c r="F64" s="347">
        <f>'7" 26# Deck Tally'!C48</f>
        <v>33.880000000000003</v>
      </c>
      <c r="G64" s="18">
        <f t="shared" si="4"/>
        <v>33.481999999999999</v>
      </c>
      <c r="H64" s="18" t="s">
        <v>9</v>
      </c>
      <c r="I64" s="18">
        <f t="shared" si="0"/>
        <v>1519.2419999999997</v>
      </c>
      <c r="J64" s="18">
        <f t="shared" si="1"/>
        <v>12252.620500000001</v>
      </c>
      <c r="K64" s="216">
        <f t="shared" si="2"/>
        <v>160.62018002444614</v>
      </c>
      <c r="L64" s="229"/>
      <c r="M64" s="173"/>
      <c r="N64" s="24"/>
      <c r="O64" s="24"/>
      <c r="P64" s="24"/>
      <c r="Q64" s="377">
        <f t="shared" si="5"/>
        <v>276</v>
      </c>
      <c r="R64" s="350">
        <v>33.880000000000003</v>
      </c>
      <c r="S64" s="351" t="str">
        <f t="shared" si="3"/>
        <v>OK</v>
      </c>
    </row>
    <row r="65" spans="1:19" s="17" customFormat="1" ht="12.95" customHeight="1">
      <c r="A65" s="497">
        <f t="shared" si="6"/>
        <v>48</v>
      </c>
      <c r="B65" s="540" t="s">
        <v>98</v>
      </c>
      <c r="C65" s="541"/>
      <c r="D65" s="542"/>
      <c r="E65" s="211">
        <f>'7" 26# Deck Tally'!B49</f>
        <v>275</v>
      </c>
      <c r="F65" s="347">
        <f>'7" 26# Deck Tally'!C49</f>
        <v>33.380000000000003</v>
      </c>
      <c r="G65" s="18">
        <f t="shared" si="4"/>
        <v>32.981999999999999</v>
      </c>
      <c r="H65" s="18" t="s">
        <v>9</v>
      </c>
      <c r="I65" s="18">
        <f t="shared" si="0"/>
        <v>1552.2239999999997</v>
      </c>
      <c r="J65" s="18">
        <f t="shared" si="1"/>
        <v>12219.638500000001</v>
      </c>
      <c r="K65" s="216">
        <f t="shared" si="2"/>
        <v>161.32834816195569</v>
      </c>
      <c r="L65" s="228"/>
      <c r="M65" s="173"/>
      <c r="N65" s="24"/>
      <c r="O65" s="24"/>
      <c r="P65" s="24"/>
      <c r="Q65" s="377">
        <f t="shared" si="5"/>
        <v>275</v>
      </c>
      <c r="R65" s="350">
        <v>33.380000000000003</v>
      </c>
      <c r="S65" s="351" t="str">
        <f t="shared" si="3"/>
        <v>OK</v>
      </c>
    </row>
    <row r="66" spans="1:19" s="17" customFormat="1" ht="12.95" customHeight="1">
      <c r="A66" s="497">
        <f t="shared" si="6"/>
        <v>49</v>
      </c>
      <c r="B66" s="540" t="s">
        <v>98</v>
      </c>
      <c r="C66" s="541"/>
      <c r="D66" s="542"/>
      <c r="E66" s="211">
        <f>'7" 26# Deck Tally'!B50</f>
        <v>274</v>
      </c>
      <c r="F66" s="347">
        <f>'7" 26# Deck Tally'!C50</f>
        <v>33.619999999999997</v>
      </c>
      <c r="G66" s="18">
        <f t="shared" si="4"/>
        <v>33.221999999999994</v>
      </c>
      <c r="H66" s="18" t="s">
        <v>9</v>
      </c>
      <c r="I66" s="18">
        <f t="shared" si="0"/>
        <v>1585.4459999999997</v>
      </c>
      <c r="J66" s="18">
        <f t="shared" si="1"/>
        <v>12186.416500000001</v>
      </c>
      <c r="K66" s="216">
        <f t="shared" si="2"/>
        <v>162.04166942398777</v>
      </c>
      <c r="L66" s="196"/>
      <c r="M66" s="173"/>
      <c r="N66" s="24"/>
      <c r="O66" s="24"/>
      <c r="P66" s="24"/>
      <c r="Q66" s="377">
        <f t="shared" si="5"/>
        <v>274</v>
      </c>
      <c r="R66" s="350">
        <v>33.619999999999997</v>
      </c>
      <c r="S66" s="351" t="str">
        <f t="shared" si="3"/>
        <v>OK</v>
      </c>
    </row>
    <row r="67" spans="1:19" s="17" customFormat="1" ht="12.95" customHeight="1">
      <c r="A67" s="497">
        <f t="shared" si="6"/>
        <v>50</v>
      </c>
      <c r="B67" s="540" t="s">
        <v>98</v>
      </c>
      <c r="C67" s="541"/>
      <c r="D67" s="542"/>
      <c r="E67" s="211">
        <f>'7" 26# Deck Tally'!B51</f>
        <v>273</v>
      </c>
      <c r="F67" s="347">
        <f>'7" 26# Deck Tally'!C51</f>
        <v>33.4</v>
      </c>
      <c r="G67" s="18">
        <f t="shared" si="4"/>
        <v>33.001999999999995</v>
      </c>
      <c r="H67" s="18" t="s">
        <v>9</v>
      </c>
      <c r="I67" s="18">
        <f t="shared" si="0"/>
        <v>1618.4479999999996</v>
      </c>
      <c r="J67" s="18">
        <f t="shared" si="1"/>
        <v>12153.414500000001</v>
      </c>
      <c r="K67" s="216">
        <f t="shared" si="2"/>
        <v>162.75026698854089</v>
      </c>
      <c r="L67" s="227"/>
      <c r="M67" s="173"/>
      <c r="N67" s="24"/>
      <c r="O67" s="24"/>
      <c r="P67" s="24"/>
      <c r="Q67" s="377">
        <f t="shared" si="5"/>
        <v>273</v>
      </c>
      <c r="R67" s="350">
        <v>33.4</v>
      </c>
      <c r="S67" s="351" t="str">
        <f t="shared" si="3"/>
        <v>OK</v>
      </c>
    </row>
    <row r="68" spans="1:19" s="17" customFormat="1" ht="12.95" customHeight="1">
      <c r="A68" s="497">
        <f t="shared" si="6"/>
        <v>51</v>
      </c>
      <c r="B68" s="540" t="s">
        <v>98</v>
      </c>
      <c r="C68" s="541"/>
      <c r="D68" s="542"/>
      <c r="E68" s="211">
        <f>'7" 26# Deck Tally'!B52</f>
        <v>272</v>
      </c>
      <c r="F68" s="347">
        <f>'7" 26# Deck Tally'!C52</f>
        <v>32.81</v>
      </c>
      <c r="G68" s="18">
        <f t="shared" si="4"/>
        <v>32.411999999999999</v>
      </c>
      <c r="H68" s="18" t="s">
        <v>9</v>
      </c>
      <c r="I68" s="18">
        <f t="shared" si="0"/>
        <v>1650.8599999999997</v>
      </c>
      <c r="J68" s="18">
        <f t="shared" si="1"/>
        <v>12121.002500000002</v>
      </c>
      <c r="K68" s="216">
        <f t="shared" si="2"/>
        <v>163.4461964553094</v>
      </c>
      <c r="L68" s="196"/>
      <c r="M68" s="173"/>
      <c r="N68" s="24"/>
      <c r="O68" s="24"/>
      <c r="P68" s="24"/>
      <c r="Q68" s="377">
        <f t="shared" si="5"/>
        <v>272</v>
      </c>
      <c r="R68" s="350">
        <v>32.81</v>
      </c>
      <c r="S68" s="351" t="str">
        <f t="shared" si="3"/>
        <v>OK</v>
      </c>
    </row>
    <row r="69" spans="1:19" s="17" customFormat="1" ht="12.95" customHeight="1">
      <c r="A69" s="497">
        <f t="shared" si="6"/>
        <v>52</v>
      </c>
      <c r="B69" s="540" t="s">
        <v>98</v>
      </c>
      <c r="C69" s="541"/>
      <c r="D69" s="542"/>
      <c r="E69" s="211">
        <f>'7" 26# Deck Tally'!B53</f>
        <v>271</v>
      </c>
      <c r="F69" s="347">
        <f>'7" 26# Deck Tally'!C53</f>
        <v>33.01</v>
      </c>
      <c r="G69" s="18">
        <f t="shared" si="4"/>
        <v>32.611999999999995</v>
      </c>
      <c r="H69" s="18" t="s">
        <v>9</v>
      </c>
      <c r="I69" s="18">
        <f t="shared" si="0"/>
        <v>1683.4719999999998</v>
      </c>
      <c r="J69" s="18">
        <f t="shared" si="1"/>
        <v>12088.390500000001</v>
      </c>
      <c r="K69" s="216">
        <f t="shared" si="2"/>
        <v>164.14642019251338</v>
      </c>
      <c r="L69" s="227"/>
      <c r="M69" s="173"/>
      <c r="N69" s="24"/>
      <c r="O69" s="24"/>
      <c r="P69" s="24"/>
      <c r="Q69" s="377">
        <f t="shared" si="5"/>
        <v>271</v>
      </c>
      <c r="R69" s="350">
        <v>33.01</v>
      </c>
      <c r="S69" s="351" t="str">
        <f t="shared" si="3"/>
        <v>OK</v>
      </c>
    </row>
    <row r="70" spans="1:19" s="17" customFormat="1" ht="12.95" customHeight="1">
      <c r="A70" s="497">
        <f t="shared" si="6"/>
        <v>53</v>
      </c>
      <c r="B70" s="540" t="s">
        <v>98</v>
      </c>
      <c r="C70" s="541"/>
      <c r="D70" s="542"/>
      <c r="E70" s="211">
        <f>'7" 26# Deck Tally'!B54</f>
        <v>270</v>
      </c>
      <c r="F70" s="347">
        <f>'7" 26# Deck Tally'!C54</f>
        <v>33.270000000000003</v>
      </c>
      <c r="G70" s="18">
        <f t="shared" si="4"/>
        <v>32.872</v>
      </c>
      <c r="H70" s="18" t="s">
        <v>9</v>
      </c>
      <c r="I70" s="18">
        <f t="shared" si="0"/>
        <v>1716.3439999999998</v>
      </c>
      <c r="J70" s="18">
        <f t="shared" si="1"/>
        <v>12055.518500000002</v>
      </c>
      <c r="K70" s="216">
        <f t="shared" si="2"/>
        <v>164.85222648128342</v>
      </c>
      <c r="L70" s="252"/>
      <c r="M70" s="173"/>
      <c r="N70" s="24"/>
      <c r="O70" s="24"/>
      <c r="P70" s="24"/>
      <c r="Q70" s="377">
        <f t="shared" si="5"/>
        <v>270</v>
      </c>
      <c r="R70" s="350">
        <v>33.270000000000003</v>
      </c>
      <c r="S70" s="351" t="str">
        <f t="shared" si="3"/>
        <v>OK</v>
      </c>
    </row>
    <row r="71" spans="1:19" s="17" customFormat="1" ht="12.95" customHeight="1">
      <c r="A71" s="497">
        <f t="shared" si="6"/>
        <v>54</v>
      </c>
      <c r="B71" s="540" t="s">
        <v>98</v>
      </c>
      <c r="C71" s="541"/>
      <c r="D71" s="542"/>
      <c r="E71" s="211">
        <f>'7" 26# Deck Tally'!B55</f>
        <v>269</v>
      </c>
      <c r="F71" s="347">
        <f>'7" 26# Deck Tally'!C55</f>
        <v>33.08</v>
      </c>
      <c r="G71" s="18">
        <f t="shared" si="4"/>
        <v>32.681999999999995</v>
      </c>
      <c r="H71" s="18" t="s">
        <v>9</v>
      </c>
      <c r="I71" s="18">
        <f t="shared" si="0"/>
        <v>1749.0259999999998</v>
      </c>
      <c r="J71" s="18">
        <f t="shared" si="1"/>
        <v>12022.836500000001</v>
      </c>
      <c r="K71" s="216">
        <f t="shared" si="2"/>
        <v>165.55395321313978</v>
      </c>
      <c r="L71" s="227"/>
      <c r="M71" s="173"/>
      <c r="N71" s="24"/>
      <c r="O71" s="24"/>
      <c r="P71" s="24"/>
      <c r="Q71" s="377">
        <f t="shared" si="5"/>
        <v>269</v>
      </c>
      <c r="R71" s="350">
        <v>33.08</v>
      </c>
      <c r="S71" s="351" t="str">
        <f t="shared" si="3"/>
        <v>OK</v>
      </c>
    </row>
    <row r="72" spans="1:19" s="17" customFormat="1" ht="12.95" customHeight="1">
      <c r="A72" s="497">
        <f t="shared" si="6"/>
        <v>55</v>
      </c>
      <c r="B72" s="540" t="s">
        <v>98</v>
      </c>
      <c r="C72" s="541"/>
      <c r="D72" s="542"/>
      <c r="E72" s="211">
        <f>'7" 26# Deck Tally'!B56</f>
        <v>268</v>
      </c>
      <c r="F72" s="347">
        <f>'7" 26# Deck Tally'!C56</f>
        <v>33.700000000000003</v>
      </c>
      <c r="G72" s="18">
        <f t="shared" si="4"/>
        <v>33.302</v>
      </c>
      <c r="H72" s="18" t="s">
        <v>9</v>
      </c>
      <c r="I72" s="18">
        <f t="shared" si="0"/>
        <v>1782.3279999999997</v>
      </c>
      <c r="J72" s="18">
        <f t="shared" si="1"/>
        <v>11989.534500000002</v>
      </c>
      <c r="K72" s="216">
        <f t="shared" si="2"/>
        <v>166.26899218334606</v>
      </c>
      <c r="L72" s="196"/>
      <c r="M72" s="173"/>
      <c r="N72" s="24"/>
      <c r="O72" s="24"/>
      <c r="P72" s="24"/>
      <c r="Q72" s="377">
        <f t="shared" si="5"/>
        <v>268</v>
      </c>
      <c r="R72" s="350">
        <v>33.700000000000003</v>
      </c>
      <c r="S72" s="351" t="str">
        <f t="shared" si="3"/>
        <v>OK</v>
      </c>
    </row>
    <row r="73" spans="1:19" s="17" customFormat="1" ht="12.95" customHeight="1">
      <c r="A73" s="497">
        <f t="shared" si="6"/>
        <v>56</v>
      </c>
      <c r="B73" s="540" t="s">
        <v>98</v>
      </c>
      <c r="C73" s="541"/>
      <c r="D73" s="542"/>
      <c r="E73" s="211">
        <f>'7" 26# Deck Tally'!B57</f>
        <v>267</v>
      </c>
      <c r="F73" s="347">
        <f>'7" 26# Deck Tally'!C57</f>
        <v>33.78</v>
      </c>
      <c r="G73" s="18">
        <f t="shared" si="4"/>
        <v>33.381999999999998</v>
      </c>
      <c r="H73" s="18" t="s">
        <v>9</v>
      </c>
      <c r="I73" s="18">
        <f t="shared" si="0"/>
        <v>1815.7099999999998</v>
      </c>
      <c r="J73" s="18">
        <f t="shared" si="1"/>
        <v>11956.152500000002</v>
      </c>
      <c r="K73" s="216">
        <f t="shared" si="2"/>
        <v>166.98574886172651</v>
      </c>
      <c r="L73" s="227"/>
      <c r="M73" s="173"/>
      <c r="N73" s="24"/>
      <c r="O73" s="24"/>
      <c r="P73" s="24"/>
      <c r="Q73" s="377">
        <f t="shared" si="5"/>
        <v>267</v>
      </c>
      <c r="R73" s="350">
        <v>33.78</v>
      </c>
      <c r="S73" s="351" t="str">
        <f t="shared" si="3"/>
        <v>OK</v>
      </c>
    </row>
    <row r="74" spans="1:19" s="17" customFormat="1" ht="12.95" customHeight="1">
      <c r="A74" s="497">
        <f t="shared" si="6"/>
        <v>57</v>
      </c>
      <c r="B74" s="540" t="s">
        <v>98</v>
      </c>
      <c r="C74" s="541"/>
      <c r="D74" s="542"/>
      <c r="E74" s="211">
        <f>'7" 26# Deck Tally'!B58</f>
        <v>266</v>
      </c>
      <c r="F74" s="347">
        <f>'7" 26# Deck Tally'!C58</f>
        <v>33.93</v>
      </c>
      <c r="G74" s="18">
        <f t="shared" si="4"/>
        <v>33.531999999999996</v>
      </c>
      <c r="H74" s="18" t="s">
        <v>9</v>
      </c>
      <c r="I74" s="18">
        <f t="shared" si="0"/>
        <v>1849.2419999999997</v>
      </c>
      <c r="J74" s="18">
        <f t="shared" si="1"/>
        <v>11922.620500000001</v>
      </c>
      <c r="K74" s="216">
        <f t="shared" si="2"/>
        <v>167.70572624293354</v>
      </c>
      <c r="L74" s="196"/>
      <c r="M74" s="173"/>
      <c r="N74" s="24"/>
      <c r="O74" s="24"/>
      <c r="P74" s="24"/>
      <c r="Q74" s="377">
        <f t="shared" si="5"/>
        <v>266</v>
      </c>
      <c r="R74" s="350">
        <v>33.93</v>
      </c>
      <c r="S74" s="351" t="str">
        <f t="shared" si="3"/>
        <v>OK</v>
      </c>
    </row>
    <row r="75" spans="1:19" s="17" customFormat="1" ht="12.95" customHeight="1">
      <c r="A75" s="497">
        <f t="shared" si="6"/>
        <v>58</v>
      </c>
      <c r="B75" s="540" t="s">
        <v>98</v>
      </c>
      <c r="C75" s="541"/>
      <c r="D75" s="542"/>
      <c r="E75" s="211">
        <f>'7" 26# Deck Tally'!B59</f>
        <v>265</v>
      </c>
      <c r="F75" s="347">
        <f>'7" 26# Deck Tally'!C59</f>
        <v>33.67</v>
      </c>
      <c r="G75" s="18">
        <f t="shared" si="4"/>
        <v>33.271999999999998</v>
      </c>
      <c r="H75" s="18" t="s">
        <v>9</v>
      </c>
      <c r="I75" s="18">
        <f t="shared" si="0"/>
        <v>1882.5139999999997</v>
      </c>
      <c r="J75" s="18">
        <f t="shared" si="1"/>
        <v>11889.348500000002</v>
      </c>
      <c r="K75" s="216">
        <f t="shared" si="2"/>
        <v>168.42012107257449</v>
      </c>
      <c r="L75" s="227"/>
      <c r="M75" s="173"/>
      <c r="N75" s="24"/>
      <c r="O75" s="24"/>
      <c r="P75" s="24"/>
      <c r="Q75" s="377">
        <f t="shared" si="5"/>
        <v>265</v>
      </c>
      <c r="R75" s="350">
        <v>33.67</v>
      </c>
      <c r="S75" s="351" t="str">
        <f t="shared" si="3"/>
        <v>OK</v>
      </c>
    </row>
    <row r="76" spans="1:19" s="17" customFormat="1" ht="12.95" customHeight="1">
      <c r="A76" s="497">
        <f t="shared" si="6"/>
        <v>59</v>
      </c>
      <c r="B76" s="540" t="s">
        <v>98</v>
      </c>
      <c r="C76" s="541"/>
      <c r="D76" s="542"/>
      <c r="E76" s="211">
        <f>'7" 26# Deck Tally'!B60</f>
        <v>264</v>
      </c>
      <c r="F76" s="347">
        <f>'7" 26# Deck Tally'!C60</f>
        <v>33.93</v>
      </c>
      <c r="G76" s="18">
        <f t="shared" si="4"/>
        <v>33.531999999999996</v>
      </c>
      <c r="H76" s="18" t="s">
        <v>9</v>
      </c>
      <c r="I76" s="18">
        <f t="shared" si="0"/>
        <v>1916.0459999999996</v>
      </c>
      <c r="J76" s="18">
        <f t="shared" si="1"/>
        <v>11855.816500000001</v>
      </c>
      <c r="K76" s="216">
        <f t="shared" si="2"/>
        <v>169.14009845378149</v>
      </c>
      <c r="L76" s="196"/>
      <c r="M76" s="173"/>
      <c r="N76" s="24"/>
      <c r="O76" s="24"/>
      <c r="P76" s="24"/>
      <c r="Q76" s="377">
        <f t="shared" si="5"/>
        <v>264</v>
      </c>
      <c r="R76" s="350">
        <v>33.93</v>
      </c>
      <c r="S76" s="351" t="str">
        <f t="shared" si="3"/>
        <v>OK</v>
      </c>
    </row>
    <row r="77" spans="1:19" s="17" customFormat="1" ht="12.95" customHeight="1">
      <c r="A77" s="497">
        <f t="shared" si="6"/>
        <v>60</v>
      </c>
      <c r="B77" s="540" t="s">
        <v>98</v>
      </c>
      <c r="C77" s="541"/>
      <c r="D77" s="542"/>
      <c r="E77" s="211">
        <f>'7" 26# Deck Tally'!B61</f>
        <v>263</v>
      </c>
      <c r="F77" s="347">
        <f>'7" 26# Deck Tally'!C61</f>
        <v>33.93</v>
      </c>
      <c r="G77" s="18">
        <f t="shared" si="4"/>
        <v>33.531999999999996</v>
      </c>
      <c r="H77" s="18" t="s">
        <v>9</v>
      </c>
      <c r="I77" s="18">
        <f t="shared" ref="I77:I140" si="7">IF(H77="IN",I76+G77,I76)</f>
        <v>1949.5779999999995</v>
      </c>
      <c r="J77" s="18">
        <f t="shared" si="1"/>
        <v>11822.284500000002</v>
      </c>
      <c r="K77" s="216">
        <f t="shared" si="2"/>
        <v>169.86007583498855</v>
      </c>
      <c r="L77" s="227"/>
      <c r="M77" s="173"/>
      <c r="N77" s="24"/>
      <c r="O77" s="24"/>
      <c r="P77" s="24"/>
      <c r="Q77" s="377">
        <f t="shared" si="5"/>
        <v>263</v>
      </c>
      <c r="R77" s="350">
        <v>33.93</v>
      </c>
      <c r="S77" s="351" t="str">
        <f t="shared" si="3"/>
        <v>OK</v>
      </c>
    </row>
    <row r="78" spans="1:19" s="17" customFormat="1" ht="12.95" customHeight="1">
      <c r="A78" s="497">
        <f t="shared" si="6"/>
        <v>61</v>
      </c>
      <c r="B78" s="540" t="s">
        <v>98</v>
      </c>
      <c r="C78" s="541"/>
      <c r="D78" s="542"/>
      <c r="E78" s="211">
        <f>'7" 26# Deck Tally'!B62</f>
        <v>262</v>
      </c>
      <c r="F78" s="347">
        <f>'7" 26# Deck Tally'!C62</f>
        <v>33.950000000000003</v>
      </c>
      <c r="G78" s="18">
        <f t="shared" si="4"/>
        <v>33.552</v>
      </c>
      <c r="H78" s="18" t="s">
        <v>9</v>
      </c>
      <c r="I78" s="18">
        <f t="shared" si="7"/>
        <v>1983.1299999999994</v>
      </c>
      <c r="J78" s="18">
        <f t="shared" si="1"/>
        <v>11788.732500000002</v>
      </c>
      <c r="K78" s="216">
        <f t="shared" si="2"/>
        <v>170.58048264323909</v>
      </c>
      <c r="L78" s="196"/>
      <c r="M78" s="173"/>
      <c r="N78" s="24"/>
      <c r="O78" s="24"/>
      <c r="P78" s="24"/>
      <c r="Q78" s="377">
        <f t="shared" si="5"/>
        <v>262</v>
      </c>
      <c r="R78" s="350">
        <v>33.950000000000003</v>
      </c>
      <c r="S78" s="351" t="str">
        <f t="shared" si="3"/>
        <v>OK</v>
      </c>
    </row>
    <row r="79" spans="1:19" s="17" customFormat="1" ht="12.95" customHeight="1">
      <c r="A79" s="497">
        <f t="shared" si="6"/>
        <v>62</v>
      </c>
      <c r="B79" s="540" t="s">
        <v>98</v>
      </c>
      <c r="C79" s="541"/>
      <c r="D79" s="542"/>
      <c r="E79" s="211">
        <f>'7" 26# Deck Tally'!B63</f>
        <v>261</v>
      </c>
      <c r="F79" s="347">
        <f>'7" 26# Deck Tally'!C63</f>
        <v>33.950000000000003</v>
      </c>
      <c r="G79" s="18">
        <f t="shared" si="4"/>
        <v>33.552</v>
      </c>
      <c r="H79" s="18" t="s">
        <v>9</v>
      </c>
      <c r="I79" s="18">
        <f t="shared" si="7"/>
        <v>2016.6819999999993</v>
      </c>
      <c r="J79" s="18">
        <f t="shared" si="1"/>
        <v>11755.180500000002</v>
      </c>
      <c r="K79" s="216">
        <f t="shared" si="2"/>
        <v>171.30088945148967</v>
      </c>
      <c r="L79" s="196"/>
      <c r="M79" s="173"/>
      <c r="Q79" s="377">
        <f t="shared" si="5"/>
        <v>261</v>
      </c>
      <c r="R79" s="350">
        <v>33.950000000000003</v>
      </c>
      <c r="S79" s="351" t="str">
        <f t="shared" si="3"/>
        <v>OK</v>
      </c>
    </row>
    <row r="80" spans="1:19" s="17" customFormat="1" ht="12.95" customHeight="1">
      <c r="A80" s="497">
        <f t="shared" si="6"/>
        <v>63</v>
      </c>
      <c r="B80" s="540" t="s">
        <v>98</v>
      </c>
      <c r="C80" s="541"/>
      <c r="D80" s="542"/>
      <c r="E80" s="211">
        <f>'7" 26# Deck Tally'!B64</f>
        <v>260</v>
      </c>
      <c r="F80" s="347">
        <f>'7" 26# Deck Tally'!C64</f>
        <v>33.950000000000003</v>
      </c>
      <c r="G80" s="18">
        <f t="shared" si="4"/>
        <v>33.552</v>
      </c>
      <c r="H80" s="18" t="s">
        <v>9</v>
      </c>
      <c r="I80" s="18">
        <f t="shared" si="7"/>
        <v>2050.2339999999995</v>
      </c>
      <c r="J80" s="18">
        <f t="shared" ref="J80:J143" si="8">IF(I80="","",$L$6-I80)</f>
        <v>11721.628500000003</v>
      </c>
      <c r="K80" s="216">
        <f t="shared" ref="K80:K143" si="9">$H$6+(I80*$F$7*$H$8/1000)</f>
        <v>172.02129625974027</v>
      </c>
      <c r="L80" s="196"/>
      <c r="M80" s="173"/>
      <c r="N80" s="24"/>
      <c r="O80" s="24"/>
      <c r="P80" s="24"/>
      <c r="Q80" s="377">
        <f t="shared" si="5"/>
        <v>260</v>
      </c>
      <c r="R80" s="350">
        <v>33.950000000000003</v>
      </c>
      <c r="S80" s="351" t="str">
        <f t="shared" ref="S80:S143" si="10">IF(F80-R80=0,"OK","FALSE")</f>
        <v>OK</v>
      </c>
    </row>
    <row r="81" spans="1:19" s="17" customFormat="1" ht="12.95" customHeight="1">
      <c r="A81" s="497">
        <f t="shared" si="6"/>
        <v>64</v>
      </c>
      <c r="B81" s="540" t="s">
        <v>98</v>
      </c>
      <c r="C81" s="541"/>
      <c r="D81" s="542"/>
      <c r="E81" s="211">
        <f>'7" 26# Deck Tally'!B65</f>
        <v>259</v>
      </c>
      <c r="F81" s="347">
        <f>'7" 26# Deck Tally'!C65</f>
        <v>33.950000000000003</v>
      </c>
      <c r="G81" s="18">
        <f t="shared" si="4"/>
        <v>33.552</v>
      </c>
      <c r="H81" s="18" t="s">
        <v>9</v>
      </c>
      <c r="I81" s="18">
        <f t="shared" si="7"/>
        <v>2083.7859999999996</v>
      </c>
      <c r="J81" s="18">
        <f t="shared" si="8"/>
        <v>11688.076500000001</v>
      </c>
      <c r="K81" s="216">
        <f t="shared" si="9"/>
        <v>172.74170306799081</v>
      </c>
      <c r="L81" s="227"/>
      <c r="M81" s="173"/>
      <c r="Q81" s="377">
        <f t="shared" si="5"/>
        <v>259</v>
      </c>
      <c r="R81" s="350">
        <v>33.950000000000003</v>
      </c>
      <c r="S81" s="351" t="str">
        <f t="shared" si="10"/>
        <v>OK</v>
      </c>
    </row>
    <row r="82" spans="1:19" s="17" customFormat="1" ht="12.95" customHeight="1">
      <c r="A82" s="497">
        <f t="shared" si="6"/>
        <v>65</v>
      </c>
      <c r="B82" s="540" t="s">
        <v>98</v>
      </c>
      <c r="C82" s="541"/>
      <c r="D82" s="542"/>
      <c r="E82" s="211">
        <f>'7" 26# Deck Tally'!B66</f>
        <v>258</v>
      </c>
      <c r="F82" s="347">
        <f>'7" 26# Deck Tally'!C66</f>
        <v>33.72</v>
      </c>
      <c r="G82" s="18">
        <f t="shared" si="4"/>
        <v>33.321999999999996</v>
      </c>
      <c r="H82" s="18" t="s">
        <v>9</v>
      </c>
      <c r="I82" s="18">
        <f t="shared" si="7"/>
        <v>2117.1079999999997</v>
      </c>
      <c r="J82" s="18">
        <f t="shared" si="8"/>
        <v>11654.754500000001</v>
      </c>
      <c r="K82" s="216">
        <f t="shared" si="9"/>
        <v>173.45717146524063</v>
      </c>
      <c r="L82" s="196"/>
      <c r="M82" s="173"/>
      <c r="Q82" s="377">
        <f t="shared" si="5"/>
        <v>258</v>
      </c>
      <c r="R82" s="350">
        <v>33.72</v>
      </c>
      <c r="S82" s="351" t="str">
        <f t="shared" si="10"/>
        <v>OK</v>
      </c>
    </row>
    <row r="83" spans="1:19" s="17" customFormat="1" ht="12.95" customHeight="1">
      <c r="A83" s="497">
        <f t="shared" si="6"/>
        <v>66</v>
      </c>
      <c r="B83" s="540" t="s">
        <v>98</v>
      </c>
      <c r="C83" s="541"/>
      <c r="D83" s="542"/>
      <c r="E83" s="211">
        <f>'7" 26# Deck Tally'!B67</f>
        <v>257</v>
      </c>
      <c r="F83" s="347">
        <f>'7" 26# Deck Tally'!C67</f>
        <v>33.520000000000003</v>
      </c>
      <c r="G83" s="18">
        <f t="shared" si="4"/>
        <v>33.122</v>
      </c>
      <c r="H83" s="18" t="s">
        <v>9</v>
      </c>
      <c r="I83" s="18">
        <f t="shared" si="7"/>
        <v>2150.2299999999996</v>
      </c>
      <c r="J83" s="18">
        <f t="shared" si="8"/>
        <v>11621.632500000002</v>
      </c>
      <c r="K83" s="216">
        <f t="shared" si="9"/>
        <v>174.168345592055</v>
      </c>
      <c r="L83" s="227"/>
      <c r="M83" s="173"/>
      <c r="Q83" s="377">
        <f t="shared" si="5"/>
        <v>257</v>
      </c>
      <c r="R83" s="350">
        <v>33.520000000000003</v>
      </c>
      <c r="S83" s="351" t="str">
        <f t="shared" si="10"/>
        <v>OK</v>
      </c>
    </row>
    <row r="84" spans="1:19" s="17" customFormat="1" ht="12.95" customHeight="1">
      <c r="A84" s="497">
        <f t="shared" si="6"/>
        <v>67</v>
      </c>
      <c r="B84" s="540" t="s">
        <v>98</v>
      </c>
      <c r="C84" s="541"/>
      <c r="D84" s="542"/>
      <c r="E84" s="211">
        <f>'7" 26# Deck Tally'!B68</f>
        <v>256</v>
      </c>
      <c r="F84" s="347">
        <f>'7" 26# Deck Tally'!C68</f>
        <v>33.74</v>
      </c>
      <c r="G84" s="18">
        <f t="shared" si="4"/>
        <v>33.341999999999999</v>
      </c>
      <c r="H84" s="18" t="s">
        <v>9</v>
      </c>
      <c r="I84" s="18">
        <f t="shared" si="7"/>
        <v>2183.5719999999997</v>
      </c>
      <c r="J84" s="18">
        <f t="shared" si="8"/>
        <v>11588.290500000001</v>
      </c>
      <c r="K84" s="216">
        <f t="shared" si="9"/>
        <v>174.88424341634834</v>
      </c>
      <c r="L84" s="196"/>
      <c r="M84" s="173"/>
      <c r="Q84" s="377">
        <f t="shared" si="5"/>
        <v>256</v>
      </c>
      <c r="R84" s="350">
        <v>33.74</v>
      </c>
      <c r="S84" s="351" t="str">
        <f t="shared" si="10"/>
        <v>OK</v>
      </c>
    </row>
    <row r="85" spans="1:19" s="17" customFormat="1" ht="12.95" customHeight="1">
      <c r="A85" s="497">
        <f t="shared" si="6"/>
        <v>68</v>
      </c>
      <c r="B85" s="540" t="s">
        <v>98</v>
      </c>
      <c r="C85" s="541"/>
      <c r="D85" s="542"/>
      <c r="E85" s="211">
        <f>'7" 26# Deck Tally'!B69</f>
        <v>255</v>
      </c>
      <c r="F85" s="347">
        <f>'7" 26# Deck Tally'!C69</f>
        <v>33.58</v>
      </c>
      <c r="G85" s="18">
        <f t="shared" ref="G85:G148" si="11">F85-($F$9)</f>
        <v>33.181999999999995</v>
      </c>
      <c r="H85" s="18" t="s">
        <v>9</v>
      </c>
      <c r="I85" s="18">
        <f t="shared" si="7"/>
        <v>2216.7539999999995</v>
      </c>
      <c r="J85" s="18">
        <f t="shared" si="8"/>
        <v>11555.108500000002</v>
      </c>
      <c r="K85" s="216">
        <f t="shared" si="9"/>
        <v>175.59670582429334</v>
      </c>
      <c r="L85" s="197"/>
      <c r="M85" s="173"/>
      <c r="Q85" s="377">
        <f t="shared" ref="Q85:Q148" si="12">E85</f>
        <v>255</v>
      </c>
      <c r="R85" s="350">
        <v>33.58</v>
      </c>
      <c r="S85" s="351" t="str">
        <f t="shared" si="10"/>
        <v>OK</v>
      </c>
    </row>
    <row r="86" spans="1:19" s="17" customFormat="1" ht="12.95" customHeight="1">
      <c r="A86" s="497">
        <f t="shared" si="6"/>
        <v>69</v>
      </c>
      <c r="B86" s="540" t="s">
        <v>98</v>
      </c>
      <c r="C86" s="541"/>
      <c r="D86" s="542"/>
      <c r="E86" s="211">
        <f>'7" 26# Deck Tally'!B70</f>
        <v>254</v>
      </c>
      <c r="F86" s="347">
        <f>'7" 26# Deck Tally'!C70</f>
        <v>33.89</v>
      </c>
      <c r="G86" s="18">
        <f t="shared" si="11"/>
        <v>33.491999999999997</v>
      </c>
      <c r="H86" s="18" t="s">
        <v>9</v>
      </c>
      <c r="I86" s="18">
        <f t="shared" si="7"/>
        <v>2250.2459999999996</v>
      </c>
      <c r="J86" s="18">
        <f t="shared" si="8"/>
        <v>11521.616500000002</v>
      </c>
      <c r="K86" s="216">
        <f t="shared" si="9"/>
        <v>176.31582435141328</v>
      </c>
      <c r="L86" s="197"/>
      <c r="M86" s="173"/>
      <c r="Q86" s="377">
        <f t="shared" si="12"/>
        <v>254</v>
      </c>
      <c r="R86" s="350">
        <v>33.89</v>
      </c>
      <c r="S86" s="351" t="str">
        <f t="shared" si="10"/>
        <v>OK</v>
      </c>
    </row>
    <row r="87" spans="1:19" s="17" customFormat="1" ht="12.95" customHeight="1">
      <c r="A87" s="497">
        <f t="shared" ref="A87:A150" si="13">A86+1</f>
        <v>70</v>
      </c>
      <c r="B87" s="540" t="s">
        <v>98</v>
      </c>
      <c r="C87" s="541"/>
      <c r="D87" s="542"/>
      <c r="E87" s="211">
        <f>'7" 26# Deck Tally'!B71</f>
        <v>253</v>
      </c>
      <c r="F87" s="347">
        <f>'7" 26# Deck Tally'!C71</f>
        <v>33.53</v>
      </c>
      <c r="G87" s="18">
        <f t="shared" si="11"/>
        <v>33.131999999999998</v>
      </c>
      <c r="H87" s="18" t="s">
        <v>9</v>
      </c>
      <c r="I87" s="18">
        <f t="shared" si="7"/>
        <v>2283.3779999999997</v>
      </c>
      <c r="J87" s="18">
        <f t="shared" si="8"/>
        <v>11488.484500000002</v>
      </c>
      <c r="K87" s="216">
        <f t="shared" si="9"/>
        <v>177.02721319174941</v>
      </c>
      <c r="L87" s="197"/>
      <c r="M87" s="173"/>
      <c r="Q87" s="377">
        <f t="shared" si="12"/>
        <v>253</v>
      </c>
      <c r="R87" s="350">
        <v>33.53</v>
      </c>
      <c r="S87" s="351" t="str">
        <f t="shared" si="10"/>
        <v>OK</v>
      </c>
    </row>
    <row r="88" spans="1:19" s="17" customFormat="1" ht="12.95" customHeight="1">
      <c r="A88" s="497">
        <f t="shared" si="13"/>
        <v>71</v>
      </c>
      <c r="B88" s="540" t="s">
        <v>98</v>
      </c>
      <c r="C88" s="541"/>
      <c r="D88" s="542"/>
      <c r="E88" s="211">
        <f>'7" 26# Deck Tally'!B72</f>
        <v>252</v>
      </c>
      <c r="F88" s="347">
        <f>'7" 26# Deck Tally'!C72</f>
        <v>33.82</v>
      </c>
      <c r="G88" s="18">
        <f t="shared" si="11"/>
        <v>33.421999999999997</v>
      </c>
      <c r="H88" s="18" t="s">
        <v>9</v>
      </c>
      <c r="I88" s="18">
        <f t="shared" si="7"/>
        <v>2316.7999999999997</v>
      </c>
      <c r="J88" s="18">
        <f t="shared" si="8"/>
        <v>11455.062500000002</v>
      </c>
      <c r="K88" s="216">
        <f t="shared" si="9"/>
        <v>177.74482872421697</v>
      </c>
      <c r="L88" s="197"/>
      <c r="M88" s="173"/>
      <c r="Q88" s="377">
        <f t="shared" si="12"/>
        <v>252</v>
      </c>
      <c r="R88" s="350">
        <v>33.82</v>
      </c>
      <c r="S88" s="351" t="str">
        <f t="shared" si="10"/>
        <v>OK</v>
      </c>
    </row>
    <row r="89" spans="1:19" s="17" customFormat="1" ht="12.95" customHeight="1">
      <c r="A89" s="497">
        <f t="shared" si="13"/>
        <v>72</v>
      </c>
      <c r="B89" s="540" t="s">
        <v>98</v>
      </c>
      <c r="C89" s="541"/>
      <c r="D89" s="542"/>
      <c r="E89" s="211">
        <f>'7" 26# Deck Tally'!B73</f>
        <v>251</v>
      </c>
      <c r="F89" s="347">
        <f>'7" 26# Deck Tally'!C73</f>
        <v>33.61</v>
      </c>
      <c r="G89" s="18">
        <f t="shared" si="11"/>
        <v>33.211999999999996</v>
      </c>
      <c r="H89" s="18" t="s">
        <v>9</v>
      </c>
      <c r="I89" s="18">
        <f t="shared" si="7"/>
        <v>2350.0119999999997</v>
      </c>
      <c r="J89" s="18">
        <f t="shared" si="8"/>
        <v>11421.8505</v>
      </c>
      <c r="K89" s="216">
        <f t="shared" si="9"/>
        <v>178.45793527272727</v>
      </c>
      <c r="L89" s="196"/>
      <c r="M89" s="173"/>
      <c r="Q89" s="377">
        <f t="shared" si="12"/>
        <v>251</v>
      </c>
      <c r="R89" s="350">
        <v>33.61</v>
      </c>
      <c r="S89" s="351" t="str">
        <f t="shared" si="10"/>
        <v>OK</v>
      </c>
    </row>
    <row r="90" spans="1:19" s="17" customFormat="1" ht="12.95" customHeight="1">
      <c r="A90" s="497">
        <f t="shared" si="13"/>
        <v>73</v>
      </c>
      <c r="B90" s="540" t="s">
        <v>98</v>
      </c>
      <c r="C90" s="541"/>
      <c r="D90" s="542"/>
      <c r="E90" s="211">
        <f>'7" 26# Deck Tally'!B74</f>
        <v>250</v>
      </c>
      <c r="F90" s="347">
        <f>'7" 26# Deck Tally'!C74</f>
        <v>33.450000000000003</v>
      </c>
      <c r="G90" s="18">
        <f t="shared" si="11"/>
        <v>33.052</v>
      </c>
      <c r="H90" s="18" t="s">
        <v>9</v>
      </c>
      <c r="I90" s="18">
        <f t="shared" si="7"/>
        <v>2383.0639999999999</v>
      </c>
      <c r="J90" s="18">
        <f t="shared" si="8"/>
        <v>11388.798500000001</v>
      </c>
      <c r="K90" s="216">
        <f t="shared" si="9"/>
        <v>179.16760640488923</v>
      </c>
      <c r="L90" s="197"/>
      <c r="M90" s="173"/>
      <c r="N90" s="24"/>
      <c r="O90" s="24"/>
      <c r="P90" s="24"/>
      <c r="Q90" s="377">
        <f t="shared" si="12"/>
        <v>250</v>
      </c>
      <c r="R90" s="350">
        <v>33.450000000000003</v>
      </c>
      <c r="S90" s="351" t="str">
        <f t="shared" si="10"/>
        <v>OK</v>
      </c>
    </row>
    <row r="91" spans="1:19" s="17" customFormat="1" ht="12.95" customHeight="1">
      <c r="A91" s="497">
        <f t="shared" si="13"/>
        <v>74</v>
      </c>
      <c r="B91" s="540" t="s">
        <v>98</v>
      </c>
      <c r="C91" s="541"/>
      <c r="D91" s="542"/>
      <c r="E91" s="211">
        <f>'7" 26# Deck Tally'!B75</f>
        <v>249</v>
      </c>
      <c r="F91" s="347">
        <f>'7" 26# Deck Tally'!C75</f>
        <v>33.68</v>
      </c>
      <c r="G91" s="18">
        <f t="shared" si="11"/>
        <v>33.281999999999996</v>
      </c>
      <c r="H91" s="18" t="s">
        <v>9</v>
      </c>
      <c r="I91" s="18">
        <f t="shared" si="7"/>
        <v>2416.346</v>
      </c>
      <c r="J91" s="18">
        <f t="shared" si="8"/>
        <v>11355.516500000002</v>
      </c>
      <c r="K91" s="216">
        <f t="shared" si="9"/>
        <v>179.88221594805196</v>
      </c>
      <c r="L91" s="196"/>
      <c r="M91" s="173"/>
      <c r="Q91" s="377">
        <f t="shared" si="12"/>
        <v>249</v>
      </c>
      <c r="R91" s="350">
        <v>33.68</v>
      </c>
      <c r="S91" s="351" t="str">
        <f t="shared" si="10"/>
        <v>OK</v>
      </c>
    </row>
    <row r="92" spans="1:19" s="17" customFormat="1" ht="12.95" customHeight="1">
      <c r="A92" s="497">
        <f t="shared" si="13"/>
        <v>75</v>
      </c>
      <c r="B92" s="540" t="s">
        <v>98</v>
      </c>
      <c r="C92" s="541"/>
      <c r="D92" s="542"/>
      <c r="E92" s="211">
        <f>'7" 26# Deck Tally'!B76</f>
        <v>248</v>
      </c>
      <c r="F92" s="347">
        <f>'7" 26# Deck Tally'!C76</f>
        <v>33.24</v>
      </c>
      <c r="G92" s="18">
        <f t="shared" si="11"/>
        <v>32.841999999999999</v>
      </c>
      <c r="H92" s="18" t="s">
        <v>9</v>
      </c>
      <c r="I92" s="18">
        <f t="shared" si="7"/>
        <v>2449.1880000000001</v>
      </c>
      <c r="J92" s="18">
        <f t="shared" si="8"/>
        <v>11322.674500000001</v>
      </c>
      <c r="K92" s="216">
        <f t="shared" si="9"/>
        <v>180.58737809625669</v>
      </c>
      <c r="L92" s="360"/>
      <c r="M92" s="200"/>
      <c r="Q92" s="377">
        <f t="shared" si="12"/>
        <v>248</v>
      </c>
      <c r="R92" s="350">
        <v>33.24</v>
      </c>
      <c r="S92" s="351" t="str">
        <f t="shared" si="10"/>
        <v>OK</v>
      </c>
    </row>
    <row r="93" spans="1:19" s="17" customFormat="1" ht="12.95" customHeight="1">
      <c r="A93" s="497">
        <f t="shared" si="13"/>
        <v>76</v>
      </c>
      <c r="B93" s="540" t="s">
        <v>98</v>
      </c>
      <c r="C93" s="541"/>
      <c r="D93" s="542"/>
      <c r="E93" s="211">
        <f>'7" 26# Deck Tally'!B77</f>
        <v>247</v>
      </c>
      <c r="F93" s="347">
        <f>'7" 26# Deck Tally'!C77</f>
        <v>31</v>
      </c>
      <c r="G93" s="18">
        <f t="shared" si="11"/>
        <v>30.602</v>
      </c>
      <c r="H93" s="18" t="s">
        <v>9</v>
      </c>
      <c r="I93" s="18">
        <f t="shared" si="7"/>
        <v>2479.79</v>
      </c>
      <c r="J93" s="18">
        <f t="shared" si="8"/>
        <v>11292.072500000002</v>
      </c>
      <c r="K93" s="216">
        <f t="shared" si="9"/>
        <v>181.24444441558441</v>
      </c>
      <c r="L93" s="360"/>
      <c r="M93" s="200"/>
      <c r="Q93" s="377">
        <f t="shared" si="12"/>
        <v>247</v>
      </c>
      <c r="R93" s="350">
        <v>31</v>
      </c>
      <c r="S93" s="351" t="str">
        <f t="shared" si="10"/>
        <v>OK</v>
      </c>
    </row>
    <row r="94" spans="1:19" s="17" customFormat="1" ht="12.95" customHeight="1">
      <c r="A94" s="497">
        <f t="shared" si="13"/>
        <v>77</v>
      </c>
      <c r="B94" s="540" t="s">
        <v>98</v>
      </c>
      <c r="C94" s="541"/>
      <c r="D94" s="542"/>
      <c r="E94" s="211">
        <f>'7" 26# Deck Tally'!B78</f>
        <v>246</v>
      </c>
      <c r="F94" s="347">
        <f>'7" 26# Deck Tally'!C78</f>
        <v>33.76</v>
      </c>
      <c r="G94" s="18">
        <f t="shared" si="11"/>
        <v>33.361999999999995</v>
      </c>
      <c r="H94" s="18" t="s">
        <v>9</v>
      </c>
      <c r="I94" s="18">
        <f t="shared" si="7"/>
        <v>2513.152</v>
      </c>
      <c r="J94" s="18">
        <f t="shared" si="8"/>
        <v>11258.710500000001</v>
      </c>
      <c r="K94" s="216">
        <f t="shared" si="9"/>
        <v>181.96077166692132</v>
      </c>
      <c r="L94" s="360"/>
      <c r="M94" s="200"/>
      <c r="Q94" s="377">
        <f t="shared" si="12"/>
        <v>246</v>
      </c>
      <c r="R94" s="350">
        <v>33.76</v>
      </c>
      <c r="S94" s="351" t="str">
        <f t="shared" si="10"/>
        <v>OK</v>
      </c>
    </row>
    <row r="95" spans="1:19" s="17" customFormat="1">
      <c r="A95" s="497">
        <f t="shared" si="13"/>
        <v>78</v>
      </c>
      <c r="B95" s="540" t="s">
        <v>98</v>
      </c>
      <c r="C95" s="541"/>
      <c r="D95" s="542"/>
      <c r="E95" s="211">
        <f>'7" 26# Deck Tally'!B79</f>
        <v>245</v>
      </c>
      <c r="F95" s="347">
        <f>'7" 26# Deck Tally'!C79</f>
        <v>33.74</v>
      </c>
      <c r="G95" s="18">
        <f t="shared" si="11"/>
        <v>33.341999999999999</v>
      </c>
      <c r="H95" s="18" t="s">
        <v>9</v>
      </c>
      <c r="I95" s="18">
        <f t="shared" si="7"/>
        <v>2546.4940000000001</v>
      </c>
      <c r="J95" s="18">
        <f t="shared" si="8"/>
        <v>11225.3685</v>
      </c>
      <c r="K95" s="216">
        <f t="shared" si="9"/>
        <v>182.67666949121468</v>
      </c>
      <c r="L95" s="360"/>
      <c r="M95" s="200"/>
      <c r="N95" s="24"/>
      <c r="O95" s="24"/>
      <c r="P95" s="24"/>
      <c r="Q95" s="377">
        <f t="shared" si="12"/>
        <v>245</v>
      </c>
      <c r="R95" s="350">
        <v>33.74</v>
      </c>
      <c r="S95" s="351" t="str">
        <f t="shared" si="10"/>
        <v>OK</v>
      </c>
    </row>
    <row r="96" spans="1:19" s="17" customFormat="1">
      <c r="A96" s="497">
        <f t="shared" si="13"/>
        <v>79</v>
      </c>
      <c r="B96" s="540" t="s">
        <v>98</v>
      </c>
      <c r="C96" s="541"/>
      <c r="D96" s="542"/>
      <c r="E96" s="211">
        <f>'7" 26# Deck Tally'!B80</f>
        <v>244</v>
      </c>
      <c r="F96" s="347">
        <f>'7" 26# Deck Tally'!C80</f>
        <v>33.94</v>
      </c>
      <c r="G96" s="18">
        <f t="shared" si="11"/>
        <v>33.541999999999994</v>
      </c>
      <c r="H96" s="18" t="s">
        <v>9</v>
      </c>
      <c r="I96" s="18">
        <f t="shared" si="7"/>
        <v>2580.0360000000001</v>
      </c>
      <c r="J96" s="18">
        <f t="shared" si="8"/>
        <v>11191.826500000001</v>
      </c>
      <c r="K96" s="216">
        <f t="shared" si="9"/>
        <v>183.39686158594347</v>
      </c>
      <c r="L96" s="360"/>
      <c r="M96" s="200"/>
      <c r="Q96" s="377">
        <f t="shared" si="12"/>
        <v>244</v>
      </c>
      <c r="R96" s="350">
        <v>33.94</v>
      </c>
      <c r="S96" s="351" t="str">
        <f t="shared" si="10"/>
        <v>OK</v>
      </c>
    </row>
    <row r="97" spans="1:19" s="17" customFormat="1">
      <c r="A97" s="497">
        <f t="shared" si="13"/>
        <v>80</v>
      </c>
      <c r="B97" s="540" t="s">
        <v>98</v>
      </c>
      <c r="C97" s="541"/>
      <c r="D97" s="542"/>
      <c r="E97" s="211">
        <f>'7" 26# Deck Tally'!B81</f>
        <v>243</v>
      </c>
      <c r="F97" s="347">
        <f>'7" 26# Deck Tally'!C81</f>
        <v>33.520000000000003</v>
      </c>
      <c r="G97" s="18">
        <f t="shared" si="11"/>
        <v>33.122</v>
      </c>
      <c r="H97" s="18" t="s">
        <v>9</v>
      </c>
      <c r="I97" s="18">
        <f t="shared" si="7"/>
        <v>2613.1579999999999</v>
      </c>
      <c r="J97" s="18">
        <f t="shared" si="8"/>
        <v>11158.704500000002</v>
      </c>
      <c r="K97" s="216">
        <f t="shared" si="9"/>
        <v>184.10803571275784</v>
      </c>
      <c r="L97" s="360"/>
      <c r="M97" s="200"/>
      <c r="Q97" s="377">
        <f t="shared" si="12"/>
        <v>243</v>
      </c>
      <c r="R97" s="350">
        <v>33.520000000000003</v>
      </c>
      <c r="S97" s="351" t="str">
        <f t="shared" si="10"/>
        <v>OK</v>
      </c>
    </row>
    <row r="98" spans="1:19" s="17" customFormat="1">
      <c r="A98" s="497">
        <f t="shared" si="13"/>
        <v>81</v>
      </c>
      <c r="B98" s="540" t="s">
        <v>98</v>
      </c>
      <c r="C98" s="541"/>
      <c r="D98" s="542"/>
      <c r="E98" s="211">
        <f>'7" 26# Deck Tally'!B82</f>
        <v>242</v>
      </c>
      <c r="F98" s="347">
        <f>'7" 26# Deck Tally'!C82</f>
        <v>33.71</v>
      </c>
      <c r="G98" s="18">
        <f t="shared" si="11"/>
        <v>33.311999999999998</v>
      </c>
      <c r="H98" s="18" t="s">
        <v>9</v>
      </c>
      <c r="I98" s="18">
        <f t="shared" si="7"/>
        <v>2646.47</v>
      </c>
      <c r="J98" s="18">
        <f t="shared" si="8"/>
        <v>11125.392500000002</v>
      </c>
      <c r="K98" s="216">
        <f t="shared" si="9"/>
        <v>184.82328939648588</v>
      </c>
      <c r="L98" s="360"/>
      <c r="M98" s="200"/>
      <c r="Q98" s="377">
        <f t="shared" si="12"/>
        <v>242</v>
      </c>
      <c r="R98" s="350">
        <v>33.71</v>
      </c>
      <c r="S98" s="351" t="str">
        <f t="shared" si="10"/>
        <v>OK</v>
      </c>
    </row>
    <row r="99" spans="1:19" s="17" customFormat="1">
      <c r="A99" s="497">
        <f t="shared" si="13"/>
        <v>82</v>
      </c>
      <c r="B99" s="540" t="s">
        <v>98</v>
      </c>
      <c r="C99" s="541"/>
      <c r="D99" s="542"/>
      <c r="E99" s="211">
        <f>'7" 26# Deck Tally'!B83</f>
        <v>241</v>
      </c>
      <c r="F99" s="347">
        <f>'7" 26# Deck Tally'!C83</f>
        <v>33.71</v>
      </c>
      <c r="G99" s="18">
        <f t="shared" si="11"/>
        <v>33.311999999999998</v>
      </c>
      <c r="H99" s="18" t="s">
        <v>9</v>
      </c>
      <c r="I99" s="18">
        <f t="shared" si="7"/>
        <v>2679.7819999999997</v>
      </c>
      <c r="J99" s="18">
        <f t="shared" si="8"/>
        <v>11092.080500000002</v>
      </c>
      <c r="K99" s="216">
        <f t="shared" si="9"/>
        <v>185.53854308021391</v>
      </c>
      <c r="L99" s="360"/>
      <c r="M99" s="200"/>
      <c r="Q99" s="377">
        <f t="shared" si="12"/>
        <v>241</v>
      </c>
      <c r="R99" s="350">
        <v>33.71</v>
      </c>
      <c r="S99" s="351" t="str">
        <f t="shared" si="10"/>
        <v>OK</v>
      </c>
    </row>
    <row r="100" spans="1:19" s="17" customFormat="1">
      <c r="A100" s="497">
        <f t="shared" si="13"/>
        <v>83</v>
      </c>
      <c r="B100" s="540" t="s">
        <v>98</v>
      </c>
      <c r="C100" s="541"/>
      <c r="D100" s="542"/>
      <c r="E100" s="211">
        <f>'7" 26# Deck Tally'!B84</f>
        <v>240</v>
      </c>
      <c r="F100" s="347">
        <f>'7" 26# Deck Tally'!C84</f>
        <v>33.159999999999997</v>
      </c>
      <c r="G100" s="18">
        <f t="shared" si="11"/>
        <v>32.761999999999993</v>
      </c>
      <c r="H100" s="18" t="s">
        <v>9</v>
      </c>
      <c r="I100" s="18">
        <f t="shared" si="7"/>
        <v>2712.5439999999999</v>
      </c>
      <c r="J100" s="18">
        <f t="shared" si="8"/>
        <v>11059.318500000001</v>
      </c>
      <c r="K100" s="216">
        <f t="shared" si="9"/>
        <v>186.24198752024446</v>
      </c>
      <c r="L100" s="360"/>
      <c r="M100" s="200"/>
      <c r="N100" s="24"/>
      <c r="O100" s="24"/>
      <c r="P100" s="24"/>
      <c r="Q100" s="377">
        <f t="shared" si="12"/>
        <v>240</v>
      </c>
      <c r="R100" s="350">
        <v>33.159999999999997</v>
      </c>
      <c r="S100" s="351" t="str">
        <f t="shared" si="10"/>
        <v>OK</v>
      </c>
    </row>
    <row r="101" spans="1:19" s="17" customFormat="1">
      <c r="A101" s="497">
        <f t="shared" si="13"/>
        <v>84</v>
      </c>
      <c r="B101" s="540" t="s">
        <v>98</v>
      </c>
      <c r="C101" s="541"/>
      <c r="D101" s="542"/>
      <c r="E101" s="211">
        <f>'7" 26# Deck Tally'!B85</f>
        <v>239</v>
      </c>
      <c r="F101" s="347">
        <f>'7" 26# Deck Tally'!C85</f>
        <v>33.65</v>
      </c>
      <c r="G101" s="18">
        <f t="shared" si="11"/>
        <v>33.251999999999995</v>
      </c>
      <c r="H101" s="18" t="s">
        <v>9</v>
      </c>
      <c r="I101" s="18">
        <f t="shared" si="7"/>
        <v>2745.7959999999998</v>
      </c>
      <c r="J101" s="18">
        <f t="shared" si="8"/>
        <v>11026.066500000001</v>
      </c>
      <c r="K101" s="216">
        <f t="shared" si="9"/>
        <v>186.95595292284185</v>
      </c>
      <c r="L101" s="360"/>
      <c r="M101" s="200"/>
      <c r="Q101" s="377">
        <f t="shared" si="12"/>
        <v>239</v>
      </c>
      <c r="R101" s="350">
        <v>33.65</v>
      </c>
      <c r="S101" s="351" t="str">
        <f t="shared" si="10"/>
        <v>OK</v>
      </c>
    </row>
    <row r="102" spans="1:19" s="17" customFormat="1">
      <c r="A102" s="497">
        <f t="shared" si="13"/>
        <v>85</v>
      </c>
      <c r="B102" s="540" t="s">
        <v>98</v>
      </c>
      <c r="C102" s="541"/>
      <c r="D102" s="542"/>
      <c r="E102" s="211">
        <f>'7" 26# Deck Tally'!B86</f>
        <v>238</v>
      </c>
      <c r="F102" s="347">
        <f>'7" 26# Deck Tally'!C86</f>
        <v>33.590000000000003</v>
      </c>
      <c r="G102" s="18">
        <f t="shared" si="11"/>
        <v>33.192</v>
      </c>
      <c r="H102" s="18" t="s">
        <v>9</v>
      </c>
      <c r="I102" s="18">
        <f t="shared" si="7"/>
        <v>2778.9879999999998</v>
      </c>
      <c r="J102" s="18">
        <f t="shared" si="8"/>
        <v>10992.874500000002</v>
      </c>
      <c r="K102" s="216">
        <f t="shared" si="9"/>
        <v>187.66863004430863</v>
      </c>
      <c r="L102" s="253"/>
      <c r="M102" s="200"/>
      <c r="Q102" s="377">
        <f t="shared" si="12"/>
        <v>238</v>
      </c>
      <c r="R102" s="350">
        <v>33.590000000000003</v>
      </c>
      <c r="S102" s="351" t="str">
        <f t="shared" si="10"/>
        <v>OK</v>
      </c>
    </row>
    <row r="103" spans="1:19" s="17" customFormat="1">
      <c r="A103" s="497">
        <f t="shared" si="13"/>
        <v>86</v>
      </c>
      <c r="B103" s="540" t="s">
        <v>98</v>
      </c>
      <c r="C103" s="541"/>
      <c r="D103" s="542"/>
      <c r="E103" s="211">
        <f>'7" 26# Deck Tally'!B87</f>
        <v>237</v>
      </c>
      <c r="F103" s="347">
        <f>'7" 26# Deck Tally'!C87</f>
        <v>33.69</v>
      </c>
      <c r="G103" s="18">
        <f t="shared" si="11"/>
        <v>33.291999999999994</v>
      </c>
      <c r="H103" s="18" t="s">
        <v>9</v>
      </c>
      <c r="I103" s="18">
        <f t="shared" si="7"/>
        <v>2812.2799999999997</v>
      </c>
      <c r="J103" s="18">
        <f t="shared" si="8"/>
        <v>10959.5825</v>
      </c>
      <c r="K103" s="216">
        <f t="shared" si="9"/>
        <v>188.38345430099312</v>
      </c>
      <c r="L103" s="253"/>
      <c r="M103" s="200"/>
      <c r="Q103" s="377">
        <f t="shared" si="12"/>
        <v>237</v>
      </c>
      <c r="R103" s="350">
        <v>33.69</v>
      </c>
      <c r="S103" s="351" t="str">
        <f t="shared" si="10"/>
        <v>OK</v>
      </c>
    </row>
    <row r="104" spans="1:19" s="17" customFormat="1">
      <c r="A104" s="497">
        <f t="shared" si="13"/>
        <v>87</v>
      </c>
      <c r="B104" s="540" t="s">
        <v>98</v>
      </c>
      <c r="C104" s="541"/>
      <c r="D104" s="542"/>
      <c r="E104" s="211">
        <f>'7" 26# Deck Tally'!B88</f>
        <v>236</v>
      </c>
      <c r="F104" s="347">
        <f>'7" 26# Deck Tally'!C88</f>
        <v>33.74</v>
      </c>
      <c r="G104" s="18">
        <f t="shared" si="11"/>
        <v>33.341999999999999</v>
      </c>
      <c r="H104" s="18" t="s">
        <v>9</v>
      </c>
      <c r="I104" s="18">
        <f t="shared" si="7"/>
        <v>2845.6219999999998</v>
      </c>
      <c r="J104" s="18">
        <f t="shared" si="8"/>
        <v>10926.240500000002</v>
      </c>
      <c r="K104" s="216">
        <f t="shared" si="9"/>
        <v>189.09935212528649</v>
      </c>
      <c r="L104" s="253"/>
      <c r="M104" s="200"/>
      <c r="Q104" s="377">
        <f t="shared" si="12"/>
        <v>236</v>
      </c>
      <c r="R104" s="350">
        <v>33.74</v>
      </c>
      <c r="S104" s="351" t="str">
        <f t="shared" si="10"/>
        <v>OK</v>
      </c>
    </row>
    <row r="105" spans="1:19" s="17" customFormat="1">
      <c r="A105" s="497">
        <f t="shared" si="13"/>
        <v>88</v>
      </c>
      <c r="B105" s="540" t="s">
        <v>98</v>
      </c>
      <c r="C105" s="541"/>
      <c r="D105" s="542"/>
      <c r="E105" s="211">
        <f>'7" 26# Deck Tally'!B89</f>
        <v>235</v>
      </c>
      <c r="F105" s="347">
        <f>'7" 26# Deck Tally'!C89</f>
        <v>32.51</v>
      </c>
      <c r="G105" s="18">
        <f t="shared" si="11"/>
        <v>32.111999999999995</v>
      </c>
      <c r="H105" s="18" t="s">
        <v>9</v>
      </c>
      <c r="I105" s="18">
        <f t="shared" si="7"/>
        <v>2877.7339999999999</v>
      </c>
      <c r="J105" s="18">
        <f t="shared" si="8"/>
        <v>10894.128500000001</v>
      </c>
      <c r="K105" s="216">
        <f t="shared" si="9"/>
        <v>189.78884018640184</v>
      </c>
      <c r="L105" s="360"/>
      <c r="M105" s="200"/>
      <c r="Q105" s="377">
        <f t="shared" si="12"/>
        <v>235</v>
      </c>
      <c r="R105" s="350">
        <v>32.51</v>
      </c>
      <c r="S105" s="351" t="str">
        <f t="shared" si="10"/>
        <v>OK</v>
      </c>
    </row>
    <row r="106" spans="1:19" s="17" customFormat="1">
      <c r="A106" s="497">
        <f t="shared" si="13"/>
        <v>89</v>
      </c>
      <c r="B106" s="540" t="s">
        <v>98</v>
      </c>
      <c r="C106" s="541"/>
      <c r="D106" s="542"/>
      <c r="E106" s="211">
        <f>'7" 26# Deck Tally'!B90</f>
        <v>234</v>
      </c>
      <c r="F106" s="347">
        <f>'7" 26# Deck Tally'!C90</f>
        <v>33.44</v>
      </c>
      <c r="G106" s="18">
        <f t="shared" si="11"/>
        <v>33.041999999999994</v>
      </c>
      <c r="H106" s="18" t="s">
        <v>9</v>
      </c>
      <c r="I106" s="18">
        <f t="shared" si="7"/>
        <v>2910.7759999999998</v>
      </c>
      <c r="J106" s="18">
        <f t="shared" si="8"/>
        <v>10861.086500000001</v>
      </c>
      <c r="K106" s="216">
        <f t="shared" si="9"/>
        <v>190.49829660504201</v>
      </c>
      <c r="L106" s="360"/>
      <c r="M106" s="200"/>
      <c r="Q106" s="377">
        <f t="shared" si="12"/>
        <v>234</v>
      </c>
      <c r="R106" s="350">
        <v>33.44</v>
      </c>
      <c r="S106" s="351" t="str">
        <f t="shared" si="10"/>
        <v>OK</v>
      </c>
    </row>
    <row r="107" spans="1:19" s="17" customFormat="1">
      <c r="A107" s="497">
        <f t="shared" si="13"/>
        <v>90</v>
      </c>
      <c r="B107" s="540" t="s">
        <v>98</v>
      </c>
      <c r="C107" s="541"/>
      <c r="D107" s="542"/>
      <c r="E107" s="211">
        <f>'7" 26# Deck Tally'!B91</f>
        <v>233</v>
      </c>
      <c r="F107" s="347">
        <f>'7" 26# Deck Tally'!C91</f>
        <v>33.68</v>
      </c>
      <c r="G107" s="18">
        <f t="shared" si="11"/>
        <v>33.281999999999996</v>
      </c>
      <c r="H107" s="18" t="s">
        <v>9</v>
      </c>
      <c r="I107" s="18">
        <f t="shared" si="7"/>
        <v>2944.058</v>
      </c>
      <c r="J107" s="18">
        <f t="shared" si="8"/>
        <v>10827.804500000002</v>
      </c>
      <c r="K107" s="216">
        <f t="shared" si="9"/>
        <v>191.21290614820475</v>
      </c>
      <c r="L107" s="360"/>
      <c r="M107" s="200"/>
      <c r="Q107" s="377">
        <f t="shared" si="12"/>
        <v>233</v>
      </c>
      <c r="R107" s="350">
        <v>33.68</v>
      </c>
      <c r="S107" s="351" t="str">
        <f t="shared" si="10"/>
        <v>OK</v>
      </c>
    </row>
    <row r="108" spans="1:19" s="17" customFormat="1">
      <c r="A108" s="497">
        <f t="shared" si="13"/>
        <v>91</v>
      </c>
      <c r="B108" s="540" t="s">
        <v>98</v>
      </c>
      <c r="C108" s="541"/>
      <c r="D108" s="542"/>
      <c r="E108" s="211">
        <f>'7" 26# Deck Tally'!B92</f>
        <v>232</v>
      </c>
      <c r="F108" s="347">
        <f>'7" 26# Deck Tally'!C92</f>
        <v>33.94</v>
      </c>
      <c r="G108" s="18">
        <f t="shared" si="11"/>
        <v>33.541999999999994</v>
      </c>
      <c r="H108" s="18" t="s">
        <v>9</v>
      </c>
      <c r="I108" s="18">
        <f t="shared" si="7"/>
        <v>2977.6</v>
      </c>
      <c r="J108" s="18">
        <f t="shared" si="8"/>
        <v>10794.262500000001</v>
      </c>
      <c r="K108" s="216">
        <f t="shared" si="9"/>
        <v>191.93309824293354</v>
      </c>
      <c r="L108" s="360"/>
      <c r="M108" s="200"/>
      <c r="Q108" s="377">
        <f t="shared" si="12"/>
        <v>232</v>
      </c>
      <c r="R108" s="350">
        <v>33.94</v>
      </c>
      <c r="S108" s="351" t="str">
        <f t="shared" si="10"/>
        <v>OK</v>
      </c>
    </row>
    <row r="109" spans="1:19" s="17" customFormat="1" ht="12.95" customHeight="1">
      <c r="A109" s="497">
        <f t="shared" si="13"/>
        <v>92</v>
      </c>
      <c r="B109" s="540" t="s">
        <v>98</v>
      </c>
      <c r="C109" s="541"/>
      <c r="D109" s="542"/>
      <c r="E109" s="211">
        <f>'7" 26# Deck Tally'!B93</f>
        <v>231</v>
      </c>
      <c r="F109" s="347">
        <f>'7" 26# Deck Tally'!C93</f>
        <v>33.5</v>
      </c>
      <c r="G109" s="18">
        <f t="shared" si="11"/>
        <v>33.101999999999997</v>
      </c>
      <c r="H109" s="18" t="s">
        <v>9</v>
      </c>
      <c r="I109" s="18">
        <f t="shared" si="7"/>
        <v>3010.7019999999998</v>
      </c>
      <c r="J109" s="18">
        <f t="shared" si="8"/>
        <v>10761.160500000002</v>
      </c>
      <c r="K109" s="216">
        <f t="shared" si="9"/>
        <v>192.64384294270434</v>
      </c>
      <c r="L109" s="197"/>
      <c r="M109" s="173"/>
      <c r="Q109" s="377">
        <f t="shared" si="12"/>
        <v>231</v>
      </c>
      <c r="R109" s="350">
        <v>33.5</v>
      </c>
      <c r="S109" s="351" t="str">
        <f t="shared" si="10"/>
        <v>OK</v>
      </c>
    </row>
    <row r="110" spans="1:19" s="17" customFormat="1" ht="12.95" customHeight="1">
      <c r="A110" s="497">
        <f t="shared" si="13"/>
        <v>93</v>
      </c>
      <c r="B110" s="540" t="s">
        <v>98</v>
      </c>
      <c r="C110" s="541"/>
      <c r="D110" s="542"/>
      <c r="E110" s="211">
        <f>'7" 26# Deck Tally'!B94</f>
        <v>230</v>
      </c>
      <c r="F110" s="347">
        <f>'7" 26# Deck Tally'!C94</f>
        <v>33.92</v>
      </c>
      <c r="G110" s="18">
        <f t="shared" si="11"/>
        <v>33.521999999999998</v>
      </c>
      <c r="H110" s="18" t="s">
        <v>9</v>
      </c>
      <c r="I110" s="18">
        <f t="shared" si="7"/>
        <v>3044.2239999999997</v>
      </c>
      <c r="J110" s="18">
        <f t="shared" si="8"/>
        <v>10727.638500000001</v>
      </c>
      <c r="K110" s="216">
        <f t="shared" si="9"/>
        <v>193.36360561038958</v>
      </c>
      <c r="L110" s="197"/>
      <c r="M110" s="173"/>
      <c r="Q110" s="377">
        <f t="shared" si="12"/>
        <v>230</v>
      </c>
      <c r="R110" s="350">
        <v>33.92</v>
      </c>
      <c r="S110" s="351" t="str">
        <f t="shared" si="10"/>
        <v>OK</v>
      </c>
    </row>
    <row r="111" spans="1:19" s="17" customFormat="1" ht="12.95" customHeight="1">
      <c r="A111" s="497">
        <f t="shared" si="13"/>
        <v>94</v>
      </c>
      <c r="B111" s="540" t="s">
        <v>98</v>
      </c>
      <c r="C111" s="541"/>
      <c r="D111" s="542"/>
      <c r="E111" s="211">
        <f>'7" 26# Deck Tally'!B95</f>
        <v>229</v>
      </c>
      <c r="F111" s="347">
        <f>'7" 26# Deck Tally'!C95</f>
        <v>33.65</v>
      </c>
      <c r="G111" s="18">
        <f t="shared" si="11"/>
        <v>33.251999999999995</v>
      </c>
      <c r="H111" s="18" t="s">
        <v>9</v>
      </c>
      <c r="I111" s="18">
        <f t="shared" si="7"/>
        <v>3077.4759999999997</v>
      </c>
      <c r="J111" s="18">
        <f t="shared" si="8"/>
        <v>10694.386500000001</v>
      </c>
      <c r="K111" s="216">
        <f t="shared" si="9"/>
        <v>194.07757101298699</v>
      </c>
      <c r="L111" s="196"/>
      <c r="M111" s="173"/>
      <c r="Q111" s="377">
        <f t="shared" si="12"/>
        <v>229</v>
      </c>
      <c r="R111" s="350">
        <v>33.65</v>
      </c>
      <c r="S111" s="351" t="str">
        <f t="shared" si="10"/>
        <v>OK</v>
      </c>
    </row>
    <row r="112" spans="1:19" s="17" customFormat="1" ht="12.95" customHeight="1">
      <c r="A112" s="497">
        <f t="shared" si="13"/>
        <v>95</v>
      </c>
      <c r="B112" s="540" t="s">
        <v>98</v>
      </c>
      <c r="C112" s="541"/>
      <c r="D112" s="542"/>
      <c r="E112" s="211">
        <f>'7" 26# Deck Tally'!B96</f>
        <v>228</v>
      </c>
      <c r="F112" s="347">
        <f>'7" 26# Deck Tally'!C96</f>
        <v>33.94</v>
      </c>
      <c r="G112" s="18">
        <f t="shared" si="11"/>
        <v>33.541999999999994</v>
      </c>
      <c r="H112" s="18" t="s">
        <v>9</v>
      </c>
      <c r="I112" s="18">
        <f t="shared" si="7"/>
        <v>3111.0179999999996</v>
      </c>
      <c r="J112" s="18">
        <f t="shared" si="8"/>
        <v>10660.844500000001</v>
      </c>
      <c r="K112" s="216">
        <f t="shared" si="9"/>
        <v>194.79776310771581</v>
      </c>
      <c r="L112" s="197"/>
      <c r="M112" s="173"/>
      <c r="N112" s="24"/>
      <c r="O112" s="24"/>
      <c r="P112" s="24"/>
      <c r="Q112" s="377">
        <f t="shared" si="12"/>
        <v>228</v>
      </c>
      <c r="R112" s="350">
        <v>33.94</v>
      </c>
      <c r="S112" s="351" t="str">
        <f t="shared" si="10"/>
        <v>OK</v>
      </c>
    </row>
    <row r="113" spans="1:19" s="17" customFormat="1" ht="12.95" customHeight="1">
      <c r="A113" s="497">
        <f t="shared" si="13"/>
        <v>96</v>
      </c>
      <c r="B113" s="540" t="s">
        <v>98</v>
      </c>
      <c r="C113" s="541"/>
      <c r="D113" s="542"/>
      <c r="E113" s="211">
        <f>'7" 26# Deck Tally'!B97</f>
        <v>227</v>
      </c>
      <c r="F113" s="347">
        <f>'7" 26# Deck Tally'!C97</f>
        <v>33.92</v>
      </c>
      <c r="G113" s="18">
        <f t="shared" si="11"/>
        <v>33.521999999999998</v>
      </c>
      <c r="H113" s="18" t="s">
        <v>9</v>
      </c>
      <c r="I113" s="18">
        <f t="shared" si="7"/>
        <v>3144.5399999999995</v>
      </c>
      <c r="J113" s="18">
        <f t="shared" si="8"/>
        <v>10627.322500000002</v>
      </c>
      <c r="K113" s="216">
        <f t="shared" si="9"/>
        <v>195.51752577540105</v>
      </c>
      <c r="L113" s="196"/>
      <c r="M113" s="173"/>
      <c r="Q113" s="377">
        <f t="shared" si="12"/>
        <v>227</v>
      </c>
      <c r="R113" s="350">
        <v>33.92</v>
      </c>
      <c r="S113" s="351" t="str">
        <f t="shared" si="10"/>
        <v>OK</v>
      </c>
    </row>
    <row r="114" spans="1:19" s="17" customFormat="1" ht="12.95" customHeight="1">
      <c r="A114" s="497">
        <f t="shared" si="13"/>
        <v>97</v>
      </c>
      <c r="B114" s="540" t="s">
        <v>98</v>
      </c>
      <c r="C114" s="541"/>
      <c r="D114" s="542"/>
      <c r="E114" s="211">
        <f>'7" 26# Deck Tally'!B98</f>
        <v>226</v>
      </c>
      <c r="F114" s="347">
        <f>'7" 26# Deck Tally'!C98</f>
        <v>33.299999999999997</v>
      </c>
      <c r="G114" s="18">
        <f t="shared" si="11"/>
        <v>32.901999999999994</v>
      </c>
      <c r="H114" s="18" t="s">
        <v>9</v>
      </c>
      <c r="I114" s="18">
        <f t="shared" si="7"/>
        <v>3177.4419999999996</v>
      </c>
      <c r="J114" s="18">
        <f t="shared" si="8"/>
        <v>10594.420500000002</v>
      </c>
      <c r="K114" s="216">
        <f t="shared" si="9"/>
        <v>196.22397620473643</v>
      </c>
      <c r="L114" s="360"/>
      <c r="M114" s="200"/>
      <c r="Q114" s="377">
        <f t="shared" si="12"/>
        <v>226</v>
      </c>
      <c r="R114" s="350">
        <v>33.299999999999997</v>
      </c>
      <c r="S114" s="351" t="str">
        <f t="shared" si="10"/>
        <v>OK</v>
      </c>
    </row>
    <row r="115" spans="1:19" s="17" customFormat="1" ht="12.95" customHeight="1">
      <c r="A115" s="497">
        <f t="shared" si="13"/>
        <v>98</v>
      </c>
      <c r="B115" s="540" t="s">
        <v>98</v>
      </c>
      <c r="C115" s="541"/>
      <c r="D115" s="542"/>
      <c r="E115" s="211">
        <f>'7" 26# Deck Tally'!B99</f>
        <v>225</v>
      </c>
      <c r="F115" s="347">
        <f>'7" 26# Deck Tally'!C99</f>
        <v>33.56</v>
      </c>
      <c r="G115" s="18">
        <f t="shared" si="11"/>
        <v>33.161999999999999</v>
      </c>
      <c r="H115" s="18" t="s">
        <v>9</v>
      </c>
      <c r="I115" s="18">
        <f t="shared" si="7"/>
        <v>3210.6039999999994</v>
      </c>
      <c r="J115" s="18">
        <f t="shared" si="8"/>
        <v>10561.258500000002</v>
      </c>
      <c r="K115" s="216">
        <f t="shared" si="9"/>
        <v>196.93600918563789</v>
      </c>
      <c r="L115" s="360"/>
      <c r="M115" s="200"/>
      <c r="Q115" s="377">
        <f t="shared" si="12"/>
        <v>225</v>
      </c>
      <c r="R115" s="350">
        <v>33.56</v>
      </c>
      <c r="S115" s="351" t="str">
        <f t="shared" si="10"/>
        <v>OK</v>
      </c>
    </row>
    <row r="116" spans="1:19" s="17" customFormat="1" ht="12.95" customHeight="1">
      <c r="A116" s="497">
        <f t="shared" si="13"/>
        <v>99</v>
      </c>
      <c r="B116" s="540" t="s">
        <v>98</v>
      </c>
      <c r="C116" s="541"/>
      <c r="D116" s="542"/>
      <c r="E116" s="211">
        <f>'7" 26# Deck Tally'!B100</f>
        <v>224</v>
      </c>
      <c r="F116" s="347">
        <f>'7" 26# Deck Tally'!C100</f>
        <v>33.840000000000003</v>
      </c>
      <c r="G116" s="18">
        <f t="shared" si="11"/>
        <v>33.442</v>
      </c>
      <c r="H116" s="18" t="s">
        <v>9</v>
      </c>
      <c r="I116" s="18">
        <f t="shared" si="7"/>
        <v>3244.0459999999994</v>
      </c>
      <c r="J116" s="18">
        <f t="shared" si="8"/>
        <v>10527.816500000001</v>
      </c>
      <c r="K116" s="216">
        <f t="shared" si="9"/>
        <v>197.65405414514896</v>
      </c>
      <c r="L116" s="360"/>
      <c r="M116" s="200"/>
      <c r="Q116" s="377">
        <f t="shared" si="12"/>
        <v>224</v>
      </c>
      <c r="R116" s="350">
        <v>33.840000000000003</v>
      </c>
      <c r="S116" s="351" t="str">
        <f t="shared" si="10"/>
        <v>OK</v>
      </c>
    </row>
    <row r="117" spans="1:19" s="17" customFormat="1">
      <c r="A117" s="497">
        <f t="shared" si="13"/>
        <v>100</v>
      </c>
      <c r="B117" s="540" t="s">
        <v>98</v>
      </c>
      <c r="C117" s="541"/>
      <c r="D117" s="542"/>
      <c r="E117" s="211">
        <f>'7" 26# Deck Tally'!B101</f>
        <v>223</v>
      </c>
      <c r="F117" s="347">
        <f>'7" 26# Deck Tally'!C101</f>
        <v>33.47</v>
      </c>
      <c r="G117" s="18">
        <f t="shared" si="11"/>
        <v>33.071999999999996</v>
      </c>
      <c r="H117" s="18" t="s">
        <v>9</v>
      </c>
      <c r="I117" s="18">
        <f t="shared" si="7"/>
        <v>3277.1179999999995</v>
      </c>
      <c r="J117" s="18">
        <f t="shared" si="8"/>
        <v>10494.744500000001</v>
      </c>
      <c r="K117" s="216">
        <f t="shared" si="9"/>
        <v>198.36415470435446</v>
      </c>
      <c r="L117" s="360"/>
      <c r="M117" s="200"/>
      <c r="N117" s="24"/>
      <c r="O117" s="24"/>
      <c r="P117" s="24"/>
      <c r="Q117" s="377">
        <f t="shared" si="12"/>
        <v>223</v>
      </c>
      <c r="R117" s="350">
        <v>33.47</v>
      </c>
      <c r="S117" s="351" t="str">
        <f t="shared" si="10"/>
        <v>OK</v>
      </c>
    </row>
    <row r="118" spans="1:19" s="17" customFormat="1">
      <c r="A118" s="497">
        <f t="shared" si="13"/>
        <v>101</v>
      </c>
      <c r="B118" s="540" t="s">
        <v>98</v>
      </c>
      <c r="C118" s="541"/>
      <c r="D118" s="542"/>
      <c r="E118" s="211">
        <f>'7" 26# Deck Tally'!B102</f>
        <v>222</v>
      </c>
      <c r="F118" s="347">
        <f>'7" 26# Deck Tally'!C102</f>
        <v>33.950000000000003</v>
      </c>
      <c r="G118" s="18">
        <f t="shared" si="11"/>
        <v>33.552</v>
      </c>
      <c r="H118" s="18" t="s">
        <v>9</v>
      </c>
      <c r="I118" s="18">
        <f t="shared" si="7"/>
        <v>3310.6699999999996</v>
      </c>
      <c r="J118" s="18">
        <f t="shared" si="8"/>
        <v>10461.192500000001</v>
      </c>
      <c r="K118" s="216">
        <f t="shared" si="9"/>
        <v>199.08456151260503</v>
      </c>
      <c r="L118" s="360"/>
      <c r="M118" s="200"/>
      <c r="Q118" s="377">
        <f t="shared" si="12"/>
        <v>222</v>
      </c>
      <c r="R118" s="350">
        <v>33.950000000000003</v>
      </c>
      <c r="S118" s="351" t="str">
        <f t="shared" si="10"/>
        <v>OK</v>
      </c>
    </row>
    <row r="119" spans="1:19" s="17" customFormat="1">
      <c r="A119" s="497">
        <f t="shared" si="13"/>
        <v>102</v>
      </c>
      <c r="B119" s="540" t="s">
        <v>98</v>
      </c>
      <c r="C119" s="541"/>
      <c r="D119" s="542"/>
      <c r="E119" s="211">
        <f>'7" 26# Deck Tally'!B103</f>
        <v>221</v>
      </c>
      <c r="F119" s="347">
        <f>'7" 26# Deck Tally'!C103</f>
        <v>33.880000000000003</v>
      </c>
      <c r="G119" s="18">
        <f t="shared" si="11"/>
        <v>33.481999999999999</v>
      </c>
      <c r="H119" s="18" t="s">
        <v>9</v>
      </c>
      <c r="I119" s="18">
        <f t="shared" si="7"/>
        <v>3344.1519999999996</v>
      </c>
      <c r="J119" s="18">
        <f t="shared" si="8"/>
        <v>10427.710500000001</v>
      </c>
      <c r="K119" s="216">
        <f t="shared" si="9"/>
        <v>199.8034653262032</v>
      </c>
      <c r="L119" s="565"/>
      <c r="M119" s="566"/>
      <c r="Q119" s="377">
        <f t="shared" si="12"/>
        <v>221</v>
      </c>
      <c r="R119" s="350">
        <v>33.880000000000003</v>
      </c>
      <c r="S119" s="351" t="str">
        <f t="shared" si="10"/>
        <v>OK</v>
      </c>
    </row>
    <row r="120" spans="1:19" s="17" customFormat="1">
      <c r="A120" s="497">
        <f t="shared" si="13"/>
        <v>103</v>
      </c>
      <c r="B120" s="540" t="s">
        <v>98</v>
      </c>
      <c r="C120" s="541"/>
      <c r="D120" s="542"/>
      <c r="E120" s="211">
        <f>'7" 26# Deck Tally'!B104</f>
        <v>220</v>
      </c>
      <c r="F120" s="347">
        <f>'7" 26# Deck Tally'!C104</f>
        <v>33.86</v>
      </c>
      <c r="G120" s="18">
        <f t="shared" si="11"/>
        <v>33.461999999999996</v>
      </c>
      <c r="H120" s="18" t="s">
        <v>9</v>
      </c>
      <c r="I120" s="18">
        <f t="shared" si="7"/>
        <v>3377.6139999999996</v>
      </c>
      <c r="J120" s="18">
        <f t="shared" si="8"/>
        <v>10394.248500000002</v>
      </c>
      <c r="K120" s="216">
        <f t="shared" si="9"/>
        <v>200.52193971275784</v>
      </c>
      <c r="L120" s="360"/>
      <c r="M120" s="200"/>
      <c r="Q120" s="377">
        <f t="shared" si="12"/>
        <v>220</v>
      </c>
      <c r="R120" s="350">
        <v>33.86</v>
      </c>
      <c r="S120" s="351" t="str">
        <f t="shared" si="10"/>
        <v>OK</v>
      </c>
    </row>
    <row r="121" spans="1:19" s="17" customFormat="1">
      <c r="A121" s="497">
        <f t="shared" si="13"/>
        <v>104</v>
      </c>
      <c r="B121" s="540" t="s">
        <v>98</v>
      </c>
      <c r="C121" s="541"/>
      <c r="D121" s="542"/>
      <c r="E121" s="211">
        <f>'7" 26# Deck Tally'!B105</f>
        <v>219</v>
      </c>
      <c r="F121" s="347">
        <f>'7" 26# Deck Tally'!C105</f>
        <v>31.14</v>
      </c>
      <c r="G121" s="18">
        <f t="shared" si="11"/>
        <v>30.742000000000001</v>
      </c>
      <c r="H121" s="18" t="s">
        <v>9</v>
      </c>
      <c r="I121" s="18">
        <f t="shared" si="7"/>
        <v>3408.3559999999998</v>
      </c>
      <c r="J121" s="18">
        <f t="shared" si="8"/>
        <v>10363.506500000001</v>
      </c>
      <c r="K121" s="216">
        <f t="shared" si="9"/>
        <v>201.18201202139039</v>
      </c>
      <c r="L121" s="360"/>
      <c r="M121" s="200"/>
      <c r="Q121" s="377">
        <f t="shared" si="12"/>
        <v>219</v>
      </c>
      <c r="R121" s="350">
        <v>31.14</v>
      </c>
      <c r="S121" s="351" t="str">
        <f t="shared" si="10"/>
        <v>OK</v>
      </c>
    </row>
    <row r="122" spans="1:19" s="17" customFormat="1">
      <c r="A122" s="497">
        <f t="shared" si="13"/>
        <v>105</v>
      </c>
      <c r="B122" s="540" t="s">
        <v>98</v>
      </c>
      <c r="C122" s="541"/>
      <c r="D122" s="542"/>
      <c r="E122" s="211">
        <f>'7" 26# Deck Tally'!B106</f>
        <v>218</v>
      </c>
      <c r="F122" s="347">
        <f>'7" 26# Deck Tally'!C106</f>
        <v>33.869999999999997</v>
      </c>
      <c r="G122" s="18">
        <f t="shared" si="11"/>
        <v>33.471999999999994</v>
      </c>
      <c r="H122" s="18" t="s">
        <v>9</v>
      </c>
      <c r="I122" s="18">
        <f t="shared" si="7"/>
        <v>3441.828</v>
      </c>
      <c r="J122" s="18">
        <f t="shared" si="8"/>
        <v>10330.034500000002</v>
      </c>
      <c r="K122" s="216">
        <f t="shared" si="9"/>
        <v>201.90070112146677</v>
      </c>
      <c r="L122" s="360"/>
      <c r="M122" s="200"/>
      <c r="N122" s="24"/>
      <c r="O122" s="24"/>
      <c r="P122" s="24"/>
      <c r="Q122" s="377">
        <f t="shared" si="12"/>
        <v>218</v>
      </c>
      <c r="R122" s="350">
        <v>33.869999999999997</v>
      </c>
      <c r="S122" s="351" t="str">
        <f t="shared" si="10"/>
        <v>OK</v>
      </c>
    </row>
    <row r="123" spans="1:19" s="17" customFormat="1">
      <c r="A123" s="497">
        <f t="shared" si="13"/>
        <v>106</v>
      </c>
      <c r="B123" s="540" t="s">
        <v>98</v>
      </c>
      <c r="C123" s="541"/>
      <c r="D123" s="542"/>
      <c r="E123" s="211">
        <f>'7" 26# Deck Tally'!B107</f>
        <v>217</v>
      </c>
      <c r="F123" s="347">
        <f>'7" 26# Deck Tally'!C107</f>
        <v>33.950000000000003</v>
      </c>
      <c r="G123" s="18">
        <f t="shared" si="11"/>
        <v>33.552</v>
      </c>
      <c r="H123" s="18" t="s">
        <v>9</v>
      </c>
      <c r="I123" s="18">
        <f t="shared" si="7"/>
        <v>3475.38</v>
      </c>
      <c r="J123" s="18">
        <f t="shared" si="8"/>
        <v>10296.482500000002</v>
      </c>
      <c r="K123" s="216">
        <f t="shared" si="9"/>
        <v>202.62110792971734</v>
      </c>
      <c r="L123" s="360"/>
      <c r="M123" s="200"/>
      <c r="Q123" s="377">
        <f t="shared" si="12"/>
        <v>217</v>
      </c>
      <c r="R123" s="350">
        <v>33.950000000000003</v>
      </c>
      <c r="S123" s="351" t="str">
        <f t="shared" si="10"/>
        <v>OK</v>
      </c>
    </row>
    <row r="124" spans="1:19" s="17" customFormat="1">
      <c r="A124" s="497">
        <f t="shared" si="13"/>
        <v>107</v>
      </c>
      <c r="B124" s="540" t="s">
        <v>98</v>
      </c>
      <c r="C124" s="541"/>
      <c r="D124" s="542"/>
      <c r="E124" s="211">
        <f>'7" 26# Deck Tally'!B108</f>
        <v>216</v>
      </c>
      <c r="F124" s="347">
        <f>'7" 26# Deck Tally'!C108</f>
        <v>33.08</v>
      </c>
      <c r="G124" s="18">
        <f t="shared" si="11"/>
        <v>32.681999999999995</v>
      </c>
      <c r="H124" s="18" t="s">
        <v>9</v>
      </c>
      <c r="I124" s="18">
        <f t="shared" si="7"/>
        <v>3508.0619999999999</v>
      </c>
      <c r="J124" s="18">
        <f t="shared" si="8"/>
        <v>10263.800500000001</v>
      </c>
      <c r="K124" s="216">
        <f t="shared" si="9"/>
        <v>203.32283466157372</v>
      </c>
      <c r="L124" s="253"/>
      <c r="M124" s="200"/>
      <c r="Q124" s="377">
        <f t="shared" si="12"/>
        <v>216</v>
      </c>
      <c r="R124" s="350">
        <v>33.08</v>
      </c>
      <c r="S124" s="351" t="str">
        <f t="shared" si="10"/>
        <v>OK</v>
      </c>
    </row>
    <row r="125" spans="1:19" s="17" customFormat="1">
      <c r="A125" s="497">
        <f t="shared" si="13"/>
        <v>108</v>
      </c>
      <c r="B125" s="540" t="s">
        <v>98</v>
      </c>
      <c r="C125" s="541"/>
      <c r="D125" s="542"/>
      <c r="E125" s="211">
        <f>'7" 26# Deck Tally'!B109</f>
        <v>215</v>
      </c>
      <c r="F125" s="347">
        <f>'7" 26# Deck Tally'!C109</f>
        <v>33.770000000000003</v>
      </c>
      <c r="G125" s="18">
        <f t="shared" si="11"/>
        <v>33.372</v>
      </c>
      <c r="H125" s="18" t="s">
        <v>9</v>
      </c>
      <c r="I125" s="18">
        <f t="shared" si="7"/>
        <v>3541.4339999999997</v>
      </c>
      <c r="J125" s="18">
        <f t="shared" si="8"/>
        <v>10230.428500000002</v>
      </c>
      <c r="K125" s="216">
        <f t="shared" si="9"/>
        <v>204.03937662643239</v>
      </c>
      <c r="L125" s="253"/>
      <c r="M125" s="200"/>
      <c r="Q125" s="377">
        <f t="shared" si="12"/>
        <v>215</v>
      </c>
      <c r="R125" s="350">
        <v>33.770000000000003</v>
      </c>
      <c r="S125" s="351" t="str">
        <f t="shared" si="10"/>
        <v>OK</v>
      </c>
    </row>
    <row r="126" spans="1:19" s="17" customFormat="1">
      <c r="A126" s="497">
        <f t="shared" si="13"/>
        <v>109</v>
      </c>
      <c r="B126" s="540" t="s">
        <v>98</v>
      </c>
      <c r="C126" s="541"/>
      <c r="D126" s="542"/>
      <c r="E126" s="211">
        <f>'7" 26# Deck Tally'!B110</f>
        <v>214</v>
      </c>
      <c r="F126" s="347">
        <f>'7" 26# Deck Tally'!C110</f>
        <v>33.369999999999997</v>
      </c>
      <c r="G126" s="18">
        <f t="shared" si="11"/>
        <v>32.971999999999994</v>
      </c>
      <c r="H126" s="18" t="s">
        <v>9</v>
      </c>
      <c r="I126" s="18">
        <f t="shared" si="7"/>
        <v>3574.4059999999999</v>
      </c>
      <c r="J126" s="18">
        <f t="shared" si="8"/>
        <v>10197.4565</v>
      </c>
      <c r="K126" s="216">
        <f t="shared" si="9"/>
        <v>204.74733005042015</v>
      </c>
      <c r="L126" s="253"/>
      <c r="M126" s="200"/>
      <c r="Q126" s="377">
        <f t="shared" si="12"/>
        <v>214</v>
      </c>
      <c r="R126" s="350">
        <v>33.369999999999997</v>
      </c>
      <c r="S126" s="351" t="str">
        <f t="shared" si="10"/>
        <v>OK</v>
      </c>
    </row>
    <row r="127" spans="1:19" s="17" customFormat="1">
      <c r="A127" s="497">
        <f t="shared" si="13"/>
        <v>110</v>
      </c>
      <c r="B127" s="540" t="s">
        <v>98</v>
      </c>
      <c r="C127" s="541"/>
      <c r="D127" s="542"/>
      <c r="E127" s="211">
        <f>'7" 26# Deck Tally'!B111</f>
        <v>213</v>
      </c>
      <c r="F127" s="347">
        <f>'7" 26# Deck Tally'!C111</f>
        <v>33.950000000000003</v>
      </c>
      <c r="G127" s="18">
        <f t="shared" si="11"/>
        <v>33.552</v>
      </c>
      <c r="H127" s="18" t="s">
        <v>9</v>
      </c>
      <c r="I127" s="18">
        <f t="shared" si="7"/>
        <v>3607.9580000000001</v>
      </c>
      <c r="J127" s="18">
        <f t="shared" si="8"/>
        <v>10163.904500000001</v>
      </c>
      <c r="K127" s="216">
        <f t="shared" si="9"/>
        <v>205.46773685867075</v>
      </c>
      <c r="L127" s="360"/>
      <c r="M127" s="200"/>
      <c r="Q127" s="377">
        <f t="shared" si="12"/>
        <v>213</v>
      </c>
      <c r="R127" s="350">
        <v>33.950000000000003</v>
      </c>
      <c r="S127" s="351" t="str">
        <f t="shared" si="10"/>
        <v>OK</v>
      </c>
    </row>
    <row r="128" spans="1:19" s="17" customFormat="1">
      <c r="A128" s="497">
        <f t="shared" si="13"/>
        <v>111</v>
      </c>
      <c r="B128" s="540" t="s">
        <v>98</v>
      </c>
      <c r="C128" s="541"/>
      <c r="D128" s="542"/>
      <c r="E128" s="211">
        <f>'7" 26# Deck Tally'!B112</f>
        <v>212</v>
      </c>
      <c r="F128" s="347">
        <f>'7" 26# Deck Tally'!C112</f>
        <v>33.86</v>
      </c>
      <c r="G128" s="18">
        <f t="shared" si="11"/>
        <v>33.461999999999996</v>
      </c>
      <c r="H128" s="18" t="s">
        <v>9</v>
      </c>
      <c r="I128" s="18">
        <f t="shared" si="7"/>
        <v>3641.42</v>
      </c>
      <c r="J128" s="18">
        <f t="shared" si="8"/>
        <v>10130.442500000001</v>
      </c>
      <c r="K128" s="216">
        <f t="shared" si="9"/>
        <v>206.18621124522537</v>
      </c>
      <c r="L128" s="360"/>
      <c r="M128" s="200"/>
      <c r="Q128" s="377">
        <f t="shared" si="12"/>
        <v>212</v>
      </c>
      <c r="R128" s="350">
        <v>33.86</v>
      </c>
      <c r="S128" s="351" t="str">
        <f t="shared" si="10"/>
        <v>OK</v>
      </c>
    </row>
    <row r="129" spans="1:19" s="17" customFormat="1">
      <c r="A129" s="497">
        <f t="shared" si="13"/>
        <v>112</v>
      </c>
      <c r="B129" s="540" t="s">
        <v>98</v>
      </c>
      <c r="C129" s="541"/>
      <c r="D129" s="542"/>
      <c r="E129" s="211">
        <f>'7" 26# Deck Tally'!B113</f>
        <v>211</v>
      </c>
      <c r="F129" s="347">
        <f>'7" 26# Deck Tally'!C113</f>
        <v>33.82</v>
      </c>
      <c r="G129" s="18">
        <f t="shared" si="11"/>
        <v>33.421999999999997</v>
      </c>
      <c r="H129" s="18" t="s">
        <v>9</v>
      </c>
      <c r="I129" s="18">
        <f t="shared" si="7"/>
        <v>3674.8420000000001</v>
      </c>
      <c r="J129" s="18">
        <f t="shared" si="8"/>
        <v>10097.020500000001</v>
      </c>
      <c r="K129" s="216">
        <f t="shared" si="9"/>
        <v>206.9038267776929</v>
      </c>
      <c r="L129" s="360"/>
      <c r="M129" s="200"/>
      <c r="Q129" s="377">
        <f t="shared" si="12"/>
        <v>211</v>
      </c>
      <c r="R129" s="350">
        <v>33.82</v>
      </c>
      <c r="S129" s="351" t="str">
        <f t="shared" si="10"/>
        <v>OK</v>
      </c>
    </row>
    <row r="130" spans="1:19" s="17" customFormat="1" ht="12.95" customHeight="1">
      <c r="A130" s="497">
        <f t="shared" si="13"/>
        <v>113</v>
      </c>
      <c r="B130" s="540" t="s">
        <v>98</v>
      </c>
      <c r="C130" s="541"/>
      <c r="D130" s="542"/>
      <c r="E130" s="211">
        <f>'7" 26# Deck Tally'!B114</f>
        <v>210</v>
      </c>
      <c r="F130" s="347">
        <f>'7" 26# Deck Tally'!C114</f>
        <v>33.71</v>
      </c>
      <c r="G130" s="18">
        <f t="shared" si="11"/>
        <v>33.311999999999998</v>
      </c>
      <c r="H130" s="18" t="s">
        <v>9</v>
      </c>
      <c r="I130" s="18">
        <f t="shared" si="7"/>
        <v>3708.154</v>
      </c>
      <c r="J130" s="18">
        <f t="shared" si="8"/>
        <v>10063.708500000001</v>
      </c>
      <c r="K130" s="216">
        <f t="shared" si="9"/>
        <v>207.61908046142094</v>
      </c>
      <c r="L130" s="360"/>
      <c r="M130" s="200"/>
      <c r="Q130" s="377">
        <f t="shared" si="12"/>
        <v>210</v>
      </c>
      <c r="R130" s="350">
        <v>33.71</v>
      </c>
      <c r="S130" s="351" t="str">
        <f t="shared" si="10"/>
        <v>OK</v>
      </c>
    </row>
    <row r="131" spans="1:19" s="17" customFormat="1" ht="12.95" customHeight="1">
      <c r="A131" s="497">
        <f t="shared" si="13"/>
        <v>114</v>
      </c>
      <c r="B131" s="540" t="s">
        <v>98</v>
      </c>
      <c r="C131" s="541"/>
      <c r="D131" s="542"/>
      <c r="E131" s="211">
        <f>'7" 26# Deck Tally'!B115</f>
        <v>209</v>
      </c>
      <c r="F131" s="347">
        <f>'7" 26# Deck Tally'!C115</f>
        <v>33.94</v>
      </c>
      <c r="G131" s="18">
        <f t="shared" si="11"/>
        <v>33.541999999999994</v>
      </c>
      <c r="H131" s="18" t="s">
        <v>9</v>
      </c>
      <c r="I131" s="18">
        <f t="shared" si="7"/>
        <v>3741.6959999999999</v>
      </c>
      <c r="J131" s="18">
        <f t="shared" si="8"/>
        <v>10030.166500000001</v>
      </c>
      <c r="K131" s="216">
        <f t="shared" si="9"/>
        <v>208.33927255614972</v>
      </c>
      <c r="L131" s="360"/>
      <c r="M131" s="200"/>
      <c r="Q131" s="377">
        <f t="shared" si="12"/>
        <v>209</v>
      </c>
      <c r="R131" s="350">
        <v>33.94</v>
      </c>
      <c r="S131" s="351" t="str">
        <f t="shared" si="10"/>
        <v>OK</v>
      </c>
    </row>
    <row r="132" spans="1:19" s="17" customFormat="1">
      <c r="A132" s="497">
        <f t="shared" si="13"/>
        <v>115</v>
      </c>
      <c r="B132" s="540" t="s">
        <v>98</v>
      </c>
      <c r="C132" s="541"/>
      <c r="D132" s="542"/>
      <c r="E132" s="211">
        <f>'7" 26# Deck Tally'!B116</f>
        <v>208</v>
      </c>
      <c r="F132" s="347">
        <f>'7" 26# Deck Tally'!C116</f>
        <v>33.950000000000003</v>
      </c>
      <c r="G132" s="18">
        <f t="shared" si="11"/>
        <v>33.552</v>
      </c>
      <c r="H132" s="18" t="s">
        <v>9</v>
      </c>
      <c r="I132" s="18">
        <f t="shared" si="7"/>
        <v>3775.248</v>
      </c>
      <c r="J132" s="18">
        <f t="shared" si="8"/>
        <v>9996.6145000000015</v>
      </c>
      <c r="K132" s="216">
        <f t="shared" si="9"/>
        <v>209.05967936440032</v>
      </c>
      <c r="L132" s="360"/>
      <c r="M132" s="200"/>
      <c r="N132" s="24"/>
      <c r="O132" s="24"/>
      <c r="P132" s="24"/>
      <c r="Q132" s="377">
        <f t="shared" si="12"/>
        <v>208</v>
      </c>
      <c r="R132" s="350">
        <v>33.950000000000003</v>
      </c>
      <c r="S132" s="351" t="str">
        <f t="shared" si="10"/>
        <v>OK</v>
      </c>
    </row>
    <row r="133" spans="1:19" s="17" customFormat="1">
      <c r="A133" s="497">
        <f t="shared" si="13"/>
        <v>116</v>
      </c>
      <c r="B133" s="540" t="s">
        <v>98</v>
      </c>
      <c r="C133" s="541"/>
      <c r="D133" s="542"/>
      <c r="E133" s="211">
        <f>'7" 26# Deck Tally'!B117</f>
        <v>207</v>
      </c>
      <c r="F133" s="347">
        <f>'7" 26# Deck Tally'!C117</f>
        <v>33.67</v>
      </c>
      <c r="G133" s="18">
        <f t="shared" si="11"/>
        <v>33.271999999999998</v>
      </c>
      <c r="H133" s="18" t="s">
        <v>9</v>
      </c>
      <c r="I133" s="18">
        <f t="shared" si="7"/>
        <v>3808.52</v>
      </c>
      <c r="J133" s="18">
        <f t="shared" si="8"/>
        <v>9963.3425000000007</v>
      </c>
      <c r="K133" s="216">
        <f t="shared" si="9"/>
        <v>209.77407419404125</v>
      </c>
      <c r="L133" s="360"/>
      <c r="M133" s="200"/>
      <c r="Q133" s="377">
        <f t="shared" si="12"/>
        <v>207</v>
      </c>
      <c r="R133" s="350">
        <v>33.67</v>
      </c>
      <c r="S133" s="351" t="str">
        <f t="shared" si="10"/>
        <v>OK</v>
      </c>
    </row>
    <row r="134" spans="1:19" s="17" customFormat="1">
      <c r="A134" s="497">
        <f t="shared" si="13"/>
        <v>117</v>
      </c>
      <c r="B134" s="540" t="s">
        <v>98</v>
      </c>
      <c r="C134" s="541"/>
      <c r="D134" s="542"/>
      <c r="E134" s="211">
        <f>'7" 26# Deck Tally'!B118</f>
        <v>206</v>
      </c>
      <c r="F134" s="347">
        <f>'7" 26# Deck Tally'!C118</f>
        <v>33.51</v>
      </c>
      <c r="G134" s="18">
        <f t="shared" si="11"/>
        <v>33.111999999999995</v>
      </c>
      <c r="H134" s="18" t="s">
        <v>9</v>
      </c>
      <c r="I134" s="18">
        <f t="shared" si="7"/>
        <v>3841.6320000000001</v>
      </c>
      <c r="J134" s="18">
        <f t="shared" si="8"/>
        <v>9930.2305000000015</v>
      </c>
      <c r="K134" s="216">
        <f t="shared" si="9"/>
        <v>210.48503360733383</v>
      </c>
      <c r="L134" s="360"/>
      <c r="M134" s="200"/>
      <c r="Q134" s="377">
        <f t="shared" si="12"/>
        <v>206</v>
      </c>
      <c r="R134" s="350">
        <v>33.51</v>
      </c>
      <c r="S134" s="351" t="str">
        <f t="shared" si="10"/>
        <v>OK</v>
      </c>
    </row>
    <row r="135" spans="1:19" s="17" customFormat="1">
      <c r="A135" s="497">
        <f t="shared" si="13"/>
        <v>118</v>
      </c>
      <c r="B135" s="540" t="s">
        <v>98</v>
      </c>
      <c r="C135" s="541"/>
      <c r="D135" s="542"/>
      <c r="E135" s="211">
        <f>'7" 26# Deck Tally'!B119</f>
        <v>205</v>
      </c>
      <c r="F135" s="347">
        <f>'7" 26# Deck Tally'!C119</f>
        <v>33.549999999999997</v>
      </c>
      <c r="G135" s="18">
        <f t="shared" si="11"/>
        <v>33.151999999999994</v>
      </c>
      <c r="H135" s="18" t="s">
        <v>9</v>
      </c>
      <c r="I135" s="18">
        <f t="shared" si="7"/>
        <v>3874.7840000000001</v>
      </c>
      <c r="J135" s="18">
        <f t="shared" si="8"/>
        <v>9897.0785000000014</v>
      </c>
      <c r="K135" s="216">
        <f t="shared" si="9"/>
        <v>211.19685187471353</v>
      </c>
      <c r="L135" s="360"/>
      <c r="M135" s="200"/>
      <c r="Q135" s="377">
        <f t="shared" si="12"/>
        <v>205</v>
      </c>
      <c r="R135" s="350">
        <v>33.549999999999997</v>
      </c>
      <c r="S135" s="351" t="str">
        <f t="shared" si="10"/>
        <v>OK</v>
      </c>
    </row>
    <row r="136" spans="1:19" s="17" customFormat="1">
      <c r="A136" s="497">
        <f t="shared" si="13"/>
        <v>119</v>
      </c>
      <c r="B136" s="540" t="s">
        <v>98</v>
      </c>
      <c r="C136" s="541"/>
      <c r="D136" s="542"/>
      <c r="E136" s="211">
        <f>'7" 26# Deck Tally'!B120</f>
        <v>204</v>
      </c>
      <c r="F136" s="347">
        <f>'7" 26# Deck Tally'!C120</f>
        <v>33.83</v>
      </c>
      <c r="G136" s="18">
        <f t="shared" si="11"/>
        <v>33.431999999999995</v>
      </c>
      <c r="H136" s="18" t="s">
        <v>9</v>
      </c>
      <c r="I136" s="18">
        <f t="shared" si="7"/>
        <v>3908.2159999999999</v>
      </c>
      <c r="J136" s="18">
        <f t="shared" si="8"/>
        <v>9863.6465000000007</v>
      </c>
      <c r="K136" s="216">
        <f t="shared" si="9"/>
        <v>211.91468212070282</v>
      </c>
      <c r="L136" s="360"/>
      <c r="M136" s="200"/>
      <c r="Q136" s="377">
        <f t="shared" si="12"/>
        <v>204</v>
      </c>
      <c r="R136" s="350">
        <v>33.83</v>
      </c>
      <c r="S136" s="351" t="str">
        <f t="shared" si="10"/>
        <v>OK</v>
      </c>
    </row>
    <row r="137" spans="1:19" s="17" customFormat="1">
      <c r="A137" s="497">
        <f t="shared" si="13"/>
        <v>120</v>
      </c>
      <c r="B137" s="540" t="s">
        <v>98</v>
      </c>
      <c r="C137" s="541"/>
      <c r="D137" s="542"/>
      <c r="E137" s="211">
        <f>'7" 26# Deck Tally'!B121</f>
        <v>203</v>
      </c>
      <c r="F137" s="347">
        <f>'7" 26# Deck Tally'!C121</f>
        <v>33.619999999999997</v>
      </c>
      <c r="G137" s="18">
        <f t="shared" si="11"/>
        <v>33.221999999999994</v>
      </c>
      <c r="H137" s="18" t="s">
        <v>9</v>
      </c>
      <c r="I137" s="18">
        <f t="shared" si="7"/>
        <v>3941.4380000000001</v>
      </c>
      <c r="J137" s="18">
        <f t="shared" si="8"/>
        <v>9830.424500000001</v>
      </c>
      <c r="K137" s="216">
        <f t="shared" si="9"/>
        <v>212.62800338273493</v>
      </c>
      <c r="L137" s="360"/>
      <c r="M137" s="200"/>
      <c r="N137" s="24"/>
      <c r="O137" s="24"/>
      <c r="P137" s="24"/>
      <c r="Q137" s="377">
        <f t="shared" si="12"/>
        <v>203</v>
      </c>
      <c r="R137" s="350">
        <v>33.619999999999997</v>
      </c>
      <c r="S137" s="351" t="str">
        <f t="shared" si="10"/>
        <v>OK</v>
      </c>
    </row>
    <row r="138" spans="1:19" s="17" customFormat="1">
      <c r="A138" s="497">
        <f t="shared" si="13"/>
        <v>121</v>
      </c>
      <c r="B138" s="540" t="s">
        <v>98</v>
      </c>
      <c r="C138" s="541"/>
      <c r="D138" s="542"/>
      <c r="E138" s="211">
        <f>'7" 26# Deck Tally'!B122</f>
        <v>202</v>
      </c>
      <c r="F138" s="347">
        <f>'7" 26# Deck Tally'!C122</f>
        <v>33.299999999999997</v>
      </c>
      <c r="G138" s="18">
        <f t="shared" si="11"/>
        <v>32.901999999999994</v>
      </c>
      <c r="H138" s="18" t="s">
        <v>9</v>
      </c>
      <c r="I138" s="18">
        <f t="shared" si="7"/>
        <v>3974.34</v>
      </c>
      <c r="J138" s="18">
        <f t="shared" si="8"/>
        <v>9797.5225000000009</v>
      </c>
      <c r="K138" s="216">
        <f t="shared" si="9"/>
        <v>213.33445381207028</v>
      </c>
      <c r="L138" s="360"/>
      <c r="M138" s="200"/>
      <c r="Q138" s="377">
        <f t="shared" si="12"/>
        <v>202</v>
      </c>
      <c r="R138" s="350">
        <v>33.299999999999997</v>
      </c>
      <c r="S138" s="351" t="str">
        <f t="shared" si="10"/>
        <v>OK</v>
      </c>
    </row>
    <row r="139" spans="1:19" s="17" customFormat="1">
      <c r="A139" s="497">
        <f t="shared" si="13"/>
        <v>122</v>
      </c>
      <c r="B139" s="540" t="s">
        <v>98</v>
      </c>
      <c r="C139" s="541"/>
      <c r="D139" s="542"/>
      <c r="E139" s="211">
        <f>'7" 26# Deck Tally'!B123</f>
        <v>201</v>
      </c>
      <c r="F139" s="347">
        <f>'7" 26# Deck Tally'!C123</f>
        <v>33.409999999999997</v>
      </c>
      <c r="G139" s="18">
        <f t="shared" si="11"/>
        <v>33.011999999999993</v>
      </c>
      <c r="H139" s="18" t="s">
        <v>9</v>
      </c>
      <c r="I139" s="18">
        <f t="shared" si="7"/>
        <v>4007.3520000000003</v>
      </c>
      <c r="J139" s="18">
        <f t="shared" si="8"/>
        <v>9764.5105000000003</v>
      </c>
      <c r="K139" s="216">
        <f t="shared" si="9"/>
        <v>214.04326609014515</v>
      </c>
      <c r="L139" s="253"/>
      <c r="M139" s="200"/>
      <c r="Q139" s="377">
        <f t="shared" si="12"/>
        <v>201</v>
      </c>
      <c r="R139" s="350">
        <v>33.409999999999997</v>
      </c>
      <c r="S139" s="351" t="str">
        <f t="shared" si="10"/>
        <v>OK</v>
      </c>
    </row>
    <row r="140" spans="1:19" s="17" customFormat="1">
      <c r="A140" s="497">
        <f t="shared" si="13"/>
        <v>123</v>
      </c>
      <c r="B140" s="540" t="s">
        <v>98</v>
      </c>
      <c r="C140" s="541"/>
      <c r="D140" s="542"/>
      <c r="E140" s="211">
        <f>'7" 26# Deck Tally'!B124</f>
        <v>200</v>
      </c>
      <c r="F140" s="347">
        <f>'7" 26# Deck Tally'!C124</f>
        <v>33.380000000000003</v>
      </c>
      <c r="G140" s="18">
        <f t="shared" si="11"/>
        <v>32.981999999999999</v>
      </c>
      <c r="H140" s="18" t="s">
        <v>9</v>
      </c>
      <c r="I140" s="18">
        <f t="shared" si="7"/>
        <v>4040.3340000000003</v>
      </c>
      <c r="J140" s="18">
        <f t="shared" si="8"/>
        <v>9731.5285000000003</v>
      </c>
      <c r="K140" s="216">
        <f t="shared" si="9"/>
        <v>214.75143422765473</v>
      </c>
      <c r="L140" s="253"/>
      <c r="M140" s="200"/>
      <c r="Q140" s="377">
        <f t="shared" si="12"/>
        <v>200</v>
      </c>
      <c r="R140" s="350">
        <v>33.380000000000003</v>
      </c>
      <c r="S140" s="351" t="str">
        <f t="shared" si="10"/>
        <v>OK</v>
      </c>
    </row>
    <row r="141" spans="1:19" s="17" customFormat="1">
      <c r="A141" s="497">
        <f t="shared" si="13"/>
        <v>124</v>
      </c>
      <c r="B141" s="540" t="s">
        <v>98</v>
      </c>
      <c r="C141" s="541"/>
      <c r="D141" s="542"/>
      <c r="E141" s="211">
        <f>'7" 26# Deck Tally'!B125</f>
        <v>199</v>
      </c>
      <c r="F141" s="347">
        <f>'7" 26# Deck Tally'!C125</f>
        <v>33.74</v>
      </c>
      <c r="G141" s="18">
        <f t="shared" si="11"/>
        <v>33.341999999999999</v>
      </c>
      <c r="H141" s="18" t="s">
        <v>9</v>
      </c>
      <c r="I141" s="18">
        <f t="shared" ref="I141:I204" si="14">IF(H141="IN",I140+G141,I140)</f>
        <v>4073.6760000000004</v>
      </c>
      <c r="J141" s="18">
        <f t="shared" si="8"/>
        <v>9698.1864999999998</v>
      </c>
      <c r="K141" s="216">
        <f t="shared" si="9"/>
        <v>215.46733205194806</v>
      </c>
      <c r="L141" s="253"/>
      <c r="M141" s="200"/>
      <c r="Q141" s="377">
        <f t="shared" si="12"/>
        <v>199</v>
      </c>
      <c r="R141" s="350">
        <v>33.74</v>
      </c>
      <c r="S141" s="351" t="str">
        <f t="shared" si="10"/>
        <v>OK</v>
      </c>
    </row>
    <row r="142" spans="1:19" s="17" customFormat="1">
      <c r="A142" s="497">
        <f t="shared" si="13"/>
        <v>125</v>
      </c>
      <c r="B142" s="540" t="s">
        <v>98</v>
      </c>
      <c r="C142" s="541"/>
      <c r="D142" s="542"/>
      <c r="E142" s="211">
        <f>'7" 26# Deck Tally'!B126</f>
        <v>198</v>
      </c>
      <c r="F142" s="347">
        <f>'7" 26# Deck Tally'!C126</f>
        <v>33.65</v>
      </c>
      <c r="G142" s="18">
        <f t="shared" si="11"/>
        <v>33.251999999999995</v>
      </c>
      <c r="H142" s="18" t="s">
        <v>9</v>
      </c>
      <c r="I142" s="18">
        <f t="shared" si="14"/>
        <v>4106.9280000000008</v>
      </c>
      <c r="J142" s="18">
        <f t="shared" si="8"/>
        <v>9664.9344999999994</v>
      </c>
      <c r="K142" s="216">
        <f t="shared" si="9"/>
        <v>216.18129745454547</v>
      </c>
      <c r="L142" s="360"/>
      <c r="M142" s="200"/>
      <c r="Q142" s="377">
        <f t="shared" si="12"/>
        <v>198</v>
      </c>
      <c r="R142" s="350">
        <v>33.65</v>
      </c>
      <c r="S142" s="351" t="str">
        <f t="shared" si="10"/>
        <v>OK</v>
      </c>
    </row>
    <row r="143" spans="1:19" s="17" customFormat="1">
      <c r="A143" s="497">
        <f t="shared" si="13"/>
        <v>126</v>
      </c>
      <c r="B143" s="540" t="s">
        <v>98</v>
      </c>
      <c r="C143" s="541"/>
      <c r="D143" s="542"/>
      <c r="E143" s="211">
        <f>'7" 26# Deck Tally'!B127</f>
        <v>197</v>
      </c>
      <c r="F143" s="347">
        <f>'7" 26# Deck Tally'!C127</f>
        <v>33.770000000000003</v>
      </c>
      <c r="G143" s="18">
        <f t="shared" si="11"/>
        <v>33.372</v>
      </c>
      <c r="H143" s="18" t="s">
        <v>9</v>
      </c>
      <c r="I143" s="18">
        <f t="shared" si="14"/>
        <v>4140.3000000000011</v>
      </c>
      <c r="J143" s="18">
        <f t="shared" si="8"/>
        <v>9631.5625</v>
      </c>
      <c r="K143" s="216">
        <f t="shared" si="9"/>
        <v>216.89783941940416</v>
      </c>
      <c r="L143" s="565"/>
      <c r="M143" s="588"/>
      <c r="Q143" s="377">
        <f t="shared" si="12"/>
        <v>197</v>
      </c>
      <c r="R143" s="350">
        <v>33.770000000000003</v>
      </c>
      <c r="S143" s="351" t="str">
        <f t="shared" si="10"/>
        <v>OK</v>
      </c>
    </row>
    <row r="144" spans="1:19">
      <c r="A144" s="497">
        <f t="shared" si="13"/>
        <v>127</v>
      </c>
      <c r="B144" s="540" t="s">
        <v>98</v>
      </c>
      <c r="C144" s="541"/>
      <c r="D144" s="542"/>
      <c r="E144" s="211">
        <f>'7" 26# Deck Tally'!B128</f>
        <v>196</v>
      </c>
      <c r="F144" s="347">
        <f>'7" 26# Deck Tally'!C128</f>
        <v>33.840000000000003</v>
      </c>
      <c r="G144" s="18">
        <f t="shared" si="11"/>
        <v>33.442</v>
      </c>
      <c r="H144" s="18" t="s">
        <v>9</v>
      </c>
      <c r="I144" s="18">
        <f t="shared" si="14"/>
        <v>4173.7420000000011</v>
      </c>
      <c r="J144" s="18">
        <f t="shared" ref="J144:J207" si="15">IF(I144="","",$L$6-I144)</f>
        <v>9598.1205000000009</v>
      </c>
      <c r="K144" s="216">
        <f t="shared" ref="K144:K207" si="16">$H$6+(I144*$F$7*$H$8/1000)</f>
        <v>217.61588437891521</v>
      </c>
      <c r="L144" s="229"/>
      <c r="M144" s="173"/>
      <c r="Q144" s="377">
        <f t="shared" si="12"/>
        <v>196</v>
      </c>
      <c r="R144" s="350">
        <v>33.840000000000003</v>
      </c>
      <c r="S144" s="351" t="str">
        <f t="shared" ref="S144:S207" si="17">IF(F144-R144=0,"OK","FALSE")</f>
        <v>OK</v>
      </c>
    </row>
    <row r="145" spans="1:19">
      <c r="A145" s="497">
        <f t="shared" si="13"/>
        <v>128</v>
      </c>
      <c r="B145" s="540" t="s">
        <v>98</v>
      </c>
      <c r="C145" s="541"/>
      <c r="D145" s="542"/>
      <c r="E145" s="211">
        <f>'7" 26# Deck Tally'!B129</f>
        <v>195</v>
      </c>
      <c r="F145" s="347">
        <f>'7" 26# Deck Tally'!C129</f>
        <v>32.21</v>
      </c>
      <c r="G145" s="18">
        <f t="shared" si="11"/>
        <v>31.812000000000001</v>
      </c>
      <c r="H145" s="18" t="s">
        <v>9</v>
      </c>
      <c r="I145" s="18">
        <f t="shared" si="14"/>
        <v>4205.554000000001</v>
      </c>
      <c r="J145" s="18">
        <f t="shared" si="15"/>
        <v>9566.3084999999992</v>
      </c>
      <c r="K145" s="216">
        <f t="shared" si="16"/>
        <v>218.2989310343774</v>
      </c>
      <c r="L145" s="229"/>
      <c r="M145" s="173"/>
      <c r="Q145" s="377">
        <f t="shared" si="12"/>
        <v>195</v>
      </c>
      <c r="R145" s="350">
        <v>32.21</v>
      </c>
      <c r="S145" s="351" t="str">
        <f t="shared" si="17"/>
        <v>OK</v>
      </c>
    </row>
    <row r="146" spans="1:19">
      <c r="A146" s="497">
        <f t="shared" si="13"/>
        <v>129</v>
      </c>
      <c r="B146" s="540" t="s">
        <v>98</v>
      </c>
      <c r="C146" s="541"/>
      <c r="D146" s="542"/>
      <c r="E146" s="211">
        <f>'7" 26# Deck Tally'!B130</f>
        <v>194</v>
      </c>
      <c r="F146" s="347">
        <f>'7" 26# Deck Tally'!C130</f>
        <v>33.21</v>
      </c>
      <c r="G146" s="18">
        <f t="shared" si="11"/>
        <v>32.811999999999998</v>
      </c>
      <c r="H146" s="18" t="s">
        <v>9</v>
      </c>
      <c r="I146" s="18">
        <f t="shared" si="14"/>
        <v>4238.3660000000009</v>
      </c>
      <c r="J146" s="18">
        <f t="shared" si="15"/>
        <v>9533.4965000000011</v>
      </c>
      <c r="K146" s="216">
        <f t="shared" si="16"/>
        <v>219.00344904201683</v>
      </c>
      <c r="L146" s="229"/>
      <c r="M146" s="173"/>
      <c r="Q146" s="377">
        <f t="shared" si="12"/>
        <v>194</v>
      </c>
      <c r="R146" s="350">
        <v>33.21</v>
      </c>
      <c r="S146" s="351" t="str">
        <f t="shared" si="17"/>
        <v>OK</v>
      </c>
    </row>
    <row r="147" spans="1:19">
      <c r="A147" s="497">
        <f t="shared" si="13"/>
        <v>130</v>
      </c>
      <c r="B147" s="540" t="s">
        <v>98</v>
      </c>
      <c r="C147" s="541"/>
      <c r="D147" s="542"/>
      <c r="E147" s="211">
        <f>'7" 26# Deck Tally'!B131</f>
        <v>193</v>
      </c>
      <c r="F147" s="347">
        <f>'7" 26# Deck Tally'!C131</f>
        <v>33.979999999999997</v>
      </c>
      <c r="G147" s="18">
        <f t="shared" si="11"/>
        <v>33.581999999999994</v>
      </c>
      <c r="H147" s="18" t="s">
        <v>9</v>
      </c>
      <c r="I147" s="18">
        <f t="shared" si="14"/>
        <v>4271.9480000000012</v>
      </c>
      <c r="J147" s="18">
        <f t="shared" si="15"/>
        <v>9499.914499999999</v>
      </c>
      <c r="K147" s="216">
        <f t="shared" si="16"/>
        <v>219.72449999083273</v>
      </c>
      <c r="L147" s="229"/>
      <c r="M147" s="173"/>
      <c r="Q147" s="377">
        <f t="shared" si="12"/>
        <v>193</v>
      </c>
      <c r="R147" s="350">
        <v>33.979999999999997</v>
      </c>
      <c r="S147" s="351" t="str">
        <f t="shared" si="17"/>
        <v>OK</v>
      </c>
    </row>
    <row r="148" spans="1:19">
      <c r="A148" s="497">
        <f t="shared" si="13"/>
        <v>131</v>
      </c>
      <c r="B148" s="540" t="s">
        <v>98</v>
      </c>
      <c r="C148" s="541"/>
      <c r="D148" s="542"/>
      <c r="E148" s="211">
        <f>'7" 26# Deck Tally'!B132</f>
        <v>192</v>
      </c>
      <c r="F148" s="347">
        <f>'7" 26# Deck Tally'!C132</f>
        <v>33.86</v>
      </c>
      <c r="G148" s="18">
        <f t="shared" si="11"/>
        <v>33.461999999999996</v>
      </c>
      <c r="H148" s="18" t="s">
        <v>9</v>
      </c>
      <c r="I148" s="18">
        <f t="shared" si="14"/>
        <v>4305.4100000000017</v>
      </c>
      <c r="J148" s="18">
        <f t="shared" si="15"/>
        <v>9466.4524999999994</v>
      </c>
      <c r="K148" s="216">
        <f t="shared" si="16"/>
        <v>220.44297437738737</v>
      </c>
      <c r="L148" s="229"/>
      <c r="M148" s="173"/>
      <c r="Q148" s="377">
        <f t="shared" si="12"/>
        <v>192</v>
      </c>
      <c r="R148" s="350">
        <v>33.86</v>
      </c>
      <c r="S148" s="351" t="str">
        <f t="shared" si="17"/>
        <v>OK</v>
      </c>
    </row>
    <row r="149" spans="1:19">
      <c r="A149" s="497">
        <f t="shared" si="13"/>
        <v>132</v>
      </c>
      <c r="B149" s="540" t="s">
        <v>98</v>
      </c>
      <c r="C149" s="541"/>
      <c r="D149" s="542"/>
      <c r="E149" s="211">
        <f>'7" 26# Deck Tally'!B133</f>
        <v>191</v>
      </c>
      <c r="F149" s="347">
        <f>'7" 26# Deck Tally'!C133</f>
        <v>33.51</v>
      </c>
      <c r="G149" s="18">
        <f t="shared" ref="G149:G212" si="18">F149-($F$9)</f>
        <v>33.111999999999995</v>
      </c>
      <c r="H149" s="18" t="s">
        <v>9</v>
      </c>
      <c r="I149" s="18">
        <f t="shared" si="14"/>
        <v>4338.5220000000018</v>
      </c>
      <c r="J149" s="18">
        <f t="shared" si="15"/>
        <v>9433.3404999999984</v>
      </c>
      <c r="K149" s="216">
        <f t="shared" si="16"/>
        <v>221.15393379067996</v>
      </c>
      <c r="L149" s="229"/>
      <c r="M149" s="173"/>
      <c r="Q149" s="377">
        <f t="shared" ref="Q149:Q212" si="19">E149</f>
        <v>191</v>
      </c>
      <c r="R149" s="350">
        <v>33.51</v>
      </c>
      <c r="S149" s="351" t="str">
        <f t="shared" si="17"/>
        <v>OK</v>
      </c>
    </row>
    <row r="150" spans="1:19">
      <c r="A150" s="497">
        <f t="shared" si="13"/>
        <v>133</v>
      </c>
      <c r="B150" s="540" t="s">
        <v>98</v>
      </c>
      <c r="C150" s="541"/>
      <c r="D150" s="542"/>
      <c r="E150" s="211">
        <f>'7" 26# Deck Tally'!B134</f>
        <v>190</v>
      </c>
      <c r="F150" s="347">
        <f>'7" 26# Deck Tally'!C134</f>
        <v>33.78</v>
      </c>
      <c r="G150" s="18">
        <f t="shared" si="18"/>
        <v>33.381999999999998</v>
      </c>
      <c r="H150" s="18" t="s">
        <v>9</v>
      </c>
      <c r="I150" s="18">
        <f t="shared" si="14"/>
        <v>4371.9040000000014</v>
      </c>
      <c r="J150" s="18">
        <f t="shared" si="15"/>
        <v>9399.9585000000006</v>
      </c>
      <c r="K150" s="216">
        <f t="shared" si="16"/>
        <v>221.87069046906038</v>
      </c>
      <c r="L150" s="254"/>
      <c r="M150" s="200"/>
      <c r="Q150" s="377">
        <f t="shared" si="19"/>
        <v>190</v>
      </c>
      <c r="R150" s="350">
        <v>33.78</v>
      </c>
      <c r="S150" s="351" t="str">
        <f t="shared" si="17"/>
        <v>OK</v>
      </c>
    </row>
    <row r="151" spans="1:19">
      <c r="A151" s="497">
        <f t="shared" ref="A151:A214" si="20">A150+1</f>
        <v>134</v>
      </c>
      <c r="B151" s="540" t="s">
        <v>98</v>
      </c>
      <c r="C151" s="541"/>
      <c r="D151" s="542"/>
      <c r="E151" s="211">
        <f>'7" 26# Deck Tally'!B135</f>
        <v>189</v>
      </c>
      <c r="F151" s="347">
        <f>'7" 26# Deck Tally'!C135</f>
        <v>33.869999999999997</v>
      </c>
      <c r="G151" s="18">
        <f t="shared" si="18"/>
        <v>33.471999999999994</v>
      </c>
      <c r="H151" s="18" t="s">
        <v>9</v>
      </c>
      <c r="I151" s="18">
        <f t="shared" si="14"/>
        <v>4405.3760000000011</v>
      </c>
      <c r="J151" s="18">
        <f t="shared" si="15"/>
        <v>9366.4864999999991</v>
      </c>
      <c r="K151" s="216">
        <f t="shared" si="16"/>
        <v>222.58937956913678</v>
      </c>
      <c r="L151" s="360"/>
      <c r="M151" s="200"/>
      <c r="Q151" s="377">
        <f t="shared" si="19"/>
        <v>189</v>
      </c>
      <c r="R151" s="350">
        <v>33.869999999999997</v>
      </c>
      <c r="S151" s="351" t="str">
        <f t="shared" si="17"/>
        <v>OK</v>
      </c>
    </row>
    <row r="152" spans="1:19">
      <c r="A152" s="497">
        <f t="shared" si="20"/>
        <v>135</v>
      </c>
      <c r="B152" s="540" t="s">
        <v>98</v>
      </c>
      <c r="C152" s="541"/>
      <c r="D152" s="542"/>
      <c r="E152" s="211">
        <f>'7" 26# Deck Tally'!B136</f>
        <v>188</v>
      </c>
      <c r="F152" s="347">
        <f>'7" 26# Deck Tally'!C136</f>
        <v>33.92</v>
      </c>
      <c r="G152" s="18">
        <f t="shared" si="18"/>
        <v>33.521999999999998</v>
      </c>
      <c r="H152" s="18" t="s">
        <v>9</v>
      </c>
      <c r="I152" s="18">
        <f t="shared" si="14"/>
        <v>4438.898000000001</v>
      </c>
      <c r="J152" s="18">
        <f t="shared" si="15"/>
        <v>9332.9645</v>
      </c>
      <c r="K152" s="216">
        <f t="shared" si="16"/>
        <v>223.30914223682203</v>
      </c>
      <c r="L152" s="229"/>
      <c r="M152" s="173"/>
      <c r="Q152" s="377">
        <f t="shared" si="19"/>
        <v>188</v>
      </c>
      <c r="R152" s="350">
        <v>33.92</v>
      </c>
      <c r="S152" s="351" t="str">
        <f t="shared" si="17"/>
        <v>OK</v>
      </c>
    </row>
    <row r="153" spans="1:19">
      <c r="A153" s="497">
        <f t="shared" si="20"/>
        <v>136</v>
      </c>
      <c r="B153" s="540" t="s">
        <v>98</v>
      </c>
      <c r="C153" s="541"/>
      <c r="D153" s="542"/>
      <c r="E153" s="211">
        <f>'7" 26# Deck Tally'!B137</f>
        <v>187</v>
      </c>
      <c r="F153" s="347">
        <f>'7" 26# Deck Tally'!C137</f>
        <v>33.71</v>
      </c>
      <c r="G153" s="18">
        <f t="shared" si="18"/>
        <v>33.311999999999998</v>
      </c>
      <c r="H153" s="18" t="s">
        <v>9</v>
      </c>
      <c r="I153" s="18">
        <f t="shared" si="14"/>
        <v>4472.2100000000009</v>
      </c>
      <c r="J153" s="18">
        <f t="shared" si="15"/>
        <v>9299.6525000000001</v>
      </c>
      <c r="K153" s="216">
        <f t="shared" si="16"/>
        <v>224.02439592055006</v>
      </c>
      <c r="L153" s="229"/>
      <c r="M153" s="173"/>
      <c r="Q153" s="377">
        <f t="shared" si="19"/>
        <v>187</v>
      </c>
      <c r="R153" s="350">
        <v>33.71</v>
      </c>
      <c r="S153" s="351" t="str">
        <f t="shared" si="17"/>
        <v>OK</v>
      </c>
    </row>
    <row r="154" spans="1:19">
      <c r="A154" s="497">
        <f t="shared" si="20"/>
        <v>137</v>
      </c>
      <c r="B154" s="540" t="s">
        <v>98</v>
      </c>
      <c r="C154" s="541"/>
      <c r="D154" s="542"/>
      <c r="E154" s="211">
        <f>'7" 26# Deck Tally'!B138</f>
        <v>186</v>
      </c>
      <c r="F154" s="347">
        <f>'7" 26# Deck Tally'!C138</f>
        <v>31.57</v>
      </c>
      <c r="G154" s="18">
        <f t="shared" si="18"/>
        <v>31.172000000000001</v>
      </c>
      <c r="H154" s="18" t="s">
        <v>9</v>
      </c>
      <c r="I154" s="18">
        <f t="shared" si="14"/>
        <v>4503.3820000000005</v>
      </c>
      <c r="J154" s="18">
        <f t="shared" si="15"/>
        <v>9268.4805000000015</v>
      </c>
      <c r="K154" s="216">
        <f t="shared" si="16"/>
        <v>224.69370091061882</v>
      </c>
      <c r="L154" s="229"/>
      <c r="M154" s="173"/>
      <c r="Q154" s="377">
        <f t="shared" si="19"/>
        <v>186</v>
      </c>
      <c r="R154" s="350">
        <v>31.57</v>
      </c>
      <c r="S154" s="351" t="str">
        <f t="shared" si="17"/>
        <v>OK</v>
      </c>
    </row>
    <row r="155" spans="1:19">
      <c r="A155" s="497">
        <f t="shared" si="20"/>
        <v>138</v>
      </c>
      <c r="B155" s="540" t="s">
        <v>98</v>
      </c>
      <c r="C155" s="541"/>
      <c r="D155" s="542"/>
      <c r="E155" s="211">
        <f>'7" 26# Deck Tally'!B139</f>
        <v>185</v>
      </c>
      <c r="F155" s="347">
        <f>'7" 26# Deck Tally'!C139</f>
        <v>33.659999999999997</v>
      </c>
      <c r="G155" s="18">
        <f t="shared" si="18"/>
        <v>33.261999999999993</v>
      </c>
      <c r="H155" s="18" t="s">
        <v>9</v>
      </c>
      <c r="I155" s="18">
        <f t="shared" si="14"/>
        <v>4536.6440000000002</v>
      </c>
      <c r="J155" s="18">
        <f t="shared" si="15"/>
        <v>9235.2185000000009</v>
      </c>
      <c r="K155" s="216">
        <f t="shared" si="16"/>
        <v>225.40788102673798</v>
      </c>
      <c r="L155" s="229"/>
      <c r="M155" s="173"/>
      <c r="Q155" s="377">
        <f t="shared" si="19"/>
        <v>185</v>
      </c>
      <c r="R155" s="350">
        <v>33.659999999999997</v>
      </c>
      <c r="S155" s="351" t="str">
        <f t="shared" si="17"/>
        <v>OK</v>
      </c>
    </row>
    <row r="156" spans="1:19">
      <c r="A156" s="497">
        <f t="shared" si="20"/>
        <v>139</v>
      </c>
      <c r="B156" s="540" t="s">
        <v>98</v>
      </c>
      <c r="C156" s="541"/>
      <c r="D156" s="542"/>
      <c r="E156" s="211">
        <f>'7" 26# Deck Tally'!B140</f>
        <v>184</v>
      </c>
      <c r="F156" s="347">
        <f>'7" 26# Deck Tally'!C140</f>
        <v>33.46</v>
      </c>
      <c r="G156" s="18">
        <f t="shared" si="18"/>
        <v>33.061999999999998</v>
      </c>
      <c r="H156" s="18" t="s">
        <v>9</v>
      </c>
      <c r="I156" s="18">
        <f t="shared" si="14"/>
        <v>4569.7060000000001</v>
      </c>
      <c r="J156" s="18">
        <f t="shared" si="15"/>
        <v>9202.156500000001</v>
      </c>
      <c r="K156" s="216">
        <f t="shared" si="16"/>
        <v>226.1177668724217</v>
      </c>
      <c r="L156" s="229"/>
      <c r="M156" s="173"/>
      <c r="Q156" s="377">
        <f t="shared" si="19"/>
        <v>184</v>
      </c>
      <c r="R156" s="350">
        <v>33.46</v>
      </c>
      <c r="S156" s="351" t="str">
        <f t="shared" si="17"/>
        <v>OK</v>
      </c>
    </row>
    <row r="157" spans="1:19">
      <c r="A157" s="497">
        <f t="shared" si="20"/>
        <v>140</v>
      </c>
      <c r="B157" s="540" t="s">
        <v>98</v>
      </c>
      <c r="C157" s="541"/>
      <c r="D157" s="542"/>
      <c r="E157" s="211">
        <f>'7" 26# Deck Tally'!B141</f>
        <v>183</v>
      </c>
      <c r="F157" s="347">
        <f>'7" 26# Deck Tally'!C141</f>
        <v>33.96</v>
      </c>
      <c r="G157" s="18">
        <f t="shared" si="18"/>
        <v>33.561999999999998</v>
      </c>
      <c r="H157" s="18" t="s">
        <v>9</v>
      </c>
      <c r="I157" s="18">
        <f t="shared" si="14"/>
        <v>4603.268</v>
      </c>
      <c r="J157" s="18">
        <f t="shared" si="15"/>
        <v>9168.5945000000011</v>
      </c>
      <c r="K157" s="216">
        <f t="shared" si="16"/>
        <v>226.83838839419406</v>
      </c>
      <c r="L157" s="229"/>
      <c r="M157" s="173"/>
      <c r="Q157" s="377">
        <f t="shared" si="19"/>
        <v>183</v>
      </c>
      <c r="R157" s="350">
        <v>33.96</v>
      </c>
      <c r="S157" s="351" t="str">
        <f t="shared" si="17"/>
        <v>OK</v>
      </c>
    </row>
    <row r="158" spans="1:19">
      <c r="A158" s="497">
        <f t="shared" si="20"/>
        <v>141</v>
      </c>
      <c r="B158" s="540" t="s">
        <v>98</v>
      </c>
      <c r="C158" s="541"/>
      <c r="D158" s="542"/>
      <c r="E158" s="211">
        <f>'7" 26# Deck Tally'!B142</f>
        <v>182</v>
      </c>
      <c r="F158" s="347">
        <f>'7" 26# Deck Tally'!C142</f>
        <v>33.909999999999997</v>
      </c>
      <c r="G158" s="18">
        <f t="shared" si="18"/>
        <v>33.511999999999993</v>
      </c>
      <c r="H158" s="18" t="s">
        <v>9</v>
      </c>
      <c r="I158" s="18">
        <f t="shared" si="14"/>
        <v>4636.78</v>
      </c>
      <c r="J158" s="18">
        <f t="shared" si="15"/>
        <v>9135.0825000000004</v>
      </c>
      <c r="K158" s="216">
        <f t="shared" si="16"/>
        <v>227.55793634835754</v>
      </c>
      <c r="L158" s="229"/>
      <c r="M158" s="173"/>
      <c r="Q158" s="377">
        <f t="shared" si="19"/>
        <v>182</v>
      </c>
      <c r="R158" s="350">
        <v>33.909999999999997</v>
      </c>
      <c r="S158" s="351" t="str">
        <f t="shared" si="17"/>
        <v>OK</v>
      </c>
    </row>
    <row r="159" spans="1:19">
      <c r="A159" s="497">
        <f t="shared" si="20"/>
        <v>142</v>
      </c>
      <c r="B159" s="540" t="s">
        <v>98</v>
      </c>
      <c r="C159" s="541"/>
      <c r="D159" s="542"/>
      <c r="E159" s="211">
        <f>'7" 26# Deck Tally'!B143</f>
        <v>181</v>
      </c>
      <c r="F159" s="347">
        <f>'7" 26# Deck Tally'!C143</f>
        <v>33.69</v>
      </c>
      <c r="G159" s="18">
        <f t="shared" si="18"/>
        <v>33.291999999999994</v>
      </c>
      <c r="H159" s="18" t="s">
        <v>9</v>
      </c>
      <c r="I159" s="18">
        <f t="shared" si="14"/>
        <v>4670.0720000000001</v>
      </c>
      <c r="J159" s="18">
        <f t="shared" si="15"/>
        <v>9101.790500000001</v>
      </c>
      <c r="K159" s="216">
        <f t="shared" si="16"/>
        <v>228.27276060504204</v>
      </c>
      <c r="L159" s="229"/>
      <c r="M159" s="173"/>
      <c r="Q159" s="377">
        <f t="shared" si="19"/>
        <v>181</v>
      </c>
      <c r="R159" s="350">
        <v>33.69</v>
      </c>
      <c r="S159" s="351" t="str">
        <f t="shared" si="17"/>
        <v>OK</v>
      </c>
    </row>
    <row r="160" spans="1:19">
      <c r="A160" s="497">
        <f t="shared" si="20"/>
        <v>143</v>
      </c>
      <c r="B160" s="540" t="s">
        <v>98</v>
      </c>
      <c r="C160" s="541"/>
      <c r="D160" s="542"/>
      <c r="E160" s="211">
        <f>'7" 26# Deck Tally'!B144</f>
        <v>180</v>
      </c>
      <c r="F160" s="347">
        <f>'7" 26# Deck Tally'!C144</f>
        <v>33.49</v>
      </c>
      <c r="G160" s="18">
        <f t="shared" si="18"/>
        <v>33.091999999999999</v>
      </c>
      <c r="H160" s="18" t="s">
        <v>9</v>
      </c>
      <c r="I160" s="18">
        <f t="shared" si="14"/>
        <v>4703.1639999999998</v>
      </c>
      <c r="J160" s="18">
        <f t="shared" si="15"/>
        <v>9068.6985000000022</v>
      </c>
      <c r="K160" s="216">
        <f t="shared" si="16"/>
        <v>228.98329059129105</v>
      </c>
      <c r="L160" s="229"/>
      <c r="M160" s="173"/>
      <c r="Q160" s="377">
        <f t="shared" si="19"/>
        <v>180</v>
      </c>
      <c r="R160" s="350">
        <v>33.49</v>
      </c>
      <c r="S160" s="351" t="str">
        <f t="shared" si="17"/>
        <v>OK</v>
      </c>
    </row>
    <row r="161" spans="1:19">
      <c r="A161" s="497">
        <f t="shared" si="20"/>
        <v>144</v>
      </c>
      <c r="B161" s="540" t="s">
        <v>98</v>
      </c>
      <c r="C161" s="541"/>
      <c r="D161" s="542"/>
      <c r="E161" s="211">
        <f>'7" 26# Deck Tally'!B145</f>
        <v>179</v>
      </c>
      <c r="F161" s="347">
        <f>'7" 26# Deck Tally'!C145</f>
        <v>33.630000000000003</v>
      </c>
      <c r="G161" s="18">
        <f t="shared" si="18"/>
        <v>33.231999999999999</v>
      </c>
      <c r="H161" s="18" t="s">
        <v>9</v>
      </c>
      <c r="I161" s="18">
        <f t="shared" si="14"/>
        <v>4736.3959999999997</v>
      </c>
      <c r="J161" s="18">
        <f t="shared" si="15"/>
        <v>9035.4665000000023</v>
      </c>
      <c r="K161" s="216">
        <f t="shared" si="16"/>
        <v>229.69682656684492</v>
      </c>
      <c r="L161" s="229"/>
      <c r="M161" s="173"/>
      <c r="Q161" s="377">
        <f t="shared" si="19"/>
        <v>179</v>
      </c>
      <c r="R161" s="350">
        <v>33.630000000000003</v>
      </c>
      <c r="S161" s="351" t="str">
        <f t="shared" si="17"/>
        <v>OK</v>
      </c>
    </row>
    <row r="162" spans="1:19">
      <c r="A162" s="497">
        <f t="shared" si="20"/>
        <v>145</v>
      </c>
      <c r="B162" s="540" t="s">
        <v>98</v>
      </c>
      <c r="C162" s="541"/>
      <c r="D162" s="542"/>
      <c r="E162" s="211">
        <f>'7" 26# Deck Tally'!B146</f>
        <v>178</v>
      </c>
      <c r="F162" s="347">
        <f>'7" 26# Deck Tally'!C146</f>
        <v>33.72</v>
      </c>
      <c r="G162" s="18">
        <f t="shared" si="18"/>
        <v>33.321999999999996</v>
      </c>
      <c r="H162" s="18" t="s">
        <v>9</v>
      </c>
      <c r="I162" s="18">
        <f t="shared" si="14"/>
        <v>4769.7179999999998</v>
      </c>
      <c r="J162" s="18">
        <f t="shared" si="15"/>
        <v>9002.1445000000022</v>
      </c>
      <c r="K162" s="216">
        <f t="shared" si="16"/>
        <v>230.41229496409471</v>
      </c>
      <c r="L162" s="229"/>
      <c r="M162" s="173"/>
      <c r="N162" s="19"/>
      <c r="O162" s="19"/>
      <c r="P162" s="19"/>
      <c r="Q162" s="377">
        <f t="shared" si="19"/>
        <v>178</v>
      </c>
      <c r="R162" s="350">
        <v>33.72</v>
      </c>
      <c r="S162" s="351" t="str">
        <f t="shared" si="17"/>
        <v>OK</v>
      </c>
    </row>
    <row r="163" spans="1:19">
      <c r="A163" s="497">
        <f t="shared" si="20"/>
        <v>146</v>
      </c>
      <c r="B163" s="540" t="s">
        <v>98</v>
      </c>
      <c r="C163" s="541"/>
      <c r="D163" s="542"/>
      <c r="E163" s="211">
        <f>'7" 26# Deck Tally'!B147</f>
        <v>177</v>
      </c>
      <c r="F163" s="347">
        <f>'7" 26# Deck Tally'!C147</f>
        <v>33.479999999999997</v>
      </c>
      <c r="G163" s="18">
        <f t="shared" si="18"/>
        <v>33.081999999999994</v>
      </c>
      <c r="H163" s="18" t="s">
        <v>9</v>
      </c>
      <c r="I163" s="18">
        <f t="shared" si="14"/>
        <v>4802.8</v>
      </c>
      <c r="J163" s="18">
        <f t="shared" si="15"/>
        <v>8969.0625</v>
      </c>
      <c r="K163" s="216">
        <f t="shared" si="16"/>
        <v>231.122610236822</v>
      </c>
      <c r="L163" s="229"/>
      <c r="M163" s="173"/>
      <c r="Q163" s="377">
        <f t="shared" si="19"/>
        <v>177</v>
      </c>
      <c r="R163" s="350">
        <v>33.479999999999997</v>
      </c>
      <c r="S163" s="351" t="str">
        <f t="shared" si="17"/>
        <v>OK</v>
      </c>
    </row>
    <row r="164" spans="1:19">
      <c r="A164" s="497">
        <f t="shared" si="20"/>
        <v>147</v>
      </c>
      <c r="B164" s="540" t="s">
        <v>98</v>
      </c>
      <c r="C164" s="541"/>
      <c r="D164" s="542"/>
      <c r="E164" s="211">
        <f>'7" 26# Deck Tally'!B148</f>
        <v>176</v>
      </c>
      <c r="F164" s="347">
        <f>'7" 26# Deck Tally'!C148</f>
        <v>33.56</v>
      </c>
      <c r="G164" s="18">
        <f t="shared" si="18"/>
        <v>33.161999999999999</v>
      </c>
      <c r="H164" s="18" t="s">
        <v>9</v>
      </c>
      <c r="I164" s="18">
        <f t="shared" si="14"/>
        <v>4835.9620000000004</v>
      </c>
      <c r="J164" s="18">
        <f t="shared" si="15"/>
        <v>8935.9004999999997</v>
      </c>
      <c r="K164" s="216">
        <f t="shared" si="16"/>
        <v>231.83464321772345</v>
      </c>
      <c r="L164" s="229"/>
      <c r="M164" s="173"/>
      <c r="Q164" s="377">
        <f t="shared" si="19"/>
        <v>176</v>
      </c>
      <c r="R164" s="350">
        <v>33.56</v>
      </c>
      <c r="S164" s="351" t="str">
        <f t="shared" si="17"/>
        <v>OK</v>
      </c>
    </row>
    <row r="165" spans="1:19">
      <c r="A165" s="497">
        <f t="shared" si="20"/>
        <v>148</v>
      </c>
      <c r="B165" s="540" t="s">
        <v>98</v>
      </c>
      <c r="C165" s="541"/>
      <c r="D165" s="542"/>
      <c r="E165" s="211">
        <f>'7" 26# Deck Tally'!B149</f>
        <v>175</v>
      </c>
      <c r="F165" s="347">
        <f>'7" 26# Deck Tally'!C149</f>
        <v>33.44</v>
      </c>
      <c r="G165" s="18">
        <f t="shared" si="18"/>
        <v>33.041999999999994</v>
      </c>
      <c r="H165" s="18" t="s">
        <v>9</v>
      </c>
      <c r="I165" s="18">
        <f t="shared" si="14"/>
        <v>4869.0040000000008</v>
      </c>
      <c r="J165" s="18">
        <f t="shared" si="15"/>
        <v>8902.8585000000003</v>
      </c>
      <c r="K165" s="216">
        <f t="shared" si="16"/>
        <v>232.54409963636365</v>
      </c>
      <c r="L165" s="229"/>
      <c r="M165" s="173"/>
      <c r="Q165" s="377">
        <f t="shared" si="19"/>
        <v>175</v>
      </c>
      <c r="R165" s="350">
        <v>33.44</v>
      </c>
      <c r="S165" s="351" t="str">
        <f t="shared" si="17"/>
        <v>OK</v>
      </c>
    </row>
    <row r="166" spans="1:19">
      <c r="A166" s="497">
        <f t="shared" si="20"/>
        <v>149</v>
      </c>
      <c r="B166" s="540" t="s">
        <v>98</v>
      </c>
      <c r="C166" s="541"/>
      <c r="D166" s="542"/>
      <c r="E166" s="211">
        <f>'7" 26# Deck Tally'!B150</f>
        <v>174</v>
      </c>
      <c r="F166" s="347">
        <f>'7" 26# Deck Tally'!C150</f>
        <v>33.58</v>
      </c>
      <c r="G166" s="18">
        <f t="shared" si="18"/>
        <v>33.181999999999995</v>
      </c>
      <c r="H166" s="18" t="s">
        <v>9</v>
      </c>
      <c r="I166" s="18">
        <f t="shared" si="14"/>
        <v>4902.1860000000006</v>
      </c>
      <c r="J166" s="18">
        <f t="shared" si="15"/>
        <v>8869.6765000000014</v>
      </c>
      <c r="K166" s="216">
        <f t="shared" si="16"/>
        <v>233.25656204430865</v>
      </c>
      <c r="L166" s="229"/>
      <c r="M166" s="173"/>
      <c r="Q166" s="377">
        <f t="shared" si="19"/>
        <v>174</v>
      </c>
      <c r="R166" s="350">
        <v>33.58</v>
      </c>
      <c r="S166" s="351" t="str">
        <f t="shared" si="17"/>
        <v>OK</v>
      </c>
    </row>
    <row r="167" spans="1:19">
      <c r="A167" s="497">
        <f t="shared" si="20"/>
        <v>150</v>
      </c>
      <c r="B167" s="540" t="s">
        <v>98</v>
      </c>
      <c r="C167" s="541"/>
      <c r="D167" s="542"/>
      <c r="E167" s="211">
        <f>'7" 26# Deck Tally'!B151</f>
        <v>173</v>
      </c>
      <c r="F167" s="347">
        <f>'7" 26# Deck Tally'!C151</f>
        <v>33.64</v>
      </c>
      <c r="G167" s="18">
        <f t="shared" si="18"/>
        <v>33.241999999999997</v>
      </c>
      <c r="H167" s="18" t="s">
        <v>9</v>
      </c>
      <c r="I167" s="18">
        <f t="shared" si="14"/>
        <v>4935.4280000000008</v>
      </c>
      <c r="J167" s="18">
        <f t="shared" si="15"/>
        <v>8836.4344999999994</v>
      </c>
      <c r="K167" s="216">
        <f t="shared" si="16"/>
        <v>233.97031273338428</v>
      </c>
      <c r="L167" s="229"/>
      <c r="M167" s="173"/>
      <c r="Q167" s="377">
        <f t="shared" si="19"/>
        <v>173</v>
      </c>
      <c r="R167" s="350">
        <v>33.64</v>
      </c>
      <c r="S167" s="351" t="str">
        <f t="shared" si="17"/>
        <v>OK</v>
      </c>
    </row>
    <row r="168" spans="1:19">
      <c r="A168" s="497">
        <f t="shared" si="20"/>
        <v>151</v>
      </c>
      <c r="B168" s="540" t="s">
        <v>98</v>
      </c>
      <c r="C168" s="541"/>
      <c r="D168" s="542"/>
      <c r="E168" s="211">
        <f>'7" 26# Deck Tally'!B152</f>
        <v>172</v>
      </c>
      <c r="F168" s="347">
        <f>'7" 26# Deck Tally'!C152</f>
        <v>33.75</v>
      </c>
      <c r="G168" s="18">
        <f t="shared" si="18"/>
        <v>33.351999999999997</v>
      </c>
      <c r="H168" s="18" t="s">
        <v>9</v>
      </c>
      <c r="I168" s="18">
        <f t="shared" si="14"/>
        <v>4968.7800000000007</v>
      </c>
      <c r="J168" s="18">
        <f t="shared" si="15"/>
        <v>8803.0825000000004</v>
      </c>
      <c r="K168" s="216">
        <f t="shared" si="16"/>
        <v>234.68642527119943</v>
      </c>
      <c r="L168" s="229"/>
      <c r="M168" s="173"/>
      <c r="Q168" s="377">
        <f t="shared" si="19"/>
        <v>172</v>
      </c>
      <c r="R168" s="350">
        <v>33.75</v>
      </c>
      <c r="S168" s="351" t="str">
        <f t="shared" si="17"/>
        <v>OK</v>
      </c>
    </row>
    <row r="169" spans="1:19">
      <c r="A169" s="497">
        <f t="shared" si="20"/>
        <v>152</v>
      </c>
      <c r="B169" s="540" t="s">
        <v>98</v>
      </c>
      <c r="C169" s="541"/>
      <c r="D169" s="542"/>
      <c r="E169" s="211">
        <f>'7" 26# Deck Tally'!B153</f>
        <v>171</v>
      </c>
      <c r="F169" s="347">
        <f>'7" 26# Deck Tally'!C153</f>
        <v>33.51</v>
      </c>
      <c r="G169" s="18">
        <f t="shared" si="18"/>
        <v>33.111999999999995</v>
      </c>
      <c r="H169" s="18" t="s">
        <v>9</v>
      </c>
      <c r="I169" s="18">
        <f t="shared" si="14"/>
        <v>5001.8920000000007</v>
      </c>
      <c r="J169" s="18">
        <f t="shared" si="15"/>
        <v>8769.9704999999994</v>
      </c>
      <c r="K169" s="216">
        <f t="shared" si="16"/>
        <v>235.39738468449201</v>
      </c>
      <c r="L169" s="229"/>
      <c r="M169" s="173"/>
      <c r="Q169" s="377">
        <f t="shared" si="19"/>
        <v>171</v>
      </c>
      <c r="R169" s="350">
        <v>33.51</v>
      </c>
      <c r="S169" s="351" t="str">
        <f t="shared" si="17"/>
        <v>OK</v>
      </c>
    </row>
    <row r="170" spans="1:19">
      <c r="A170" s="497">
        <f t="shared" si="20"/>
        <v>153</v>
      </c>
      <c r="B170" s="540" t="s">
        <v>98</v>
      </c>
      <c r="C170" s="541"/>
      <c r="D170" s="542"/>
      <c r="E170" s="211">
        <f>'7" 26# Deck Tally'!B154</f>
        <v>170</v>
      </c>
      <c r="F170" s="347">
        <f>'7" 26# Deck Tally'!C154</f>
        <v>33.869999999999997</v>
      </c>
      <c r="G170" s="18">
        <f t="shared" si="18"/>
        <v>33.471999999999994</v>
      </c>
      <c r="H170" s="18" t="s">
        <v>9</v>
      </c>
      <c r="I170" s="18">
        <f t="shared" si="14"/>
        <v>5035.3640000000005</v>
      </c>
      <c r="J170" s="18">
        <f t="shared" si="15"/>
        <v>8736.4985000000015</v>
      </c>
      <c r="K170" s="216">
        <f t="shared" si="16"/>
        <v>236.11607378456836</v>
      </c>
      <c r="L170" s="229"/>
      <c r="M170" s="173"/>
      <c r="Q170" s="377">
        <f t="shared" si="19"/>
        <v>170</v>
      </c>
      <c r="R170" s="350">
        <v>33.869999999999997</v>
      </c>
      <c r="S170" s="351" t="str">
        <f t="shared" si="17"/>
        <v>OK</v>
      </c>
    </row>
    <row r="171" spans="1:19">
      <c r="A171" s="497">
        <f t="shared" si="20"/>
        <v>154</v>
      </c>
      <c r="B171" s="540" t="s">
        <v>98</v>
      </c>
      <c r="C171" s="541"/>
      <c r="D171" s="542"/>
      <c r="E171" s="211">
        <f>'7" 26# Deck Tally'!B155</f>
        <v>169</v>
      </c>
      <c r="F171" s="347">
        <f>'7" 26# Deck Tally'!C155</f>
        <v>33.659999999999997</v>
      </c>
      <c r="G171" s="18">
        <f t="shared" si="18"/>
        <v>33.261999999999993</v>
      </c>
      <c r="H171" s="18" t="s">
        <v>9</v>
      </c>
      <c r="I171" s="18">
        <f t="shared" si="14"/>
        <v>5068.6260000000002</v>
      </c>
      <c r="J171" s="18">
        <f t="shared" si="15"/>
        <v>8703.2365000000009</v>
      </c>
      <c r="K171" s="216">
        <f t="shared" si="16"/>
        <v>236.83025390068758</v>
      </c>
      <c r="L171" s="229"/>
      <c r="M171" s="173"/>
      <c r="Q171" s="377">
        <f t="shared" si="19"/>
        <v>169</v>
      </c>
      <c r="R171" s="350">
        <v>33.659999999999997</v>
      </c>
      <c r="S171" s="351" t="str">
        <f t="shared" si="17"/>
        <v>OK</v>
      </c>
    </row>
    <row r="172" spans="1:19">
      <c r="A172" s="497">
        <f t="shared" si="20"/>
        <v>155</v>
      </c>
      <c r="B172" s="540" t="s">
        <v>98</v>
      </c>
      <c r="C172" s="541"/>
      <c r="D172" s="542"/>
      <c r="E172" s="211">
        <f>'7" 26# Deck Tally'!B156</f>
        <v>168</v>
      </c>
      <c r="F172" s="347">
        <f>'7" 26# Deck Tally'!C156</f>
        <v>33.409999999999997</v>
      </c>
      <c r="G172" s="18">
        <f t="shared" si="18"/>
        <v>33.011999999999993</v>
      </c>
      <c r="H172" s="18" t="s">
        <v>9</v>
      </c>
      <c r="I172" s="18">
        <f t="shared" si="14"/>
        <v>5101.6379999999999</v>
      </c>
      <c r="J172" s="18">
        <f t="shared" si="15"/>
        <v>8670.2245000000003</v>
      </c>
      <c r="K172" s="216">
        <f t="shared" si="16"/>
        <v>237.53906617876243</v>
      </c>
      <c r="L172" s="229"/>
      <c r="M172" s="173"/>
      <c r="Q172" s="377">
        <f t="shared" si="19"/>
        <v>168</v>
      </c>
      <c r="R172" s="350">
        <v>33.409999999999997</v>
      </c>
      <c r="S172" s="351" t="str">
        <f t="shared" si="17"/>
        <v>OK</v>
      </c>
    </row>
    <row r="173" spans="1:19">
      <c r="A173" s="497">
        <f t="shared" si="20"/>
        <v>156</v>
      </c>
      <c r="B173" s="540" t="s">
        <v>98</v>
      </c>
      <c r="C173" s="541"/>
      <c r="D173" s="542"/>
      <c r="E173" s="211">
        <f>'7" 26# Deck Tally'!B157</f>
        <v>167</v>
      </c>
      <c r="F173" s="347">
        <f>'7" 26# Deck Tally'!C157</f>
        <v>33.68</v>
      </c>
      <c r="G173" s="18">
        <f t="shared" si="18"/>
        <v>33.281999999999996</v>
      </c>
      <c r="H173" s="18" t="s">
        <v>9</v>
      </c>
      <c r="I173" s="18">
        <f t="shared" si="14"/>
        <v>5134.92</v>
      </c>
      <c r="J173" s="18">
        <f t="shared" si="15"/>
        <v>8636.942500000001</v>
      </c>
      <c r="K173" s="216">
        <f t="shared" si="16"/>
        <v>238.25367572192516</v>
      </c>
      <c r="L173" s="229"/>
      <c r="M173" s="173"/>
      <c r="Q173" s="377">
        <f t="shared" si="19"/>
        <v>167</v>
      </c>
      <c r="R173" s="350">
        <v>33.68</v>
      </c>
      <c r="S173" s="351" t="str">
        <f t="shared" si="17"/>
        <v>OK</v>
      </c>
    </row>
    <row r="174" spans="1:19">
      <c r="A174" s="497">
        <f t="shared" si="20"/>
        <v>157</v>
      </c>
      <c r="B174" s="540" t="s">
        <v>98</v>
      </c>
      <c r="C174" s="541"/>
      <c r="D174" s="542"/>
      <c r="E174" s="211">
        <f>'7" 26# Deck Tally'!B158</f>
        <v>166</v>
      </c>
      <c r="F174" s="347">
        <f>'7" 26# Deck Tally'!C158</f>
        <v>33.590000000000003</v>
      </c>
      <c r="G174" s="18">
        <f t="shared" si="18"/>
        <v>33.192</v>
      </c>
      <c r="H174" s="18" t="s">
        <v>9</v>
      </c>
      <c r="I174" s="18">
        <f t="shared" si="14"/>
        <v>5168.1120000000001</v>
      </c>
      <c r="J174" s="18">
        <f t="shared" si="15"/>
        <v>8603.7505000000019</v>
      </c>
      <c r="K174" s="216">
        <f t="shared" si="16"/>
        <v>238.96635284339192</v>
      </c>
      <c r="L174" s="229"/>
      <c r="M174" s="173"/>
      <c r="Q174" s="377">
        <f t="shared" si="19"/>
        <v>166</v>
      </c>
      <c r="R174" s="350">
        <v>33.590000000000003</v>
      </c>
      <c r="S174" s="351" t="str">
        <f t="shared" si="17"/>
        <v>OK</v>
      </c>
    </row>
    <row r="175" spans="1:19">
      <c r="A175" s="497">
        <f t="shared" si="20"/>
        <v>158</v>
      </c>
      <c r="B175" s="540" t="s">
        <v>98</v>
      </c>
      <c r="C175" s="541"/>
      <c r="D175" s="542"/>
      <c r="E175" s="211">
        <f>'7" 26# Deck Tally'!B159</f>
        <v>165</v>
      </c>
      <c r="F175" s="347">
        <f>'7" 26# Deck Tally'!C159</f>
        <v>33.28</v>
      </c>
      <c r="G175" s="18">
        <f t="shared" si="18"/>
        <v>32.881999999999998</v>
      </c>
      <c r="H175" s="18" t="s">
        <v>9</v>
      </c>
      <c r="I175" s="18">
        <f t="shared" si="14"/>
        <v>5200.9939999999997</v>
      </c>
      <c r="J175" s="18">
        <f t="shared" si="15"/>
        <v>8570.8685000000005</v>
      </c>
      <c r="K175" s="216">
        <f t="shared" si="16"/>
        <v>239.67237384568372</v>
      </c>
      <c r="L175" s="229"/>
      <c r="M175" s="173"/>
      <c r="Q175" s="377">
        <f t="shared" si="19"/>
        <v>165</v>
      </c>
      <c r="R175" s="350">
        <v>33.28</v>
      </c>
      <c r="S175" s="351" t="str">
        <f t="shared" si="17"/>
        <v>OK</v>
      </c>
    </row>
    <row r="176" spans="1:19">
      <c r="A176" s="497">
        <f t="shared" si="20"/>
        <v>159</v>
      </c>
      <c r="B176" s="540" t="s">
        <v>98</v>
      </c>
      <c r="C176" s="541"/>
      <c r="D176" s="542"/>
      <c r="E176" s="211">
        <f>'7" 26# Deck Tally'!B160</f>
        <v>164</v>
      </c>
      <c r="F176" s="347">
        <f>'7" 26# Deck Tally'!C160</f>
        <v>33.64</v>
      </c>
      <c r="G176" s="18">
        <f t="shared" si="18"/>
        <v>33.241999999999997</v>
      </c>
      <c r="H176" s="18" t="s">
        <v>9</v>
      </c>
      <c r="I176" s="18">
        <f t="shared" si="14"/>
        <v>5234.2359999999999</v>
      </c>
      <c r="J176" s="18">
        <f t="shared" si="15"/>
        <v>8537.6265000000021</v>
      </c>
      <c r="K176" s="216">
        <f t="shared" si="16"/>
        <v>240.38612453475935</v>
      </c>
      <c r="L176" s="229"/>
      <c r="M176" s="173"/>
      <c r="Q176" s="377">
        <f t="shared" si="19"/>
        <v>164</v>
      </c>
      <c r="R176" s="350">
        <v>33.64</v>
      </c>
      <c r="S176" s="351" t="str">
        <f t="shared" si="17"/>
        <v>OK</v>
      </c>
    </row>
    <row r="177" spans="1:19">
      <c r="A177" s="497">
        <f t="shared" si="20"/>
        <v>160</v>
      </c>
      <c r="B177" s="540" t="s">
        <v>98</v>
      </c>
      <c r="C177" s="541"/>
      <c r="D177" s="542"/>
      <c r="E177" s="211">
        <f>'7" 26# Deck Tally'!B161</f>
        <v>163</v>
      </c>
      <c r="F177" s="347">
        <f>'7" 26# Deck Tally'!C161</f>
        <v>33.979999999999997</v>
      </c>
      <c r="G177" s="18">
        <f t="shared" si="18"/>
        <v>33.581999999999994</v>
      </c>
      <c r="H177" s="18" t="s">
        <v>9</v>
      </c>
      <c r="I177" s="18">
        <f t="shared" si="14"/>
        <v>5267.8180000000002</v>
      </c>
      <c r="J177" s="18">
        <f t="shared" si="15"/>
        <v>8504.0445</v>
      </c>
      <c r="K177" s="216">
        <f t="shared" si="16"/>
        <v>241.10717548357525</v>
      </c>
      <c r="L177" s="229"/>
      <c r="M177" s="173"/>
      <c r="Q177" s="377">
        <f t="shared" si="19"/>
        <v>163</v>
      </c>
      <c r="R177" s="350">
        <v>33.979999999999997</v>
      </c>
      <c r="S177" s="351" t="str">
        <f t="shared" si="17"/>
        <v>OK</v>
      </c>
    </row>
    <row r="178" spans="1:19">
      <c r="A178" s="497">
        <f t="shared" si="20"/>
        <v>161</v>
      </c>
      <c r="B178" s="540" t="s">
        <v>98</v>
      </c>
      <c r="C178" s="541"/>
      <c r="D178" s="542"/>
      <c r="E178" s="211">
        <f>'7" 26# Deck Tally'!B162</f>
        <v>162</v>
      </c>
      <c r="F178" s="347">
        <f>'7" 26# Deck Tally'!C162</f>
        <v>33.75</v>
      </c>
      <c r="G178" s="18">
        <f t="shared" si="18"/>
        <v>33.351999999999997</v>
      </c>
      <c r="H178" s="18" t="s">
        <v>9</v>
      </c>
      <c r="I178" s="18">
        <f t="shared" si="14"/>
        <v>5301.17</v>
      </c>
      <c r="J178" s="18">
        <f t="shared" si="15"/>
        <v>8470.692500000001</v>
      </c>
      <c r="K178" s="216">
        <f t="shared" si="16"/>
        <v>241.8232880213904</v>
      </c>
      <c r="L178" s="229"/>
      <c r="M178" s="173"/>
      <c r="Q178" s="377">
        <f t="shared" si="19"/>
        <v>162</v>
      </c>
      <c r="R178" s="350">
        <v>33.75</v>
      </c>
      <c r="S178" s="351" t="str">
        <f t="shared" si="17"/>
        <v>OK</v>
      </c>
    </row>
    <row r="179" spans="1:19">
      <c r="A179" s="497">
        <f t="shared" si="20"/>
        <v>162</v>
      </c>
      <c r="B179" s="540" t="s">
        <v>98</v>
      </c>
      <c r="C179" s="541"/>
      <c r="D179" s="542"/>
      <c r="E179" s="211">
        <f>'7" 26# Deck Tally'!B163</f>
        <v>161</v>
      </c>
      <c r="F179" s="347">
        <f>'7" 26# Deck Tally'!C163</f>
        <v>32.049999999999997</v>
      </c>
      <c r="G179" s="18">
        <f t="shared" si="18"/>
        <v>31.651999999999997</v>
      </c>
      <c r="H179" s="18" t="s">
        <v>9</v>
      </c>
      <c r="I179" s="18">
        <f t="shared" si="14"/>
        <v>5332.8220000000001</v>
      </c>
      <c r="J179" s="18">
        <f t="shared" si="15"/>
        <v>8439.040500000001</v>
      </c>
      <c r="K179" s="216">
        <f t="shared" si="16"/>
        <v>242.50289926050422</v>
      </c>
      <c r="L179" s="229"/>
      <c r="M179" s="173"/>
      <c r="Q179" s="377">
        <f t="shared" si="19"/>
        <v>161</v>
      </c>
      <c r="R179" s="350">
        <v>32.049999999999997</v>
      </c>
      <c r="S179" s="351" t="str">
        <f t="shared" si="17"/>
        <v>OK</v>
      </c>
    </row>
    <row r="180" spans="1:19">
      <c r="A180" s="497">
        <f t="shared" si="20"/>
        <v>163</v>
      </c>
      <c r="B180" s="540" t="s">
        <v>98</v>
      </c>
      <c r="C180" s="541"/>
      <c r="D180" s="542"/>
      <c r="E180" s="211">
        <f>'7" 26# Deck Tally'!B164</f>
        <v>160</v>
      </c>
      <c r="F180" s="347">
        <f>'7" 26# Deck Tally'!C164</f>
        <v>33.81</v>
      </c>
      <c r="G180" s="18">
        <f t="shared" si="18"/>
        <v>33.411999999999999</v>
      </c>
      <c r="H180" s="18" t="s">
        <v>9</v>
      </c>
      <c r="I180" s="18">
        <f t="shared" si="14"/>
        <v>5366.2340000000004</v>
      </c>
      <c r="J180" s="18">
        <f t="shared" si="15"/>
        <v>8405.6285000000007</v>
      </c>
      <c r="K180" s="216">
        <f t="shared" si="16"/>
        <v>243.22030007944997</v>
      </c>
      <c r="L180" s="229"/>
      <c r="M180" s="173"/>
      <c r="Q180" s="377">
        <f t="shared" si="19"/>
        <v>160</v>
      </c>
      <c r="R180" s="350">
        <v>33.81</v>
      </c>
      <c r="S180" s="351" t="str">
        <f t="shared" si="17"/>
        <v>OK</v>
      </c>
    </row>
    <row r="181" spans="1:19">
      <c r="A181" s="497">
        <f t="shared" si="20"/>
        <v>164</v>
      </c>
      <c r="B181" s="540" t="s">
        <v>98</v>
      </c>
      <c r="C181" s="541"/>
      <c r="D181" s="542"/>
      <c r="E181" s="211">
        <f>'7" 26# Deck Tally'!B165</f>
        <v>159</v>
      </c>
      <c r="F181" s="347">
        <f>'7" 26# Deck Tally'!C165</f>
        <v>32.14</v>
      </c>
      <c r="G181" s="18">
        <f t="shared" si="18"/>
        <v>31.742000000000001</v>
      </c>
      <c r="H181" s="18" t="s">
        <v>9</v>
      </c>
      <c r="I181" s="18">
        <f t="shared" si="14"/>
        <v>5397.9760000000006</v>
      </c>
      <c r="J181" s="18">
        <f t="shared" si="15"/>
        <v>8373.8865000000005</v>
      </c>
      <c r="K181" s="216">
        <f t="shared" si="16"/>
        <v>243.90184374025978</v>
      </c>
      <c r="L181" s="229"/>
      <c r="M181" s="173"/>
      <c r="Q181" s="377">
        <f t="shared" si="19"/>
        <v>159</v>
      </c>
      <c r="R181" s="350">
        <v>32.14</v>
      </c>
      <c r="S181" s="351" t="str">
        <f t="shared" si="17"/>
        <v>OK</v>
      </c>
    </row>
    <row r="182" spans="1:19">
      <c r="A182" s="497">
        <f t="shared" si="20"/>
        <v>165</v>
      </c>
      <c r="B182" s="540" t="s">
        <v>98</v>
      </c>
      <c r="C182" s="541"/>
      <c r="D182" s="542"/>
      <c r="E182" s="211">
        <f>'7" 26# Deck Tally'!B166</f>
        <v>158</v>
      </c>
      <c r="F182" s="347">
        <f>'7" 26# Deck Tally'!C166</f>
        <v>33.82</v>
      </c>
      <c r="G182" s="18">
        <f t="shared" si="18"/>
        <v>33.421999999999997</v>
      </c>
      <c r="H182" s="18" t="s">
        <v>9</v>
      </c>
      <c r="I182" s="18">
        <f t="shared" si="14"/>
        <v>5431.3980000000001</v>
      </c>
      <c r="J182" s="18">
        <f t="shared" si="15"/>
        <v>8340.4645000000019</v>
      </c>
      <c r="K182" s="216">
        <f t="shared" si="16"/>
        <v>244.61945927272728</v>
      </c>
      <c r="L182" s="229"/>
      <c r="M182" s="173"/>
      <c r="Q182" s="377">
        <f t="shared" si="19"/>
        <v>158</v>
      </c>
      <c r="R182" s="350">
        <v>33.82</v>
      </c>
      <c r="S182" s="351" t="str">
        <f t="shared" si="17"/>
        <v>OK</v>
      </c>
    </row>
    <row r="183" spans="1:19">
      <c r="A183" s="497">
        <f t="shared" si="20"/>
        <v>166</v>
      </c>
      <c r="B183" s="540" t="s">
        <v>98</v>
      </c>
      <c r="C183" s="541"/>
      <c r="D183" s="542"/>
      <c r="E183" s="211">
        <f>'7" 26# Deck Tally'!B167</f>
        <v>157</v>
      </c>
      <c r="F183" s="347">
        <f>'7" 26# Deck Tally'!C167</f>
        <v>33.57</v>
      </c>
      <c r="G183" s="18">
        <f t="shared" si="18"/>
        <v>33.171999999999997</v>
      </c>
      <c r="H183" s="18" t="s">
        <v>9</v>
      </c>
      <c r="I183" s="18">
        <f t="shared" si="14"/>
        <v>5464.57</v>
      </c>
      <c r="J183" s="18">
        <f t="shared" si="15"/>
        <v>8307.2925000000014</v>
      </c>
      <c r="K183" s="216">
        <f t="shared" si="16"/>
        <v>245.3317069671505</v>
      </c>
      <c r="L183" s="229"/>
      <c r="M183" s="173"/>
      <c r="Q183" s="377">
        <f t="shared" si="19"/>
        <v>157</v>
      </c>
      <c r="R183" s="350">
        <v>33.57</v>
      </c>
      <c r="S183" s="351" t="str">
        <f t="shared" si="17"/>
        <v>OK</v>
      </c>
    </row>
    <row r="184" spans="1:19">
      <c r="A184" s="497">
        <f t="shared" si="20"/>
        <v>167</v>
      </c>
      <c r="B184" s="540" t="s">
        <v>98</v>
      </c>
      <c r="C184" s="541"/>
      <c r="D184" s="542"/>
      <c r="E184" s="211">
        <f>'7" 26# Deck Tally'!B168</f>
        <v>156</v>
      </c>
      <c r="F184" s="347">
        <f>'7" 26# Deck Tally'!C168</f>
        <v>33.65</v>
      </c>
      <c r="G184" s="18">
        <f t="shared" si="18"/>
        <v>33.251999999999995</v>
      </c>
      <c r="H184" s="18" t="s">
        <v>9</v>
      </c>
      <c r="I184" s="18">
        <f t="shared" si="14"/>
        <v>5497.8220000000001</v>
      </c>
      <c r="J184" s="18">
        <f t="shared" si="15"/>
        <v>8274.040500000001</v>
      </c>
      <c r="K184" s="216">
        <f t="shared" si="16"/>
        <v>246.0456723697479</v>
      </c>
      <c r="L184" s="229"/>
      <c r="M184" s="173"/>
      <c r="Q184" s="377">
        <f t="shared" si="19"/>
        <v>156</v>
      </c>
      <c r="R184" s="350">
        <v>33.65</v>
      </c>
      <c r="S184" s="351" t="str">
        <f t="shared" si="17"/>
        <v>OK</v>
      </c>
    </row>
    <row r="185" spans="1:19">
      <c r="A185" s="497">
        <f t="shared" si="20"/>
        <v>168</v>
      </c>
      <c r="B185" s="540" t="s">
        <v>98</v>
      </c>
      <c r="C185" s="541"/>
      <c r="D185" s="542"/>
      <c r="E185" s="211">
        <f>'7" 26# Deck Tally'!B169</f>
        <v>155</v>
      </c>
      <c r="F185" s="347">
        <f>'7" 26# Deck Tally'!C169</f>
        <v>33.67</v>
      </c>
      <c r="G185" s="18">
        <f t="shared" si="18"/>
        <v>33.271999999999998</v>
      </c>
      <c r="H185" s="18" t="s">
        <v>9</v>
      </c>
      <c r="I185" s="18">
        <f t="shared" si="14"/>
        <v>5531.0940000000001</v>
      </c>
      <c r="J185" s="18">
        <f t="shared" si="15"/>
        <v>8240.7685000000019</v>
      </c>
      <c r="K185" s="216">
        <f t="shared" si="16"/>
        <v>246.76006719938886</v>
      </c>
      <c r="L185" s="229"/>
      <c r="M185" s="173"/>
      <c r="Q185" s="377">
        <f t="shared" si="19"/>
        <v>155</v>
      </c>
      <c r="R185" s="350">
        <v>33.67</v>
      </c>
      <c r="S185" s="351" t="str">
        <f t="shared" si="17"/>
        <v>OK</v>
      </c>
    </row>
    <row r="186" spans="1:19">
      <c r="A186" s="497">
        <f t="shared" si="20"/>
        <v>169</v>
      </c>
      <c r="B186" s="540" t="s">
        <v>98</v>
      </c>
      <c r="C186" s="541"/>
      <c r="D186" s="542"/>
      <c r="E186" s="211">
        <f>'7" 26# Deck Tally'!B170</f>
        <v>154</v>
      </c>
      <c r="F186" s="347">
        <f>'7" 26# Deck Tally'!C170</f>
        <v>32.11</v>
      </c>
      <c r="G186" s="18">
        <f t="shared" si="18"/>
        <v>31.712</v>
      </c>
      <c r="H186" s="18" t="s">
        <v>9</v>
      </c>
      <c r="I186" s="18">
        <f t="shared" si="14"/>
        <v>5562.8060000000005</v>
      </c>
      <c r="J186" s="18">
        <f t="shared" si="15"/>
        <v>8209.0565000000006</v>
      </c>
      <c r="K186" s="216">
        <f t="shared" si="16"/>
        <v>247.44096671963331</v>
      </c>
      <c r="L186" s="229"/>
      <c r="M186" s="173"/>
      <c r="Q186" s="377">
        <f t="shared" si="19"/>
        <v>154</v>
      </c>
      <c r="R186" s="350">
        <v>32.11</v>
      </c>
      <c r="S186" s="351" t="str">
        <f t="shared" si="17"/>
        <v>OK</v>
      </c>
    </row>
    <row r="187" spans="1:19">
      <c r="A187" s="497">
        <f t="shared" si="20"/>
        <v>170</v>
      </c>
      <c r="B187" s="540" t="s">
        <v>98</v>
      </c>
      <c r="C187" s="541"/>
      <c r="D187" s="542"/>
      <c r="E187" s="211">
        <f>'7" 26# Deck Tally'!B171</f>
        <v>153</v>
      </c>
      <c r="F187" s="347">
        <f>'7" 26# Deck Tally'!C171</f>
        <v>33.630000000000003</v>
      </c>
      <c r="G187" s="18">
        <f t="shared" si="18"/>
        <v>33.231999999999999</v>
      </c>
      <c r="H187" s="18" t="s">
        <v>9</v>
      </c>
      <c r="I187" s="18">
        <f t="shared" si="14"/>
        <v>5596.0380000000005</v>
      </c>
      <c r="J187" s="18">
        <f t="shared" si="15"/>
        <v>8175.8245000000006</v>
      </c>
      <c r="K187" s="216">
        <f t="shared" si="16"/>
        <v>248.1545026951872</v>
      </c>
      <c r="L187" s="229"/>
      <c r="M187" s="173"/>
      <c r="Q187" s="377">
        <f t="shared" si="19"/>
        <v>153</v>
      </c>
      <c r="R187" s="350">
        <v>33.630000000000003</v>
      </c>
      <c r="S187" s="351" t="str">
        <f t="shared" si="17"/>
        <v>OK</v>
      </c>
    </row>
    <row r="188" spans="1:19">
      <c r="A188" s="497">
        <f t="shared" si="20"/>
        <v>171</v>
      </c>
      <c r="B188" s="540" t="s">
        <v>98</v>
      </c>
      <c r="C188" s="541"/>
      <c r="D188" s="542"/>
      <c r="E188" s="211">
        <f>'7" 26# Deck Tally'!B172</f>
        <v>152</v>
      </c>
      <c r="F188" s="347">
        <f>'7" 26# Deck Tally'!C172</f>
        <v>31.35</v>
      </c>
      <c r="G188" s="18">
        <f t="shared" si="18"/>
        <v>30.952000000000002</v>
      </c>
      <c r="H188" s="18" t="s">
        <v>9</v>
      </c>
      <c r="I188" s="18">
        <f t="shared" si="14"/>
        <v>5626.9900000000007</v>
      </c>
      <c r="J188" s="18">
        <f t="shared" si="15"/>
        <v>8144.8725000000004</v>
      </c>
      <c r="K188" s="216">
        <f t="shared" si="16"/>
        <v>248.81908398777693</v>
      </c>
      <c r="L188" s="229"/>
      <c r="M188" s="173"/>
      <c r="Q188" s="377">
        <f t="shared" si="19"/>
        <v>152</v>
      </c>
      <c r="R188" s="350">
        <v>31.35</v>
      </c>
      <c r="S188" s="351" t="str">
        <f t="shared" si="17"/>
        <v>OK</v>
      </c>
    </row>
    <row r="189" spans="1:19">
      <c r="A189" s="497">
        <f t="shared" si="20"/>
        <v>172</v>
      </c>
      <c r="B189" s="540" t="s">
        <v>98</v>
      </c>
      <c r="C189" s="541"/>
      <c r="D189" s="542"/>
      <c r="E189" s="211">
        <f>'7" 26# Deck Tally'!B173</f>
        <v>151</v>
      </c>
      <c r="F189" s="347">
        <f>'7" 26# Deck Tally'!C173</f>
        <v>33.47</v>
      </c>
      <c r="G189" s="18">
        <f t="shared" si="18"/>
        <v>33.071999999999996</v>
      </c>
      <c r="H189" s="18" t="s">
        <v>9</v>
      </c>
      <c r="I189" s="18">
        <f t="shared" si="14"/>
        <v>5660.0620000000008</v>
      </c>
      <c r="J189" s="18">
        <f t="shared" si="15"/>
        <v>8111.8005000000003</v>
      </c>
      <c r="K189" s="216">
        <f t="shared" si="16"/>
        <v>249.52918454698244</v>
      </c>
      <c r="L189" s="229"/>
      <c r="M189" s="173"/>
      <c r="Q189" s="377">
        <f t="shared" si="19"/>
        <v>151</v>
      </c>
      <c r="R189" s="350">
        <v>33.47</v>
      </c>
      <c r="S189" s="351" t="str">
        <f t="shared" si="17"/>
        <v>OK</v>
      </c>
    </row>
    <row r="190" spans="1:19">
      <c r="A190" s="497">
        <f t="shared" si="20"/>
        <v>173</v>
      </c>
      <c r="B190" s="540" t="s">
        <v>98</v>
      </c>
      <c r="C190" s="541"/>
      <c r="D190" s="542"/>
      <c r="E190" s="211">
        <f>'7" 26# Deck Tally'!B174</f>
        <v>150</v>
      </c>
      <c r="F190" s="347">
        <f>'7" 26# Deck Tally'!C174</f>
        <v>33.49</v>
      </c>
      <c r="G190" s="18">
        <f t="shared" si="18"/>
        <v>33.091999999999999</v>
      </c>
      <c r="H190" s="18" t="s">
        <v>9</v>
      </c>
      <c r="I190" s="18">
        <f t="shared" si="14"/>
        <v>5693.1540000000005</v>
      </c>
      <c r="J190" s="18">
        <f t="shared" si="15"/>
        <v>8078.7085000000006</v>
      </c>
      <c r="K190" s="216">
        <f t="shared" si="16"/>
        <v>250.23971453323151</v>
      </c>
      <c r="L190" s="229"/>
      <c r="M190" s="173"/>
      <c r="Q190" s="377">
        <f t="shared" si="19"/>
        <v>150</v>
      </c>
      <c r="R190" s="350">
        <v>33.49</v>
      </c>
      <c r="S190" s="351" t="str">
        <f t="shared" si="17"/>
        <v>OK</v>
      </c>
    </row>
    <row r="191" spans="1:19">
      <c r="A191" s="497">
        <f t="shared" si="20"/>
        <v>174</v>
      </c>
      <c r="B191" s="540" t="s">
        <v>98</v>
      </c>
      <c r="C191" s="541"/>
      <c r="D191" s="542"/>
      <c r="E191" s="211">
        <f>'7" 26# Deck Tally'!B175</f>
        <v>149</v>
      </c>
      <c r="F191" s="347">
        <f>'7" 26# Deck Tally'!C175</f>
        <v>33.57</v>
      </c>
      <c r="G191" s="18">
        <f t="shared" si="18"/>
        <v>33.171999999999997</v>
      </c>
      <c r="H191" s="18" t="s">
        <v>9</v>
      </c>
      <c r="I191" s="18">
        <f t="shared" si="14"/>
        <v>5726.326</v>
      </c>
      <c r="J191" s="18">
        <f t="shared" si="15"/>
        <v>8045.5365000000011</v>
      </c>
      <c r="K191" s="216">
        <f t="shared" si="16"/>
        <v>250.95196222765469</v>
      </c>
      <c r="L191" s="229"/>
      <c r="M191" s="173"/>
      <c r="Q191" s="377">
        <f t="shared" si="19"/>
        <v>149</v>
      </c>
      <c r="R191" s="350">
        <v>33.57</v>
      </c>
      <c r="S191" s="351" t="str">
        <f t="shared" si="17"/>
        <v>OK</v>
      </c>
    </row>
    <row r="192" spans="1:19">
      <c r="A192" s="497">
        <f t="shared" si="20"/>
        <v>175</v>
      </c>
      <c r="B192" s="540" t="s">
        <v>98</v>
      </c>
      <c r="C192" s="541"/>
      <c r="D192" s="542"/>
      <c r="E192" s="211">
        <f>'7" 26# Deck Tally'!B176</f>
        <v>148</v>
      </c>
      <c r="F192" s="347">
        <f>'7" 26# Deck Tally'!C176</f>
        <v>33.6</v>
      </c>
      <c r="G192" s="18">
        <f t="shared" si="18"/>
        <v>33.201999999999998</v>
      </c>
      <c r="H192" s="18" t="s">
        <v>9</v>
      </c>
      <c r="I192" s="18">
        <f t="shared" si="14"/>
        <v>5759.5280000000002</v>
      </c>
      <c r="J192" s="18">
        <f t="shared" si="15"/>
        <v>8012.3345000000008</v>
      </c>
      <c r="K192" s="216">
        <f t="shared" si="16"/>
        <v>251.66485406264326</v>
      </c>
      <c r="L192" s="229"/>
      <c r="M192" s="173"/>
      <c r="Q192" s="377">
        <f t="shared" si="19"/>
        <v>148</v>
      </c>
      <c r="R192" s="350">
        <v>33.6</v>
      </c>
      <c r="S192" s="351" t="str">
        <f t="shared" si="17"/>
        <v>OK</v>
      </c>
    </row>
    <row r="193" spans="1:19">
      <c r="A193" s="497">
        <f t="shared" si="20"/>
        <v>176</v>
      </c>
      <c r="B193" s="540" t="s">
        <v>98</v>
      </c>
      <c r="C193" s="541"/>
      <c r="D193" s="542"/>
      <c r="E193" s="211">
        <f>'7" 26# Deck Tally'!B177</f>
        <v>147</v>
      </c>
      <c r="F193" s="347">
        <f>'7" 26# Deck Tally'!C177</f>
        <v>33.78</v>
      </c>
      <c r="G193" s="18">
        <f t="shared" si="18"/>
        <v>33.381999999999998</v>
      </c>
      <c r="H193" s="18" t="s">
        <v>9</v>
      </c>
      <c r="I193" s="18">
        <f t="shared" si="14"/>
        <v>5792.91</v>
      </c>
      <c r="J193" s="18">
        <f t="shared" si="15"/>
        <v>7978.9525000000012</v>
      </c>
      <c r="K193" s="216">
        <f t="shared" si="16"/>
        <v>252.38161074102368</v>
      </c>
      <c r="L193" s="229"/>
      <c r="M193" s="173"/>
      <c r="Q193" s="377">
        <f t="shared" si="19"/>
        <v>147</v>
      </c>
      <c r="R193" s="350">
        <v>33.78</v>
      </c>
      <c r="S193" s="351" t="str">
        <f t="shared" si="17"/>
        <v>OK</v>
      </c>
    </row>
    <row r="194" spans="1:19">
      <c r="A194" s="497">
        <f t="shared" si="20"/>
        <v>177</v>
      </c>
      <c r="B194" s="540" t="s">
        <v>98</v>
      </c>
      <c r="C194" s="541"/>
      <c r="D194" s="542"/>
      <c r="E194" s="211">
        <f>'7" 26# Deck Tally'!B178</f>
        <v>146</v>
      </c>
      <c r="F194" s="347">
        <f>'7" 26# Deck Tally'!C178</f>
        <v>33.46</v>
      </c>
      <c r="G194" s="18">
        <f t="shared" si="18"/>
        <v>33.061999999999998</v>
      </c>
      <c r="H194" s="18" t="s">
        <v>9</v>
      </c>
      <c r="I194" s="18">
        <f t="shared" si="14"/>
        <v>5825.9719999999998</v>
      </c>
      <c r="J194" s="18">
        <f t="shared" si="15"/>
        <v>7945.8905000000013</v>
      </c>
      <c r="K194" s="216">
        <f t="shared" si="16"/>
        <v>253.09149658670742</v>
      </c>
      <c r="L194" s="229"/>
      <c r="M194" s="173"/>
      <c r="Q194" s="377">
        <f t="shared" si="19"/>
        <v>146</v>
      </c>
      <c r="R194" s="350">
        <v>33.46</v>
      </c>
      <c r="S194" s="351" t="str">
        <f t="shared" si="17"/>
        <v>OK</v>
      </c>
    </row>
    <row r="195" spans="1:19">
      <c r="A195" s="497">
        <f t="shared" si="20"/>
        <v>178</v>
      </c>
      <c r="B195" s="540" t="s">
        <v>98</v>
      </c>
      <c r="C195" s="541"/>
      <c r="D195" s="542"/>
      <c r="E195" s="211">
        <f>'7" 26# Deck Tally'!B179</f>
        <v>145</v>
      </c>
      <c r="F195" s="347">
        <f>'7" 26# Deck Tally'!C179</f>
        <v>33.630000000000003</v>
      </c>
      <c r="G195" s="18">
        <f t="shared" si="18"/>
        <v>33.231999999999999</v>
      </c>
      <c r="H195" s="18" t="s">
        <v>9</v>
      </c>
      <c r="I195" s="18">
        <f t="shared" si="14"/>
        <v>5859.2039999999997</v>
      </c>
      <c r="J195" s="18">
        <f t="shared" si="15"/>
        <v>7912.6585000000014</v>
      </c>
      <c r="K195" s="216">
        <f t="shared" si="16"/>
        <v>253.80503256226126</v>
      </c>
      <c r="L195" s="229"/>
      <c r="M195" s="173"/>
      <c r="Q195" s="377">
        <f t="shared" si="19"/>
        <v>145</v>
      </c>
      <c r="R195" s="350">
        <v>33.630000000000003</v>
      </c>
      <c r="S195" s="351" t="str">
        <f t="shared" si="17"/>
        <v>OK</v>
      </c>
    </row>
    <row r="196" spans="1:19">
      <c r="A196" s="497">
        <f t="shared" si="20"/>
        <v>179</v>
      </c>
      <c r="B196" s="540" t="s">
        <v>98</v>
      </c>
      <c r="C196" s="541"/>
      <c r="D196" s="542"/>
      <c r="E196" s="211">
        <f>'7" 26# Deck Tally'!B180</f>
        <v>144</v>
      </c>
      <c r="F196" s="347">
        <f>'7" 26# Deck Tally'!C180</f>
        <v>33.89</v>
      </c>
      <c r="G196" s="18">
        <f t="shared" si="18"/>
        <v>33.491999999999997</v>
      </c>
      <c r="H196" s="18" t="s">
        <v>9</v>
      </c>
      <c r="I196" s="18">
        <f t="shared" si="14"/>
        <v>5892.6959999999999</v>
      </c>
      <c r="J196" s="18">
        <f t="shared" si="15"/>
        <v>7879.1665000000012</v>
      </c>
      <c r="K196" s="216">
        <f t="shared" si="16"/>
        <v>254.52415108938121</v>
      </c>
      <c r="L196" s="229"/>
      <c r="M196" s="173"/>
      <c r="Q196" s="377">
        <f t="shared" si="19"/>
        <v>144</v>
      </c>
      <c r="R196" s="350">
        <v>33.89</v>
      </c>
      <c r="S196" s="351" t="str">
        <f t="shared" si="17"/>
        <v>OK</v>
      </c>
    </row>
    <row r="197" spans="1:19">
      <c r="A197" s="497">
        <f t="shared" si="20"/>
        <v>180</v>
      </c>
      <c r="B197" s="540" t="s">
        <v>98</v>
      </c>
      <c r="C197" s="541"/>
      <c r="D197" s="542"/>
      <c r="E197" s="211">
        <f>'7" 26# Deck Tally'!B181</f>
        <v>143</v>
      </c>
      <c r="F197" s="347">
        <f>'7" 26# Deck Tally'!C181</f>
        <v>33.369999999999997</v>
      </c>
      <c r="G197" s="18">
        <f t="shared" si="18"/>
        <v>32.971999999999994</v>
      </c>
      <c r="H197" s="18" t="s">
        <v>9</v>
      </c>
      <c r="I197" s="18">
        <f t="shared" si="14"/>
        <v>5925.6679999999997</v>
      </c>
      <c r="J197" s="18">
        <f t="shared" si="15"/>
        <v>7846.1945000000014</v>
      </c>
      <c r="K197" s="216">
        <f t="shared" si="16"/>
        <v>255.23210451336899</v>
      </c>
      <c r="L197" s="229"/>
      <c r="M197" s="173"/>
      <c r="Q197" s="377">
        <f t="shared" si="19"/>
        <v>143</v>
      </c>
      <c r="R197" s="350">
        <v>33.369999999999997</v>
      </c>
      <c r="S197" s="351" t="str">
        <f t="shared" si="17"/>
        <v>OK</v>
      </c>
    </row>
    <row r="198" spans="1:19">
      <c r="A198" s="497">
        <f t="shared" si="20"/>
        <v>181</v>
      </c>
      <c r="B198" s="540" t="s">
        <v>98</v>
      </c>
      <c r="C198" s="541"/>
      <c r="D198" s="542"/>
      <c r="E198" s="211">
        <f>'7" 26# Deck Tally'!B182</f>
        <v>142</v>
      </c>
      <c r="F198" s="347">
        <f>'7" 26# Deck Tally'!C182</f>
        <v>33.869999999999997</v>
      </c>
      <c r="G198" s="18">
        <f t="shared" si="18"/>
        <v>33.471999999999994</v>
      </c>
      <c r="H198" s="18" t="s">
        <v>9</v>
      </c>
      <c r="I198" s="18">
        <f t="shared" si="14"/>
        <v>5959.1399999999994</v>
      </c>
      <c r="J198" s="18">
        <f t="shared" si="15"/>
        <v>7812.7225000000017</v>
      </c>
      <c r="K198" s="216">
        <f t="shared" si="16"/>
        <v>255.9507936134454</v>
      </c>
      <c r="L198" s="229"/>
      <c r="M198" s="173"/>
      <c r="Q198" s="377">
        <f t="shared" si="19"/>
        <v>142</v>
      </c>
      <c r="R198" s="350">
        <v>33.869999999999997</v>
      </c>
      <c r="S198" s="351" t="str">
        <f t="shared" si="17"/>
        <v>OK</v>
      </c>
    </row>
    <row r="199" spans="1:19">
      <c r="A199" s="497">
        <f t="shared" si="20"/>
        <v>182</v>
      </c>
      <c r="B199" s="540" t="s">
        <v>98</v>
      </c>
      <c r="C199" s="541"/>
      <c r="D199" s="542"/>
      <c r="E199" s="211">
        <f>'7" 26# Deck Tally'!B183</f>
        <v>141</v>
      </c>
      <c r="F199" s="347">
        <f>'7" 26# Deck Tally'!C183</f>
        <v>33.950000000000003</v>
      </c>
      <c r="G199" s="18">
        <f t="shared" si="18"/>
        <v>33.552</v>
      </c>
      <c r="H199" s="18" t="s">
        <v>9</v>
      </c>
      <c r="I199" s="18">
        <f t="shared" si="14"/>
        <v>5992.6919999999991</v>
      </c>
      <c r="J199" s="18">
        <f t="shared" si="15"/>
        <v>7779.170500000002</v>
      </c>
      <c r="K199" s="216">
        <f t="shared" si="16"/>
        <v>256.67120042169597</v>
      </c>
      <c r="L199" s="229"/>
      <c r="M199" s="173"/>
      <c r="Q199" s="377">
        <f t="shared" si="19"/>
        <v>141</v>
      </c>
      <c r="R199" s="350">
        <v>33.950000000000003</v>
      </c>
      <c r="S199" s="351" t="str">
        <f t="shared" si="17"/>
        <v>OK</v>
      </c>
    </row>
    <row r="200" spans="1:19">
      <c r="A200" s="497">
        <f t="shared" si="20"/>
        <v>183</v>
      </c>
      <c r="B200" s="540" t="s">
        <v>98</v>
      </c>
      <c r="C200" s="541"/>
      <c r="D200" s="542"/>
      <c r="E200" s="211">
        <f>'7" 26# Deck Tally'!B184</f>
        <v>140</v>
      </c>
      <c r="F200" s="347">
        <f>'7" 26# Deck Tally'!C184</f>
        <v>33.86</v>
      </c>
      <c r="G200" s="18">
        <f t="shared" si="18"/>
        <v>33.461999999999996</v>
      </c>
      <c r="H200" s="18" t="s">
        <v>9</v>
      </c>
      <c r="I200" s="18">
        <f t="shared" si="14"/>
        <v>6026.1539999999995</v>
      </c>
      <c r="J200" s="18">
        <f t="shared" si="15"/>
        <v>7745.7085000000015</v>
      </c>
      <c r="K200" s="216">
        <f t="shared" si="16"/>
        <v>257.38967480825056</v>
      </c>
      <c r="L200" s="229"/>
      <c r="M200" s="173"/>
      <c r="Q200" s="377">
        <f t="shared" si="19"/>
        <v>140</v>
      </c>
      <c r="R200" s="350">
        <v>33.86</v>
      </c>
      <c r="S200" s="351" t="str">
        <f t="shared" si="17"/>
        <v>OK</v>
      </c>
    </row>
    <row r="201" spans="1:19">
      <c r="A201" s="497">
        <f t="shared" si="20"/>
        <v>184</v>
      </c>
      <c r="B201" s="540" t="s">
        <v>98</v>
      </c>
      <c r="C201" s="541"/>
      <c r="D201" s="542"/>
      <c r="E201" s="211">
        <f>'7" 26# Deck Tally'!B185</f>
        <v>139</v>
      </c>
      <c r="F201" s="347">
        <f>'7" 26# Deck Tally'!C185</f>
        <v>33.799999999999997</v>
      </c>
      <c r="G201" s="18">
        <f t="shared" si="18"/>
        <v>33.401999999999994</v>
      </c>
      <c r="H201" s="18" t="s">
        <v>9</v>
      </c>
      <c r="I201" s="18">
        <f t="shared" si="14"/>
        <v>6059.5559999999996</v>
      </c>
      <c r="J201" s="18">
        <f t="shared" si="15"/>
        <v>7712.3065000000015</v>
      </c>
      <c r="K201" s="216">
        <f t="shared" si="16"/>
        <v>258.10686091367455</v>
      </c>
      <c r="L201" s="229"/>
      <c r="M201" s="173"/>
      <c r="Q201" s="377">
        <f t="shared" si="19"/>
        <v>139</v>
      </c>
      <c r="R201" s="350">
        <v>33.799999999999997</v>
      </c>
      <c r="S201" s="351" t="str">
        <f t="shared" si="17"/>
        <v>OK</v>
      </c>
    </row>
    <row r="202" spans="1:19">
      <c r="A202" s="497">
        <f t="shared" si="20"/>
        <v>185</v>
      </c>
      <c r="B202" s="540" t="s">
        <v>98</v>
      </c>
      <c r="C202" s="541"/>
      <c r="D202" s="542"/>
      <c r="E202" s="211">
        <f>'7" 26# Deck Tally'!B186</f>
        <v>138</v>
      </c>
      <c r="F202" s="347">
        <f>'7" 26# Deck Tally'!C186</f>
        <v>33.880000000000003</v>
      </c>
      <c r="G202" s="18">
        <f t="shared" si="18"/>
        <v>33.481999999999999</v>
      </c>
      <c r="H202" s="18" t="s">
        <v>9</v>
      </c>
      <c r="I202" s="18">
        <f t="shared" si="14"/>
        <v>6093.0379999999996</v>
      </c>
      <c r="J202" s="18">
        <f t="shared" si="15"/>
        <v>7678.8245000000015</v>
      </c>
      <c r="K202" s="216">
        <f t="shared" si="16"/>
        <v>258.82576472727271</v>
      </c>
      <c r="L202" s="229"/>
      <c r="M202" s="173"/>
      <c r="Q202" s="377">
        <f t="shared" si="19"/>
        <v>138</v>
      </c>
      <c r="R202" s="350">
        <v>33.880000000000003</v>
      </c>
      <c r="S202" s="351" t="str">
        <f t="shared" si="17"/>
        <v>OK</v>
      </c>
    </row>
    <row r="203" spans="1:19">
      <c r="A203" s="497">
        <f t="shared" si="20"/>
        <v>186</v>
      </c>
      <c r="B203" s="540" t="s">
        <v>98</v>
      </c>
      <c r="C203" s="541"/>
      <c r="D203" s="542"/>
      <c r="E203" s="211">
        <f>'7" 26# Deck Tally'!B187</f>
        <v>137</v>
      </c>
      <c r="F203" s="347">
        <f>'7" 26# Deck Tally'!C187</f>
        <v>33.69</v>
      </c>
      <c r="G203" s="18">
        <f t="shared" si="18"/>
        <v>33.291999999999994</v>
      </c>
      <c r="H203" s="18" t="s">
        <v>9</v>
      </c>
      <c r="I203" s="18">
        <f t="shared" si="14"/>
        <v>6126.33</v>
      </c>
      <c r="J203" s="18">
        <f t="shared" si="15"/>
        <v>7645.5325000000012</v>
      </c>
      <c r="K203" s="216">
        <f t="shared" si="16"/>
        <v>259.54058898395721</v>
      </c>
      <c r="L203" s="229"/>
      <c r="M203" s="173"/>
      <c r="Q203" s="377">
        <f t="shared" si="19"/>
        <v>137</v>
      </c>
      <c r="R203" s="350">
        <v>33.69</v>
      </c>
      <c r="S203" s="351" t="str">
        <f t="shared" si="17"/>
        <v>OK</v>
      </c>
    </row>
    <row r="204" spans="1:19">
      <c r="A204" s="497">
        <f t="shared" si="20"/>
        <v>187</v>
      </c>
      <c r="B204" s="540" t="s">
        <v>98</v>
      </c>
      <c r="C204" s="541"/>
      <c r="D204" s="542"/>
      <c r="E204" s="211">
        <f>'7" 26# Deck Tally'!B188</f>
        <v>136</v>
      </c>
      <c r="F204" s="347">
        <f>'7" 26# Deck Tally'!C188</f>
        <v>33.08</v>
      </c>
      <c r="G204" s="18">
        <f t="shared" si="18"/>
        <v>32.681999999999995</v>
      </c>
      <c r="H204" s="18" t="s">
        <v>9</v>
      </c>
      <c r="I204" s="18">
        <f t="shared" si="14"/>
        <v>6159.0119999999997</v>
      </c>
      <c r="J204" s="18">
        <f t="shared" si="15"/>
        <v>7612.8505000000014</v>
      </c>
      <c r="K204" s="216">
        <f t="shared" si="16"/>
        <v>260.24231571581356</v>
      </c>
      <c r="L204" s="229"/>
      <c r="M204" s="173"/>
      <c r="Q204" s="377">
        <f t="shared" si="19"/>
        <v>136</v>
      </c>
      <c r="R204" s="350">
        <v>33.08</v>
      </c>
      <c r="S204" s="351" t="str">
        <f t="shared" si="17"/>
        <v>OK</v>
      </c>
    </row>
    <row r="205" spans="1:19">
      <c r="A205" s="497">
        <f t="shared" si="20"/>
        <v>188</v>
      </c>
      <c r="B205" s="540" t="s">
        <v>98</v>
      </c>
      <c r="C205" s="541"/>
      <c r="D205" s="542"/>
      <c r="E205" s="211">
        <f>'7" 26# Deck Tally'!B189</f>
        <v>135</v>
      </c>
      <c r="F205" s="347">
        <f>'7" 26# Deck Tally'!C189</f>
        <v>33.950000000000003</v>
      </c>
      <c r="G205" s="18">
        <f t="shared" si="18"/>
        <v>33.552</v>
      </c>
      <c r="H205" s="18" t="s">
        <v>9</v>
      </c>
      <c r="I205" s="18">
        <f t="shared" ref="I205:I268" si="21">IF(H205="IN",I204+G205,I204)</f>
        <v>6192.5639999999994</v>
      </c>
      <c r="J205" s="18">
        <f t="shared" si="15"/>
        <v>7579.2985000000017</v>
      </c>
      <c r="K205" s="216">
        <f t="shared" si="16"/>
        <v>260.96272252406413</v>
      </c>
      <c r="L205" s="229"/>
      <c r="M205" s="173"/>
      <c r="Q205" s="377">
        <f t="shared" si="19"/>
        <v>135</v>
      </c>
      <c r="R205" s="350">
        <v>33.950000000000003</v>
      </c>
      <c r="S205" s="351" t="str">
        <f t="shared" si="17"/>
        <v>OK</v>
      </c>
    </row>
    <row r="206" spans="1:19">
      <c r="A206" s="497">
        <f t="shared" si="20"/>
        <v>189</v>
      </c>
      <c r="B206" s="540" t="s">
        <v>98</v>
      </c>
      <c r="C206" s="541"/>
      <c r="D206" s="542"/>
      <c r="E206" s="211">
        <f>'7" 26# Deck Tally'!B190</f>
        <v>134</v>
      </c>
      <c r="F206" s="347">
        <f>'7" 26# Deck Tally'!C190</f>
        <v>33.49</v>
      </c>
      <c r="G206" s="18">
        <f t="shared" si="18"/>
        <v>33.091999999999999</v>
      </c>
      <c r="H206" s="18" t="s">
        <v>9</v>
      </c>
      <c r="I206" s="18">
        <f t="shared" si="21"/>
        <v>6225.655999999999</v>
      </c>
      <c r="J206" s="18">
        <f t="shared" si="15"/>
        <v>7546.2065000000021</v>
      </c>
      <c r="K206" s="216">
        <f t="shared" si="16"/>
        <v>261.6732525103132</v>
      </c>
      <c r="L206" s="229"/>
      <c r="M206" s="173"/>
      <c r="Q206" s="377">
        <f t="shared" si="19"/>
        <v>134</v>
      </c>
      <c r="R206" s="350">
        <v>33.49</v>
      </c>
      <c r="S206" s="351" t="str">
        <f t="shared" si="17"/>
        <v>OK</v>
      </c>
    </row>
    <row r="207" spans="1:19">
      <c r="A207" s="497">
        <f t="shared" si="20"/>
        <v>190</v>
      </c>
      <c r="B207" s="540" t="s">
        <v>98</v>
      </c>
      <c r="C207" s="541"/>
      <c r="D207" s="542"/>
      <c r="E207" s="211">
        <f>'7" 26# Deck Tally'!B191</f>
        <v>133</v>
      </c>
      <c r="F207" s="347">
        <f>'7" 26# Deck Tally'!C191</f>
        <v>33.33</v>
      </c>
      <c r="G207" s="18">
        <f t="shared" si="18"/>
        <v>32.931999999999995</v>
      </c>
      <c r="H207" s="18" t="s">
        <v>9</v>
      </c>
      <c r="I207" s="18">
        <f t="shared" si="21"/>
        <v>6258.5879999999988</v>
      </c>
      <c r="J207" s="18">
        <f t="shared" si="15"/>
        <v>7513.2745000000023</v>
      </c>
      <c r="K207" s="216">
        <f t="shared" si="16"/>
        <v>262.38034708021388</v>
      </c>
      <c r="L207" s="229"/>
      <c r="M207" s="173"/>
      <c r="Q207" s="377">
        <f t="shared" si="19"/>
        <v>133</v>
      </c>
      <c r="R207" s="350">
        <v>33.33</v>
      </c>
      <c r="S207" s="351" t="str">
        <f t="shared" si="17"/>
        <v>OK</v>
      </c>
    </row>
    <row r="208" spans="1:19">
      <c r="A208" s="497">
        <f t="shared" si="20"/>
        <v>191</v>
      </c>
      <c r="B208" s="540" t="s">
        <v>98</v>
      </c>
      <c r="C208" s="541"/>
      <c r="D208" s="542"/>
      <c r="E208" s="211">
        <f>'7" 26# Deck Tally'!B192</f>
        <v>132</v>
      </c>
      <c r="F208" s="347">
        <f>'7" 26# Deck Tally'!C192</f>
        <v>33.549999999999997</v>
      </c>
      <c r="G208" s="18">
        <f t="shared" si="18"/>
        <v>33.151999999999994</v>
      </c>
      <c r="H208" s="18" t="s">
        <v>9</v>
      </c>
      <c r="I208" s="18">
        <f t="shared" si="21"/>
        <v>6291.7399999999989</v>
      </c>
      <c r="J208" s="18">
        <f t="shared" ref="J208:J271" si="22">IF(I208="","",$L$6-I208)</f>
        <v>7480.1225000000022</v>
      </c>
      <c r="K208" s="216">
        <f t="shared" ref="K208:K271" si="23">$H$6+(I208*$F$7*$H$8/1000)</f>
        <v>263.09216534759355</v>
      </c>
      <c r="L208" s="229"/>
      <c r="M208" s="173"/>
      <c r="Q208" s="377">
        <f t="shared" si="19"/>
        <v>132</v>
      </c>
      <c r="R208" s="350">
        <v>33.549999999999997</v>
      </c>
      <c r="S208" s="351" t="str">
        <f t="shared" ref="S208:S271" si="24">IF(F208-R208=0,"OK","FALSE")</f>
        <v>OK</v>
      </c>
    </row>
    <row r="209" spans="1:19">
      <c r="A209" s="497">
        <f t="shared" si="20"/>
        <v>192</v>
      </c>
      <c r="B209" s="540" t="s">
        <v>98</v>
      </c>
      <c r="C209" s="541"/>
      <c r="D209" s="542"/>
      <c r="E209" s="211">
        <f>'7" 26# Deck Tally'!B193</f>
        <v>131</v>
      </c>
      <c r="F209" s="347">
        <f>'7" 26# Deck Tally'!C193</f>
        <v>32.1</v>
      </c>
      <c r="G209" s="18">
        <f t="shared" si="18"/>
        <v>31.702000000000002</v>
      </c>
      <c r="H209" s="18" t="s">
        <v>9</v>
      </c>
      <c r="I209" s="18">
        <f t="shared" si="21"/>
        <v>6323.4419999999991</v>
      </c>
      <c r="J209" s="18">
        <f t="shared" si="22"/>
        <v>7448.420500000002</v>
      </c>
      <c r="K209" s="216">
        <f t="shared" si="23"/>
        <v>263.77285015431625</v>
      </c>
      <c r="L209" s="229"/>
      <c r="M209" s="173"/>
      <c r="Q209" s="377">
        <f t="shared" si="19"/>
        <v>131</v>
      </c>
      <c r="R209" s="350">
        <v>32.1</v>
      </c>
      <c r="S209" s="351" t="str">
        <f t="shared" si="24"/>
        <v>OK</v>
      </c>
    </row>
    <row r="210" spans="1:19">
      <c r="A210" s="497">
        <f t="shared" si="20"/>
        <v>193</v>
      </c>
      <c r="B210" s="540" t="s">
        <v>98</v>
      </c>
      <c r="C210" s="541"/>
      <c r="D210" s="542"/>
      <c r="E210" s="211">
        <f>'7" 26# Deck Tally'!B194</f>
        <v>130</v>
      </c>
      <c r="F210" s="347">
        <f>'7" 26# Deck Tally'!C194</f>
        <v>33.83</v>
      </c>
      <c r="G210" s="18">
        <f t="shared" si="18"/>
        <v>33.431999999999995</v>
      </c>
      <c r="H210" s="18" t="s">
        <v>9</v>
      </c>
      <c r="I210" s="18">
        <f t="shared" si="21"/>
        <v>6356.8739999999989</v>
      </c>
      <c r="J210" s="18">
        <f t="shared" si="22"/>
        <v>7414.9885000000022</v>
      </c>
      <c r="K210" s="216">
        <f t="shared" si="23"/>
        <v>264.49068040030556</v>
      </c>
      <c r="L210" s="229"/>
      <c r="M210" s="173"/>
      <c r="Q210" s="377">
        <f t="shared" si="19"/>
        <v>130</v>
      </c>
      <c r="R210" s="350">
        <v>33.83</v>
      </c>
      <c r="S210" s="351" t="str">
        <f t="shared" si="24"/>
        <v>OK</v>
      </c>
    </row>
    <row r="211" spans="1:19">
      <c r="A211" s="497">
        <f t="shared" si="20"/>
        <v>194</v>
      </c>
      <c r="B211" s="540" t="s">
        <v>98</v>
      </c>
      <c r="C211" s="541"/>
      <c r="D211" s="542"/>
      <c r="E211" s="211">
        <f>'7" 26# Deck Tally'!B195</f>
        <v>129</v>
      </c>
      <c r="F211" s="347">
        <f>'7" 26# Deck Tally'!C195</f>
        <v>33.729999999999997</v>
      </c>
      <c r="G211" s="18">
        <f t="shared" si="18"/>
        <v>33.331999999999994</v>
      </c>
      <c r="H211" s="18" t="s">
        <v>9</v>
      </c>
      <c r="I211" s="18">
        <f t="shared" si="21"/>
        <v>6390.2059999999992</v>
      </c>
      <c r="J211" s="18">
        <f t="shared" si="22"/>
        <v>7381.6565000000019</v>
      </c>
      <c r="K211" s="216">
        <f t="shared" si="23"/>
        <v>265.20636351107714</v>
      </c>
      <c r="L211" s="229"/>
      <c r="M211" s="173"/>
      <c r="Q211" s="377">
        <f t="shared" si="19"/>
        <v>129</v>
      </c>
      <c r="R211" s="350">
        <v>33.729999999999997</v>
      </c>
      <c r="S211" s="351" t="str">
        <f t="shared" si="24"/>
        <v>OK</v>
      </c>
    </row>
    <row r="212" spans="1:19">
      <c r="A212" s="497">
        <f t="shared" si="20"/>
        <v>195</v>
      </c>
      <c r="B212" s="540" t="s">
        <v>98</v>
      </c>
      <c r="C212" s="541"/>
      <c r="D212" s="542"/>
      <c r="E212" s="211">
        <f>'7" 26# Deck Tally'!B196</f>
        <v>128</v>
      </c>
      <c r="F212" s="347">
        <f>'7" 26# Deck Tally'!C196</f>
        <v>33.44</v>
      </c>
      <c r="G212" s="18">
        <f t="shared" si="18"/>
        <v>33.041999999999994</v>
      </c>
      <c r="H212" s="18" t="s">
        <v>9</v>
      </c>
      <c r="I212" s="18">
        <f t="shared" si="21"/>
        <v>6423.2479999999996</v>
      </c>
      <c r="J212" s="18">
        <f t="shared" si="22"/>
        <v>7348.6145000000015</v>
      </c>
      <c r="K212" s="216">
        <f t="shared" si="23"/>
        <v>265.91581992971732</v>
      </c>
      <c r="L212" s="229"/>
      <c r="M212" s="173"/>
      <c r="Q212" s="377">
        <f t="shared" si="19"/>
        <v>128</v>
      </c>
      <c r="R212" s="350">
        <v>33.44</v>
      </c>
      <c r="S212" s="351" t="str">
        <f t="shared" si="24"/>
        <v>OK</v>
      </c>
    </row>
    <row r="213" spans="1:19">
      <c r="A213" s="497">
        <f t="shared" si="20"/>
        <v>196</v>
      </c>
      <c r="B213" s="540" t="s">
        <v>98</v>
      </c>
      <c r="C213" s="541"/>
      <c r="D213" s="542"/>
      <c r="E213" s="211">
        <f>'7" 26# Deck Tally'!B197</f>
        <v>127</v>
      </c>
      <c r="F213" s="347">
        <f>'7" 26# Deck Tally'!C197</f>
        <v>33.65</v>
      </c>
      <c r="G213" s="18">
        <f t="shared" ref="G213:G276" si="25">F213-($F$9)</f>
        <v>33.251999999999995</v>
      </c>
      <c r="H213" s="18" t="s">
        <v>9</v>
      </c>
      <c r="I213" s="18">
        <f t="shared" si="21"/>
        <v>6456.5</v>
      </c>
      <c r="J213" s="18">
        <f t="shared" si="22"/>
        <v>7315.3625000000011</v>
      </c>
      <c r="K213" s="216">
        <f t="shared" si="23"/>
        <v>266.62978533231478</v>
      </c>
      <c r="L213" s="229"/>
      <c r="M213" s="173"/>
      <c r="Q213" s="377">
        <f t="shared" ref="Q213:Q276" si="26">E213</f>
        <v>127</v>
      </c>
      <c r="R213" s="350">
        <v>33.65</v>
      </c>
      <c r="S213" s="351" t="str">
        <f t="shared" si="24"/>
        <v>OK</v>
      </c>
    </row>
    <row r="214" spans="1:19">
      <c r="A214" s="497">
        <f t="shared" si="20"/>
        <v>197</v>
      </c>
      <c r="B214" s="540" t="s">
        <v>98</v>
      </c>
      <c r="C214" s="541"/>
      <c r="D214" s="542"/>
      <c r="E214" s="211">
        <f>'7" 26# Deck Tally'!B198</f>
        <v>126</v>
      </c>
      <c r="F214" s="347">
        <f>'7" 26# Deck Tally'!C198</f>
        <v>33.369999999999997</v>
      </c>
      <c r="G214" s="18">
        <f t="shared" si="25"/>
        <v>32.971999999999994</v>
      </c>
      <c r="H214" s="18" t="s">
        <v>9</v>
      </c>
      <c r="I214" s="18">
        <f t="shared" si="21"/>
        <v>6489.4719999999998</v>
      </c>
      <c r="J214" s="18">
        <f t="shared" si="22"/>
        <v>7282.3905000000013</v>
      </c>
      <c r="K214" s="216">
        <f t="shared" si="23"/>
        <v>267.33773875630254</v>
      </c>
      <c r="L214" s="229"/>
      <c r="M214" s="173"/>
      <c r="Q214" s="377">
        <f t="shared" si="26"/>
        <v>126</v>
      </c>
      <c r="R214" s="350">
        <v>33.369999999999997</v>
      </c>
      <c r="S214" s="351" t="str">
        <f t="shared" si="24"/>
        <v>OK</v>
      </c>
    </row>
    <row r="215" spans="1:19">
      <c r="A215" s="497">
        <f t="shared" ref="A215:A278" si="27">A214+1</f>
        <v>198</v>
      </c>
      <c r="B215" s="540" t="s">
        <v>98</v>
      </c>
      <c r="C215" s="541"/>
      <c r="D215" s="542"/>
      <c r="E215" s="211">
        <f>'7" 26# Deck Tally'!B199</f>
        <v>125</v>
      </c>
      <c r="F215" s="347">
        <f>'7" 26# Deck Tally'!C199</f>
        <v>33.590000000000003</v>
      </c>
      <c r="G215" s="18">
        <f t="shared" si="25"/>
        <v>33.192</v>
      </c>
      <c r="H215" s="18" t="s">
        <v>9</v>
      </c>
      <c r="I215" s="18">
        <f t="shared" si="21"/>
        <v>6522.6639999999998</v>
      </c>
      <c r="J215" s="18">
        <f t="shared" si="22"/>
        <v>7249.1985000000013</v>
      </c>
      <c r="K215" s="216">
        <f t="shared" si="23"/>
        <v>268.0504158777693</v>
      </c>
      <c r="L215" s="229"/>
      <c r="M215" s="173"/>
      <c r="Q215" s="377">
        <f t="shared" si="26"/>
        <v>125</v>
      </c>
      <c r="R215" s="350">
        <v>33.590000000000003</v>
      </c>
      <c r="S215" s="351" t="str">
        <f t="shared" si="24"/>
        <v>OK</v>
      </c>
    </row>
    <row r="216" spans="1:19">
      <c r="A216" s="497">
        <f t="shared" si="27"/>
        <v>199</v>
      </c>
      <c r="B216" s="540" t="s">
        <v>98</v>
      </c>
      <c r="C216" s="541"/>
      <c r="D216" s="542"/>
      <c r="E216" s="211">
        <f>'7" 26# Deck Tally'!B200</f>
        <v>124</v>
      </c>
      <c r="F216" s="347">
        <f>'7" 26# Deck Tally'!C200</f>
        <v>33.119999999999997</v>
      </c>
      <c r="G216" s="18">
        <f t="shared" si="25"/>
        <v>32.721999999999994</v>
      </c>
      <c r="H216" s="18" t="s">
        <v>9</v>
      </c>
      <c r="I216" s="18">
        <f t="shared" si="21"/>
        <v>6555.3859999999995</v>
      </c>
      <c r="J216" s="18">
        <f t="shared" si="22"/>
        <v>7216.4765000000016</v>
      </c>
      <c r="K216" s="216">
        <f t="shared" si="23"/>
        <v>268.75300146371274</v>
      </c>
      <c r="L216" s="229"/>
      <c r="M216" s="173"/>
      <c r="Q216" s="377">
        <f t="shared" si="26"/>
        <v>124</v>
      </c>
      <c r="R216" s="350">
        <v>33.119999999999997</v>
      </c>
      <c r="S216" s="351" t="str">
        <f t="shared" si="24"/>
        <v>OK</v>
      </c>
    </row>
    <row r="217" spans="1:19">
      <c r="A217" s="497">
        <f t="shared" si="27"/>
        <v>200</v>
      </c>
      <c r="B217" s="540" t="s">
        <v>98</v>
      </c>
      <c r="C217" s="541"/>
      <c r="D217" s="542"/>
      <c r="E217" s="211">
        <f>'7" 26# Deck Tally'!B201</f>
        <v>123</v>
      </c>
      <c r="F217" s="347">
        <f>'7" 26# Deck Tally'!C201</f>
        <v>33.94</v>
      </c>
      <c r="G217" s="18">
        <f t="shared" si="25"/>
        <v>33.541999999999994</v>
      </c>
      <c r="H217" s="18" t="s">
        <v>9</v>
      </c>
      <c r="I217" s="18">
        <f t="shared" si="21"/>
        <v>6588.9279999999999</v>
      </c>
      <c r="J217" s="18">
        <f t="shared" si="22"/>
        <v>7182.9345000000012</v>
      </c>
      <c r="K217" s="216">
        <f t="shared" si="23"/>
        <v>269.47319355844155</v>
      </c>
      <c r="L217" s="229"/>
      <c r="M217" s="173"/>
      <c r="Q217" s="377">
        <f t="shared" si="26"/>
        <v>123</v>
      </c>
      <c r="R217" s="350">
        <v>33.94</v>
      </c>
      <c r="S217" s="351" t="str">
        <f t="shared" si="24"/>
        <v>OK</v>
      </c>
    </row>
    <row r="218" spans="1:19">
      <c r="A218" s="497">
        <f t="shared" si="27"/>
        <v>201</v>
      </c>
      <c r="B218" s="540" t="s">
        <v>98</v>
      </c>
      <c r="C218" s="541"/>
      <c r="D218" s="542"/>
      <c r="E218" s="211">
        <f>'7" 26# Deck Tally'!B202</f>
        <v>122</v>
      </c>
      <c r="F218" s="347">
        <f>'7" 26# Deck Tally'!C202</f>
        <v>33.85</v>
      </c>
      <c r="G218" s="18">
        <f t="shared" si="25"/>
        <v>33.451999999999998</v>
      </c>
      <c r="H218" s="18" t="s">
        <v>9</v>
      </c>
      <c r="I218" s="18">
        <f t="shared" si="21"/>
        <v>6622.38</v>
      </c>
      <c r="J218" s="18">
        <f t="shared" si="22"/>
        <v>7149.482500000001</v>
      </c>
      <c r="K218" s="216">
        <f t="shared" si="23"/>
        <v>270.19145323147438</v>
      </c>
      <c r="L218" s="229"/>
      <c r="M218" s="173"/>
      <c r="Q218" s="377">
        <f t="shared" si="26"/>
        <v>122</v>
      </c>
      <c r="R218" s="350">
        <v>33.85</v>
      </c>
      <c r="S218" s="351" t="str">
        <f t="shared" si="24"/>
        <v>OK</v>
      </c>
    </row>
    <row r="219" spans="1:19">
      <c r="A219" s="497">
        <f t="shared" si="27"/>
        <v>202</v>
      </c>
      <c r="B219" s="540" t="s">
        <v>98</v>
      </c>
      <c r="C219" s="541"/>
      <c r="D219" s="542"/>
      <c r="E219" s="211">
        <f>'7" 26# Deck Tally'!B203</f>
        <v>121</v>
      </c>
      <c r="F219" s="347">
        <f>'7" 26# Deck Tally'!C203</f>
        <v>33.659999999999997</v>
      </c>
      <c r="G219" s="18">
        <f t="shared" si="25"/>
        <v>33.261999999999993</v>
      </c>
      <c r="H219" s="18" t="s">
        <v>9</v>
      </c>
      <c r="I219" s="18">
        <f t="shared" si="21"/>
        <v>6655.6419999999998</v>
      </c>
      <c r="J219" s="18">
        <f t="shared" si="22"/>
        <v>7116.2205000000013</v>
      </c>
      <c r="K219" s="216">
        <f t="shared" si="23"/>
        <v>270.90563334759361</v>
      </c>
      <c r="L219" s="229"/>
      <c r="M219" s="173"/>
      <c r="Q219" s="377">
        <f t="shared" si="26"/>
        <v>121</v>
      </c>
      <c r="R219" s="350">
        <v>33.659999999999997</v>
      </c>
      <c r="S219" s="351" t="str">
        <f t="shared" si="24"/>
        <v>OK</v>
      </c>
    </row>
    <row r="220" spans="1:19">
      <c r="A220" s="497">
        <f t="shared" si="27"/>
        <v>203</v>
      </c>
      <c r="B220" s="540" t="s">
        <v>98</v>
      </c>
      <c r="C220" s="541"/>
      <c r="D220" s="542"/>
      <c r="E220" s="211">
        <f>'7" 26# Deck Tally'!B204</f>
        <v>120</v>
      </c>
      <c r="F220" s="347">
        <f>'7" 26# Deck Tally'!C204</f>
        <v>33.53</v>
      </c>
      <c r="G220" s="18">
        <f t="shared" si="25"/>
        <v>33.131999999999998</v>
      </c>
      <c r="H220" s="18" t="s">
        <v>9</v>
      </c>
      <c r="I220" s="18">
        <f t="shared" si="21"/>
        <v>6688.7739999999994</v>
      </c>
      <c r="J220" s="18">
        <f t="shared" si="22"/>
        <v>7083.0885000000017</v>
      </c>
      <c r="K220" s="216">
        <f t="shared" si="23"/>
        <v>271.61702218792971</v>
      </c>
      <c r="L220" s="229"/>
      <c r="M220" s="173"/>
      <c r="Q220" s="377">
        <f t="shared" si="26"/>
        <v>120</v>
      </c>
      <c r="R220" s="350">
        <v>33.53</v>
      </c>
      <c r="S220" s="351" t="str">
        <f t="shared" si="24"/>
        <v>OK</v>
      </c>
    </row>
    <row r="221" spans="1:19">
      <c r="A221" s="497">
        <f t="shared" si="27"/>
        <v>204</v>
      </c>
      <c r="B221" s="540" t="s">
        <v>98</v>
      </c>
      <c r="C221" s="541"/>
      <c r="D221" s="542"/>
      <c r="E221" s="211">
        <f>'7" 26# Deck Tally'!B205</f>
        <v>119</v>
      </c>
      <c r="F221" s="347">
        <f>'7" 26# Deck Tally'!C205</f>
        <v>33.51</v>
      </c>
      <c r="G221" s="18">
        <f t="shared" si="25"/>
        <v>33.111999999999995</v>
      </c>
      <c r="H221" s="18" t="s">
        <v>9</v>
      </c>
      <c r="I221" s="18">
        <f t="shared" si="21"/>
        <v>6721.8859999999995</v>
      </c>
      <c r="J221" s="18">
        <f t="shared" si="22"/>
        <v>7049.9765000000016</v>
      </c>
      <c r="K221" s="216">
        <f t="shared" si="23"/>
        <v>272.32798160122229</v>
      </c>
      <c r="L221" s="229"/>
      <c r="M221" s="173"/>
      <c r="Q221" s="377">
        <f t="shared" si="26"/>
        <v>119</v>
      </c>
      <c r="R221" s="350">
        <v>33.51</v>
      </c>
      <c r="S221" s="351" t="str">
        <f t="shared" si="24"/>
        <v>OK</v>
      </c>
    </row>
    <row r="222" spans="1:19">
      <c r="A222" s="497">
        <f t="shared" si="27"/>
        <v>205</v>
      </c>
      <c r="B222" s="540" t="s">
        <v>98</v>
      </c>
      <c r="C222" s="541"/>
      <c r="D222" s="542"/>
      <c r="E222" s="211">
        <f>'7" 26# Deck Tally'!B206</f>
        <v>118</v>
      </c>
      <c r="F222" s="347">
        <f>'7" 26# Deck Tally'!C206</f>
        <v>33.71</v>
      </c>
      <c r="G222" s="18">
        <f t="shared" si="25"/>
        <v>33.311999999999998</v>
      </c>
      <c r="H222" s="18" t="s">
        <v>9</v>
      </c>
      <c r="I222" s="18">
        <f t="shared" si="21"/>
        <v>6755.1979999999994</v>
      </c>
      <c r="J222" s="18">
        <f t="shared" si="22"/>
        <v>7016.6645000000017</v>
      </c>
      <c r="K222" s="216">
        <f t="shared" si="23"/>
        <v>273.04323528495036</v>
      </c>
      <c r="L222" s="229"/>
      <c r="M222" s="173"/>
      <c r="Q222" s="377">
        <f t="shared" si="26"/>
        <v>118</v>
      </c>
      <c r="R222" s="350">
        <v>33.71</v>
      </c>
      <c r="S222" s="351" t="str">
        <f t="shared" si="24"/>
        <v>OK</v>
      </c>
    </row>
    <row r="223" spans="1:19">
      <c r="A223" s="497">
        <f t="shared" si="27"/>
        <v>206</v>
      </c>
      <c r="B223" s="540" t="s">
        <v>98</v>
      </c>
      <c r="C223" s="541"/>
      <c r="D223" s="542"/>
      <c r="E223" s="211">
        <f>'7" 26# Deck Tally'!B207</f>
        <v>117</v>
      </c>
      <c r="F223" s="347">
        <f>'7" 26# Deck Tally'!C207</f>
        <v>33.94</v>
      </c>
      <c r="G223" s="18">
        <f t="shared" si="25"/>
        <v>33.541999999999994</v>
      </c>
      <c r="H223" s="18" t="s">
        <v>9</v>
      </c>
      <c r="I223" s="18">
        <f t="shared" si="21"/>
        <v>6788.74</v>
      </c>
      <c r="J223" s="18">
        <f t="shared" si="22"/>
        <v>6983.1225000000013</v>
      </c>
      <c r="K223" s="216">
        <f t="shared" si="23"/>
        <v>273.76342737967911</v>
      </c>
      <c r="L223" s="229"/>
      <c r="M223" s="173"/>
      <c r="Q223" s="377">
        <f t="shared" si="26"/>
        <v>117</v>
      </c>
      <c r="R223" s="350">
        <v>33.94</v>
      </c>
      <c r="S223" s="351" t="str">
        <f t="shared" si="24"/>
        <v>OK</v>
      </c>
    </row>
    <row r="224" spans="1:19">
      <c r="A224" s="497">
        <f t="shared" si="27"/>
        <v>207</v>
      </c>
      <c r="B224" s="540" t="s">
        <v>98</v>
      </c>
      <c r="C224" s="541"/>
      <c r="D224" s="542"/>
      <c r="E224" s="211">
        <f>'7" 26# Deck Tally'!B208</f>
        <v>116</v>
      </c>
      <c r="F224" s="347">
        <f>'7" 26# Deck Tally'!C208</f>
        <v>32.89</v>
      </c>
      <c r="G224" s="18">
        <f t="shared" si="25"/>
        <v>32.491999999999997</v>
      </c>
      <c r="H224" s="18" t="s">
        <v>9</v>
      </c>
      <c r="I224" s="18">
        <f t="shared" si="21"/>
        <v>6821.232</v>
      </c>
      <c r="J224" s="18">
        <f t="shared" si="22"/>
        <v>6950.6305000000011</v>
      </c>
      <c r="K224" s="216">
        <f t="shared" si="23"/>
        <v>274.46107455462186</v>
      </c>
      <c r="L224" s="229"/>
      <c r="M224" s="173"/>
      <c r="Q224" s="377">
        <f t="shared" si="26"/>
        <v>116</v>
      </c>
      <c r="R224" s="350">
        <v>32.89</v>
      </c>
      <c r="S224" s="351" t="str">
        <f t="shared" si="24"/>
        <v>OK</v>
      </c>
    </row>
    <row r="225" spans="1:19">
      <c r="A225" s="497">
        <f t="shared" si="27"/>
        <v>208</v>
      </c>
      <c r="B225" s="540" t="s">
        <v>98</v>
      </c>
      <c r="C225" s="541"/>
      <c r="D225" s="542"/>
      <c r="E225" s="211">
        <f>'7" 26# Deck Tally'!B209</f>
        <v>115</v>
      </c>
      <c r="F225" s="347">
        <f>'7" 26# Deck Tally'!C209</f>
        <v>33.479999999999997</v>
      </c>
      <c r="G225" s="18">
        <f t="shared" si="25"/>
        <v>33.081999999999994</v>
      </c>
      <c r="H225" s="18" t="s">
        <v>9</v>
      </c>
      <c r="I225" s="18">
        <f t="shared" si="21"/>
        <v>6854.3140000000003</v>
      </c>
      <c r="J225" s="18">
        <f t="shared" si="22"/>
        <v>6917.5485000000008</v>
      </c>
      <c r="K225" s="216">
        <f t="shared" si="23"/>
        <v>275.17138982734912</v>
      </c>
      <c r="L225" s="229"/>
      <c r="M225" s="173"/>
      <c r="Q225" s="377">
        <f t="shared" si="26"/>
        <v>115</v>
      </c>
      <c r="R225" s="350">
        <v>33.479999999999997</v>
      </c>
      <c r="S225" s="351" t="str">
        <f t="shared" si="24"/>
        <v>OK</v>
      </c>
    </row>
    <row r="226" spans="1:19">
      <c r="A226" s="497">
        <f t="shared" si="27"/>
        <v>209</v>
      </c>
      <c r="B226" s="540" t="s">
        <v>98</v>
      </c>
      <c r="C226" s="541"/>
      <c r="D226" s="542"/>
      <c r="E226" s="211">
        <f>'7" 26# Deck Tally'!B210</f>
        <v>114</v>
      </c>
      <c r="F226" s="347">
        <f>'7" 26# Deck Tally'!C210</f>
        <v>33.950000000000003</v>
      </c>
      <c r="G226" s="18">
        <f t="shared" si="25"/>
        <v>33.552</v>
      </c>
      <c r="H226" s="18" t="s">
        <v>9</v>
      </c>
      <c r="I226" s="18">
        <f t="shared" si="21"/>
        <v>6887.866</v>
      </c>
      <c r="J226" s="18">
        <f t="shared" si="22"/>
        <v>6883.9965000000011</v>
      </c>
      <c r="K226" s="216">
        <f t="shared" si="23"/>
        <v>275.89179663559969</v>
      </c>
      <c r="L226" s="229"/>
      <c r="M226" s="173"/>
      <c r="Q226" s="377">
        <f t="shared" si="26"/>
        <v>114</v>
      </c>
      <c r="R226" s="350">
        <v>33.950000000000003</v>
      </c>
      <c r="S226" s="351" t="str">
        <f t="shared" si="24"/>
        <v>OK</v>
      </c>
    </row>
    <row r="227" spans="1:19">
      <c r="A227" s="497">
        <f t="shared" si="27"/>
        <v>210</v>
      </c>
      <c r="B227" s="540" t="s">
        <v>98</v>
      </c>
      <c r="C227" s="541"/>
      <c r="D227" s="542"/>
      <c r="E227" s="211">
        <f>'7" 26# Deck Tally'!B211</f>
        <v>113</v>
      </c>
      <c r="F227" s="347">
        <f>'7" 26# Deck Tally'!C211</f>
        <v>33.51</v>
      </c>
      <c r="G227" s="18">
        <f t="shared" si="25"/>
        <v>33.111999999999995</v>
      </c>
      <c r="H227" s="18" t="s">
        <v>9</v>
      </c>
      <c r="I227" s="18">
        <f t="shared" si="21"/>
        <v>6920.9780000000001</v>
      </c>
      <c r="J227" s="18">
        <f t="shared" si="22"/>
        <v>6850.884500000001</v>
      </c>
      <c r="K227" s="216">
        <f t="shared" si="23"/>
        <v>276.60275604889227</v>
      </c>
      <c r="L227" s="229"/>
      <c r="M227" s="173"/>
      <c r="Q227" s="377">
        <f t="shared" si="26"/>
        <v>113</v>
      </c>
      <c r="R227" s="350">
        <v>33.51</v>
      </c>
      <c r="S227" s="351" t="str">
        <f t="shared" si="24"/>
        <v>OK</v>
      </c>
    </row>
    <row r="228" spans="1:19">
      <c r="A228" s="497">
        <f t="shared" si="27"/>
        <v>211</v>
      </c>
      <c r="B228" s="540" t="s">
        <v>98</v>
      </c>
      <c r="C228" s="541"/>
      <c r="D228" s="542"/>
      <c r="E228" s="211">
        <f>'7" 26# Deck Tally'!B212</f>
        <v>112</v>
      </c>
      <c r="F228" s="347">
        <f>'7" 26# Deck Tally'!C212</f>
        <v>33.06</v>
      </c>
      <c r="G228" s="18">
        <f t="shared" si="25"/>
        <v>32.661999999999999</v>
      </c>
      <c r="H228" s="18" t="s">
        <v>9</v>
      </c>
      <c r="I228" s="18">
        <f t="shared" si="21"/>
        <v>6953.64</v>
      </c>
      <c r="J228" s="18">
        <f t="shared" si="22"/>
        <v>6818.2225000000008</v>
      </c>
      <c r="K228" s="216">
        <f t="shared" si="23"/>
        <v>277.30405335370511</v>
      </c>
      <c r="L228" s="229"/>
      <c r="M228" s="173"/>
      <c r="Q228" s="377">
        <f t="shared" si="26"/>
        <v>112</v>
      </c>
      <c r="R228" s="350">
        <v>33.06</v>
      </c>
      <c r="S228" s="351" t="str">
        <f t="shared" si="24"/>
        <v>OK</v>
      </c>
    </row>
    <row r="229" spans="1:19">
      <c r="A229" s="497">
        <f t="shared" si="27"/>
        <v>212</v>
      </c>
      <c r="B229" s="540" t="s">
        <v>98</v>
      </c>
      <c r="C229" s="541"/>
      <c r="D229" s="542"/>
      <c r="E229" s="211">
        <f>'7" 26# Deck Tally'!B213</f>
        <v>111</v>
      </c>
      <c r="F229" s="347">
        <f>'7" 26# Deck Tally'!C213</f>
        <v>32.729999999999997</v>
      </c>
      <c r="G229" s="18">
        <f t="shared" si="25"/>
        <v>32.331999999999994</v>
      </c>
      <c r="H229" s="18" t="s">
        <v>9</v>
      </c>
      <c r="I229" s="18">
        <f t="shared" si="21"/>
        <v>6985.9720000000007</v>
      </c>
      <c r="J229" s="18">
        <f t="shared" si="22"/>
        <v>6785.8905000000004</v>
      </c>
      <c r="K229" s="216">
        <f t="shared" si="23"/>
        <v>277.99826511229946</v>
      </c>
      <c r="L229" s="229"/>
      <c r="M229" s="173"/>
      <c r="Q229" s="377">
        <f t="shared" si="26"/>
        <v>111</v>
      </c>
      <c r="R229" s="350">
        <v>32.729999999999997</v>
      </c>
      <c r="S229" s="351" t="str">
        <f t="shared" si="24"/>
        <v>OK</v>
      </c>
    </row>
    <row r="230" spans="1:19">
      <c r="A230" s="497">
        <f t="shared" si="27"/>
        <v>213</v>
      </c>
      <c r="B230" s="540" t="s">
        <v>98</v>
      </c>
      <c r="C230" s="541"/>
      <c r="D230" s="542"/>
      <c r="E230" s="211">
        <f>'7" 26# Deck Tally'!B214</f>
        <v>110</v>
      </c>
      <c r="F230" s="347">
        <f>'7" 26# Deck Tally'!C214</f>
        <v>33.020000000000003</v>
      </c>
      <c r="G230" s="18">
        <f t="shared" si="25"/>
        <v>32.622</v>
      </c>
      <c r="H230" s="18" t="s">
        <v>9</v>
      </c>
      <c r="I230" s="18">
        <f t="shared" si="21"/>
        <v>7018.594000000001</v>
      </c>
      <c r="J230" s="18">
        <f t="shared" si="22"/>
        <v>6753.2685000000001</v>
      </c>
      <c r="K230" s="216">
        <f t="shared" si="23"/>
        <v>278.69870356302522</v>
      </c>
      <c r="L230" s="586"/>
      <c r="M230" s="587"/>
      <c r="Q230" s="377">
        <f t="shared" si="26"/>
        <v>110</v>
      </c>
      <c r="R230" s="350">
        <v>33.020000000000003</v>
      </c>
      <c r="S230" s="351" t="str">
        <f t="shared" si="24"/>
        <v>OK</v>
      </c>
    </row>
    <row r="231" spans="1:19">
      <c r="A231" s="497">
        <f t="shared" si="27"/>
        <v>214</v>
      </c>
      <c r="B231" s="540" t="s">
        <v>98</v>
      </c>
      <c r="C231" s="541"/>
      <c r="D231" s="542"/>
      <c r="E231" s="211">
        <f>'7" 26# Deck Tally'!B215</f>
        <v>109</v>
      </c>
      <c r="F231" s="347">
        <f>'7" 26# Deck Tally'!C215</f>
        <v>32.9</v>
      </c>
      <c r="G231" s="18">
        <f t="shared" si="25"/>
        <v>32.501999999999995</v>
      </c>
      <c r="H231" s="18" t="s">
        <v>9</v>
      </c>
      <c r="I231" s="18">
        <f t="shared" si="21"/>
        <v>7051.0960000000014</v>
      </c>
      <c r="J231" s="18">
        <f t="shared" si="22"/>
        <v>6720.7664999999997</v>
      </c>
      <c r="K231" s="216">
        <f t="shared" si="23"/>
        <v>279.39656545148972</v>
      </c>
      <c r="L231" s="372"/>
      <c r="M231" s="373"/>
      <c r="Q231" s="377">
        <f t="shared" si="26"/>
        <v>109</v>
      </c>
      <c r="R231" s="350">
        <v>32.9</v>
      </c>
      <c r="S231" s="351" t="str">
        <f t="shared" si="24"/>
        <v>OK</v>
      </c>
    </row>
    <row r="232" spans="1:19">
      <c r="A232" s="497">
        <f t="shared" si="27"/>
        <v>215</v>
      </c>
      <c r="B232" s="540" t="s">
        <v>98</v>
      </c>
      <c r="C232" s="541"/>
      <c r="D232" s="542"/>
      <c r="E232" s="211">
        <f>'7" 26# Deck Tally'!B216</f>
        <v>108</v>
      </c>
      <c r="F232" s="347">
        <f>'7" 26# Deck Tally'!C216</f>
        <v>32.869999999999997</v>
      </c>
      <c r="G232" s="18">
        <f t="shared" si="25"/>
        <v>32.471999999999994</v>
      </c>
      <c r="H232" s="18" t="s">
        <v>9</v>
      </c>
      <c r="I232" s="18">
        <f t="shared" si="21"/>
        <v>7083.5680000000011</v>
      </c>
      <c r="J232" s="18">
        <f t="shared" si="22"/>
        <v>6688.2945</v>
      </c>
      <c r="K232" s="216">
        <f t="shared" si="23"/>
        <v>280.09378319938889</v>
      </c>
      <c r="L232" s="586"/>
      <c r="M232" s="587"/>
      <c r="Q232" s="377">
        <f t="shared" si="26"/>
        <v>108</v>
      </c>
      <c r="R232" s="350">
        <v>32.869999999999997</v>
      </c>
      <c r="S232" s="351" t="str">
        <f t="shared" si="24"/>
        <v>OK</v>
      </c>
    </row>
    <row r="233" spans="1:19">
      <c r="A233" s="497">
        <f t="shared" si="27"/>
        <v>216</v>
      </c>
      <c r="B233" s="540" t="s">
        <v>98</v>
      </c>
      <c r="C233" s="541"/>
      <c r="D233" s="542"/>
      <c r="E233" s="211">
        <f>'7" 26# Deck Tally'!B217</f>
        <v>107</v>
      </c>
      <c r="F233" s="347">
        <f>'7" 26# Deck Tally'!C217</f>
        <v>32.97</v>
      </c>
      <c r="G233" s="18">
        <f t="shared" si="25"/>
        <v>32.571999999999996</v>
      </c>
      <c r="H233" s="18" t="s">
        <v>9</v>
      </c>
      <c r="I233" s="18">
        <f t="shared" si="21"/>
        <v>7116.1400000000012</v>
      </c>
      <c r="J233" s="18">
        <f t="shared" si="22"/>
        <v>6655.7224999999999</v>
      </c>
      <c r="K233" s="216">
        <f t="shared" si="23"/>
        <v>280.79314808250575</v>
      </c>
      <c r="L233" s="372"/>
      <c r="M233" s="373"/>
      <c r="Q233" s="377">
        <f t="shared" si="26"/>
        <v>107</v>
      </c>
      <c r="R233" s="350">
        <v>32.97</v>
      </c>
      <c r="S233" s="351" t="str">
        <f t="shared" si="24"/>
        <v>OK</v>
      </c>
    </row>
    <row r="234" spans="1:19">
      <c r="A234" s="497">
        <f t="shared" si="27"/>
        <v>217</v>
      </c>
      <c r="B234" s="540" t="s">
        <v>98</v>
      </c>
      <c r="C234" s="541"/>
      <c r="D234" s="542"/>
      <c r="E234" s="211">
        <f>'7" 26# Deck Tally'!B218</f>
        <v>106</v>
      </c>
      <c r="F234" s="347">
        <f>'7" 26# Deck Tally'!C218</f>
        <v>31.64</v>
      </c>
      <c r="G234" s="18">
        <f t="shared" si="25"/>
        <v>31.242000000000001</v>
      </c>
      <c r="H234" s="18" t="s">
        <v>9</v>
      </c>
      <c r="I234" s="18">
        <f t="shared" si="21"/>
        <v>7147.3820000000014</v>
      </c>
      <c r="J234" s="18">
        <f t="shared" si="22"/>
        <v>6624.4804999999997</v>
      </c>
      <c r="K234" s="216">
        <f t="shared" si="23"/>
        <v>281.46395606722695</v>
      </c>
      <c r="L234" s="372"/>
      <c r="M234" s="373"/>
      <c r="Q234" s="377">
        <f t="shared" si="26"/>
        <v>106</v>
      </c>
      <c r="R234" s="350">
        <v>31.64</v>
      </c>
      <c r="S234" s="351" t="str">
        <f t="shared" si="24"/>
        <v>OK</v>
      </c>
    </row>
    <row r="235" spans="1:19">
      <c r="A235" s="497">
        <f t="shared" si="27"/>
        <v>218</v>
      </c>
      <c r="B235" s="540" t="s">
        <v>98</v>
      </c>
      <c r="C235" s="541"/>
      <c r="D235" s="542"/>
      <c r="E235" s="211">
        <f>'7" 26# Deck Tally'!B219</f>
        <v>105</v>
      </c>
      <c r="F235" s="347">
        <f>'7" 26# Deck Tally'!C219</f>
        <v>33.67</v>
      </c>
      <c r="G235" s="18">
        <f t="shared" si="25"/>
        <v>33.271999999999998</v>
      </c>
      <c r="H235" s="18" t="s">
        <v>9</v>
      </c>
      <c r="I235" s="18">
        <f t="shared" si="21"/>
        <v>7180.6540000000014</v>
      </c>
      <c r="J235" s="18">
        <f t="shared" si="22"/>
        <v>6591.2084999999997</v>
      </c>
      <c r="K235" s="216">
        <f t="shared" si="23"/>
        <v>282.17835089686787</v>
      </c>
      <c r="L235" s="372"/>
      <c r="M235" s="373"/>
      <c r="Q235" s="377">
        <f t="shared" si="26"/>
        <v>105</v>
      </c>
      <c r="R235" s="350">
        <v>33.67</v>
      </c>
      <c r="S235" s="351" t="str">
        <f t="shared" si="24"/>
        <v>OK</v>
      </c>
    </row>
    <row r="236" spans="1:19">
      <c r="A236" s="497">
        <f t="shared" si="27"/>
        <v>219</v>
      </c>
      <c r="B236" s="540" t="s">
        <v>98</v>
      </c>
      <c r="C236" s="541"/>
      <c r="D236" s="542"/>
      <c r="E236" s="211">
        <f>'7" 26# Deck Tally'!B220</f>
        <v>104</v>
      </c>
      <c r="F236" s="347">
        <f>'7" 26# Deck Tally'!C220</f>
        <v>32.57</v>
      </c>
      <c r="G236" s="18">
        <f t="shared" si="25"/>
        <v>32.171999999999997</v>
      </c>
      <c r="H236" s="18" t="s">
        <v>9</v>
      </c>
      <c r="I236" s="18">
        <f t="shared" si="21"/>
        <v>7212.8260000000009</v>
      </c>
      <c r="J236" s="18">
        <f t="shared" si="22"/>
        <v>6559.0365000000002</v>
      </c>
      <c r="K236" s="216">
        <f t="shared" si="23"/>
        <v>282.86912723911382</v>
      </c>
      <c r="L236" s="441"/>
      <c r="M236" s="432"/>
      <c r="Q236" s="377">
        <f t="shared" si="26"/>
        <v>104</v>
      </c>
      <c r="R236" s="350">
        <v>32.57</v>
      </c>
      <c r="S236" s="351" t="str">
        <f t="shared" si="24"/>
        <v>OK</v>
      </c>
    </row>
    <row r="237" spans="1:19">
      <c r="A237" s="497">
        <f t="shared" si="27"/>
        <v>220</v>
      </c>
      <c r="B237" s="540" t="s">
        <v>98</v>
      </c>
      <c r="C237" s="541"/>
      <c r="D237" s="542"/>
      <c r="E237" s="211">
        <f>'7" 26# Deck Tally'!B221</f>
        <v>103</v>
      </c>
      <c r="F237" s="347">
        <f>'7" 26# Deck Tally'!C221</f>
        <v>32.880000000000003</v>
      </c>
      <c r="G237" s="18">
        <f t="shared" si="25"/>
        <v>32.481999999999999</v>
      </c>
      <c r="H237" s="18" t="s">
        <v>9</v>
      </c>
      <c r="I237" s="18">
        <f t="shared" si="21"/>
        <v>7245.3080000000009</v>
      </c>
      <c r="J237" s="18">
        <f t="shared" si="22"/>
        <v>6526.5545000000002</v>
      </c>
      <c r="K237" s="216">
        <f t="shared" si="23"/>
        <v>283.56655970053475</v>
      </c>
      <c r="L237" s="229"/>
      <c r="M237" s="173"/>
      <c r="Q237" s="377">
        <f t="shared" si="26"/>
        <v>103</v>
      </c>
      <c r="R237" s="350">
        <v>32.880000000000003</v>
      </c>
      <c r="S237" s="351" t="str">
        <f t="shared" si="24"/>
        <v>OK</v>
      </c>
    </row>
    <row r="238" spans="1:19">
      <c r="A238" s="497">
        <f t="shared" si="27"/>
        <v>221</v>
      </c>
      <c r="B238" s="540" t="s">
        <v>98</v>
      </c>
      <c r="C238" s="541"/>
      <c r="D238" s="542"/>
      <c r="E238" s="211">
        <f>'7" 26# Deck Tally'!B222</f>
        <v>102</v>
      </c>
      <c r="F238" s="347">
        <f>'7" 26# Deck Tally'!C222</f>
        <v>33.119999999999997</v>
      </c>
      <c r="G238" s="18">
        <f t="shared" si="25"/>
        <v>32.721999999999994</v>
      </c>
      <c r="H238" s="18" t="s">
        <v>9</v>
      </c>
      <c r="I238" s="18">
        <f t="shared" si="21"/>
        <v>7278.0300000000007</v>
      </c>
      <c r="J238" s="18">
        <f t="shared" si="22"/>
        <v>6493.8325000000004</v>
      </c>
      <c r="K238" s="216">
        <f t="shared" si="23"/>
        <v>284.26914528647825</v>
      </c>
      <c r="L238" s="229"/>
      <c r="M238" s="173"/>
      <c r="Q238" s="377">
        <f t="shared" si="26"/>
        <v>102</v>
      </c>
      <c r="R238" s="350">
        <v>33.119999999999997</v>
      </c>
      <c r="S238" s="351" t="str">
        <f t="shared" si="24"/>
        <v>OK</v>
      </c>
    </row>
    <row r="239" spans="1:19">
      <c r="A239" s="497">
        <f t="shared" si="27"/>
        <v>222</v>
      </c>
      <c r="B239" s="540" t="s">
        <v>98</v>
      </c>
      <c r="C239" s="541"/>
      <c r="D239" s="542"/>
      <c r="E239" s="211">
        <f>'7" 26# Deck Tally'!B223</f>
        <v>101</v>
      </c>
      <c r="F239" s="347">
        <f>'7" 26# Deck Tally'!C223</f>
        <v>33.090000000000003</v>
      </c>
      <c r="G239" s="18">
        <f t="shared" si="25"/>
        <v>32.692</v>
      </c>
      <c r="H239" s="18" t="s">
        <v>9</v>
      </c>
      <c r="I239" s="18">
        <f t="shared" si="21"/>
        <v>7310.7220000000007</v>
      </c>
      <c r="J239" s="18">
        <f t="shared" si="22"/>
        <v>6461.1405000000004</v>
      </c>
      <c r="K239" s="216">
        <f t="shared" si="23"/>
        <v>284.97108673185642</v>
      </c>
      <c r="L239" s="229"/>
      <c r="M239" s="173"/>
      <c r="Q239" s="377">
        <f t="shared" si="26"/>
        <v>101</v>
      </c>
      <c r="R239" s="350">
        <v>33.090000000000003</v>
      </c>
      <c r="S239" s="351" t="str">
        <f t="shared" si="24"/>
        <v>OK</v>
      </c>
    </row>
    <row r="240" spans="1:19">
      <c r="A240" s="497">
        <f t="shared" si="27"/>
        <v>223</v>
      </c>
      <c r="B240" s="540" t="s">
        <v>98</v>
      </c>
      <c r="C240" s="541"/>
      <c r="D240" s="542"/>
      <c r="E240" s="211">
        <f>'7" 26# Deck Tally'!B224</f>
        <v>100</v>
      </c>
      <c r="F240" s="347">
        <f>'7" 26# Deck Tally'!C224</f>
        <v>31.73</v>
      </c>
      <c r="G240" s="18">
        <f t="shared" si="25"/>
        <v>31.332000000000001</v>
      </c>
      <c r="H240" s="18" t="s">
        <v>9</v>
      </c>
      <c r="I240" s="18">
        <f t="shared" si="21"/>
        <v>7342.054000000001</v>
      </c>
      <c r="J240" s="18">
        <f t="shared" si="22"/>
        <v>6429.8085000000001</v>
      </c>
      <c r="K240" s="216">
        <f t="shared" si="23"/>
        <v>285.64382713827354</v>
      </c>
      <c r="L240" s="229"/>
      <c r="M240" s="173"/>
      <c r="Q240" s="377">
        <f t="shared" si="26"/>
        <v>100</v>
      </c>
      <c r="R240" s="350">
        <v>31.73</v>
      </c>
      <c r="S240" s="351" t="str">
        <f t="shared" si="24"/>
        <v>OK</v>
      </c>
    </row>
    <row r="241" spans="1:19" ht="12.6" customHeight="1">
      <c r="A241" s="497">
        <f t="shared" si="27"/>
        <v>224</v>
      </c>
      <c r="B241" s="540" t="s">
        <v>98</v>
      </c>
      <c r="C241" s="541"/>
      <c r="D241" s="542"/>
      <c r="E241" s="211">
        <f>'7" 26# Deck Tally'!B225</f>
        <v>99</v>
      </c>
      <c r="F241" s="347">
        <f>'7" 26# Deck Tally'!C225</f>
        <v>33.1</v>
      </c>
      <c r="G241" s="18">
        <f t="shared" si="25"/>
        <v>32.701999999999998</v>
      </c>
      <c r="H241" s="18" t="s">
        <v>9</v>
      </c>
      <c r="I241" s="18">
        <f t="shared" si="21"/>
        <v>7374.7560000000012</v>
      </c>
      <c r="J241" s="18">
        <f t="shared" si="22"/>
        <v>6397.1064999999999</v>
      </c>
      <c r="K241" s="216">
        <f t="shared" si="23"/>
        <v>286.34598329717346</v>
      </c>
      <c r="L241" s="229"/>
      <c r="M241" s="173"/>
      <c r="Q241" s="377">
        <f t="shared" si="26"/>
        <v>99</v>
      </c>
      <c r="R241" s="350">
        <v>33.1</v>
      </c>
      <c r="S241" s="351" t="str">
        <f t="shared" si="24"/>
        <v>OK</v>
      </c>
    </row>
    <row r="242" spans="1:19" ht="12.6" customHeight="1">
      <c r="A242" s="497">
        <f t="shared" si="27"/>
        <v>225</v>
      </c>
      <c r="B242" s="540" t="s">
        <v>98</v>
      </c>
      <c r="C242" s="541"/>
      <c r="D242" s="542"/>
      <c r="E242" s="211">
        <f>'7" 26# Deck Tally'!B226</f>
        <v>98</v>
      </c>
      <c r="F242" s="347">
        <f>'7" 26# Deck Tally'!C226</f>
        <v>33.57</v>
      </c>
      <c r="G242" s="18">
        <f t="shared" si="25"/>
        <v>33.171999999999997</v>
      </c>
      <c r="H242" s="18" t="s">
        <v>9</v>
      </c>
      <c r="I242" s="18">
        <f t="shared" si="21"/>
        <v>7407.9280000000008</v>
      </c>
      <c r="J242" s="18">
        <f t="shared" si="22"/>
        <v>6363.9345000000003</v>
      </c>
      <c r="K242" s="216">
        <f t="shared" si="23"/>
        <v>287.0582309915967</v>
      </c>
      <c r="L242" s="229"/>
      <c r="M242" s="173"/>
      <c r="Q242" s="377">
        <f t="shared" si="26"/>
        <v>98</v>
      </c>
      <c r="R242" s="350">
        <v>33.57</v>
      </c>
      <c r="S242" s="351" t="str">
        <f t="shared" si="24"/>
        <v>OK</v>
      </c>
    </row>
    <row r="243" spans="1:19" ht="12.6" customHeight="1">
      <c r="A243" s="497">
        <f t="shared" si="27"/>
        <v>226</v>
      </c>
      <c r="B243" s="540" t="s">
        <v>98</v>
      </c>
      <c r="C243" s="541"/>
      <c r="D243" s="542"/>
      <c r="E243" s="211">
        <f>'7" 26# Deck Tally'!B227</f>
        <v>97</v>
      </c>
      <c r="F243" s="347">
        <f>'7" 26# Deck Tally'!C227</f>
        <v>33.43</v>
      </c>
      <c r="G243" s="18">
        <f t="shared" si="25"/>
        <v>33.031999999999996</v>
      </c>
      <c r="H243" s="18" t="s">
        <v>9</v>
      </c>
      <c r="I243" s="18">
        <f t="shared" si="21"/>
        <v>7440.9600000000009</v>
      </c>
      <c r="J243" s="18">
        <f t="shared" si="22"/>
        <v>6330.9025000000001</v>
      </c>
      <c r="K243" s="216">
        <f t="shared" si="23"/>
        <v>287.76747269671506</v>
      </c>
      <c r="L243" s="229"/>
      <c r="M243" s="173"/>
      <c r="Q243" s="377">
        <f t="shared" si="26"/>
        <v>97</v>
      </c>
      <c r="R243" s="350">
        <v>33.43</v>
      </c>
      <c r="S243" s="351" t="str">
        <f t="shared" si="24"/>
        <v>OK</v>
      </c>
    </row>
    <row r="244" spans="1:19" ht="12.6" customHeight="1">
      <c r="A244" s="497">
        <f t="shared" si="27"/>
        <v>227</v>
      </c>
      <c r="B244" s="540" t="s">
        <v>98</v>
      </c>
      <c r="C244" s="541"/>
      <c r="D244" s="542"/>
      <c r="E244" s="211">
        <f>'7" 26# Deck Tally'!B228</f>
        <v>96</v>
      </c>
      <c r="F244" s="347">
        <f>'7" 26# Deck Tally'!C228</f>
        <v>33.630000000000003</v>
      </c>
      <c r="G244" s="18">
        <f t="shared" si="25"/>
        <v>33.231999999999999</v>
      </c>
      <c r="H244" s="18" t="s">
        <v>9</v>
      </c>
      <c r="I244" s="18">
        <f t="shared" si="21"/>
        <v>7474.1920000000009</v>
      </c>
      <c r="J244" s="18">
        <f t="shared" si="22"/>
        <v>6297.6705000000002</v>
      </c>
      <c r="K244" s="216">
        <f t="shared" si="23"/>
        <v>288.48100867226896</v>
      </c>
      <c r="L244" s="229"/>
      <c r="M244" s="173"/>
      <c r="Q244" s="377">
        <f t="shared" si="26"/>
        <v>96</v>
      </c>
      <c r="R244" s="350">
        <v>33.630000000000003</v>
      </c>
      <c r="S244" s="351" t="str">
        <f t="shared" si="24"/>
        <v>OK</v>
      </c>
    </row>
    <row r="245" spans="1:19" ht="12.6" customHeight="1">
      <c r="A245" s="497">
        <f t="shared" si="27"/>
        <v>228</v>
      </c>
      <c r="B245" s="540" t="s">
        <v>98</v>
      </c>
      <c r="C245" s="541"/>
      <c r="D245" s="542"/>
      <c r="E245" s="211">
        <f>'7" 26# Deck Tally'!B229</f>
        <v>95</v>
      </c>
      <c r="F245" s="347">
        <f>'7" 26# Deck Tally'!C229</f>
        <v>32</v>
      </c>
      <c r="G245" s="18">
        <f t="shared" si="25"/>
        <v>31.602</v>
      </c>
      <c r="H245" s="18" t="s">
        <v>9</v>
      </c>
      <c r="I245" s="18">
        <f t="shared" si="21"/>
        <v>7505.7940000000008</v>
      </c>
      <c r="J245" s="18">
        <f t="shared" si="22"/>
        <v>6266.0685000000003</v>
      </c>
      <c r="K245" s="216">
        <f t="shared" si="23"/>
        <v>289.15954634377385</v>
      </c>
      <c r="L245" s="229"/>
      <c r="M245" s="173"/>
      <c r="Q245" s="377">
        <f t="shared" si="26"/>
        <v>95</v>
      </c>
      <c r="R245" s="350">
        <v>32</v>
      </c>
      <c r="S245" s="351" t="str">
        <f t="shared" si="24"/>
        <v>OK</v>
      </c>
    </row>
    <row r="246" spans="1:19">
      <c r="A246" s="497">
        <f t="shared" si="27"/>
        <v>229</v>
      </c>
      <c r="B246" s="540" t="s">
        <v>98</v>
      </c>
      <c r="C246" s="541"/>
      <c r="D246" s="542"/>
      <c r="E246" s="211">
        <f>'7" 26# Deck Tally'!B230</f>
        <v>94</v>
      </c>
      <c r="F246" s="347">
        <f>'7" 26# Deck Tally'!C230</f>
        <v>31.88</v>
      </c>
      <c r="G246" s="18">
        <f t="shared" si="25"/>
        <v>31.481999999999999</v>
      </c>
      <c r="H246" s="18" t="s">
        <v>9</v>
      </c>
      <c r="I246" s="18">
        <f t="shared" si="21"/>
        <v>7537.2760000000007</v>
      </c>
      <c r="J246" s="18">
        <f t="shared" si="22"/>
        <v>6234.5865000000003</v>
      </c>
      <c r="K246" s="216">
        <f t="shared" si="23"/>
        <v>289.83550745301761</v>
      </c>
      <c r="L246" s="229"/>
      <c r="M246" s="173"/>
      <c r="Q246" s="377">
        <f t="shared" si="26"/>
        <v>94</v>
      </c>
      <c r="R246" s="350">
        <v>31.88</v>
      </c>
      <c r="S246" s="351" t="str">
        <f t="shared" si="24"/>
        <v>OK</v>
      </c>
    </row>
    <row r="247" spans="1:19">
      <c r="A247" s="497">
        <f t="shared" si="27"/>
        <v>230</v>
      </c>
      <c r="B247" s="540" t="s">
        <v>98</v>
      </c>
      <c r="C247" s="541"/>
      <c r="D247" s="542"/>
      <c r="E247" s="211">
        <f>'7" 26# Deck Tally'!B231</f>
        <v>93</v>
      </c>
      <c r="F247" s="347">
        <f>'7" 26# Deck Tally'!C231</f>
        <v>33.4</v>
      </c>
      <c r="G247" s="18">
        <f t="shared" si="25"/>
        <v>33.001999999999995</v>
      </c>
      <c r="H247" s="18" t="s">
        <v>9</v>
      </c>
      <c r="I247" s="18">
        <f t="shared" si="21"/>
        <v>7570.2780000000012</v>
      </c>
      <c r="J247" s="18">
        <f t="shared" si="22"/>
        <v>6201.5844999999999</v>
      </c>
      <c r="K247" s="216">
        <f t="shared" si="23"/>
        <v>290.5441050175707</v>
      </c>
      <c r="L247" s="229"/>
      <c r="M247" s="173"/>
      <c r="Q247" s="377">
        <f t="shared" si="26"/>
        <v>93</v>
      </c>
      <c r="R247" s="350">
        <v>33.4</v>
      </c>
      <c r="S247" s="351" t="str">
        <f t="shared" si="24"/>
        <v>OK</v>
      </c>
    </row>
    <row r="248" spans="1:19">
      <c r="A248" s="497">
        <f t="shared" si="27"/>
        <v>231</v>
      </c>
      <c r="B248" s="540" t="s">
        <v>98</v>
      </c>
      <c r="C248" s="541"/>
      <c r="D248" s="542"/>
      <c r="E248" s="211">
        <f>'7" 26# Deck Tally'!B232</f>
        <v>92</v>
      </c>
      <c r="F248" s="347">
        <f>'7" 26# Deck Tally'!C232</f>
        <v>33.25</v>
      </c>
      <c r="G248" s="18">
        <f t="shared" si="25"/>
        <v>32.851999999999997</v>
      </c>
      <c r="H248" s="18" t="s">
        <v>9</v>
      </c>
      <c r="I248" s="18">
        <f t="shared" si="21"/>
        <v>7603.130000000001</v>
      </c>
      <c r="J248" s="18">
        <f t="shared" si="22"/>
        <v>6168.7325000000001</v>
      </c>
      <c r="K248" s="216">
        <f t="shared" si="23"/>
        <v>291.24948187929721</v>
      </c>
      <c r="L248" s="229"/>
      <c r="M248" s="173"/>
      <c r="Q248" s="377">
        <f t="shared" si="26"/>
        <v>92</v>
      </c>
      <c r="R248" s="350">
        <v>33.25</v>
      </c>
      <c r="S248" s="351" t="str">
        <f t="shared" si="24"/>
        <v>OK</v>
      </c>
    </row>
    <row r="249" spans="1:19">
      <c r="A249" s="497">
        <f t="shared" si="27"/>
        <v>232</v>
      </c>
      <c r="B249" s="540" t="s">
        <v>98</v>
      </c>
      <c r="C249" s="541"/>
      <c r="D249" s="542"/>
      <c r="E249" s="211">
        <f>'7" 26# Deck Tally'!B233</f>
        <v>91</v>
      </c>
      <c r="F249" s="347">
        <f>'7" 26# Deck Tally'!C233</f>
        <v>33.14</v>
      </c>
      <c r="G249" s="18">
        <f t="shared" si="25"/>
        <v>32.741999999999997</v>
      </c>
      <c r="H249" s="18" t="s">
        <v>9</v>
      </c>
      <c r="I249" s="18">
        <f t="shared" si="21"/>
        <v>7635.8720000000012</v>
      </c>
      <c r="J249" s="18">
        <f t="shared" si="22"/>
        <v>6135.9904999999999</v>
      </c>
      <c r="K249" s="216">
        <f t="shared" si="23"/>
        <v>291.95249689228422</v>
      </c>
      <c r="L249" s="229"/>
      <c r="M249" s="173"/>
      <c r="Q249" s="377">
        <f t="shared" si="26"/>
        <v>91</v>
      </c>
      <c r="R249" s="350">
        <v>33.14</v>
      </c>
      <c r="S249" s="351" t="str">
        <f t="shared" si="24"/>
        <v>OK</v>
      </c>
    </row>
    <row r="250" spans="1:19">
      <c r="A250" s="497">
        <f t="shared" si="27"/>
        <v>233</v>
      </c>
      <c r="B250" s="540" t="s">
        <v>98</v>
      </c>
      <c r="C250" s="541"/>
      <c r="D250" s="542"/>
      <c r="E250" s="211">
        <f>'7" 26# Deck Tally'!B234</f>
        <v>90</v>
      </c>
      <c r="F250" s="347">
        <f>'7" 26# Deck Tally'!C234</f>
        <v>33.35</v>
      </c>
      <c r="G250" s="18">
        <f t="shared" si="25"/>
        <v>32.951999999999998</v>
      </c>
      <c r="H250" s="18" t="s">
        <v>9</v>
      </c>
      <c r="I250" s="18">
        <f t="shared" si="21"/>
        <v>7668.8240000000014</v>
      </c>
      <c r="J250" s="18">
        <f t="shared" si="22"/>
        <v>6103.0384999999997</v>
      </c>
      <c r="K250" s="216">
        <f t="shared" si="23"/>
        <v>292.66002088922846</v>
      </c>
      <c r="L250" s="229"/>
      <c r="M250" s="173"/>
      <c r="Q250" s="377">
        <f t="shared" si="26"/>
        <v>90</v>
      </c>
      <c r="R250" s="350">
        <v>33.35</v>
      </c>
      <c r="S250" s="351" t="str">
        <f t="shared" si="24"/>
        <v>OK</v>
      </c>
    </row>
    <row r="251" spans="1:19" ht="12.6" customHeight="1">
      <c r="A251" s="497">
        <f t="shared" si="27"/>
        <v>234</v>
      </c>
      <c r="B251" s="540" t="s">
        <v>98</v>
      </c>
      <c r="C251" s="541"/>
      <c r="D251" s="542"/>
      <c r="E251" s="211">
        <f>'7" 26# Deck Tally'!B235</f>
        <v>89</v>
      </c>
      <c r="F251" s="347">
        <f>'7" 26# Deck Tally'!C235</f>
        <v>33.950000000000003</v>
      </c>
      <c r="G251" s="18">
        <f t="shared" si="25"/>
        <v>33.552</v>
      </c>
      <c r="H251" s="18" t="s">
        <v>9</v>
      </c>
      <c r="I251" s="18">
        <f t="shared" si="21"/>
        <v>7702.3760000000011</v>
      </c>
      <c r="J251" s="18">
        <f t="shared" si="22"/>
        <v>6069.4865</v>
      </c>
      <c r="K251" s="216">
        <f t="shared" si="23"/>
        <v>293.38042769747904</v>
      </c>
      <c r="L251" s="229"/>
      <c r="M251" s="173"/>
      <c r="Q251" s="377">
        <f t="shared" si="26"/>
        <v>89</v>
      </c>
      <c r="R251" s="350">
        <v>33.950000000000003</v>
      </c>
      <c r="S251" s="351" t="str">
        <f t="shared" si="24"/>
        <v>OK</v>
      </c>
    </row>
    <row r="252" spans="1:19" ht="12.6" customHeight="1">
      <c r="A252" s="497">
        <f t="shared" si="27"/>
        <v>235</v>
      </c>
      <c r="B252" s="540" t="s">
        <v>98</v>
      </c>
      <c r="C252" s="541"/>
      <c r="D252" s="542"/>
      <c r="E252" s="211">
        <f>'7" 26# Deck Tally'!B236</f>
        <v>88</v>
      </c>
      <c r="F252" s="347">
        <f>'7" 26# Deck Tally'!C236</f>
        <v>33.950000000000003</v>
      </c>
      <c r="G252" s="18">
        <f t="shared" si="25"/>
        <v>33.552</v>
      </c>
      <c r="H252" s="18" t="s">
        <v>9</v>
      </c>
      <c r="I252" s="18">
        <f t="shared" si="21"/>
        <v>7735.9280000000008</v>
      </c>
      <c r="J252" s="18">
        <f t="shared" si="22"/>
        <v>6035.9345000000003</v>
      </c>
      <c r="K252" s="216">
        <f t="shared" si="23"/>
        <v>294.10083450572961</v>
      </c>
      <c r="L252" s="229"/>
      <c r="M252" s="173"/>
      <c r="Q252" s="377">
        <f t="shared" si="26"/>
        <v>88</v>
      </c>
      <c r="R252" s="350">
        <v>33.950000000000003</v>
      </c>
      <c r="S252" s="351" t="str">
        <f t="shared" si="24"/>
        <v>OK</v>
      </c>
    </row>
    <row r="253" spans="1:19">
      <c r="A253" s="497">
        <f t="shared" si="27"/>
        <v>236</v>
      </c>
      <c r="B253" s="540" t="s">
        <v>98</v>
      </c>
      <c r="C253" s="541"/>
      <c r="D253" s="542"/>
      <c r="E253" s="211">
        <f>'7" 26# Deck Tally'!B237</f>
        <v>87</v>
      </c>
      <c r="F253" s="347">
        <f>'7" 26# Deck Tally'!C237</f>
        <v>33.950000000000003</v>
      </c>
      <c r="G253" s="18">
        <f t="shared" si="25"/>
        <v>33.552</v>
      </c>
      <c r="H253" s="18" t="s">
        <v>9</v>
      </c>
      <c r="I253" s="18">
        <f t="shared" si="21"/>
        <v>7769.4800000000005</v>
      </c>
      <c r="J253" s="18">
        <f t="shared" si="22"/>
        <v>6002.3825000000006</v>
      </c>
      <c r="K253" s="216">
        <f t="shared" si="23"/>
        <v>294.82124131398018</v>
      </c>
      <c r="L253" s="229"/>
      <c r="M253" s="173"/>
      <c r="Q253" s="377">
        <f t="shared" si="26"/>
        <v>87</v>
      </c>
      <c r="R253" s="350">
        <v>33.950000000000003</v>
      </c>
      <c r="S253" s="351" t="str">
        <f t="shared" si="24"/>
        <v>OK</v>
      </c>
    </row>
    <row r="254" spans="1:19">
      <c r="A254" s="497">
        <f t="shared" si="27"/>
        <v>237</v>
      </c>
      <c r="B254" s="540" t="s">
        <v>98</v>
      </c>
      <c r="C254" s="541"/>
      <c r="D254" s="542"/>
      <c r="E254" s="211">
        <f>'7" 26# Deck Tally'!B238</f>
        <v>86</v>
      </c>
      <c r="F254" s="347">
        <f>'7" 26# Deck Tally'!C238</f>
        <v>33.94</v>
      </c>
      <c r="G254" s="18">
        <f t="shared" si="25"/>
        <v>33.541999999999994</v>
      </c>
      <c r="H254" s="18" t="s">
        <v>9</v>
      </c>
      <c r="I254" s="18">
        <f t="shared" si="21"/>
        <v>7803.0220000000008</v>
      </c>
      <c r="J254" s="18">
        <f t="shared" si="22"/>
        <v>5968.8405000000002</v>
      </c>
      <c r="K254" s="216">
        <f t="shared" si="23"/>
        <v>295.54143340870894</v>
      </c>
      <c r="L254" s="567"/>
      <c r="M254" s="566"/>
      <c r="Q254" s="377">
        <f t="shared" si="26"/>
        <v>86</v>
      </c>
      <c r="R254" s="350">
        <v>33.94</v>
      </c>
      <c r="S254" s="351" t="str">
        <f t="shared" si="24"/>
        <v>OK</v>
      </c>
    </row>
    <row r="255" spans="1:19">
      <c r="A255" s="497">
        <f t="shared" si="27"/>
        <v>238</v>
      </c>
      <c r="B255" s="540" t="s">
        <v>98</v>
      </c>
      <c r="C255" s="541"/>
      <c r="D255" s="542"/>
      <c r="E255" s="211">
        <f>'7" 26# Deck Tally'!B239</f>
        <v>85</v>
      </c>
      <c r="F255" s="347">
        <f>'7" 26# Deck Tally'!C239</f>
        <v>33.61</v>
      </c>
      <c r="G255" s="18">
        <f t="shared" si="25"/>
        <v>33.211999999999996</v>
      </c>
      <c r="H255" s="18" t="s">
        <v>9</v>
      </c>
      <c r="I255" s="18">
        <f t="shared" si="21"/>
        <v>7836.2340000000013</v>
      </c>
      <c r="J255" s="18">
        <f t="shared" si="22"/>
        <v>5935.6284999999998</v>
      </c>
      <c r="K255" s="216">
        <f t="shared" si="23"/>
        <v>296.25453995721932</v>
      </c>
      <c r="L255" s="567"/>
      <c r="M255" s="566"/>
      <c r="N255" s="435"/>
      <c r="O255" s="384"/>
      <c r="P255" s="384"/>
      <c r="Q255" s="377">
        <f t="shared" si="26"/>
        <v>85</v>
      </c>
      <c r="R255" s="350">
        <v>33.61</v>
      </c>
      <c r="S255" s="351" t="str">
        <f t="shared" si="24"/>
        <v>OK</v>
      </c>
    </row>
    <row r="256" spans="1:19">
      <c r="A256" s="497">
        <f t="shared" si="27"/>
        <v>239</v>
      </c>
      <c r="B256" s="540" t="s">
        <v>98</v>
      </c>
      <c r="C256" s="541"/>
      <c r="D256" s="542"/>
      <c r="E256" s="211">
        <f>'7" 26# Deck Tally'!B240</f>
        <v>84</v>
      </c>
      <c r="F256" s="347">
        <f>'7" 26# Deck Tally'!C240</f>
        <v>33.950000000000003</v>
      </c>
      <c r="G256" s="18">
        <f t="shared" si="25"/>
        <v>33.552</v>
      </c>
      <c r="H256" s="18" t="s">
        <v>9</v>
      </c>
      <c r="I256" s="18">
        <f t="shared" si="21"/>
        <v>7869.786000000001</v>
      </c>
      <c r="J256" s="18">
        <f t="shared" si="22"/>
        <v>5902.0765000000001</v>
      </c>
      <c r="K256" s="216">
        <f t="shared" si="23"/>
        <v>296.97494676546989</v>
      </c>
      <c r="L256" s="567"/>
      <c r="M256" s="566"/>
      <c r="N256" s="435"/>
      <c r="O256" s="384"/>
      <c r="P256" s="384"/>
      <c r="Q256" s="377">
        <f t="shared" si="26"/>
        <v>84</v>
      </c>
      <c r="R256" s="350">
        <v>33.950000000000003</v>
      </c>
      <c r="S256" s="351" t="str">
        <f t="shared" si="24"/>
        <v>OK</v>
      </c>
    </row>
    <row r="257" spans="1:19" ht="12.6" customHeight="1">
      <c r="A257" s="497">
        <f t="shared" si="27"/>
        <v>240</v>
      </c>
      <c r="B257" s="540" t="s">
        <v>98</v>
      </c>
      <c r="C257" s="541"/>
      <c r="D257" s="542"/>
      <c r="E257" s="211">
        <f>'7" 26# Deck Tally'!B241</f>
        <v>83</v>
      </c>
      <c r="F257" s="347">
        <f>'7" 26# Deck Tally'!C241</f>
        <v>32.72</v>
      </c>
      <c r="G257" s="18">
        <f t="shared" si="25"/>
        <v>32.321999999999996</v>
      </c>
      <c r="H257" s="18" t="s">
        <v>9</v>
      </c>
      <c r="I257" s="18">
        <f t="shared" si="21"/>
        <v>7902.1080000000011</v>
      </c>
      <c r="J257" s="18">
        <f t="shared" si="22"/>
        <v>5869.7545</v>
      </c>
      <c r="K257" s="216">
        <f t="shared" si="23"/>
        <v>297.66894381054243</v>
      </c>
      <c r="L257" s="567"/>
      <c r="M257" s="566"/>
      <c r="N257" s="435"/>
      <c r="O257" s="384"/>
      <c r="Q257" s="377">
        <f t="shared" si="26"/>
        <v>83</v>
      </c>
      <c r="R257" s="350">
        <v>32.72</v>
      </c>
      <c r="S257" s="351" t="str">
        <f t="shared" si="24"/>
        <v>OK</v>
      </c>
    </row>
    <row r="258" spans="1:19">
      <c r="A258" s="497">
        <f t="shared" si="27"/>
        <v>241</v>
      </c>
      <c r="B258" s="540" t="s">
        <v>98</v>
      </c>
      <c r="C258" s="541"/>
      <c r="D258" s="542"/>
      <c r="E258" s="211">
        <f>'7" 26# Deck Tally'!B242</f>
        <v>82</v>
      </c>
      <c r="F258" s="347">
        <f>'7" 26# Deck Tally'!C242</f>
        <v>32.67</v>
      </c>
      <c r="G258" s="18">
        <f t="shared" si="25"/>
        <v>32.271999999999998</v>
      </c>
      <c r="H258" s="18" t="s">
        <v>9</v>
      </c>
      <c r="I258" s="18">
        <f t="shared" si="21"/>
        <v>7934.380000000001</v>
      </c>
      <c r="J258" s="18">
        <f t="shared" si="22"/>
        <v>5837.4825000000001</v>
      </c>
      <c r="K258" s="216">
        <f t="shared" si="23"/>
        <v>298.36186728800612</v>
      </c>
      <c r="L258" s="567"/>
      <c r="M258" s="566"/>
      <c r="N258" s="435"/>
      <c r="O258" s="384"/>
      <c r="Q258" s="377">
        <f t="shared" si="26"/>
        <v>82</v>
      </c>
      <c r="R258" s="350">
        <v>32.67</v>
      </c>
      <c r="S258" s="351" t="str">
        <f t="shared" si="24"/>
        <v>OK</v>
      </c>
    </row>
    <row r="259" spans="1:19">
      <c r="A259" s="497">
        <f t="shared" si="27"/>
        <v>242</v>
      </c>
      <c r="B259" s="540" t="s">
        <v>98</v>
      </c>
      <c r="C259" s="541"/>
      <c r="D259" s="542"/>
      <c r="E259" s="211">
        <f>'7" 26# Deck Tally'!B243</f>
        <v>81</v>
      </c>
      <c r="F259" s="347">
        <f>'7" 26# Deck Tally'!C243</f>
        <v>32.76</v>
      </c>
      <c r="G259" s="18">
        <f t="shared" si="25"/>
        <v>32.361999999999995</v>
      </c>
      <c r="H259" s="18" t="s">
        <v>9</v>
      </c>
      <c r="I259" s="18">
        <f t="shared" si="21"/>
        <v>7966.7420000000011</v>
      </c>
      <c r="J259" s="18">
        <f t="shared" si="22"/>
        <v>5805.1205</v>
      </c>
      <c r="K259" s="216">
        <f t="shared" si="23"/>
        <v>299.0567231871658</v>
      </c>
      <c r="L259" s="567"/>
      <c r="M259" s="566"/>
      <c r="N259" s="435"/>
      <c r="O259" s="384"/>
      <c r="Q259" s="377">
        <f t="shared" si="26"/>
        <v>81</v>
      </c>
      <c r="R259" s="350">
        <v>32.76</v>
      </c>
      <c r="S259" s="351" t="str">
        <f t="shared" si="24"/>
        <v>OK</v>
      </c>
    </row>
    <row r="260" spans="1:19">
      <c r="A260" s="497">
        <f t="shared" si="27"/>
        <v>243</v>
      </c>
      <c r="B260" s="540" t="s">
        <v>98</v>
      </c>
      <c r="C260" s="541"/>
      <c r="D260" s="542"/>
      <c r="E260" s="211">
        <f>'7" 26# Deck Tally'!B244</f>
        <v>80</v>
      </c>
      <c r="F260" s="347">
        <f>'7" 26# Deck Tally'!C244</f>
        <v>33.96</v>
      </c>
      <c r="G260" s="18">
        <f t="shared" si="25"/>
        <v>33.561999999999998</v>
      </c>
      <c r="H260" s="18" t="s">
        <v>9</v>
      </c>
      <c r="I260" s="18">
        <f t="shared" si="21"/>
        <v>8000.304000000001</v>
      </c>
      <c r="J260" s="18">
        <f t="shared" si="22"/>
        <v>5771.5585000000001</v>
      </c>
      <c r="K260" s="216">
        <f t="shared" si="23"/>
        <v>299.77734470893813</v>
      </c>
      <c r="L260" s="567"/>
      <c r="M260" s="566"/>
      <c r="N260" s="435"/>
      <c r="O260" s="384"/>
      <c r="Q260" s="377">
        <f t="shared" si="26"/>
        <v>80</v>
      </c>
      <c r="R260" s="350">
        <v>33.96</v>
      </c>
      <c r="S260" s="351" t="str">
        <f t="shared" si="24"/>
        <v>OK</v>
      </c>
    </row>
    <row r="261" spans="1:19">
      <c r="A261" s="497">
        <f t="shared" si="27"/>
        <v>244</v>
      </c>
      <c r="B261" s="540" t="s">
        <v>98</v>
      </c>
      <c r="C261" s="541"/>
      <c r="D261" s="542"/>
      <c r="E261" s="211">
        <f>'7" 26# Deck Tally'!B245</f>
        <v>79</v>
      </c>
      <c r="F261" s="347">
        <f>'7" 26# Deck Tally'!C245</f>
        <v>33.950000000000003</v>
      </c>
      <c r="G261" s="18">
        <f t="shared" si="25"/>
        <v>33.552</v>
      </c>
      <c r="H261" s="18" t="s">
        <v>9</v>
      </c>
      <c r="I261" s="18">
        <f t="shared" si="21"/>
        <v>8033.8560000000007</v>
      </c>
      <c r="J261" s="18">
        <f t="shared" si="22"/>
        <v>5738.0065000000004</v>
      </c>
      <c r="K261" s="216">
        <f t="shared" si="23"/>
        <v>300.4977515171887</v>
      </c>
      <c r="L261" s="567"/>
      <c r="M261" s="566"/>
      <c r="N261" s="435"/>
      <c r="O261" s="384"/>
      <c r="Q261" s="377">
        <f t="shared" si="26"/>
        <v>79</v>
      </c>
      <c r="R261" s="350">
        <v>33.950000000000003</v>
      </c>
      <c r="S261" s="351" t="str">
        <f t="shared" si="24"/>
        <v>OK</v>
      </c>
    </row>
    <row r="262" spans="1:19">
      <c r="A262" s="497">
        <f t="shared" si="27"/>
        <v>245</v>
      </c>
      <c r="B262" s="540" t="s">
        <v>98</v>
      </c>
      <c r="C262" s="541"/>
      <c r="D262" s="542"/>
      <c r="E262" s="211">
        <f>'7" 26# Deck Tally'!B246</f>
        <v>78</v>
      </c>
      <c r="F262" s="347">
        <f>'7" 26# Deck Tally'!C246</f>
        <v>33.92</v>
      </c>
      <c r="G262" s="18">
        <f t="shared" si="25"/>
        <v>33.521999999999998</v>
      </c>
      <c r="H262" s="18" t="s">
        <v>9</v>
      </c>
      <c r="I262" s="18">
        <f t="shared" si="21"/>
        <v>8067.3780000000006</v>
      </c>
      <c r="J262" s="18">
        <f t="shared" si="22"/>
        <v>5704.4845000000005</v>
      </c>
      <c r="K262" s="216">
        <f t="shared" si="23"/>
        <v>301.21751418487395</v>
      </c>
      <c r="L262" s="567"/>
      <c r="M262" s="566"/>
      <c r="N262" s="435"/>
      <c r="O262" s="384"/>
      <c r="Q262" s="377">
        <f t="shared" si="26"/>
        <v>78</v>
      </c>
      <c r="R262" s="350">
        <v>33.92</v>
      </c>
      <c r="S262" s="351" t="str">
        <f t="shared" si="24"/>
        <v>OK</v>
      </c>
    </row>
    <row r="263" spans="1:19">
      <c r="A263" s="497">
        <f t="shared" si="27"/>
        <v>246</v>
      </c>
      <c r="B263" s="540" t="s">
        <v>98</v>
      </c>
      <c r="C263" s="541"/>
      <c r="D263" s="542"/>
      <c r="E263" s="211">
        <f>'7" 26# Deck Tally'!B247</f>
        <v>77</v>
      </c>
      <c r="F263" s="347">
        <f>'7" 26# Deck Tally'!C247</f>
        <v>33.82</v>
      </c>
      <c r="G263" s="18">
        <f t="shared" si="25"/>
        <v>33.421999999999997</v>
      </c>
      <c r="H263" s="18" t="s">
        <v>9</v>
      </c>
      <c r="I263" s="18">
        <f t="shared" si="21"/>
        <v>8100.8</v>
      </c>
      <c r="J263" s="18">
        <f t="shared" si="22"/>
        <v>5671.0625000000009</v>
      </c>
      <c r="K263" s="216">
        <f t="shared" si="23"/>
        <v>301.93512971734151</v>
      </c>
      <c r="L263" s="567"/>
      <c r="M263" s="566"/>
      <c r="N263" s="435"/>
      <c r="O263" s="384"/>
      <c r="Q263" s="377">
        <f t="shared" si="26"/>
        <v>77</v>
      </c>
      <c r="R263" s="350">
        <v>33.82</v>
      </c>
      <c r="S263" s="351" t="str">
        <f t="shared" si="24"/>
        <v>OK</v>
      </c>
    </row>
    <row r="264" spans="1:19">
      <c r="A264" s="497">
        <f t="shared" si="27"/>
        <v>247</v>
      </c>
      <c r="B264" s="540" t="s">
        <v>98</v>
      </c>
      <c r="C264" s="541"/>
      <c r="D264" s="542"/>
      <c r="E264" s="211">
        <f>'7" 26# Deck Tally'!B248</f>
        <v>76</v>
      </c>
      <c r="F264" s="347">
        <f>'7" 26# Deck Tally'!C248</f>
        <v>33.49</v>
      </c>
      <c r="G264" s="18">
        <f t="shared" si="25"/>
        <v>33.091999999999999</v>
      </c>
      <c r="H264" s="18" t="s">
        <v>9</v>
      </c>
      <c r="I264" s="18">
        <f t="shared" si="21"/>
        <v>8133.8919999999998</v>
      </c>
      <c r="J264" s="18">
        <f t="shared" si="22"/>
        <v>5637.9705000000013</v>
      </c>
      <c r="K264" s="216">
        <f t="shared" si="23"/>
        <v>302.64565970359052</v>
      </c>
      <c r="L264" s="567"/>
      <c r="M264" s="566"/>
      <c r="N264" s="435"/>
      <c r="O264" s="384"/>
      <c r="Q264" s="377">
        <f t="shared" si="26"/>
        <v>76</v>
      </c>
      <c r="R264" s="350">
        <v>33.49</v>
      </c>
      <c r="S264" s="351" t="str">
        <f t="shared" si="24"/>
        <v>OK</v>
      </c>
    </row>
    <row r="265" spans="1:19">
      <c r="A265" s="497">
        <f t="shared" si="27"/>
        <v>248</v>
      </c>
      <c r="B265" s="540" t="s">
        <v>98</v>
      </c>
      <c r="C265" s="541"/>
      <c r="D265" s="542"/>
      <c r="E265" s="211">
        <f>'7" 26# Deck Tally'!B249</f>
        <v>75</v>
      </c>
      <c r="F265" s="347">
        <f>'7" 26# Deck Tally'!C249</f>
        <v>33.479999999999997</v>
      </c>
      <c r="G265" s="18">
        <f t="shared" si="25"/>
        <v>33.081999999999994</v>
      </c>
      <c r="H265" s="18" t="s">
        <v>9</v>
      </c>
      <c r="I265" s="18">
        <f t="shared" si="21"/>
        <v>8166.9740000000002</v>
      </c>
      <c r="J265" s="18">
        <f t="shared" si="22"/>
        <v>5604.8885000000009</v>
      </c>
      <c r="K265" s="216">
        <f t="shared" si="23"/>
        <v>303.35597497631784</v>
      </c>
      <c r="L265" s="229"/>
      <c r="M265" s="173"/>
      <c r="N265" s="435"/>
      <c r="O265" s="384"/>
      <c r="Q265" s="377">
        <f t="shared" si="26"/>
        <v>75</v>
      </c>
      <c r="R265" s="350">
        <v>33.479999999999997</v>
      </c>
      <c r="S265" s="351" t="str">
        <f t="shared" si="24"/>
        <v>OK</v>
      </c>
    </row>
    <row r="266" spans="1:19">
      <c r="A266" s="497">
        <f t="shared" si="27"/>
        <v>249</v>
      </c>
      <c r="B266" s="540" t="s">
        <v>98</v>
      </c>
      <c r="C266" s="541"/>
      <c r="D266" s="542"/>
      <c r="E266" s="211">
        <f>'7" 26# Deck Tally'!B250</f>
        <v>74</v>
      </c>
      <c r="F266" s="347">
        <f>'7" 26# Deck Tally'!C250</f>
        <v>33.729999999999997</v>
      </c>
      <c r="G266" s="18">
        <f t="shared" si="25"/>
        <v>33.331999999999994</v>
      </c>
      <c r="H266" s="18" t="s">
        <v>9</v>
      </c>
      <c r="I266" s="18">
        <f t="shared" si="21"/>
        <v>8200.3060000000005</v>
      </c>
      <c r="J266" s="18">
        <f t="shared" si="22"/>
        <v>5571.5565000000006</v>
      </c>
      <c r="K266" s="216">
        <f t="shared" si="23"/>
        <v>304.07165808708942</v>
      </c>
      <c r="L266" s="229"/>
      <c r="M266" s="173"/>
      <c r="N266" s="435"/>
      <c r="O266" s="384"/>
      <c r="Q266" s="377">
        <f t="shared" si="26"/>
        <v>74</v>
      </c>
      <c r="R266" s="350">
        <v>33.729999999999997</v>
      </c>
      <c r="S266" s="351" t="str">
        <f t="shared" si="24"/>
        <v>OK</v>
      </c>
    </row>
    <row r="267" spans="1:19">
      <c r="A267" s="497">
        <f t="shared" si="27"/>
        <v>250</v>
      </c>
      <c r="B267" s="540" t="s">
        <v>98</v>
      </c>
      <c r="C267" s="541"/>
      <c r="D267" s="542"/>
      <c r="E267" s="211">
        <f>'7" 26# Deck Tally'!B251</f>
        <v>73</v>
      </c>
      <c r="F267" s="347">
        <f>'7" 26# Deck Tally'!C251</f>
        <v>33.6</v>
      </c>
      <c r="G267" s="18">
        <f t="shared" si="25"/>
        <v>33.201999999999998</v>
      </c>
      <c r="H267" s="18" t="s">
        <v>9</v>
      </c>
      <c r="I267" s="18">
        <f t="shared" si="21"/>
        <v>8233.5079999999998</v>
      </c>
      <c r="J267" s="18">
        <f t="shared" si="22"/>
        <v>5538.3545000000013</v>
      </c>
      <c r="K267" s="216">
        <f t="shared" si="23"/>
        <v>304.78454992207793</v>
      </c>
      <c r="L267" s="229"/>
      <c r="M267" s="173"/>
      <c r="N267" s="435"/>
      <c r="O267" s="384"/>
      <c r="Q267" s="377">
        <f t="shared" si="26"/>
        <v>73</v>
      </c>
      <c r="R267" s="350">
        <v>33.6</v>
      </c>
      <c r="S267" s="351" t="str">
        <f t="shared" si="24"/>
        <v>OK</v>
      </c>
    </row>
    <row r="268" spans="1:19">
      <c r="A268" s="497">
        <f t="shared" si="27"/>
        <v>251</v>
      </c>
      <c r="B268" s="540" t="s">
        <v>98</v>
      </c>
      <c r="C268" s="541"/>
      <c r="D268" s="542"/>
      <c r="E268" s="211">
        <f>'7" 26# Deck Tally'!B252</f>
        <v>72</v>
      </c>
      <c r="F268" s="347">
        <f>'7" 26# Deck Tally'!C252</f>
        <v>33.590000000000003</v>
      </c>
      <c r="G268" s="18">
        <f t="shared" si="25"/>
        <v>33.192</v>
      </c>
      <c r="H268" s="18" t="s">
        <v>9</v>
      </c>
      <c r="I268" s="18">
        <f t="shared" si="21"/>
        <v>8266.6999999999989</v>
      </c>
      <c r="J268" s="18">
        <f t="shared" si="22"/>
        <v>5505.1625000000022</v>
      </c>
      <c r="K268" s="216">
        <f t="shared" si="23"/>
        <v>305.49722704354468</v>
      </c>
      <c r="L268" s="229"/>
      <c r="M268" s="173"/>
      <c r="N268" s="435"/>
      <c r="O268" s="384"/>
      <c r="Q268" s="377">
        <f t="shared" si="26"/>
        <v>72</v>
      </c>
      <c r="R268" s="350">
        <v>33.590000000000003</v>
      </c>
      <c r="S268" s="351" t="str">
        <f t="shared" si="24"/>
        <v>OK</v>
      </c>
    </row>
    <row r="269" spans="1:19">
      <c r="A269" s="497">
        <f t="shared" si="27"/>
        <v>252</v>
      </c>
      <c r="B269" s="540" t="s">
        <v>98</v>
      </c>
      <c r="C269" s="541"/>
      <c r="D269" s="542"/>
      <c r="E269" s="211">
        <f>'7" 26# Deck Tally'!B253</f>
        <v>71</v>
      </c>
      <c r="F269" s="347">
        <f>'7" 26# Deck Tally'!C253</f>
        <v>33.92</v>
      </c>
      <c r="G269" s="18">
        <f t="shared" si="25"/>
        <v>33.521999999999998</v>
      </c>
      <c r="H269" s="18" t="s">
        <v>9</v>
      </c>
      <c r="I269" s="18">
        <f t="shared" ref="I269:I332" si="28">IF(H269="IN",I268+G269,I268)</f>
        <v>8300.2219999999998</v>
      </c>
      <c r="J269" s="18">
        <f t="shared" si="22"/>
        <v>5471.6405000000013</v>
      </c>
      <c r="K269" s="216">
        <f t="shared" si="23"/>
        <v>306.21698971122999</v>
      </c>
      <c r="L269" s="229"/>
      <c r="M269" s="173"/>
      <c r="N269" s="435"/>
      <c r="O269" s="384"/>
      <c r="Q269" s="377">
        <f t="shared" si="26"/>
        <v>71</v>
      </c>
      <c r="R269" s="350">
        <v>33.92</v>
      </c>
      <c r="S269" s="351" t="str">
        <f t="shared" si="24"/>
        <v>OK</v>
      </c>
    </row>
    <row r="270" spans="1:19">
      <c r="A270" s="497">
        <f t="shared" si="27"/>
        <v>253</v>
      </c>
      <c r="B270" s="540" t="s">
        <v>98</v>
      </c>
      <c r="C270" s="541"/>
      <c r="D270" s="542"/>
      <c r="E270" s="211">
        <f>'7" 26# Deck Tally'!B254</f>
        <v>70</v>
      </c>
      <c r="F270" s="347">
        <f>'7" 26# Deck Tally'!C254</f>
        <v>33.93</v>
      </c>
      <c r="G270" s="18">
        <f t="shared" si="25"/>
        <v>33.531999999999996</v>
      </c>
      <c r="H270" s="18" t="s">
        <v>9</v>
      </c>
      <c r="I270" s="18">
        <f t="shared" si="28"/>
        <v>8333.753999999999</v>
      </c>
      <c r="J270" s="18">
        <f t="shared" si="22"/>
        <v>5438.1085000000021</v>
      </c>
      <c r="K270" s="216">
        <f t="shared" si="23"/>
        <v>306.93696709243693</v>
      </c>
      <c r="L270" s="229"/>
      <c r="M270" s="173"/>
      <c r="N270" s="435"/>
      <c r="O270" s="384"/>
      <c r="Q270" s="377">
        <f t="shared" si="26"/>
        <v>70</v>
      </c>
      <c r="R270" s="350">
        <v>33.93</v>
      </c>
      <c r="S270" s="351" t="str">
        <f t="shared" si="24"/>
        <v>OK</v>
      </c>
    </row>
    <row r="271" spans="1:19">
      <c r="A271" s="497">
        <f t="shared" si="27"/>
        <v>254</v>
      </c>
      <c r="B271" s="540" t="s">
        <v>98</v>
      </c>
      <c r="C271" s="541"/>
      <c r="D271" s="542"/>
      <c r="E271" s="211">
        <f>'7" 26# Deck Tally'!B255</f>
        <v>69</v>
      </c>
      <c r="F271" s="347">
        <f>'7" 26# Deck Tally'!C255</f>
        <v>33.65</v>
      </c>
      <c r="G271" s="18">
        <f t="shared" si="25"/>
        <v>33.251999999999995</v>
      </c>
      <c r="H271" s="18" t="s">
        <v>9</v>
      </c>
      <c r="I271" s="18">
        <f t="shared" si="28"/>
        <v>8367.0059999999994</v>
      </c>
      <c r="J271" s="18">
        <f t="shared" si="22"/>
        <v>5404.8565000000017</v>
      </c>
      <c r="K271" s="216">
        <f t="shared" si="23"/>
        <v>307.6509324950344</v>
      </c>
      <c r="L271" s="229"/>
      <c r="M271" s="173"/>
      <c r="N271" s="435"/>
      <c r="O271" s="384"/>
      <c r="Q271" s="377">
        <f t="shared" si="26"/>
        <v>69</v>
      </c>
      <c r="R271" s="350">
        <v>33.65</v>
      </c>
      <c r="S271" s="351" t="str">
        <f t="shared" si="24"/>
        <v>OK</v>
      </c>
    </row>
    <row r="272" spans="1:19">
      <c r="A272" s="497">
        <f t="shared" si="27"/>
        <v>255</v>
      </c>
      <c r="B272" s="540" t="s">
        <v>98</v>
      </c>
      <c r="C272" s="541"/>
      <c r="D272" s="542"/>
      <c r="E272" s="211">
        <f>'7" 26# Deck Tally'!B256</f>
        <v>68</v>
      </c>
      <c r="F272" s="347">
        <f>'7" 26# Deck Tally'!C256</f>
        <v>33.94</v>
      </c>
      <c r="G272" s="18">
        <f t="shared" si="25"/>
        <v>33.541999999999994</v>
      </c>
      <c r="H272" s="18" t="s">
        <v>9</v>
      </c>
      <c r="I272" s="18">
        <f t="shared" si="28"/>
        <v>8400.5479999999989</v>
      </c>
      <c r="J272" s="18">
        <f t="shared" ref="J272:J335" si="29">IF(I272="","",$L$6-I272)</f>
        <v>5371.3145000000022</v>
      </c>
      <c r="K272" s="216">
        <f t="shared" ref="K272:K335" si="30">$H$6+(I272*$F$7*$H$8/1000)</f>
        <v>308.37112458976316</v>
      </c>
      <c r="L272" s="229"/>
      <c r="M272" s="173"/>
      <c r="N272" s="435"/>
      <c r="O272" s="384"/>
      <c r="Q272" s="377">
        <f t="shared" si="26"/>
        <v>68</v>
      </c>
      <c r="R272" s="350">
        <v>33.94</v>
      </c>
      <c r="S272" s="351" t="str">
        <f t="shared" ref="S272:S335" si="31">IF(F272-R272=0,"OK","FALSE")</f>
        <v>OK</v>
      </c>
    </row>
    <row r="273" spans="1:19">
      <c r="A273" s="497">
        <f t="shared" si="27"/>
        <v>256</v>
      </c>
      <c r="B273" s="540" t="s">
        <v>98</v>
      </c>
      <c r="C273" s="541"/>
      <c r="D273" s="542"/>
      <c r="E273" s="211">
        <f>'7" 26# Deck Tally'!B257</f>
        <v>67</v>
      </c>
      <c r="F273" s="347">
        <f>'7" 26# Deck Tally'!C257</f>
        <v>33.520000000000003</v>
      </c>
      <c r="G273" s="18">
        <f t="shared" si="25"/>
        <v>33.122</v>
      </c>
      <c r="H273" s="18" t="s">
        <v>9</v>
      </c>
      <c r="I273" s="18">
        <f t="shared" si="28"/>
        <v>8433.6699999999983</v>
      </c>
      <c r="J273" s="18">
        <f t="shared" si="29"/>
        <v>5338.1925000000028</v>
      </c>
      <c r="K273" s="216">
        <f t="shared" si="30"/>
        <v>309.0822987165775</v>
      </c>
      <c r="L273" s="229"/>
      <c r="M273" s="173"/>
      <c r="N273" s="435"/>
      <c r="O273" s="384"/>
      <c r="Q273" s="377">
        <f t="shared" si="26"/>
        <v>67</v>
      </c>
      <c r="R273" s="350">
        <v>33.520000000000003</v>
      </c>
      <c r="S273" s="351" t="str">
        <f t="shared" si="31"/>
        <v>OK</v>
      </c>
    </row>
    <row r="274" spans="1:19">
      <c r="A274" s="497">
        <f t="shared" si="27"/>
        <v>257</v>
      </c>
      <c r="B274" s="540" t="s">
        <v>98</v>
      </c>
      <c r="C274" s="541"/>
      <c r="D274" s="542"/>
      <c r="E274" s="211">
        <f>'7" 26# Deck Tally'!B258</f>
        <v>66</v>
      </c>
      <c r="F274" s="347">
        <f>'7" 26# Deck Tally'!C258</f>
        <v>33.56</v>
      </c>
      <c r="G274" s="18">
        <f t="shared" si="25"/>
        <v>33.161999999999999</v>
      </c>
      <c r="H274" s="18" t="s">
        <v>9</v>
      </c>
      <c r="I274" s="18">
        <f t="shared" si="28"/>
        <v>8466.8319999999985</v>
      </c>
      <c r="J274" s="18">
        <f t="shared" si="29"/>
        <v>5305.0305000000026</v>
      </c>
      <c r="K274" s="358">
        <f t="shared" si="30"/>
        <v>309.79433169747892</v>
      </c>
      <c r="L274" s="229"/>
      <c r="M274" s="173"/>
      <c r="N274" s="435"/>
      <c r="O274" s="384"/>
      <c r="Q274" s="377">
        <f t="shared" si="26"/>
        <v>66</v>
      </c>
      <c r="R274" s="350">
        <v>33.56</v>
      </c>
      <c r="S274" s="351" t="str">
        <f t="shared" si="31"/>
        <v>OK</v>
      </c>
    </row>
    <row r="275" spans="1:19">
      <c r="A275" s="497">
        <f t="shared" si="27"/>
        <v>258</v>
      </c>
      <c r="B275" s="540" t="s">
        <v>98</v>
      </c>
      <c r="C275" s="541"/>
      <c r="D275" s="542"/>
      <c r="E275" s="211">
        <f>'7" 26# Deck Tally'!B259</f>
        <v>65</v>
      </c>
      <c r="F275" s="347">
        <f>'7" 26# Deck Tally'!C259</f>
        <v>33.450000000000003</v>
      </c>
      <c r="G275" s="18">
        <f t="shared" si="25"/>
        <v>33.052</v>
      </c>
      <c r="H275" s="18" t="s">
        <v>9</v>
      </c>
      <c r="I275" s="18">
        <f t="shared" si="28"/>
        <v>8499.8839999999982</v>
      </c>
      <c r="J275" s="18">
        <f t="shared" si="29"/>
        <v>5271.9785000000029</v>
      </c>
      <c r="K275" s="358">
        <f t="shared" si="30"/>
        <v>310.50400282964091</v>
      </c>
      <c r="L275" s="229"/>
      <c r="M275" s="173"/>
      <c r="N275" s="435"/>
      <c r="O275" s="384"/>
      <c r="Q275" s="377">
        <f t="shared" si="26"/>
        <v>65</v>
      </c>
      <c r="R275" s="350">
        <v>33.450000000000003</v>
      </c>
      <c r="S275" s="351" t="str">
        <f t="shared" si="31"/>
        <v>OK</v>
      </c>
    </row>
    <row r="276" spans="1:19">
      <c r="A276" s="497">
        <f t="shared" si="27"/>
        <v>259</v>
      </c>
      <c r="B276" s="540" t="s">
        <v>98</v>
      </c>
      <c r="C276" s="541"/>
      <c r="D276" s="542"/>
      <c r="E276" s="211">
        <f>'7" 26# Deck Tally'!B260</f>
        <v>64</v>
      </c>
      <c r="F276" s="347">
        <f>'7" 26# Deck Tally'!C260</f>
        <v>33.770000000000003</v>
      </c>
      <c r="G276" s="18">
        <f t="shared" si="25"/>
        <v>33.372</v>
      </c>
      <c r="H276" s="18" t="s">
        <v>9</v>
      </c>
      <c r="I276" s="18">
        <f t="shared" si="28"/>
        <v>8533.2559999999976</v>
      </c>
      <c r="J276" s="18">
        <f t="shared" si="29"/>
        <v>5238.6065000000035</v>
      </c>
      <c r="K276" s="216">
        <f t="shared" si="30"/>
        <v>311.22054479449957</v>
      </c>
      <c r="L276" s="229"/>
      <c r="M276" s="173"/>
      <c r="N276" s="435"/>
      <c r="O276" s="384"/>
      <c r="Q276" s="377">
        <f t="shared" si="26"/>
        <v>64</v>
      </c>
      <c r="R276" s="350">
        <v>33.770000000000003</v>
      </c>
      <c r="S276" s="351" t="str">
        <f t="shared" si="31"/>
        <v>OK</v>
      </c>
    </row>
    <row r="277" spans="1:19">
      <c r="A277" s="497">
        <f t="shared" si="27"/>
        <v>260</v>
      </c>
      <c r="B277" s="540" t="s">
        <v>98</v>
      </c>
      <c r="C277" s="541"/>
      <c r="D277" s="542"/>
      <c r="E277" s="211">
        <f>'7" 26# Deck Tally'!B261</f>
        <v>63</v>
      </c>
      <c r="F277" s="347">
        <f>'7" 26# Deck Tally'!C261</f>
        <v>33.770000000000003</v>
      </c>
      <c r="G277" s="18">
        <f t="shared" ref="G277:G340" si="32">F277-($F$9)</f>
        <v>33.372</v>
      </c>
      <c r="H277" s="18" t="s">
        <v>9</v>
      </c>
      <c r="I277" s="18">
        <f t="shared" si="28"/>
        <v>8566.627999999997</v>
      </c>
      <c r="J277" s="18">
        <f t="shared" si="29"/>
        <v>5205.2345000000041</v>
      </c>
      <c r="K277" s="358">
        <f t="shared" si="30"/>
        <v>311.93708675935824</v>
      </c>
      <c r="L277" s="229"/>
      <c r="M277" s="173"/>
      <c r="N277" s="435"/>
      <c r="O277" s="384"/>
      <c r="Q277" s="377">
        <f t="shared" ref="Q277:Q340" si="33">E277</f>
        <v>63</v>
      </c>
      <c r="R277" s="350">
        <v>33.770000000000003</v>
      </c>
      <c r="S277" s="351" t="str">
        <f t="shared" si="31"/>
        <v>OK</v>
      </c>
    </row>
    <row r="278" spans="1:19">
      <c r="A278" s="497">
        <f t="shared" si="27"/>
        <v>261</v>
      </c>
      <c r="B278" s="540" t="s">
        <v>98</v>
      </c>
      <c r="C278" s="541"/>
      <c r="D278" s="542"/>
      <c r="E278" s="211">
        <f>'7" 26# Deck Tally'!B262</f>
        <v>62</v>
      </c>
      <c r="F278" s="347">
        <f>'7" 26# Deck Tally'!C262</f>
        <v>33.549999999999997</v>
      </c>
      <c r="G278" s="18">
        <f t="shared" si="32"/>
        <v>33.151999999999994</v>
      </c>
      <c r="H278" s="18" t="s">
        <v>9</v>
      </c>
      <c r="I278" s="18">
        <f t="shared" si="28"/>
        <v>8599.779999999997</v>
      </c>
      <c r="J278" s="18">
        <f t="shared" si="29"/>
        <v>5172.0825000000041</v>
      </c>
      <c r="K278" s="358">
        <f t="shared" si="30"/>
        <v>312.64890502673791</v>
      </c>
      <c r="L278" s="229"/>
      <c r="M278" s="173"/>
      <c r="N278" s="435"/>
      <c r="O278" s="384"/>
      <c r="Q278" s="377">
        <f t="shared" si="33"/>
        <v>62</v>
      </c>
      <c r="R278" s="350">
        <v>33.549999999999997</v>
      </c>
      <c r="S278" s="351" t="str">
        <f t="shared" si="31"/>
        <v>OK</v>
      </c>
    </row>
    <row r="279" spans="1:19">
      <c r="A279" s="497">
        <f t="shared" ref="A279:A342" si="34">A278+1</f>
        <v>262</v>
      </c>
      <c r="B279" s="540" t="s">
        <v>98</v>
      </c>
      <c r="C279" s="541"/>
      <c r="D279" s="542"/>
      <c r="E279" s="211">
        <f>'7" 26# Deck Tally'!B263</f>
        <v>61</v>
      </c>
      <c r="F279" s="347">
        <f>'7" 26# Deck Tally'!C263</f>
        <v>33.18</v>
      </c>
      <c r="G279" s="18">
        <f t="shared" si="32"/>
        <v>32.781999999999996</v>
      </c>
      <c r="H279" s="18" t="s">
        <v>9</v>
      </c>
      <c r="I279" s="18">
        <f t="shared" si="28"/>
        <v>8632.5619999999963</v>
      </c>
      <c r="J279" s="18">
        <f t="shared" si="29"/>
        <v>5139.3005000000048</v>
      </c>
      <c r="K279" s="358">
        <f t="shared" si="30"/>
        <v>313.352778893812</v>
      </c>
      <c r="L279" s="229"/>
      <c r="M279" s="173"/>
      <c r="N279" s="435"/>
      <c r="O279" s="384"/>
      <c r="Q279" s="377">
        <f t="shared" si="33"/>
        <v>61</v>
      </c>
      <c r="R279" s="350">
        <v>33.18</v>
      </c>
      <c r="S279" s="351" t="str">
        <f t="shared" si="31"/>
        <v>OK</v>
      </c>
    </row>
    <row r="280" spans="1:19">
      <c r="A280" s="497">
        <f t="shared" si="34"/>
        <v>263</v>
      </c>
      <c r="B280" s="540" t="s">
        <v>98</v>
      </c>
      <c r="C280" s="541"/>
      <c r="D280" s="542"/>
      <c r="E280" s="211">
        <f>'7" 26# Deck Tally'!B264</f>
        <v>60</v>
      </c>
      <c r="F280" s="347">
        <f>'7" 26# Deck Tally'!C264</f>
        <v>33.69</v>
      </c>
      <c r="G280" s="18">
        <f t="shared" si="32"/>
        <v>33.291999999999994</v>
      </c>
      <c r="H280" s="18" t="s">
        <v>9</v>
      </c>
      <c r="I280" s="18">
        <f t="shared" si="28"/>
        <v>8665.8539999999957</v>
      </c>
      <c r="J280" s="18">
        <f t="shared" si="29"/>
        <v>5106.0085000000054</v>
      </c>
      <c r="K280" s="216">
        <f t="shared" si="30"/>
        <v>314.06760315049644</v>
      </c>
      <c r="L280" s="229"/>
      <c r="M280" s="173"/>
      <c r="N280" s="435"/>
      <c r="O280" s="384"/>
      <c r="Q280" s="377">
        <f t="shared" si="33"/>
        <v>60</v>
      </c>
      <c r="R280" s="350">
        <v>33.69</v>
      </c>
      <c r="S280" s="351" t="str">
        <f t="shared" si="31"/>
        <v>OK</v>
      </c>
    </row>
    <row r="281" spans="1:19">
      <c r="A281" s="497">
        <f t="shared" si="34"/>
        <v>264</v>
      </c>
      <c r="B281" s="540" t="s">
        <v>98</v>
      </c>
      <c r="C281" s="541"/>
      <c r="D281" s="542"/>
      <c r="E281" s="211">
        <f>'7" 26# Deck Tally'!B265</f>
        <v>59</v>
      </c>
      <c r="F281" s="347">
        <f>'7" 26# Deck Tally'!C265</f>
        <v>33.43</v>
      </c>
      <c r="G281" s="18">
        <f t="shared" si="32"/>
        <v>33.031999999999996</v>
      </c>
      <c r="H281" s="18" t="s">
        <v>9</v>
      </c>
      <c r="I281" s="18">
        <f t="shared" si="28"/>
        <v>8698.885999999995</v>
      </c>
      <c r="J281" s="18">
        <f t="shared" si="29"/>
        <v>5072.9765000000061</v>
      </c>
      <c r="K281" s="358">
        <f t="shared" si="30"/>
        <v>314.77684485561485</v>
      </c>
      <c r="L281" s="229"/>
      <c r="M281" s="173"/>
      <c r="N281" s="435"/>
      <c r="O281" s="384"/>
      <c r="Q281" s="377">
        <f t="shared" si="33"/>
        <v>59</v>
      </c>
      <c r="R281" s="350">
        <v>33.43</v>
      </c>
      <c r="S281" s="351" t="str">
        <f t="shared" si="31"/>
        <v>OK</v>
      </c>
    </row>
    <row r="282" spans="1:19">
      <c r="A282" s="497">
        <f t="shared" si="34"/>
        <v>265</v>
      </c>
      <c r="B282" s="540" t="s">
        <v>98</v>
      </c>
      <c r="C282" s="541"/>
      <c r="D282" s="542"/>
      <c r="E282" s="211">
        <f>'7" 26# Deck Tally'!B266</f>
        <v>58</v>
      </c>
      <c r="F282" s="347">
        <f>'7" 26# Deck Tally'!C266</f>
        <v>33.72</v>
      </c>
      <c r="G282" s="18">
        <f t="shared" si="32"/>
        <v>33.321999999999996</v>
      </c>
      <c r="H282" s="18" t="s">
        <v>9</v>
      </c>
      <c r="I282" s="18">
        <f t="shared" si="28"/>
        <v>8732.2079999999951</v>
      </c>
      <c r="J282" s="18">
        <f t="shared" si="29"/>
        <v>5039.654500000006</v>
      </c>
      <c r="K282" s="358">
        <f t="shared" si="30"/>
        <v>315.49231325286473</v>
      </c>
      <c r="L282" s="229"/>
      <c r="M282" s="173"/>
      <c r="N282" s="435"/>
      <c r="O282" s="384"/>
      <c r="Q282" s="377">
        <f t="shared" si="33"/>
        <v>58</v>
      </c>
      <c r="R282" s="350">
        <v>33.72</v>
      </c>
      <c r="S282" s="351" t="str">
        <f t="shared" si="31"/>
        <v>OK</v>
      </c>
    </row>
    <row r="283" spans="1:19">
      <c r="A283" s="497">
        <f t="shared" si="34"/>
        <v>266</v>
      </c>
      <c r="B283" s="540" t="s">
        <v>98</v>
      </c>
      <c r="C283" s="541"/>
      <c r="D283" s="542"/>
      <c r="E283" s="211">
        <f>'7" 26# Deck Tally'!B267</f>
        <v>57</v>
      </c>
      <c r="F283" s="347">
        <f>'7" 26# Deck Tally'!C267</f>
        <v>33.93</v>
      </c>
      <c r="G283" s="18">
        <f t="shared" si="32"/>
        <v>33.531999999999996</v>
      </c>
      <c r="H283" s="18" t="s">
        <v>9</v>
      </c>
      <c r="I283" s="18">
        <f t="shared" si="28"/>
        <v>8765.7399999999943</v>
      </c>
      <c r="J283" s="18">
        <f t="shared" si="29"/>
        <v>5006.1225000000068</v>
      </c>
      <c r="K283" s="358">
        <f t="shared" si="30"/>
        <v>316.21229063407168</v>
      </c>
      <c r="L283" s="229"/>
      <c r="M283" s="173"/>
      <c r="N283" s="435"/>
      <c r="O283" s="384"/>
      <c r="Q283" s="377">
        <f t="shared" si="33"/>
        <v>57</v>
      </c>
      <c r="R283" s="350">
        <v>33.93</v>
      </c>
      <c r="S283" s="351" t="str">
        <f t="shared" si="31"/>
        <v>OK</v>
      </c>
    </row>
    <row r="284" spans="1:19">
      <c r="A284" s="497">
        <f t="shared" si="34"/>
        <v>267</v>
      </c>
      <c r="B284" s="540" t="s">
        <v>98</v>
      </c>
      <c r="C284" s="541"/>
      <c r="D284" s="542"/>
      <c r="E284" s="211">
        <f>'7" 26# Deck Tally'!B268</f>
        <v>56</v>
      </c>
      <c r="F284" s="347">
        <f>'7" 26# Deck Tally'!C268</f>
        <v>33.35</v>
      </c>
      <c r="G284" s="18">
        <f t="shared" si="32"/>
        <v>32.951999999999998</v>
      </c>
      <c r="H284" s="18" t="s">
        <v>9</v>
      </c>
      <c r="I284" s="18">
        <f t="shared" si="28"/>
        <v>8798.6919999999936</v>
      </c>
      <c r="J284" s="18">
        <f t="shared" si="29"/>
        <v>4973.1705000000075</v>
      </c>
      <c r="K284" s="358">
        <f t="shared" si="30"/>
        <v>316.91981463101592</v>
      </c>
      <c r="L284" s="229"/>
      <c r="M284" s="173"/>
      <c r="N284" s="435"/>
      <c r="O284" s="384"/>
      <c r="Q284" s="377">
        <f t="shared" si="33"/>
        <v>56</v>
      </c>
      <c r="R284" s="350">
        <v>33.35</v>
      </c>
      <c r="S284" s="351" t="str">
        <f t="shared" si="31"/>
        <v>OK</v>
      </c>
    </row>
    <row r="285" spans="1:19">
      <c r="A285" s="497">
        <f t="shared" si="34"/>
        <v>268</v>
      </c>
      <c r="B285" s="540" t="s">
        <v>98</v>
      </c>
      <c r="C285" s="541"/>
      <c r="D285" s="542"/>
      <c r="E285" s="211">
        <f>'7" 26# Deck Tally'!B269</f>
        <v>55</v>
      </c>
      <c r="F285" s="347">
        <f>'7" 26# Deck Tally'!C269</f>
        <v>33.93</v>
      </c>
      <c r="G285" s="18">
        <f t="shared" si="32"/>
        <v>33.531999999999996</v>
      </c>
      <c r="H285" s="18" t="s">
        <v>9</v>
      </c>
      <c r="I285" s="18">
        <f t="shared" si="28"/>
        <v>8832.2239999999929</v>
      </c>
      <c r="J285" s="18">
        <f t="shared" si="29"/>
        <v>4939.6385000000082</v>
      </c>
      <c r="K285" s="216">
        <f t="shared" si="30"/>
        <v>317.63979201222293</v>
      </c>
      <c r="L285" s="229"/>
      <c r="M285" s="173"/>
      <c r="N285" s="435"/>
      <c r="O285" s="384"/>
      <c r="Q285" s="377">
        <f t="shared" si="33"/>
        <v>55</v>
      </c>
      <c r="R285" s="350">
        <v>33.93</v>
      </c>
      <c r="S285" s="351" t="str">
        <f t="shared" si="31"/>
        <v>OK</v>
      </c>
    </row>
    <row r="286" spans="1:19">
      <c r="A286" s="497">
        <f t="shared" si="34"/>
        <v>269</v>
      </c>
      <c r="B286" s="540" t="s">
        <v>98</v>
      </c>
      <c r="C286" s="541"/>
      <c r="D286" s="542"/>
      <c r="E286" s="211">
        <f>'7" 26# Deck Tally'!B270</f>
        <v>54</v>
      </c>
      <c r="F286" s="347">
        <f>'7" 26# Deck Tally'!C270</f>
        <v>33.93</v>
      </c>
      <c r="G286" s="18">
        <f t="shared" si="32"/>
        <v>33.531999999999996</v>
      </c>
      <c r="H286" s="18" t="s">
        <v>9</v>
      </c>
      <c r="I286" s="18">
        <f t="shared" si="28"/>
        <v>8865.7559999999921</v>
      </c>
      <c r="J286" s="18">
        <f t="shared" si="29"/>
        <v>4906.106500000009</v>
      </c>
      <c r="K286" s="358">
        <f t="shared" si="30"/>
        <v>318.35976939342993</v>
      </c>
      <c r="L286" s="229"/>
      <c r="M286" s="173"/>
      <c r="N286" s="435"/>
      <c r="O286" s="384"/>
      <c r="Q286" s="377">
        <f t="shared" si="33"/>
        <v>54</v>
      </c>
      <c r="R286" s="350">
        <v>33.93</v>
      </c>
      <c r="S286" s="351" t="str">
        <f t="shared" si="31"/>
        <v>OK</v>
      </c>
    </row>
    <row r="287" spans="1:19">
      <c r="A287" s="497">
        <f t="shared" si="34"/>
        <v>270</v>
      </c>
      <c r="B287" s="540" t="s">
        <v>98</v>
      </c>
      <c r="C287" s="541"/>
      <c r="D287" s="542"/>
      <c r="E287" s="211">
        <f>'7" 26# Deck Tally'!B271</f>
        <v>53</v>
      </c>
      <c r="F287" s="347">
        <f>'7" 26# Deck Tally'!C271</f>
        <v>33.78</v>
      </c>
      <c r="G287" s="18">
        <f t="shared" si="32"/>
        <v>33.381999999999998</v>
      </c>
      <c r="H287" s="18" t="s">
        <v>9</v>
      </c>
      <c r="I287" s="18">
        <f t="shared" si="28"/>
        <v>8899.1379999999917</v>
      </c>
      <c r="J287" s="18">
        <f t="shared" si="29"/>
        <v>4872.7245000000094</v>
      </c>
      <c r="K287" s="358">
        <f t="shared" si="30"/>
        <v>319.07652607181035</v>
      </c>
      <c r="L287" s="229"/>
      <c r="M287" s="173"/>
      <c r="N287" s="435"/>
      <c r="O287" s="384"/>
      <c r="Q287" s="377">
        <f t="shared" si="33"/>
        <v>53</v>
      </c>
      <c r="R287" s="350">
        <v>33.78</v>
      </c>
      <c r="S287" s="351" t="str">
        <f t="shared" si="31"/>
        <v>OK</v>
      </c>
    </row>
    <row r="288" spans="1:19">
      <c r="A288" s="497">
        <f t="shared" si="34"/>
        <v>271</v>
      </c>
      <c r="B288" s="540" t="s">
        <v>98</v>
      </c>
      <c r="C288" s="541"/>
      <c r="D288" s="542"/>
      <c r="E288" s="211">
        <f>'7" 26# Deck Tally'!B272</f>
        <v>52</v>
      </c>
      <c r="F288" s="347">
        <f>'7" 26# Deck Tally'!C272</f>
        <v>33.67</v>
      </c>
      <c r="G288" s="18">
        <f t="shared" si="32"/>
        <v>33.271999999999998</v>
      </c>
      <c r="H288" s="18" t="s">
        <v>9</v>
      </c>
      <c r="I288" s="18">
        <f t="shared" si="28"/>
        <v>8932.4099999999926</v>
      </c>
      <c r="J288" s="18">
        <f t="shared" si="29"/>
        <v>4839.4525000000085</v>
      </c>
      <c r="K288" s="358">
        <f t="shared" si="30"/>
        <v>319.79092090145133</v>
      </c>
      <c r="L288" s="229"/>
      <c r="M288" s="173"/>
      <c r="N288" s="435"/>
      <c r="O288" s="384"/>
      <c r="Q288" s="377">
        <f t="shared" si="33"/>
        <v>52</v>
      </c>
      <c r="R288" s="350">
        <v>33.67</v>
      </c>
      <c r="S288" s="351" t="str">
        <f t="shared" si="31"/>
        <v>OK</v>
      </c>
    </row>
    <row r="289" spans="1:19">
      <c r="A289" s="497">
        <f t="shared" si="34"/>
        <v>272</v>
      </c>
      <c r="B289" s="540" t="s">
        <v>98</v>
      </c>
      <c r="C289" s="541"/>
      <c r="D289" s="542"/>
      <c r="E289" s="211">
        <f>'7" 26# Deck Tally'!B273</f>
        <v>51</v>
      </c>
      <c r="F289" s="347">
        <f>'7" 26# Deck Tally'!C273</f>
        <v>33.93</v>
      </c>
      <c r="G289" s="18">
        <f t="shared" si="32"/>
        <v>33.531999999999996</v>
      </c>
      <c r="H289" s="18" t="s">
        <v>9</v>
      </c>
      <c r="I289" s="18">
        <f t="shared" si="28"/>
        <v>8965.9419999999918</v>
      </c>
      <c r="J289" s="18">
        <f t="shared" si="29"/>
        <v>4805.9205000000093</v>
      </c>
      <c r="K289" s="358">
        <f t="shared" si="30"/>
        <v>320.51089828265833</v>
      </c>
      <c r="L289" s="229"/>
      <c r="M289" s="173"/>
      <c r="N289" s="435"/>
      <c r="O289" s="384"/>
      <c r="Q289" s="377">
        <f t="shared" si="33"/>
        <v>51</v>
      </c>
      <c r="R289" s="350">
        <v>33.93</v>
      </c>
      <c r="S289" s="351" t="str">
        <f t="shared" si="31"/>
        <v>OK</v>
      </c>
    </row>
    <row r="290" spans="1:19">
      <c r="A290" s="497">
        <f t="shared" si="34"/>
        <v>273</v>
      </c>
      <c r="B290" s="540" t="s">
        <v>98</v>
      </c>
      <c r="C290" s="541"/>
      <c r="D290" s="542"/>
      <c r="E290" s="211">
        <f>'7" 26# Deck Tally'!B274</f>
        <v>50</v>
      </c>
      <c r="F290" s="347">
        <f>'7" 26# Deck Tally'!C274</f>
        <v>33.76</v>
      </c>
      <c r="G290" s="18">
        <f t="shared" si="32"/>
        <v>33.361999999999995</v>
      </c>
      <c r="H290" s="18" t="s">
        <v>9</v>
      </c>
      <c r="I290" s="18">
        <f t="shared" si="28"/>
        <v>8999.303999999991</v>
      </c>
      <c r="J290" s="18">
        <f t="shared" si="29"/>
        <v>4772.5585000000101</v>
      </c>
      <c r="K290" s="216">
        <f t="shared" si="30"/>
        <v>321.22722553399524</v>
      </c>
      <c r="L290" s="229"/>
      <c r="M290" s="173"/>
      <c r="N290" s="435"/>
      <c r="O290" s="384"/>
      <c r="Q290" s="377">
        <f t="shared" si="33"/>
        <v>50</v>
      </c>
      <c r="R290" s="350">
        <v>33.76</v>
      </c>
      <c r="S290" s="351" t="str">
        <f t="shared" si="31"/>
        <v>OK</v>
      </c>
    </row>
    <row r="291" spans="1:19">
      <c r="A291" s="497">
        <f t="shared" si="34"/>
        <v>274</v>
      </c>
      <c r="B291" s="540" t="s">
        <v>98</v>
      </c>
      <c r="C291" s="541"/>
      <c r="D291" s="542"/>
      <c r="E291" s="211">
        <f>'7" 26# Deck Tally'!B275</f>
        <v>49</v>
      </c>
      <c r="F291" s="347">
        <f>'7" 26# Deck Tally'!C275</f>
        <v>33.369999999999997</v>
      </c>
      <c r="G291" s="18">
        <f t="shared" si="32"/>
        <v>32.971999999999994</v>
      </c>
      <c r="H291" s="18" t="s">
        <v>9</v>
      </c>
      <c r="I291" s="18">
        <f t="shared" si="28"/>
        <v>9032.2759999999907</v>
      </c>
      <c r="J291" s="18">
        <f t="shared" si="29"/>
        <v>4739.5865000000103</v>
      </c>
      <c r="K291" s="358">
        <f t="shared" si="30"/>
        <v>321.935178957983</v>
      </c>
      <c r="L291" s="229"/>
      <c r="M291" s="173"/>
      <c r="N291" s="435"/>
      <c r="O291" s="384"/>
      <c r="Q291" s="377">
        <f t="shared" si="33"/>
        <v>49</v>
      </c>
      <c r="R291" s="350">
        <v>33.369999999999997</v>
      </c>
      <c r="S291" s="351" t="str">
        <f t="shared" si="31"/>
        <v>OK</v>
      </c>
    </row>
    <row r="292" spans="1:19">
      <c r="A292" s="497">
        <f t="shared" si="34"/>
        <v>275</v>
      </c>
      <c r="B292" s="540" t="s">
        <v>98</v>
      </c>
      <c r="C292" s="541"/>
      <c r="D292" s="542"/>
      <c r="E292" s="211">
        <f>'7" 26# Deck Tally'!B276</f>
        <v>48</v>
      </c>
      <c r="F292" s="347">
        <f>'7" 26# Deck Tally'!C276</f>
        <v>33.549999999999997</v>
      </c>
      <c r="G292" s="18">
        <f t="shared" si="32"/>
        <v>33.151999999999994</v>
      </c>
      <c r="H292" s="18" t="s">
        <v>9</v>
      </c>
      <c r="I292" s="18">
        <f t="shared" si="28"/>
        <v>9065.4279999999908</v>
      </c>
      <c r="J292" s="18">
        <f t="shared" si="29"/>
        <v>4706.4345000000103</v>
      </c>
      <c r="K292" s="358">
        <f t="shared" si="30"/>
        <v>322.64699722536272</v>
      </c>
      <c r="L292" s="229"/>
      <c r="M292" s="173"/>
      <c r="N292" s="435"/>
      <c r="O292" s="384"/>
      <c r="Q292" s="377">
        <f t="shared" si="33"/>
        <v>48</v>
      </c>
      <c r="R292" s="350">
        <v>33.549999999999997</v>
      </c>
      <c r="S292" s="351" t="str">
        <f t="shared" si="31"/>
        <v>OK</v>
      </c>
    </row>
    <row r="293" spans="1:19">
      <c r="A293" s="497">
        <f t="shared" si="34"/>
        <v>276</v>
      </c>
      <c r="B293" s="540" t="s">
        <v>98</v>
      </c>
      <c r="C293" s="541"/>
      <c r="D293" s="542"/>
      <c r="E293" s="211">
        <f>'7" 26# Deck Tally'!B277</f>
        <v>47</v>
      </c>
      <c r="F293" s="347">
        <f>'7" 26# Deck Tally'!C277</f>
        <v>33.39</v>
      </c>
      <c r="G293" s="18">
        <f t="shared" si="32"/>
        <v>32.991999999999997</v>
      </c>
      <c r="H293" s="18" t="s">
        <v>9</v>
      </c>
      <c r="I293" s="18">
        <f t="shared" si="28"/>
        <v>9098.419999999991</v>
      </c>
      <c r="J293" s="18">
        <f t="shared" si="29"/>
        <v>4673.4425000000101</v>
      </c>
      <c r="K293" s="358">
        <f t="shared" si="30"/>
        <v>323.355380076394</v>
      </c>
      <c r="L293" s="229"/>
      <c r="M293" s="173"/>
      <c r="N293" s="435"/>
      <c r="O293" s="384"/>
      <c r="Q293" s="377">
        <f t="shared" si="33"/>
        <v>47</v>
      </c>
      <c r="R293" s="350">
        <v>33.39</v>
      </c>
      <c r="S293" s="351" t="str">
        <f t="shared" si="31"/>
        <v>OK</v>
      </c>
    </row>
    <row r="294" spans="1:19">
      <c r="A294" s="497">
        <f t="shared" si="34"/>
        <v>277</v>
      </c>
      <c r="B294" s="540" t="s">
        <v>98</v>
      </c>
      <c r="C294" s="541"/>
      <c r="D294" s="542"/>
      <c r="E294" s="211">
        <f>'7" 26# Deck Tally'!B278</f>
        <v>46</v>
      </c>
      <c r="F294" s="347">
        <f>'7" 26# Deck Tally'!C278</f>
        <v>32.950000000000003</v>
      </c>
      <c r="G294" s="18">
        <f t="shared" si="32"/>
        <v>32.552</v>
      </c>
      <c r="H294" s="18" t="s">
        <v>9</v>
      </c>
      <c r="I294" s="18">
        <f t="shared" si="28"/>
        <v>9130.9719999999907</v>
      </c>
      <c r="J294" s="18">
        <f t="shared" si="29"/>
        <v>4640.8905000000104</v>
      </c>
      <c r="K294" s="358">
        <f t="shared" si="30"/>
        <v>324.0543155324674</v>
      </c>
      <c r="L294" s="229"/>
      <c r="M294" s="173"/>
      <c r="N294" s="435"/>
      <c r="O294" s="384"/>
      <c r="Q294" s="377">
        <f t="shared" si="33"/>
        <v>46</v>
      </c>
      <c r="R294" s="350">
        <v>32.950000000000003</v>
      </c>
      <c r="S294" s="351" t="str">
        <f t="shared" si="31"/>
        <v>OK</v>
      </c>
    </row>
    <row r="295" spans="1:19">
      <c r="A295" s="497">
        <f t="shared" si="34"/>
        <v>278</v>
      </c>
      <c r="B295" s="540" t="s">
        <v>98</v>
      </c>
      <c r="C295" s="541"/>
      <c r="D295" s="542"/>
      <c r="E295" s="211">
        <f>'7" 26# Deck Tally'!B279</f>
        <v>45</v>
      </c>
      <c r="F295" s="347">
        <f>'7" 26# Deck Tally'!C279</f>
        <v>33.24</v>
      </c>
      <c r="G295" s="18">
        <f t="shared" si="32"/>
        <v>32.841999999999999</v>
      </c>
      <c r="H295" s="18" t="s">
        <v>9</v>
      </c>
      <c r="I295" s="18">
        <f t="shared" si="28"/>
        <v>9163.8139999999912</v>
      </c>
      <c r="J295" s="18">
        <f t="shared" si="29"/>
        <v>4608.0485000000099</v>
      </c>
      <c r="K295" s="216">
        <f t="shared" si="30"/>
        <v>324.75947768067203</v>
      </c>
      <c r="L295" s="229"/>
      <c r="M295" s="173"/>
      <c r="N295" s="435"/>
      <c r="O295" s="384"/>
      <c r="Q295" s="377">
        <f t="shared" si="33"/>
        <v>45</v>
      </c>
      <c r="R295" s="350">
        <v>33.24</v>
      </c>
      <c r="S295" s="351" t="str">
        <f t="shared" si="31"/>
        <v>OK</v>
      </c>
    </row>
    <row r="296" spans="1:19">
      <c r="A296" s="497">
        <f t="shared" si="34"/>
        <v>279</v>
      </c>
      <c r="B296" s="540" t="s">
        <v>98</v>
      </c>
      <c r="C296" s="541"/>
      <c r="D296" s="542"/>
      <c r="E296" s="211">
        <f>'7" 26# Deck Tally'!B280</f>
        <v>44</v>
      </c>
      <c r="F296" s="347">
        <f>'7" 26# Deck Tally'!C280</f>
        <v>32.86</v>
      </c>
      <c r="G296" s="18">
        <f t="shared" si="32"/>
        <v>32.461999999999996</v>
      </c>
      <c r="H296" s="18" t="s">
        <v>9</v>
      </c>
      <c r="I296" s="18">
        <f t="shared" si="28"/>
        <v>9196.2759999999907</v>
      </c>
      <c r="J296" s="18">
        <f t="shared" si="29"/>
        <v>4575.5865000000103</v>
      </c>
      <c r="K296" s="358">
        <f t="shared" si="30"/>
        <v>325.45648071504945</v>
      </c>
      <c r="L296" s="229"/>
      <c r="M296" s="173"/>
      <c r="N296" s="435"/>
      <c r="O296" s="384"/>
      <c r="Q296" s="377">
        <f t="shared" si="33"/>
        <v>44</v>
      </c>
      <c r="R296" s="350">
        <v>32.86</v>
      </c>
      <c r="S296" s="351" t="str">
        <f t="shared" si="31"/>
        <v>OK</v>
      </c>
    </row>
    <row r="297" spans="1:19">
      <c r="A297" s="497">
        <f t="shared" si="34"/>
        <v>280</v>
      </c>
      <c r="B297" s="540" t="s">
        <v>98</v>
      </c>
      <c r="C297" s="541"/>
      <c r="D297" s="542"/>
      <c r="E297" s="211">
        <f>'7" 26# Deck Tally'!B281</f>
        <v>43</v>
      </c>
      <c r="F297" s="347">
        <f>'7" 26# Deck Tally'!C281</f>
        <v>33.26</v>
      </c>
      <c r="G297" s="18">
        <f t="shared" si="32"/>
        <v>32.861999999999995</v>
      </c>
      <c r="H297" s="18" t="s">
        <v>9</v>
      </c>
      <c r="I297" s="18">
        <f t="shared" si="28"/>
        <v>9229.1379999999899</v>
      </c>
      <c r="J297" s="18">
        <f t="shared" si="29"/>
        <v>4542.7245000000112</v>
      </c>
      <c r="K297" s="358">
        <f t="shared" si="30"/>
        <v>326.16207229029771</v>
      </c>
      <c r="L297" s="229"/>
      <c r="M297" s="173"/>
      <c r="N297" s="435"/>
      <c r="O297" s="384"/>
      <c r="Q297" s="377">
        <f t="shared" si="33"/>
        <v>43</v>
      </c>
      <c r="R297" s="350">
        <v>33.26</v>
      </c>
      <c r="S297" s="351" t="str">
        <f t="shared" si="31"/>
        <v>OK</v>
      </c>
    </row>
    <row r="298" spans="1:19">
      <c r="A298" s="497">
        <f t="shared" si="34"/>
        <v>281</v>
      </c>
      <c r="B298" s="540" t="s">
        <v>98</v>
      </c>
      <c r="C298" s="541"/>
      <c r="D298" s="542"/>
      <c r="E298" s="211">
        <f>'7" 26# Deck Tally'!B282</f>
        <v>42</v>
      </c>
      <c r="F298" s="347">
        <f>'7" 26# Deck Tally'!C282</f>
        <v>33.76</v>
      </c>
      <c r="G298" s="18">
        <f t="shared" si="32"/>
        <v>33.361999999999995</v>
      </c>
      <c r="H298" s="18" t="s">
        <v>9</v>
      </c>
      <c r="I298" s="18">
        <f t="shared" si="28"/>
        <v>9262.4999999999891</v>
      </c>
      <c r="J298" s="18">
        <f t="shared" si="29"/>
        <v>4509.362500000012</v>
      </c>
      <c r="K298" s="358">
        <f t="shared" si="30"/>
        <v>326.87839954163462</v>
      </c>
      <c r="L298" s="229"/>
      <c r="M298" s="173"/>
      <c r="N298" s="435"/>
      <c r="O298" s="384"/>
      <c r="Q298" s="377">
        <f t="shared" si="33"/>
        <v>42</v>
      </c>
      <c r="R298" s="350">
        <v>33.76</v>
      </c>
      <c r="S298" s="351" t="str">
        <f t="shared" si="31"/>
        <v>OK</v>
      </c>
    </row>
    <row r="299" spans="1:19">
      <c r="A299" s="497">
        <f t="shared" si="34"/>
        <v>282</v>
      </c>
      <c r="B299" s="540" t="s">
        <v>98</v>
      </c>
      <c r="C299" s="541"/>
      <c r="D299" s="542"/>
      <c r="E299" s="211">
        <f>'7" 26# Deck Tally'!B283</f>
        <v>41</v>
      </c>
      <c r="F299" s="347">
        <f>'7" 26# Deck Tally'!C283</f>
        <v>33.119999999999997</v>
      </c>
      <c r="G299" s="18">
        <f t="shared" si="32"/>
        <v>32.721999999999994</v>
      </c>
      <c r="H299" s="18" t="s">
        <v>9</v>
      </c>
      <c r="I299" s="18">
        <f t="shared" si="28"/>
        <v>9295.2219999999888</v>
      </c>
      <c r="J299" s="18">
        <f t="shared" si="29"/>
        <v>4476.6405000000123</v>
      </c>
      <c r="K299" s="358">
        <f t="shared" si="30"/>
        <v>327.58098512757806</v>
      </c>
      <c r="L299" s="229"/>
      <c r="M299" s="173"/>
      <c r="N299" s="435"/>
      <c r="O299" s="384"/>
      <c r="Q299" s="377">
        <f t="shared" si="33"/>
        <v>41</v>
      </c>
      <c r="R299" s="350">
        <v>33.119999999999997</v>
      </c>
      <c r="S299" s="351" t="str">
        <f t="shared" si="31"/>
        <v>OK</v>
      </c>
    </row>
    <row r="300" spans="1:19">
      <c r="A300" s="497">
        <f t="shared" si="34"/>
        <v>283</v>
      </c>
      <c r="B300" s="540" t="s">
        <v>98</v>
      </c>
      <c r="C300" s="541"/>
      <c r="D300" s="542"/>
      <c r="E300" s="211">
        <f>'7" 26# Deck Tally'!B284</f>
        <v>40</v>
      </c>
      <c r="F300" s="347">
        <f>'7" 26# Deck Tally'!C284</f>
        <v>33.54</v>
      </c>
      <c r="G300" s="18">
        <f t="shared" si="32"/>
        <v>33.141999999999996</v>
      </c>
      <c r="H300" s="18" t="s">
        <v>9</v>
      </c>
      <c r="I300" s="18">
        <f t="shared" si="28"/>
        <v>9328.3639999999887</v>
      </c>
      <c r="J300" s="18">
        <f t="shared" si="29"/>
        <v>4443.4985000000124</v>
      </c>
      <c r="K300" s="216">
        <f t="shared" si="30"/>
        <v>328.29258868143597</v>
      </c>
      <c r="L300" s="229"/>
      <c r="M300" s="173"/>
      <c r="N300" s="435"/>
      <c r="O300" s="384"/>
      <c r="Q300" s="377">
        <f t="shared" si="33"/>
        <v>40</v>
      </c>
      <c r="R300" s="350">
        <v>33.54</v>
      </c>
      <c r="S300" s="351" t="str">
        <f t="shared" si="31"/>
        <v>OK</v>
      </c>
    </row>
    <row r="301" spans="1:19">
      <c r="A301" s="497">
        <f t="shared" si="34"/>
        <v>284</v>
      </c>
      <c r="B301" s="540" t="s">
        <v>98</v>
      </c>
      <c r="C301" s="541"/>
      <c r="D301" s="542"/>
      <c r="E301" s="211">
        <f>'7" 26# Deck Tally'!B285</f>
        <v>39</v>
      </c>
      <c r="F301" s="347">
        <f>'7" 26# Deck Tally'!C285</f>
        <v>33.46</v>
      </c>
      <c r="G301" s="18">
        <f t="shared" si="32"/>
        <v>33.061999999999998</v>
      </c>
      <c r="H301" s="18" t="s">
        <v>9</v>
      </c>
      <c r="I301" s="18">
        <f t="shared" si="28"/>
        <v>9361.4259999999886</v>
      </c>
      <c r="J301" s="18">
        <f t="shared" si="29"/>
        <v>4410.4365000000125</v>
      </c>
      <c r="K301" s="358">
        <f t="shared" si="30"/>
        <v>329.00247452711972</v>
      </c>
      <c r="L301" s="229"/>
      <c r="M301" s="173"/>
      <c r="N301" s="435"/>
      <c r="O301" s="384"/>
      <c r="Q301" s="377">
        <f t="shared" si="33"/>
        <v>39</v>
      </c>
      <c r="R301" s="350">
        <v>33.46</v>
      </c>
      <c r="S301" s="351" t="str">
        <f t="shared" si="31"/>
        <v>OK</v>
      </c>
    </row>
    <row r="302" spans="1:19">
      <c r="A302" s="497">
        <f t="shared" si="34"/>
        <v>285</v>
      </c>
      <c r="B302" s="540" t="s">
        <v>98</v>
      </c>
      <c r="C302" s="541"/>
      <c r="D302" s="542"/>
      <c r="E302" s="211">
        <f>'7" 26# Deck Tally'!B286</f>
        <v>38</v>
      </c>
      <c r="F302" s="347">
        <f>'7" 26# Deck Tally'!C286</f>
        <v>33.369999999999997</v>
      </c>
      <c r="G302" s="18">
        <f t="shared" si="32"/>
        <v>32.971999999999994</v>
      </c>
      <c r="H302" s="18" t="s">
        <v>9</v>
      </c>
      <c r="I302" s="18">
        <f t="shared" si="28"/>
        <v>9394.3979999999883</v>
      </c>
      <c r="J302" s="18">
        <f t="shared" si="29"/>
        <v>4377.4645000000128</v>
      </c>
      <c r="K302" s="358">
        <f t="shared" si="30"/>
        <v>329.71042795110748</v>
      </c>
      <c r="L302" s="229"/>
      <c r="M302" s="173"/>
      <c r="N302" s="435"/>
      <c r="O302" s="384"/>
      <c r="Q302" s="377">
        <f t="shared" si="33"/>
        <v>38</v>
      </c>
      <c r="R302" s="350">
        <v>33.369999999999997</v>
      </c>
      <c r="S302" s="351" t="str">
        <f t="shared" si="31"/>
        <v>OK</v>
      </c>
    </row>
    <row r="303" spans="1:19">
      <c r="A303" s="497">
        <f t="shared" si="34"/>
        <v>286</v>
      </c>
      <c r="B303" s="540" t="s">
        <v>98</v>
      </c>
      <c r="C303" s="541"/>
      <c r="D303" s="542"/>
      <c r="E303" s="211">
        <f>'7" 26# Deck Tally'!B287</f>
        <v>37</v>
      </c>
      <c r="F303" s="347">
        <f>'7" 26# Deck Tally'!C287</f>
        <v>33.380000000000003</v>
      </c>
      <c r="G303" s="18">
        <f t="shared" si="32"/>
        <v>32.981999999999999</v>
      </c>
      <c r="H303" s="18" t="s">
        <v>9</v>
      </c>
      <c r="I303" s="18">
        <f t="shared" si="28"/>
        <v>9427.3799999999883</v>
      </c>
      <c r="J303" s="18">
        <f t="shared" si="29"/>
        <v>4344.4825000000128</v>
      </c>
      <c r="K303" s="358">
        <f t="shared" si="30"/>
        <v>330.41859608861705</v>
      </c>
      <c r="L303" s="229"/>
      <c r="M303" s="173"/>
      <c r="N303" s="435"/>
      <c r="O303" s="384"/>
      <c r="Q303" s="377">
        <f t="shared" si="33"/>
        <v>37</v>
      </c>
      <c r="R303" s="350">
        <v>33.380000000000003</v>
      </c>
      <c r="S303" s="351" t="str">
        <f t="shared" si="31"/>
        <v>OK</v>
      </c>
    </row>
    <row r="304" spans="1:19">
      <c r="A304" s="497">
        <f t="shared" si="34"/>
        <v>287</v>
      </c>
      <c r="B304" s="540" t="s">
        <v>98</v>
      </c>
      <c r="C304" s="541"/>
      <c r="D304" s="542"/>
      <c r="E304" s="211">
        <f>'7" 26# Deck Tally'!B288</f>
        <v>36</v>
      </c>
      <c r="F304" s="347">
        <f>'7" 26# Deck Tally'!C288</f>
        <v>31.7</v>
      </c>
      <c r="G304" s="18">
        <f t="shared" si="32"/>
        <v>31.302</v>
      </c>
      <c r="H304" s="18" t="s">
        <v>9</v>
      </c>
      <c r="I304" s="18">
        <f t="shared" si="28"/>
        <v>9458.681999999988</v>
      </c>
      <c r="J304" s="18">
        <f t="shared" si="29"/>
        <v>4313.1805000000131</v>
      </c>
      <c r="K304" s="358">
        <f t="shared" si="30"/>
        <v>331.09069235446884</v>
      </c>
      <c r="L304" s="229"/>
      <c r="M304" s="173"/>
      <c r="N304" s="435"/>
      <c r="O304" s="384"/>
      <c r="Q304" s="377">
        <f t="shared" si="33"/>
        <v>36</v>
      </c>
      <c r="R304" s="350">
        <v>31.7</v>
      </c>
      <c r="S304" s="351" t="str">
        <f t="shared" si="31"/>
        <v>OK</v>
      </c>
    </row>
    <row r="305" spans="1:19">
      <c r="A305" s="497">
        <f t="shared" si="34"/>
        <v>288</v>
      </c>
      <c r="B305" s="540" t="s">
        <v>98</v>
      </c>
      <c r="C305" s="541"/>
      <c r="D305" s="542"/>
      <c r="E305" s="211">
        <f>'7" 26# Deck Tally'!B289</f>
        <v>35</v>
      </c>
      <c r="F305" s="347">
        <f>'7" 26# Deck Tally'!C289</f>
        <v>32.21</v>
      </c>
      <c r="G305" s="18">
        <f t="shared" si="32"/>
        <v>31.812000000000001</v>
      </c>
      <c r="H305" s="18" t="s">
        <v>9</v>
      </c>
      <c r="I305" s="18">
        <f t="shared" si="28"/>
        <v>9490.4939999999879</v>
      </c>
      <c r="J305" s="18">
        <f t="shared" si="29"/>
        <v>4281.3685000000132</v>
      </c>
      <c r="K305" s="216">
        <f t="shared" si="30"/>
        <v>331.77373900993098</v>
      </c>
      <c r="L305" s="229"/>
      <c r="M305" s="173"/>
      <c r="N305" s="435"/>
      <c r="O305" s="384"/>
      <c r="Q305" s="377">
        <f t="shared" si="33"/>
        <v>35</v>
      </c>
      <c r="R305" s="350">
        <v>32.21</v>
      </c>
      <c r="S305" s="351" t="str">
        <f t="shared" si="31"/>
        <v>OK</v>
      </c>
    </row>
    <row r="306" spans="1:19">
      <c r="A306" s="497">
        <f t="shared" si="34"/>
        <v>289</v>
      </c>
      <c r="B306" s="540" t="s">
        <v>98</v>
      </c>
      <c r="C306" s="541"/>
      <c r="D306" s="542"/>
      <c r="E306" s="211">
        <f>'7" 26# Deck Tally'!B290</f>
        <v>34</v>
      </c>
      <c r="F306" s="347">
        <f>'7" 26# Deck Tally'!C290</f>
        <v>32.94</v>
      </c>
      <c r="G306" s="18">
        <f t="shared" si="32"/>
        <v>32.541999999999994</v>
      </c>
      <c r="H306" s="18" t="s">
        <v>9</v>
      </c>
      <c r="I306" s="18">
        <f t="shared" si="28"/>
        <v>9523.0359999999873</v>
      </c>
      <c r="J306" s="18">
        <f t="shared" si="29"/>
        <v>4248.8265000000138</v>
      </c>
      <c r="K306" s="358">
        <f t="shared" si="30"/>
        <v>332.47245975248256</v>
      </c>
      <c r="L306" s="229"/>
      <c r="M306" s="173"/>
      <c r="N306" s="435"/>
      <c r="O306" s="384"/>
      <c r="Q306" s="377">
        <f t="shared" si="33"/>
        <v>34</v>
      </c>
      <c r="R306" s="350">
        <v>32.94</v>
      </c>
      <c r="S306" s="351" t="str">
        <f t="shared" si="31"/>
        <v>OK</v>
      </c>
    </row>
    <row r="307" spans="1:19">
      <c r="A307" s="497">
        <f t="shared" si="34"/>
        <v>290</v>
      </c>
      <c r="B307" s="540" t="s">
        <v>98</v>
      </c>
      <c r="C307" s="541"/>
      <c r="D307" s="542"/>
      <c r="E307" s="211">
        <f>'7" 26# Deck Tally'!B291</f>
        <v>33</v>
      </c>
      <c r="F307" s="347">
        <f>'7" 26# Deck Tally'!C291</f>
        <v>33.35</v>
      </c>
      <c r="G307" s="18">
        <f t="shared" si="32"/>
        <v>32.951999999999998</v>
      </c>
      <c r="H307" s="18" t="s">
        <v>9</v>
      </c>
      <c r="I307" s="18">
        <f t="shared" si="28"/>
        <v>9555.9879999999866</v>
      </c>
      <c r="J307" s="18">
        <f t="shared" si="29"/>
        <v>4215.8745000000145</v>
      </c>
      <c r="K307" s="358">
        <f t="shared" si="30"/>
        <v>333.17998374942675</v>
      </c>
      <c r="L307" s="229"/>
      <c r="M307" s="173"/>
      <c r="N307" s="435"/>
      <c r="O307" s="384"/>
      <c r="Q307" s="377">
        <f t="shared" si="33"/>
        <v>33</v>
      </c>
      <c r="R307" s="350">
        <v>33.35</v>
      </c>
      <c r="S307" s="351" t="str">
        <f t="shared" si="31"/>
        <v>OK</v>
      </c>
    </row>
    <row r="308" spans="1:19">
      <c r="A308" s="497">
        <f t="shared" si="34"/>
        <v>291</v>
      </c>
      <c r="B308" s="540" t="s">
        <v>98</v>
      </c>
      <c r="C308" s="541"/>
      <c r="D308" s="542"/>
      <c r="E308" s="211">
        <f>'7" 26# Deck Tally'!B292</f>
        <v>32</v>
      </c>
      <c r="F308" s="347">
        <f>'7" 26# Deck Tally'!C292</f>
        <v>32.619999999999997</v>
      </c>
      <c r="G308" s="18">
        <f t="shared" si="32"/>
        <v>32.221999999999994</v>
      </c>
      <c r="H308" s="18" t="s">
        <v>9</v>
      </c>
      <c r="I308" s="18">
        <f t="shared" si="28"/>
        <v>9588.2099999999864</v>
      </c>
      <c r="J308" s="18">
        <f t="shared" si="29"/>
        <v>4183.6525000000147</v>
      </c>
      <c r="K308" s="358">
        <f t="shared" si="30"/>
        <v>333.87183365928161</v>
      </c>
      <c r="L308" s="229"/>
      <c r="M308" s="173"/>
      <c r="N308" s="435"/>
      <c r="O308" s="384"/>
      <c r="Q308" s="377">
        <f t="shared" si="33"/>
        <v>32</v>
      </c>
      <c r="R308" s="350">
        <v>32.619999999999997</v>
      </c>
      <c r="S308" s="351" t="str">
        <f t="shared" si="31"/>
        <v>OK</v>
      </c>
    </row>
    <row r="309" spans="1:19">
      <c r="A309" s="497">
        <f t="shared" si="34"/>
        <v>292</v>
      </c>
      <c r="B309" s="540" t="s">
        <v>98</v>
      </c>
      <c r="C309" s="541"/>
      <c r="D309" s="542"/>
      <c r="E309" s="211">
        <f>'7" 26# Deck Tally'!B293</f>
        <v>31</v>
      </c>
      <c r="F309" s="347">
        <f>'7" 26# Deck Tally'!C293</f>
        <v>33.31</v>
      </c>
      <c r="G309" s="18">
        <f t="shared" si="32"/>
        <v>32.911999999999999</v>
      </c>
      <c r="H309" s="18" t="s">
        <v>9</v>
      </c>
      <c r="I309" s="18">
        <f t="shared" si="28"/>
        <v>9621.1219999999867</v>
      </c>
      <c r="J309" s="18">
        <f t="shared" si="29"/>
        <v>4150.7405000000144</v>
      </c>
      <c r="K309" s="358">
        <f t="shared" si="30"/>
        <v>334.57849880213877</v>
      </c>
      <c r="L309" s="229"/>
      <c r="M309" s="173"/>
      <c r="N309" s="435"/>
      <c r="O309" s="384"/>
      <c r="Q309" s="377">
        <f t="shared" si="33"/>
        <v>31</v>
      </c>
      <c r="R309" s="350">
        <v>33.31</v>
      </c>
      <c r="S309" s="351" t="str">
        <f t="shared" si="31"/>
        <v>OK</v>
      </c>
    </row>
    <row r="310" spans="1:19">
      <c r="A310" s="497">
        <f t="shared" si="34"/>
        <v>293</v>
      </c>
      <c r="B310" s="540" t="s">
        <v>98</v>
      </c>
      <c r="C310" s="541"/>
      <c r="D310" s="542"/>
      <c r="E310" s="211">
        <f>'7" 26# Deck Tally'!B294</f>
        <v>30</v>
      </c>
      <c r="F310" s="347">
        <f>'7" 26# Deck Tally'!C294</f>
        <v>33.229999999999997</v>
      </c>
      <c r="G310" s="18">
        <f t="shared" si="32"/>
        <v>32.831999999999994</v>
      </c>
      <c r="H310" s="18" t="s">
        <v>9</v>
      </c>
      <c r="I310" s="18">
        <f t="shared" si="28"/>
        <v>9653.953999999987</v>
      </c>
      <c r="J310" s="18">
        <f t="shared" si="29"/>
        <v>4117.9085000000141</v>
      </c>
      <c r="K310" s="216">
        <f t="shared" si="30"/>
        <v>335.28344623682176</v>
      </c>
      <c r="L310" s="229"/>
      <c r="M310" s="173"/>
      <c r="N310" s="435"/>
      <c r="O310" s="384"/>
      <c r="Q310" s="377">
        <f t="shared" si="33"/>
        <v>30</v>
      </c>
      <c r="R310" s="350">
        <v>33.229999999999997</v>
      </c>
      <c r="S310" s="351" t="str">
        <f t="shared" si="31"/>
        <v>OK</v>
      </c>
    </row>
    <row r="311" spans="1:19">
      <c r="A311" s="497">
        <f t="shared" si="34"/>
        <v>294</v>
      </c>
      <c r="B311" s="540" t="s">
        <v>98</v>
      </c>
      <c r="C311" s="541"/>
      <c r="D311" s="542"/>
      <c r="E311" s="211">
        <f>'7" 26# Deck Tally'!B295</f>
        <v>29</v>
      </c>
      <c r="F311" s="347">
        <f>'7" 26# Deck Tally'!C295</f>
        <v>33.25</v>
      </c>
      <c r="G311" s="18">
        <f t="shared" si="32"/>
        <v>32.851999999999997</v>
      </c>
      <c r="H311" s="18" t="s">
        <v>9</v>
      </c>
      <c r="I311" s="18">
        <f t="shared" si="28"/>
        <v>9686.8059999999878</v>
      </c>
      <c r="J311" s="18">
        <f t="shared" si="29"/>
        <v>4085.0565000000133</v>
      </c>
      <c r="K311" s="358">
        <f t="shared" si="30"/>
        <v>335.98882309854821</v>
      </c>
      <c r="L311" s="229"/>
      <c r="M311" s="173"/>
      <c r="N311" s="435"/>
      <c r="O311" s="384"/>
      <c r="Q311" s="377">
        <f t="shared" si="33"/>
        <v>29</v>
      </c>
      <c r="R311" s="350">
        <v>33.25</v>
      </c>
      <c r="S311" s="351" t="str">
        <f t="shared" si="31"/>
        <v>OK</v>
      </c>
    </row>
    <row r="312" spans="1:19">
      <c r="A312" s="497">
        <f t="shared" si="34"/>
        <v>295</v>
      </c>
      <c r="B312" s="540" t="s">
        <v>98</v>
      </c>
      <c r="C312" s="541"/>
      <c r="D312" s="542"/>
      <c r="E312" s="211">
        <f>'7" 26# Deck Tally'!B296</f>
        <v>28</v>
      </c>
      <c r="F312" s="347">
        <f>'7" 26# Deck Tally'!C296</f>
        <v>33.46</v>
      </c>
      <c r="G312" s="18">
        <f t="shared" si="32"/>
        <v>33.061999999999998</v>
      </c>
      <c r="H312" s="18" t="s">
        <v>9</v>
      </c>
      <c r="I312" s="18">
        <f t="shared" si="28"/>
        <v>9719.8679999999877</v>
      </c>
      <c r="J312" s="18">
        <f t="shared" si="29"/>
        <v>4051.9945000000134</v>
      </c>
      <c r="K312" s="358">
        <f t="shared" si="30"/>
        <v>336.69870894423195</v>
      </c>
      <c r="L312" s="229"/>
      <c r="M312" s="173"/>
      <c r="N312" s="435"/>
      <c r="O312" s="384"/>
      <c r="Q312" s="377">
        <f t="shared" si="33"/>
        <v>28</v>
      </c>
      <c r="R312" s="350">
        <v>33.46</v>
      </c>
      <c r="S312" s="351" t="str">
        <f t="shared" si="31"/>
        <v>OK</v>
      </c>
    </row>
    <row r="313" spans="1:19">
      <c r="A313" s="497">
        <f t="shared" si="34"/>
        <v>296</v>
      </c>
      <c r="B313" s="540" t="s">
        <v>98</v>
      </c>
      <c r="C313" s="541"/>
      <c r="D313" s="542"/>
      <c r="E313" s="211">
        <f>'7" 26# Deck Tally'!B297</f>
        <v>27</v>
      </c>
      <c r="F313" s="347">
        <f>'7" 26# Deck Tally'!C297</f>
        <v>33.590000000000003</v>
      </c>
      <c r="G313" s="18">
        <f t="shared" si="32"/>
        <v>33.192</v>
      </c>
      <c r="H313" s="18" t="s">
        <v>9</v>
      </c>
      <c r="I313" s="18">
        <f t="shared" si="28"/>
        <v>9753.0599999999868</v>
      </c>
      <c r="J313" s="18">
        <f t="shared" si="29"/>
        <v>4018.8025000000143</v>
      </c>
      <c r="K313" s="358">
        <f t="shared" si="30"/>
        <v>337.41138606569871</v>
      </c>
      <c r="L313" s="229"/>
      <c r="M313" s="173"/>
      <c r="N313" s="435"/>
      <c r="O313" s="384"/>
      <c r="Q313" s="377">
        <f t="shared" si="33"/>
        <v>27</v>
      </c>
      <c r="R313" s="350">
        <v>33.590000000000003</v>
      </c>
      <c r="S313" s="351" t="str">
        <f t="shared" si="31"/>
        <v>OK</v>
      </c>
    </row>
    <row r="314" spans="1:19">
      <c r="A314" s="497">
        <f t="shared" si="34"/>
        <v>297</v>
      </c>
      <c r="B314" s="540" t="s">
        <v>98</v>
      </c>
      <c r="C314" s="541"/>
      <c r="D314" s="542"/>
      <c r="E314" s="211">
        <f>'7" 26# Deck Tally'!B298</f>
        <v>26</v>
      </c>
      <c r="F314" s="347">
        <f>'7" 26# Deck Tally'!C298</f>
        <v>33.47</v>
      </c>
      <c r="G314" s="18">
        <f t="shared" si="32"/>
        <v>33.071999999999996</v>
      </c>
      <c r="H314" s="18" t="s">
        <v>9</v>
      </c>
      <c r="I314" s="18">
        <f t="shared" si="28"/>
        <v>9786.1319999999869</v>
      </c>
      <c r="J314" s="18">
        <f t="shared" si="29"/>
        <v>3985.7305000000142</v>
      </c>
      <c r="K314" s="358">
        <f t="shared" si="30"/>
        <v>338.12148662490426</v>
      </c>
      <c r="L314" s="229"/>
      <c r="M314" s="173"/>
      <c r="N314" s="435"/>
      <c r="O314" s="384"/>
      <c r="Q314" s="377">
        <f t="shared" si="33"/>
        <v>26</v>
      </c>
      <c r="R314" s="350">
        <v>33.47</v>
      </c>
      <c r="S314" s="351" t="str">
        <f t="shared" si="31"/>
        <v>OK</v>
      </c>
    </row>
    <row r="315" spans="1:19">
      <c r="A315" s="497">
        <f t="shared" si="34"/>
        <v>298</v>
      </c>
      <c r="B315" s="540" t="s">
        <v>98</v>
      </c>
      <c r="C315" s="541"/>
      <c r="D315" s="542"/>
      <c r="E315" s="211">
        <f>'7" 26# Deck Tally'!B299</f>
        <v>25</v>
      </c>
      <c r="F315" s="347">
        <f>'7" 26# Deck Tally'!C299</f>
        <v>33.6</v>
      </c>
      <c r="G315" s="18">
        <f t="shared" si="32"/>
        <v>33.201999999999998</v>
      </c>
      <c r="H315" s="18" t="s">
        <v>9</v>
      </c>
      <c r="I315" s="18">
        <f t="shared" si="28"/>
        <v>9819.3339999999862</v>
      </c>
      <c r="J315" s="18">
        <f t="shared" si="29"/>
        <v>3952.5285000000149</v>
      </c>
      <c r="K315" s="216">
        <f t="shared" si="30"/>
        <v>338.83437845989272</v>
      </c>
      <c r="L315" s="229"/>
      <c r="M315" s="173"/>
      <c r="N315" s="435"/>
      <c r="O315" s="384"/>
      <c r="Q315" s="377">
        <f t="shared" si="33"/>
        <v>25</v>
      </c>
      <c r="R315" s="350">
        <v>33.6</v>
      </c>
      <c r="S315" s="351" t="str">
        <f t="shared" si="31"/>
        <v>OK</v>
      </c>
    </row>
    <row r="316" spans="1:19">
      <c r="A316" s="497">
        <f t="shared" si="34"/>
        <v>299</v>
      </c>
      <c r="B316" s="540" t="s">
        <v>98</v>
      </c>
      <c r="C316" s="541"/>
      <c r="D316" s="542"/>
      <c r="E316" s="211">
        <f>'7" 26# Deck Tally'!B300</f>
        <v>24</v>
      </c>
      <c r="F316" s="347">
        <f>'7" 26# Deck Tally'!C300</f>
        <v>33.61</v>
      </c>
      <c r="G316" s="18">
        <f t="shared" si="32"/>
        <v>33.211999999999996</v>
      </c>
      <c r="H316" s="18" t="s">
        <v>9</v>
      </c>
      <c r="I316" s="18">
        <f t="shared" si="28"/>
        <v>9852.5459999999857</v>
      </c>
      <c r="J316" s="18">
        <f t="shared" si="29"/>
        <v>3919.3165000000154</v>
      </c>
      <c r="K316" s="358">
        <f t="shared" si="30"/>
        <v>339.54748500840304</v>
      </c>
      <c r="L316" s="229"/>
      <c r="M316" s="173"/>
      <c r="N316" s="435"/>
      <c r="O316" s="384"/>
      <c r="Q316" s="377">
        <f t="shared" si="33"/>
        <v>24</v>
      </c>
      <c r="R316" s="350">
        <v>33.61</v>
      </c>
      <c r="S316" s="351" t="str">
        <f t="shared" si="31"/>
        <v>OK</v>
      </c>
    </row>
    <row r="317" spans="1:19">
      <c r="A317" s="497">
        <f t="shared" si="34"/>
        <v>300</v>
      </c>
      <c r="B317" s="540" t="s">
        <v>98</v>
      </c>
      <c r="C317" s="541"/>
      <c r="D317" s="542"/>
      <c r="E317" s="211">
        <f>'7" 26# Deck Tally'!B301</f>
        <v>23</v>
      </c>
      <c r="F317" s="347">
        <f>'7" 26# Deck Tally'!C301</f>
        <v>33.04</v>
      </c>
      <c r="G317" s="18">
        <f t="shared" si="32"/>
        <v>32.641999999999996</v>
      </c>
      <c r="H317" s="18" t="s">
        <v>9</v>
      </c>
      <c r="I317" s="18">
        <f t="shared" si="28"/>
        <v>9885.1879999999855</v>
      </c>
      <c r="J317" s="18">
        <f t="shared" si="29"/>
        <v>3886.6745000000155</v>
      </c>
      <c r="K317" s="358">
        <f t="shared" si="30"/>
        <v>340.24835288617237</v>
      </c>
      <c r="L317" s="229"/>
      <c r="M317" s="173"/>
      <c r="N317" s="435"/>
      <c r="O317" s="384"/>
      <c r="Q317" s="377">
        <f t="shared" si="33"/>
        <v>23</v>
      </c>
      <c r="R317" s="350">
        <v>33.04</v>
      </c>
      <c r="S317" s="351" t="str">
        <f t="shared" si="31"/>
        <v>OK</v>
      </c>
    </row>
    <row r="318" spans="1:19">
      <c r="A318" s="497">
        <f t="shared" si="34"/>
        <v>301</v>
      </c>
      <c r="B318" s="540" t="s">
        <v>98</v>
      </c>
      <c r="C318" s="541"/>
      <c r="D318" s="542"/>
      <c r="E318" s="211">
        <f>'7" 26# Deck Tally'!B302</f>
        <v>22</v>
      </c>
      <c r="F318" s="347">
        <f>'7" 26# Deck Tally'!C302</f>
        <v>32.159999999999997</v>
      </c>
      <c r="G318" s="18">
        <f t="shared" si="32"/>
        <v>31.761999999999997</v>
      </c>
      <c r="H318" s="18" t="s">
        <v>9</v>
      </c>
      <c r="I318" s="18">
        <f t="shared" si="28"/>
        <v>9916.9499999999862</v>
      </c>
      <c r="J318" s="18">
        <f t="shared" si="29"/>
        <v>3854.9125000000149</v>
      </c>
      <c r="K318" s="358">
        <f t="shared" si="30"/>
        <v>340.93032597402566</v>
      </c>
      <c r="L318" s="229"/>
      <c r="M318" s="173"/>
      <c r="N318" s="435"/>
      <c r="O318" s="384"/>
      <c r="Q318" s="377">
        <f t="shared" si="33"/>
        <v>22</v>
      </c>
      <c r="R318" s="350">
        <v>32.159999999999997</v>
      </c>
      <c r="S318" s="351" t="str">
        <f t="shared" si="31"/>
        <v>OK</v>
      </c>
    </row>
    <row r="319" spans="1:19">
      <c r="A319" s="497">
        <f t="shared" si="34"/>
        <v>302</v>
      </c>
      <c r="B319" s="540" t="s">
        <v>98</v>
      </c>
      <c r="C319" s="541"/>
      <c r="D319" s="542"/>
      <c r="E319" s="211">
        <f>'7" 26# Deck Tally'!B303</f>
        <v>21</v>
      </c>
      <c r="F319" s="347">
        <f>'7" 26# Deck Tally'!C303</f>
        <v>32.17</v>
      </c>
      <c r="G319" s="18">
        <f t="shared" si="32"/>
        <v>31.772000000000002</v>
      </c>
      <c r="H319" s="18" t="s">
        <v>9</v>
      </c>
      <c r="I319" s="18">
        <f t="shared" si="28"/>
        <v>9948.721999999987</v>
      </c>
      <c r="J319" s="18">
        <f t="shared" si="29"/>
        <v>3823.1405000000141</v>
      </c>
      <c r="K319" s="358">
        <f t="shared" si="30"/>
        <v>341.61251377540077</v>
      </c>
      <c r="L319" s="229"/>
      <c r="M319" s="173"/>
      <c r="N319" s="435"/>
      <c r="O319" s="384"/>
      <c r="Q319" s="377">
        <f t="shared" si="33"/>
        <v>21</v>
      </c>
      <c r="R319" s="350">
        <v>32.17</v>
      </c>
      <c r="S319" s="351" t="str">
        <f t="shared" si="31"/>
        <v>OK</v>
      </c>
    </row>
    <row r="320" spans="1:19">
      <c r="A320" s="497">
        <f t="shared" si="34"/>
        <v>303</v>
      </c>
      <c r="B320" s="540" t="s">
        <v>98</v>
      </c>
      <c r="C320" s="541"/>
      <c r="D320" s="542"/>
      <c r="E320" s="211">
        <f>'7" 26# Deck Tally'!B304</f>
        <v>20</v>
      </c>
      <c r="F320" s="347">
        <f>'7" 26# Deck Tally'!C304</f>
        <v>32.21</v>
      </c>
      <c r="G320" s="18">
        <f t="shared" si="32"/>
        <v>31.812000000000001</v>
      </c>
      <c r="H320" s="18" t="s">
        <v>9</v>
      </c>
      <c r="I320" s="18">
        <f t="shared" si="28"/>
        <v>9980.5339999999869</v>
      </c>
      <c r="J320" s="18">
        <f t="shared" si="29"/>
        <v>3791.3285000000142</v>
      </c>
      <c r="K320" s="358">
        <f t="shared" si="30"/>
        <v>342.29556043086302</v>
      </c>
      <c r="L320" s="229"/>
      <c r="M320" s="173"/>
      <c r="N320" s="435"/>
      <c r="O320" s="384"/>
      <c r="Q320" s="377">
        <f t="shared" si="33"/>
        <v>20</v>
      </c>
      <c r="R320" s="350">
        <v>32.21</v>
      </c>
      <c r="S320" s="351" t="str">
        <f t="shared" si="31"/>
        <v>OK</v>
      </c>
    </row>
    <row r="321" spans="1:19">
      <c r="A321" s="497">
        <f t="shared" si="34"/>
        <v>304</v>
      </c>
      <c r="B321" s="540" t="s">
        <v>98</v>
      </c>
      <c r="C321" s="541"/>
      <c r="D321" s="542"/>
      <c r="E321" s="211">
        <f>'7" 26# Deck Tally'!B305</f>
        <v>19</v>
      </c>
      <c r="F321" s="347">
        <f>'7" 26# Deck Tally'!C305</f>
        <v>33.94</v>
      </c>
      <c r="G321" s="18">
        <f t="shared" si="32"/>
        <v>33.541999999999994</v>
      </c>
      <c r="H321" s="18" t="s">
        <v>9</v>
      </c>
      <c r="I321" s="18">
        <f t="shared" si="28"/>
        <v>10014.075999999986</v>
      </c>
      <c r="J321" s="18">
        <f t="shared" si="29"/>
        <v>3757.7865000000147</v>
      </c>
      <c r="K321" s="358">
        <f t="shared" si="30"/>
        <v>343.01575252559178</v>
      </c>
      <c r="L321" s="229"/>
      <c r="M321" s="173"/>
      <c r="N321" s="435"/>
      <c r="O321" s="384"/>
      <c r="Q321" s="377">
        <f t="shared" si="33"/>
        <v>19</v>
      </c>
      <c r="R321" s="350">
        <v>33.94</v>
      </c>
      <c r="S321" s="351" t="str">
        <f t="shared" si="31"/>
        <v>OK</v>
      </c>
    </row>
    <row r="322" spans="1:19">
      <c r="A322" s="497">
        <f t="shared" si="34"/>
        <v>305</v>
      </c>
      <c r="B322" s="540" t="s">
        <v>98</v>
      </c>
      <c r="C322" s="541"/>
      <c r="D322" s="542"/>
      <c r="E322" s="211">
        <f>'7" 26# Deck Tally'!B306</f>
        <v>18</v>
      </c>
      <c r="F322" s="347">
        <f>'7" 26# Deck Tally'!C306</f>
        <v>33.950000000000003</v>
      </c>
      <c r="G322" s="18">
        <f t="shared" si="32"/>
        <v>33.552</v>
      </c>
      <c r="H322" s="18" t="s">
        <v>9</v>
      </c>
      <c r="I322" s="18">
        <f t="shared" si="28"/>
        <v>10047.627999999986</v>
      </c>
      <c r="J322" s="18">
        <f t="shared" si="29"/>
        <v>3724.234500000015</v>
      </c>
      <c r="K322" s="358">
        <f t="shared" si="30"/>
        <v>343.73615933384235</v>
      </c>
      <c r="L322" s="229"/>
      <c r="M322" s="173"/>
      <c r="N322" s="435"/>
      <c r="O322" s="384"/>
      <c r="Q322" s="377">
        <f t="shared" si="33"/>
        <v>18</v>
      </c>
      <c r="R322" s="350">
        <v>33.950000000000003</v>
      </c>
      <c r="S322" s="351" t="str">
        <f t="shared" si="31"/>
        <v>OK</v>
      </c>
    </row>
    <row r="323" spans="1:19">
      <c r="A323" s="497">
        <f t="shared" si="34"/>
        <v>306</v>
      </c>
      <c r="B323" s="540" t="s">
        <v>98</v>
      </c>
      <c r="C323" s="541"/>
      <c r="D323" s="542"/>
      <c r="E323" s="211">
        <f>'7" 26# Deck Tally'!B307</f>
        <v>17</v>
      </c>
      <c r="F323" s="347">
        <f>'7" 26# Deck Tally'!C307</f>
        <v>33.950000000000003</v>
      </c>
      <c r="G323" s="18">
        <f t="shared" si="32"/>
        <v>33.552</v>
      </c>
      <c r="H323" s="18" t="s">
        <v>9</v>
      </c>
      <c r="I323" s="18">
        <f t="shared" si="28"/>
        <v>10081.179999999986</v>
      </c>
      <c r="J323" s="18">
        <f t="shared" si="29"/>
        <v>3690.6825000000154</v>
      </c>
      <c r="K323" s="358">
        <f t="shared" si="30"/>
        <v>344.45656614209292</v>
      </c>
      <c r="L323" s="229"/>
      <c r="M323" s="173"/>
      <c r="N323" s="435"/>
      <c r="O323" s="384"/>
      <c r="Q323" s="377">
        <f t="shared" si="33"/>
        <v>17</v>
      </c>
      <c r="R323" s="350">
        <v>33.950000000000003</v>
      </c>
      <c r="S323" s="351" t="str">
        <f t="shared" si="31"/>
        <v>OK</v>
      </c>
    </row>
    <row r="324" spans="1:19">
      <c r="A324" s="497">
        <f t="shared" si="34"/>
        <v>307</v>
      </c>
      <c r="B324" s="540" t="s">
        <v>98</v>
      </c>
      <c r="C324" s="541"/>
      <c r="D324" s="542"/>
      <c r="E324" s="211">
        <f>'7" 26# Deck Tally'!B308</f>
        <v>16</v>
      </c>
      <c r="F324" s="347">
        <f>'7" 26# Deck Tally'!C308</f>
        <v>33.950000000000003</v>
      </c>
      <c r="G324" s="18">
        <f t="shared" si="32"/>
        <v>33.552</v>
      </c>
      <c r="H324" s="18" t="s">
        <v>9</v>
      </c>
      <c r="I324" s="18">
        <f t="shared" si="28"/>
        <v>10114.731999999985</v>
      </c>
      <c r="J324" s="18">
        <f t="shared" si="29"/>
        <v>3657.1305000000157</v>
      </c>
      <c r="K324" s="358">
        <f t="shared" si="30"/>
        <v>345.17697295034344</v>
      </c>
      <c r="L324" s="229"/>
      <c r="M324" s="173"/>
      <c r="N324" s="435"/>
      <c r="O324" s="384"/>
      <c r="Q324" s="377">
        <f t="shared" si="33"/>
        <v>16</v>
      </c>
      <c r="R324" s="350">
        <v>33.950000000000003</v>
      </c>
      <c r="S324" s="351" t="str">
        <f t="shared" si="31"/>
        <v>OK</v>
      </c>
    </row>
    <row r="325" spans="1:19">
      <c r="A325" s="497">
        <f t="shared" si="34"/>
        <v>308</v>
      </c>
      <c r="B325" s="540" t="s">
        <v>98</v>
      </c>
      <c r="C325" s="541"/>
      <c r="D325" s="542"/>
      <c r="E325" s="211">
        <f>'7" 26# Deck Tally'!B309</f>
        <v>15</v>
      </c>
      <c r="F325" s="347">
        <f>'7" 26# Deck Tally'!C309</f>
        <v>33.340000000000003</v>
      </c>
      <c r="G325" s="18">
        <f t="shared" si="32"/>
        <v>32.942</v>
      </c>
      <c r="H325" s="18" t="s">
        <v>9</v>
      </c>
      <c r="I325" s="18">
        <f t="shared" si="28"/>
        <v>10147.673999999985</v>
      </c>
      <c r="J325" s="18">
        <f t="shared" si="29"/>
        <v>3624.1885000000166</v>
      </c>
      <c r="K325" s="358">
        <f t="shared" si="30"/>
        <v>345.88428223376593</v>
      </c>
      <c r="L325" s="229"/>
      <c r="M325" s="173"/>
      <c r="N325" s="435"/>
      <c r="O325" s="384"/>
      <c r="Q325" s="377">
        <f t="shared" si="33"/>
        <v>15</v>
      </c>
      <c r="R325" s="350">
        <v>33.340000000000003</v>
      </c>
      <c r="S325" s="351" t="str">
        <f t="shared" si="31"/>
        <v>OK</v>
      </c>
    </row>
    <row r="326" spans="1:19">
      <c r="A326" s="497">
        <f t="shared" si="34"/>
        <v>309</v>
      </c>
      <c r="B326" s="540" t="s">
        <v>98</v>
      </c>
      <c r="C326" s="541"/>
      <c r="D326" s="542"/>
      <c r="E326" s="211">
        <f>'7" 26# Deck Tally'!B310</f>
        <v>14</v>
      </c>
      <c r="F326" s="347">
        <f>'7" 26# Deck Tally'!C310</f>
        <v>33.520000000000003</v>
      </c>
      <c r="G326" s="18">
        <f t="shared" si="32"/>
        <v>33.122</v>
      </c>
      <c r="H326" s="18" t="s">
        <v>9</v>
      </c>
      <c r="I326" s="18">
        <f t="shared" si="28"/>
        <v>10180.795999999984</v>
      </c>
      <c r="J326" s="18">
        <f t="shared" si="29"/>
        <v>3591.0665000000172</v>
      </c>
      <c r="K326" s="358">
        <f t="shared" si="30"/>
        <v>346.59545636058022</v>
      </c>
      <c r="L326" s="229"/>
      <c r="M326" s="173"/>
      <c r="N326" s="435"/>
      <c r="O326" s="384"/>
      <c r="Q326" s="377">
        <f t="shared" si="33"/>
        <v>14</v>
      </c>
      <c r="R326" s="350">
        <v>33.520000000000003</v>
      </c>
      <c r="S326" s="351" t="str">
        <f t="shared" si="31"/>
        <v>OK</v>
      </c>
    </row>
    <row r="327" spans="1:19">
      <c r="A327" s="497">
        <f t="shared" si="34"/>
        <v>310</v>
      </c>
      <c r="B327" s="540" t="s">
        <v>98</v>
      </c>
      <c r="C327" s="541"/>
      <c r="D327" s="542"/>
      <c r="E327" s="211">
        <f>'7" 26# Deck Tally'!B311</f>
        <v>13</v>
      </c>
      <c r="F327" s="347">
        <f>'7" 26# Deck Tally'!C311</f>
        <v>33.450000000000003</v>
      </c>
      <c r="G327" s="18">
        <f t="shared" si="32"/>
        <v>33.052</v>
      </c>
      <c r="H327" s="18" t="s">
        <v>9</v>
      </c>
      <c r="I327" s="18">
        <f t="shared" si="28"/>
        <v>10213.847999999984</v>
      </c>
      <c r="J327" s="18">
        <f t="shared" si="29"/>
        <v>3558.0145000000175</v>
      </c>
      <c r="K327" s="358">
        <f t="shared" si="30"/>
        <v>347.30512749274226</v>
      </c>
      <c r="L327" s="229"/>
      <c r="M327" s="173"/>
      <c r="N327" s="435"/>
      <c r="O327" s="384"/>
      <c r="Q327" s="377">
        <f t="shared" si="33"/>
        <v>13</v>
      </c>
      <c r="R327" s="350">
        <v>33.450000000000003</v>
      </c>
      <c r="S327" s="351" t="str">
        <f t="shared" si="31"/>
        <v>OK</v>
      </c>
    </row>
    <row r="328" spans="1:19">
      <c r="A328" s="497">
        <f t="shared" si="34"/>
        <v>311</v>
      </c>
      <c r="B328" s="540" t="s">
        <v>98</v>
      </c>
      <c r="C328" s="541"/>
      <c r="D328" s="542"/>
      <c r="E328" s="211">
        <f>'7" 26# Deck Tally'!B312</f>
        <v>12</v>
      </c>
      <c r="F328" s="347">
        <f>'7" 26# Deck Tally'!C312</f>
        <v>33.6</v>
      </c>
      <c r="G328" s="18">
        <f t="shared" si="32"/>
        <v>33.201999999999998</v>
      </c>
      <c r="H328" s="18" t="s">
        <v>9</v>
      </c>
      <c r="I328" s="18">
        <f t="shared" si="28"/>
        <v>10247.049999999983</v>
      </c>
      <c r="J328" s="18">
        <f t="shared" si="29"/>
        <v>3524.8125000000182</v>
      </c>
      <c r="K328" s="358">
        <f t="shared" si="30"/>
        <v>348.01801932773077</v>
      </c>
      <c r="L328" s="229"/>
      <c r="M328" s="173"/>
      <c r="N328" s="435"/>
      <c r="O328" s="384"/>
      <c r="Q328" s="377">
        <f t="shared" si="33"/>
        <v>12</v>
      </c>
      <c r="R328" s="350">
        <v>33.6</v>
      </c>
      <c r="S328" s="351" t="str">
        <f t="shared" si="31"/>
        <v>OK</v>
      </c>
    </row>
    <row r="329" spans="1:19">
      <c r="A329" s="497">
        <f t="shared" si="34"/>
        <v>312</v>
      </c>
      <c r="B329" s="540" t="s">
        <v>98</v>
      </c>
      <c r="C329" s="541"/>
      <c r="D329" s="542"/>
      <c r="E329" s="211">
        <f>'7" 26# Deck Tally'!B313</f>
        <v>11</v>
      </c>
      <c r="F329" s="347">
        <f>'7" 26# Deck Tally'!C313</f>
        <v>33.229999999999997</v>
      </c>
      <c r="G329" s="18">
        <f t="shared" si="32"/>
        <v>32.831999999999994</v>
      </c>
      <c r="H329" s="18" t="s">
        <v>9</v>
      </c>
      <c r="I329" s="18">
        <f t="shared" si="28"/>
        <v>10279.881999999983</v>
      </c>
      <c r="J329" s="18">
        <f t="shared" si="29"/>
        <v>3491.9805000000179</v>
      </c>
      <c r="K329" s="358">
        <f t="shared" si="30"/>
        <v>348.72296676241371</v>
      </c>
      <c r="L329" s="229"/>
      <c r="M329" s="173"/>
      <c r="N329" s="435"/>
      <c r="O329" s="384"/>
      <c r="Q329" s="377">
        <f t="shared" si="33"/>
        <v>11</v>
      </c>
      <c r="R329" s="350">
        <v>33.229999999999997</v>
      </c>
      <c r="S329" s="351" t="str">
        <f t="shared" si="31"/>
        <v>OK</v>
      </c>
    </row>
    <row r="330" spans="1:19">
      <c r="A330" s="497">
        <f t="shared" si="34"/>
        <v>313</v>
      </c>
      <c r="B330" s="540" t="s">
        <v>98</v>
      </c>
      <c r="C330" s="541"/>
      <c r="D330" s="542"/>
      <c r="E330" s="211">
        <f>'7" 26# Deck Tally'!B314</f>
        <v>10</v>
      </c>
      <c r="F330" s="347">
        <f>'7" 26# Deck Tally'!C314</f>
        <v>33.94</v>
      </c>
      <c r="G330" s="18">
        <f t="shared" si="32"/>
        <v>33.541999999999994</v>
      </c>
      <c r="H330" s="18" t="s">
        <v>9</v>
      </c>
      <c r="I330" s="18">
        <f t="shared" si="28"/>
        <v>10313.423999999983</v>
      </c>
      <c r="J330" s="18">
        <f t="shared" si="29"/>
        <v>3458.4385000000184</v>
      </c>
      <c r="K330" s="358">
        <f t="shared" si="30"/>
        <v>349.44315885714252</v>
      </c>
      <c r="L330" s="229"/>
      <c r="M330" s="173"/>
      <c r="N330" s="435"/>
      <c r="O330" s="384"/>
      <c r="Q330" s="377">
        <f t="shared" si="33"/>
        <v>10</v>
      </c>
      <c r="R330" s="350">
        <v>33.94</v>
      </c>
      <c r="S330" s="351" t="str">
        <f t="shared" si="31"/>
        <v>OK</v>
      </c>
    </row>
    <row r="331" spans="1:19">
      <c r="A331" s="497">
        <f t="shared" si="34"/>
        <v>314</v>
      </c>
      <c r="B331" s="540" t="s">
        <v>98</v>
      </c>
      <c r="C331" s="541"/>
      <c r="D331" s="542"/>
      <c r="E331" s="211">
        <f>'7" 26# Deck Tally'!B315</f>
        <v>9</v>
      </c>
      <c r="F331" s="347">
        <f>'7" 26# Deck Tally'!C315</f>
        <v>33.64</v>
      </c>
      <c r="G331" s="18">
        <f t="shared" si="32"/>
        <v>33.241999999999997</v>
      </c>
      <c r="H331" s="18" t="s">
        <v>9</v>
      </c>
      <c r="I331" s="18">
        <f t="shared" si="28"/>
        <v>10346.665999999983</v>
      </c>
      <c r="J331" s="18">
        <f t="shared" si="29"/>
        <v>3425.1965000000182</v>
      </c>
      <c r="K331" s="358">
        <f t="shared" si="30"/>
        <v>350.15690954621812</v>
      </c>
      <c r="L331" s="229"/>
      <c r="M331" s="173"/>
      <c r="N331" s="435"/>
      <c r="O331" s="384"/>
      <c r="Q331" s="377">
        <f t="shared" si="33"/>
        <v>9</v>
      </c>
      <c r="R331" s="350">
        <v>33.64</v>
      </c>
      <c r="S331" s="351" t="str">
        <f t="shared" si="31"/>
        <v>OK</v>
      </c>
    </row>
    <row r="332" spans="1:19">
      <c r="A332" s="497">
        <f t="shared" si="34"/>
        <v>315</v>
      </c>
      <c r="B332" s="540" t="s">
        <v>98</v>
      </c>
      <c r="C332" s="541"/>
      <c r="D332" s="542"/>
      <c r="E332" s="211">
        <f>'7" 26# Deck Tally'!B316</f>
        <v>8</v>
      </c>
      <c r="F332" s="347">
        <f>'7" 26# Deck Tally'!C316</f>
        <v>33.99</v>
      </c>
      <c r="G332" s="18">
        <f t="shared" si="32"/>
        <v>33.591999999999999</v>
      </c>
      <c r="H332" s="18" t="s">
        <v>9</v>
      </c>
      <c r="I332" s="18">
        <f t="shared" si="28"/>
        <v>10380.257999999983</v>
      </c>
      <c r="J332" s="18">
        <f t="shared" si="29"/>
        <v>3391.6045000000177</v>
      </c>
      <c r="K332" s="358">
        <f t="shared" si="30"/>
        <v>350.87817520855583</v>
      </c>
      <c r="L332" s="229"/>
      <c r="M332" s="173"/>
      <c r="N332" s="435"/>
      <c r="O332" s="384"/>
      <c r="Q332" s="377">
        <f t="shared" si="33"/>
        <v>8</v>
      </c>
      <c r="R332" s="350">
        <v>33.99</v>
      </c>
      <c r="S332" s="351" t="str">
        <f t="shared" si="31"/>
        <v>OK</v>
      </c>
    </row>
    <row r="333" spans="1:19">
      <c r="A333" s="497">
        <f t="shared" si="34"/>
        <v>316</v>
      </c>
      <c r="B333" s="540" t="s">
        <v>98</v>
      </c>
      <c r="C333" s="541"/>
      <c r="D333" s="542"/>
      <c r="E333" s="211">
        <f>'7" 26# Deck Tally'!B317</f>
        <v>7</v>
      </c>
      <c r="F333" s="347">
        <f>'7" 26# Deck Tally'!C317</f>
        <v>33.729999999999997</v>
      </c>
      <c r="G333" s="18">
        <f t="shared" si="32"/>
        <v>33.331999999999994</v>
      </c>
      <c r="H333" s="18" t="s">
        <v>9</v>
      </c>
      <c r="I333" s="18">
        <f t="shared" ref="I333:I396" si="35">IF(H333="IN",I332+G333,I332)</f>
        <v>10413.589999999984</v>
      </c>
      <c r="J333" s="18">
        <f t="shared" si="29"/>
        <v>3358.2725000000173</v>
      </c>
      <c r="K333" s="358">
        <f t="shared" si="30"/>
        <v>351.59385831932741</v>
      </c>
      <c r="L333" s="229"/>
      <c r="M333" s="173"/>
      <c r="N333" s="435"/>
      <c r="O333" s="384"/>
      <c r="Q333" s="377">
        <f t="shared" si="33"/>
        <v>7</v>
      </c>
      <c r="R333" s="350">
        <v>33.729999999999997</v>
      </c>
      <c r="S333" s="351" t="str">
        <f t="shared" si="31"/>
        <v>OK</v>
      </c>
    </row>
    <row r="334" spans="1:19">
      <c r="A334" s="497">
        <f t="shared" si="34"/>
        <v>317</v>
      </c>
      <c r="B334" s="540" t="s">
        <v>98</v>
      </c>
      <c r="C334" s="541"/>
      <c r="D334" s="542"/>
      <c r="E334" s="211">
        <f>'7" 26# Deck Tally'!B318</f>
        <v>6</v>
      </c>
      <c r="F334" s="347">
        <f>'7" 26# Deck Tally'!C318</f>
        <v>33.58</v>
      </c>
      <c r="G334" s="18">
        <f t="shared" si="32"/>
        <v>33.181999999999995</v>
      </c>
      <c r="H334" s="18" t="s">
        <v>9</v>
      </c>
      <c r="I334" s="18">
        <f t="shared" si="35"/>
        <v>10446.771999999984</v>
      </c>
      <c r="J334" s="18">
        <f t="shared" si="29"/>
        <v>3325.0905000000166</v>
      </c>
      <c r="K334" s="358">
        <f t="shared" si="30"/>
        <v>352.30632072727241</v>
      </c>
      <c r="L334" s="229"/>
      <c r="M334" s="173"/>
      <c r="N334" s="435"/>
      <c r="O334" s="384"/>
      <c r="Q334" s="377">
        <f t="shared" si="33"/>
        <v>6</v>
      </c>
      <c r="R334" s="350">
        <v>33.58</v>
      </c>
      <c r="S334" s="351" t="str">
        <f t="shared" si="31"/>
        <v>OK</v>
      </c>
    </row>
    <row r="335" spans="1:19">
      <c r="A335" s="497">
        <f t="shared" si="34"/>
        <v>318</v>
      </c>
      <c r="B335" s="540" t="s">
        <v>98</v>
      </c>
      <c r="C335" s="541"/>
      <c r="D335" s="542"/>
      <c r="E335" s="211">
        <f>'7" 26# Deck Tally'!B319</f>
        <v>5</v>
      </c>
      <c r="F335" s="347">
        <f>'7" 26# Deck Tally'!C319</f>
        <v>33.659999999999997</v>
      </c>
      <c r="G335" s="18">
        <f t="shared" si="32"/>
        <v>33.261999999999993</v>
      </c>
      <c r="H335" s="18" t="s">
        <v>9</v>
      </c>
      <c r="I335" s="18">
        <f t="shared" si="35"/>
        <v>10480.033999999985</v>
      </c>
      <c r="J335" s="18">
        <f t="shared" si="29"/>
        <v>3291.828500000016</v>
      </c>
      <c r="K335" s="358">
        <f t="shared" si="30"/>
        <v>353.02050084339157</v>
      </c>
      <c r="L335" s="229"/>
      <c r="M335" s="173"/>
      <c r="N335" s="435"/>
      <c r="O335" s="384"/>
      <c r="Q335" s="377">
        <f t="shared" si="33"/>
        <v>5</v>
      </c>
      <c r="R335" s="350">
        <v>33.659999999999997</v>
      </c>
      <c r="S335" s="351" t="str">
        <f t="shared" si="31"/>
        <v>OK</v>
      </c>
    </row>
    <row r="336" spans="1:19">
      <c r="A336" s="497">
        <f t="shared" si="34"/>
        <v>319</v>
      </c>
      <c r="B336" s="540" t="s">
        <v>98</v>
      </c>
      <c r="C336" s="541"/>
      <c r="D336" s="542"/>
      <c r="E336" s="211">
        <f>'7" 26# Deck Tally'!B320</f>
        <v>4</v>
      </c>
      <c r="F336" s="347">
        <f>'7" 26# Deck Tally'!C320</f>
        <v>33.950000000000003</v>
      </c>
      <c r="G336" s="18">
        <f t="shared" si="32"/>
        <v>33.552</v>
      </c>
      <c r="H336" s="18" t="s">
        <v>9</v>
      </c>
      <c r="I336" s="18">
        <f t="shared" si="35"/>
        <v>10513.585999999985</v>
      </c>
      <c r="J336" s="18">
        <f t="shared" ref="J336:J399" si="36">IF(I336="","",$L$6-I336)</f>
        <v>3258.2765000000163</v>
      </c>
      <c r="K336" s="358">
        <f t="shared" ref="K336:K399" si="37">$H$6+(I336*$F$7*$H$8/1000)</f>
        <v>353.74090765164215</v>
      </c>
      <c r="L336" s="229"/>
      <c r="M336" s="173"/>
      <c r="N336" s="435"/>
      <c r="O336" s="384"/>
      <c r="Q336" s="377">
        <f t="shared" si="33"/>
        <v>4</v>
      </c>
      <c r="R336" s="350">
        <v>33.950000000000003</v>
      </c>
      <c r="S336" s="351" t="str">
        <f t="shared" ref="S336:S399" si="38">IF(F336-R336=0,"OK","FALSE")</f>
        <v>OK</v>
      </c>
    </row>
    <row r="337" spans="1:19">
      <c r="A337" s="497">
        <f t="shared" si="34"/>
        <v>320</v>
      </c>
      <c r="B337" s="540" t="s">
        <v>98</v>
      </c>
      <c r="C337" s="541"/>
      <c r="D337" s="542"/>
      <c r="E337" s="211">
        <f>'7" 26# Deck Tally'!B321</f>
        <v>3</v>
      </c>
      <c r="F337" s="347">
        <f>'7" 26# Deck Tally'!C321</f>
        <v>33.950000000000003</v>
      </c>
      <c r="G337" s="18">
        <f t="shared" si="32"/>
        <v>33.552</v>
      </c>
      <c r="H337" s="18" t="s">
        <v>9</v>
      </c>
      <c r="I337" s="18">
        <f t="shared" si="35"/>
        <v>10547.137999999984</v>
      </c>
      <c r="J337" s="18">
        <f t="shared" si="36"/>
        <v>3224.7245000000166</v>
      </c>
      <c r="K337" s="358">
        <f t="shared" si="37"/>
        <v>354.46131445989272</v>
      </c>
      <c r="L337" s="229"/>
      <c r="M337" s="173"/>
      <c r="N337" s="435"/>
      <c r="O337" s="384"/>
      <c r="Q337" s="377">
        <f t="shared" si="33"/>
        <v>3</v>
      </c>
      <c r="R337" s="350">
        <v>33.950000000000003</v>
      </c>
      <c r="S337" s="351" t="str">
        <f t="shared" si="38"/>
        <v>OK</v>
      </c>
    </row>
    <row r="338" spans="1:19">
      <c r="A338" s="497">
        <f t="shared" si="34"/>
        <v>321</v>
      </c>
      <c r="B338" s="540" t="s">
        <v>98</v>
      </c>
      <c r="C338" s="541"/>
      <c r="D338" s="542"/>
      <c r="E338" s="211">
        <f>'7" 26# Deck Tally'!B322</f>
        <v>2</v>
      </c>
      <c r="F338" s="347">
        <f>'7" 26# Deck Tally'!C322</f>
        <v>33.950000000000003</v>
      </c>
      <c r="G338" s="18">
        <f t="shared" si="32"/>
        <v>33.552</v>
      </c>
      <c r="H338" s="18" t="s">
        <v>9</v>
      </c>
      <c r="I338" s="18">
        <f t="shared" si="35"/>
        <v>10580.689999999984</v>
      </c>
      <c r="J338" s="18">
        <f t="shared" si="36"/>
        <v>3191.172500000017</v>
      </c>
      <c r="K338" s="358">
        <f t="shared" si="37"/>
        <v>355.18172126814329</v>
      </c>
      <c r="L338" s="229"/>
      <c r="M338" s="173"/>
      <c r="N338" s="435"/>
      <c r="O338" s="384"/>
      <c r="Q338" s="377">
        <f t="shared" si="33"/>
        <v>2</v>
      </c>
      <c r="R338" s="350">
        <v>33.950000000000003</v>
      </c>
      <c r="S338" s="351" t="str">
        <f t="shared" si="38"/>
        <v>OK</v>
      </c>
    </row>
    <row r="339" spans="1:19">
      <c r="A339" s="497">
        <f t="shared" si="34"/>
        <v>322</v>
      </c>
      <c r="B339" s="540" t="s">
        <v>98</v>
      </c>
      <c r="C339" s="541"/>
      <c r="D339" s="542"/>
      <c r="E339" s="211">
        <f>'7" 26# Deck Tally'!B323</f>
        <v>1</v>
      </c>
      <c r="F339" s="347">
        <f>'7" 26# Deck Tally'!C323</f>
        <v>33.909999999999997</v>
      </c>
      <c r="G339" s="18">
        <f t="shared" si="32"/>
        <v>33.511999999999993</v>
      </c>
      <c r="H339" s="18" t="s">
        <v>9</v>
      </c>
      <c r="I339" s="18">
        <f t="shared" si="35"/>
        <v>10614.201999999985</v>
      </c>
      <c r="J339" s="18">
        <f t="shared" si="36"/>
        <v>3157.6605000000163</v>
      </c>
      <c r="K339" s="358">
        <f t="shared" si="37"/>
        <v>355.90126922230684</v>
      </c>
      <c r="L339" s="229"/>
      <c r="M339" s="173"/>
      <c r="N339" s="435"/>
      <c r="O339" s="384"/>
      <c r="Q339" s="377">
        <f t="shared" si="33"/>
        <v>1</v>
      </c>
      <c r="R339" s="350">
        <v>33.909999999999997</v>
      </c>
      <c r="S339" s="351" t="str">
        <f t="shared" si="38"/>
        <v>OK</v>
      </c>
    </row>
    <row r="340" spans="1:19">
      <c r="A340" s="497">
        <f t="shared" si="34"/>
        <v>323</v>
      </c>
      <c r="B340" s="540" t="s">
        <v>98</v>
      </c>
      <c r="C340" s="541"/>
      <c r="D340" s="542"/>
      <c r="E340" s="211">
        <f>'7" 26# Deck Tally'!B324</f>
        <v>436</v>
      </c>
      <c r="F340" s="347">
        <f>'7" 26# Deck Tally'!C324</f>
        <v>33.61</v>
      </c>
      <c r="G340" s="18">
        <f t="shared" si="32"/>
        <v>33.211999999999996</v>
      </c>
      <c r="H340" s="18" t="s">
        <v>9</v>
      </c>
      <c r="I340" s="18">
        <f t="shared" si="35"/>
        <v>10647.413999999984</v>
      </c>
      <c r="J340" s="18">
        <f t="shared" si="36"/>
        <v>3124.4485000000168</v>
      </c>
      <c r="K340" s="216">
        <f t="shared" si="37"/>
        <v>356.61437577081711</v>
      </c>
      <c r="L340" s="229"/>
      <c r="M340" s="173"/>
      <c r="N340" s="435"/>
      <c r="O340" s="384"/>
      <c r="Q340" s="377">
        <f t="shared" si="33"/>
        <v>436</v>
      </c>
      <c r="R340" s="350">
        <v>33.61</v>
      </c>
      <c r="S340" s="351" t="str">
        <f t="shared" si="38"/>
        <v>OK</v>
      </c>
    </row>
    <row r="341" spans="1:19">
      <c r="A341" s="497">
        <f t="shared" si="34"/>
        <v>324</v>
      </c>
      <c r="B341" s="540" t="s">
        <v>98</v>
      </c>
      <c r="C341" s="541"/>
      <c r="D341" s="542"/>
      <c r="E341" s="211">
        <f>'7" 26# Deck Tally'!B325</f>
        <v>435</v>
      </c>
      <c r="F341" s="347">
        <f>'7" 26# Deck Tally'!C325</f>
        <v>33.5</v>
      </c>
      <c r="G341" s="18">
        <f t="shared" ref="G341:G404" si="39">F341-($F$9)</f>
        <v>33.101999999999997</v>
      </c>
      <c r="H341" s="18" t="s">
        <v>9</v>
      </c>
      <c r="I341" s="18">
        <f t="shared" si="35"/>
        <v>10680.515999999985</v>
      </c>
      <c r="J341" s="18">
        <f t="shared" si="36"/>
        <v>3091.346500000016</v>
      </c>
      <c r="K341" s="358">
        <f t="shared" si="37"/>
        <v>357.32512047058793</v>
      </c>
      <c r="L341" s="229"/>
      <c r="M341" s="173"/>
      <c r="N341" s="435"/>
      <c r="O341" s="384"/>
      <c r="Q341" s="377">
        <f t="shared" ref="Q341:Q404" si="40">E341</f>
        <v>435</v>
      </c>
      <c r="R341" s="350">
        <v>33.5</v>
      </c>
      <c r="S341" s="351" t="str">
        <f t="shared" si="38"/>
        <v>OK</v>
      </c>
    </row>
    <row r="342" spans="1:19">
      <c r="A342" s="497">
        <f t="shared" si="34"/>
        <v>325</v>
      </c>
      <c r="B342" s="540" t="s">
        <v>98</v>
      </c>
      <c r="C342" s="541"/>
      <c r="D342" s="542"/>
      <c r="E342" s="211">
        <f>'7" 26# Deck Tally'!B326</f>
        <v>434</v>
      </c>
      <c r="F342" s="347">
        <f>'7" 26# Deck Tally'!C326</f>
        <v>33.630000000000003</v>
      </c>
      <c r="G342" s="18">
        <f t="shared" si="39"/>
        <v>33.231999999999999</v>
      </c>
      <c r="H342" s="18" t="s">
        <v>9</v>
      </c>
      <c r="I342" s="18">
        <f t="shared" si="35"/>
        <v>10713.747999999985</v>
      </c>
      <c r="J342" s="18">
        <f t="shared" si="36"/>
        <v>3058.1145000000161</v>
      </c>
      <c r="K342" s="358">
        <f t="shared" si="37"/>
        <v>358.03865644614177</v>
      </c>
      <c r="L342" s="229"/>
      <c r="M342" s="173"/>
      <c r="N342" s="435"/>
      <c r="O342" s="384"/>
      <c r="Q342" s="377">
        <f t="shared" si="40"/>
        <v>434</v>
      </c>
      <c r="R342" s="350">
        <v>33.630000000000003</v>
      </c>
      <c r="S342" s="351" t="str">
        <f t="shared" si="38"/>
        <v>OK</v>
      </c>
    </row>
    <row r="343" spans="1:19">
      <c r="A343" s="497">
        <f t="shared" ref="A343:A398" si="41">A342+1</f>
        <v>326</v>
      </c>
      <c r="B343" s="540" t="s">
        <v>98</v>
      </c>
      <c r="C343" s="541"/>
      <c r="D343" s="542"/>
      <c r="E343" s="211">
        <f>'7" 26# Deck Tally'!B327</f>
        <v>433</v>
      </c>
      <c r="F343" s="347">
        <f>'7" 26# Deck Tally'!C327</f>
        <v>33.94</v>
      </c>
      <c r="G343" s="18">
        <f t="shared" si="39"/>
        <v>33.541999999999994</v>
      </c>
      <c r="H343" s="18" t="s">
        <v>9</v>
      </c>
      <c r="I343" s="18">
        <f t="shared" si="35"/>
        <v>10747.289999999985</v>
      </c>
      <c r="J343" s="18">
        <f t="shared" si="36"/>
        <v>3024.5725000000166</v>
      </c>
      <c r="K343" s="358">
        <f t="shared" si="37"/>
        <v>358.75884854087053</v>
      </c>
      <c r="L343" s="229"/>
      <c r="N343" s="435"/>
      <c r="O343" s="384"/>
      <c r="Q343" s="377">
        <f t="shared" si="40"/>
        <v>433</v>
      </c>
      <c r="R343" s="350">
        <v>33.94</v>
      </c>
      <c r="S343" s="351" t="str">
        <f t="shared" si="38"/>
        <v>OK</v>
      </c>
    </row>
    <row r="344" spans="1:19">
      <c r="A344" s="497">
        <f t="shared" si="41"/>
        <v>327</v>
      </c>
      <c r="B344" s="540" t="s">
        <v>98</v>
      </c>
      <c r="C344" s="541"/>
      <c r="D344" s="542"/>
      <c r="E344" s="211">
        <f>'7" 26# Deck Tally'!B328</f>
        <v>432</v>
      </c>
      <c r="F344" s="347">
        <f>'7" 26# Deck Tally'!C328</f>
        <v>33.36</v>
      </c>
      <c r="G344" s="18">
        <f t="shared" si="39"/>
        <v>32.961999999999996</v>
      </c>
      <c r="H344" s="18" t="s">
        <v>9</v>
      </c>
      <c r="I344" s="18">
        <f t="shared" si="35"/>
        <v>10780.251999999984</v>
      </c>
      <c r="J344" s="18">
        <f t="shared" si="36"/>
        <v>2991.6105000000171</v>
      </c>
      <c r="K344" s="358">
        <f t="shared" si="37"/>
        <v>359.46658725133653</v>
      </c>
      <c r="L344" s="229"/>
      <c r="M344" s="173"/>
      <c r="N344" s="435"/>
      <c r="O344" s="384"/>
      <c r="Q344" s="377">
        <f t="shared" si="40"/>
        <v>432</v>
      </c>
      <c r="R344" s="350">
        <v>33.36</v>
      </c>
      <c r="S344" s="351" t="str">
        <f t="shared" si="38"/>
        <v>OK</v>
      </c>
    </row>
    <row r="345" spans="1:19">
      <c r="A345" s="497">
        <f t="shared" si="41"/>
        <v>328</v>
      </c>
      <c r="B345" s="540" t="s">
        <v>98</v>
      </c>
      <c r="C345" s="541"/>
      <c r="D345" s="542"/>
      <c r="E345" s="211">
        <f>'7" 26# Deck Tally'!B329</f>
        <v>431</v>
      </c>
      <c r="F345" s="347">
        <f>'7" 26# Deck Tally'!C329</f>
        <v>33.11</v>
      </c>
      <c r="G345" s="18">
        <f t="shared" si="39"/>
        <v>32.711999999999996</v>
      </c>
      <c r="H345" s="18" t="s">
        <v>9</v>
      </c>
      <c r="I345" s="18">
        <f t="shared" si="35"/>
        <v>10812.963999999984</v>
      </c>
      <c r="J345" s="18">
        <f t="shared" si="36"/>
        <v>2958.8985000000175</v>
      </c>
      <c r="K345" s="216">
        <f t="shared" si="37"/>
        <v>360.16895812375822</v>
      </c>
      <c r="L345" s="229"/>
      <c r="M345" s="173"/>
      <c r="N345" s="435"/>
      <c r="O345" s="384"/>
      <c r="Q345" s="377">
        <f t="shared" si="40"/>
        <v>431</v>
      </c>
      <c r="R345" s="350">
        <v>33.11</v>
      </c>
      <c r="S345" s="351" t="str">
        <f t="shared" si="38"/>
        <v>OK</v>
      </c>
    </row>
    <row r="346" spans="1:19">
      <c r="A346" s="497">
        <f t="shared" si="41"/>
        <v>329</v>
      </c>
      <c r="B346" s="540" t="s">
        <v>98</v>
      </c>
      <c r="C346" s="541"/>
      <c r="D346" s="542"/>
      <c r="E346" s="211">
        <f>'7" 26# Deck Tally'!B330</f>
        <v>430</v>
      </c>
      <c r="F346" s="347">
        <f>'7" 26# Deck Tally'!C330</f>
        <v>33.19</v>
      </c>
      <c r="G346" s="18">
        <f t="shared" si="39"/>
        <v>32.791999999999994</v>
      </c>
      <c r="H346" s="18" t="s">
        <v>9</v>
      </c>
      <c r="I346" s="18">
        <f t="shared" si="35"/>
        <v>10845.755999999983</v>
      </c>
      <c r="J346" s="18">
        <f t="shared" si="36"/>
        <v>2926.1065000000181</v>
      </c>
      <c r="K346" s="358">
        <f t="shared" si="37"/>
        <v>360.87304670435412</v>
      </c>
      <c r="L346" s="229"/>
      <c r="M346" s="173"/>
      <c r="N346" s="435"/>
      <c r="O346" s="384"/>
      <c r="Q346" s="377">
        <f t="shared" si="40"/>
        <v>430</v>
      </c>
      <c r="R346" s="350">
        <v>33.19</v>
      </c>
      <c r="S346" s="351" t="str">
        <f t="shared" si="38"/>
        <v>OK</v>
      </c>
    </row>
    <row r="347" spans="1:19">
      <c r="A347" s="497">
        <f t="shared" si="41"/>
        <v>330</v>
      </c>
      <c r="B347" s="540" t="s">
        <v>98</v>
      </c>
      <c r="C347" s="541"/>
      <c r="D347" s="542"/>
      <c r="E347" s="211">
        <f>'7" 26# Deck Tally'!B331</f>
        <v>429</v>
      </c>
      <c r="F347" s="347">
        <f>'7" 26# Deck Tally'!C331</f>
        <v>33</v>
      </c>
      <c r="G347" s="18">
        <f t="shared" si="39"/>
        <v>32.601999999999997</v>
      </c>
      <c r="H347" s="18" t="s">
        <v>9</v>
      </c>
      <c r="I347" s="18">
        <f t="shared" si="35"/>
        <v>10878.357999999984</v>
      </c>
      <c r="J347" s="18">
        <f t="shared" si="36"/>
        <v>2893.5045000000173</v>
      </c>
      <c r="K347" s="358">
        <f t="shared" si="37"/>
        <v>361.57305572803631</v>
      </c>
      <c r="L347" s="229"/>
      <c r="M347" s="173"/>
      <c r="N347" s="435"/>
      <c r="O347" s="384"/>
      <c r="Q347" s="377">
        <f t="shared" si="40"/>
        <v>429</v>
      </c>
      <c r="R347" s="350">
        <v>33</v>
      </c>
      <c r="S347" s="351" t="str">
        <f t="shared" si="38"/>
        <v>OK</v>
      </c>
    </row>
    <row r="348" spans="1:19">
      <c r="A348" s="497">
        <f t="shared" si="41"/>
        <v>331</v>
      </c>
      <c r="B348" s="540" t="s">
        <v>98</v>
      </c>
      <c r="C348" s="541"/>
      <c r="D348" s="542"/>
      <c r="E348" s="211">
        <f>'7" 26# Deck Tally'!B332</f>
        <v>428</v>
      </c>
      <c r="F348" s="347">
        <f>'7" 26# Deck Tally'!C332</f>
        <v>31.95</v>
      </c>
      <c r="G348" s="18">
        <f t="shared" si="39"/>
        <v>31.552</v>
      </c>
      <c r="H348" s="18" t="s">
        <v>9</v>
      </c>
      <c r="I348" s="18">
        <f t="shared" si="35"/>
        <v>10909.909999999983</v>
      </c>
      <c r="J348" s="18">
        <f t="shared" si="36"/>
        <v>2861.9525000000176</v>
      </c>
      <c r="K348" s="358">
        <f t="shared" si="37"/>
        <v>362.25051983193242</v>
      </c>
      <c r="L348" s="229"/>
      <c r="M348" s="173"/>
      <c r="N348" s="435"/>
      <c r="O348" s="384"/>
      <c r="Q348" s="377">
        <f t="shared" si="40"/>
        <v>428</v>
      </c>
      <c r="R348" s="350">
        <v>31.95</v>
      </c>
      <c r="S348" s="351" t="str">
        <f t="shared" si="38"/>
        <v>OK</v>
      </c>
    </row>
    <row r="349" spans="1:19">
      <c r="A349" s="497">
        <f t="shared" si="41"/>
        <v>332</v>
      </c>
      <c r="B349" s="540" t="s">
        <v>98</v>
      </c>
      <c r="C349" s="541"/>
      <c r="D349" s="542"/>
      <c r="E349" s="211">
        <f>'7" 26# Deck Tally'!B333</f>
        <v>427</v>
      </c>
      <c r="F349" s="347">
        <f>'7" 26# Deck Tally'!C333</f>
        <v>33.409999999999997</v>
      </c>
      <c r="G349" s="18">
        <f t="shared" si="39"/>
        <v>33.011999999999993</v>
      </c>
      <c r="H349" s="18" t="s">
        <v>9</v>
      </c>
      <c r="I349" s="18">
        <f t="shared" si="35"/>
        <v>10942.921999999984</v>
      </c>
      <c r="J349" s="18">
        <f t="shared" si="36"/>
        <v>2828.940500000017</v>
      </c>
      <c r="K349" s="358">
        <f t="shared" si="37"/>
        <v>362.95933211000732</v>
      </c>
      <c r="L349" s="465"/>
      <c r="M349" s="466"/>
      <c r="N349" s="435"/>
      <c r="O349" s="384"/>
      <c r="Q349" s="377">
        <f t="shared" si="40"/>
        <v>427</v>
      </c>
      <c r="R349" s="350">
        <v>33.409999999999997</v>
      </c>
      <c r="S349" s="351" t="str">
        <f t="shared" si="38"/>
        <v>OK</v>
      </c>
    </row>
    <row r="350" spans="1:19">
      <c r="A350" s="497">
        <f t="shared" si="41"/>
        <v>333</v>
      </c>
      <c r="B350" s="540" t="s">
        <v>98</v>
      </c>
      <c r="C350" s="541"/>
      <c r="D350" s="542"/>
      <c r="E350" s="211">
        <f>'7" 26# Deck Tally'!B334</f>
        <v>426</v>
      </c>
      <c r="F350" s="347">
        <f>'7" 26# Deck Tally'!C334</f>
        <v>31.17</v>
      </c>
      <c r="G350" s="18">
        <f t="shared" si="39"/>
        <v>30.772000000000002</v>
      </c>
      <c r="H350" s="18" t="s">
        <v>9</v>
      </c>
      <c r="I350" s="18">
        <f t="shared" si="35"/>
        <v>10973.693999999985</v>
      </c>
      <c r="J350" s="18">
        <f t="shared" si="36"/>
        <v>2798.1685000000161</v>
      </c>
      <c r="K350" s="216">
        <f t="shared" si="37"/>
        <v>363.6200485592052</v>
      </c>
      <c r="L350" s="465"/>
      <c r="M350" s="466"/>
      <c r="N350" s="435"/>
      <c r="O350" s="384"/>
      <c r="Q350" s="377">
        <f t="shared" si="40"/>
        <v>426</v>
      </c>
      <c r="R350" s="350">
        <v>31.17</v>
      </c>
      <c r="S350" s="351" t="str">
        <f t="shared" si="38"/>
        <v>OK</v>
      </c>
    </row>
    <row r="351" spans="1:19">
      <c r="A351" s="497">
        <f t="shared" si="41"/>
        <v>334</v>
      </c>
      <c r="B351" s="540" t="s">
        <v>98</v>
      </c>
      <c r="C351" s="541"/>
      <c r="D351" s="542"/>
      <c r="E351" s="211">
        <f>'7" 26# Deck Tally'!B335</f>
        <v>425</v>
      </c>
      <c r="F351" s="347">
        <f>'7" 26# Deck Tally'!C335</f>
        <v>33.71</v>
      </c>
      <c r="G351" s="18">
        <f t="shared" si="39"/>
        <v>33.311999999999998</v>
      </c>
      <c r="H351" s="18" t="s">
        <v>9</v>
      </c>
      <c r="I351" s="18">
        <f t="shared" si="35"/>
        <v>11007.005999999985</v>
      </c>
      <c r="J351" s="18">
        <f t="shared" si="36"/>
        <v>2764.8565000000162</v>
      </c>
      <c r="K351" s="358">
        <f t="shared" si="37"/>
        <v>364.33530224293321</v>
      </c>
      <c r="L351" s="229"/>
      <c r="M351" s="173"/>
      <c r="N351" s="435"/>
      <c r="O351" s="384"/>
      <c r="Q351" s="377">
        <f t="shared" si="40"/>
        <v>425</v>
      </c>
      <c r="R351" s="350">
        <v>33.71</v>
      </c>
      <c r="S351" s="351" t="str">
        <f t="shared" si="38"/>
        <v>OK</v>
      </c>
    </row>
    <row r="352" spans="1:19">
      <c r="A352" s="497">
        <f t="shared" si="41"/>
        <v>335</v>
      </c>
      <c r="B352" s="540" t="s">
        <v>98</v>
      </c>
      <c r="C352" s="541"/>
      <c r="D352" s="542"/>
      <c r="E352" s="211">
        <f>'7" 26# Deck Tally'!B336</f>
        <v>424</v>
      </c>
      <c r="F352" s="347">
        <f>'7" 26# Deck Tally'!C336</f>
        <v>33.909999999999997</v>
      </c>
      <c r="G352" s="18">
        <f t="shared" si="39"/>
        <v>33.511999999999993</v>
      </c>
      <c r="H352" s="18" t="s">
        <v>9</v>
      </c>
      <c r="I352" s="18">
        <f t="shared" si="35"/>
        <v>11040.517999999985</v>
      </c>
      <c r="J352" s="18">
        <f t="shared" si="36"/>
        <v>2731.3445000000156</v>
      </c>
      <c r="K352" s="358">
        <f t="shared" si="37"/>
        <v>365.0548501970967</v>
      </c>
      <c r="L352" s="229"/>
      <c r="M352" s="173"/>
      <c r="N352" s="435"/>
      <c r="O352" s="384"/>
      <c r="Q352" s="377">
        <f t="shared" si="40"/>
        <v>424</v>
      </c>
      <c r="R352" s="350">
        <v>33.909999999999997</v>
      </c>
      <c r="S352" s="351" t="str">
        <f t="shared" si="38"/>
        <v>OK</v>
      </c>
    </row>
    <row r="353" spans="1:19">
      <c r="A353" s="497">
        <f t="shared" si="41"/>
        <v>336</v>
      </c>
      <c r="B353" s="540" t="s">
        <v>98</v>
      </c>
      <c r="C353" s="541"/>
      <c r="D353" s="542"/>
      <c r="E353" s="211">
        <f>'7" 26# Deck Tally'!B337</f>
        <v>423</v>
      </c>
      <c r="F353" s="347">
        <f>'7" 26# Deck Tally'!C337</f>
        <v>31.81</v>
      </c>
      <c r="G353" s="18">
        <f t="shared" si="39"/>
        <v>31.411999999999999</v>
      </c>
      <c r="H353" s="18" t="s">
        <v>9</v>
      </c>
      <c r="I353" s="18">
        <f t="shared" si="35"/>
        <v>11071.929999999986</v>
      </c>
      <c r="J353" s="18">
        <f t="shared" si="36"/>
        <v>2699.9325000000154</v>
      </c>
      <c r="K353" s="358">
        <f t="shared" si="37"/>
        <v>365.72930831168799</v>
      </c>
      <c r="L353" s="543"/>
      <c r="M353" s="544"/>
      <c r="N353" s="435"/>
      <c r="O353" s="384"/>
      <c r="Q353" s="377">
        <f t="shared" si="40"/>
        <v>423</v>
      </c>
      <c r="R353" s="350">
        <v>31.81</v>
      </c>
      <c r="S353" s="351" t="str">
        <f t="shared" si="38"/>
        <v>OK</v>
      </c>
    </row>
    <row r="354" spans="1:19">
      <c r="A354" s="497">
        <f t="shared" si="41"/>
        <v>337</v>
      </c>
      <c r="B354" s="540" t="s">
        <v>98</v>
      </c>
      <c r="C354" s="541"/>
      <c r="D354" s="542"/>
      <c r="E354" s="211">
        <f>'7" 26# Deck Tally'!B338</f>
        <v>422</v>
      </c>
      <c r="F354" s="347">
        <f>'7" 26# Deck Tally'!C338</f>
        <v>33.9</v>
      </c>
      <c r="G354" s="18">
        <f t="shared" si="39"/>
        <v>33.501999999999995</v>
      </c>
      <c r="H354" s="18" t="s">
        <v>9</v>
      </c>
      <c r="I354" s="18">
        <f t="shared" si="35"/>
        <v>11105.431999999986</v>
      </c>
      <c r="J354" s="18">
        <f t="shared" si="36"/>
        <v>2666.4305000000149</v>
      </c>
      <c r="K354" s="358">
        <f t="shared" si="37"/>
        <v>366.44864155232972</v>
      </c>
      <c r="L354" s="543"/>
      <c r="M354" s="544"/>
      <c r="N354" s="435"/>
      <c r="O354" s="384"/>
      <c r="Q354" s="377">
        <f t="shared" si="40"/>
        <v>422</v>
      </c>
      <c r="R354" s="350">
        <v>33.9</v>
      </c>
      <c r="S354" s="351" t="str">
        <f t="shared" si="38"/>
        <v>OK</v>
      </c>
    </row>
    <row r="355" spans="1:19" ht="15">
      <c r="A355" s="497">
        <f t="shared" si="41"/>
        <v>338</v>
      </c>
      <c r="B355" s="540" t="s">
        <v>98</v>
      </c>
      <c r="C355" s="541"/>
      <c r="D355" s="542"/>
      <c r="E355" s="211">
        <f>'7" 26# Deck Tally'!B339</f>
        <v>421</v>
      </c>
      <c r="F355" s="347">
        <f>'7" 26# Deck Tally'!C339</f>
        <v>33.4</v>
      </c>
      <c r="G355" s="18">
        <f t="shared" si="39"/>
        <v>33.001999999999995</v>
      </c>
      <c r="H355" s="18" t="s">
        <v>9</v>
      </c>
      <c r="I355" s="18">
        <f t="shared" si="35"/>
        <v>11138.433999999987</v>
      </c>
      <c r="J355" s="18">
        <f t="shared" si="36"/>
        <v>2633.4285000000145</v>
      </c>
      <c r="K355" s="216">
        <f t="shared" si="37"/>
        <v>367.15723911688281</v>
      </c>
      <c r="L355" s="523"/>
      <c r="M355" s="524"/>
      <c r="N355" s="435"/>
      <c r="O355" s="384"/>
      <c r="Q355" s="377">
        <f t="shared" si="40"/>
        <v>421</v>
      </c>
      <c r="R355" s="350">
        <v>33.4</v>
      </c>
      <c r="S355" s="351" t="str">
        <f t="shared" si="38"/>
        <v>OK</v>
      </c>
    </row>
    <row r="356" spans="1:19" ht="15">
      <c r="A356" s="497">
        <f t="shared" si="41"/>
        <v>339</v>
      </c>
      <c r="B356" s="540" t="s">
        <v>98</v>
      </c>
      <c r="C356" s="541"/>
      <c r="D356" s="542"/>
      <c r="E356" s="211">
        <f>'7" 26# Deck Tally'!B340</f>
        <v>420</v>
      </c>
      <c r="F356" s="347">
        <f>'7" 26# Deck Tally'!C340</f>
        <v>33.22</v>
      </c>
      <c r="G356" s="18">
        <f t="shared" si="39"/>
        <v>32.821999999999996</v>
      </c>
      <c r="H356" s="18" t="s">
        <v>9</v>
      </c>
      <c r="I356" s="18">
        <f t="shared" si="35"/>
        <v>11171.255999999987</v>
      </c>
      <c r="J356" s="18">
        <f t="shared" si="36"/>
        <v>2600.6065000000144</v>
      </c>
      <c r="K356" s="358">
        <f t="shared" si="37"/>
        <v>367.86197183804404</v>
      </c>
      <c r="L356" s="523"/>
      <c r="M356" s="524"/>
      <c r="N356" s="435"/>
      <c r="O356" s="384"/>
      <c r="Q356" s="377">
        <f t="shared" si="40"/>
        <v>420</v>
      </c>
      <c r="R356" s="350">
        <v>33.22</v>
      </c>
      <c r="S356" s="351" t="str">
        <f t="shared" si="38"/>
        <v>OK</v>
      </c>
    </row>
    <row r="357" spans="1:19">
      <c r="A357" s="497">
        <f t="shared" si="41"/>
        <v>340</v>
      </c>
      <c r="B357" s="540" t="s">
        <v>98</v>
      </c>
      <c r="C357" s="541"/>
      <c r="D357" s="542"/>
      <c r="E357" s="211">
        <f>'7" 26# Deck Tally'!B341</f>
        <v>419</v>
      </c>
      <c r="F357" s="347">
        <f>'7" 26# Deck Tally'!C341</f>
        <v>33.159999999999997</v>
      </c>
      <c r="G357" s="18">
        <f t="shared" si="39"/>
        <v>32.761999999999993</v>
      </c>
      <c r="H357" s="18" t="s">
        <v>9</v>
      </c>
      <c r="I357" s="18">
        <f t="shared" si="35"/>
        <v>11204.017999999987</v>
      </c>
      <c r="J357" s="18">
        <f t="shared" si="36"/>
        <v>2567.8445000000138</v>
      </c>
      <c r="K357" s="358">
        <f t="shared" si="37"/>
        <v>368.56541627807462</v>
      </c>
      <c r="L357" s="229"/>
      <c r="M357" s="173"/>
      <c r="N357" s="435"/>
      <c r="O357" s="384"/>
      <c r="Q357" s="377">
        <f t="shared" si="40"/>
        <v>419</v>
      </c>
      <c r="R357" s="350">
        <v>33.159999999999997</v>
      </c>
      <c r="S357" s="351" t="str">
        <f t="shared" si="38"/>
        <v>OK</v>
      </c>
    </row>
    <row r="358" spans="1:19">
      <c r="A358" s="497">
        <f t="shared" si="41"/>
        <v>341</v>
      </c>
      <c r="B358" s="540" t="s">
        <v>98</v>
      </c>
      <c r="C358" s="541"/>
      <c r="D358" s="542"/>
      <c r="E358" s="211">
        <f>'7" 26# Deck Tally'!B342</f>
        <v>418</v>
      </c>
      <c r="F358" s="347">
        <f>'7" 26# Deck Tally'!C342</f>
        <v>33.33</v>
      </c>
      <c r="G358" s="18">
        <f t="shared" si="39"/>
        <v>32.931999999999995</v>
      </c>
      <c r="H358" s="18" t="s">
        <v>9</v>
      </c>
      <c r="I358" s="18">
        <f t="shared" si="35"/>
        <v>11236.949999999988</v>
      </c>
      <c r="J358" s="18">
        <f t="shared" si="36"/>
        <v>2534.9125000000131</v>
      </c>
      <c r="K358" s="358">
        <f t="shared" si="37"/>
        <v>369.2725108479753</v>
      </c>
      <c r="L358" s="229"/>
      <c r="M358" s="173"/>
      <c r="N358" s="435"/>
      <c r="O358" s="384"/>
      <c r="Q358" s="377">
        <f t="shared" si="40"/>
        <v>418</v>
      </c>
      <c r="R358" s="350">
        <v>33.33</v>
      </c>
      <c r="S358" s="351" t="str">
        <f t="shared" si="38"/>
        <v>OK</v>
      </c>
    </row>
    <row r="359" spans="1:19">
      <c r="A359" s="497">
        <f t="shared" si="41"/>
        <v>342</v>
      </c>
      <c r="B359" s="540" t="s">
        <v>98</v>
      </c>
      <c r="C359" s="541"/>
      <c r="D359" s="542"/>
      <c r="E359" s="211">
        <f>'7" 26# Deck Tally'!B343</f>
        <v>417</v>
      </c>
      <c r="F359" s="347">
        <f>'7" 26# Deck Tally'!C343</f>
        <v>33.92</v>
      </c>
      <c r="G359" s="18">
        <f t="shared" si="39"/>
        <v>33.521999999999998</v>
      </c>
      <c r="H359" s="18" t="s">
        <v>9</v>
      </c>
      <c r="I359" s="18">
        <f t="shared" si="35"/>
        <v>11270.471999999989</v>
      </c>
      <c r="J359" s="18">
        <f t="shared" si="36"/>
        <v>2501.3905000000123</v>
      </c>
      <c r="K359" s="358">
        <f t="shared" si="37"/>
        <v>369.9922735156606</v>
      </c>
      <c r="L359" s="229"/>
      <c r="M359" s="173"/>
      <c r="N359" s="435"/>
      <c r="O359" s="384"/>
      <c r="Q359" s="377">
        <f t="shared" si="40"/>
        <v>417</v>
      </c>
      <c r="R359" s="350">
        <v>33.92</v>
      </c>
      <c r="S359" s="351" t="str">
        <f t="shared" si="38"/>
        <v>OK</v>
      </c>
    </row>
    <row r="360" spans="1:19">
      <c r="A360" s="497">
        <f t="shared" si="41"/>
        <v>343</v>
      </c>
      <c r="B360" s="540" t="s">
        <v>98</v>
      </c>
      <c r="C360" s="541"/>
      <c r="D360" s="542"/>
      <c r="E360" s="211">
        <f>'7" 26# Deck Tally'!B344</f>
        <v>416</v>
      </c>
      <c r="F360" s="347">
        <f>'7" 26# Deck Tally'!C344</f>
        <v>33.65</v>
      </c>
      <c r="G360" s="18">
        <f t="shared" si="39"/>
        <v>33.251999999999995</v>
      </c>
      <c r="H360" s="18" t="s">
        <v>9</v>
      </c>
      <c r="I360" s="18">
        <f t="shared" si="35"/>
        <v>11303.723999999989</v>
      </c>
      <c r="J360" s="18">
        <f t="shared" si="36"/>
        <v>2468.1385000000118</v>
      </c>
      <c r="K360" s="216">
        <f t="shared" si="37"/>
        <v>370.70623891825801</v>
      </c>
      <c r="L360" s="229"/>
      <c r="M360" s="173"/>
      <c r="N360" s="435"/>
      <c r="O360" s="384"/>
      <c r="Q360" s="377">
        <f t="shared" si="40"/>
        <v>416</v>
      </c>
      <c r="R360" s="350">
        <v>33.65</v>
      </c>
      <c r="S360" s="351" t="str">
        <f t="shared" si="38"/>
        <v>OK</v>
      </c>
    </row>
    <row r="361" spans="1:19">
      <c r="A361" s="497">
        <f t="shared" si="41"/>
        <v>344</v>
      </c>
      <c r="B361" s="540" t="s">
        <v>98</v>
      </c>
      <c r="C361" s="541"/>
      <c r="D361" s="542"/>
      <c r="E361" s="211">
        <f>'7" 26# Deck Tally'!B345</f>
        <v>415</v>
      </c>
      <c r="F361" s="347">
        <f>'7" 26# Deck Tally'!C345</f>
        <v>33.869999999999997</v>
      </c>
      <c r="G361" s="18">
        <f t="shared" si="39"/>
        <v>33.471999999999994</v>
      </c>
      <c r="H361" s="18" t="s">
        <v>9</v>
      </c>
      <c r="I361" s="18">
        <f t="shared" si="35"/>
        <v>11337.195999999989</v>
      </c>
      <c r="J361" s="18">
        <f t="shared" si="36"/>
        <v>2434.6665000000121</v>
      </c>
      <c r="K361" s="358">
        <f t="shared" si="37"/>
        <v>371.42492801833441</v>
      </c>
      <c r="L361" s="229"/>
      <c r="M361" s="173"/>
      <c r="N361" s="435"/>
      <c r="O361" s="384"/>
      <c r="Q361" s="377">
        <f t="shared" si="40"/>
        <v>415</v>
      </c>
      <c r="R361" s="350">
        <v>33.869999999999997</v>
      </c>
      <c r="S361" s="351" t="str">
        <f t="shared" si="38"/>
        <v>OK</v>
      </c>
    </row>
    <row r="362" spans="1:19">
      <c r="A362" s="497">
        <f t="shared" si="41"/>
        <v>345</v>
      </c>
      <c r="B362" s="540" t="s">
        <v>98</v>
      </c>
      <c r="C362" s="541"/>
      <c r="D362" s="542"/>
      <c r="E362" s="211">
        <f>'7" 26# Deck Tally'!B346</f>
        <v>414</v>
      </c>
      <c r="F362" s="347">
        <f>'7" 26# Deck Tally'!C346</f>
        <v>33.4</v>
      </c>
      <c r="G362" s="18">
        <f t="shared" si="39"/>
        <v>33.001999999999995</v>
      </c>
      <c r="H362" s="18" t="s">
        <v>9</v>
      </c>
      <c r="I362" s="18">
        <f t="shared" si="35"/>
        <v>11370.197999999989</v>
      </c>
      <c r="J362" s="18">
        <f t="shared" si="36"/>
        <v>2401.6645000000117</v>
      </c>
      <c r="K362" s="358">
        <f t="shared" si="37"/>
        <v>372.1335255828875</v>
      </c>
      <c r="L362" s="229"/>
      <c r="M362" s="173"/>
      <c r="N362" s="435"/>
      <c r="O362" s="384"/>
      <c r="Q362" s="377">
        <f t="shared" si="40"/>
        <v>414</v>
      </c>
      <c r="R362" s="350">
        <v>33.4</v>
      </c>
      <c r="S362" s="351" t="str">
        <f t="shared" si="38"/>
        <v>OK</v>
      </c>
    </row>
    <row r="363" spans="1:19">
      <c r="A363" s="497">
        <f t="shared" si="41"/>
        <v>346</v>
      </c>
      <c r="B363" s="540" t="s">
        <v>98</v>
      </c>
      <c r="C363" s="541"/>
      <c r="D363" s="542"/>
      <c r="E363" s="211">
        <f>'7" 26# Deck Tally'!B347</f>
        <v>413</v>
      </c>
      <c r="F363" s="347">
        <f>'7" 26# Deck Tally'!C347</f>
        <v>33.49</v>
      </c>
      <c r="G363" s="18">
        <f t="shared" si="39"/>
        <v>33.091999999999999</v>
      </c>
      <c r="H363" s="18" t="s">
        <v>9</v>
      </c>
      <c r="I363" s="18">
        <f t="shared" si="35"/>
        <v>11403.28999999999</v>
      </c>
      <c r="J363" s="18">
        <f t="shared" si="36"/>
        <v>2368.5725000000111</v>
      </c>
      <c r="K363" s="358">
        <f t="shared" si="37"/>
        <v>372.84405556913657</v>
      </c>
      <c r="L363" s="229"/>
      <c r="M363" s="173"/>
      <c r="N363" s="435"/>
      <c r="O363" s="384"/>
      <c r="Q363" s="377">
        <f t="shared" si="40"/>
        <v>413</v>
      </c>
      <c r="R363" s="350">
        <v>33.49</v>
      </c>
      <c r="S363" s="351" t="str">
        <f t="shared" si="38"/>
        <v>OK</v>
      </c>
    </row>
    <row r="364" spans="1:19">
      <c r="A364" s="497">
        <f t="shared" si="41"/>
        <v>347</v>
      </c>
      <c r="B364" s="540" t="s">
        <v>98</v>
      </c>
      <c r="C364" s="541"/>
      <c r="D364" s="542"/>
      <c r="E364" s="211">
        <f>'7" 26# Deck Tally'!B348</f>
        <v>412</v>
      </c>
      <c r="F364" s="347">
        <f>'7" 26# Deck Tally'!C348</f>
        <v>33.65</v>
      </c>
      <c r="G364" s="18">
        <f t="shared" si="39"/>
        <v>33.251999999999995</v>
      </c>
      <c r="H364" s="18" t="s">
        <v>9</v>
      </c>
      <c r="I364" s="18">
        <f t="shared" si="35"/>
        <v>11436.54199999999</v>
      </c>
      <c r="J364" s="18">
        <f t="shared" si="36"/>
        <v>2335.3205000000107</v>
      </c>
      <c r="K364" s="358">
        <f t="shared" si="37"/>
        <v>373.55802097173398</v>
      </c>
      <c r="L364" s="229"/>
      <c r="M364" s="173"/>
      <c r="N364" s="435"/>
      <c r="O364" s="384"/>
      <c r="Q364" s="377">
        <f t="shared" si="40"/>
        <v>412</v>
      </c>
      <c r="R364" s="350">
        <v>33.65</v>
      </c>
      <c r="S364" s="351" t="str">
        <f t="shared" si="38"/>
        <v>OK</v>
      </c>
    </row>
    <row r="365" spans="1:19">
      <c r="A365" s="497">
        <f t="shared" si="41"/>
        <v>348</v>
      </c>
      <c r="B365" s="540" t="s">
        <v>98</v>
      </c>
      <c r="C365" s="541"/>
      <c r="D365" s="542"/>
      <c r="E365" s="211">
        <f>'7" 26# Deck Tally'!B349</f>
        <v>411</v>
      </c>
      <c r="F365" s="347">
        <f>'7" 26# Deck Tally'!C349</f>
        <v>33.64</v>
      </c>
      <c r="G365" s="18">
        <f t="shared" si="39"/>
        <v>33.241999999999997</v>
      </c>
      <c r="H365" s="18" t="s">
        <v>9</v>
      </c>
      <c r="I365" s="18">
        <f t="shared" si="35"/>
        <v>11469.783999999991</v>
      </c>
      <c r="J365" s="18">
        <f t="shared" si="36"/>
        <v>2302.0785000000105</v>
      </c>
      <c r="K365" s="216">
        <f t="shared" si="37"/>
        <v>374.27177166080958</v>
      </c>
      <c r="L365" s="229"/>
      <c r="M365" s="173"/>
      <c r="N365" s="435"/>
      <c r="O365" s="384"/>
      <c r="Q365" s="377">
        <f t="shared" si="40"/>
        <v>411</v>
      </c>
      <c r="R365" s="350">
        <v>33.64</v>
      </c>
      <c r="S365" s="351" t="str">
        <f t="shared" si="38"/>
        <v>OK</v>
      </c>
    </row>
    <row r="366" spans="1:19">
      <c r="A366" s="497">
        <f t="shared" si="41"/>
        <v>349</v>
      </c>
      <c r="B366" s="540" t="s">
        <v>98</v>
      </c>
      <c r="C366" s="541"/>
      <c r="D366" s="542"/>
      <c r="E366" s="211">
        <f>'7" 26# Deck Tally'!B350</f>
        <v>410</v>
      </c>
      <c r="F366" s="347">
        <f>'7" 26# Deck Tally'!C350</f>
        <v>33.549999999999997</v>
      </c>
      <c r="G366" s="18">
        <f t="shared" si="39"/>
        <v>33.151999999999994</v>
      </c>
      <c r="H366" s="18" t="s">
        <v>9</v>
      </c>
      <c r="I366" s="18">
        <f t="shared" si="35"/>
        <v>11502.935999999991</v>
      </c>
      <c r="J366" s="18">
        <f t="shared" si="36"/>
        <v>2268.9265000000105</v>
      </c>
      <c r="K366" s="358">
        <f t="shared" si="37"/>
        <v>374.9835899281893</v>
      </c>
      <c r="L366" s="229"/>
      <c r="M366" s="173"/>
      <c r="N366" s="435"/>
      <c r="O366" s="384"/>
      <c r="Q366" s="377">
        <f t="shared" si="40"/>
        <v>410</v>
      </c>
      <c r="R366" s="350">
        <v>33.549999999999997</v>
      </c>
      <c r="S366" s="351" t="str">
        <f t="shared" si="38"/>
        <v>OK</v>
      </c>
    </row>
    <row r="367" spans="1:19">
      <c r="A367" s="497">
        <f t="shared" si="41"/>
        <v>350</v>
      </c>
      <c r="B367" s="540" t="s">
        <v>98</v>
      </c>
      <c r="C367" s="541"/>
      <c r="D367" s="542"/>
      <c r="E367" s="211">
        <f>'7" 26# Deck Tally'!B351</f>
        <v>409</v>
      </c>
      <c r="F367" s="347">
        <f>'7" 26# Deck Tally'!C351</f>
        <v>33.020000000000003</v>
      </c>
      <c r="G367" s="18">
        <f t="shared" si="39"/>
        <v>32.622</v>
      </c>
      <c r="H367" s="18" t="s">
        <v>9</v>
      </c>
      <c r="I367" s="18">
        <f t="shared" si="35"/>
        <v>11535.55799999999</v>
      </c>
      <c r="J367" s="18">
        <f t="shared" si="36"/>
        <v>2236.3045000000111</v>
      </c>
      <c r="K367" s="358">
        <f t="shared" si="37"/>
        <v>375.68402837891495</v>
      </c>
      <c r="L367" s="229"/>
      <c r="M367" s="173"/>
      <c r="N367" s="435"/>
      <c r="O367" s="384"/>
      <c r="Q367" s="377">
        <f t="shared" si="40"/>
        <v>409</v>
      </c>
      <c r="R367" s="350">
        <v>33.020000000000003</v>
      </c>
      <c r="S367" s="351" t="str">
        <f t="shared" si="38"/>
        <v>OK</v>
      </c>
    </row>
    <row r="368" spans="1:19">
      <c r="A368" s="497">
        <f t="shared" si="41"/>
        <v>351</v>
      </c>
      <c r="B368" s="540" t="s">
        <v>98</v>
      </c>
      <c r="C368" s="541"/>
      <c r="D368" s="542"/>
      <c r="E368" s="211">
        <f>'7" 26# Deck Tally'!B352</f>
        <v>408</v>
      </c>
      <c r="F368" s="347">
        <f>'7" 26# Deck Tally'!C352</f>
        <v>33.4</v>
      </c>
      <c r="G368" s="18">
        <f t="shared" si="39"/>
        <v>33.001999999999995</v>
      </c>
      <c r="H368" s="18" t="s">
        <v>9</v>
      </c>
      <c r="I368" s="18">
        <f t="shared" si="35"/>
        <v>11568.55999999999</v>
      </c>
      <c r="J368" s="18">
        <f t="shared" si="36"/>
        <v>2203.3025000000107</v>
      </c>
      <c r="K368" s="358">
        <f t="shared" si="37"/>
        <v>376.39262594346809</v>
      </c>
      <c r="L368" s="229"/>
      <c r="M368" s="173"/>
      <c r="N368" s="435"/>
      <c r="O368" s="384"/>
      <c r="Q368" s="377">
        <f t="shared" si="40"/>
        <v>408</v>
      </c>
      <c r="R368" s="350">
        <v>33.4</v>
      </c>
      <c r="S368" s="351" t="str">
        <f t="shared" si="38"/>
        <v>OK</v>
      </c>
    </row>
    <row r="369" spans="1:19">
      <c r="A369" s="497">
        <f t="shared" si="41"/>
        <v>352</v>
      </c>
      <c r="B369" s="540" t="s">
        <v>98</v>
      </c>
      <c r="C369" s="541"/>
      <c r="D369" s="542"/>
      <c r="E369" s="211">
        <f>'7" 26# Deck Tally'!B353</f>
        <v>407</v>
      </c>
      <c r="F369" s="347">
        <f>'7" 26# Deck Tally'!C353</f>
        <v>33.380000000000003</v>
      </c>
      <c r="G369" s="18">
        <f t="shared" si="39"/>
        <v>32.981999999999999</v>
      </c>
      <c r="H369" s="18" t="s">
        <v>9</v>
      </c>
      <c r="I369" s="18">
        <f t="shared" si="35"/>
        <v>11601.54199999999</v>
      </c>
      <c r="J369" s="18">
        <f t="shared" si="36"/>
        <v>2170.3205000000107</v>
      </c>
      <c r="K369" s="358">
        <f t="shared" si="37"/>
        <v>377.10079408097766</v>
      </c>
      <c r="L369" s="229"/>
      <c r="M369" s="173"/>
      <c r="N369" s="435"/>
      <c r="O369" s="384"/>
      <c r="Q369" s="377">
        <f>E369</f>
        <v>407</v>
      </c>
      <c r="R369" s="350">
        <v>33.380000000000003</v>
      </c>
      <c r="S369" s="351" t="str">
        <f>IF(F369-R369=0,"OK","FALSE")</f>
        <v>OK</v>
      </c>
    </row>
    <row r="370" spans="1:19">
      <c r="A370" s="497">
        <f t="shared" si="41"/>
        <v>353</v>
      </c>
      <c r="B370" s="540" t="s">
        <v>98</v>
      </c>
      <c r="C370" s="541"/>
      <c r="D370" s="542"/>
      <c r="E370" s="211">
        <f>'7" 26# Deck Tally'!B354</f>
        <v>406</v>
      </c>
      <c r="F370" s="347">
        <f>'7" 26# Deck Tally'!C354</f>
        <v>33.369999999999997</v>
      </c>
      <c r="G370" s="18">
        <f t="shared" si="39"/>
        <v>32.971999999999994</v>
      </c>
      <c r="H370" s="18" t="s">
        <v>9</v>
      </c>
      <c r="I370" s="18">
        <f t="shared" si="35"/>
        <v>11634.51399999999</v>
      </c>
      <c r="J370" s="18">
        <f t="shared" si="36"/>
        <v>2137.348500000011</v>
      </c>
      <c r="K370" s="358">
        <f t="shared" si="37"/>
        <v>377.80874750496542</v>
      </c>
      <c r="L370" s="229"/>
      <c r="M370" s="173"/>
      <c r="N370" s="435"/>
      <c r="O370" s="384"/>
      <c r="Q370" s="377">
        <f t="shared" si="40"/>
        <v>406</v>
      </c>
      <c r="R370" s="350">
        <v>33.369999999999997</v>
      </c>
      <c r="S370" s="351" t="str">
        <f t="shared" si="38"/>
        <v>OK</v>
      </c>
    </row>
    <row r="371" spans="1:19">
      <c r="A371" s="497">
        <f t="shared" si="41"/>
        <v>354</v>
      </c>
      <c r="B371" s="540" t="s">
        <v>98</v>
      </c>
      <c r="C371" s="541"/>
      <c r="D371" s="542"/>
      <c r="E371" s="211">
        <f>'7" 26# Deck Tally'!B355</f>
        <v>405</v>
      </c>
      <c r="F371" s="347">
        <f>'7" 26# Deck Tally'!C355</f>
        <v>33.770000000000003</v>
      </c>
      <c r="G371" s="18">
        <f t="shared" si="39"/>
        <v>33.372</v>
      </c>
      <c r="H371" s="18" t="s">
        <v>9</v>
      </c>
      <c r="I371" s="18">
        <f t="shared" si="35"/>
        <v>11667.88599999999</v>
      </c>
      <c r="J371" s="18">
        <f t="shared" si="36"/>
        <v>2103.9765000000116</v>
      </c>
      <c r="K371" s="358">
        <f t="shared" si="37"/>
        <v>378.52528946982409</v>
      </c>
      <c r="L371" s="229"/>
      <c r="M371" s="173"/>
      <c r="N371" s="435"/>
      <c r="O371" s="384"/>
      <c r="Q371" s="377">
        <f t="shared" si="40"/>
        <v>405</v>
      </c>
      <c r="R371" s="350">
        <v>33.770000000000003</v>
      </c>
      <c r="S371" s="351" t="str">
        <f t="shared" si="38"/>
        <v>OK</v>
      </c>
    </row>
    <row r="372" spans="1:19">
      <c r="A372" s="497">
        <f t="shared" si="41"/>
        <v>355</v>
      </c>
      <c r="B372" s="540" t="s">
        <v>98</v>
      </c>
      <c r="C372" s="541"/>
      <c r="D372" s="542"/>
      <c r="E372" s="211">
        <f>'7" 26# Deck Tally'!B356</f>
        <v>404</v>
      </c>
      <c r="F372" s="347">
        <f>'7" 26# Deck Tally'!C356</f>
        <v>33.94</v>
      </c>
      <c r="G372" s="18">
        <f t="shared" si="39"/>
        <v>33.541999999999994</v>
      </c>
      <c r="H372" s="18" t="s">
        <v>9</v>
      </c>
      <c r="I372" s="18">
        <f t="shared" si="35"/>
        <v>11701.427999999989</v>
      </c>
      <c r="J372" s="18">
        <f t="shared" si="36"/>
        <v>2070.4345000000121</v>
      </c>
      <c r="K372" s="216">
        <f t="shared" si="37"/>
        <v>379.24548156455285</v>
      </c>
      <c r="L372" s="229"/>
      <c r="M372" s="173"/>
      <c r="N372" s="435"/>
      <c r="O372" s="384"/>
      <c r="Q372" s="377">
        <f t="shared" si="40"/>
        <v>404</v>
      </c>
      <c r="R372" s="350">
        <v>33.94</v>
      </c>
      <c r="S372" s="351" t="str">
        <f t="shared" si="38"/>
        <v>OK</v>
      </c>
    </row>
    <row r="373" spans="1:19">
      <c r="A373" s="497">
        <f t="shared" si="41"/>
        <v>356</v>
      </c>
      <c r="B373" s="540" t="s">
        <v>98</v>
      </c>
      <c r="C373" s="541"/>
      <c r="D373" s="542"/>
      <c r="E373" s="211">
        <f>'7" 26# Deck Tally'!B357</f>
        <v>403</v>
      </c>
      <c r="F373" s="347">
        <f>'7" 26# Deck Tally'!C357</f>
        <v>32.92</v>
      </c>
      <c r="G373" s="18">
        <f t="shared" si="39"/>
        <v>32.521999999999998</v>
      </c>
      <c r="H373" s="18" t="s">
        <v>9</v>
      </c>
      <c r="I373" s="18">
        <f t="shared" si="35"/>
        <v>11733.94999999999</v>
      </c>
      <c r="J373" s="18">
        <f t="shared" si="36"/>
        <v>2037.9125000000113</v>
      </c>
      <c r="K373" s="358">
        <f t="shared" si="37"/>
        <v>379.94377288006092</v>
      </c>
      <c r="L373" s="229"/>
      <c r="M373" s="173"/>
      <c r="N373" s="435"/>
      <c r="O373" s="384"/>
      <c r="Q373" s="377">
        <f t="shared" si="40"/>
        <v>403</v>
      </c>
      <c r="R373" s="350">
        <v>32.92</v>
      </c>
      <c r="S373" s="351" t="str">
        <f t="shared" si="38"/>
        <v>OK</v>
      </c>
    </row>
    <row r="374" spans="1:19">
      <c r="A374" s="497">
        <f t="shared" si="41"/>
        <v>357</v>
      </c>
      <c r="B374" s="540" t="s">
        <v>98</v>
      </c>
      <c r="C374" s="541"/>
      <c r="D374" s="542"/>
      <c r="E374" s="211">
        <f>'7" 26# Deck Tally'!B358</f>
        <v>402</v>
      </c>
      <c r="F374" s="347">
        <f>'7" 26# Deck Tally'!C358</f>
        <v>33.94</v>
      </c>
      <c r="G374" s="18">
        <f t="shared" si="39"/>
        <v>33.541999999999994</v>
      </c>
      <c r="H374" s="18" t="s">
        <v>9</v>
      </c>
      <c r="I374" s="18">
        <f t="shared" si="35"/>
        <v>11767.491999999989</v>
      </c>
      <c r="J374" s="18">
        <f t="shared" si="36"/>
        <v>2004.3705000000118</v>
      </c>
      <c r="K374" s="358">
        <f t="shared" si="37"/>
        <v>380.66396497478968</v>
      </c>
      <c r="L374" s="229"/>
      <c r="M374" s="173"/>
      <c r="N374" s="435"/>
      <c r="O374" s="384"/>
      <c r="Q374" s="377">
        <f t="shared" si="40"/>
        <v>402</v>
      </c>
      <c r="R374" s="350">
        <v>33.94</v>
      </c>
      <c r="S374" s="351" t="str">
        <f t="shared" si="38"/>
        <v>OK</v>
      </c>
    </row>
    <row r="375" spans="1:19">
      <c r="A375" s="497">
        <f t="shared" si="41"/>
        <v>358</v>
      </c>
      <c r="B375" s="540" t="s">
        <v>98</v>
      </c>
      <c r="C375" s="541"/>
      <c r="D375" s="542"/>
      <c r="E375" s="211">
        <f>'7" 26# Deck Tally'!B359</f>
        <v>401</v>
      </c>
      <c r="F375" s="347">
        <f>'7" 26# Deck Tally'!C359</f>
        <v>33.93</v>
      </c>
      <c r="G375" s="18">
        <f t="shared" si="39"/>
        <v>33.531999999999996</v>
      </c>
      <c r="H375" s="18" t="s">
        <v>9</v>
      </c>
      <c r="I375" s="18">
        <f t="shared" si="35"/>
        <v>11801.023999999989</v>
      </c>
      <c r="J375" s="18">
        <f t="shared" si="36"/>
        <v>1970.8385000000126</v>
      </c>
      <c r="K375" s="358">
        <f t="shared" si="37"/>
        <v>381.38394235599674</v>
      </c>
      <c r="L375" s="229"/>
      <c r="M375" s="173"/>
      <c r="N375" s="435"/>
      <c r="O375" s="384"/>
      <c r="Q375" s="377">
        <f t="shared" si="40"/>
        <v>401</v>
      </c>
      <c r="R375" s="350">
        <v>33.93</v>
      </c>
      <c r="S375" s="351" t="str">
        <f t="shared" si="38"/>
        <v>OK</v>
      </c>
    </row>
    <row r="376" spans="1:19">
      <c r="A376" s="497">
        <f t="shared" si="41"/>
        <v>359</v>
      </c>
      <c r="B376" s="540" t="s">
        <v>98</v>
      </c>
      <c r="C376" s="541"/>
      <c r="D376" s="542"/>
      <c r="E376" s="211">
        <f>'7" 26# Deck Tally'!B360</f>
        <v>400</v>
      </c>
      <c r="F376" s="347">
        <f>'7" 26# Deck Tally'!C360</f>
        <v>33.11</v>
      </c>
      <c r="G376" s="18">
        <f t="shared" si="39"/>
        <v>32.711999999999996</v>
      </c>
      <c r="H376" s="18" t="s">
        <v>9</v>
      </c>
      <c r="I376" s="18">
        <f t="shared" si="35"/>
        <v>11833.735999999988</v>
      </c>
      <c r="J376" s="18">
        <f t="shared" si="36"/>
        <v>1938.126500000013</v>
      </c>
      <c r="K376" s="358">
        <f t="shared" si="37"/>
        <v>382.08631322841842</v>
      </c>
      <c r="L376" s="229"/>
      <c r="M376" s="173"/>
      <c r="N376" s="435"/>
      <c r="O376" s="384"/>
      <c r="Q376" s="377">
        <f t="shared" si="40"/>
        <v>400</v>
      </c>
      <c r="R376" s="350">
        <v>33.11</v>
      </c>
      <c r="S376" s="351" t="str">
        <f t="shared" si="38"/>
        <v>OK</v>
      </c>
    </row>
    <row r="377" spans="1:19">
      <c r="A377" s="497">
        <f t="shared" si="41"/>
        <v>360</v>
      </c>
      <c r="B377" s="540" t="s">
        <v>98</v>
      </c>
      <c r="C377" s="541"/>
      <c r="D377" s="542"/>
      <c r="E377" s="211">
        <f>'7" 26# Deck Tally'!B361</f>
        <v>399</v>
      </c>
      <c r="F377" s="347">
        <f>'7" 26# Deck Tally'!C361</f>
        <v>33.94</v>
      </c>
      <c r="G377" s="18">
        <f t="shared" si="39"/>
        <v>33.541999999999994</v>
      </c>
      <c r="H377" s="18" t="s">
        <v>9</v>
      </c>
      <c r="I377" s="18">
        <f t="shared" si="35"/>
        <v>11867.277999999988</v>
      </c>
      <c r="J377" s="18">
        <f t="shared" si="36"/>
        <v>1904.5845000000136</v>
      </c>
      <c r="K377" s="358">
        <f t="shared" si="37"/>
        <v>382.80650532314718</v>
      </c>
      <c r="L377" s="229"/>
      <c r="M377" s="173"/>
      <c r="N377" s="435"/>
      <c r="O377" s="384"/>
      <c r="Q377" s="377">
        <f t="shared" si="40"/>
        <v>399</v>
      </c>
      <c r="R377" s="350">
        <v>33.94</v>
      </c>
      <c r="S377" s="351" t="str">
        <f t="shared" si="38"/>
        <v>OK</v>
      </c>
    </row>
    <row r="378" spans="1:19">
      <c r="A378" s="497">
        <f t="shared" si="41"/>
        <v>361</v>
      </c>
      <c r="B378" s="540" t="s">
        <v>98</v>
      </c>
      <c r="C378" s="541"/>
      <c r="D378" s="542"/>
      <c r="E378" s="211">
        <f>'7" 26# Deck Tally'!B362</f>
        <v>398</v>
      </c>
      <c r="F378" s="347">
        <f>'7" 26# Deck Tally'!C362</f>
        <v>33.49</v>
      </c>
      <c r="G378" s="18">
        <f t="shared" si="39"/>
        <v>33.091999999999999</v>
      </c>
      <c r="H378" s="18" t="s">
        <v>9</v>
      </c>
      <c r="I378" s="18">
        <f t="shared" si="35"/>
        <v>11900.369999999988</v>
      </c>
      <c r="J378" s="18">
        <f t="shared" si="36"/>
        <v>1871.492500000013</v>
      </c>
      <c r="K378" s="358">
        <f t="shared" si="37"/>
        <v>383.51703530939625</v>
      </c>
      <c r="L378" s="229"/>
      <c r="M378" s="173"/>
      <c r="N378" s="435"/>
      <c r="O378" s="384"/>
      <c r="Q378" s="377">
        <f t="shared" si="40"/>
        <v>398</v>
      </c>
      <c r="R378" s="350">
        <v>33.49</v>
      </c>
      <c r="S378" s="351" t="str">
        <f t="shared" si="38"/>
        <v>OK</v>
      </c>
    </row>
    <row r="379" spans="1:19">
      <c r="A379" s="497">
        <f t="shared" si="41"/>
        <v>362</v>
      </c>
      <c r="B379" s="540" t="s">
        <v>98</v>
      </c>
      <c r="C379" s="541"/>
      <c r="D379" s="542"/>
      <c r="E379" s="211">
        <f>'7" 26# Deck Tally'!B363</f>
        <v>397</v>
      </c>
      <c r="F379" s="347">
        <f>'7" 26# Deck Tally'!C363</f>
        <v>33.86</v>
      </c>
      <c r="G379" s="18">
        <f t="shared" si="39"/>
        <v>33.461999999999996</v>
      </c>
      <c r="H379" s="18" t="s">
        <v>9</v>
      </c>
      <c r="I379" s="18">
        <f t="shared" si="35"/>
        <v>11933.831999999988</v>
      </c>
      <c r="J379" s="18">
        <f t="shared" si="36"/>
        <v>1838.0305000000135</v>
      </c>
      <c r="K379" s="216">
        <f t="shared" si="37"/>
        <v>384.23550969595084</v>
      </c>
      <c r="L379" s="229"/>
      <c r="M379" s="173"/>
      <c r="N379" s="435"/>
      <c r="O379" s="384"/>
      <c r="Q379" s="377">
        <f t="shared" si="40"/>
        <v>397</v>
      </c>
      <c r="R379" s="350">
        <v>33.86</v>
      </c>
      <c r="S379" s="351" t="str">
        <f t="shared" si="38"/>
        <v>OK</v>
      </c>
    </row>
    <row r="380" spans="1:19">
      <c r="A380" s="497">
        <f t="shared" si="41"/>
        <v>363</v>
      </c>
      <c r="B380" s="540" t="s">
        <v>98</v>
      </c>
      <c r="C380" s="541"/>
      <c r="D380" s="542"/>
      <c r="E380" s="211">
        <f>'7" 26# Deck Tally'!B364</f>
        <v>396</v>
      </c>
      <c r="F380" s="347">
        <f>'7" 26# Deck Tally'!C364</f>
        <v>33.69</v>
      </c>
      <c r="G380" s="18">
        <f t="shared" si="39"/>
        <v>33.291999999999994</v>
      </c>
      <c r="H380" s="18" t="s">
        <v>9</v>
      </c>
      <c r="I380" s="18">
        <f t="shared" si="35"/>
        <v>11967.123999999987</v>
      </c>
      <c r="J380" s="18">
        <f t="shared" si="36"/>
        <v>1804.738500000014</v>
      </c>
      <c r="K380" s="358">
        <f t="shared" si="37"/>
        <v>384.95033395263533</v>
      </c>
      <c r="L380" s="229"/>
      <c r="M380" s="173"/>
      <c r="N380" s="435"/>
      <c r="O380" s="384"/>
      <c r="Q380" s="377">
        <f t="shared" si="40"/>
        <v>396</v>
      </c>
      <c r="R380" s="350">
        <v>33.69</v>
      </c>
      <c r="S380" s="351" t="str">
        <f t="shared" si="38"/>
        <v>OK</v>
      </c>
    </row>
    <row r="381" spans="1:19">
      <c r="A381" s="497">
        <f t="shared" si="41"/>
        <v>364</v>
      </c>
      <c r="B381" s="540" t="s">
        <v>98</v>
      </c>
      <c r="C381" s="541"/>
      <c r="D381" s="542"/>
      <c r="E381" s="211">
        <f>'7" 26# Deck Tally'!B365</f>
        <v>395</v>
      </c>
      <c r="F381" s="347">
        <f>'7" 26# Deck Tally'!C365</f>
        <v>33.450000000000003</v>
      </c>
      <c r="G381" s="18">
        <f t="shared" si="39"/>
        <v>33.052</v>
      </c>
      <c r="H381" s="18" t="s">
        <v>9</v>
      </c>
      <c r="I381" s="18">
        <f t="shared" si="35"/>
        <v>12000.175999999987</v>
      </c>
      <c r="J381" s="18">
        <f t="shared" si="36"/>
        <v>1771.6865000000143</v>
      </c>
      <c r="K381" s="358">
        <f t="shared" si="37"/>
        <v>385.66000508479726</v>
      </c>
      <c r="L381" s="229"/>
      <c r="M381" s="173"/>
      <c r="N381" s="435"/>
      <c r="O381" s="384"/>
      <c r="Q381" s="377">
        <f t="shared" si="40"/>
        <v>395</v>
      </c>
      <c r="R381" s="350">
        <v>33.450000000000003</v>
      </c>
      <c r="S381" s="351" t="str">
        <f t="shared" si="38"/>
        <v>OK</v>
      </c>
    </row>
    <row r="382" spans="1:19">
      <c r="A382" s="497">
        <f t="shared" si="41"/>
        <v>365</v>
      </c>
      <c r="B382" s="540" t="s">
        <v>98</v>
      </c>
      <c r="C382" s="541"/>
      <c r="D382" s="542"/>
      <c r="E382" s="211">
        <f>'7" 26# Deck Tally'!B366</f>
        <v>394</v>
      </c>
      <c r="F382" s="347">
        <f>'7" 26# Deck Tally'!C366</f>
        <v>33.700000000000003</v>
      </c>
      <c r="G382" s="18">
        <f t="shared" si="39"/>
        <v>33.302</v>
      </c>
      <c r="H382" s="18" t="s">
        <v>9</v>
      </c>
      <c r="I382" s="18">
        <f t="shared" si="35"/>
        <v>12033.477999999986</v>
      </c>
      <c r="J382" s="18">
        <f t="shared" si="36"/>
        <v>1738.3845000000147</v>
      </c>
      <c r="K382" s="358">
        <f t="shared" si="37"/>
        <v>386.37504405500357</v>
      </c>
      <c r="L382" s="229"/>
      <c r="M382" s="173"/>
      <c r="N382" s="435"/>
      <c r="O382" s="384"/>
      <c r="Q382" s="377">
        <f t="shared" si="40"/>
        <v>394</v>
      </c>
      <c r="R382" s="350">
        <v>33.700000000000003</v>
      </c>
      <c r="S382" s="351" t="str">
        <f t="shared" si="38"/>
        <v>OK</v>
      </c>
    </row>
    <row r="383" spans="1:19">
      <c r="A383" s="497">
        <f t="shared" si="41"/>
        <v>366</v>
      </c>
      <c r="B383" s="540" t="s">
        <v>98</v>
      </c>
      <c r="C383" s="541"/>
      <c r="D383" s="542"/>
      <c r="E383" s="211">
        <f>'7" 26# Deck Tally'!B367</f>
        <v>393</v>
      </c>
      <c r="F383" s="347">
        <f>'7" 26# Deck Tally'!C367</f>
        <v>33.92</v>
      </c>
      <c r="G383" s="18">
        <f t="shared" si="39"/>
        <v>33.521999999999998</v>
      </c>
      <c r="H383" s="18" t="s">
        <v>9</v>
      </c>
      <c r="I383" s="18">
        <f t="shared" si="35"/>
        <v>12066.999999999987</v>
      </c>
      <c r="J383" s="18">
        <f t="shared" si="36"/>
        <v>1704.8625000000138</v>
      </c>
      <c r="K383" s="358">
        <f t="shared" si="37"/>
        <v>387.09480672268882</v>
      </c>
      <c r="L383" s="229"/>
      <c r="M383" s="173"/>
      <c r="N383" s="435"/>
      <c r="O383" s="384"/>
      <c r="Q383" s="377">
        <f t="shared" si="40"/>
        <v>393</v>
      </c>
      <c r="R383" s="350">
        <v>33.92</v>
      </c>
      <c r="S383" s="351" t="str">
        <f t="shared" si="38"/>
        <v>OK</v>
      </c>
    </row>
    <row r="384" spans="1:19">
      <c r="A384" s="497">
        <f t="shared" si="41"/>
        <v>367</v>
      </c>
      <c r="B384" s="540" t="s">
        <v>98</v>
      </c>
      <c r="C384" s="541"/>
      <c r="D384" s="542"/>
      <c r="E384" s="211">
        <f>'7" 26# Deck Tally'!B368</f>
        <v>392</v>
      </c>
      <c r="F384" s="347">
        <f>'7" 26# Deck Tally'!C368</f>
        <v>33.79</v>
      </c>
      <c r="G384" s="18">
        <f t="shared" si="39"/>
        <v>33.391999999999996</v>
      </c>
      <c r="H384" s="18" t="s">
        <v>9</v>
      </c>
      <c r="I384" s="18">
        <f t="shared" si="35"/>
        <v>12100.391999999987</v>
      </c>
      <c r="J384" s="18">
        <f t="shared" si="36"/>
        <v>1671.470500000014</v>
      </c>
      <c r="K384" s="358">
        <f t="shared" si="37"/>
        <v>387.81177811459105</v>
      </c>
      <c r="L384" s="229"/>
      <c r="M384" s="173"/>
      <c r="N384" s="435"/>
      <c r="O384" s="384"/>
      <c r="Q384" s="377">
        <f t="shared" si="40"/>
        <v>392</v>
      </c>
      <c r="R384" s="350">
        <v>33.79</v>
      </c>
      <c r="S384" s="351" t="str">
        <f t="shared" si="38"/>
        <v>OK</v>
      </c>
    </row>
    <row r="385" spans="1:19">
      <c r="A385" s="497">
        <f t="shared" si="41"/>
        <v>368</v>
      </c>
      <c r="B385" s="540" t="s">
        <v>98</v>
      </c>
      <c r="C385" s="541"/>
      <c r="D385" s="542"/>
      <c r="E385" s="211">
        <f>'7" 26# Deck Tally'!B369</f>
        <v>391</v>
      </c>
      <c r="F385" s="347">
        <f>'7" 26# Deck Tally'!C369</f>
        <v>33.24</v>
      </c>
      <c r="G385" s="18">
        <f t="shared" si="39"/>
        <v>32.841999999999999</v>
      </c>
      <c r="H385" s="18" t="s">
        <v>9</v>
      </c>
      <c r="I385" s="18">
        <f t="shared" si="35"/>
        <v>12133.233999999988</v>
      </c>
      <c r="J385" s="18">
        <f t="shared" si="36"/>
        <v>1638.6285000000134</v>
      </c>
      <c r="K385" s="358">
        <f t="shared" si="37"/>
        <v>388.5169402627958</v>
      </c>
      <c r="L385" s="229"/>
      <c r="M385" s="173"/>
      <c r="N385" s="435"/>
      <c r="O385" s="384"/>
      <c r="Q385" s="377">
        <f t="shared" si="40"/>
        <v>391</v>
      </c>
      <c r="R385" s="350">
        <v>33.24</v>
      </c>
      <c r="S385" s="351" t="str">
        <f t="shared" si="38"/>
        <v>OK</v>
      </c>
    </row>
    <row r="386" spans="1:19">
      <c r="A386" s="497">
        <f t="shared" si="41"/>
        <v>369</v>
      </c>
      <c r="B386" s="540" t="s">
        <v>98</v>
      </c>
      <c r="C386" s="541"/>
      <c r="D386" s="542"/>
      <c r="E386" s="211">
        <f>'7" 26# Deck Tally'!B370</f>
        <v>390</v>
      </c>
      <c r="F386" s="347">
        <f>'7" 26# Deck Tally'!C370</f>
        <v>33.92</v>
      </c>
      <c r="G386" s="18">
        <f t="shared" si="39"/>
        <v>33.521999999999998</v>
      </c>
      <c r="H386" s="18" t="s">
        <v>9</v>
      </c>
      <c r="I386" s="18">
        <f t="shared" si="35"/>
        <v>12166.755999999988</v>
      </c>
      <c r="J386" s="18">
        <f t="shared" si="36"/>
        <v>1605.1065000000126</v>
      </c>
      <c r="K386" s="216">
        <f t="shared" si="37"/>
        <v>389.23670293048104</v>
      </c>
      <c r="L386" s="229"/>
      <c r="M386" s="173"/>
      <c r="N386" s="435"/>
      <c r="O386" s="384"/>
      <c r="Q386" s="377">
        <f t="shared" si="40"/>
        <v>390</v>
      </c>
      <c r="R386" s="350">
        <v>33.92</v>
      </c>
      <c r="S386" s="351" t="str">
        <f t="shared" si="38"/>
        <v>OK</v>
      </c>
    </row>
    <row r="387" spans="1:19">
      <c r="A387" s="497">
        <f t="shared" si="41"/>
        <v>370</v>
      </c>
      <c r="B387" s="540" t="s">
        <v>98</v>
      </c>
      <c r="C387" s="541"/>
      <c r="D387" s="542"/>
      <c r="E387" s="211">
        <f>'7" 26# Deck Tally'!B371</f>
        <v>389</v>
      </c>
      <c r="F387" s="347">
        <f>'7" 26# Deck Tally'!C371</f>
        <v>32.92</v>
      </c>
      <c r="G387" s="18">
        <f t="shared" si="39"/>
        <v>32.521999999999998</v>
      </c>
      <c r="H387" s="18" t="s">
        <v>9</v>
      </c>
      <c r="I387" s="18">
        <f t="shared" si="35"/>
        <v>12199.277999999989</v>
      </c>
      <c r="J387" s="18">
        <f t="shared" si="36"/>
        <v>1572.5845000000118</v>
      </c>
      <c r="K387" s="358">
        <f t="shared" si="37"/>
        <v>389.93499424598906</v>
      </c>
      <c r="L387" s="229"/>
      <c r="M387" s="173"/>
      <c r="N387" s="435"/>
      <c r="O387" s="384"/>
      <c r="Q387" s="377">
        <f t="shared" si="40"/>
        <v>389</v>
      </c>
      <c r="R387" s="350">
        <v>32.92</v>
      </c>
      <c r="S387" s="351" t="str">
        <f t="shared" si="38"/>
        <v>OK</v>
      </c>
    </row>
    <row r="388" spans="1:19">
      <c r="A388" s="497">
        <f t="shared" si="41"/>
        <v>371</v>
      </c>
      <c r="B388" s="540" t="s">
        <v>98</v>
      </c>
      <c r="C388" s="541"/>
      <c r="D388" s="542"/>
      <c r="E388" s="211">
        <f>'7" 26# Deck Tally'!B372</f>
        <v>388</v>
      </c>
      <c r="F388" s="347">
        <f>'7" 26# Deck Tally'!C372</f>
        <v>31.17</v>
      </c>
      <c r="G388" s="18">
        <f t="shared" si="39"/>
        <v>30.772000000000002</v>
      </c>
      <c r="H388" s="18" t="s">
        <v>9</v>
      </c>
      <c r="I388" s="18">
        <f t="shared" si="35"/>
        <v>12230.04999999999</v>
      </c>
      <c r="J388" s="18">
        <f t="shared" si="36"/>
        <v>1541.8125000000109</v>
      </c>
      <c r="K388" s="358">
        <f t="shared" si="37"/>
        <v>390.59571069518699</v>
      </c>
      <c r="L388" s="229"/>
      <c r="M388" s="173"/>
      <c r="N388" s="435"/>
      <c r="O388" s="384"/>
      <c r="Q388" s="377">
        <f t="shared" si="40"/>
        <v>388</v>
      </c>
      <c r="R388" s="350">
        <v>31.17</v>
      </c>
      <c r="S388" s="351" t="str">
        <f t="shared" si="38"/>
        <v>OK</v>
      </c>
    </row>
    <row r="389" spans="1:19">
      <c r="A389" s="497">
        <f t="shared" si="41"/>
        <v>372</v>
      </c>
      <c r="B389" s="540" t="s">
        <v>98</v>
      </c>
      <c r="C389" s="541"/>
      <c r="D389" s="542"/>
      <c r="E389" s="211">
        <f>'7" 26# Deck Tally'!B373</f>
        <v>387</v>
      </c>
      <c r="F389" s="347">
        <f>'7" 26# Deck Tally'!C373</f>
        <v>33.130000000000003</v>
      </c>
      <c r="G389" s="18">
        <f t="shared" si="39"/>
        <v>32.731999999999999</v>
      </c>
      <c r="H389" s="18" t="s">
        <v>9</v>
      </c>
      <c r="I389" s="18">
        <f t="shared" si="35"/>
        <v>12262.78199999999</v>
      </c>
      <c r="J389" s="18">
        <f t="shared" si="36"/>
        <v>1509.0805000000109</v>
      </c>
      <c r="K389" s="358">
        <f t="shared" si="37"/>
        <v>391.29851099465225</v>
      </c>
      <c r="L389" s="229"/>
      <c r="M389" s="173"/>
      <c r="N389" s="435"/>
      <c r="O389" s="384"/>
      <c r="Q389" s="377">
        <f t="shared" si="40"/>
        <v>387</v>
      </c>
      <c r="R389" s="350">
        <v>33.130000000000003</v>
      </c>
      <c r="S389" s="351" t="str">
        <f t="shared" si="38"/>
        <v>OK</v>
      </c>
    </row>
    <row r="390" spans="1:19">
      <c r="A390" s="497">
        <f t="shared" si="41"/>
        <v>373</v>
      </c>
      <c r="B390" s="540" t="s">
        <v>98</v>
      </c>
      <c r="C390" s="541"/>
      <c r="D390" s="542"/>
      <c r="E390" s="211">
        <f>'7" 26# Deck Tally'!B374</f>
        <v>386</v>
      </c>
      <c r="F390" s="347">
        <f>'7" 26# Deck Tally'!C374</f>
        <v>32.82</v>
      </c>
      <c r="G390" s="18">
        <f t="shared" si="39"/>
        <v>32.421999999999997</v>
      </c>
      <c r="H390" s="18" t="s">
        <v>9</v>
      </c>
      <c r="I390" s="18">
        <f t="shared" si="35"/>
        <v>12295.203999999991</v>
      </c>
      <c r="J390" s="18">
        <f t="shared" si="36"/>
        <v>1476.6585000000105</v>
      </c>
      <c r="K390" s="358">
        <f t="shared" si="37"/>
        <v>391.99465517494252</v>
      </c>
      <c r="L390" s="229"/>
      <c r="M390" s="173"/>
      <c r="N390" s="474"/>
      <c r="O390" s="384"/>
      <c r="Q390" s="377">
        <f t="shared" si="40"/>
        <v>386</v>
      </c>
      <c r="R390" s="350">
        <v>32.82</v>
      </c>
      <c r="S390" s="351" t="str">
        <f t="shared" si="38"/>
        <v>OK</v>
      </c>
    </row>
    <row r="391" spans="1:19">
      <c r="A391" s="497">
        <f t="shared" si="41"/>
        <v>374</v>
      </c>
      <c r="B391" s="540" t="s">
        <v>98</v>
      </c>
      <c r="C391" s="541"/>
      <c r="D391" s="542"/>
      <c r="E391" s="211">
        <f>'7" 26# Deck Tally'!B375</f>
        <v>385</v>
      </c>
      <c r="F391" s="347">
        <f>'7" 26# Deck Tally'!C375</f>
        <v>32.79</v>
      </c>
      <c r="G391" s="18">
        <f t="shared" si="39"/>
        <v>32.391999999999996</v>
      </c>
      <c r="H391" s="18" t="s">
        <v>9</v>
      </c>
      <c r="I391" s="18">
        <f t="shared" si="35"/>
        <v>12327.59599999999</v>
      </c>
      <c r="J391" s="18">
        <f t="shared" si="36"/>
        <v>1444.2665000000106</v>
      </c>
      <c r="K391" s="216">
        <f t="shared" si="37"/>
        <v>392.69015521466747</v>
      </c>
      <c r="L391" s="229"/>
      <c r="M391" s="173"/>
      <c r="N391" s="474"/>
      <c r="O391" s="384"/>
      <c r="Q391" s="377">
        <f t="shared" si="40"/>
        <v>385</v>
      </c>
      <c r="R391" s="350">
        <v>32.79</v>
      </c>
      <c r="S391" s="351" t="str">
        <f t="shared" si="38"/>
        <v>OK</v>
      </c>
    </row>
    <row r="392" spans="1:19">
      <c r="A392" s="497">
        <f t="shared" si="41"/>
        <v>375</v>
      </c>
      <c r="B392" s="540" t="s">
        <v>98</v>
      </c>
      <c r="C392" s="541"/>
      <c r="D392" s="542"/>
      <c r="E392" s="211">
        <f>'7" 26# Deck Tally'!B376</f>
        <v>384</v>
      </c>
      <c r="F392" s="347">
        <f>'7" 26# Deck Tally'!C376</f>
        <v>33.76</v>
      </c>
      <c r="G392" s="18">
        <f t="shared" si="39"/>
        <v>33.361999999999995</v>
      </c>
      <c r="H392" s="18" t="s">
        <v>9</v>
      </c>
      <c r="I392" s="18">
        <f t="shared" si="35"/>
        <v>12360.95799999999</v>
      </c>
      <c r="J392" s="18">
        <f t="shared" si="36"/>
        <v>1410.9045000000115</v>
      </c>
      <c r="K392" s="358">
        <f t="shared" si="37"/>
        <v>393.40648246600432</v>
      </c>
      <c r="L392" s="229"/>
      <c r="M392" s="173"/>
      <c r="N392" s="474"/>
      <c r="O392" s="384"/>
      <c r="Q392" s="377">
        <f t="shared" si="40"/>
        <v>384</v>
      </c>
      <c r="R392" s="350">
        <v>33.76</v>
      </c>
      <c r="S392" s="351" t="str">
        <f t="shared" si="38"/>
        <v>OK</v>
      </c>
    </row>
    <row r="393" spans="1:19">
      <c r="A393" s="497">
        <f t="shared" si="41"/>
        <v>376</v>
      </c>
      <c r="B393" s="540" t="s">
        <v>98</v>
      </c>
      <c r="C393" s="541"/>
      <c r="D393" s="542"/>
      <c r="E393" s="211">
        <f>'7" 26# Deck Tally'!B377</f>
        <v>383</v>
      </c>
      <c r="F393" s="347">
        <f>'7" 26# Deck Tally'!C377</f>
        <v>33.58</v>
      </c>
      <c r="G393" s="18">
        <f t="shared" si="39"/>
        <v>33.181999999999995</v>
      </c>
      <c r="H393" s="18" t="s">
        <v>9</v>
      </c>
      <c r="I393" s="18">
        <f t="shared" si="35"/>
        <v>12394.13999999999</v>
      </c>
      <c r="J393" s="18">
        <f t="shared" si="36"/>
        <v>1377.7225000000108</v>
      </c>
      <c r="K393" s="358">
        <f t="shared" si="37"/>
        <v>394.11894487394932</v>
      </c>
      <c r="L393" s="229"/>
      <c r="M393" s="173"/>
      <c r="N393" s="474"/>
      <c r="O393" s="384"/>
      <c r="Q393" s="377">
        <f t="shared" si="40"/>
        <v>383</v>
      </c>
      <c r="R393" s="350">
        <v>33.58</v>
      </c>
      <c r="S393" s="351" t="str">
        <f t="shared" si="38"/>
        <v>OK</v>
      </c>
    </row>
    <row r="394" spans="1:19">
      <c r="A394" s="497">
        <f t="shared" si="41"/>
        <v>377</v>
      </c>
      <c r="B394" s="540" t="s">
        <v>98</v>
      </c>
      <c r="C394" s="541"/>
      <c r="D394" s="542"/>
      <c r="E394" s="211">
        <f>'7" 26# Deck Tally'!B378</f>
        <v>382</v>
      </c>
      <c r="F394" s="347">
        <f>'7" 26# Deck Tally'!C378</f>
        <v>33.65</v>
      </c>
      <c r="G394" s="18">
        <f t="shared" si="39"/>
        <v>33.251999999999995</v>
      </c>
      <c r="H394" s="18" t="s">
        <v>9</v>
      </c>
      <c r="I394" s="18">
        <f t="shared" si="35"/>
        <v>12427.391999999991</v>
      </c>
      <c r="J394" s="18">
        <f t="shared" si="36"/>
        <v>1344.4705000000104</v>
      </c>
      <c r="K394" s="358">
        <f t="shared" si="37"/>
        <v>394.83291027654678</v>
      </c>
      <c r="L394" s="229"/>
      <c r="M394" s="173"/>
      <c r="N394" s="474"/>
      <c r="O394" s="384"/>
      <c r="Q394" s="377">
        <f t="shared" si="40"/>
        <v>382</v>
      </c>
      <c r="R394" s="350">
        <v>33.65</v>
      </c>
      <c r="S394" s="351" t="str">
        <f t="shared" si="38"/>
        <v>OK</v>
      </c>
    </row>
    <row r="395" spans="1:19">
      <c r="A395" s="497">
        <f t="shared" si="41"/>
        <v>378</v>
      </c>
      <c r="B395" s="540" t="s">
        <v>98</v>
      </c>
      <c r="C395" s="541"/>
      <c r="D395" s="542"/>
      <c r="E395" s="211">
        <f>'7" 26# Deck Tally'!B379</f>
        <v>381</v>
      </c>
      <c r="F395" s="347">
        <f>'7" 26# Deck Tally'!C379</f>
        <v>33.83</v>
      </c>
      <c r="G395" s="18">
        <f t="shared" si="39"/>
        <v>33.431999999999995</v>
      </c>
      <c r="H395" s="18" t="s">
        <v>9</v>
      </c>
      <c r="I395" s="18">
        <f t="shared" si="35"/>
        <v>12460.823999999991</v>
      </c>
      <c r="J395" s="18">
        <f t="shared" si="36"/>
        <v>1311.0385000000097</v>
      </c>
      <c r="K395" s="216">
        <f t="shared" si="37"/>
        <v>395.5507405225361</v>
      </c>
      <c r="L395" s="229"/>
      <c r="M395" s="173"/>
      <c r="N395" s="474"/>
      <c r="O395" s="384"/>
      <c r="Q395" s="377">
        <f t="shared" si="40"/>
        <v>381</v>
      </c>
      <c r="R395" s="350">
        <v>33.83</v>
      </c>
      <c r="S395" s="351" t="str">
        <f t="shared" si="38"/>
        <v>OK</v>
      </c>
    </row>
    <row r="396" spans="1:19">
      <c r="A396" s="497">
        <f t="shared" si="41"/>
        <v>379</v>
      </c>
      <c r="B396" s="540" t="s">
        <v>98</v>
      </c>
      <c r="C396" s="541"/>
      <c r="D396" s="542"/>
      <c r="E396" s="211">
        <f>'7" 26# Deck Tally'!B380</f>
        <v>380</v>
      </c>
      <c r="F396" s="347">
        <f>'7" 26# Deck Tally'!C380</f>
        <v>33.659999999999997</v>
      </c>
      <c r="G396" s="18">
        <f t="shared" si="39"/>
        <v>33.261999999999993</v>
      </c>
      <c r="H396" s="18" t="s">
        <v>9</v>
      </c>
      <c r="I396" s="18">
        <f t="shared" si="35"/>
        <v>12494.085999999992</v>
      </c>
      <c r="J396" s="18">
        <f t="shared" si="36"/>
        <v>1277.776500000009</v>
      </c>
      <c r="K396" s="216">
        <f t="shared" si="37"/>
        <v>396.26492063865533</v>
      </c>
      <c r="L396" s="229"/>
      <c r="M396" s="173"/>
      <c r="N396" s="474"/>
      <c r="O396" s="384"/>
      <c r="Q396" s="377">
        <f t="shared" si="40"/>
        <v>380</v>
      </c>
      <c r="R396" s="350">
        <v>33.659999999999997</v>
      </c>
      <c r="S396" s="351" t="str">
        <f t="shared" si="38"/>
        <v>OK</v>
      </c>
    </row>
    <row r="397" spans="1:19">
      <c r="A397" s="497">
        <f t="shared" si="41"/>
        <v>380</v>
      </c>
      <c r="B397" s="540" t="s">
        <v>98</v>
      </c>
      <c r="C397" s="541"/>
      <c r="D397" s="542"/>
      <c r="E397" s="211">
        <f>'7" 26# Deck Tally'!B381</f>
        <v>379</v>
      </c>
      <c r="F397" s="347">
        <f>'7" 26# Deck Tally'!C381</f>
        <v>33.06</v>
      </c>
      <c r="G397" s="18">
        <f t="shared" si="39"/>
        <v>32.661999999999999</v>
      </c>
      <c r="H397" s="18" t="s">
        <v>9</v>
      </c>
      <c r="I397" s="18">
        <f t="shared" ref="I397:I460" si="42">IF(H397="IN",I396+G397,I396)</f>
        <v>12526.747999999992</v>
      </c>
      <c r="J397" s="18">
        <f t="shared" si="36"/>
        <v>1245.1145000000088</v>
      </c>
      <c r="K397" s="358">
        <f t="shared" si="37"/>
        <v>396.96621794346811</v>
      </c>
      <c r="L397" s="229"/>
      <c r="M397" s="173"/>
      <c r="N397" s="474"/>
      <c r="O397" s="384"/>
      <c r="Q397" s="377">
        <f t="shared" si="40"/>
        <v>379</v>
      </c>
      <c r="R397" s="350">
        <v>33.06</v>
      </c>
      <c r="S397" s="351" t="str">
        <f t="shared" si="38"/>
        <v>OK</v>
      </c>
    </row>
    <row r="398" spans="1:19" ht="13.5" thickBot="1">
      <c r="A398" s="497">
        <f t="shared" si="41"/>
        <v>381</v>
      </c>
      <c r="B398" s="540" t="s">
        <v>98</v>
      </c>
      <c r="C398" s="541"/>
      <c r="D398" s="542"/>
      <c r="E398" s="211">
        <f>'7" 26# Deck Tally'!B382</f>
        <v>378</v>
      </c>
      <c r="F398" s="347">
        <f>'7" 26# Deck Tally'!C382</f>
        <v>33.56</v>
      </c>
      <c r="G398" s="18">
        <f t="shared" si="39"/>
        <v>33.161999999999999</v>
      </c>
      <c r="H398" s="18" t="s">
        <v>9</v>
      </c>
      <c r="I398" s="18">
        <f t="shared" si="42"/>
        <v>12559.909999999993</v>
      </c>
      <c r="J398" s="18">
        <f t="shared" si="36"/>
        <v>1211.9525000000085</v>
      </c>
      <c r="K398" s="358">
        <f t="shared" si="37"/>
        <v>397.67825092436959</v>
      </c>
      <c r="L398" s="229"/>
      <c r="M398" s="173"/>
      <c r="N398" s="474"/>
      <c r="O398" s="384"/>
      <c r="Q398" s="377">
        <f t="shared" si="40"/>
        <v>378</v>
      </c>
      <c r="R398" s="350">
        <v>33.56</v>
      </c>
      <c r="S398" s="351" t="str">
        <f t="shared" si="38"/>
        <v>OK</v>
      </c>
    </row>
    <row r="399" spans="1:19" ht="14.1" customHeight="1" thickTop="1" thickBot="1">
      <c r="A399" s="537">
        <f>A398+1</f>
        <v>382</v>
      </c>
      <c r="B399" s="551" t="s">
        <v>114</v>
      </c>
      <c r="C399" s="554" t="s">
        <v>226</v>
      </c>
      <c r="D399" s="557" t="s">
        <v>84</v>
      </c>
      <c r="E399" s="558"/>
      <c r="F399" s="374">
        <v>6.22</v>
      </c>
      <c r="G399" s="310">
        <f t="shared" si="39"/>
        <v>5.8220000000000001</v>
      </c>
      <c r="H399" s="310" t="s">
        <v>9</v>
      </c>
      <c r="I399" s="310">
        <f t="shared" si="42"/>
        <v>12565.731999999993</v>
      </c>
      <c r="J399" s="310">
        <f t="shared" si="36"/>
        <v>1206.1305000000084</v>
      </c>
      <c r="K399" s="311">
        <f t="shared" si="37"/>
        <v>397.80325713674551</v>
      </c>
      <c r="L399" s="469" t="s">
        <v>113</v>
      </c>
      <c r="M399" s="292">
        <f>J401</f>
        <v>1191.8205000000089</v>
      </c>
      <c r="N399" s="353" t="s">
        <v>233</v>
      </c>
      <c r="R399" s="378">
        <v>6.22</v>
      </c>
      <c r="S399" s="379" t="str">
        <f t="shared" si="38"/>
        <v>OK</v>
      </c>
    </row>
    <row r="400" spans="1:19">
      <c r="A400" s="538"/>
      <c r="B400" s="552"/>
      <c r="C400" s="555"/>
      <c r="D400" s="559" t="s">
        <v>85</v>
      </c>
      <c r="E400" s="560"/>
      <c r="F400" s="294">
        <v>5.84</v>
      </c>
      <c r="G400" s="439">
        <f>F400</f>
        <v>5.84</v>
      </c>
      <c r="H400" s="439" t="s">
        <v>9</v>
      </c>
      <c r="I400" s="439">
        <f t="shared" si="42"/>
        <v>12571.571999999993</v>
      </c>
      <c r="J400" s="439">
        <f t="shared" ref="J400:J462" si="43">IF(I400="","",$L$6-I400)</f>
        <v>1200.2905000000083</v>
      </c>
      <c r="K400" s="481">
        <f t="shared" ref="K400:K461" si="44">$H$6+(I400*$F$7*$H$8/1000)</f>
        <v>397.9286498334605</v>
      </c>
      <c r="L400" s="376"/>
      <c r="M400" s="283"/>
      <c r="N400" s="353" t="s">
        <v>234</v>
      </c>
      <c r="R400" s="378">
        <v>5.84</v>
      </c>
      <c r="S400" s="379" t="str">
        <f t="shared" ref="S400:S443" si="45">IF(F400-R400=0,"OK","FALSE")</f>
        <v>OK</v>
      </c>
    </row>
    <row r="401" spans="1:19" ht="13.5" thickBot="1">
      <c r="A401" s="538"/>
      <c r="B401" s="552"/>
      <c r="C401" s="555"/>
      <c r="D401" s="561" t="s">
        <v>27</v>
      </c>
      <c r="E401" s="562"/>
      <c r="F401" s="300">
        <v>8.4700000000000006</v>
      </c>
      <c r="G401" s="301">
        <f>F401</f>
        <v>8.4700000000000006</v>
      </c>
      <c r="H401" s="301" t="s">
        <v>9</v>
      </c>
      <c r="I401" s="301">
        <f t="shared" si="42"/>
        <v>12580.041999999992</v>
      </c>
      <c r="J401" s="301">
        <f t="shared" si="43"/>
        <v>1191.8205000000089</v>
      </c>
      <c r="K401" s="302">
        <f t="shared" si="44"/>
        <v>398.11051218640165</v>
      </c>
      <c r="L401" s="376"/>
      <c r="M401" s="283"/>
      <c r="N401" s="353" t="s">
        <v>112</v>
      </c>
      <c r="R401" s="378">
        <v>8.4700000000000006</v>
      </c>
      <c r="S401" s="379" t="str">
        <f t="shared" si="45"/>
        <v>OK</v>
      </c>
    </row>
    <row r="402" spans="1:19" ht="12.6" customHeight="1">
      <c r="A402" s="538"/>
      <c r="B402" s="552"/>
      <c r="C402" s="555"/>
      <c r="D402" s="559" t="s">
        <v>85</v>
      </c>
      <c r="E402" s="560"/>
      <c r="F402" s="294">
        <v>11.85</v>
      </c>
      <c r="G402" s="439">
        <f>F402</f>
        <v>11.85</v>
      </c>
      <c r="H402" s="439" t="s">
        <v>9</v>
      </c>
      <c r="I402" s="439">
        <f t="shared" si="42"/>
        <v>12591.891999999993</v>
      </c>
      <c r="J402" s="439">
        <f t="shared" si="43"/>
        <v>1179.9705000000085</v>
      </c>
      <c r="K402" s="481">
        <f t="shared" si="44"/>
        <v>398.36494770970188</v>
      </c>
      <c r="L402" s="525" t="s">
        <v>163</v>
      </c>
      <c r="M402" s="526"/>
      <c r="N402" s="353" t="s">
        <v>235</v>
      </c>
      <c r="R402" s="378">
        <v>11.85</v>
      </c>
      <c r="S402" s="379" t="str">
        <f t="shared" si="45"/>
        <v>OK</v>
      </c>
    </row>
    <row r="403" spans="1:19" ht="12.95" customHeight="1" thickBot="1">
      <c r="A403" s="539"/>
      <c r="B403" s="553"/>
      <c r="C403" s="556"/>
      <c r="D403" s="527" t="s">
        <v>84</v>
      </c>
      <c r="E403" s="528"/>
      <c r="F403" s="375">
        <v>5.81</v>
      </c>
      <c r="G403" s="440">
        <f>F403</f>
        <v>5.81</v>
      </c>
      <c r="H403" s="440" t="s">
        <v>9</v>
      </c>
      <c r="I403" s="440">
        <f t="shared" si="42"/>
        <v>12597.701999999992</v>
      </c>
      <c r="J403" s="440">
        <f t="shared" si="43"/>
        <v>1174.1605000000091</v>
      </c>
      <c r="K403" s="485">
        <f t="shared" si="44"/>
        <v>398.48969626585165</v>
      </c>
      <c r="L403" s="529" t="s">
        <v>227</v>
      </c>
      <c r="M403" s="530"/>
      <c r="N403" s="353" t="s">
        <v>136</v>
      </c>
      <c r="R403" s="378">
        <v>5.81</v>
      </c>
      <c r="S403" s="379" t="str">
        <f t="shared" si="45"/>
        <v>OK</v>
      </c>
    </row>
    <row r="404" spans="1:19">
      <c r="A404" s="498">
        <f>A399+1</f>
        <v>383</v>
      </c>
      <c r="B404" s="540" t="s">
        <v>98</v>
      </c>
      <c r="C404" s="541"/>
      <c r="D404" s="542"/>
      <c r="E404" s="211">
        <f>'7" 26# Deck Tally'!B383</f>
        <v>377</v>
      </c>
      <c r="F404" s="368">
        <f>'7" 26# Deck Tally'!C383</f>
        <v>33.64</v>
      </c>
      <c r="G404" s="357">
        <f t="shared" si="39"/>
        <v>33.241999999999997</v>
      </c>
      <c r="H404" s="18" t="s">
        <v>9</v>
      </c>
      <c r="I404" s="18">
        <f t="shared" si="42"/>
        <v>12630.943999999992</v>
      </c>
      <c r="J404" s="18">
        <f t="shared" si="43"/>
        <v>1140.9185000000089</v>
      </c>
      <c r="K404" s="358">
        <f t="shared" si="44"/>
        <v>399.2034469549273</v>
      </c>
      <c r="L404" s="229"/>
      <c r="M404" s="173"/>
      <c r="N404" s="474"/>
      <c r="O404" s="384"/>
      <c r="Q404" s="377">
        <f t="shared" si="40"/>
        <v>377</v>
      </c>
      <c r="R404" s="350">
        <v>33.64</v>
      </c>
      <c r="S404" s="351" t="str">
        <f t="shared" si="45"/>
        <v>OK</v>
      </c>
    </row>
    <row r="405" spans="1:19">
      <c r="A405" s="498">
        <f>A404+1</f>
        <v>384</v>
      </c>
      <c r="B405" s="540" t="s">
        <v>98</v>
      </c>
      <c r="C405" s="541"/>
      <c r="D405" s="542"/>
      <c r="E405" s="211">
        <f>'7" 26# Deck Tally'!B384</f>
        <v>376</v>
      </c>
      <c r="F405" s="368">
        <f>'7" 26# Deck Tally'!C384</f>
        <v>33.78</v>
      </c>
      <c r="G405" s="357">
        <f t="shared" ref="G405:G461" si="46">F405-($F$9)</f>
        <v>33.381999999999998</v>
      </c>
      <c r="H405" s="18" t="s">
        <v>9</v>
      </c>
      <c r="I405" s="18">
        <f t="shared" si="42"/>
        <v>12664.325999999992</v>
      </c>
      <c r="J405" s="18">
        <f t="shared" si="43"/>
        <v>1107.5365000000093</v>
      </c>
      <c r="K405" s="216">
        <f t="shared" si="44"/>
        <v>399.92020363330772</v>
      </c>
      <c r="L405" s="229"/>
      <c r="M405" s="173"/>
      <c r="N405" s="474"/>
      <c r="O405" s="384"/>
      <c r="Q405" s="377">
        <f t="shared" ref="Q405:Q443" si="47">E405</f>
        <v>376</v>
      </c>
      <c r="R405" s="350">
        <v>33.78</v>
      </c>
      <c r="S405" s="351" t="str">
        <f t="shared" si="45"/>
        <v>OK</v>
      </c>
    </row>
    <row r="406" spans="1:19">
      <c r="A406" s="498">
        <f t="shared" ref="A406:A460" si="48">A405+1</f>
        <v>385</v>
      </c>
      <c r="B406" s="540" t="s">
        <v>98</v>
      </c>
      <c r="C406" s="541"/>
      <c r="D406" s="542"/>
      <c r="E406" s="211">
        <f>'7" 26# Deck Tally'!B385</f>
        <v>375</v>
      </c>
      <c r="F406" s="368">
        <f>'7" 26# Deck Tally'!C385</f>
        <v>33.68</v>
      </c>
      <c r="G406" s="357">
        <f t="shared" si="46"/>
        <v>33.281999999999996</v>
      </c>
      <c r="H406" s="18" t="s">
        <v>9</v>
      </c>
      <c r="I406" s="18">
        <f t="shared" si="42"/>
        <v>12697.607999999991</v>
      </c>
      <c r="J406" s="18">
        <f t="shared" si="43"/>
        <v>1074.25450000001</v>
      </c>
      <c r="K406" s="358">
        <f t="shared" si="44"/>
        <v>400.6348131764704</v>
      </c>
      <c r="L406" s="229"/>
      <c r="M406" s="173"/>
      <c r="N406" s="474"/>
      <c r="O406" s="384"/>
      <c r="Q406" s="377">
        <f t="shared" si="47"/>
        <v>375</v>
      </c>
      <c r="R406" s="350">
        <v>33.68</v>
      </c>
      <c r="S406" s="351" t="str">
        <f t="shared" si="45"/>
        <v>OK</v>
      </c>
    </row>
    <row r="407" spans="1:19">
      <c r="A407" s="498">
        <f t="shared" si="48"/>
        <v>386</v>
      </c>
      <c r="B407" s="540" t="s">
        <v>98</v>
      </c>
      <c r="C407" s="541"/>
      <c r="D407" s="542"/>
      <c r="E407" s="211">
        <f>'7" 26# Deck Tally'!B386</f>
        <v>374</v>
      </c>
      <c r="F407" s="368">
        <f>'7" 26# Deck Tally'!C386</f>
        <v>31.81</v>
      </c>
      <c r="G407" s="357">
        <f t="shared" si="46"/>
        <v>31.411999999999999</v>
      </c>
      <c r="H407" s="18" t="s">
        <v>9</v>
      </c>
      <c r="I407" s="18">
        <f t="shared" si="42"/>
        <v>12729.019999999991</v>
      </c>
      <c r="J407" s="18">
        <f t="shared" si="43"/>
        <v>1042.8425000000097</v>
      </c>
      <c r="K407" s="358">
        <f t="shared" si="44"/>
        <v>401.30927129106169</v>
      </c>
      <c r="L407" s="229"/>
      <c r="M407" s="173"/>
      <c r="N407" s="474"/>
      <c r="O407" s="384"/>
      <c r="Q407" s="377">
        <f t="shared" si="47"/>
        <v>374</v>
      </c>
      <c r="R407" s="350">
        <v>31.81</v>
      </c>
      <c r="S407" s="351" t="str">
        <f t="shared" si="45"/>
        <v>OK</v>
      </c>
    </row>
    <row r="408" spans="1:19">
      <c r="A408" s="498">
        <f t="shared" si="48"/>
        <v>387</v>
      </c>
      <c r="B408" s="540" t="s">
        <v>98</v>
      </c>
      <c r="C408" s="541"/>
      <c r="D408" s="542"/>
      <c r="E408" s="211">
        <f>'7" 26# Deck Tally'!B387</f>
        <v>373</v>
      </c>
      <c r="F408" s="368">
        <f>'7" 26# Deck Tally'!C387</f>
        <v>33.590000000000003</v>
      </c>
      <c r="G408" s="357">
        <f t="shared" si="46"/>
        <v>33.192</v>
      </c>
      <c r="H408" s="18" t="s">
        <v>9</v>
      </c>
      <c r="I408" s="18">
        <f t="shared" si="42"/>
        <v>12762.21199999999</v>
      </c>
      <c r="J408" s="18">
        <f t="shared" si="43"/>
        <v>1009.6505000000107</v>
      </c>
      <c r="K408" s="358">
        <f t="shared" si="44"/>
        <v>402.02194841252845</v>
      </c>
      <c r="L408" s="229"/>
      <c r="M408" s="173"/>
      <c r="N408" s="474"/>
      <c r="O408" s="384"/>
      <c r="Q408" s="377">
        <f t="shared" si="47"/>
        <v>373</v>
      </c>
      <c r="R408" s="350">
        <v>33.590000000000003</v>
      </c>
      <c r="S408" s="351" t="str">
        <f t="shared" si="45"/>
        <v>OK</v>
      </c>
    </row>
    <row r="409" spans="1:19">
      <c r="A409" s="498">
        <f t="shared" si="48"/>
        <v>388</v>
      </c>
      <c r="B409" s="540" t="s">
        <v>98</v>
      </c>
      <c r="C409" s="541"/>
      <c r="D409" s="542"/>
      <c r="E409" s="211">
        <f>'7" 26# Deck Tally'!B388</f>
        <v>372</v>
      </c>
      <c r="F409" s="368">
        <f>'7" 26# Deck Tally'!C388</f>
        <v>33.159999999999997</v>
      </c>
      <c r="G409" s="357">
        <f t="shared" si="46"/>
        <v>32.761999999999993</v>
      </c>
      <c r="H409" s="18" t="s">
        <v>9</v>
      </c>
      <c r="I409" s="18">
        <f t="shared" si="42"/>
        <v>12794.973999999991</v>
      </c>
      <c r="J409" s="18">
        <f t="shared" si="43"/>
        <v>976.88850000001003</v>
      </c>
      <c r="K409" s="358">
        <f t="shared" si="44"/>
        <v>402.72539285255903</v>
      </c>
      <c r="L409" s="229"/>
      <c r="M409" s="173"/>
      <c r="N409" s="474"/>
      <c r="O409" s="384"/>
      <c r="Q409" s="377">
        <f t="shared" si="47"/>
        <v>372</v>
      </c>
      <c r="R409" s="350">
        <v>33.159999999999997</v>
      </c>
      <c r="S409" s="351" t="str">
        <f t="shared" si="45"/>
        <v>OK</v>
      </c>
    </row>
    <row r="410" spans="1:19">
      <c r="A410" s="498">
        <f t="shared" si="48"/>
        <v>389</v>
      </c>
      <c r="B410" s="540" t="s">
        <v>98</v>
      </c>
      <c r="C410" s="541"/>
      <c r="D410" s="542"/>
      <c r="E410" s="211">
        <f>'7" 26# Deck Tally'!B389</f>
        <v>371</v>
      </c>
      <c r="F410" s="368">
        <f>'7" 26# Deck Tally'!C389</f>
        <v>32.89</v>
      </c>
      <c r="G410" s="357">
        <f t="shared" si="46"/>
        <v>32.491999999999997</v>
      </c>
      <c r="H410" s="18" t="s">
        <v>9</v>
      </c>
      <c r="I410" s="18">
        <f t="shared" si="42"/>
        <v>12827.465999999991</v>
      </c>
      <c r="J410" s="18">
        <f t="shared" si="43"/>
        <v>944.39650000000984</v>
      </c>
      <c r="K410" s="216">
        <f t="shared" si="44"/>
        <v>403.42304002750171</v>
      </c>
      <c r="L410" s="229"/>
      <c r="M410" s="173"/>
      <c r="N410" s="474"/>
      <c r="O410" s="384"/>
      <c r="Q410" s="377">
        <f t="shared" si="47"/>
        <v>371</v>
      </c>
      <c r="R410" s="350">
        <v>32.89</v>
      </c>
      <c r="S410" s="351" t="str">
        <f t="shared" si="45"/>
        <v>OK</v>
      </c>
    </row>
    <row r="411" spans="1:19">
      <c r="A411" s="498">
        <f t="shared" si="48"/>
        <v>390</v>
      </c>
      <c r="B411" s="540" t="s">
        <v>98</v>
      </c>
      <c r="C411" s="541"/>
      <c r="D411" s="542"/>
      <c r="E411" s="211">
        <f>'7" 26# Deck Tally'!B390</f>
        <v>370</v>
      </c>
      <c r="F411" s="368">
        <f>'7" 26# Deck Tally'!C390</f>
        <v>31.46</v>
      </c>
      <c r="G411" s="357">
        <f t="shared" si="46"/>
        <v>31.062000000000001</v>
      </c>
      <c r="H411" s="18" t="s">
        <v>9</v>
      </c>
      <c r="I411" s="18">
        <f t="shared" si="42"/>
        <v>12858.527999999991</v>
      </c>
      <c r="J411" s="18">
        <f t="shared" si="43"/>
        <v>913.33450000000994</v>
      </c>
      <c r="K411" s="358">
        <f t="shared" si="44"/>
        <v>404.089983168831</v>
      </c>
      <c r="L411" s="229"/>
      <c r="M411" s="173"/>
      <c r="N411" s="474"/>
      <c r="O411" s="384"/>
      <c r="Q411" s="377">
        <f t="shared" si="47"/>
        <v>370</v>
      </c>
      <c r="R411" s="350">
        <v>31.46</v>
      </c>
      <c r="S411" s="351" t="str">
        <f t="shared" si="45"/>
        <v>OK</v>
      </c>
    </row>
    <row r="412" spans="1:19">
      <c r="A412" s="498">
        <f t="shared" si="48"/>
        <v>391</v>
      </c>
      <c r="B412" s="540" t="s">
        <v>98</v>
      </c>
      <c r="C412" s="541"/>
      <c r="D412" s="542"/>
      <c r="E412" s="211">
        <f>'7" 26# Deck Tally'!B391</f>
        <v>369</v>
      </c>
      <c r="F412" s="368">
        <f>'7" 26# Deck Tally'!C391</f>
        <v>32.909999999999997</v>
      </c>
      <c r="G412" s="357">
        <f t="shared" si="46"/>
        <v>32.511999999999993</v>
      </c>
      <c r="H412" s="18" t="s">
        <v>9</v>
      </c>
      <c r="I412" s="18">
        <f t="shared" si="42"/>
        <v>12891.039999999992</v>
      </c>
      <c r="J412" s="18">
        <f t="shared" si="43"/>
        <v>880.82250000000931</v>
      </c>
      <c r="K412" s="358">
        <f t="shared" si="44"/>
        <v>404.78805977081731</v>
      </c>
      <c r="L412" s="229"/>
      <c r="M412" s="173"/>
      <c r="N412" s="474"/>
      <c r="O412" s="384"/>
      <c r="Q412" s="377">
        <f t="shared" si="47"/>
        <v>369</v>
      </c>
      <c r="R412" s="350">
        <v>32.909999999999997</v>
      </c>
      <c r="S412" s="351" t="str">
        <f t="shared" si="45"/>
        <v>OK</v>
      </c>
    </row>
    <row r="413" spans="1:19">
      <c r="A413" s="498">
        <f t="shared" si="48"/>
        <v>392</v>
      </c>
      <c r="B413" s="540" t="s">
        <v>98</v>
      </c>
      <c r="C413" s="541"/>
      <c r="D413" s="542"/>
      <c r="E413" s="211">
        <f>'7" 26# Deck Tally'!B392</f>
        <v>368</v>
      </c>
      <c r="F413" s="368">
        <f>'7" 26# Deck Tally'!C392</f>
        <v>33.43</v>
      </c>
      <c r="G413" s="357">
        <f t="shared" si="46"/>
        <v>33.031999999999996</v>
      </c>
      <c r="H413" s="18" t="s">
        <v>9</v>
      </c>
      <c r="I413" s="18">
        <f t="shared" si="42"/>
        <v>12924.071999999991</v>
      </c>
      <c r="J413" s="18">
        <f t="shared" si="43"/>
        <v>847.79050000001007</v>
      </c>
      <c r="K413" s="358">
        <f t="shared" si="44"/>
        <v>405.49730147593561</v>
      </c>
      <c r="L413" s="229"/>
      <c r="M413" s="173"/>
      <c r="N413" s="474"/>
      <c r="O413" s="384"/>
      <c r="Q413" s="377">
        <f t="shared" si="47"/>
        <v>368</v>
      </c>
      <c r="R413" s="350">
        <v>33.43</v>
      </c>
      <c r="S413" s="351" t="str">
        <f t="shared" si="45"/>
        <v>OK</v>
      </c>
    </row>
    <row r="414" spans="1:19">
      <c r="A414" s="498">
        <f t="shared" si="48"/>
        <v>393</v>
      </c>
      <c r="B414" s="540" t="s">
        <v>98</v>
      </c>
      <c r="C414" s="541"/>
      <c r="D414" s="542"/>
      <c r="E414" s="211">
        <f>'7" 26# Deck Tally'!B393</f>
        <v>367</v>
      </c>
      <c r="F414" s="368">
        <f>'7" 26# Deck Tally'!C393</f>
        <v>33.54</v>
      </c>
      <c r="G414" s="357">
        <f t="shared" si="46"/>
        <v>33.141999999999996</v>
      </c>
      <c r="H414" s="18" t="s">
        <v>9</v>
      </c>
      <c r="I414" s="18">
        <f t="shared" si="42"/>
        <v>12957.213999999991</v>
      </c>
      <c r="J414" s="18">
        <f t="shared" si="43"/>
        <v>814.64850000001024</v>
      </c>
      <c r="K414" s="358">
        <f t="shared" si="44"/>
        <v>406.20890502979358</v>
      </c>
      <c r="L414" s="229"/>
      <c r="M414" s="173"/>
      <c r="N414" s="474"/>
      <c r="O414" s="384"/>
      <c r="Q414" s="377">
        <f t="shared" si="47"/>
        <v>367</v>
      </c>
      <c r="R414" s="350">
        <v>33.54</v>
      </c>
      <c r="S414" s="351" t="str">
        <f t="shared" si="45"/>
        <v>OK</v>
      </c>
    </row>
    <row r="415" spans="1:19">
      <c r="A415" s="498">
        <f t="shared" si="48"/>
        <v>394</v>
      </c>
      <c r="B415" s="540" t="s">
        <v>98</v>
      </c>
      <c r="C415" s="541"/>
      <c r="D415" s="542"/>
      <c r="E415" s="211">
        <f>'7" 26# Deck Tally'!B394</f>
        <v>366</v>
      </c>
      <c r="F415" s="368">
        <f>'7" 26# Deck Tally'!C394</f>
        <v>31.62</v>
      </c>
      <c r="G415" s="357">
        <f t="shared" si="46"/>
        <v>31.222000000000001</v>
      </c>
      <c r="H415" s="18" t="s">
        <v>9</v>
      </c>
      <c r="I415" s="18">
        <f t="shared" si="42"/>
        <v>12988.435999999991</v>
      </c>
      <c r="J415" s="18">
        <f t="shared" si="43"/>
        <v>783.42650000001049</v>
      </c>
      <c r="K415" s="216">
        <f t="shared" si="44"/>
        <v>406.87928358747115</v>
      </c>
      <c r="L415" s="229"/>
      <c r="M415" s="173"/>
      <c r="N415" s="474"/>
      <c r="O415" s="384"/>
      <c r="Q415" s="377">
        <f t="shared" si="47"/>
        <v>366</v>
      </c>
      <c r="R415" s="350">
        <v>31.62</v>
      </c>
      <c r="S415" s="351" t="str">
        <f t="shared" si="45"/>
        <v>OK</v>
      </c>
    </row>
    <row r="416" spans="1:19">
      <c r="A416" s="498">
        <f t="shared" si="48"/>
        <v>395</v>
      </c>
      <c r="B416" s="540" t="s">
        <v>98</v>
      </c>
      <c r="C416" s="541"/>
      <c r="D416" s="542"/>
      <c r="E416" s="211">
        <f>'7" 26# Deck Tally'!B395</f>
        <v>365</v>
      </c>
      <c r="F416" s="368">
        <f>'7" 26# Deck Tally'!C395</f>
        <v>33.19</v>
      </c>
      <c r="G416" s="357">
        <f t="shared" si="46"/>
        <v>32.791999999999994</v>
      </c>
      <c r="H416" s="18" t="s">
        <v>9</v>
      </c>
      <c r="I416" s="18">
        <f t="shared" si="42"/>
        <v>13021.22799999999</v>
      </c>
      <c r="J416" s="18">
        <f t="shared" si="43"/>
        <v>750.63450000001103</v>
      </c>
      <c r="K416" s="358">
        <f t="shared" si="44"/>
        <v>407.583372168067</v>
      </c>
      <c r="L416" s="229"/>
      <c r="M416" s="173"/>
      <c r="N416" s="474"/>
      <c r="O416" s="384"/>
      <c r="Q416" s="377">
        <f t="shared" si="47"/>
        <v>365</v>
      </c>
      <c r="R416" s="350">
        <v>33.19</v>
      </c>
      <c r="S416" s="351" t="str">
        <f t="shared" si="45"/>
        <v>OK</v>
      </c>
    </row>
    <row r="417" spans="1:19">
      <c r="A417" s="498">
        <f t="shared" si="48"/>
        <v>396</v>
      </c>
      <c r="B417" s="540" t="s">
        <v>98</v>
      </c>
      <c r="C417" s="541"/>
      <c r="D417" s="542"/>
      <c r="E417" s="211">
        <f>'7" 26# Deck Tally'!B396</f>
        <v>364</v>
      </c>
      <c r="F417" s="368">
        <f>'7" 26# Deck Tally'!C396</f>
        <v>33.47</v>
      </c>
      <c r="G417" s="357">
        <f t="shared" si="46"/>
        <v>33.071999999999996</v>
      </c>
      <c r="H417" s="18" t="s">
        <v>9</v>
      </c>
      <c r="I417" s="18">
        <f t="shared" si="42"/>
        <v>13054.29999999999</v>
      </c>
      <c r="J417" s="18">
        <f t="shared" si="43"/>
        <v>717.56250000001091</v>
      </c>
      <c r="K417" s="358">
        <f t="shared" si="44"/>
        <v>408.29347272727256</v>
      </c>
      <c r="L417" s="229"/>
      <c r="M417" s="173"/>
      <c r="N417" s="474"/>
      <c r="O417" s="384"/>
      <c r="Q417" s="377">
        <f t="shared" si="47"/>
        <v>364</v>
      </c>
      <c r="R417" s="350">
        <v>33.47</v>
      </c>
      <c r="S417" s="351" t="str">
        <f t="shared" si="45"/>
        <v>OK</v>
      </c>
    </row>
    <row r="418" spans="1:19">
      <c r="A418" s="498">
        <f t="shared" si="48"/>
        <v>397</v>
      </c>
      <c r="B418" s="540" t="s">
        <v>98</v>
      </c>
      <c r="C418" s="541"/>
      <c r="D418" s="542"/>
      <c r="E418" s="211">
        <f>'7" 26# Deck Tally'!B397</f>
        <v>363</v>
      </c>
      <c r="F418" s="368">
        <f>'7" 26# Deck Tally'!C397</f>
        <v>33.24</v>
      </c>
      <c r="G418" s="357">
        <f t="shared" si="46"/>
        <v>32.841999999999999</v>
      </c>
      <c r="H418" s="18" t="s">
        <v>9</v>
      </c>
      <c r="I418" s="18">
        <f t="shared" si="42"/>
        <v>13087.141999999991</v>
      </c>
      <c r="J418" s="18">
        <f t="shared" si="43"/>
        <v>684.72050000001036</v>
      </c>
      <c r="K418" s="358">
        <f t="shared" si="44"/>
        <v>408.99863487547731</v>
      </c>
      <c r="L418" s="229"/>
      <c r="M418" s="173"/>
      <c r="N418" s="474"/>
      <c r="O418" s="384"/>
      <c r="Q418" s="377">
        <f t="shared" si="47"/>
        <v>363</v>
      </c>
      <c r="R418" s="350">
        <v>33.24</v>
      </c>
      <c r="S418" s="351" t="str">
        <f t="shared" si="45"/>
        <v>OK</v>
      </c>
    </row>
    <row r="419" spans="1:19">
      <c r="A419" s="498">
        <f t="shared" si="48"/>
        <v>398</v>
      </c>
      <c r="B419" s="540" t="s">
        <v>98</v>
      </c>
      <c r="C419" s="541"/>
      <c r="D419" s="542"/>
      <c r="E419" s="211">
        <f>'7" 26# Deck Tally'!B398</f>
        <v>362</v>
      </c>
      <c r="F419" s="368">
        <f>'7" 26# Deck Tally'!C398</f>
        <v>33.54</v>
      </c>
      <c r="G419" s="357">
        <f t="shared" si="46"/>
        <v>33.141999999999996</v>
      </c>
      <c r="H419" s="18" t="s">
        <v>9</v>
      </c>
      <c r="I419" s="18">
        <f t="shared" si="42"/>
        <v>13120.283999999991</v>
      </c>
      <c r="J419" s="18">
        <f t="shared" si="43"/>
        <v>651.57850000001054</v>
      </c>
      <c r="K419" s="358">
        <f t="shared" si="44"/>
        <v>409.71023842933516</v>
      </c>
      <c r="L419" s="229"/>
      <c r="M419" s="173"/>
      <c r="N419" s="474"/>
      <c r="O419" s="384"/>
      <c r="Q419" s="377">
        <f t="shared" si="47"/>
        <v>362</v>
      </c>
      <c r="R419" s="350">
        <v>33.54</v>
      </c>
      <c r="S419" s="351" t="str">
        <f t="shared" si="45"/>
        <v>OK</v>
      </c>
    </row>
    <row r="420" spans="1:19">
      <c r="A420" s="498">
        <f t="shared" si="48"/>
        <v>399</v>
      </c>
      <c r="B420" s="540" t="s">
        <v>98</v>
      </c>
      <c r="C420" s="541"/>
      <c r="D420" s="542"/>
      <c r="E420" s="211">
        <f>'7" 26# Deck Tally'!B399</f>
        <v>361</v>
      </c>
      <c r="F420" s="368">
        <f>'7" 26# Deck Tally'!C399</f>
        <v>32.89</v>
      </c>
      <c r="G420" s="357">
        <f t="shared" si="46"/>
        <v>32.491999999999997</v>
      </c>
      <c r="H420" s="18" t="s">
        <v>9</v>
      </c>
      <c r="I420" s="18">
        <f t="shared" si="42"/>
        <v>13152.775999999991</v>
      </c>
      <c r="J420" s="18">
        <f t="shared" si="43"/>
        <v>619.08650000001035</v>
      </c>
      <c r="K420" s="216">
        <f t="shared" si="44"/>
        <v>410.40788560427791</v>
      </c>
      <c r="L420" s="229"/>
      <c r="M420" s="173"/>
      <c r="N420" s="474"/>
      <c r="O420" s="384"/>
      <c r="Q420" s="377">
        <f t="shared" si="47"/>
        <v>361</v>
      </c>
      <c r="R420" s="350">
        <v>32.89</v>
      </c>
      <c r="S420" s="351" t="str">
        <f t="shared" si="45"/>
        <v>OK</v>
      </c>
    </row>
    <row r="421" spans="1:19">
      <c r="A421" s="498">
        <f t="shared" si="48"/>
        <v>400</v>
      </c>
      <c r="B421" s="540" t="s">
        <v>98</v>
      </c>
      <c r="C421" s="541"/>
      <c r="D421" s="542"/>
      <c r="E421" s="211">
        <f>'7" 26# Deck Tally'!B400</f>
        <v>360</v>
      </c>
      <c r="F421" s="368">
        <f>'7" 26# Deck Tally'!C400</f>
        <v>33.57</v>
      </c>
      <c r="G421" s="357">
        <f t="shared" si="46"/>
        <v>33.171999999999997</v>
      </c>
      <c r="H421" s="18" t="s">
        <v>9</v>
      </c>
      <c r="I421" s="18">
        <f t="shared" si="42"/>
        <v>13185.947999999991</v>
      </c>
      <c r="J421" s="18">
        <f t="shared" si="43"/>
        <v>585.91450000000987</v>
      </c>
      <c r="K421" s="358">
        <f t="shared" si="44"/>
        <v>411.12013329870109</v>
      </c>
      <c r="L421" s="229"/>
      <c r="M421" s="173"/>
      <c r="N421" s="474"/>
      <c r="O421" s="384"/>
      <c r="Q421" s="377">
        <f t="shared" si="47"/>
        <v>360</v>
      </c>
      <c r="R421" s="350">
        <v>33.57</v>
      </c>
      <c r="S421" s="351" t="str">
        <f t="shared" si="45"/>
        <v>OK</v>
      </c>
    </row>
    <row r="422" spans="1:19">
      <c r="A422" s="498">
        <f t="shared" si="48"/>
        <v>401</v>
      </c>
      <c r="B422" s="540" t="s">
        <v>98</v>
      </c>
      <c r="C422" s="541"/>
      <c r="D422" s="542"/>
      <c r="E422" s="211">
        <f>'7" 26# Deck Tally'!B401</f>
        <v>359</v>
      </c>
      <c r="F422" s="368">
        <f>'7" 26# Deck Tally'!C401</f>
        <v>33.159999999999997</v>
      </c>
      <c r="G422" s="357">
        <f t="shared" si="46"/>
        <v>32.761999999999993</v>
      </c>
      <c r="H422" s="18" t="s">
        <v>9</v>
      </c>
      <c r="I422" s="18">
        <f t="shared" si="42"/>
        <v>13218.709999999992</v>
      </c>
      <c r="J422" s="18">
        <f t="shared" si="43"/>
        <v>553.15250000000924</v>
      </c>
      <c r="K422" s="358">
        <f t="shared" si="44"/>
        <v>411.82357773873167</v>
      </c>
      <c r="L422" s="229"/>
      <c r="M422" s="173"/>
      <c r="N422" s="474"/>
      <c r="O422" s="384"/>
      <c r="Q422" s="377">
        <f t="shared" si="47"/>
        <v>359</v>
      </c>
      <c r="R422" s="350">
        <v>33.159999999999997</v>
      </c>
      <c r="S422" s="351" t="str">
        <f t="shared" si="45"/>
        <v>OK</v>
      </c>
    </row>
    <row r="423" spans="1:19">
      <c r="A423" s="498">
        <f t="shared" si="48"/>
        <v>402</v>
      </c>
      <c r="B423" s="540" t="s">
        <v>98</v>
      </c>
      <c r="C423" s="541"/>
      <c r="D423" s="542"/>
      <c r="E423" s="211">
        <f>'7" 26# Deck Tally'!B402</f>
        <v>358</v>
      </c>
      <c r="F423" s="368">
        <f>'7" 26# Deck Tally'!C402</f>
        <v>33.270000000000003</v>
      </c>
      <c r="G423" s="357">
        <f t="shared" si="46"/>
        <v>32.872</v>
      </c>
      <c r="H423" s="18" t="s">
        <v>9</v>
      </c>
      <c r="I423" s="18">
        <f t="shared" si="42"/>
        <v>13251.581999999991</v>
      </c>
      <c r="J423" s="18">
        <f t="shared" si="43"/>
        <v>520.28050000000985</v>
      </c>
      <c r="K423" s="358">
        <f t="shared" si="44"/>
        <v>412.52938402750175</v>
      </c>
      <c r="L423" s="229"/>
      <c r="M423" s="173"/>
      <c r="N423" s="474"/>
      <c r="O423" s="384"/>
      <c r="Q423" s="377">
        <f t="shared" si="47"/>
        <v>358</v>
      </c>
      <c r="R423" s="350">
        <v>33.270000000000003</v>
      </c>
      <c r="S423" s="351" t="str">
        <f t="shared" si="45"/>
        <v>OK</v>
      </c>
    </row>
    <row r="424" spans="1:19">
      <c r="A424" s="498">
        <f t="shared" si="48"/>
        <v>403</v>
      </c>
      <c r="B424" s="540" t="s">
        <v>98</v>
      </c>
      <c r="C424" s="541"/>
      <c r="D424" s="542"/>
      <c r="E424" s="211">
        <f>'7" 26# Deck Tally'!B403</f>
        <v>357</v>
      </c>
      <c r="F424" s="368">
        <f>'7" 26# Deck Tally'!C403</f>
        <v>33.119999999999997</v>
      </c>
      <c r="G424" s="357">
        <f t="shared" si="46"/>
        <v>32.721999999999994</v>
      </c>
      <c r="H424" s="18" t="s">
        <v>9</v>
      </c>
      <c r="I424" s="18">
        <f t="shared" si="42"/>
        <v>13284.303999999991</v>
      </c>
      <c r="J424" s="18">
        <f t="shared" si="43"/>
        <v>487.5585000000101</v>
      </c>
      <c r="K424" s="358">
        <f t="shared" si="44"/>
        <v>413.23196961344519</v>
      </c>
      <c r="L424" s="229"/>
      <c r="M424" s="173"/>
      <c r="N424" s="474"/>
      <c r="O424" s="384"/>
      <c r="Q424" s="377">
        <f t="shared" si="47"/>
        <v>357</v>
      </c>
      <c r="R424" s="350">
        <v>33.119999999999997</v>
      </c>
      <c r="S424" s="351" t="str">
        <f t="shared" si="45"/>
        <v>OK</v>
      </c>
    </row>
    <row r="425" spans="1:19">
      <c r="A425" s="498">
        <f t="shared" si="48"/>
        <v>404</v>
      </c>
      <c r="B425" s="540" t="s">
        <v>98</v>
      </c>
      <c r="C425" s="541"/>
      <c r="D425" s="542"/>
      <c r="E425" s="211">
        <f>'7" 26# Deck Tally'!B404</f>
        <v>356</v>
      </c>
      <c r="F425" s="368">
        <f>'7" 26# Deck Tally'!C404</f>
        <v>33.83</v>
      </c>
      <c r="G425" s="357">
        <f t="shared" si="46"/>
        <v>33.431999999999995</v>
      </c>
      <c r="H425" s="18" t="s">
        <v>9</v>
      </c>
      <c r="I425" s="18">
        <f t="shared" si="42"/>
        <v>13317.735999999992</v>
      </c>
      <c r="J425" s="18">
        <f t="shared" si="43"/>
        <v>454.1265000000094</v>
      </c>
      <c r="K425" s="216">
        <f t="shared" si="44"/>
        <v>413.94979985943451</v>
      </c>
      <c r="L425" s="229"/>
      <c r="M425" s="173"/>
      <c r="N425" s="474"/>
      <c r="O425" s="384"/>
      <c r="Q425" s="377">
        <f t="shared" si="47"/>
        <v>356</v>
      </c>
      <c r="R425" s="350">
        <v>33.83</v>
      </c>
      <c r="S425" s="351" t="str">
        <f t="shared" si="45"/>
        <v>OK</v>
      </c>
    </row>
    <row r="426" spans="1:19">
      <c r="A426" s="498">
        <f t="shared" si="48"/>
        <v>405</v>
      </c>
      <c r="B426" s="540" t="s">
        <v>98</v>
      </c>
      <c r="C426" s="541"/>
      <c r="D426" s="542"/>
      <c r="E426" s="211">
        <f>'7" 26# Deck Tally'!B405</f>
        <v>355</v>
      </c>
      <c r="F426" s="368">
        <f>'7" 26# Deck Tally'!C405</f>
        <v>33.96</v>
      </c>
      <c r="G426" s="357">
        <f t="shared" si="46"/>
        <v>33.561999999999998</v>
      </c>
      <c r="H426" s="18" t="s">
        <v>9</v>
      </c>
      <c r="I426" s="18">
        <f t="shared" si="42"/>
        <v>13351.297999999992</v>
      </c>
      <c r="J426" s="18">
        <f t="shared" si="43"/>
        <v>420.5645000000095</v>
      </c>
      <c r="K426" s="358">
        <f t="shared" si="44"/>
        <v>414.67042138120689</v>
      </c>
      <c r="L426" s="229"/>
      <c r="M426" s="173"/>
      <c r="N426" s="474"/>
      <c r="O426" s="384"/>
      <c r="Q426" s="377">
        <f t="shared" si="47"/>
        <v>355</v>
      </c>
      <c r="R426" s="350">
        <v>33.96</v>
      </c>
      <c r="S426" s="351" t="str">
        <f t="shared" si="45"/>
        <v>OK</v>
      </c>
    </row>
    <row r="427" spans="1:19">
      <c r="A427" s="498">
        <f t="shared" si="48"/>
        <v>406</v>
      </c>
      <c r="B427" s="540" t="s">
        <v>98</v>
      </c>
      <c r="C427" s="541"/>
      <c r="D427" s="542"/>
      <c r="E427" s="211">
        <f>'7" 26# Deck Tally'!B406</f>
        <v>354</v>
      </c>
      <c r="F427" s="368">
        <f>'7" 26# Deck Tally'!C406</f>
        <v>33.950000000000003</v>
      </c>
      <c r="G427" s="357">
        <f t="shared" si="46"/>
        <v>33.552</v>
      </c>
      <c r="H427" s="18" t="s">
        <v>9</v>
      </c>
      <c r="I427" s="18">
        <f t="shared" si="42"/>
        <v>13384.849999999991</v>
      </c>
      <c r="J427" s="18">
        <f t="shared" si="43"/>
        <v>387.01250000000982</v>
      </c>
      <c r="K427" s="358">
        <f t="shared" si="44"/>
        <v>415.39082818945741</v>
      </c>
      <c r="L427" s="229"/>
      <c r="M427" s="173"/>
      <c r="N427" s="474"/>
      <c r="O427" s="384"/>
      <c r="Q427" s="377">
        <f t="shared" si="47"/>
        <v>354</v>
      </c>
      <c r="R427" s="350">
        <v>33.950000000000003</v>
      </c>
      <c r="S427" s="351" t="str">
        <f t="shared" si="45"/>
        <v>OK</v>
      </c>
    </row>
    <row r="428" spans="1:19">
      <c r="A428" s="498">
        <f t="shared" si="48"/>
        <v>407</v>
      </c>
      <c r="B428" s="540" t="s">
        <v>98</v>
      </c>
      <c r="C428" s="541"/>
      <c r="D428" s="542"/>
      <c r="E428" s="211">
        <f>'7" 26# Deck Tally'!B407</f>
        <v>353</v>
      </c>
      <c r="F428" s="368">
        <f>'7" 26# Deck Tally'!C407</f>
        <v>33.67</v>
      </c>
      <c r="G428" s="357">
        <f t="shared" si="46"/>
        <v>33.271999999999998</v>
      </c>
      <c r="H428" s="18" t="s">
        <v>9</v>
      </c>
      <c r="I428" s="18">
        <f t="shared" si="42"/>
        <v>13418.121999999992</v>
      </c>
      <c r="J428" s="18">
        <f t="shared" si="43"/>
        <v>353.74050000000898</v>
      </c>
      <c r="K428" s="358">
        <f t="shared" si="44"/>
        <v>416.10522301909839</v>
      </c>
      <c r="L428" s="229"/>
      <c r="M428" s="173"/>
      <c r="N428" s="474"/>
      <c r="O428" s="384"/>
      <c r="Q428" s="377">
        <f t="shared" si="47"/>
        <v>353</v>
      </c>
      <c r="R428" s="350">
        <v>33.67</v>
      </c>
      <c r="S428" s="351" t="str">
        <f t="shared" si="45"/>
        <v>OK</v>
      </c>
    </row>
    <row r="429" spans="1:19" ht="13.5" thickBot="1">
      <c r="A429" s="498">
        <f t="shared" si="48"/>
        <v>408</v>
      </c>
      <c r="B429" s="540" t="s">
        <v>98</v>
      </c>
      <c r="C429" s="541"/>
      <c r="D429" s="542"/>
      <c r="E429" s="211">
        <f>'7" 26# Deck Tally'!B408</f>
        <v>352</v>
      </c>
      <c r="F429" s="368">
        <f>'7" 26# Deck Tally'!C408</f>
        <v>33.97</v>
      </c>
      <c r="G429" s="357">
        <f t="shared" si="46"/>
        <v>33.571999999999996</v>
      </c>
      <c r="H429" s="18" t="s">
        <v>9</v>
      </c>
      <c r="I429" s="18">
        <f t="shared" si="42"/>
        <v>13451.693999999992</v>
      </c>
      <c r="J429" s="18">
        <f t="shared" si="43"/>
        <v>320.16850000000886</v>
      </c>
      <c r="K429" s="358">
        <f t="shared" si="44"/>
        <v>416.82605925439253</v>
      </c>
      <c r="L429" s="229"/>
      <c r="M429" s="173"/>
      <c r="N429" s="474"/>
      <c r="O429" s="384"/>
      <c r="Q429" s="377">
        <f t="shared" si="47"/>
        <v>352</v>
      </c>
      <c r="R429" s="350">
        <v>33.97</v>
      </c>
      <c r="S429" s="351" t="str">
        <f t="shared" si="45"/>
        <v>OK</v>
      </c>
    </row>
    <row r="430" spans="1:19" ht="13.5" thickBot="1">
      <c r="A430" s="498">
        <f t="shared" si="48"/>
        <v>409</v>
      </c>
      <c r="B430" s="540" t="s">
        <v>98</v>
      </c>
      <c r="C430" s="541"/>
      <c r="D430" s="542"/>
      <c r="E430" s="211">
        <f>'7" 26# Deck Tally'!B409</f>
        <v>351</v>
      </c>
      <c r="F430" s="368">
        <f>'7" 26# Deck Tally'!C409</f>
        <v>33.92</v>
      </c>
      <c r="G430" s="357">
        <f t="shared" si="46"/>
        <v>33.521999999999998</v>
      </c>
      <c r="H430" s="18" t="s">
        <v>9</v>
      </c>
      <c r="I430" s="18">
        <f t="shared" si="42"/>
        <v>13485.215999999993</v>
      </c>
      <c r="J430" s="18">
        <f t="shared" si="43"/>
        <v>286.64650000000802</v>
      </c>
      <c r="K430" s="216">
        <f t="shared" si="44"/>
        <v>417.54582192207778</v>
      </c>
      <c r="L430" s="308" t="s">
        <v>228</v>
      </c>
      <c r="M430" s="324"/>
      <c r="N430" s="474"/>
      <c r="O430" s="384"/>
      <c r="Q430" s="377">
        <f t="shared" si="47"/>
        <v>351</v>
      </c>
      <c r="R430" s="350">
        <v>33.92</v>
      </c>
      <c r="S430" s="351" t="str">
        <f t="shared" si="45"/>
        <v>OK</v>
      </c>
    </row>
    <row r="431" spans="1:19" ht="13.5" thickBot="1">
      <c r="A431" s="498">
        <f t="shared" si="48"/>
        <v>410</v>
      </c>
      <c r="B431" s="540" t="s">
        <v>98</v>
      </c>
      <c r="C431" s="541"/>
      <c r="D431" s="542"/>
      <c r="E431" s="211">
        <f>'7" 26# Deck Tally'!B410</f>
        <v>350</v>
      </c>
      <c r="F431" s="368">
        <f>'7" 26# Deck Tally'!C410</f>
        <v>33.92</v>
      </c>
      <c r="G431" s="357">
        <f t="shared" si="46"/>
        <v>33.521999999999998</v>
      </c>
      <c r="H431" s="18" t="s">
        <v>9</v>
      </c>
      <c r="I431" s="18">
        <f t="shared" si="42"/>
        <v>13518.737999999994</v>
      </c>
      <c r="J431" s="18">
        <f t="shared" si="43"/>
        <v>253.12450000000717</v>
      </c>
      <c r="K431" s="358">
        <f t="shared" si="44"/>
        <v>418.26558458976308</v>
      </c>
      <c r="L431" s="308" t="s">
        <v>229</v>
      </c>
      <c r="M431" s="324"/>
      <c r="N431" s="474"/>
      <c r="O431" s="384"/>
      <c r="Q431" s="377">
        <f t="shared" si="47"/>
        <v>350</v>
      </c>
      <c r="R431" s="350">
        <v>33.92</v>
      </c>
      <c r="S431" s="351" t="str">
        <f t="shared" si="45"/>
        <v>OK</v>
      </c>
    </row>
    <row r="432" spans="1:19" ht="13.5" thickBot="1">
      <c r="A432" s="498">
        <f t="shared" si="48"/>
        <v>411</v>
      </c>
      <c r="B432" s="540" t="s">
        <v>98</v>
      </c>
      <c r="C432" s="541"/>
      <c r="D432" s="542"/>
      <c r="E432" s="211">
        <f>'7" 26# Deck Tally'!B411</f>
        <v>349</v>
      </c>
      <c r="F432" s="368">
        <f>'7" 26# Deck Tally'!C411</f>
        <v>33.58</v>
      </c>
      <c r="G432" s="357">
        <f t="shared" si="46"/>
        <v>33.181999999999995</v>
      </c>
      <c r="H432" s="18" t="s">
        <v>9</v>
      </c>
      <c r="I432" s="18">
        <f t="shared" si="42"/>
        <v>13551.919999999995</v>
      </c>
      <c r="J432" s="18">
        <f t="shared" si="43"/>
        <v>219.94250000000648</v>
      </c>
      <c r="K432" s="358">
        <f t="shared" si="44"/>
        <v>418.97804699770808</v>
      </c>
      <c r="L432" s="308" t="s">
        <v>230</v>
      </c>
      <c r="M432" s="309"/>
      <c r="N432" s="474"/>
      <c r="O432" s="384"/>
      <c r="Q432" s="377">
        <f t="shared" si="47"/>
        <v>349</v>
      </c>
      <c r="R432" s="350">
        <v>33.58</v>
      </c>
      <c r="S432" s="351" t="str">
        <f t="shared" si="45"/>
        <v>OK</v>
      </c>
    </row>
    <row r="433" spans="1:19" ht="13.5" thickBot="1">
      <c r="A433" s="498">
        <f t="shared" si="48"/>
        <v>412</v>
      </c>
      <c r="B433" s="540" t="s">
        <v>98</v>
      </c>
      <c r="C433" s="541"/>
      <c r="D433" s="542"/>
      <c r="E433" s="211">
        <f>'7" 26# Deck Tally'!B412</f>
        <v>348</v>
      </c>
      <c r="F433" s="368">
        <f>'7" 26# Deck Tally'!C412</f>
        <v>33.99</v>
      </c>
      <c r="G433" s="357">
        <f t="shared" si="46"/>
        <v>33.591999999999999</v>
      </c>
      <c r="H433" s="18" t="s">
        <v>9</v>
      </c>
      <c r="I433" s="18">
        <f t="shared" si="42"/>
        <v>13585.511999999995</v>
      </c>
      <c r="J433" s="18">
        <f t="shared" si="43"/>
        <v>186.35050000000592</v>
      </c>
      <c r="K433" s="358">
        <f t="shared" si="44"/>
        <v>419.69931266004573</v>
      </c>
      <c r="L433" s="229"/>
      <c r="M433" s="173"/>
      <c r="N433" s="474"/>
      <c r="O433" s="384"/>
      <c r="Q433" s="377">
        <f t="shared" si="47"/>
        <v>348</v>
      </c>
      <c r="R433" s="350">
        <v>33.99</v>
      </c>
      <c r="S433" s="351" t="str">
        <f t="shared" si="45"/>
        <v>OK</v>
      </c>
    </row>
    <row r="434" spans="1:19" ht="13.5" thickBot="1">
      <c r="A434" s="498">
        <f t="shared" si="48"/>
        <v>413</v>
      </c>
      <c r="B434" s="540" t="s">
        <v>98</v>
      </c>
      <c r="C434" s="541"/>
      <c r="D434" s="542"/>
      <c r="E434" s="211">
        <f>'7" 26# Deck Tally'!B413</f>
        <v>347</v>
      </c>
      <c r="F434" s="368">
        <f>'7" 26# Deck Tally'!C413</f>
        <v>33.83</v>
      </c>
      <c r="G434" s="18">
        <f t="shared" si="46"/>
        <v>33.431999999999995</v>
      </c>
      <c r="H434" s="18" t="s">
        <v>9</v>
      </c>
      <c r="I434" s="18">
        <f t="shared" si="42"/>
        <v>13618.943999999996</v>
      </c>
      <c r="J434" s="18">
        <f t="shared" si="43"/>
        <v>152.91850000000522</v>
      </c>
      <c r="K434" s="216">
        <f t="shared" si="44"/>
        <v>420.41714290603505</v>
      </c>
      <c r="L434" s="386" t="s">
        <v>189</v>
      </c>
      <c r="M434" s="385">
        <f>E21+(E340-E439)+1</f>
        <v>414</v>
      </c>
      <c r="N434" s="474"/>
      <c r="O434" s="384"/>
      <c r="Q434" s="377">
        <f t="shared" si="47"/>
        <v>347</v>
      </c>
      <c r="R434" s="429">
        <v>33.83</v>
      </c>
      <c r="S434" s="351" t="str">
        <f t="shared" si="45"/>
        <v>OK</v>
      </c>
    </row>
    <row r="435" spans="1:19" ht="13.5" thickBot="1">
      <c r="A435" s="498">
        <f t="shared" si="48"/>
        <v>414</v>
      </c>
      <c r="B435" s="540" t="s">
        <v>98</v>
      </c>
      <c r="C435" s="541"/>
      <c r="D435" s="542"/>
      <c r="E435" s="211">
        <f>'7" 26# Deck Tally'!B414</f>
        <v>346</v>
      </c>
      <c r="F435" s="368">
        <f>'7" 26# Deck Tally'!C414</f>
        <v>33.590000000000003</v>
      </c>
      <c r="G435" s="357">
        <f t="shared" si="46"/>
        <v>33.192</v>
      </c>
      <c r="H435" s="18" t="s">
        <v>9</v>
      </c>
      <c r="I435" s="18">
        <f t="shared" si="42"/>
        <v>13652.135999999995</v>
      </c>
      <c r="J435" s="18">
        <f t="shared" si="43"/>
        <v>119.72650000000613</v>
      </c>
      <c r="K435" s="216">
        <f t="shared" si="44"/>
        <v>421.12982002750181</v>
      </c>
      <c r="L435" s="675" t="s">
        <v>249</v>
      </c>
      <c r="M435" s="676"/>
      <c r="N435" s="474"/>
      <c r="O435" s="384"/>
      <c r="Q435" s="377">
        <f t="shared" si="47"/>
        <v>346</v>
      </c>
      <c r="R435" s="350">
        <v>33.590000000000003</v>
      </c>
      <c r="S435" s="351" t="str">
        <f t="shared" si="45"/>
        <v>OK</v>
      </c>
    </row>
    <row r="436" spans="1:19">
      <c r="A436" s="498">
        <f t="shared" si="48"/>
        <v>415</v>
      </c>
      <c r="B436" s="680" t="s">
        <v>98</v>
      </c>
      <c r="C436" s="681"/>
      <c r="D436" s="682"/>
      <c r="E436" s="489">
        <f>'7" 26# Deck Tally'!B421</f>
        <v>339</v>
      </c>
      <c r="F436" s="490">
        <f>'7" 26# Deck Tally'!C421</f>
        <v>32.299999999999997</v>
      </c>
      <c r="G436" s="439">
        <f t="shared" si="46"/>
        <v>31.901999999999997</v>
      </c>
      <c r="H436" s="439" t="s">
        <v>9</v>
      </c>
      <c r="I436" s="439">
        <f t="shared" si="42"/>
        <v>13684.037999999995</v>
      </c>
      <c r="J436" s="439">
        <f t="shared" si="43"/>
        <v>87.824500000006083</v>
      </c>
      <c r="K436" s="480">
        <f t="shared" si="44"/>
        <v>421.81479910465998</v>
      </c>
      <c r="L436" s="229"/>
      <c r="M436" s="173"/>
      <c r="N436" s="474"/>
      <c r="O436" s="384"/>
      <c r="Q436" s="377">
        <f t="shared" si="47"/>
        <v>339</v>
      </c>
      <c r="R436" s="350">
        <v>32.299999999999997</v>
      </c>
      <c r="S436" s="351" t="str">
        <f t="shared" si="45"/>
        <v>OK</v>
      </c>
    </row>
    <row r="437" spans="1:19" ht="13.5" thickBot="1">
      <c r="A437" s="498">
        <f t="shared" si="48"/>
        <v>416</v>
      </c>
      <c r="B437" s="680" t="s">
        <v>98</v>
      </c>
      <c r="C437" s="681"/>
      <c r="D437" s="682"/>
      <c r="E437" s="489">
        <f>'7" 26# Deck Tally'!B425</f>
        <v>335</v>
      </c>
      <c r="F437" s="490">
        <f>'7" 26# Deck Tally'!C425</f>
        <v>32.22</v>
      </c>
      <c r="G437" s="439">
        <f t="shared" si="46"/>
        <v>31.821999999999999</v>
      </c>
      <c r="H437" s="439" t="s">
        <v>9</v>
      </c>
      <c r="I437" s="439">
        <f t="shared" si="42"/>
        <v>13715.859999999995</v>
      </c>
      <c r="J437" s="439">
        <f t="shared" si="43"/>
        <v>56.002500000005966</v>
      </c>
      <c r="K437" s="480">
        <f t="shared" si="44"/>
        <v>422.49806047364387</v>
      </c>
      <c r="L437" s="229"/>
      <c r="M437" s="173"/>
      <c r="N437" s="474"/>
      <c r="O437" s="384"/>
      <c r="Q437" s="377">
        <f t="shared" si="47"/>
        <v>335</v>
      </c>
      <c r="R437" s="350">
        <v>32.22</v>
      </c>
      <c r="S437" s="351" t="str">
        <f t="shared" si="45"/>
        <v>OK</v>
      </c>
    </row>
    <row r="438" spans="1:19" ht="13.5" thickBot="1">
      <c r="A438" s="498">
        <f t="shared" si="48"/>
        <v>417</v>
      </c>
      <c r="B438" s="540" t="s">
        <v>98</v>
      </c>
      <c r="C438" s="541"/>
      <c r="D438" s="542"/>
      <c r="E438" s="211">
        <f>'7" 26# Deck Tally'!B417</f>
        <v>343</v>
      </c>
      <c r="F438" s="368">
        <f>'7" 26# Deck Tally'!C417</f>
        <v>33.950000000000003</v>
      </c>
      <c r="G438" s="357">
        <f t="shared" si="46"/>
        <v>33.552</v>
      </c>
      <c r="H438" s="18" t="s">
        <v>9</v>
      </c>
      <c r="I438" s="18">
        <f t="shared" si="42"/>
        <v>13749.411999999995</v>
      </c>
      <c r="J438" s="18">
        <f t="shared" si="43"/>
        <v>22.450500000006286</v>
      </c>
      <c r="K438" s="358">
        <f t="shared" si="44"/>
        <v>423.21846728189445</v>
      </c>
      <c r="L438" s="475" t="s">
        <v>93</v>
      </c>
      <c r="M438" s="479">
        <f>L6</f>
        <v>13771.862500000001</v>
      </c>
      <c r="N438" s="474"/>
      <c r="O438" s="384"/>
      <c r="Q438" s="377">
        <f t="shared" si="47"/>
        <v>343</v>
      </c>
      <c r="R438" s="350">
        <v>33.950000000000003</v>
      </c>
      <c r="S438" s="351" t="str">
        <f t="shared" si="45"/>
        <v>OK</v>
      </c>
    </row>
    <row r="439" spans="1:19" ht="13.5" thickBot="1">
      <c r="A439" s="498">
        <f t="shared" si="48"/>
        <v>418</v>
      </c>
      <c r="B439" s="677" t="s">
        <v>98</v>
      </c>
      <c r="C439" s="678"/>
      <c r="D439" s="679"/>
      <c r="E439" s="491">
        <f>'7" 26# Deck Tally'!B418</f>
        <v>342</v>
      </c>
      <c r="F439" s="492">
        <f>'7" 26# Deck Tally'!C418</f>
        <v>32.5</v>
      </c>
      <c r="G439" s="493">
        <f t="shared" si="46"/>
        <v>32.101999999999997</v>
      </c>
      <c r="H439" s="493" t="s">
        <v>11</v>
      </c>
      <c r="I439" s="493">
        <f t="shared" si="42"/>
        <v>13749.411999999995</v>
      </c>
      <c r="J439" s="493">
        <f t="shared" si="43"/>
        <v>22.450500000006286</v>
      </c>
      <c r="K439" s="494">
        <f t="shared" si="44"/>
        <v>423.21846728189445</v>
      </c>
      <c r="L439" s="229"/>
      <c r="M439" s="173"/>
      <c r="N439" s="474"/>
      <c r="O439" s="384"/>
      <c r="Q439" s="377">
        <f t="shared" si="47"/>
        <v>342</v>
      </c>
      <c r="R439" s="350">
        <v>32.5</v>
      </c>
      <c r="S439" s="351" t="str">
        <f t="shared" si="45"/>
        <v>OK</v>
      </c>
    </row>
    <row r="440" spans="1:19" ht="15.75" thickBot="1">
      <c r="A440" s="498">
        <f t="shared" si="48"/>
        <v>419</v>
      </c>
      <c r="B440" s="677" t="s">
        <v>98</v>
      </c>
      <c r="C440" s="678"/>
      <c r="D440" s="679"/>
      <c r="E440" s="491">
        <f>'7" 26# Deck Tally'!B419</f>
        <v>341</v>
      </c>
      <c r="F440" s="492">
        <f>'7" 26# Deck Tally'!C419</f>
        <v>33.26</v>
      </c>
      <c r="G440" s="493">
        <f t="shared" si="46"/>
        <v>32.861999999999995</v>
      </c>
      <c r="H440" s="493" t="s">
        <v>11</v>
      </c>
      <c r="I440" s="493">
        <f t="shared" si="42"/>
        <v>13749.411999999995</v>
      </c>
      <c r="J440" s="493">
        <f t="shared" si="43"/>
        <v>22.450500000006286</v>
      </c>
      <c r="K440" s="494">
        <f t="shared" si="44"/>
        <v>423.21846728189445</v>
      </c>
      <c r="L440" s="549" t="s">
        <v>250</v>
      </c>
      <c r="M440" s="550"/>
      <c r="N440" s="474"/>
      <c r="O440" s="384"/>
      <c r="Q440" s="377">
        <f t="shared" si="47"/>
        <v>341</v>
      </c>
      <c r="R440" s="350">
        <v>33.26</v>
      </c>
      <c r="S440" s="351" t="str">
        <f t="shared" si="45"/>
        <v>OK</v>
      </c>
    </row>
    <row r="441" spans="1:19" ht="13.5" thickBot="1">
      <c r="A441" s="498">
        <f t="shared" si="48"/>
        <v>420</v>
      </c>
      <c r="B441" s="677" t="s">
        <v>98</v>
      </c>
      <c r="C441" s="678"/>
      <c r="D441" s="679"/>
      <c r="E441" s="491">
        <f>'7" 26# Deck Tally'!B420</f>
        <v>340</v>
      </c>
      <c r="F441" s="492">
        <f>'7" 26# Deck Tally'!C420</f>
        <v>33.950000000000003</v>
      </c>
      <c r="G441" s="493">
        <f t="shared" si="46"/>
        <v>33.552</v>
      </c>
      <c r="H441" s="493" t="s">
        <v>11</v>
      </c>
      <c r="I441" s="493">
        <f t="shared" si="42"/>
        <v>13749.411999999995</v>
      </c>
      <c r="J441" s="493">
        <f t="shared" si="43"/>
        <v>22.450500000006286</v>
      </c>
      <c r="K441" s="494">
        <f t="shared" si="44"/>
        <v>423.21846728189445</v>
      </c>
      <c r="L441" s="545" t="s">
        <v>251</v>
      </c>
      <c r="M441" s="546"/>
      <c r="N441" s="474"/>
      <c r="O441" s="384"/>
      <c r="Q441" s="377">
        <f t="shared" si="47"/>
        <v>340</v>
      </c>
      <c r="R441" s="350">
        <v>33.950000000000003</v>
      </c>
      <c r="S441" s="351" t="str">
        <f t="shared" si="45"/>
        <v>OK</v>
      </c>
    </row>
    <row r="442" spans="1:19" ht="13.5" hidden="1" thickBot="1">
      <c r="A442" s="507">
        <f t="shared" si="48"/>
        <v>421</v>
      </c>
      <c r="B442" s="680" t="s">
        <v>98</v>
      </c>
      <c r="C442" s="681"/>
      <c r="D442" s="682"/>
      <c r="E442" s="489">
        <f>'7" 26# Deck Tally'!B415</f>
        <v>345</v>
      </c>
      <c r="F442" s="490">
        <f>'7" 26# Deck Tally'!C415</f>
        <v>33.75</v>
      </c>
      <c r="G442" s="439">
        <f t="shared" si="46"/>
        <v>33.351999999999997</v>
      </c>
      <c r="H442" s="439" t="s">
        <v>11</v>
      </c>
      <c r="I442" s="439">
        <f t="shared" si="42"/>
        <v>13749.411999999995</v>
      </c>
      <c r="J442" s="439">
        <f t="shared" si="43"/>
        <v>22.450500000006286</v>
      </c>
      <c r="K442" s="480">
        <f t="shared" si="44"/>
        <v>423.21846728189445</v>
      </c>
      <c r="L442" s="229"/>
      <c r="M442" s="173"/>
      <c r="N442" s="474"/>
      <c r="O442" s="384"/>
      <c r="Q442" s="377">
        <f t="shared" si="47"/>
        <v>345</v>
      </c>
      <c r="R442" s="350">
        <v>81.489999999999995</v>
      </c>
      <c r="S442" s="351" t="str">
        <f t="shared" si="45"/>
        <v>FALSE</v>
      </c>
    </row>
    <row r="443" spans="1:19" ht="13.5" hidden="1" thickBot="1">
      <c r="A443" s="483">
        <f t="shared" si="48"/>
        <v>422</v>
      </c>
      <c r="B443" s="540" t="s">
        <v>98</v>
      </c>
      <c r="C443" s="541"/>
      <c r="D443" s="542"/>
      <c r="E443" s="211">
        <f>'7" 26# Deck Tally'!B422</f>
        <v>338</v>
      </c>
      <c r="F443" s="368">
        <f>'7" 26# Deck Tally'!C422</f>
        <v>33.81</v>
      </c>
      <c r="G443" s="357">
        <f t="shared" si="46"/>
        <v>33.411999999999999</v>
      </c>
      <c r="H443" s="18" t="s">
        <v>11</v>
      </c>
      <c r="I443" s="18">
        <f t="shared" si="42"/>
        <v>13749.411999999995</v>
      </c>
      <c r="J443" s="18">
        <f t="shared" si="43"/>
        <v>22.450500000006286</v>
      </c>
      <c r="K443" s="216">
        <f t="shared" si="44"/>
        <v>423.21846728189445</v>
      </c>
      <c r="L443" s="229"/>
      <c r="M443" s="173"/>
      <c r="N443" s="474"/>
      <c r="O443" s="384"/>
      <c r="Q443" s="377">
        <f t="shared" si="47"/>
        <v>338</v>
      </c>
      <c r="R443" s="350">
        <v>82.49</v>
      </c>
      <c r="S443" s="351" t="str">
        <f t="shared" si="45"/>
        <v>FALSE</v>
      </c>
    </row>
    <row r="444" spans="1:19" ht="13.5" hidden="1" thickBot="1">
      <c r="A444" s="483">
        <f t="shared" si="48"/>
        <v>423</v>
      </c>
      <c r="B444" s="540" t="s">
        <v>98</v>
      </c>
      <c r="C444" s="541"/>
      <c r="D444" s="542"/>
      <c r="E444" s="211">
        <f>'7" 26# Deck Tally'!B423</f>
        <v>337</v>
      </c>
      <c r="F444" s="368">
        <f>'7" 26# Deck Tally'!C423</f>
        <v>33.33</v>
      </c>
      <c r="G444" s="357">
        <f t="shared" si="46"/>
        <v>32.931999999999995</v>
      </c>
      <c r="H444" s="18" t="s">
        <v>11</v>
      </c>
      <c r="I444" s="18">
        <f t="shared" si="42"/>
        <v>13749.411999999995</v>
      </c>
      <c r="J444" s="18">
        <f t="shared" si="43"/>
        <v>22.450500000006286</v>
      </c>
      <c r="K444" s="358">
        <f t="shared" si="44"/>
        <v>423.21846728189445</v>
      </c>
      <c r="L444" s="229"/>
      <c r="M444" s="173"/>
      <c r="N444" s="474"/>
      <c r="O444" s="384"/>
      <c r="R444" s="355"/>
      <c r="S444" s="356"/>
    </row>
    <row r="445" spans="1:19" ht="13.5" hidden="1" thickBot="1">
      <c r="A445" s="483">
        <f t="shared" si="48"/>
        <v>424</v>
      </c>
      <c r="B445" s="540" t="s">
        <v>98</v>
      </c>
      <c r="C445" s="541"/>
      <c r="D445" s="542"/>
      <c r="E445" s="211">
        <f>'7" 26# Deck Tally'!B424</f>
        <v>336</v>
      </c>
      <c r="F445" s="368">
        <f>'7" 26# Deck Tally'!C424</f>
        <v>33.64</v>
      </c>
      <c r="G445" s="357">
        <f t="shared" si="46"/>
        <v>33.241999999999997</v>
      </c>
      <c r="H445" s="18" t="s">
        <v>11</v>
      </c>
      <c r="I445" s="18">
        <f t="shared" si="42"/>
        <v>13749.411999999995</v>
      </c>
      <c r="J445" s="18">
        <f t="shared" si="43"/>
        <v>22.450500000006286</v>
      </c>
      <c r="K445" s="358">
        <f t="shared" si="44"/>
        <v>423.21846728189445</v>
      </c>
      <c r="L445" s="229"/>
      <c r="M445" s="173"/>
      <c r="N445" s="474"/>
      <c r="O445" s="384"/>
      <c r="R445" s="355"/>
      <c r="S445" s="356"/>
    </row>
    <row r="446" spans="1:19" ht="13.5" hidden="1" thickBot="1">
      <c r="A446" s="483">
        <f t="shared" si="48"/>
        <v>425</v>
      </c>
      <c r="B446" s="680" t="s">
        <v>98</v>
      </c>
      <c r="C446" s="681"/>
      <c r="D446" s="682"/>
      <c r="E446" s="489">
        <f>'7" 26# Deck Tally'!B416</f>
        <v>344</v>
      </c>
      <c r="F446" s="490">
        <f>'7" 26# Deck Tally'!C416</f>
        <v>33.950000000000003</v>
      </c>
      <c r="G446" s="439">
        <f t="shared" si="46"/>
        <v>33.552</v>
      </c>
      <c r="H446" s="439" t="s">
        <v>11</v>
      </c>
      <c r="I446" s="439">
        <f t="shared" si="42"/>
        <v>13749.411999999995</v>
      </c>
      <c r="J446" s="439">
        <f t="shared" si="43"/>
        <v>22.450500000006286</v>
      </c>
      <c r="K446" s="480">
        <f t="shared" si="44"/>
        <v>423.21846728189445</v>
      </c>
      <c r="L446" s="229"/>
      <c r="M446" s="173"/>
      <c r="N446" s="474"/>
      <c r="O446" s="384"/>
      <c r="R446" s="355"/>
      <c r="S446" s="356"/>
    </row>
    <row r="447" spans="1:19" ht="13.5" hidden="1" thickBot="1">
      <c r="A447" s="483">
        <f t="shared" si="48"/>
        <v>426</v>
      </c>
      <c r="B447" s="540" t="s">
        <v>98</v>
      </c>
      <c r="C447" s="541"/>
      <c r="D447" s="542"/>
      <c r="E447" s="211">
        <f>'7" 26# Deck Tally'!B426</f>
        <v>334</v>
      </c>
      <c r="F447" s="368">
        <f>'7" 26# Deck Tally'!C426</f>
        <v>33.07</v>
      </c>
      <c r="G447" s="357">
        <f t="shared" si="46"/>
        <v>32.671999999999997</v>
      </c>
      <c r="H447" s="18" t="s">
        <v>11</v>
      </c>
      <c r="I447" s="18">
        <f t="shared" si="42"/>
        <v>13749.411999999995</v>
      </c>
      <c r="J447" s="18">
        <f t="shared" si="43"/>
        <v>22.450500000006286</v>
      </c>
      <c r="K447" s="216">
        <f t="shared" si="44"/>
        <v>423.21846728189445</v>
      </c>
      <c r="L447" s="229"/>
      <c r="M447" s="173"/>
      <c r="N447" s="474"/>
      <c r="O447" s="384"/>
      <c r="R447" s="355"/>
      <c r="S447" s="356"/>
    </row>
    <row r="448" spans="1:19" ht="13.5" hidden="1" thickBot="1">
      <c r="A448" s="483">
        <f t="shared" si="48"/>
        <v>427</v>
      </c>
      <c r="B448" s="540" t="s">
        <v>98</v>
      </c>
      <c r="C448" s="541"/>
      <c r="D448" s="542"/>
      <c r="E448" s="211">
        <f>'7" 26# Deck Tally'!B427</f>
        <v>333</v>
      </c>
      <c r="F448" s="368">
        <f>'7" 26# Deck Tally'!C427</f>
        <v>33.159999999999997</v>
      </c>
      <c r="G448" s="357">
        <f t="shared" si="46"/>
        <v>32.761999999999993</v>
      </c>
      <c r="H448" s="18" t="s">
        <v>11</v>
      </c>
      <c r="I448" s="18">
        <f t="shared" si="42"/>
        <v>13749.411999999995</v>
      </c>
      <c r="J448" s="18">
        <f t="shared" si="43"/>
        <v>22.450500000006286</v>
      </c>
      <c r="K448" s="358">
        <f t="shared" si="44"/>
        <v>423.21846728189445</v>
      </c>
      <c r="L448" s="229"/>
      <c r="M448" s="173"/>
      <c r="N448" s="474"/>
      <c r="O448" s="384"/>
      <c r="R448" s="355"/>
      <c r="S448" s="356"/>
    </row>
    <row r="449" spans="1:19" ht="13.5" hidden="1" thickBot="1">
      <c r="A449" s="483">
        <f t="shared" si="48"/>
        <v>428</v>
      </c>
      <c r="B449" s="540" t="s">
        <v>98</v>
      </c>
      <c r="C449" s="541"/>
      <c r="D449" s="542"/>
      <c r="E449" s="211">
        <f>'7" 26# Deck Tally'!B428</f>
        <v>332</v>
      </c>
      <c r="F449" s="368">
        <f>'7" 26# Deck Tally'!C428</f>
        <v>32.92</v>
      </c>
      <c r="G449" s="357">
        <f t="shared" si="46"/>
        <v>32.521999999999998</v>
      </c>
      <c r="H449" s="18" t="s">
        <v>11</v>
      </c>
      <c r="I449" s="18">
        <f t="shared" si="42"/>
        <v>13749.411999999995</v>
      </c>
      <c r="J449" s="18">
        <f t="shared" si="43"/>
        <v>22.450500000006286</v>
      </c>
      <c r="K449" s="358">
        <f t="shared" si="44"/>
        <v>423.21846728189445</v>
      </c>
      <c r="L449" s="229"/>
      <c r="M449" s="173"/>
      <c r="N449" s="474"/>
      <c r="O449" s="384"/>
      <c r="R449" s="355"/>
      <c r="S449" s="356"/>
    </row>
    <row r="450" spans="1:19" ht="13.5" hidden="1" thickBot="1">
      <c r="A450" s="483">
        <f t="shared" si="48"/>
        <v>429</v>
      </c>
      <c r="B450" s="540" t="s">
        <v>98</v>
      </c>
      <c r="C450" s="541"/>
      <c r="D450" s="542"/>
      <c r="E450" s="211">
        <f>'7" 26# Deck Tally'!B429</f>
        <v>331</v>
      </c>
      <c r="F450" s="368">
        <f>'7" 26# Deck Tally'!C429</f>
        <v>33.15</v>
      </c>
      <c r="G450" s="357">
        <f t="shared" si="46"/>
        <v>32.751999999999995</v>
      </c>
      <c r="H450" s="18" t="s">
        <v>11</v>
      </c>
      <c r="I450" s="18">
        <f t="shared" si="42"/>
        <v>13749.411999999995</v>
      </c>
      <c r="J450" s="18">
        <f t="shared" si="43"/>
        <v>22.450500000006286</v>
      </c>
      <c r="K450" s="216">
        <f t="shared" si="44"/>
        <v>423.21846728189445</v>
      </c>
      <c r="L450" s="229"/>
      <c r="M450" s="173"/>
      <c r="N450" s="474"/>
      <c r="O450" s="384"/>
      <c r="R450" s="355"/>
      <c r="S450" s="356"/>
    </row>
    <row r="451" spans="1:19" ht="13.5" hidden="1" thickBot="1">
      <c r="A451" s="483">
        <f t="shared" si="48"/>
        <v>430</v>
      </c>
      <c r="B451" s="540" t="s">
        <v>98</v>
      </c>
      <c r="C451" s="541"/>
      <c r="D451" s="542"/>
      <c r="E451" s="211">
        <f>'7" 26# Deck Tally'!B430</f>
        <v>330</v>
      </c>
      <c r="F451" s="368">
        <f>'7" 26# Deck Tally'!C430</f>
        <v>33.49</v>
      </c>
      <c r="G451" s="357">
        <f t="shared" si="46"/>
        <v>33.091999999999999</v>
      </c>
      <c r="H451" s="18" t="s">
        <v>11</v>
      </c>
      <c r="I451" s="18">
        <f t="shared" si="42"/>
        <v>13749.411999999995</v>
      </c>
      <c r="J451" s="18">
        <f t="shared" si="43"/>
        <v>22.450500000006286</v>
      </c>
      <c r="K451" s="358">
        <f t="shared" si="44"/>
        <v>423.21846728189445</v>
      </c>
      <c r="L451" s="229"/>
      <c r="M451" s="173"/>
      <c r="N451" s="474"/>
      <c r="O451" s="384"/>
      <c r="R451" s="355"/>
      <c r="S451" s="356"/>
    </row>
    <row r="452" spans="1:19" ht="13.5" hidden="1" thickBot="1">
      <c r="A452" s="483">
        <f t="shared" si="48"/>
        <v>431</v>
      </c>
      <c r="B452" s="540" t="s">
        <v>98</v>
      </c>
      <c r="C452" s="541"/>
      <c r="D452" s="542"/>
      <c r="E452" s="211">
        <f>'7" 26# Deck Tally'!B431</f>
        <v>329</v>
      </c>
      <c r="F452" s="368">
        <f>'7" 26# Deck Tally'!C431</f>
        <v>33.630000000000003</v>
      </c>
      <c r="G452" s="357">
        <f t="shared" si="46"/>
        <v>33.231999999999999</v>
      </c>
      <c r="H452" s="18" t="s">
        <v>11</v>
      </c>
      <c r="I452" s="18">
        <f t="shared" si="42"/>
        <v>13749.411999999995</v>
      </c>
      <c r="J452" s="18">
        <f t="shared" si="43"/>
        <v>22.450500000006286</v>
      </c>
      <c r="K452" s="358">
        <f t="shared" si="44"/>
        <v>423.21846728189445</v>
      </c>
      <c r="L452" s="229"/>
      <c r="M452" s="173"/>
      <c r="N452" s="474"/>
      <c r="O452" s="384"/>
      <c r="R452" s="355"/>
      <c r="S452" s="356"/>
    </row>
    <row r="453" spans="1:19" ht="13.5" hidden="1" thickBot="1">
      <c r="A453" s="483">
        <f t="shared" si="48"/>
        <v>432</v>
      </c>
      <c r="B453" s="540" t="s">
        <v>98</v>
      </c>
      <c r="C453" s="541"/>
      <c r="D453" s="542"/>
      <c r="E453" s="211">
        <f>'7" 26# Deck Tally'!B432</f>
        <v>328</v>
      </c>
      <c r="F453" s="368">
        <f>'7" 26# Deck Tally'!C432</f>
        <v>33.39</v>
      </c>
      <c r="G453" s="357">
        <f t="shared" si="46"/>
        <v>32.991999999999997</v>
      </c>
      <c r="H453" s="18" t="s">
        <v>11</v>
      </c>
      <c r="I453" s="18">
        <f t="shared" si="42"/>
        <v>13749.411999999995</v>
      </c>
      <c r="J453" s="18">
        <f t="shared" si="43"/>
        <v>22.450500000006286</v>
      </c>
      <c r="K453" s="358">
        <f t="shared" si="44"/>
        <v>423.21846728189445</v>
      </c>
      <c r="L453" s="229"/>
      <c r="M453" s="173"/>
      <c r="N453" s="474"/>
      <c r="O453" s="384"/>
      <c r="R453" s="355"/>
      <c r="S453" s="356"/>
    </row>
    <row r="454" spans="1:19" ht="13.5" hidden="1" thickBot="1">
      <c r="A454" s="483">
        <f t="shared" si="48"/>
        <v>433</v>
      </c>
      <c r="B454" s="540" t="s">
        <v>98</v>
      </c>
      <c r="C454" s="541"/>
      <c r="D454" s="542"/>
      <c r="E454" s="211">
        <f>'7" 26# Deck Tally'!B433</f>
        <v>327</v>
      </c>
      <c r="F454" s="368">
        <f>'7" 26# Deck Tally'!C433</f>
        <v>33.17</v>
      </c>
      <c r="G454" s="357">
        <f t="shared" si="46"/>
        <v>32.771999999999998</v>
      </c>
      <c r="H454" s="18" t="s">
        <v>11</v>
      </c>
      <c r="I454" s="18">
        <f t="shared" si="42"/>
        <v>13749.411999999995</v>
      </c>
      <c r="J454" s="18">
        <f t="shared" si="43"/>
        <v>22.450500000006286</v>
      </c>
      <c r="K454" s="216">
        <f t="shared" si="44"/>
        <v>423.21846728189445</v>
      </c>
      <c r="L454" s="229"/>
      <c r="M454" s="173"/>
      <c r="N454" s="474"/>
      <c r="O454" s="384"/>
      <c r="R454" s="355"/>
      <c r="S454" s="356"/>
    </row>
    <row r="455" spans="1:19" ht="13.5" hidden="1" thickBot="1">
      <c r="A455" s="483">
        <f t="shared" si="48"/>
        <v>434</v>
      </c>
      <c r="B455" s="540" t="s">
        <v>98</v>
      </c>
      <c r="C455" s="541"/>
      <c r="D455" s="542"/>
      <c r="E455" s="211">
        <f>'7" 26# Deck Tally'!B434</f>
        <v>326</v>
      </c>
      <c r="F455" s="368">
        <f>'7" 26# Deck Tally'!C434</f>
        <v>33.200000000000003</v>
      </c>
      <c r="G455" s="357">
        <f t="shared" si="46"/>
        <v>32.802</v>
      </c>
      <c r="H455" s="18" t="s">
        <v>11</v>
      </c>
      <c r="I455" s="18">
        <f t="shared" si="42"/>
        <v>13749.411999999995</v>
      </c>
      <c r="J455" s="18">
        <f t="shared" si="43"/>
        <v>22.450500000006286</v>
      </c>
      <c r="K455" s="358">
        <f t="shared" si="44"/>
        <v>423.21846728189445</v>
      </c>
      <c r="L455" s="229"/>
      <c r="M455" s="173"/>
      <c r="N455" s="474"/>
      <c r="O455" s="384"/>
      <c r="R455" s="355"/>
      <c r="S455" s="356"/>
    </row>
    <row r="456" spans="1:19" ht="13.5" hidden="1" thickBot="1">
      <c r="A456" s="483">
        <f t="shared" si="48"/>
        <v>435</v>
      </c>
      <c r="B456" s="540" t="s">
        <v>98</v>
      </c>
      <c r="C456" s="541"/>
      <c r="D456" s="542"/>
      <c r="E456" s="211">
        <f>'7" 26# Deck Tally'!B435</f>
        <v>325</v>
      </c>
      <c r="F456" s="368">
        <f>'7" 26# Deck Tally'!C435</f>
        <v>33.44</v>
      </c>
      <c r="G456" s="357">
        <f t="shared" si="46"/>
        <v>33.041999999999994</v>
      </c>
      <c r="H456" s="18" t="s">
        <v>11</v>
      </c>
      <c r="I456" s="18">
        <f t="shared" si="42"/>
        <v>13749.411999999995</v>
      </c>
      <c r="J456" s="18">
        <f t="shared" si="43"/>
        <v>22.450500000006286</v>
      </c>
      <c r="K456" s="358">
        <f t="shared" si="44"/>
        <v>423.21846728189445</v>
      </c>
      <c r="L456" s="229"/>
      <c r="M456" s="173"/>
      <c r="N456" s="474"/>
      <c r="O456" s="384"/>
      <c r="R456" s="355"/>
      <c r="S456" s="356"/>
    </row>
    <row r="457" spans="1:19" ht="13.5" hidden="1" thickBot="1">
      <c r="A457" s="483">
        <f t="shared" si="48"/>
        <v>436</v>
      </c>
      <c r="B457" s="540" t="s">
        <v>98</v>
      </c>
      <c r="C457" s="541"/>
      <c r="D457" s="542"/>
      <c r="E457" s="211">
        <f>'7" 26# Deck Tally'!B436</f>
        <v>324</v>
      </c>
      <c r="F457" s="368">
        <f>'7" 26# Deck Tally'!C436</f>
        <v>33.92</v>
      </c>
      <c r="G457" s="357">
        <f t="shared" si="46"/>
        <v>33.521999999999998</v>
      </c>
      <c r="H457" s="18" t="s">
        <v>11</v>
      </c>
      <c r="I457" s="18">
        <f t="shared" si="42"/>
        <v>13749.411999999995</v>
      </c>
      <c r="J457" s="18">
        <f t="shared" si="43"/>
        <v>22.450500000006286</v>
      </c>
      <c r="K457" s="216">
        <f t="shared" si="44"/>
        <v>423.21846728189445</v>
      </c>
      <c r="L457" s="229"/>
      <c r="M457" s="173"/>
      <c r="N457" s="474"/>
      <c r="O457" s="384"/>
      <c r="R457" s="355"/>
      <c r="S457" s="356"/>
    </row>
    <row r="458" spans="1:19" ht="13.5" hidden="1" thickBot="1">
      <c r="A458" s="483">
        <f t="shared" si="48"/>
        <v>437</v>
      </c>
      <c r="B458" s="540" t="s">
        <v>98</v>
      </c>
      <c r="C458" s="541"/>
      <c r="D458" s="542"/>
      <c r="E458" s="211">
        <f>'7" 26# Deck Tally'!B437</f>
        <v>323</v>
      </c>
      <c r="F458" s="368">
        <f>'7" 26# Deck Tally'!C437</f>
        <v>33.979999999999997</v>
      </c>
      <c r="G458" s="357">
        <f t="shared" si="46"/>
        <v>33.581999999999994</v>
      </c>
      <c r="H458" s="18" t="s">
        <v>11</v>
      </c>
      <c r="I458" s="18">
        <f t="shared" si="42"/>
        <v>13749.411999999995</v>
      </c>
      <c r="J458" s="18">
        <f t="shared" si="43"/>
        <v>22.450500000006286</v>
      </c>
      <c r="K458" s="358">
        <f t="shared" si="44"/>
        <v>423.21846728189445</v>
      </c>
      <c r="L458" s="229"/>
      <c r="M458" s="173"/>
      <c r="N458" s="474"/>
      <c r="O458" s="384"/>
      <c r="R458" s="355"/>
      <c r="S458" s="356"/>
    </row>
    <row r="459" spans="1:19" ht="13.5" hidden="1" thickBot="1">
      <c r="A459" s="483">
        <f t="shared" si="48"/>
        <v>438</v>
      </c>
      <c r="B459" s="540" t="s">
        <v>98</v>
      </c>
      <c r="C459" s="541"/>
      <c r="D459" s="542"/>
      <c r="E459" s="211">
        <f>'7" 26# Deck Tally'!B438</f>
        <v>322</v>
      </c>
      <c r="F459" s="368">
        <f>'7" 26# Deck Tally'!C438</f>
        <v>33.4</v>
      </c>
      <c r="G459" s="357">
        <f t="shared" si="46"/>
        <v>33.001999999999995</v>
      </c>
      <c r="H459" s="18" t="s">
        <v>11</v>
      </c>
      <c r="I459" s="18">
        <f t="shared" si="42"/>
        <v>13749.411999999995</v>
      </c>
      <c r="J459" s="18">
        <f t="shared" si="43"/>
        <v>22.450500000006286</v>
      </c>
      <c r="K459" s="358">
        <f t="shared" si="44"/>
        <v>423.21846728189445</v>
      </c>
      <c r="L459" s="229"/>
      <c r="M459" s="173"/>
      <c r="N459" s="474"/>
      <c r="O459" s="384"/>
      <c r="R459" s="355"/>
      <c r="S459" s="356"/>
    </row>
    <row r="460" spans="1:19" ht="13.5" hidden="1" thickBot="1">
      <c r="A460" s="483">
        <f t="shared" si="48"/>
        <v>439</v>
      </c>
      <c r="B460" s="540" t="s">
        <v>98</v>
      </c>
      <c r="C460" s="541"/>
      <c r="D460" s="542"/>
      <c r="E460" s="211">
        <f>'7" 26# Deck Tally'!B439</f>
        <v>321</v>
      </c>
      <c r="F460" s="368">
        <f>'7" 26# Deck Tally'!C439</f>
        <v>33.549999999999997</v>
      </c>
      <c r="G460" s="357">
        <f t="shared" si="46"/>
        <v>33.151999999999994</v>
      </c>
      <c r="H460" s="18" t="s">
        <v>11</v>
      </c>
      <c r="I460" s="18">
        <f t="shared" si="42"/>
        <v>13749.411999999995</v>
      </c>
      <c r="J460" s="18">
        <f t="shared" si="43"/>
        <v>22.450500000006286</v>
      </c>
      <c r="K460" s="358">
        <f t="shared" si="44"/>
        <v>423.21846728189445</v>
      </c>
      <c r="L460" s="478"/>
      <c r="M460" s="349"/>
      <c r="N460" s="474"/>
      <c r="O460" s="384"/>
      <c r="R460" s="355"/>
      <c r="S460" s="356"/>
    </row>
    <row r="461" spans="1:19" ht="13.5" thickBot="1">
      <c r="A461" s="483"/>
      <c r="B461" s="584" t="s">
        <v>92</v>
      </c>
      <c r="C461" s="585"/>
      <c r="D461" s="486" t="s">
        <v>111</v>
      </c>
      <c r="E461" s="487">
        <f>'7" 26# Deck Tally'!B4</f>
        <v>320</v>
      </c>
      <c r="F461" s="217">
        <f>'7" 26# Deck Tally'!C4</f>
        <v>33.56</v>
      </c>
      <c r="G461" s="217">
        <f t="shared" si="46"/>
        <v>33.161999999999999</v>
      </c>
      <c r="H461" s="488" t="s">
        <v>9</v>
      </c>
      <c r="I461" s="301">
        <f>IF(H461="IN",I460+G461,I460)</f>
        <v>13782.573999999995</v>
      </c>
      <c r="J461" s="301">
        <f t="shared" si="43"/>
        <v>-10.711499999993976</v>
      </c>
      <c r="K461" s="506">
        <f t="shared" si="44"/>
        <v>423.93050026279593</v>
      </c>
      <c r="L461" s="683"/>
      <c r="M461" s="684"/>
      <c r="N461" s="435"/>
      <c r="O461" s="384"/>
      <c r="P461" s="384"/>
    </row>
    <row r="462" spans="1:19" ht="13.5" hidden="1" thickBot="1">
      <c r="A462" s="483"/>
      <c r="B462" s="275"/>
      <c r="C462" s="325"/>
      <c r="D462" s="326"/>
      <c r="E462" s="327"/>
      <c r="F462" s="328"/>
      <c r="G462" s="276"/>
      <c r="H462" s="276" t="s">
        <v>11</v>
      </c>
      <c r="I462" s="18">
        <f>IF(H462="IN",I461+G462,I461)</f>
        <v>13782.573999999995</v>
      </c>
      <c r="J462" s="329">
        <f t="shared" si="43"/>
        <v>-10.711499999993976</v>
      </c>
      <c r="K462" s="330">
        <f>$H$6+(I462*$F$7*$H$8/1000)</f>
        <v>423.93050026279593</v>
      </c>
      <c r="L462" s="685" t="s">
        <v>231</v>
      </c>
      <c r="M462" s="688">
        <f>I438+G13-L6</f>
        <v>-2.8905000000067957</v>
      </c>
      <c r="N462" s="435"/>
      <c r="O462" s="384"/>
      <c r="P462" s="384"/>
    </row>
    <row r="463" spans="1:19" ht="12.95" customHeight="1">
      <c r="A463" s="483"/>
      <c r="B463" s="572" t="s">
        <v>225</v>
      </c>
      <c r="C463" s="575" t="s">
        <v>68</v>
      </c>
      <c r="D463" s="576"/>
      <c r="E463" s="577"/>
      <c r="F463" s="182">
        <v>6.73</v>
      </c>
      <c r="G463" s="183">
        <f>F463-($F$9)</f>
        <v>6.3320000000000007</v>
      </c>
      <c r="H463" s="183" t="s">
        <v>11</v>
      </c>
      <c r="I463" s="310"/>
      <c r="J463" s="310"/>
      <c r="K463" s="331" t="s">
        <v>120</v>
      </c>
      <c r="L463" s="686"/>
      <c r="M463" s="689"/>
      <c r="N463" s="435"/>
    </row>
    <row r="464" spans="1:19" ht="12.95" customHeight="1" thickBot="1">
      <c r="A464" s="483"/>
      <c r="B464" s="573"/>
      <c r="C464" s="578" t="s">
        <v>110</v>
      </c>
      <c r="D464" s="579"/>
      <c r="E464" s="580"/>
      <c r="F464" s="332">
        <v>99.55</v>
      </c>
      <c r="G464" s="306">
        <f>F464</f>
        <v>99.55</v>
      </c>
      <c r="H464" s="306" t="s">
        <v>11</v>
      </c>
      <c r="I464" s="440"/>
      <c r="J464" s="440"/>
      <c r="K464" s="333" t="s">
        <v>224</v>
      </c>
      <c r="L464" s="686"/>
      <c r="M464" s="689"/>
      <c r="N464" s="474"/>
      <c r="R464" s="19"/>
    </row>
    <row r="465" spans="1:18" ht="12.95" customHeight="1" thickBot="1">
      <c r="A465" s="483"/>
      <c r="B465" s="574"/>
      <c r="C465" s="581" t="s">
        <v>69</v>
      </c>
      <c r="D465" s="582"/>
      <c r="E465" s="582"/>
      <c r="F465" s="583"/>
      <c r="G465" s="217">
        <v>0</v>
      </c>
      <c r="H465" s="181" t="s">
        <v>11</v>
      </c>
      <c r="I465" s="181">
        <f t="shared" ref="I465" si="49">IF(H465="IN",I464+G465,I464)</f>
        <v>0</v>
      </c>
      <c r="J465" s="181"/>
      <c r="K465" s="434"/>
      <c r="L465" s="686"/>
      <c r="M465" s="689"/>
      <c r="N465" s="19"/>
      <c r="R465" s="19"/>
    </row>
    <row r="466" spans="1:18" ht="13.5" thickBot="1">
      <c r="A466" s="484"/>
      <c r="B466" s="201"/>
      <c r="C466" s="202"/>
      <c r="D466" s="203"/>
      <c r="E466" s="204"/>
      <c r="F466" s="205"/>
      <c r="G466" s="205"/>
      <c r="H466" s="205"/>
      <c r="I466" s="205"/>
      <c r="J466" s="205"/>
      <c r="K466" s="226"/>
      <c r="L466" s="687"/>
      <c r="M466" s="690"/>
      <c r="R466" s="19"/>
    </row>
    <row r="467" spans="1:18">
      <c r="B467" s="11"/>
      <c r="C467" s="11"/>
      <c r="D467" s="12"/>
      <c r="E467" s="175"/>
      <c r="F467" s="8"/>
      <c r="G467" s="8"/>
      <c r="H467" s="8"/>
      <c r="I467" s="8"/>
      <c r="J467" s="8"/>
      <c r="K467" s="176"/>
      <c r="L467" s="30"/>
      <c r="M467" s="10"/>
      <c r="P467" s="19"/>
      <c r="R467" s="19"/>
    </row>
    <row r="468" spans="1:18">
      <c r="B468" s="11"/>
      <c r="C468" s="11"/>
      <c r="D468" s="12"/>
      <c r="E468" s="175"/>
      <c r="F468" s="8"/>
      <c r="G468" s="8"/>
      <c r="H468" s="8"/>
      <c r="I468" s="8"/>
      <c r="J468" s="8"/>
      <c r="K468" s="176"/>
      <c r="M468" s="10"/>
      <c r="R468" s="19"/>
    </row>
    <row r="469" spans="1:18">
      <c r="B469" s="11"/>
      <c r="C469" s="11"/>
      <c r="D469" s="12"/>
      <c r="E469" s="175"/>
      <c r="F469" s="8"/>
      <c r="G469" s="8"/>
      <c r="H469" s="8"/>
      <c r="I469" s="8"/>
      <c r="J469" s="8"/>
      <c r="K469" s="176"/>
      <c r="M469" s="359"/>
      <c r="N469" s="467"/>
      <c r="O469" s="19"/>
      <c r="P469" s="19"/>
      <c r="R469" s="19"/>
    </row>
    <row r="470" spans="1:18">
      <c r="B470" s="11"/>
      <c r="C470" s="11"/>
      <c r="D470" s="12"/>
      <c r="E470" s="175"/>
      <c r="F470" s="8"/>
      <c r="G470" s="8"/>
      <c r="H470" s="8"/>
      <c r="I470" s="8"/>
      <c r="J470" s="8"/>
      <c r="K470" s="176"/>
      <c r="M470" s="10"/>
    </row>
    <row r="471" spans="1:18">
      <c r="B471" s="11"/>
      <c r="C471" s="11"/>
      <c r="D471" s="12"/>
      <c r="E471" s="175"/>
      <c r="F471" s="8"/>
      <c r="G471" s="8"/>
      <c r="H471" s="8"/>
      <c r="I471" s="8"/>
      <c r="J471" s="8"/>
      <c r="K471" s="176"/>
      <c r="M471" s="359"/>
    </row>
    <row r="472" spans="1:18">
      <c r="B472" s="11"/>
      <c r="C472" s="11"/>
      <c r="D472" s="12"/>
      <c r="E472" s="175"/>
      <c r="F472" s="8"/>
      <c r="G472" s="8"/>
      <c r="H472" s="8"/>
      <c r="I472" s="8"/>
      <c r="J472" s="8"/>
      <c r="K472" s="176"/>
      <c r="M472" s="10"/>
    </row>
    <row r="473" spans="1:18">
      <c r="B473" s="11"/>
      <c r="C473" s="11"/>
      <c r="D473" s="12"/>
      <c r="E473" s="175"/>
      <c r="F473" s="8"/>
      <c r="G473" s="8"/>
      <c r="H473" s="8"/>
      <c r="I473" s="8"/>
      <c r="J473" s="8"/>
      <c r="K473" s="176"/>
      <c r="M473" s="10"/>
    </row>
    <row r="474" spans="1:18">
      <c r="B474" s="11"/>
      <c r="C474" s="11"/>
      <c r="D474" s="12"/>
      <c r="E474" s="175"/>
      <c r="F474" s="8"/>
      <c r="G474" s="8"/>
      <c r="H474" s="8"/>
      <c r="I474" s="8"/>
      <c r="J474" s="8"/>
      <c r="K474" s="176"/>
      <c r="M474" s="10"/>
    </row>
    <row r="475" spans="1:18">
      <c r="B475" s="11"/>
      <c r="C475" s="11"/>
      <c r="D475" s="12"/>
      <c r="E475" s="175"/>
      <c r="F475" s="8"/>
      <c r="G475" s="8"/>
      <c r="H475" s="8"/>
      <c r="I475" s="8"/>
      <c r="J475" s="8"/>
      <c r="K475" s="176"/>
      <c r="M475" s="10"/>
    </row>
    <row r="476" spans="1:18">
      <c r="B476" s="11"/>
      <c r="C476" s="11"/>
      <c r="D476" s="12"/>
      <c r="E476" s="175"/>
      <c r="F476" s="8"/>
      <c r="G476" s="8"/>
      <c r="H476" s="8"/>
      <c r="I476" s="8"/>
      <c r="J476" s="8"/>
      <c r="K476" s="176"/>
      <c r="M476" s="10"/>
    </row>
    <row r="477" spans="1:18">
      <c r="B477" s="11"/>
      <c r="C477" s="11"/>
      <c r="D477" s="12"/>
      <c r="E477" s="175"/>
      <c r="F477" s="8"/>
      <c r="G477" s="8"/>
      <c r="H477" s="8"/>
      <c r="I477" s="8"/>
      <c r="J477" s="8"/>
      <c r="K477" s="176"/>
      <c r="M477" s="10"/>
    </row>
    <row r="478" spans="1:18">
      <c r="B478" s="11"/>
      <c r="C478" s="11"/>
      <c r="D478" s="12"/>
      <c r="E478" s="175"/>
      <c r="F478" s="8"/>
      <c r="G478" s="8"/>
      <c r="H478" s="8"/>
      <c r="I478" s="8"/>
      <c r="J478" s="8"/>
      <c r="K478" s="176"/>
      <c r="M478" s="10"/>
    </row>
    <row r="479" spans="1:18">
      <c r="B479" s="11"/>
      <c r="C479" s="11"/>
      <c r="D479" s="12"/>
      <c r="E479" s="175"/>
      <c r="F479" s="8"/>
      <c r="G479" s="8"/>
      <c r="H479" s="8"/>
      <c r="I479" s="8"/>
      <c r="J479" s="8"/>
      <c r="K479" s="176"/>
      <c r="M479" s="10"/>
    </row>
    <row r="480" spans="1:18">
      <c r="B480" s="11"/>
      <c r="C480" s="11"/>
      <c r="D480" s="12"/>
      <c r="E480" s="175"/>
      <c r="F480" s="8"/>
      <c r="G480" s="8"/>
      <c r="H480" s="8"/>
      <c r="I480" s="8"/>
      <c r="J480" s="8"/>
      <c r="K480" s="176"/>
      <c r="M480" s="10"/>
    </row>
    <row r="481" spans="2:13">
      <c r="B481" s="11"/>
      <c r="C481" s="11"/>
      <c r="D481" s="12"/>
      <c r="E481" s="175"/>
      <c r="F481" s="8"/>
      <c r="G481" s="8"/>
      <c r="H481" s="8"/>
      <c r="I481" s="8"/>
      <c r="J481" s="8"/>
      <c r="K481" s="176"/>
      <c r="M481" s="10"/>
    </row>
    <row r="482" spans="2:13">
      <c r="B482"/>
      <c r="C482"/>
      <c r="D482" s="26"/>
      <c r="E482"/>
      <c r="F482"/>
      <c r="G482" s="28"/>
      <c r="H482"/>
      <c r="I482"/>
      <c r="J482"/>
      <c r="K482"/>
      <c r="M482" s="10"/>
    </row>
    <row r="483" spans="2:13">
      <c r="B483"/>
      <c r="C483"/>
      <c r="D483" s="26"/>
      <c r="E483"/>
      <c r="F483"/>
      <c r="G483" s="28"/>
      <c r="H483"/>
      <c r="I483"/>
      <c r="J483"/>
      <c r="K483"/>
      <c r="M483" s="10"/>
    </row>
    <row r="484" spans="2:13">
      <c r="B484"/>
      <c r="C484"/>
      <c r="D484" s="26"/>
      <c r="E484"/>
      <c r="F484"/>
      <c r="G484" s="28"/>
      <c r="H484"/>
      <c r="I484"/>
      <c r="J484"/>
      <c r="K484"/>
      <c r="M484" s="10"/>
    </row>
    <row r="485" spans="2:13">
      <c r="B485"/>
      <c r="C485"/>
      <c r="D485" s="26"/>
      <c r="E485"/>
      <c r="F485"/>
      <c r="G485" s="28"/>
      <c r="H485"/>
      <c r="I485"/>
      <c r="J485"/>
      <c r="K485"/>
      <c r="M485" s="10"/>
    </row>
    <row r="486" spans="2:13">
      <c r="B486"/>
      <c r="C486"/>
      <c r="D486" s="26"/>
      <c r="E486"/>
      <c r="F486"/>
      <c r="G486" s="28"/>
      <c r="H486"/>
      <c r="I486"/>
      <c r="J486"/>
      <c r="K486"/>
      <c r="M486" s="10"/>
    </row>
    <row r="487" spans="2:13">
      <c r="B487"/>
      <c r="C487"/>
      <c r="D487" s="26"/>
      <c r="E487"/>
      <c r="F487"/>
      <c r="G487" s="28"/>
      <c r="H487"/>
      <c r="I487"/>
      <c r="J487"/>
      <c r="K487"/>
      <c r="M487" s="10"/>
    </row>
    <row r="488" spans="2:13">
      <c r="B488"/>
      <c r="C488"/>
      <c r="D488" s="26"/>
      <c r="E488"/>
      <c r="F488"/>
      <c r="G488" s="28"/>
      <c r="H488"/>
      <c r="I488"/>
      <c r="J488"/>
      <c r="K488"/>
      <c r="M488" s="10"/>
    </row>
    <row r="489" spans="2:13">
      <c r="M489" s="10"/>
    </row>
    <row r="490" spans="2:13">
      <c r="M490" s="10"/>
    </row>
    <row r="491" spans="2:13">
      <c r="M491" s="10"/>
    </row>
    <row r="492" spans="2:13">
      <c r="L492"/>
    </row>
    <row r="493" spans="2:13">
      <c r="L493"/>
    </row>
    <row r="494" spans="2:13">
      <c r="L494"/>
    </row>
    <row r="495" spans="2:13">
      <c r="L495"/>
    </row>
    <row r="496" spans="2:13">
      <c r="L496"/>
    </row>
    <row r="497" spans="12:12">
      <c r="L497"/>
    </row>
    <row r="498" spans="12:12">
      <c r="L498"/>
    </row>
    <row r="499" spans="12:12">
      <c r="L499"/>
    </row>
    <row r="500" spans="12:12">
      <c r="L500"/>
    </row>
    <row r="501" spans="12:12">
      <c r="L501"/>
    </row>
    <row r="502" spans="12:12">
      <c r="L502"/>
    </row>
  </sheetData>
  <mergeCells count="521">
    <mergeCell ref="C465:F465"/>
    <mergeCell ref="B458:D458"/>
    <mergeCell ref="B459:D459"/>
    <mergeCell ref="B460:D460"/>
    <mergeCell ref="B461:C461"/>
    <mergeCell ref="L461:M461"/>
    <mergeCell ref="L462:L466"/>
    <mergeCell ref="M462:M466"/>
    <mergeCell ref="B463:B465"/>
    <mergeCell ref="C463:E463"/>
    <mergeCell ref="C464:E464"/>
    <mergeCell ref="B452:D452"/>
    <mergeCell ref="B453:D453"/>
    <mergeCell ref="B454:D454"/>
    <mergeCell ref="B455:D455"/>
    <mergeCell ref="B456:D456"/>
    <mergeCell ref="B457:D457"/>
    <mergeCell ref="B446:D446"/>
    <mergeCell ref="B447:D447"/>
    <mergeCell ref="B448:D448"/>
    <mergeCell ref="B449:D449"/>
    <mergeCell ref="B450:D450"/>
    <mergeCell ref="B451:D451"/>
    <mergeCell ref="B441:D441"/>
    <mergeCell ref="L441:M441"/>
    <mergeCell ref="B442:D442"/>
    <mergeCell ref="B443:D443"/>
    <mergeCell ref="B444:D444"/>
    <mergeCell ref="B445:D445"/>
    <mergeCell ref="B436:D436"/>
    <mergeCell ref="B437:D437"/>
    <mergeCell ref="B438:D438"/>
    <mergeCell ref="B439:D439"/>
    <mergeCell ref="B440:D440"/>
    <mergeCell ref="L440:M440"/>
    <mergeCell ref="B431:D431"/>
    <mergeCell ref="B432:D432"/>
    <mergeCell ref="B433:D433"/>
    <mergeCell ref="B434:D434"/>
    <mergeCell ref="B435:D435"/>
    <mergeCell ref="L435:M435"/>
    <mergeCell ref="B425:D425"/>
    <mergeCell ref="B426:D426"/>
    <mergeCell ref="B427:D427"/>
    <mergeCell ref="B428:D428"/>
    <mergeCell ref="B429:D429"/>
    <mergeCell ref="B430:D430"/>
    <mergeCell ref="B419:D419"/>
    <mergeCell ref="B420:D420"/>
    <mergeCell ref="B421:D421"/>
    <mergeCell ref="B422:D422"/>
    <mergeCell ref="B423:D423"/>
    <mergeCell ref="B424:D424"/>
    <mergeCell ref="B413:D413"/>
    <mergeCell ref="B414:D414"/>
    <mergeCell ref="B415:D415"/>
    <mergeCell ref="B416:D416"/>
    <mergeCell ref="B417:D417"/>
    <mergeCell ref="B418:D418"/>
    <mergeCell ref="B407:D407"/>
    <mergeCell ref="B408:D408"/>
    <mergeCell ref="B409:D409"/>
    <mergeCell ref="B410:D410"/>
    <mergeCell ref="B411:D411"/>
    <mergeCell ref="B412:D412"/>
    <mergeCell ref="L402:M402"/>
    <mergeCell ref="D403:E403"/>
    <mergeCell ref="L403:M403"/>
    <mergeCell ref="B404:D404"/>
    <mergeCell ref="B405:D405"/>
    <mergeCell ref="B406:D406"/>
    <mergeCell ref="B397:D397"/>
    <mergeCell ref="B398:D398"/>
    <mergeCell ref="A399:A403"/>
    <mergeCell ref="B399:B403"/>
    <mergeCell ref="C399:C403"/>
    <mergeCell ref="D399:E399"/>
    <mergeCell ref="D400:E400"/>
    <mergeCell ref="D401:E401"/>
    <mergeCell ref="D402:E402"/>
    <mergeCell ref="B391:D391"/>
    <mergeCell ref="B392:D392"/>
    <mergeCell ref="B393:D393"/>
    <mergeCell ref="B394:D394"/>
    <mergeCell ref="B395:D395"/>
    <mergeCell ref="B396:D396"/>
    <mergeCell ref="B385:D385"/>
    <mergeCell ref="B386:D386"/>
    <mergeCell ref="B387:D387"/>
    <mergeCell ref="B388:D388"/>
    <mergeCell ref="B389:D389"/>
    <mergeCell ref="B390:D390"/>
    <mergeCell ref="B379:D379"/>
    <mergeCell ref="B380:D380"/>
    <mergeCell ref="B381:D381"/>
    <mergeCell ref="B382:D382"/>
    <mergeCell ref="B383:D383"/>
    <mergeCell ref="B384:D384"/>
    <mergeCell ref="B373:D373"/>
    <mergeCell ref="B374:D374"/>
    <mergeCell ref="B375:D375"/>
    <mergeCell ref="B376:D376"/>
    <mergeCell ref="B377:D377"/>
    <mergeCell ref="B378:D378"/>
    <mergeCell ref="B367:D367"/>
    <mergeCell ref="B368:D368"/>
    <mergeCell ref="B369:D369"/>
    <mergeCell ref="B370:D370"/>
    <mergeCell ref="B371:D371"/>
    <mergeCell ref="B372:D372"/>
    <mergeCell ref="B361:D361"/>
    <mergeCell ref="B362:D362"/>
    <mergeCell ref="B363:D363"/>
    <mergeCell ref="B364:D364"/>
    <mergeCell ref="B365:D365"/>
    <mergeCell ref="B366:D366"/>
    <mergeCell ref="B356:D356"/>
    <mergeCell ref="L356:M356"/>
    <mergeCell ref="B357:D357"/>
    <mergeCell ref="B358:D358"/>
    <mergeCell ref="B359:D359"/>
    <mergeCell ref="B360:D360"/>
    <mergeCell ref="B353:D353"/>
    <mergeCell ref="L353:M353"/>
    <mergeCell ref="B354:D354"/>
    <mergeCell ref="L354:M354"/>
    <mergeCell ref="B355:D355"/>
    <mergeCell ref="L355:M355"/>
    <mergeCell ref="B347:D347"/>
    <mergeCell ref="B348:D348"/>
    <mergeCell ref="B349:D349"/>
    <mergeCell ref="B350:D350"/>
    <mergeCell ref="B351:D351"/>
    <mergeCell ref="B352:D352"/>
    <mergeCell ref="B341:D341"/>
    <mergeCell ref="B342:D342"/>
    <mergeCell ref="B343:D343"/>
    <mergeCell ref="B344:D344"/>
    <mergeCell ref="B345:D345"/>
    <mergeCell ref="B346:D346"/>
    <mergeCell ref="B335:D335"/>
    <mergeCell ref="B336:D336"/>
    <mergeCell ref="B337:D337"/>
    <mergeCell ref="B338:D338"/>
    <mergeCell ref="B339:D339"/>
    <mergeCell ref="B340:D340"/>
    <mergeCell ref="B329:D329"/>
    <mergeCell ref="B330:D330"/>
    <mergeCell ref="B331:D331"/>
    <mergeCell ref="B332:D332"/>
    <mergeCell ref="B333:D333"/>
    <mergeCell ref="B334:D334"/>
    <mergeCell ref="B323:D323"/>
    <mergeCell ref="B324:D324"/>
    <mergeCell ref="B325:D325"/>
    <mergeCell ref="B326:D326"/>
    <mergeCell ref="B327:D327"/>
    <mergeCell ref="B328:D328"/>
    <mergeCell ref="B317:D317"/>
    <mergeCell ref="B318:D318"/>
    <mergeCell ref="B319:D319"/>
    <mergeCell ref="B320:D320"/>
    <mergeCell ref="B321:D321"/>
    <mergeCell ref="B322:D322"/>
    <mergeCell ref="B311:D311"/>
    <mergeCell ref="B312:D312"/>
    <mergeCell ref="B313:D313"/>
    <mergeCell ref="B314:D314"/>
    <mergeCell ref="B315:D315"/>
    <mergeCell ref="B316:D316"/>
    <mergeCell ref="B305:D305"/>
    <mergeCell ref="B306:D306"/>
    <mergeCell ref="B307:D307"/>
    <mergeCell ref="B308:D308"/>
    <mergeCell ref="B309:D309"/>
    <mergeCell ref="B310:D310"/>
    <mergeCell ref="B299:D299"/>
    <mergeCell ref="B300:D300"/>
    <mergeCell ref="B301:D301"/>
    <mergeCell ref="B302:D302"/>
    <mergeCell ref="B303:D303"/>
    <mergeCell ref="B304:D304"/>
    <mergeCell ref="B293:D293"/>
    <mergeCell ref="B294:D294"/>
    <mergeCell ref="B295:D295"/>
    <mergeCell ref="B296:D296"/>
    <mergeCell ref="B297:D297"/>
    <mergeCell ref="B298:D298"/>
    <mergeCell ref="B287:D287"/>
    <mergeCell ref="B288:D288"/>
    <mergeCell ref="B289:D289"/>
    <mergeCell ref="B290:D290"/>
    <mergeCell ref="B291:D291"/>
    <mergeCell ref="B292:D292"/>
    <mergeCell ref="B281:D281"/>
    <mergeCell ref="B282:D282"/>
    <mergeCell ref="B283:D283"/>
    <mergeCell ref="B284:D284"/>
    <mergeCell ref="B285:D285"/>
    <mergeCell ref="B286:D286"/>
    <mergeCell ref="B275:D275"/>
    <mergeCell ref="B276:D276"/>
    <mergeCell ref="B277:D277"/>
    <mergeCell ref="B278:D278"/>
    <mergeCell ref="B279:D279"/>
    <mergeCell ref="B280:D280"/>
    <mergeCell ref="B269:D269"/>
    <mergeCell ref="B270:D270"/>
    <mergeCell ref="B271:D271"/>
    <mergeCell ref="B272:D272"/>
    <mergeCell ref="B273:D273"/>
    <mergeCell ref="B274:D274"/>
    <mergeCell ref="B264:D264"/>
    <mergeCell ref="L264:M264"/>
    <mergeCell ref="B265:D265"/>
    <mergeCell ref="B266:D266"/>
    <mergeCell ref="B267:D267"/>
    <mergeCell ref="B268:D268"/>
    <mergeCell ref="B261:D261"/>
    <mergeCell ref="L261:M261"/>
    <mergeCell ref="B262:D262"/>
    <mergeCell ref="L262:M262"/>
    <mergeCell ref="B263:D263"/>
    <mergeCell ref="L263:M263"/>
    <mergeCell ref="B258:D258"/>
    <mergeCell ref="L258:M258"/>
    <mergeCell ref="B259:D259"/>
    <mergeCell ref="L259:M259"/>
    <mergeCell ref="B260:D260"/>
    <mergeCell ref="L260:M260"/>
    <mergeCell ref="L254:M254"/>
    <mergeCell ref="B255:D255"/>
    <mergeCell ref="L255:M255"/>
    <mergeCell ref="B256:D256"/>
    <mergeCell ref="L256:M256"/>
    <mergeCell ref="B257:D257"/>
    <mergeCell ref="L257:M257"/>
    <mergeCell ref="B249:D249"/>
    <mergeCell ref="B250:D250"/>
    <mergeCell ref="B251:D251"/>
    <mergeCell ref="B252:D252"/>
    <mergeCell ref="B253:D253"/>
    <mergeCell ref="B254:D254"/>
    <mergeCell ref="B243:D243"/>
    <mergeCell ref="B244:D244"/>
    <mergeCell ref="B245:D245"/>
    <mergeCell ref="B246:D246"/>
    <mergeCell ref="B247:D247"/>
    <mergeCell ref="B248:D248"/>
    <mergeCell ref="B237:D237"/>
    <mergeCell ref="B238:D238"/>
    <mergeCell ref="B239:D239"/>
    <mergeCell ref="B240:D240"/>
    <mergeCell ref="B241:D241"/>
    <mergeCell ref="B242:D242"/>
    <mergeCell ref="B232:D232"/>
    <mergeCell ref="L232:M232"/>
    <mergeCell ref="B233:D233"/>
    <mergeCell ref="B234:D234"/>
    <mergeCell ref="B235:D235"/>
    <mergeCell ref="B236:D236"/>
    <mergeCell ref="B227:D227"/>
    <mergeCell ref="B228:D228"/>
    <mergeCell ref="B229:D229"/>
    <mergeCell ref="B230:D230"/>
    <mergeCell ref="L230:M230"/>
    <mergeCell ref="B231:D231"/>
    <mergeCell ref="B221:D221"/>
    <mergeCell ref="B222:D222"/>
    <mergeCell ref="B223:D223"/>
    <mergeCell ref="B224:D224"/>
    <mergeCell ref="B225:D225"/>
    <mergeCell ref="B226:D226"/>
    <mergeCell ref="B215:D215"/>
    <mergeCell ref="B216:D216"/>
    <mergeCell ref="B217:D217"/>
    <mergeCell ref="B218:D218"/>
    <mergeCell ref="B219:D219"/>
    <mergeCell ref="B220:D220"/>
    <mergeCell ref="B209:D209"/>
    <mergeCell ref="B210:D210"/>
    <mergeCell ref="B211:D211"/>
    <mergeCell ref="B212:D212"/>
    <mergeCell ref="B213:D213"/>
    <mergeCell ref="B214:D214"/>
    <mergeCell ref="B203:D203"/>
    <mergeCell ref="B204:D204"/>
    <mergeCell ref="B205:D205"/>
    <mergeCell ref="B206:D206"/>
    <mergeCell ref="B207:D207"/>
    <mergeCell ref="B208:D208"/>
    <mergeCell ref="B197:D197"/>
    <mergeCell ref="B198:D198"/>
    <mergeCell ref="B199:D199"/>
    <mergeCell ref="B200:D200"/>
    <mergeCell ref="B201:D201"/>
    <mergeCell ref="B202:D202"/>
    <mergeCell ref="B191:D191"/>
    <mergeCell ref="B192:D192"/>
    <mergeCell ref="B193:D193"/>
    <mergeCell ref="B194:D194"/>
    <mergeCell ref="B195:D195"/>
    <mergeCell ref="B196:D196"/>
    <mergeCell ref="B185:D185"/>
    <mergeCell ref="B186:D186"/>
    <mergeCell ref="B187:D187"/>
    <mergeCell ref="B188:D188"/>
    <mergeCell ref="B189:D189"/>
    <mergeCell ref="B190:D190"/>
    <mergeCell ref="B179:D179"/>
    <mergeCell ref="B180:D180"/>
    <mergeCell ref="B181:D181"/>
    <mergeCell ref="B182:D182"/>
    <mergeCell ref="B183:D183"/>
    <mergeCell ref="B184:D184"/>
    <mergeCell ref="B173:D173"/>
    <mergeCell ref="B174:D174"/>
    <mergeCell ref="B175:D175"/>
    <mergeCell ref="B176:D176"/>
    <mergeCell ref="B177:D177"/>
    <mergeCell ref="B178:D178"/>
    <mergeCell ref="B167:D167"/>
    <mergeCell ref="B168:D168"/>
    <mergeCell ref="B169:D169"/>
    <mergeCell ref="B170:D170"/>
    <mergeCell ref="B171:D171"/>
    <mergeCell ref="B172:D172"/>
    <mergeCell ref="B161:D161"/>
    <mergeCell ref="B162:D162"/>
    <mergeCell ref="B163:D163"/>
    <mergeCell ref="B164:D164"/>
    <mergeCell ref="B165:D165"/>
    <mergeCell ref="B166:D166"/>
    <mergeCell ref="B155:D155"/>
    <mergeCell ref="B156:D156"/>
    <mergeCell ref="B157:D157"/>
    <mergeCell ref="B158:D158"/>
    <mergeCell ref="B159:D159"/>
    <mergeCell ref="B160:D160"/>
    <mergeCell ref="B149:D149"/>
    <mergeCell ref="B150:D150"/>
    <mergeCell ref="B151:D151"/>
    <mergeCell ref="B152:D152"/>
    <mergeCell ref="B153:D153"/>
    <mergeCell ref="B154:D154"/>
    <mergeCell ref="L143:M143"/>
    <mergeCell ref="B144:D144"/>
    <mergeCell ref="B145:D145"/>
    <mergeCell ref="B146:D146"/>
    <mergeCell ref="B147:D147"/>
    <mergeCell ref="B148:D148"/>
    <mergeCell ref="B138:D138"/>
    <mergeCell ref="B139:D139"/>
    <mergeCell ref="B140:D140"/>
    <mergeCell ref="B141:D141"/>
    <mergeCell ref="B142:D142"/>
    <mergeCell ref="B143:D143"/>
    <mergeCell ref="B132:D132"/>
    <mergeCell ref="B133:D133"/>
    <mergeCell ref="B134:D134"/>
    <mergeCell ref="B135:D135"/>
    <mergeCell ref="B136:D136"/>
    <mergeCell ref="B137:D137"/>
    <mergeCell ref="B126:D126"/>
    <mergeCell ref="B127:D127"/>
    <mergeCell ref="B128:D128"/>
    <mergeCell ref="B129:D129"/>
    <mergeCell ref="B130:D130"/>
    <mergeCell ref="B131:D131"/>
    <mergeCell ref="B120:D120"/>
    <mergeCell ref="B121:D121"/>
    <mergeCell ref="B122:D122"/>
    <mergeCell ref="B123:D123"/>
    <mergeCell ref="B124:D124"/>
    <mergeCell ref="B125:D125"/>
    <mergeCell ref="B115:D115"/>
    <mergeCell ref="B116:D116"/>
    <mergeCell ref="B117:D117"/>
    <mergeCell ref="B118:D118"/>
    <mergeCell ref="B119:D119"/>
    <mergeCell ref="L119:M119"/>
    <mergeCell ref="B109:D109"/>
    <mergeCell ref="B110:D110"/>
    <mergeCell ref="B111:D111"/>
    <mergeCell ref="B112:D112"/>
    <mergeCell ref="B113:D113"/>
    <mergeCell ref="B114:D114"/>
    <mergeCell ref="B103:D103"/>
    <mergeCell ref="B104:D104"/>
    <mergeCell ref="B105:D105"/>
    <mergeCell ref="B106:D106"/>
    <mergeCell ref="B107:D107"/>
    <mergeCell ref="B108:D108"/>
    <mergeCell ref="B97:D97"/>
    <mergeCell ref="B98:D98"/>
    <mergeCell ref="B99:D99"/>
    <mergeCell ref="B100:D100"/>
    <mergeCell ref="B101:D101"/>
    <mergeCell ref="B102:D102"/>
    <mergeCell ref="B91:D91"/>
    <mergeCell ref="B92:D92"/>
    <mergeCell ref="B93:D93"/>
    <mergeCell ref="B94:D94"/>
    <mergeCell ref="B95:D95"/>
    <mergeCell ref="B96:D96"/>
    <mergeCell ref="B85:D85"/>
    <mergeCell ref="B86:D86"/>
    <mergeCell ref="B87:D87"/>
    <mergeCell ref="B88:D88"/>
    <mergeCell ref="B89:D89"/>
    <mergeCell ref="B90:D90"/>
    <mergeCell ref="B79:D79"/>
    <mergeCell ref="B80:D80"/>
    <mergeCell ref="B81:D81"/>
    <mergeCell ref="B82:D82"/>
    <mergeCell ref="B83:D83"/>
    <mergeCell ref="B84:D84"/>
    <mergeCell ref="B73:D73"/>
    <mergeCell ref="B74:D74"/>
    <mergeCell ref="B75:D75"/>
    <mergeCell ref="B76:D76"/>
    <mergeCell ref="B77:D77"/>
    <mergeCell ref="B78:D78"/>
    <mergeCell ref="B67:D67"/>
    <mergeCell ref="B68:D68"/>
    <mergeCell ref="B69:D69"/>
    <mergeCell ref="B70:D70"/>
    <mergeCell ref="B71:D71"/>
    <mergeCell ref="B72:D72"/>
    <mergeCell ref="B61:D61"/>
    <mergeCell ref="B62:D62"/>
    <mergeCell ref="B63:D63"/>
    <mergeCell ref="B64:D64"/>
    <mergeCell ref="B65:D65"/>
    <mergeCell ref="B66:D66"/>
    <mergeCell ref="B55:D55"/>
    <mergeCell ref="B56:D56"/>
    <mergeCell ref="B57:D57"/>
    <mergeCell ref="B58:D58"/>
    <mergeCell ref="B59:D59"/>
    <mergeCell ref="B60:D60"/>
    <mergeCell ref="B49:D49"/>
    <mergeCell ref="B50:D50"/>
    <mergeCell ref="B51:D51"/>
    <mergeCell ref="B52:D52"/>
    <mergeCell ref="B53:D53"/>
    <mergeCell ref="B54:D54"/>
    <mergeCell ref="B43:D43"/>
    <mergeCell ref="B44:D44"/>
    <mergeCell ref="B45:D45"/>
    <mergeCell ref="B46:D46"/>
    <mergeCell ref="B47:D47"/>
    <mergeCell ref="B48:D48"/>
    <mergeCell ref="B37:D37"/>
    <mergeCell ref="B38:D38"/>
    <mergeCell ref="B39:D39"/>
    <mergeCell ref="B40:D40"/>
    <mergeCell ref="B41:D41"/>
    <mergeCell ref="B42:D42"/>
    <mergeCell ref="B31:D31"/>
    <mergeCell ref="B32:D32"/>
    <mergeCell ref="B33:D33"/>
    <mergeCell ref="B34:D34"/>
    <mergeCell ref="B35:D35"/>
    <mergeCell ref="B36:D36"/>
    <mergeCell ref="B27:D27"/>
    <mergeCell ref="L27:M27"/>
    <mergeCell ref="B28:D28"/>
    <mergeCell ref="B29:D29"/>
    <mergeCell ref="L29:M29"/>
    <mergeCell ref="B30:D30"/>
    <mergeCell ref="L30:M30"/>
    <mergeCell ref="B23:D23"/>
    <mergeCell ref="L23:M23"/>
    <mergeCell ref="B24:D24"/>
    <mergeCell ref="B25:D25"/>
    <mergeCell ref="B26:D26"/>
    <mergeCell ref="L26:M26"/>
    <mergeCell ref="B21:D21"/>
    <mergeCell ref="N21:N22"/>
    <mergeCell ref="O21:O22"/>
    <mergeCell ref="B22:D22"/>
    <mergeCell ref="L22:M22"/>
    <mergeCell ref="A17:A20"/>
    <mergeCell ref="B17:B20"/>
    <mergeCell ref="C17:C20"/>
    <mergeCell ref="D17:E17"/>
    <mergeCell ref="L17:M17"/>
    <mergeCell ref="Q17:Q20"/>
    <mergeCell ref="D18:E18"/>
    <mergeCell ref="L18:M18"/>
    <mergeCell ref="D19:E19"/>
    <mergeCell ref="L19:M19"/>
    <mergeCell ref="R13:R15"/>
    <mergeCell ref="S13:S15"/>
    <mergeCell ref="D14:E14"/>
    <mergeCell ref="D15:E15"/>
    <mergeCell ref="B16:D16"/>
    <mergeCell ref="L16:M16"/>
    <mergeCell ref="D20:E20"/>
    <mergeCell ref="L20:M20"/>
    <mergeCell ref="J10:J11"/>
    <mergeCell ref="K10:K11"/>
    <mergeCell ref="L10:M11"/>
    <mergeCell ref="B12:E12"/>
    <mergeCell ref="L12:M12"/>
    <mergeCell ref="A13:A15"/>
    <mergeCell ref="B13:B15"/>
    <mergeCell ref="C13:C15"/>
    <mergeCell ref="D13:E13"/>
    <mergeCell ref="L13:M15"/>
    <mergeCell ref="A1:A11"/>
    <mergeCell ref="I6:J6"/>
    <mergeCell ref="I7:J7"/>
    <mergeCell ref="C9:D9"/>
    <mergeCell ref="B10:D11"/>
    <mergeCell ref="E10:E11"/>
    <mergeCell ref="F10:F11"/>
    <mergeCell ref="G10:G11"/>
    <mergeCell ref="H10:H11"/>
    <mergeCell ref="I10:I11"/>
  </mergeCells>
  <printOptions horizontalCentered="1"/>
  <pageMargins left="0.15" right="0" top="0.5" bottom="0.75" header="0" footer="0"/>
  <pageSetup scale="84" fitToHeight="8" orientation="portrait" horizontalDpi="300" verticalDpi="300" r:id="rId1"/>
  <headerFooter alignWithMargins="0">
    <oddFooter>Page &amp;p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00B0F0"/>
  </sheetPr>
  <dimension ref="B1:AK397"/>
  <sheetViews>
    <sheetView showGridLines="0" topLeftCell="A34" zoomScale="110" zoomScaleNormal="110" zoomScaleSheetLayoutView="110" workbookViewId="0">
      <selection activeCell="T41" sqref="T41"/>
    </sheetView>
  </sheetViews>
  <sheetFormatPr defaultColWidth="9.140625" defaultRowHeight="11.25"/>
  <cols>
    <col min="1" max="1" width="2.7109375" style="36" customWidth="1"/>
    <col min="2" max="2" width="1.42578125" style="36" customWidth="1"/>
    <col min="3" max="3" width="8.85546875" style="36" customWidth="1"/>
    <col min="4" max="4" width="10.85546875" style="37" customWidth="1"/>
    <col min="5" max="5" width="1.85546875" style="36" customWidth="1"/>
    <col min="6" max="7" width="2.140625" style="36" customWidth="1"/>
    <col min="8" max="9" width="0.5703125" style="36" customWidth="1"/>
    <col min="10" max="10" width="7.140625" style="37" customWidth="1"/>
    <col min="11" max="12" width="0.5703125" style="36" customWidth="1"/>
    <col min="13" max="14" width="2.140625" style="36" customWidth="1"/>
    <col min="15" max="15" width="1.85546875" style="38" customWidth="1"/>
    <col min="16" max="16" width="5.42578125" style="36" customWidth="1"/>
    <col min="17" max="17" width="6.42578125" style="37" customWidth="1"/>
    <col min="18" max="18" width="5.42578125" style="36" customWidth="1"/>
    <col min="19" max="19" width="1.85546875" style="36" customWidth="1"/>
    <col min="20" max="21" width="2.140625" style="36" customWidth="1"/>
    <col min="22" max="23" width="0.5703125" style="36" customWidth="1"/>
    <col min="24" max="24" width="7.140625" style="37" customWidth="1"/>
    <col min="25" max="26" width="0.5703125" style="36" customWidth="1"/>
    <col min="27" max="28" width="2.140625" style="36" customWidth="1"/>
    <col min="29" max="29" width="1.85546875" style="38" customWidth="1"/>
    <col min="30" max="30" width="9.140625" style="36"/>
    <col min="31" max="31" width="8.42578125" style="37" customWidth="1"/>
    <col min="32" max="32" width="9.85546875" style="36" customWidth="1"/>
    <col min="33" max="34" width="10.140625" style="36" customWidth="1"/>
    <col min="35" max="35" width="8.85546875" style="36" customWidth="1"/>
    <col min="36" max="36" width="1.42578125" style="36" customWidth="1"/>
    <col min="37" max="256" width="9.140625" style="36"/>
    <col min="257" max="257" width="1.42578125" style="36" customWidth="1"/>
    <col min="258" max="258" width="8.85546875" style="36" customWidth="1"/>
    <col min="259" max="259" width="10.85546875" style="36" customWidth="1"/>
    <col min="260" max="260" width="1.85546875" style="36" customWidth="1"/>
    <col min="261" max="262" width="2.140625" style="36" customWidth="1"/>
    <col min="263" max="264" width="0.5703125" style="36" customWidth="1"/>
    <col min="265" max="265" width="7.140625" style="36" customWidth="1"/>
    <col min="266" max="267" width="0.5703125" style="36" customWidth="1"/>
    <col min="268" max="269" width="2.140625" style="36" customWidth="1"/>
    <col min="270" max="270" width="1.85546875" style="36" customWidth="1"/>
    <col min="271" max="271" width="5.42578125" style="36" customWidth="1"/>
    <col min="272" max="272" width="6.42578125" style="36" customWidth="1"/>
    <col min="273" max="273" width="5.42578125" style="36" customWidth="1"/>
    <col min="274" max="274" width="1.85546875" style="36" customWidth="1"/>
    <col min="275" max="276" width="2.140625" style="36" customWidth="1"/>
    <col min="277" max="278" width="0.5703125" style="36" customWidth="1"/>
    <col min="279" max="279" width="7.140625" style="36" customWidth="1"/>
    <col min="280" max="281" width="0.5703125" style="36" customWidth="1"/>
    <col min="282" max="283" width="2.140625" style="36" customWidth="1"/>
    <col min="284" max="284" width="1.85546875" style="36" customWidth="1"/>
    <col min="285" max="285" width="9.140625" style="36"/>
    <col min="286" max="286" width="8.42578125" style="36" customWidth="1"/>
    <col min="287" max="287" width="9.85546875" style="36" customWidth="1"/>
    <col min="288" max="289" width="10.140625" style="36" customWidth="1"/>
    <col min="290" max="290" width="8.85546875" style="36" customWidth="1"/>
    <col min="291" max="291" width="1.42578125" style="36" customWidth="1"/>
    <col min="292" max="512" width="9.140625" style="36"/>
    <col min="513" max="513" width="1.42578125" style="36" customWidth="1"/>
    <col min="514" max="514" width="8.85546875" style="36" customWidth="1"/>
    <col min="515" max="515" width="10.85546875" style="36" customWidth="1"/>
    <col min="516" max="516" width="1.85546875" style="36" customWidth="1"/>
    <col min="517" max="518" width="2.140625" style="36" customWidth="1"/>
    <col min="519" max="520" width="0.5703125" style="36" customWidth="1"/>
    <col min="521" max="521" width="7.140625" style="36" customWidth="1"/>
    <col min="522" max="523" width="0.5703125" style="36" customWidth="1"/>
    <col min="524" max="525" width="2.140625" style="36" customWidth="1"/>
    <col min="526" max="526" width="1.85546875" style="36" customWidth="1"/>
    <col min="527" max="527" width="5.42578125" style="36" customWidth="1"/>
    <col min="528" max="528" width="6.42578125" style="36" customWidth="1"/>
    <col min="529" max="529" width="5.42578125" style="36" customWidth="1"/>
    <col min="530" max="530" width="1.85546875" style="36" customWidth="1"/>
    <col min="531" max="532" width="2.140625" style="36" customWidth="1"/>
    <col min="533" max="534" width="0.5703125" style="36" customWidth="1"/>
    <col min="535" max="535" width="7.140625" style="36" customWidth="1"/>
    <col min="536" max="537" width="0.5703125" style="36" customWidth="1"/>
    <col min="538" max="539" width="2.140625" style="36" customWidth="1"/>
    <col min="540" max="540" width="1.85546875" style="36" customWidth="1"/>
    <col min="541" max="541" width="9.140625" style="36"/>
    <col min="542" max="542" width="8.42578125" style="36" customWidth="1"/>
    <col min="543" max="543" width="9.85546875" style="36" customWidth="1"/>
    <col min="544" max="545" width="10.140625" style="36" customWidth="1"/>
    <col min="546" max="546" width="8.85546875" style="36" customWidth="1"/>
    <col min="547" max="547" width="1.42578125" style="36" customWidth="1"/>
    <col min="548" max="768" width="9.140625" style="36"/>
    <col min="769" max="769" width="1.42578125" style="36" customWidth="1"/>
    <col min="770" max="770" width="8.85546875" style="36" customWidth="1"/>
    <col min="771" max="771" width="10.85546875" style="36" customWidth="1"/>
    <col min="772" max="772" width="1.85546875" style="36" customWidth="1"/>
    <col min="773" max="774" width="2.140625" style="36" customWidth="1"/>
    <col min="775" max="776" width="0.5703125" style="36" customWidth="1"/>
    <col min="777" max="777" width="7.140625" style="36" customWidth="1"/>
    <col min="778" max="779" width="0.5703125" style="36" customWidth="1"/>
    <col min="780" max="781" width="2.140625" style="36" customWidth="1"/>
    <col min="782" max="782" width="1.85546875" style="36" customWidth="1"/>
    <col min="783" max="783" width="5.42578125" style="36" customWidth="1"/>
    <col min="784" max="784" width="6.42578125" style="36" customWidth="1"/>
    <col min="785" max="785" width="5.42578125" style="36" customWidth="1"/>
    <col min="786" max="786" width="1.85546875" style="36" customWidth="1"/>
    <col min="787" max="788" width="2.140625" style="36" customWidth="1"/>
    <col min="789" max="790" width="0.5703125" style="36" customWidth="1"/>
    <col min="791" max="791" width="7.140625" style="36" customWidth="1"/>
    <col min="792" max="793" width="0.5703125" style="36" customWidth="1"/>
    <col min="794" max="795" width="2.140625" style="36" customWidth="1"/>
    <col min="796" max="796" width="1.85546875" style="36" customWidth="1"/>
    <col min="797" max="797" width="9.140625" style="36"/>
    <col min="798" max="798" width="8.42578125" style="36" customWidth="1"/>
    <col min="799" max="799" width="9.85546875" style="36" customWidth="1"/>
    <col min="800" max="801" width="10.140625" style="36" customWidth="1"/>
    <col min="802" max="802" width="8.85546875" style="36" customWidth="1"/>
    <col min="803" max="803" width="1.42578125" style="36" customWidth="1"/>
    <col min="804" max="1024" width="9.140625" style="36"/>
    <col min="1025" max="1025" width="1.42578125" style="36" customWidth="1"/>
    <col min="1026" max="1026" width="8.85546875" style="36" customWidth="1"/>
    <col min="1027" max="1027" width="10.85546875" style="36" customWidth="1"/>
    <col min="1028" max="1028" width="1.85546875" style="36" customWidth="1"/>
    <col min="1029" max="1030" width="2.140625" style="36" customWidth="1"/>
    <col min="1031" max="1032" width="0.5703125" style="36" customWidth="1"/>
    <col min="1033" max="1033" width="7.140625" style="36" customWidth="1"/>
    <col min="1034" max="1035" width="0.5703125" style="36" customWidth="1"/>
    <col min="1036" max="1037" width="2.140625" style="36" customWidth="1"/>
    <col min="1038" max="1038" width="1.85546875" style="36" customWidth="1"/>
    <col min="1039" max="1039" width="5.42578125" style="36" customWidth="1"/>
    <col min="1040" max="1040" width="6.42578125" style="36" customWidth="1"/>
    <col min="1041" max="1041" width="5.42578125" style="36" customWidth="1"/>
    <col min="1042" max="1042" width="1.85546875" style="36" customWidth="1"/>
    <col min="1043" max="1044" width="2.140625" style="36" customWidth="1"/>
    <col min="1045" max="1046" width="0.5703125" style="36" customWidth="1"/>
    <col min="1047" max="1047" width="7.140625" style="36" customWidth="1"/>
    <col min="1048" max="1049" width="0.5703125" style="36" customWidth="1"/>
    <col min="1050" max="1051" width="2.140625" style="36" customWidth="1"/>
    <col min="1052" max="1052" width="1.85546875" style="36" customWidth="1"/>
    <col min="1053" max="1053" width="9.140625" style="36"/>
    <col min="1054" max="1054" width="8.42578125" style="36" customWidth="1"/>
    <col min="1055" max="1055" width="9.85546875" style="36" customWidth="1"/>
    <col min="1056" max="1057" width="10.140625" style="36" customWidth="1"/>
    <col min="1058" max="1058" width="8.85546875" style="36" customWidth="1"/>
    <col min="1059" max="1059" width="1.42578125" style="36" customWidth="1"/>
    <col min="1060" max="1280" width="9.140625" style="36"/>
    <col min="1281" max="1281" width="1.42578125" style="36" customWidth="1"/>
    <col min="1282" max="1282" width="8.85546875" style="36" customWidth="1"/>
    <col min="1283" max="1283" width="10.85546875" style="36" customWidth="1"/>
    <col min="1284" max="1284" width="1.85546875" style="36" customWidth="1"/>
    <col min="1285" max="1286" width="2.140625" style="36" customWidth="1"/>
    <col min="1287" max="1288" width="0.5703125" style="36" customWidth="1"/>
    <col min="1289" max="1289" width="7.140625" style="36" customWidth="1"/>
    <col min="1290" max="1291" width="0.5703125" style="36" customWidth="1"/>
    <col min="1292" max="1293" width="2.140625" style="36" customWidth="1"/>
    <col min="1294" max="1294" width="1.85546875" style="36" customWidth="1"/>
    <col min="1295" max="1295" width="5.42578125" style="36" customWidth="1"/>
    <col min="1296" max="1296" width="6.42578125" style="36" customWidth="1"/>
    <col min="1297" max="1297" width="5.42578125" style="36" customWidth="1"/>
    <col min="1298" max="1298" width="1.85546875" style="36" customWidth="1"/>
    <col min="1299" max="1300" width="2.140625" style="36" customWidth="1"/>
    <col min="1301" max="1302" width="0.5703125" style="36" customWidth="1"/>
    <col min="1303" max="1303" width="7.140625" style="36" customWidth="1"/>
    <col min="1304" max="1305" width="0.5703125" style="36" customWidth="1"/>
    <col min="1306" max="1307" width="2.140625" style="36" customWidth="1"/>
    <col min="1308" max="1308" width="1.85546875" style="36" customWidth="1"/>
    <col min="1309" max="1309" width="9.140625" style="36"/>
    <col min="1310" max="1310" width="8.42578125" style="36" customWidth="1"/>
    <col min="1311" max="1311" width="9.85546875" style="36" customWidth="1"/>
    <col min="1312" max="1313" width="10.140625" style="36" customWidth="1"/>
    <col min="1314" max="1314" width="8.85546875" style="36" customWidth="1"/>
    <col min="1315" max="1315" width="1.42578125" style="36" customWidth="1"/>
    <col min="1316" max="1536" width="9.140625" style="36"/>
    <col min="1537" max="1537" width="1.42578125" style="36" customWidth="1"/>
    <col min="1538" max="1538" width="8.85546875" style="36" customWidth="1"/>
    <col min="1539" max="1539" width="10.85546875" style="36" customWidth="1"/>
    <col min="1540" max="1540" width="1.85546875" style="36" customWidth="1"/>
    <col min="1541" max="1542" width="2.140625" style="36" customWidth="1"/>
    <col min="1543" max="1544" width="0.5703125" style="36" customWidth="1"/>
    <col min="1545" max="1545" width="7.140625" style="36" customWidth="1"/>
    <col min="1546" max="1547" width="0.5703125" style="36" customWidth="1"/>
    <col min="1548" max="1549" width="2.140625" style="36" customWidth="1"/>
    <col min="1550" max="1550" width="1.85546875" style="36" customWidth="1"/>
    <col min="1551" max="1551" width="5.42578125" style="36" customWidth="1"/>
    <col min="1552" max="1552" width="6.42578125" style="36" customWidth="1"/>
    <col min="1553" max="1553" width="5.42578125" style="36" customWidth="1"/>
    <col min="1554" max="1554" width="1.85546875" style="36" customWidth="1"/>
    <col min="1555" max="1556" width="2.140625" style="36" customWidth="1"/>
    <col min="1557" max="1558" width="0.5703125" style="36" customWidth="1"/>
    <col min="1559" max="1559" width="7.140625" style="36" customWidth="1"/>
    <col min="1560" max="1561" width="0.5703125" style="36" customWidth="1"/>
    <col min="1562" max="1563" width="2.140625" style="36" customWidth="1"/>
    <col min="1564" max="1564" width="1.85546875" style="36" customWidth="1"/>
    <col min="1565" max="1565" width="9.140625" style="36"/>
    <col min="1566" max="1566" width="8.42578125" style="36" customWidth="1"/>
    <col min="1567" max="1567" width="9.85546875" style="36" customWidth="1"/>
    <col min="1568" max="1569" width="10.140625" style="36" customWidth="1"/>
    <col min="1570" max="1570" width="8.85546875" style="36" customWidth="1"/>
    <col min="1571" max="1571" width="1.42578125" style="36" customWidth="1"/>
    <col min="1572" max="1792" width="9.140625" style="36"/>
    <col min="1793" max="1793" width="1.42578125" style="36" customWidth="1"/>
    <col min="1794" max="1794" width="8.85546875" style="36" customWidth="1"/>
    <col min="1795" max="1795" width="10.85546875" style="36" customWidth="1"/>
    <col min="1796" max="1796" width="1.85546875" style="36" customWidth="1"/>
    <col min="1797" max="1798" width="2.140625" style="36" customWidth="1"/>
    <col min="1799" max="1800" width="0.5703125" style="36" customWidth="1"/>
    <col min="1801" max="1801" width="7.140625" style="36" customWidth="1"/>
    <col min="1802" max="1803" width="0.5703125" style="36" customWidth="1"/>
    <col min="1804" max="1805" width="2.140625" style="36" customWidth="1"/>
    <col min="1806" max="1806" width="1.85546875" style="36" customWidth="1"/>
    <col min="1807" max="1807" width="5.42578125" style="36" customWidth="1"/>
    <col min="1808" max="1808" width="6.42578125" style="36" customWidth="1"/>
    <col min="1809" max="1809" width="5.42578125" style="36" customWidth="1"/>
    <col min="1810" max="1810" width="1.85546875" style="36" customWidth="1"/>
    <col min="1811" max="1812" width="2.140625" style="36" customWidth="1"/>
    <col min="1813" max="1814" width="0.5703125" style="36" customWidth="1"/>
    <col min="1815" max="1815" width="7.140625" style="36" customWidth="1"/>
    <col min="1816" max="1817" width="0.5703125" style="36" customWidth="1"/>
    <col min="1818" max="1819" width="2.140625" style="36" customWidth="1"/>
    <col min="1820" max="1820" width="1.85546875" style="36" customWidth="1"/>
    <col min="1821" max="1821" width="9.140625" style="36"/>
    <col min="1822" max="1822" width="8.42578125" style="36" customWidth="1"/>
    <col min="1823" max="1823" width="9.85546875" style="36" customWidth="1"/>
    <col min="1824" max="1825" width="10.140625" style="36" customWidth="1"/>
    <col min="1826" max="1826" width="8.85546875" style="36" customWidth="1"/>
    <col min="1827" max="1827" width="1.42578125" style="36" customWidth="1"/>
    <col min="1828" max="2048" width="9.140625" style="36"/>
    <col min="2049" max="2049" width="1.42578125" style="36" customWidth="1"/>
    <col min="2050" max="2050" width="8.85546875" style="36" customWidth="1"/>
    <col min="2051" max="2051" width="10.85546875" style="36" customWidth="1"/>
    <col min="2052" max="2052" width="1.85546875" style="36" customWidth="1"/>
    <col min="2053" max="2054" width="2.140625" style="36" customWidth="1"/>
    <col min="2055" max="2056" width="0.5703125" style="36" customWidth="1"/>
    <col min="2057" max="2057" width="7.140625" style="36" customWidth="1"/>
    <col min="2058" max="2059" width="0.5703125" style="36" customWidth="1"/>
    <col min="2060" max="2061" width="2.140625" style="36" customWidth="1"/>
    <col min="2062" max="2062" width="1.85546875" style="36" customWidth="1"/>
    <col min="2063" max="2063" width="5.42578125" style="36" customWidth="1"/>
    <col min="2064" max="2064" width="6.42578125" style="36" customWidth="1"/>
    <col min="2065" max="2065" width="5.42578125" style="36" customWidth="1"/>
    <col min="2066" max="2066" width="1.85546875" style="36" customWidth="1"/>
    <col min="2067" max="2068" width="2.140625" style="36" customWidth="1"/>
    <col min="2069" max="2070" width="0.5703125" style="36" customWidth="1"/>
    <col min="2071" max="2071" width="7.140625" style="36" customWidth="1"/>
    <col min="2072" max="2073" width="0.5703125" style="36" customWidth="1"/>
    <col min="2074" max="2075" width="2.140625" style="36" customWidth="1"/>
    <col min="2076" max="2076" width="1.85546875" style="36" customWidth="1"/>
    <col min="2077" max="2077" width="9.140625" style="36"/>
    <col min="2078" max="2078" width="8.42578125" style="36" customWidth="1"/>
    <col min="2079" max="2079" width="9.85546875" style="36" customWidth="1"/>
    <col min="2080" max="2081" width="10.140625" style="36" customWidth="1"/>
    <col min="2082" max="2082" width="8.85546875" style="36" customWidth="1"/>
    <col min="2083" max="2083" width="1.42578125" style="36" customWidth="1"/>
    <col min="2084" max="2304" width="9.140625" style="36"/>
    <col min="2305" max="2305" width="1.42578125" style="36" customWidth="1"/>
    <col min="2306" max="2306" width="8.85546875" style="36" customWidth="1"/>
    <col min="2307" max="2307" width="10.85546875" style="36" customWidth="1"/>
    <col min="2308" max="2308" width="1.85546875" style="36" customWidth="1"/>
    <col min="2309" max="2310" width="2.140625" style="36" customWidth="1"/>
    <col min="2311" max="2312" width="0.5703125" style="36" customWidth="1"/>
    <col min="2313" max="2313" width="7.140625" style="36" customWidth="1"/>
    <col min="2314" max="2315" width="0.5703125" style="36" customWidth="1"/>
    <col min="2316" max="2317" width="2.140625" style="36" customWidth="1"/>
    <col min="2318" max="2318" width="1.85546875" style="36" customWidth="1"/>
    <col min="2319" max="2319" width="5.42578125" style="36" customWidth="1"/>
    <col min="2320" max="2320" width="6.42578125" style="36" customWidth="1"/>
    <col min="2321" max="2321" width="5.42578125" style="36" customWidth="1"/>
    <col min="2322" max="2322" width="1.85546875" style="36" customWidth="1"/>
    <col min="2323" max="2324" width="2.140625" style="36" customWidth="1"/>
    <col min="2325" max="2326" width="0.5703125" style="36" customWidth="1"/>
    <col min="2327" max="2327" width="7.140625" style="36" customWidth="1"/>
    <col min="2328" max="2329" width="0.5703125" style="36" customWidth="1"/>
    <col min="2330" max="2331" width="2.140625" style="36" customWidth="1"/>
    <col min="2332" max="2332" width="1.85546875" style="36" customWidth="1"/>
    <col min="2333" max="2333" width="9.140625" style="36"/>
    <col min="2334" max="2334" width="8.42578125" style="36" customWidth="1"/>
    <col min="2335" max="2335" width="9.85546875" style="36" customWidth="1"/>
    <col min="2336" max="2337" width="10.140625" style="36" customWidth="1"/>
    <col min="2338" max="2338" width="8.85546875" style="36" customWidth="1"/>
    <col min="2339" max="2339" width="1.42578125" style="36" customWidth="1"/>
    <col min="2340" max="2560" width="9.140625" style="36"/>
    <col min="2561" max="2561" width="1.42578125" style="36" customWidth="1"/>
    <col min="2562" max="2562" width="8.85546875" style="36" customWidth="1"/>
    <col min="2563" max="2563" width="10.85546875" style="36" customWidth="1"/>
    <col min="2564" max="2564" width="1.85546875" style="36" customWidth="1"/>
    <col min="2565" max="2566" width="2.140625" style="36" customWidth="1"/>
    <col min="2567" max="2568" width="0.5703125" style="36" customWidth="1"/>
    <col min="2569" max="2569" width="7.140625" style="36" customWidth="1"/>
    <col min="2570" max="2571" width="0.5703125" style="36" customWidth="1"/>
    <col min="2572" max="2573" width="2.140625" style="36" customWidth="1"/>
    <col min="2574" max="2574" width="1.85546875" style="36" customWidth="1"/>
    <col min="2575" max="2575" width="5.42578125" style="36" customWidth="1"/>
    <col min="2576" max="2576" width="6.42578125" style="36" customWidth="1"/>
    <col min="2577" max="2577" width="5.42578125" style="36" customWidth="1"/>
    <col min="2578" max="2578" width="1.85546875" style="36" customWidth="1"/>
    <col min="2579" max="2580" width="2.140625" style="36" customWidth="1"/>
    <col min="2581" max="2582" width="0.5703125" style="36" customWidth="1"/>
    <col min="2583" max="2583" width="7.140625" style="36" customWidth="1"/>
    <col min="2584" max="2585" width="0.5703125" style="36" customWidth="1"/>
    <col min="2586" max="2587" width="2.140625" style="36" customWidth="1"/>
    <col min="2588" max="2588" width="1.85546875" style="36" customWidth="1"/>
    <col min="2589" max="2589" width="9.140625" style="36"/>
    <col min="2590" max="2590" width="8.42578125" style="36" customWidth="1"/>
    <col min="2591" max="2591" width="9.85546875" style="36" customWidth="1"/>
    <col min="2592" max="2593" width="10.140625" style="36" customWidth="1"/>
    <col min="2594" max="2594" width="8.85546875" style="36" customWidth="1"/>
    <col min="2595" max="2595" width="1.42578125" style="36" customWidth="1"/>
    <col min="2596" max="2816" width="9.140625" style="36"/>
    <col min="2817" max="2817" width="1.42578125" style="36" customWidth="1"/>
    <col min="2818" max="2818" width="8.85546875" style="36" customWidth="1"/>
    <col min="2819" max="2819" width="10.85546875" style="36" customWidth="1"/>
    <col min="2820" max="2820" width="1.85546875" style="36" customWidth="1"/>
    <col min="2821" max="2822" width="2.140625" style="36" customWidth="1"/>
    <col min="2823" max="2824" width="0.5703125" style="36" customWidth="1"/>
    <col min="2825" max="2825" width="7.140625" style="36" customWidth="1"/>
    <col min="2826" max="2827" width="0.5703125" style="36" customWidth="1"/>
    <col min="2828" max="2829" width="2.140625" style="36" customWidth="1"/>
    <col min="2830" max="2830" width="1.85546875" style="36" customWidth="1"/>
    <col min="2831" max="2831" width="5.42578125" style="36" customWidth="1"/>
    <col min="2832" max="2832" width="6.42578125" style="36" customWidth="1"/>
    <col min="2833" max="2833" width="5.42578125" style="36" customWidth="1"/>
    <col min="2834" max="2834" width="1.85546875" style="36" customWidth="1"/>
    <col min="2835" max="2836" width="2.140625" style="36" customWidth="1"/>
    <col min="2837" max="2838" width="0.5703125" style="36" customWidth="1"/>
    <col min="2839" max="2839" width="7.140625" style="36" customWidth="1"/>
    <col min="2840" max="2841" width="0.5703125" style="36" customWidth="1"/>
    <col min="2842" max="2843" width="2.140625" style="36" customWidth="1"/>
    <col min="2844" max="2844" width="1.85546875" style="36" customWidth="1"/>
    <col min="2845" max="2845" width="9.140625" style="36"/>
    <col min="2846" max="2846" width="8.42578125" style="36" customWidth="1"/>
    <col min="2847" max="2847" width="9.85546875" style="36" customWidth="1"/>
    <col min="2848" max="2849" width="10.140625" style="36" customWidth="1"/>
    <col min="2850" max="2850" width="8.85546875" style="36" customWidth="1"/>
    <col min="2851" max="2851" width="1.42578125" style="36" customWidth="1"/>
    <col min="2852" max="3072" width="9.140625" style="36"/>
    <col min="3073" max="3073" width="1.42578125" style="36" customWidth="1"/>
    <col min="3074" max="3074" width="8.85546875" style="36" customWidth="1"/>
    <col min="3075" max="3075" width="10.85546875" style="36" customWidth="1"/>
    <col min="3076" max="3076" width="1.85546875" style="36" customWidth="1"/>
    <col min="3077" max="3078" width="2.140625" style="36" customWidth="1"/>
    <col min="3079" max="3080" width="0.5703125" style="36" customWidth="1"/>
    <col min="3081" max="3081" width="7.140625" style="36" customWidth="1"/>
    <col min="3082" max="3083" width="0.5703125" style="36" customWidth="1"/>
    <col min="3084" max="3085" width="2.140625" style="36" customWidth="1"/>
    <col min="3086" max="3086" width="1.85546875" style="36" customWidth="1"/>
    <col min="3087" max="3087" width="5.42578125" style="36" customWidth="1"/>
    <col min="3088" max="3088" width="6.42578125" style="36" customWidth="1"/>
    <col min="3089" max="3089" width="5.42578125" style="36" customWidth="1"/>
    <col min="3090" max="3090" width="1.85546875" style="36" customWidth="1"/>
    <col min="3091" max="3092" width="2.140625" style="36" customWidth="1"/>
    <col min="3093" max="3094" width="0.5703125" style="36" customWidth="1"/>
    <col min="3095" max="3095" width="7.140625" style="36" customWidth="1"/>
    <col min="3096" max="3097" width="0.5703125" style="36" customWidth="1"/>
    <col min="3098" max="3099" width="2.140625" style="36" customWidth="1"/>
    <col min="3100" max="3100" width="1.85546875" style="36" customWidth="1"/>
    <col min="3101" max="3101" width="9.140625" style="36"/>
    <col min="3102" max="3102" width="8.42578125" style="36" customWidth="1"/>
    <col min="3103" max="3103" width="9.85546875" style="36" customWidth="1"/>
    <col min="3104" max="3105" width="10.140625" style="36" customWidth="1"/>
    <col min="3106" max="3106" width="8.85546875" style="36" customWidth="1"/>
    <col min="3107" max="3107" width="1.42578125" style="36" customWidth="1"/>
    <col min="3108" max="3328" width="9.140625" style="36"/>
    <col min="3329" max="3329" width="1.42578125" style="36" customWidth="1"/>
    <col min="3330" max="3330" width="8.85546875" style="36" customWidth="1"/>
    <col min="3331" max="3331" width="10.85546875" style="36" customWidth="1"/>
    <col min="3332" max="3332" width="1.85546875" style="36" customWidth="1"/>
    <col min="3333" max="3334" width="2.140625" style="36" customWidth="1"/>
    <col min="3335" max="3336" width="0.5703125" style="36" customWidth="1"/>
    <col min="3337" max="3337" width="7.140625" style="36" customWidth="1"/>
    <col min="3338" max="3339" width="0.5703125" style="36" customWidth="1"/>
    <col min="3340" max="3341" width="2.140625" style="36" customWidth="1"/>
    <col min="3342" max="3342" width="1.85546875" style="36" customWidth="1"/>
    <col min="3343" max="3343" width="5.42578125" style="36" customWidth="1"/>
    <col min="3344" max="3344" width="6.42578125" style="36" customWidth="1"/>
    <col min="3345" max="3345" width="5.42578125" style="36" customWidth="1"/>
    <col min="3346" max="3346" width="1.85546875" style="36" customWidth="1"/>
    <col min="3347" max="3348" width="2.140625" style="36" customWidth="1"/>
    <col min="3349" max="3350" width="0.5703125" style="36" customWidth="1"/>
    <col min="3351" max="3351" width="7.140625" style="36" customWidth="1"/>
    <col min="3352" max="3353" width="0.5703125" style="36" customWidth="1"/>
    <col min="3354" max="3355" width="2.140625" style="36" customWidth="1"/>
    <col min="3356" max="3356" width="1.85546875" style="36" customWidth="1"/>
    <col min="3357" max="3357" width="9.140625" style="36"/>
    <col min="3358" max="3358" width="8.42578125" style="36" customWidth="1"/>
    <col min="3359" max="3359" width="9.85546875" style="36" customWidth="1"/>
    <col min="3360" max="3361" width="10.140625" style="36" customWidth="1"/>
    <col min="3362" max="3362" width="8.85546875" style="36" customWidth="1"/>
    <col min="3363" max="3363" width="1.42578125" style="36" customWidth="1"/>
    <col min="3364" max="3584" width="9.140625" style="36"/>
    <col min="3585" max="3585" width="1.42578125" style="36" customWidth="1"/>
    <col min="3586" max="3586" width="8.85546875" style="36" customWidth="1"/>
    <col min="3587" max="3587" width="10.85546875" style="36" customWidth="1"/>
    <col min="3588" max="3588" width="1.85546875" style="36" customWidth="1"/>
    <col min="3589" max="3590" width="2.140625" style="36" customWidth="1"/>
    <col min="3591" max="3592" width="0.5703125" style="36" customWidth="1"/>
    <col min="3593" max="3593" width="7.140625" style="36" customWidth="1"/>
    <col min="3594" max="3595" width="0.5703125" style="36" customWidth="1"/>
    <col min="3596" max="3597" width="2.140625" style="36" customWidth="1"/>
    <col min="3598" max="3598" width="1.85546875" style="36" customWidth="1"/>
    <col min="3599" max="3599" width="5.42578125" style="36" customWidth="1"/>
    <col min="3600" max="3600" width="6.42578125" style="36" customWidth="1"/>
    <col min="3601" max="3601" width="5.42578125" style="36" customWidth="1"/>
    <col min="3602" max="3602" width="1.85546875" style="36" customWidth="1"/>
    <col min="3603" max="3604" width="2.140625" style="36" customWidth="1"/>
    <col min="3605" max="3606" width="0.5703125" style="36" customWidth="1"/>
    <col min="3607" max="3607" width="7.140625" style="36" customWidth="1"/>
    <col min="3608" max="3609" width="0.5703125" style="36" customWidth="1"/>
    <col min="3610" max="3611" width="2.140625" style="36" customWidth="1"/>
    <col min="3612" max="3612" width="1.85546875" style="36" customWidth="1"/>
    <col min="3613" max="3613" width="9.140625" style="36"/>
    <col min="3614" max="3614" width="8.42578125" style="36" customWidth="1"/>
    <col min="3615" max="3615" width="9.85546875" style="36" customWidth="1"/>
    <col min="3616" max="3617" width="10.140625" style="36" customWidth="1"/>
    <col min="3618" max="3618" width="8.85546875" style="36" customWidth="1"/>
    <col min="3619" max="3619" width="1.42578125" style="36" customWidth="1"/>
    <col min="3620" max="3840" width="9.140625" style="36"/>
    <col min="3841" max="3841" width="1.42578125" style="36" customWidth="1"/>
    <col min="3842" max="3842" width="8.85546875" style="36" customWidth="1"/>
    <col min="3843" max="3843" width="10.85546875" style="36" customWidth="1"/>
    <col min="3844" max="3844" width="1.85546875" style="36" customWidth="1"/>
    <col min="3845" max="3846" width="2.140625" style="36" customWidth="1"/>
    <col min="3847" max="3848" width="0.5703125" style="36" customWidth="1"/>
    <col min="3849" max="3849" width="7.140625" style="36" customWidth="1"/>
    <col min="3850" max="3851" width="0.5703125" style="36" customWidth="1"/>
    <col min="3852" max="3853" width="2.140625" style="36" customWidth="1"/>
    <col min="3854" max="3854" width="1.85546875" style="36" customWidth="1"/>
    <col min="3855" max="3855" width="5.42578125" style="36" customWidth="1"/>
    <col min="3856" max="3856" width="6.42578125" style="36" customWidth="1"/>
    <col min="3857" max="3857" width="5.42578125" style="36" customWidth="1"/>
    <col min="3858" max="3858" width="1.85546875" style="36" customWidth="1"/>
    <col min="3859" max="3860" width="2.140625" style="36" customWidth="1"/>
    <col min="3861" max="3862" width="0.5703125" style="36" customWidth="1"/>
    <col min="3863" max="3863" width="7.140625" style="36" customWidth="1"/>
    <col min="3864" max="3865" width="0.5703125" style="36" customWidth="1"/>
    <col min="3866" max="3867" width="2.140625" style="36" customWidth="1"/>
    <col min="3868" max="3868" width="1.85546875" style="36" customWidth="1"/>
    <col min="3869" max="3869" width="9.140625" style="36"/>
    <col min="3870" max="3870" width="8.42578125" style="36" customWidth="1"/>
    <col min="3871" max="3871" width="9.85546875" style="36" customWidth="1"/>
    <col min="3872" max="3873" width="10.140625" style="36" customWidth="1"/>
    <col min="3874" max="3874" width="8.85546875" style="36" customWidth="1"/>
    <col min="3875" max="3875" width="1.42578125" style="36" customWidth="1"/>
    <col min="3876" max="4096" width="9.140625" style="36"/>
    <col min="4097" max="4097" width="1.42578125" style="36" customWidth="1"/>
    <col min="4098" max="4098" width="8.85546875" style="36" customWidth="1"/>
    <col min="4099" max="4099" width="10.85546875" style="36" customWidth="1"/>
    <col min="4100" max="4100" width="1.85546875" style="36" customWidth="1"/>
    <col min="4101" max="4102" width="2.140625" style="36" customWidth="1"/>
    <col min="4103" max="4104" width="0.5703125" style="36" customWidth="1"/>
    <col min="4105" max="4105" width="7.140625" style="36" customWidth="1"/>
    <col min="4106" max="4107" width="0.5703125" style="36" customWidth="1"/>
    <col min="4108" max="4109" width="2.140625" style="36" customWidth="1"/>
    <col min="4110" max="4110" width="1.85546875" style="36" customWidth="1"/>
    <col min="4111" max="4111" width="5.42578125" style="36" customWidth="1"/>
    <col min="4112" max="4112" width="6.42578125" style="36" customWidth="1"/>
    <col min="4113" max="4113" width="5.42578125" style="36" customWidth="1"/>
    <col min="4114" max="4114" width="1.85546875" style="36" customWidth="1"/>
    <col min="4115" max="4116" width="2.140625" style="36" customWidth="1"/>
    <col min="4117" max="4118" width="0.5703125" style="36" customWidth="1"/>
    <col min="4119" max="4119" width="7.140625" style="36" customWidth="1"/>
    <col min="4120" max="4121" width="0.5703125" style="36" customWidth="1"/>
    <col min="4122" max="4123" width="2.140625" style="36" customWidth="1"/>
    <col min="4124" max="4124" width="1.85546875" style="36" customWidth="1"/>
    <col min="4125" max="4125" width="9.140625" style="36"/>
    <col min="4126" max="4126" width="8.42578125" style="36" customWidth="1"/>
    <col min="4127" max="4127" width="9.85546875" style="36" customWidth="1"/>
    <col min="4128" max="4129" width="10.140625" style="36" customWidth="1"/>
    <col min="4130" max="4130" width="8.85546875" style="36" customWidth="1"/>
    <col min="4131" max="4131" width="1.42578125" style="36" customWidth="1"/>
    <col min="4132" max="4352" width="9.140625" style="36"/>
    <col min="4353" max="4353" width="1.42578125" style="36" customWidth="1"/>
    <col min="4354" max="4354" width="8.85546875" style="36" customWidth="1"/>
    <col min="4355" max="4355" width="10.85546875" style="36" customWidth="1"/>
    <col min="4356" max="4356" width="1.85546875" style="36" customWidth="1"/>
    <col min="4357" max="4358" width="2.140625" style="36" customWidth="1"/>
    <col min="4359" max="4360" width="0.5703125" style="36" customWidth="1"/>
    <col min="4361" max="4361" width="7.140625" style="36" customWidth="1"/>
    <col min="4362" max="4363" width="0.5703125" style="36" customWidth="1"/>
    <col min="4364" max="4365" width="2.140625" style="36" customWidth="1"/>
    <col min="4366" max="4366" width="1.85546875" style="36" customWidth="1"/>
    <col min="4367" max="4367" width="5.42578125" style="36" customWidth="1"/>
    <col min="4368" max="4368" width="6.42578125" style="36" customWidth="1"/>
    <col min="4369" max="4369" width="5.42578125" style="36" customWidth="1"/>
    <col min="4370" max="4370" width="1.85546875" style="36" customWidth="1"/>
    <col min="4371" max="4372" width="2.140625" style="36" customWidth="1"/>
    <col min="4373" max="4374" width="0.5703125" style="36" customWidth="1"/>
    <col min="4375" max="4375" width="7.140625" style="36" customWidth="1"/>
    <col min="4376" max="4377" width="0.5703125" style="36" customWidth="1"/>
    <col min="4378" max="4379" width="2.140625" style="36" customWidth="1"/>
    <col min="4380" max="4380" width="1.85546875" style="36" customWidth="1"/>
    <col min="4381" max="4381" width="9.140625" style="36"/>
    <col min="4382" max="4382" width="8.42578125" style="36" customWidth="1"/>
    <col min="4383" max="4383" width="9.85546875" style="36" customWidth="1"/>
    <col min="4384" max="4385" width="10.140625" style="36" customWidth="1"/>
    <col min="4386" max="4386" width="8.85546875" style="36" customWidth="1"/>
    <col min="4387" max="4387" width="1.42578125" style="36" customWidth="1"/>
    <col min="4388" max="4608" width="9.140625" style="36"/>
    <col min="4609" max="4609" width="1.42578125" style="36" customWidth="1"/>
    <col min="4610" max="4610" width="8.85546875" style="36" customWidth="1"/>
    <col min="4611" max="4611" width="10.85546875" style="36" customWidth="1"/>
    <col min="4612" max="4612" width="1.85546875" style="36" customWidth="1"/>
    <col min="4613" max="4614" width="2.140625" style="36" customWidth="1"/>
    <col min="4615" max="4616" width="0.5703125" style="36" customWidth="1"/>
    <col min="4617" max="4617" width="7.140625" style="36" customWidth="1"/>
    <col min="4618" max="4619" width="0.5703125" style="36" customWidth="1"/>
    <col min="4620" max="4621" width="2.140625" style="36" customWidth="1"/>
    <col min="4622" max="4622" width="1.85546875" style="36" customWidth="1"/>
    <col min="4623" max="4623" width="5.42578125" style="36" customWidth="1"/>
    <col min="4624" max="4624" width="6.42578125" style="36" customWidth="1"/>
    <col min="4625" max="4625" width="5.42578125" style="36" customWidth="1"/>
    <col min="4626" max="4626" width="1.85546875" style="36" customWidth="1"/>
    <col min="4627" max="4628" width="2.140625" style="36" customWidth="1"/>
    <col min="4629" max="4630" width="0.5703125" style="36" customWidth="1"/>
    <col min="4631" max="4631" width="7.140625" style="36" customWidth="1"/>
    <col min="4632" max="4633" width="0.5703125" style="36" customWidth="1"/>
    <col min="4634" max="4635" width="2.140625" style="36" customWidth="1"/>
    <col min="4636" max="4636" width="1.85546875" style="36" customWidth="1"/>
    <col min="4637" max="4637" width="9.140625" style="36"/>
    <col min="4638" max="4638" width="8.42578125" style="36" customWidth="1"/>
    <col min="4639" max="4639" width="9.85546875" style="36" customWidth="1"/>
    <col min="4640" max="4641" width="10.140625" style="36" customWidth="1"/>
    <col min="4642" max="4642" width="8.85546875" style="36" customWidth="1"/>
    <col min="4643" max="4643" width="1.42578125" style="36" customWidth="1"/>
    <col min="4644" max="4864" width="9.140625" style="36"/>
    <col min="4865" max="4865" width="1.42578125" style="36" customWidth="1"/>
    <col min="4866" max="4866" width="8.85546875" style="36" customWidth="1"/>
    <col min="4867" max="4867" width="10.85546875" style="36" customWidth="1"/>
    <col min="4868" max="4868" width="1.85546875" style="36" customWidth="1"/>
    <col min="4869" max="4870" width="2.140625" style="36" customWidth="1"/>
    <col min="4871" max="4872" width="0.5703125" style="36" customWidth="1"/>
    <col min="4873" max="4873" width="7.140625" style="36" customWidth="1"/>
    <col min="4874" max="4875" width="0.5703125" style="36" customWidth="1"/>
    <col min="4876" max="4877" width="2.140625" style="36" customWidth="1"/>
    <col min="4878" max="4878" width="1.85546875" style="36" customWidth="1"/>
    <col min="4879" max="4879" width="5.42578125" style="36" customWidth="1"/>
    <col min="4880" max="4880" width="6.42578125" style="36" customWidth="1"/>
    <col min="4881" max="4881" width="5.42578125" style="36" customWidth="1"/>
    <col min="4882" max="4882" width="1.85546875" style="36" customWidth="1"/>
    <col min="4883" max="4884" width="2.140625" style="36" customWidth="1"/>
    <col min="4885" max="4886" width="0.5703125" style="36" customWidth="1"/>
    <col min="4887" max="4887" width="7.140625" style="36" customWidth="1"/>
    <col min="4888" max="4889" width="0.5703125" style="36" customWidth="1"/>
    <col min="4890" max="4891" width="2.140625" style="36" customWidth="1"/>
    <col min="4892" max="4892" width="1.85546875" style="36" customWidth="1"/>
    <col min="4893" max="4893" width="9.140625" style="36"/>
    <col min="4894" max="4894" width="8.42578125" style="36" customWidth="1"/>
    <col min="4895" max="4895" width="9.85546875" style="36" customWidth="1"/>
    <col min="4896" max="4897" width="10.140625" style="36" customWidth="1"/>
    <col min="4898" max="4898" width="8.85546875" style="36" customWidth="1"/>
    <col min="4899" max="4899" width="1.42578125" style="36" customWidth="1"/>
    <col min="4900" max="5120" width="9.140625" style="36"/>
    <col min="5121" max="5121" width="1.42578125" style="36" customWidth="1"/>
    <col min="5122" max="5122" width="8.85546875" style="36" customWidth="1"/>
    <col min="5123" max="5123" width="10.85546875" style="36" customWidth="1"/>
    <col min="5124" max="5124" width="1.85546875" style="36" customWidth="1"/>
    <col min="5125" max="5126" width="2.140625" style="36" customWidth="1"/>
    <col min="5127" max="5128" width="0.5703125" style="36" customWidth="1"/>
    <col min="5129" max="5129" width="7.140625" style="36" customWidth="1"/>
    <col min="5130" max="5131" width="0.5703125" style="36" customWidth="1"/>
    <col min="5132" max="5133" width="2.140625" style="36" customWidth="1"/>
    <col min="5134" max="5134" width="1.85546875" style="36" customWidth="1"/>
    <col min="5135" max="5135" width="5.42578125" style="36" customWidth="1"/>
    <col min="5136" max="5136" width="6.42578125" style="36" customWidth="1"/>
    <col min="5137" max="5137" width="5.42578125" style="36" customWidth="1"/>
    <col min="5138" max="5138" width="1.85546875" style="36" customWidth="1"/>
    <col min="5139" max="5140" width="2.140625" style="36" customWidth="1"/>
    <col min="5141" max="5142" width="0.5703125" style="36" customWidth="1"/>
    <col min="5143" max="5143" width="7.140625" style="36" customWidth="1"/>
    <col min="5144" max="5145" width="0.5703125" style="36" customWidth="1"/>
    <col min="5146" max="5147" width="2.140625" style="36" customWidth="1"/>
    <col min="5148" max="5148" width="1.85546875" style="36" customWidth="1"/>
    <col min="5149" max="5149" width="9.140625" style="36"/>
    <col min="5150" max="5150" width="8.42578125" style="36" customWidth="1"/>
    <col min="5151" max="5151" width="9.85546875" style="36" customWidth="1"/>
    <col min="5152" max="5153" width="10.140625" style="36" customWidth="1"/>
    <col min="5154" max="5154" width="8.85546875" style="36" customWidth="1"/>
    <col min="5155" max="5155" width="1.42578125" style="36" customWidth="1"/>
    <col min="5156" max="5376" width="9.140625" style="36"/>
    <col min="5377" max="5377" width="1.42578125" style="36" customWidth="1"/>
    <col min="5378" max="5378" width="8.85546875" style="36" customWidth="1"/>
    <col min="5379" max="5379" width="10.85546875" style="36" customWidth="1"/>
    <col min="5380" max="5380" width="1.85546875" style="36" customWidth="1"/>
    <col min="5381" max="5382" width="2.140625" style="36" customWidth="1"/>
    <col min="5383" max="5384" width="0.5703125" style="36" customWidth="1"/>
    <col min="5385" max="5385" width="7.140625" style="36" customWidth="1"/>
    <col min="5386" max="5387" width="0.5703125" style="36" customWidth="1"/>
    <col min="5388" max="5389" width="2.140625" style="36" customWidth="1"/>
    <col min="5390" max="5390" width="1.85546875" style="36" customWidth="1"/>
    <col min="5391" max="5391" width="5.42578125" style="36" customWidth="1"/>
    <col min="5392" max="5392" width="6.42578125" style="36" customWidth="1"/>
    <col min="5393" max="5393" width="5.42578125" style="36" customWidth="1"/>
    <col min="5394" max="5394" width="1.85546875" style="36" customWidth="1"/>
    <col min="5395" max="5396" width="2.140625" style="36" customWidth="1"/>
    <col min="5397" max="5398" width="0.5703125" style="36" customWidth="1"/>
    <col min="5399" max="5399" width="7.140625" style="36" customWidth="1"/>
    <col min="5400" max="5401" width="0.5703125" style="36" customWidth="1"/>
    <col min="5402" max="5403" width="2.140625" style="36" customWidth="1"/>
    <col min="5404" max="5404" width="1.85546875" style="36" customWidth="1"/>
    <col min="5405" max="5405" width="9.140625" style="36"/>
    <col min="5406" max="5406" width="8.42578125" style="36" customWidth="1"/>
    <col min="5407" max="5407" width="9.85546875" style="36" customWidth="1"/>
    <col min="5408" max="5409" width="10.140625" style="36" customWidth="1"/>
    <col min="5410" max="5410" width="8.85546875" style="36" customWidth="1"/>
    <col min="5411" max="5411" width="1.42578125" style="36" customWidth="1"/>
    <col min="5412" max="5632" width="9.140625" style="36"/>
    <col min="5633" max="5633" width="1.42578125" style="36" customWidth="1"/>
    <col min="5634" max="5634" width="8.85546875" style="36" customWidth="1"/>
    <col min="5635" max="5635" width="10.85546875" style="36" customWidth="1"/>
    <col min="5636" max="5636" width="1.85546875" style="36" customWidth="1"/>
    <col min="5637" max="5638" width="2.140625" style="36" customWidth="1"/>
    <col min="5639" max="5640" width="0.5703125" style="36" customWidth="1"/>
    <col min="5641" max="5641" width="7.140625" style="36" customWidth="1"/>
    <col min="5642" max="5643" width="0.5703125" style="36" customWidth="1"/>
    <col min="5644" max="5645" width="2.140625" style="36" customWidth="1"/>
    <col min="5646" max="5646" width="1.85546875" style="36" customWidth="1"/>
    <col min="5647" max="5647" width="5.42578125" style="36" customWidth="1"/>
    <col min="5648" max="5648" width="6.42578125" style="36" customWidth="1"/>
    <col min="5649" max="5649" width="5.42578125" style="36" customWidth="1"/>
    <col min="5650" max="5650" width="1.85546875" style="36" customWidth="1"/>
    <col min="5651" max="5652" width="2.140625" style="36" customWidth="1"/>
    <col min="5653" max="5654" width="0.5703125" style="36" customWidth="1"/>
    <col min="5655" max="5655" width="7.140625" style="36" customWidth="1"/>
    <col min="5656" max="5657" width="0.5703125" style="36" customWidth="1"/>
    <col min="5658" max="5659" width="2.140625" style="36" customWidth="1"/>
    <col min="5660" max="5660" width="1.85546875" style="36" customWidth="1"/>
    <col min="5661" max="5661" width="9.140625" style="36"/>
    <col min="5662" max="5662" width="8.42578125" style="36" customWidth="1"/>
    <col min="5663" max="5663" width="9.85546875" style="36" customWidth="1"/>
    <col min="5664" max="5665" width="10.140625" style="36" customWidth="1"/>
    <col min="5666" max="5666" width="8.85546875" style="36" customWidth="1"/>
    <col min="5667" max="5667" width="1.42578125" style="36" customWidth="1"/>
    <col min="5668" max="5888" width="9.140625" style="36"/>
    <col min="5889" max="5889" width="1.42578125" style="36" customWidth="1"/>
    <col min="5890" max="5890" width="8.85546875" style="36" customWidth="1"/>
    <col min="5891" max="5891" width="10.85546875" style="36" customWidth="1"/>
    <col min="5892" max="5892" width="1.85546875" style="36" customWidth="1"/>
    <col min="5893" max="5894" width="2.140625" style="36" customWidth="1"/>
    <col min="5895" max="5896" width="0.5703125" style="36" customWidth="1"/>
    <col min="5897" max="5897" width="7.140625" style="36" customWidth="1"/>
    <col min="5898" max="5899" width="0.5703125" style="36" customWidth="1"/>
    <col min="5900" max="5901" width="2.140625" style="36" customWidth="1"/>
    <col min="5902" max="5902" width="1.85546875" style="36" customWidth="1"/>
    <col min="5903" max="5903" width="5.42578125" style="36" customWidth="1"/>
    <col min="5904" max="5904" width="6.42578125" style="36" customWidth="1"/>
    <col min="5905" max="5905" width="5.42578125" style="36" customWidth="1"/>
    <col min="5906" max="5906" width="1.85546875" style="36" customWidth="1"/>
    <col min="5907" max="5908" width="2.140625" style="36" customWidth="1"/>
    <col min="5909" max="5910" width="0.5703125" style="36" customWidth="1"/>
    <col min="5911" max="5911" width="7.140625" style="36" customWidth="1"/>
    <col min="5912" max="5913" width="0.5703125" style="36" customWidth="1"/>
    <col min="5914" max="5915" width="2.140625" style="36" customWidth="1"/>
    <col min="5916" max="5916" width="1.85546875" style="36" customWidth="1"/>
    <col min="5917" max="5917" width="9.140625" style="36"/>
    <col min="5918" max="5918" width="8.42578125" style="36" customWidth="1"/>
    <col min="5919" max="5919" width="9.85546875" style="36" customWidth="1"/>
    <col min="5920" max="5921" width="10.140625" style="36" customWidth="1"/>
    <col min="5922" max="5922" width="8.85546875" style="36" customWidth="1"/>
    <col min="5923" max="5923" width="1.42578125" style="36" customWidth="1"/>
    <col min="5924" max="6144" width="9.140625" style="36"/>
    <col min="6145" max="6145" width="1.42578125" style="36" customWidth="1"/>
    <col min="6146" max="6146" width="8.85546875" style="36" customWidth="1"/>
    <col min="6147" max="6147" width="10.85546875" style="36" customWidth="1"/>
    <col min="6148" max="6148" width="1.85546875" style="36" customWidth="1"/>
    <col min="6149" max="6150" width="2.140625" style="36" customWidth="1"/>
    <col min="6151" max="6152" width="0.5703125" style="36" customWidth="1"/>
    <col min="6153" max="6153" width="7.140625" style="36" customWidth="1"/>
    <col min="6154" max="6155" width="0.5703125" style="36" customWidth="1"/>
    <col min="6156" max="6157" width="2.140625" style="36" customWidth="1"/>
    <col min="6158" max="6158" width="1.85546875" style="36" customWidth="1"/>
    <col min="6159" max="6159" width="5.42578125" style="36" customWidth="1"/>
    <col min="6160" max="6160" width="6.42578125" style="36" customWidth="1"/>
    <col min="6161" max="6161" width="5.42578125" style="36" customWidth="1"/>
    <col min="6162" max="6162" width="1.85546875" style="36" customWidth="1"/>
    <col min="6163" max="6164" width="2.140625" style="36" customWidth="1"/>
    <col min="6165" max="6166" width="0.5703125" style="36" customWidth="1"/>
    <col min="6167" max="6167" width="7.140625" style="36" customWidth="1"/>
    <col min="6168" max="6169" width="0.5703125" style="36" customWidth="1"/>
    <col min="6170" max="6171" width="2.140625" style="36" customWidth="1"/>
    <col min="6172" max="6172" width="1.85546875" style="36" customWidth="1"/>
    <col min="6173" max="6173" width="9.140625" style="36"/>
    <col min="6174" max="6174" width="8.42578125" style="36" customWidth="1"/>
    <col min="6175" max="6175" width="9.85546875" style="36" customWidth="1"/>
    <col min="6176" max="6177" width="10.140625" style="36" customWidth="1"/>
    <col min="6178" max="6178" width="8.85546875" style="36" customWidth="1"/>
    <col min="6179" max="6179" width="1.42578125" style="36" customWidth="1"/>
    <col min="6180" max="6400" width="9.140625" style="36"/>
    <col min="6401" max="6401" width="1.42578125" style="36" customWidth="1"/>
    <col min="6402" max="6402" width="8.85546875" style="36" customWidth="1"/>
    <col min="6403" max="6403" width="10.85546875" style="36" customWidth="1"/>
    <col min="6404" max="6404" width="1.85546875" style="36" customWidth="1"/>
    <col min="6405" max="6406" width="2.140625" style="36" customWidth="1"/>
    <col min="6407" max="6408" width="0.5703125" style="36" customWidth="1"/>
    <col min="6409" max="6409" width="7.140625" style="36" customWidth="1"/>
    <col min="6410" max="6411" width="0.5703125" style="36" customWidth="1"/>
    <col min="6412" max="6413" width="2.140625" style="36" customWidth="1"/>
    <col min="6414" max="6414" width="1.85546875" style="36" customWidth="1"/>
    <col min="6415" max="6415" width="5.42578125" style="36" customWidth="1"/>
    <col min="6416" max="6416" width="6.42578125" style="36" customWidth="1"/>
    <col min="6417" max="6417" width="5.42578125" style="36" customWidth="1"/>
    <col min="6418" max="6418" width="1.85546875" style="36" customWidth="1"/>
    <col min="6419" max="6420" width="2.140625" style="36" customWidth="1"/>
    <col min="6421" max="6422" width="0.5703125" style="36" customWidth="1"/>
    <col min="6423" max="6423" width="7.140625" style="36" customWidth="1"/>
    <col min="6424" max="6425" width="0.5703125" style="36" customWidth="1"/>
    <col min="6426" max="6427" width="2.140625" style="36" customWidth="1"/>
    <col min="6428" max="6428" width="1.85546875" style="36" customWidth="1"/>
    <col min="6429" max="6429" width="9.140625" style="36"/>
    <col min="6430" max="6430" width="8.42578125" style="36" customWidth="1"/>
    <col min="6431" max="6431" width="9.85546875" style="36" customWidth="1"/>
    <col min="6432" max="6433" width="10.140625" style="36" customWidth="1"/>
    <col min="6434" max="6434" width="8.85546875" style="36" customWidth="1"/>
    <col min="6435" max="6435" width="1.42578125" style="36" customWidth="1"/>
    <col min="6436" max="6656" width="9.140625" style="36"/>
    <col min="6657" max="6657" width="1.42578125" style="36" customWidth="1"/>
    <col min="6658" max="6658" width="8.85546875" style="36" customWidth="1"/>
    <col min="6659" max="6659" width="10.85546875" style="36" customWidth="1"/>
    <col min="6660" max="6660" width="1.85546875" style="36" customWidth="1"/>
    <col min="6661" max="6662" width="2.140625" style="36" customWidth="1"/>
    <col min="6663" max="6664" width="0.5703125" style="36" customWidth="1"/>
    <col min="6665" max="6665" width="7.140625" style="36" customWidth="1"/>
    <col min="6666" max="6667" width="0.5703125" style="36" customWidth="1"/>
    <col min="6668" max="6669" width="2.140625" style="36" customWidth="1"/>
    <col min="6670" max="6670" width="1.85546875" style="36" customWidth="1"/>
    <col min="6671" max="6671" width="5.42578125" style="36" customWidth="1"/>
    <col min="6672" max="6672" width="6.42578125" style="36" customWidth="1"/>
    <col min="6673" max="6673" width="5.42578125" style="36" customWidth="1"/>
    <col min="6674" max="6674" width="1.85546875" style="36" customWidth="1"/>
    <col min="6675" max="6676" width="2.140625" style="36" customWidth="1"/>
    <col min="6677" max="6678" width="0.5703125" style="36" customWidth="1"/>
    <col min="6679" max="6679" width="7.140625" style="36" customWidth="1"/>
    <col min="6680" max="6681" width="0.5703125" style="36" customWidth="1"/>
    <col min="6682" max="6683" width="2.140625" style="36" customWidth="1"/>
    <col min="6684" max="6684" width="1.85546875" style="36" customWidth="1"/>
    <col min="6685" max="6685" width="9.140625" style="36"/>
    <col min="6686" max="6686" width="8.42578125" style="36" customWidth="1"/>
    <col min="6687" max="6687" width="9.85546875" style="36" customWidth="1"/>
    <col min="6688" max="6689" width="10.140625" style="36" customWidth="1"/>
    <col min="6690" max="6690" width="8.85546875" style="36" customWidth="1"/>
    <col min="6691" max="6691" width="1.42578125" style="36" customWidth="1"/>
    <col min="6692" max="6912" width="9.140625" style="36"/>
    <col min="6913" max="6913" width="1.42578125" style="36" customWidth="1"/>
    <col min="6914" max="6914" width="8.85546875" style="36" customWidth="1"/>
    <col min="6915" max="6915" width="10.85546875" style="36" customWidth="1"/>
    <col min="6916" max="6916" width="1.85546875" style="36" customWidth="1"/>
    <col min="6917" max="6918" width="2.140625" style="36" customWidth="1"/>
    <col min="6919" max="6920" width="0.5703125" style="36" customWidth="1"/>
    <col min="6921" max="6921" width="7.140625" style="36" customWidth="1"/>
    <col min="6922" max="6923" width="0.5703125" style="36" customWidth="1"/>
    <col min="6924" max="6925" width="2.140625" style="36" customWidth="1"/>
    <col min="6926" max="6926" width="1.85546875" style="36" customWidth="1"/>
    <col min="6927" max="6927" width="5.42578125" style="36" customWidth="1"/>
    <col min="6928" max="6928" width="6.42578125" style="36" customWidth="1"/>
    <col min="6929" max="6929" width="5.42578125" style="36" customWidth="1"/>
    <col min="6930" max="6930" width="1.85546875" style="36" customWidth="1"/>
    <col min="6931" max="6932" width="2.140625" style="36" customWidth="1"/>
    <col min="6933" max="6934" width="0.5703125" style="36" customWidth="1"/>
    <col min="6935" max="6935" width="7.140625" style="36" customWidth="1"/>
    <col min="6936" max="6937" width="0.5703125" style="36" customWidth="1"/>
    <col min="6938" max="6939" width="2.140625" style="36" customWidth="1"/>
    <col min="6940" max="6940" width="1.85546875" style="36" customWidth="1"/>
    <col min="6941" max="6941" width="9.140625" style="36"/>
    <col min="6942" max="6942" width="8.42578125" style="36" customWidth="1"/>
    <col min="6943" max="6943" width="9.85546875" style="36" customWidth="1"/>
    <col min="6944" max="6945" width="10.140625" style="36" customWidth="1"/>
    <col min="6946" max="6946" width="8.85546875" style="36" customWidth="1"/>
    <col min="6947" max="6947" width="1.42578125" style="36" customWidth="1"/>
    <col min="6948" max="7168" width="9.140625" style="36"/>
    <col min="7169" max="7169" width="1.42578125" style="36" customWidth="1"/>
    <col min="7170" max="7170" width="8.85546875" style="36" customWidth="1"/>
    <col min="7171" max="7171" width="10.85546875" style="36" customWidth="1"/>
    <col min="7172" max="7172" width="1.85546875" style="36" customWidth="1"/>
    <col min="7173" max="7174" width="2.140625" style="36" customWidth="1"/>
    <col min="7175" max="7176" width="0.5703125" style="36" customWidth="1"/>
    <col min="7177" max="7177" width="7.140625" style="36" customWidth="1"/>
    <col min="7178" max="7179" width="0.5703125" style="36" customWidth="1"/>
    <col min="7180" max="7181" width="2.140625" style="36" customWidth="1"/>
    <col min="7182" max="7182" width="1.85546875" style="36" customWidth="1"/>
    <col min="7183" max="7183" width="5.42578125" style="36" customWidth="1"/>
    <col min="7184" max="7184" width="6.42578125" style="36" customWidth="1"/>
    <col min="7185" max="7185" width="5.42578125" style="36" customWidth="1"/>
    <col min="7186" max="7186" width="1.85546875" style="36" customWidth="1"/>
    <col min="7187" max="7188" width="2.140625" style="36" customWidth="1"/>
    <col min="7189" max="7190" width="0.5703125" style="36" customWidth="1"/>
    <col min="7191" max="7191" width="7.140625" style="36" customWidth="1"/>
    <col min="7192" max="7193" width="0.5703125" style="36" customWidth="1"/>
    <col min="7194" max="7195" width="2.140625" style="36" customWidth="1"/>
    <col min="7196" max="7196" width="1.85546875" style="36" customWidth="1"/>
    <col min="7197" max="7197" width="9.140625" style="36"/>
    <col min="7198" max="7198" width="8.42578125" style="36" customWidth="1"/>
    <col min="7199" max="7199" width="9.85546875" style="36" customWidth="1"/>
    <col min="7200" max="7201" width="10.140625" style="36" customWidth="1"/>
    <col min="7202" max="7202" width="8.85546875" style="36" customWidth="1"/>
    <col min="7203" max="7203" width="1.42578125" style="36" customWidth="1"/>
    <col min="7204" max="7424" width="9.140625" style="36"/>
    <col min="7425" max="7425" width="1.42578125" style="36" customWidth="1"/>
    <col min="7426" max="7426" width="8.85546875" style="36" customWidth="1"/>
    <col min="7427" max="7427" width="10.85546875" style="36" customWidth="1"/>
    <col min="7428" max="7428" width="1.85546875" style="36" customWidth="1"/>
    <col min="7429" max="7430" width="2.140625" style="36" customWidth="1"/>
    <col min="7431" max="7432" width="0.5703125" style="36" customWidth="1"/>
    <col min="7433" max="7433" width="7.140625" style="36" customWidth="1"/>
    <col min="7434" max="7435" width="0.5703125" style="36" customWidth="1"/>
    <col min="7436" max="7437" width="2.140625" style="36" customWidth="1"/>
    <col min="7438" max="7438" width="1.85546875" style="36" customWidth="1"/>
    <col min="7439" max="7439" width="5.42578125" style="36" customWidth="1"/>
    <col min="7440" max="7440" width="6.42578125" style="36" customWidth="1"/>
    <col min="7441" max="7441" width="5.42578125" style="36" customWidth="1"/>
    <col min="7442" max="7442" width="1.85546875" style="36" customWidth="1"/>
    <col min="7443" max="7444" width="2.140625" style="36" customWidth="1"/>
    <col min="7445" max="7446" width="0.5703125" style="36" customWidth="1"/>
    <col min="7447" max="7447" width="7.140625" style="36" customWidth="1"/>
    <col min="7448" max="7449" width="0.5703125" style="36" customWidth="1"/>
    <col min="7450" max="7451" width="2.140625" style="36" customWidth="1"/>
    <col min="7452" max="7452" width="1.85546875" style="36" customWidth="1"/>
    <col min="7453" max="7453" width="9.140625" style="36"/>
    <col min="7454" max="7454" width="8.42578125" style="36" customWidth="1"/>
    <col min="7455" max="7455" width="9.85546875" style="36" customWidth="1"/>
    <col min="7456" max="7457" width="10.140625" style="36" customWidth="1"/>
    <col min="7458" max="7458" width="8.85546875" style="36" customWidth="1"/>
    <col min="7459" max="7459" width="1.42578125" style="36" customWidth="1"/>
    <col min="7460" max="7680" width="9.140625" style="36"/>
    <col min="7681" max="7681" width="1.42578125" style="36" customWidth="1"/>
    <col min="7682" max="7682" width="8.85546875" style="36" customWidth="1"/>
    <col min="7683" max="7683" width="10.85546875" style="36" customWidth="1"/>
    <col min="7684" max="7684" width="1.85546875" style="36" customWidth="1"/>
    <col min="7685" max="7686" width="2.140625" style="36" customWidth="1"/>
    <col min="7687" max="7688" width="0.5703125" style="36" customWidth="1"/>
    <col min="7689" max="7689" width="7.140625" style="36" customWidth="1"/>
    <col min="7690" max="7691" width="0.5703125" style="36" customWidth="1"/>
    <col min="7692" max="7693" width="2.140625" style="36" customWidth="1"/>
    <col min="7694" max="7694" width="1.85546875" style="36" customWidth="1"/>
    <col min="7695" max="7695" width="5.42578125" style="36" customWidth="1"/>
    <col min="7696" max="7696" width="6.42578125" style="36" customWidth="1"/>
    <col min="7697" max="7697" width="5.42578125" style="36" customWidth="1"/>
    <col min="7698" max="7698" width="1.85546875" style="36" customWidth="1"/>
    <col min="7699" max="7700" width="2.140625" style="36" customWidth="1"/>
    <col min="7701" max="7702" width="0.5703125" style="36" customWidth="1"/>
    <col min="7703" max="7703" width="7.140625" style="36" customWidth="1"/>
    <col min="7704" max="7705" width="0.5703125" style="36" customWidth="1"/>
    <col min="7706" max="7707" width="2.140625" style="36" customWidth="1"/>
    <col min="7708" max="7708" width="1.85546875" style="36" customWidth="1"/>
    <col min="7709" max="7709" width="9.140625" style="36"/>
    <col min="7710" max="7710" width="8.42578125" style="36" customWidth="1"/>
    <col min="7711" max="7711" width="9.85546875" style="36" customWidth="1"/>
    <col min="7712" max="7713" width="10.140625" style="36" customWidth="1"/>
    <col min="7714" max="7714" width="8.85546875" style="36" customWidth="1"/>
    <col min="7715" max="7715" width="1.42578125" style="36" customWidth="1"/>
    <col min="7716" max="7936" width="9.140625" style="36"/>
    <col min="7937" max="7937" width="1.42578125" style="36" customWidth="1"/>
    <col min="7938" max="7938" width="8.85546875" style="36" customWidth="1"/>
    <col min="7939" max="7939" width="10.85546875" style="36" customWidth="1"/>
    <col min="7940" max="7940" width="1.85546875" style="36" customWidth="1"/>
    <col min="7941" max="7942" width="2.140625" style="36" customWidth="1"/>
    <col min="7943" max="7944" width="0.5703125" style="36" customWidth="1"/>
    <col min="7945" max="7945" width="7.140625" style="36" customWidth="1"/>
    <col min="7946" max="7947" width="0.5703125" style="36" customWidth="1"/>
    <col min="7948" max="7949" width="2.140625" style="36" customWidth="1"/>
    <col min="7950" max="7950" width="1.85546875" style="36" customWidth="1"/>
    <col min="7951" max="7951" width="5.42578125" style="36" customWidth="1"/>
    <col min="7952" max="7952" width="6.42578125" style="36" customWidth="1"/>
    <col min="7953" max="7953" width="5.42578125" style="36" customWidth="1"/>
    <col min="7954" max="7954" width="1.85546875" style="36" customWidth="1"/>
    <col min="7955" max="7956" width="2.140625" style="36" customWidth="1"/>
    <col min="7957" max="7958" width="0.5703125" style="36" customWidth="1"/>
    <col min="7959" max="7959" width="7.140625" style="36" customWidth="1"/>
    <col min="7960" max="7961" width="0.5703125" style="36" customWidth="1"/>
    <col min="7962" max="7963" width="2.140625" style="36" customWidth="1"/>
    <col min="7964" max="7964" width="1.85546875" style="36" customWidth="1"/>
    <col min="7965" max="7965" width="9.140625" style="36"/>
    <col min="7966" max="7966" width="8.42578125" style="36" customWidth="1"/>
    <col min="7967" max="7967" width="9.85546875" style="36" customWidth="1"/>
    <col min="7968" max="7969" width="10.140625" style="36" customWidth="1"/>
    <col min="7970" max="7970" width="8.85546875" style="36" customWidth="1"/>
    <col min="7971" max="7971" width="1.42578125" style="36" customWidth="1"/>
    <col min="7972" max="8192" width="9.140625" style="36"/>
    <col min="8193" max="8193" width="1.42578125" style="36" customWidth="1"/>
    <col min="8194" max="8194" width="8.85546875" style="36" customWidth="1"/>
    <col min="8195" max="8195" width="10.85546875" style="36" customWidth="1"/>
    <col min="8196" max="8196" width="1.85546875" style="36" customWidth="1"/>
    <col min="8197" max="8198" width="2.140625" style="36" customWidth="1"/>
    <col min="8199" max="8200" width="0.5703125" style="36" customWidth="1"/>
    <col min="8201" max="8201" width="7.140625" style="36" customWidth="1"/>
    <col min="8202" max="8203" width="0.5703125" style="36" customWidth="1"/>
    <col min="8204" max="8205" width="2.140625" style="36" customWidth="1"/>
    <col min="8206" max="8206" width="1.85546875" style="36" customWidth="1"/>
    <col min="8207" max="8207" width="5.42578125" style="36" customWidth="1"/>
    <col min="8208" max="8208" width="6.42578125" style="36" customWidth="1"/>
    <col min="8209" max="8209" width="5.42578125" style="36" customWidth="1"/>
    <col min="8210" max="8210" width="1.85546875" style="36" customWidth="1"/>
    <col min="8211" max="8212" width="2.140625" style="36" customWidth="1"/>
    <col min="8213" max="8214" width="0.5703125" style="36" customWidth="1"/>
    <col min="8215" max="8215" width="7.140625" style="36" customWidth="1"/>
    <col min="8216" max="8217" width="0.5703125" style="36" customWidth="1"/>
    <col min="8218" max="8219" width="2.140625" style="36" customWidth="1"/>
    <col min="8220" max="8220" width="1.85546875" style="36" customWidth="1"/>
    <col min="8221" max="8221" width="9.140625" style="36"/>
    <col min="8222" max="8222" width="8.42578125" style="36" customWidth="1"/>
    <col min="8223" max="8223" width="9.85546875" style="36" customWidth="1"/>
    <col min="8224" max="8225" width="10.140625" style="36" customWidth="1"/>
    <col min="8226" max="8226" width="8.85546875" style="36" customWidth="1"/>
    <col min="8227" max="8227" width="1.42578125" style="36" customWidth="1"/>
    <col min="8228" max="8448" width="9.140625" style="36"/>
    <col min="8449" max="8449" width="1.42578125" style="36" customWidth="1"/>
    <col min="8450" max="8450" width="8.85546875" style="36" customWidth="1"/>
    <col min="8451" max="8451" width="10.85546875" style="36" customWidth="1"/>
    <col min="8452" max="8452" width="1.85546875" style="36" customWidth="1"/>
    <col min="8453" max="8454" width="2.140625" style="36" customWidth="1"/>
    <col min="8455" max="8456" width="0.5703125" style="36" customWidth="1"/>
    <col min="8457" max="8457" width="7.140625" style="36" customWidth="1"/>
    <col min="8458" max="8459" width="0.5703125" style="36" customWidth="1"/>
    <col min="8460" max="8461" width="2.140625" style="36" customWidth="1"/>
    <col min="8462" max="8462" width="1.85546875" style="36" customWidth="1"/>
    <col min="8463" max="8463" width="5.42578125" style="36" customWidth="1"/>
    <col min="8464" max="8464" width="6.42578125" style="36" customWidth="1"/>
    <col min="8465" max="8465" width="5.42578125" style="36" customWidth="1"/>
    <col min="8466" max="8466" width="1.85546875" style="36" customWidth="1"/>
    <col min="8467" max="8468" width="2.140625" style="36" customWidth="1"/>
    <col min="8469" max="8470" width="0.5703125" style="36" customWidth="1"/>
    <col min="8471" max="8471" width="7.140625" style="36" customWidth="1"/>
    <col min="8472" max="8473" width="0.5703125" style="36" customWidth="1"/>
    <col min="8474" max="8475" width="2.140625" style="36" customWidth="1"/>
    <col min="8476" max="8476" width="1.85546875" style="36" customWidth="1"/>
    <col min="8477" max="8477" width="9.140625" style="36"/>
    <col min="8478" max="8478" width="8.42578125" style="36" customWidth="1"/>
    <col min="8479" max="8479" width="9.85546875" style="36" customWidth="1"/>
    <col min="8480" max="8481" width="10.140625" style="36" customWidth="1"/>
    <col min="8482" max="8482" width="8.85546875" style="36" customWidth="1"/>
    <col min="8483" max="8483" width="1.42578125" style="36" customWidth="1"/>
    <col min="8484" max="8704" width="9.140625" style="36"/>
    <col min="8705" max="8705" width="1.42578125" style="36" customWidth="1"/>
    <col min="8706" max="8706" width="8.85546875" style="36" customWidth="1"/>
    <col min="8707" max="8707" width="10.85546875" style="36" customWidth="1"/>
    <col min="8708" max="8708" width="1.85546875" style="36" customWidth="1"/>
    <col min="8709" max="8710" width="2.140625" style="36" customWidth="1"/>
    <col min="8711" max="8712" width="0.5703125" style="36" customWidth="1"/>
    <col min="8713" max="8713" width="7.140625" style="36" customWidth="1"/>
    <col min="8714" max="8715" width="0.5703125" style="36" customWidth="1"/>
    <col min="8716" max="8717" width="2.140625" style="36" customWidth="1"/>
    <col min="8718" max="8718" width="1.85546875" style="36" customWidth="1"/>
    <col min="8719" max="8719" width="5.42578125" style="36" customWidth="1"/>
    <col min="8720" max="8720" width="6.42578125" style="36" customWidth="1"/>
    <col min="8721" max="8721" width="5.42578125" style="36" customWidth="1"/>
    <col min="8722" max="8722" width="1.85546875" style="36" customWidth="1"/>
    <col min="8723" max="8724" width="2.140625" style="36" customWidth="1"/>
    <col min="8725" max="8726" width="0.5703125" style="36" customWidth="1"/>
    <col min="8727" max="8727" width="7.140625" style="36" customWidth="1"/>
    <col min="8728" max="8729" width="0.5703125" style="36" customWidth="1"/>
    <col min="8730" max="8731" width="2.140625" style="36" customWidth="1"/>
    <col min="8732" max="8732" width="1.85546875" style="36" customWidth="1"/>
    <col min="8733" max="8733" width="9.140625" style="36"/>
    <col min="8734" max="8734" width="8.42578125" style="36" customWidth="1"/>
    <col min="8735" max="8735" width="9.85546875" style="36" customWidth="1"/>
    <col min="8736" max="8737" width="10.140625" style="36" customWidth="1"/>
    <col min="8738" max="8738" width="8.85546875" style="36" customWidth="1"/>
    <col min="8739" max="8739" width="1.42578125" style="36" customWidth="1"/>
    <col min="8740" max="8960" width="9.140625" style="36"/>
    <col min="8961" max="8961" width="1.42578125" style="36" customWidth="1"/>
    <col min="8962" max="8962" width="8.85546875" style="36" customWidth="1"/>
    <col min="8963" max="8963" width="10.85546875" style="36" customWidth="1"/>
    <col min="8964" max="8964" width="1.85546875" style="36" customWidth="1"/>
    <col min="8965" max="8966" width="2.140625" style="36" customWidth="1"/>
    <col min="8967" max="8968" width="0.5703125" style="36" customWidth="1"/>
    <col min="8969" max="8969" width="7.140625" style="36" customWidth="1"/>
    <col min="8970" max="8971" width="0.5703125" style="36" customWidth="1"/>
    <col min="8972" max="8973" width="2.140625" style="36" customWidth="1"/>
    <col min="8974" max="8974" width="1.85546875" style="36" customWidth="1"/>
    <col min="8975" max="8975" width="5.42578125" style="36" customWidth="1"/>
    <col min="8976" max="8976" width="6.42578125" style="36" customWidth="1"/>
    <col min="8977" max="8977" width="5.42578125" style="36" customWidth="1"/>
    <col min="8978" max="8978" width="1.85546875" style="36" customWidth="1"/>
    <col min="8979" max="8980" width="2.140625" style="36" customWidth="1"/>
    <col min="8981" max="8982" width="0.5703125" style="36" customWidth="1"/>
    <col min="8983" max="8983" width="7.140625" style="36" customWidth="1"/>
    <col min="8984" max="8985" width="0.5703125" style="36" customWidth="1"/>
    <col min="8986" max="8987" width="2.140625" style="36" customWidth="1"/>
    <col min="8988" max="8988" width="1.85546875" style="36" customWidth="1"/>
    <col min="8989" max="8989" width="9.140625" style="36"/>
    <col min="8990" max="8990" width="8.42578125" style="36" customWidth="1"/>
    <col min="8991" max="8991" width="9.85546875" style="36" customWidth="1"/>
    <col min="8992" max="8993" width="10.140625" style="36" customWidth="1"/>
    <col min="8994" max="8994" width="8.85546875" style="36" customWidth="1"/>
    <col min="8995" max="8995" width="1.42578125" style="36" customWidth="1"/>
    <col min="8996" max="9216" width="9.140625" style="36"/>
    <col min="9217" max="9217" width="1.42578125" style="36" customWidth="1"/>
    <col min="9218" max="9218" width="8.85546875" style="36" customWidth="1"/>
    <col min="9219" max="9219" width="10.85546875" style="36" customWidth="1"/>
    <col min="9220" max="9220" width="1.85546875" style="36" customWidth="1"/>
    <col min="9221" max="9222" width="2.140625" style="36" customWidth="1"/>
    <col min="9223" max="9224" width="0.5703125" style="36" customWidth="1"/>
    <col min="9225" max="9225" width="7.140625" style="36" customWidth="1"/>
    <col min="9226" max="9227" width="0.5703125" style="36" customWidth="1"/>
    <col min="9228" max="9229" width="2.140625" style="36" customWidth="1"/>
    <col min="9230" max="9230" width="1.85546875" style="36" customWidth="1"/>
    <col min="9231" max="9231" width="5.42578125" style="36" customWidth="1"/>
    <col min="9232" max="9232" width="6.42578125" style="36" customWidth="1"/>
    <col min="9233" max="9233" width="5.42578125" style="36" customWidth="1"/>
    <col min="9234" max="9234" width="1.85546875" style="36" customWidth="1"/>
    <col min="9235" max="9236" width="2.140625" style="36" customWidth="1"/>
    <col min="9237" max="9238" width="0.5703125" style="36" customWidth="1"/>
    <col min="9239" max="9239" width="7.140625" style="36" customWidth="1"/>
    <col min="9240" max="9241" width="0.5703125" style="36" customWidth="1"/>
    <col min="9242" max="9243" width="2.140625" style="36" customWidth="1"/>
    <col min="9244" max="9244" width="1.85546875" style="36" customWidth="1"/>
    <col min="9245" max="9245" width="9.140625" style="36"/>
    <col min="9246" max="9246" width="8.42578125" style="36" customWidth="1"/>
    <col min="9247" max="9247" width="9.85546875" style="36" customWidth="1"/>
    <col min="9248" max="9249" width="10.140625" style="36" customWidth="1"/>
    <col min="9250" max="9250" width="8.85546875" style="36" customWidth="1"/>
    <col min="9251" max="9251" width="1.42578125" style="36" customWidth="1"/>
    <col min="9252" max="9472" width="9.140625" style="36"/>
    <col min="9473" max="9473" width="1.42578125" style="36" customWidth="1"/>
    <col min="9474" max="9474" width="8.85546875" style="36" customWidth="1"/>
    <col min="9475" max="9475" width="10.85546875" style="36" customWidth="1"/>
    <col min="9476" max="9476" width="1.85546875" style="36" customWidth="1"/>
    <col min="9477" max="9478" width="2.140625" style="36" customWidth="1"/>
    <col min="9479" max="9480" width="0.5703125" style="36" customWidth="1"/>
    <col min="9481" max="9481" width="7.140625" style="36" customWidth="1"/>
    <col min="9482" max="9483" width="0.5703125" style="36" customWidth="1"/>
    <col min="9484" max="9485" width="2.140625" style="36" customWidth="1"/>
    <col min="9486" max="9486" width="1.85546875" style="36" customWidth="1"/>
    <col min="9487" max="9487" width="5.42578125" style="36" customWidth="1"/>
    <col min="9488" max="9488" width="6.42578125" style="36" customWidth="1"/>
    <col min="9489" max="9489" width="5.42578125" style="36" customWidth="1"/>
    <col min="9490" max="9490" width="1.85546875" style="36" customWidth="1"/>
    <col min="9491" max="9492" width="2.140625" style="36" customWidth="1"/>
    <col min="9493" max="9494" width="0.5703125" style="36" customWidth="1"/>
    <col min="9495" max="9495" width="7.140625" style="36" customWidth="1"/>
    <col min="9496" max="9497" width="0.5703125" style="36" customWidth="1"/>
    <col min="9498" max="9499" width="2.140625" style="36" customWidth="1"/>
    <col min="9500" max="9500" width="1.85546875" style="36" customWidth="1"/>
    <col min="9501" max="9501" width="9.140625" style="36"/>
    <col min="9502" max="9502" width="8.42578125" style="36" customWidth="1"/>
    <col min="9503" max="9503" width="9.85546875" style="36" customWidth="1"/>
    <col min="9504" max="9505" width="10.140625" style="36" customWidth="1"/>
    <col min="9506" max="9506" width="8.85546875" style="36" customWidth="1"/>
    <col min="9507" max="9507" width="1.42578125" style="36" customWidth="1"/>
    <col min="9508" max="9728" width="9.140625" style="36"/>
    <col min="9729" max="9729" width="1.42578125" style="36" customWidth="1"/>
    <col min="9730" max="9730" width="8.85546875" style="36" customWidth="1"/>
    <col min="9731" max="9731" width="10.85546875" style="36" customWidth="1"/>
    <col min="9732" max="9732" width="1.85546875" style="36" customWidth="1"/>
    <col min="9733" max="9734" width="2.140625" style="36" customWidth="1"/>
    <col min="9735" max="9736" width="0.5703125" style="36" customWidth="1"/>
    <col min="9737" max="9737" width="7.140625" style="36" customWidth="1"/>
    <col min="9738" max="9739" width="0.5703125" style="36" customWidth="1"/>
    <col min="9740" max="9741" width="2.140625" style="36" customWidth="1"/>
    <col min="9742" max="9742" width="1.85546875" style="36" customWidth="1"/>
    <col min="9743" max="9743" width="5.42578125" style="36" customWidth="1"/>
    <col min="9744" max="9744" width="6.42578125" style="36" customWidth="1"/>
    <col min="9745" max="9745" width="5.42578125" style="36" customWidth="1"/>
    <col min="9746" max="9746" width="1.85546875" style="36" customWidth="1"/>
    <col min="9747" max="9748" width="2.140625" style="36" customWidth="1"/>
    <col min="9749" max="9750" width="0.5703125" style="36" customWidth="1"/>
    <col min="9751" max="9751" width="7.140625" style="36" customWidth="1"/>
    <col min="9752" max="9753" width="0.5703125" style="36" customWidth="1"/>
    <col min="9754" max="9755" width="2.140625" style="36" customWidth="1"/>
    <col min="9756" max="9756" width="1.85546875" style="36" customWidth="1"/>
    <col min="9757" max="9757" width="9.140625" style="36"/>
    <col min="9758" max="9758" width="8.42578125" style="36" customWidth="1"/>
    <col min="9759" max="9759" width="9.85546875" style="36" customWidth="1"/>
    <col min="9760" max="9761" width="10.140625" style="36" customWidth="1"/>
    <col min="9762" max="9762" width="8.85546875" style="36" customWidth="1"/>
    <col min="9763" max="9763" width="1.42578125" style="36" customWidth="1"/>
    <col min="9764" max="9984" width="9.140625" style="36"/>
    <col min="9985" max="9985" width="1.42578125" style="36" customWidth="1"/>
    <col min="9986" max="9986" width="8.85546875" style="36" customWidth="1"/>
    <col min="9987" max="9987" width="10.85546875" style="36" customWidth="1"/>
    <col min="9988" max="9988" width="1.85546875" style="36" customWidth="1"/>
    <col min="9989" max="9990" width="2.140625" style="36" customWidth="1"/>
    <col min="9991" max="9992" width="0.5703125" style="36" customWidth="1"/>
    <col min="9993" max="9993" width="7.140625" style="36" customWidth="1"/>
    <col min="9994" max="9995" width="0.5703125" style="36" customWidth="1"/>
    <col min="9996" max="9997" width="2.140625" style="36" customWidth="1"/>
    <col min="9998" max="9998" width="1.85546875" style="36" customWidth="1"/>
    <col min="9999" max="9999" width="5.42578125" style="36" customWidth="1"/>
    <col min="10000" max="10000" width="6.42578125" style="36" customWidth="1"/>
    <col min="10001" max="10001" width="5.42578125" style="36" customWidth="1"/>
    <col min="10002" max="10002" width="1.85546875" style="36" customWidth="1"/>
    <col min="10003" max="10004" width="2.140625" style="36" customWidth="1"/>
    <col min="10005" max="10006" width="0.5703125" style="36" customWidth="1"/>
    <col min="10007" max="10007" width="7.140625" style="36" customWidth="1"/>
    <col min="10008" max="10009" width="0.5703125" style="36" customWidth="1"/>
    <col min="10010" max="10011" width="2.140625" style="36" customWidth="1"/>
    <col min="10012" max="10012" width="1.85546875" style="36" customWidth="1"/>
    <col min="10013" max="10013" width="9.140625" style="36"/>
    <col min="10014" max="10014" width="8.42578125" style="36" customWidth="1"/>
    <col min="10015" max="10015" width="9.85546875" style="36" customWidth="1"/>
    <col min="10016" max="10017" width="10.140625" style="36" customWidth="1"/>
    <col min="10018" max="10018" width="8.85546875" style="36" customWidth="1"/>
    <col min="10019" max="10019" width="1.42578125" style="36" customWidth="1"/>
    <col min="10020" max="10240" width="9.140625" style="36"/>
    <col min="10241" max="10241" width="1.42578125" style="36" customWidth="1"/>
    <col min="10242" max="10242" width="8.85546875" style="36" customWidth="1"/>
    <col min="10243" max="10243" width="10.85546875" style="36" customWidth="1"/>
    <col min="10244" max="10244" width="1.85546875" style="36" customWidth="1"/>
    <col min="10245" max="10246" width="2.140625" style="36" customWidth="1"/>
    <col min="10247" max="10248" width="0.5703125" style="36" customWidth="1"/>
    <col min="10249" max="10249" width="7.140625" style="36" customWidth="1"/>
    <col min="10250" max="10251" width="0.5703125" style="36" customWidth="1"/>
    <col min="10252" max="10253" width="2.140625" style="36" customWidth="1"/>
    <col min="10254" max="10254" width="1.85546875" style="36" customWidth="1"/>
    <col min="10255" max="10255" width="5.42578125" style="36" customWidth="1"/>
    <col min="10256" max="10256" width="6.42578125" style="36" customWidth="1"/>
    <col min="10257" max="10257" width="5.42578125" style="36" customWidth="1"/>
    <col min="10258" max="10258" width="1.85546875" style="36" customWidth="1"/>
    <col min="10259" max="10260" width="2.140625" style="36" customWidth="1"/>
    <col min="10261" max="10262" width="0.5703125" style="36" customWidth="1"/>
    <col min="10263" max="10263" width="7.140625" style="36" customWidth="1"/>
    <col min="10264" max="10265" width="0.5703125" style="36" customWidth="1"/>
    <col min="10266" max="10267" width="2.140625" style="36" customWidth="1"/>
    <col min="10268" max="10268" width="1.85546875" style="36" customWidth="1"/>
    <col min="10269" max="10269" width="9.140625" style="36"/>
    <col min="10270" max="10270" width="8.42578125" style="36" customWidth="1"/>
    <col min="10271" max="10271" width="9.85546875" style="36" customWidth="1"/>
    <col min="10272" max="10273" width="10.140625" style="36" customWidth="1"/>
    <col min="10274" max="10274" width="8.85546875" style="36" customWidth="1"/>
    <col min="10275" max="10275" width="1.42578125" style="36" customWidth="1"/>
    <col min="10276" max="10496" width="9.140625" style="36"/>
    <col min="10497" max="10497" width="1.42578125" style="36" customWidth="1"/>
    <col min="10498" max="10498" width="8.85546875" style="36" customWidth="1"/>
    <col min="10499" max="10499" width="10.85546875" style="36" customWidth="1"/>
    <col min="10500" max="10500" width="1.85546875" style="36" customWidth="1"/>
    <col min="10501" max="10502" width="2.140625" style="36" customWidth="1"/>
    <col min="10503" max="10504" width="0.5703125" style="36" customWidth="1"/>
    <col min="10505" max="10505" width="7.140625" style="36" customWidth="1"/>
    <col min="10506" max="10507" width="0.5703125" style="36" customWidth="1"/>
    <col min="10508" max="10509" width="2.140625" style="36" customWidth="1"/>
    <col min="10510" max="10510" width="1.85546875" style="36" customWidth="1"/>
    <col min="10511" max="10511" width="5.42578125" style="36" customWidth="1"/>
    <col min="10512" max="10512" width="6.42578125" style="36" customWidth="1"/>
    <col min="10513" max="10513" width="5.42578125" style="36" customWidth="1"/>
    <col min="10514" max="10514" width="1.85546875" style="36" customWidth="1"/>
    <col min="10515" max="10516" width="2.140625" style="36" customWidth="1"/>
    <col min="10517" max="10518" width="0.5703125" style="36" customWidth="1"/>
    <col min="10519" max="10519" width="7.140625" style="36" customWidth="1"/>
    <col min="10520" max="10521" width="0.5703125" style="36" customWidth="1"/>
    <col min="10522" max="10523" width="2.140625" style="36" customWidth="1"/>
    <col min="10524" max="10524" width="1.85546875" style="36" customWidth="1"/>
    <col min="10525" max="10525" width="9.140625" style="36"/>
    <col min="10526" max="10526" width="8.42578125" style="36" customWidth="1"/>
    <col min="10527" max="10527" width="9.85546875" style="36" customWidth="1"/>
    <col min="10528" max="10529" width="10.140625" style="36" customWidth="1"/>
    <col min="10530" max="10530" width="8.85546875" style="36" customWidth="1"/>
    <col min="10531" max="10531" width="1.42578125" style="36" customWidth="1"/>
    <col min="10532" max="10752" width="9.140625" style="36"/>
    <col min="10753" max="10753" width="1.42578125" style="36" customWidth="1"/>
    <col min="10754" max="10754" width="8.85546875" style="36" customWidth="1"/>
    <col min="10755" max="10755" width="10.85546875" style="36" customWidth="1"/>
    <col min="10756" max="10756" width="1.85546875" style="36" customWidth="1"/>
    <col min="10757" max="10758" width="2.140625" style="36" customWidth="1"/>
    <col min="10759" max="10760" width="0.5703125" style="36" customWidth="1"/>
    <col min="10761" max="10761" width="7.140625" style="36" customWidth="1"/>
    <col min="10762" max="10763" width="0.5703125" style="36" customWidth="1"/>
    <col min="10764" max="10765" width="2.140625" style="36" customWidth="1"/>
    <col min="10766" max="10766" width="1.85546875" style="36" customWidth="1"/>
    <col min="10767" max="10767" width="5.42578125" style="36" customWidth="1"/>
    <col min="10768" max="10768" width="6.42578125" style="36" customWidth="1"/>
    <col min="10769" max="10769" width="5.42578125" style="36" customWidth="1"/>
    <col min="10770" max="10770" width="1.85546875" style="36" customWidth="1"/>
    <col min="10771" max="10772" width="2.140625" style="36" customWidth="1"/>
    <col min="10773" max="10774" width="0.5703125" style="36" customWidth="1"/>
    <col min="10775" max="10775" width="7.140625" style="36" customWidth="1"/>
    <col min="10776" max="10777" width="0.5703125" style="36" customWidth="1"/>
    <col min="10778" max="10779" width="2.140625" style="36" customWidth="1"/>
    <col min="10780" max="10780" width="1.85546875" style="36" customWidth="1"/>
    <col min="10781" max="10781" width="9.140625" style="36"/>
    <col min="10782" max="10782" width="8.42578125" style="36" customWidth="1"/>
    <col min="10783" max="10783" width="9.85546875" style="36" customWidth="1"/>
    <col min="10784" max="10785" width="10.140625" style="36" customWidth="1"/>
    <col min="10786" max="10786" width="8.85546875" style="36" customWidth="1"/>
    <col min="10787" max="10787" width="1.42578125" style="36" customWidth="1"/>
    <col min="10788" max="11008" width="9.140625" style="36"/>
    <col min="11009" max="11009" width="1.42578125" style="36" customWidth="1"/>
    <col min="11010" max="11010" width="8.85546875" style="36" customWidth="1"/>
    <col min="11011" max="11011" width="10.85546875" style="36" customWidth="1"/>
    <col min="11012" max="11012" width="1.85546875" style="36" customWidth="1"/>
    <col min="11013" max="11014" width="2.140625" style="36" customWidth="1"/>
    <col min="11015" max="11016" width="0.5703125" style="36" customWidth="1"/>
    <col min="11017" max="11017" width="7.140625" style="36" customWidth="1"/>
    <col min="11018" max="11019" width="0.5703125" style="36" customWidth="1"/>
    <col min="11020" max="11021" width="2.140625" style="36" customWidth="1"/>
    <col min="11022" max="11022" width="1.85546875" style="36" customWidth="1"/>
    <col min="11023" max="11023" width="5.42578125" style="36" customWidth="1"/>
    <col min="11024" max="11024" width="6.42578125" style="36" customWidth="1"/>
    <col min="11025" max="11025" width="5.42578125" style="36" customWidth="1"/>
    <col min="11026" max="11026" width="1.85546875" style="36" customWidth="1"/>
    <col min="11027" max="11028" width="2.140625" style="36" customWidth="1"/>
    <col min="11029" max="11030" width="0.5703125" style="36" customWidth="1"/>
    <col min="11031" max="11031" width="7.140625" style="36" customWidth="1"/>
    <col min="11032" max="11033" width="0.5703125" style="36" customWidth="1"/>
    <col min="11034" max="11035" width="2.140625" style="36" customWidth="1"/>
    <col min="11036" max="11036" width="1.85546875" style="36" customWidth="1"/>
    <col min="11037" max="11037" width="9.140625" style="36"/>
    <col min="11038" max="11038" width="8.42578125" style="36" customWidth="1"/>
    <col min="11039" max="11039" width="9.85546875" style="36" customWidth="1"/>
    <col min="11040" max="11041" width="10.140625" style="36" customWidth="1"/>
    <col min="11042" max="11042" width="8.85546875" style="36" customWidth="1"/>
    <col min="11043" max="11043" width="1.42578125" style="36" customWidth="1"/>
    <col min="11044" max="11264" width="9.140625" style="36"/>
    <col min="11265" max="11265" width="1.42578125" style="36" customWidth="1"/>
    <col min="11266" max="11266" width="8.85546875" style="36" customWidth="1"/>
    <col min="11267" max="11267" width="10.85546875" style="36" customWidth="1"/>
    <col min="11268" max="11268" width="1.85546875" style="36" customWidth="1"/>
    <col min="11269" max="11270" width="2.140625" style="36" customWidth="1"/>
    <col min="11271" max="11272" width="0.5703125" style="36" customWidth="1"/>
    <col min="11273" max="11273" width="7.140625" style="36" customWidth="1"/>
    <col min="11274" max="11275" width="0.5703125" style="36" customWidth="1"/>
    <col min="11276" max="11277" width="2.140625" style="36" customWidth="1"/>
    <col min="11278" max="11278" width="1.85546875" style="36" customWidth="1"/>
    <col min="11279" max="11279" width="5.42578125" style="36" customWidth="1"/>
    <col min="11280" max="11280" width="6.42578125" style="36" customWidth="1"/>
    <col min="11281" max="11281" width="5.42578125" style="36" customWidth="1"/>
    <col min="11282" max="11282" width="1.85546875" style="36" customWidth="1"/>
    <col min="11283" max="11284" width="2.140625" style="36" customWidth="1"/>
    <col min="11285" max="11286" width="0.5703125" style="36" customWidth="1"/>
    <col min="11287" max="11287" width="7.140625" style="36" customWidth="1"/>
    <col min="11288" max="11289" width="0.5703125" style="36" customWidth="1"/>
    <col min="11290" max="11291" width="2.140625" style="36" customWidth="1"/>
    <col min="11292" max="11292" width="1.85546875" style="36" customWidth="1"/>
    <col min="11293" max="11293" width="9.140625" style="36"/>
    <col min="11294" max="11294" width="8.42578125" style="36" customWidth="1"/>
    <col min="11295" max="11295" width="9.85546875" style="36" customWidth="1"/>
    <col min="11296" max="11297" width="10.140625" style="36" customWidth="1"/>
    <col min="11298" max="11298" width="8.85546875" style="36" customWidth="1"/>
    <col min="11299" max="11299" width="1.42578125" style="36" customWidth="1"/>
    <col min="11300" max="11520" width="9.140625" style="36"/>
    <col min="11521" max="11521" width="1.42578125" style="36" customWidth="1"/>
    <col min="11522" max="11522" width="8.85546875" style="36" customWidth="1"/>
    <col min="11523" max="11523" width="10.85546875" style="36" customWidth="1"/>
    <col min="11524" max="11524" width="1.85546875" style="36" customWidth="1"/>
    <col min="11525" max="11526" width="2.140625" style="36" customWidth="1"/>
    <col min="11527" max="11528" width="0.5703125" style="36" customWidth="1"/>
    <col min="11529" max="11529" width="7.140625" style="36" customWidth="1"/>
    <col min="11530" max="11531" width="0.5703125" style="36" customWidth="1"/>
    <col min="11532" max="11533" width="2.140625" style="36" customWidth="1"/>
    <col min="11534" max="11534" width="1.85546875" style="36" customWidth="1"/>
    <col min="11535" max="11535" width="5.42578125" style="36" customWidth="1"/>
    <col min="11536" max="11536" width="6.42578125" style="36" customWidth="1"/>
    <col min="11537" max="11537" width="5.42578125" style="36" customWidth="1"/>
    <col min="11538" max="11538" width="1.85546875" style="36" customWidth="1"/>
    <col min="11539" max="11540" width="2.140625" style="36" customWidth="1"/>
    <col min="11541" max="11542" width="0.5703125" style="36" customWidth="1"/>
    <col min="11543" max="11543" width="7.140625" style="36" customWidth="1"/>
    <col min="11544" max="11545" width="0.5703125" style="36" customWidth="1"/>
    <col min="11546" max="11547" width="2.140625" style="36" customWidth="1"/>
    <col min="11548" max="11548" width="1.85546875" style="36" customWidth="1"/>
    <col min="11549" max="11549" width="9.140625" style="36"/>
    <col min="11550" max="11550" width="8.42578125" style="36" customWidth="1"/>
    <col min="11551" max="11551" width="9.85546875" style="36" customWidth="1"/>
    <col min="11552" max="11553" width="10.140625" style="36" customWidth="1"/>
    <col min="11554" max="11554" width="8.85546875" style="36" customWidth="1"/>
    <col min="11555" max="11555" width="1.42578125" style="36" customWidth="1"/>
    <col min="11556" max="11776" width="9.140625" style="36"/>
    <col min="11777" max="11777" width="1.42578125" style="36" customWidth="1"/>
    <col min="11778" max="11778" width="8.85546875" style="36" customWidth="1"/>
    <col min="11779" max="11779" width="10.85546875" style="36" customWidth="1"/>
    <col min="11780" max="11780" width="1.85546875" style="36" customWidth="1"/>
    <col min="11781" max="11782" width="2.140625" style="36" customWidth="1"/>
    <col min="11783" max="11784" width="0.5703125" style="36" customWidth="1"/>
    <col min="11785" max="11785" width="7.140625" style="36" customWidth="1"/>
    <col min="11786" max="11787" width="0.5703125" style="36" customWidth="1"/>
    <col min="11788" max="11789" width="2.140625" style="36" customWidth="1"/>
    <col min="11790" max="11790" width="1.85546875" style="36" customWidth="1"/>
    <col min="11791" max="11791" width="5.42578125" style="36" customWidth="1"/>
    <col min="11792" max="11792" width="6.42578125" style="36" customWidth="1"/>
    <col min="11793" max="11793" width="5.42578125" style="36" customWidth="1"/>
    <col min="11794" max="11794" width="1.85546875" style="36" customWidth="1"/>
    <col min="11795" max="11796" width="2.140625" style="36" customWidth="1"/>
    <col min="11797" max="11798" width="0.5703125" style="36" customWidth="1"/>
    <col min="11799" max="11799" width="7.140625" style="36" customWidth="1"/>
    <col min="11800" max="11801" width="0.5703125" style="36" customWidth="1"/>
    <col min="11802" max="11803" width="2.140625" style="36" customWidth="1"/>
    <col min="11804" max="11804" width="1.85546875" style="36" customWidth="1"/>
    <col min="11805" max="11805" width="9.140625" style="36"/>
    <col min="11806" max="11806" width="8.42578125" style="36" customWidth="1"/>
    <col min="11807" max="11807" width="9.85546875" style="36" customWidth="1"/>
    <col min="11808" max="11809" width="10.140625" style="36" customWidth="1"/>
    <col min="11810" max="11810" width="8.85546875" style="36" customWidth="1"/>
    <col min="11811" max="11811" width="1.42578125" style="36" customWidth="1"/>
    <col min="11812" max="12032" width="9.140625" style="36"/>
    <col min="12033" max="12033" width="1.42578125" style="36" customWidth="1"/>
    <col min="12034" max="12034" width="8.85546875" style="36" customWidth="1"/>
    <col min="12035" max="12035" width="10.85546875" style="36" customWidth="1"/>
    <col min="12036" max="12036" width="1.85546875" style="36" customWidth="1"/>
    <col min="12037" max="12038" width="2.140625" style="36" customWidth="1"/>
    <col min="12039" max="12040" width="0.5703125" style="36" customWidth="1"/>
    <col min="12041" max="12041" width="7.140625" style="36" customWidth="1"/>
    <col min="12042" max="12043" width="0.5703125" style="36" customWidth="1"/>
    <col min="12044" max="12045" width="2.140625" style="36" customWidth="1"/>
    <col min="12046" max="12046" width="1.85546875" style="36" customWidth="1"/>
    <col min="12047" max="12047" width="5.42578125" style="36" customWidth="1"/>
    <col min="12048" max="12048" width="6.42578125" style="36" customWidth="1"/>
    <col min="12049" max="12049" width="5.42578125" style="36" customWidth="1"/>
    <col min="12050" max="12050" width="1.85546875" style="36" customWidth="1"/>
    <col min="12051" max="12052" width="2.140625" style="36" customWidth="1"/>
    <col min="12053" max="12054" width="0.5703125" style="36" customWidth="1"/>
    <col min="12055" max="12055" width="7.140625" style="36" customWidth="1"/>
    <col min="12056" max="12057" width="0.5703125" style="36" customWidth="1"/>
    <col min="12058" max="12059" width="2.140625" style="36" customWidth="1"/>
    <col min="12060" max="12060" width="1.85546875" style="36" customWidth="1"/>
    <col min="12061" max="12061" width="9.140625" style="36"/>
    <col min="12062" max="12062" width="8.42578125" style="36" customWidth="1"/>
    <col min="12063" max="12063" width="9.85546875" style="36" customWidth="1"/>
    <col min="12064" max="12065" width="10.140625" style="36" customWidth="1"/>
    <col min="12066" max="12066" width="8.85546875" style="36" customWidth="1"/>
    <col min="12067" max="12067" width="1.42578125" style="36" customWidth="1"/>
    <col min="12068" max="12288" width="9.140625" style="36"/>
    <col min="12289" max="12289" width="1.42578125" style="36" customWidth="1"/>
    <col min="12290" max="12290" width="8.85546875" style="36" customWidth="1"/>
    <col min="12291" max="12291" width="10.85546875" style="36" customWidth="1"/>
    <col min="12292" max="12292" width="1.85546875" style="36" customWidth="1"/>
    <col min="12293" max="12294" width="2.140625" style="36" customWidth="1"/>
    <col min="12295" max="12296" width="0.5703125" style="36" customWidth="1"/>
    <col min="12297" max="12297" width="7.140625" style="36" customWidth="1"/>
    <col min="12298" max="12299" width="0.5703125" style="36" customWidth="1"/>
    <col min="12300" max="12301" width="2.140625" style="36" customWidth="1"/>
    <col min="12302" max="12302" width="1.85546875" style="36" customWidth="1"/>
    <col min="12303" max="12303" width="5.42578125" style="36" customWidth="1"/>
    <col min="12304" max="12304" width="6.42578125" style="36" customWidth="1"/>
    <col min="12305" max="12305" width="5.42578125" style="36" customWidth="1"/>
    <col min="12306" max="12306" width="1.85546875" style="36" customWidth="1"/>
    <col min="12307" max="12308" width="2.140625" style="36" customWidth="1"/>
    <col min="12309" max="12310" width="0.5703125" style="36" customWidth="1"/>
    <col min="12311" max="12311" width="7.140625" style="36" customWidth="1"/>
    <col min="12312" max="12313" width="0.5703125" style="36" customWidth="1"/>
    <col min="12314" max="12315" width="2.140625" style="36" customWidth="1"/>
    <col min="12316" max="12316" width="1.85546875" style="36" customWidth="1"/>
    <col min="12317" max="12317" width="9.140625" style="36"/>
    <col min="12318" max="12318" width="8.42578125" style="36" customWidth="1"/>
    <col min="12319" max="12319" width="9.85546875" style="36" customWidth="1"/>
    <col min="12320" max="12321" width="10.140625" style="36" customWidth="1"/>
    <col min="12322" max="12322" width="8.85546875" style="36" customWidth="1"/>
    <col min="12323" max="12323" width="1.42578125" style="36" customWidth="1"/>
    <col min="12324" max="12544" width="9.140625" style="36"/>
    <col min="12545" max="12545" width="1.42578125" style="36" customWidth="1"/>
    <col min="12546" max="12546" width="8.85546875" style="36" customWidth="1"/>
    <col min="12547" max="12547" width="10.85546875" style="36" customWidth="1"/>
    <col min="12548" max="12548" width="1.85546875" style="36" customWidth="1"/>
    <col min="12549" max="12550" width="2.140625" style="36" customWidth="1"/>
    <col min="12551" max="12552" width="0.5703125" style="36" customWidth="1"/>
    <col min="12553" max="12553" width="7.140625" style="36" customWidth="1"/>
    <col min="12554" max="12555" width="0.5703125" style="36" customWidth="1"/>
    <col min="12556" max="12557" width="2.140625" style="36" customWidth="1"/>
    <col min="12558" max="12558" width="1.85546875" style="36" customWidth="1"/>
    <col min="12559" max="12559" width="5.42578125" style="36" customWidth="1"/>
    <col min="12560" max="12560" width="6.42578125" style="36" customWidth="1"/>
    <col min="12561" max="12561" width="5.42578125" style="36" customWidth="1"/>
    <col min="12562" max="12562" width="1.85546875" style="36" customWidth="1"/>
    <col min="12563" max="12564" width="2.140625" style="36" customWidth="1"/>
    <col min="12565" max="12566" width="0.5703125" style="36" customWidth="1"/>
    <col min="12567" max="12567" width="7.140625" style="36" customWidth="1"/>
    <col min="12568" max="12569" width="0.5703125" style="36" customWidth="1"/>
    <col min="12570" max="12571" width="2.140625" style="36" customWidth="1"/>
    <col min="12572" max="12572" width="1.85546875" style="36" customWidth="1"/>
    <col min="12573" max="12573" width="9.140625" style="36"/>
    <col min="12574" max="12574" width="8.42578125" style="36" customWidth="1"/>
    <col min="12575" max="12575" width="9.85546875" style="36" customWidth="1"/>
    <col min="12576" max="12577" width="10.140625" style="36" customWidth="1"/>
    <col min="12578" max="12578" width="8.85546875" style="36" customWidth="1"/>
    <col min="12579" max="12579" width="1.42578125" style="36" customWidth="1"/>
    <col min="12580" max="12800" width="9.140625" style="36"/>
    <col min="12801" max="12801" width="1.42578125" style="36" customWidth="1"/>
    <col min="12802" max="12802" width="8.85546875" style="36" customWidth="1"/>
    <col min="12803" max="12803" width="10.85546875" style="36" customWidth="1"/>
    <col min="12804" max="12804" width="1.85546875" style="36" customWidth="1"/>
    <col min="12805" max="12806" width="2.140625" style="36" customWidth="1"/>
    <col min="12807" max="12808" width="0.5703125" style="36" customWidth="1"/>
    <col min="12809" max="12809" width="7.140625" style="36" customWidth="1"/>
    <col min="12810" max="12811" width="0.5703125" style="36" customWidth="1"/>
    <col min="12812" max="12813" width="2.140625" style="36" customWidth="1"/>
    <col min="12814" max="12814" width="1.85546875" style="36" customWidth="1"/>
    <col min="12815" max="12815" width="5.42578125" style="36" customWidth="1"/>
    <col min="12816" max="12816" width="6.42578125" style="36" customWidth="1"/>
    <col min="12817" max="12817" width="5.42578125" style="36" customWidth="1"/>
    <col min="12818" max="12818" width="1.85546875" style="36" customWidth="1"/>
    <col min="12819" max="12820" width="2.140625" style="36" customWidth="1"/>
    <col min="12821" max="12822" width="0.5703125" style="36" customWidth="1"/>
    <col min="12823" max="12823" width="7.140625" style="36" customWidth="1"/>
    <col min="12824" max="12825" width="0.5703125" style="36" customWidth="1"/>
    <col min="12826" max="12827" width="2.140625" style="36" customWidth="1"/>
    <col min="12828" max="12828" width="1.85546875" style="36" customWidth="1"/>
    <col min="12829" max="12829" width="9.140625" style="36"/>
    <col min="12830" max="12830" width="8.42578125" style="36" customWidth="1"/>
    <col min="12831" max="12831" width="9.85546875" style="36" customWidth="1"/>
    <col min="12832" max="12833" width="10.140625" style="36" customWidth="1"/>
    <col min="12834" max="12834" width="8.85546875" style="36" customWidth="1"/>
    <col min="12835" max="12835" width="1.42578125" style="36" customWidth="1"/>
    <col min="12836" max="13056" width="9.140625" style="36"/>
    <col min="13057" max="13057" width="1.42578125" style="36" customWidth="1"/>
    <col min="13058" max="13058" width="8.85546875" style="36" customWidth="1"/>
    <col min="13059" max="13059" width="10.85546875" style="36" customWidth="1"/>
    <col min="13060" max="13060" width="1.85546875" style="36" customWidth="1"/>
    <col min="13061" max="13062" width="2.140625" style="36" customWidth="1"/>
    <col min="13063" max="13064" width="0.5703125" style="36" customWidth="1"/>
    <col min="13065" max="13065" width="7.140625" style="36" customWidth="1"/>
    <col min="13066" max="13067" width="0.5703125" style="36" customWidth="1"/>
    <col min="13068" max="13069" width="2.140625" style="36" customWidth="1"/>
    <col min="13070" max="13070" width="1.85546875" style="36" customWidth="1"/>
    <col min="13071" max="13071" width="5.42578125" style="36" customWidth="1"/>
    <col min="13072" max="13072" width="6.42578125" style="36" customWidth="1"/>
    <col min="13073" max="13073" width="5.42578125" style="36" customWidth="1"/>
    <col min="13074" max="13074" width="1.85546875" style="36" customWidth="1"/>
    <col min="13075" max="13076" width="2.140625" style="36" customWidth="1"/>
    <col min="13077" max="13078" width="0.5703125" style="36" customWidth="1"/>
    <col min="13079" max="13079" width="7.140625" style="36" customWidth="1"/>
    <col min="13080" max="13081" width="0.5703125" style="36" customWidth="1"/>
    <col min="13082" max="13083" width="2.140625" style="36" customWidth="1"/>
    <col min="13084" max="13084" width="1.85546875" style="36" customWidth="1"/>
    <col min="13085" max="13085" width="9.140625" style="36"/>
    <col min="13086" max="13086" width="8.42578125" style="36" customWidth="1"/>
    <col min="13087" max="13087" width="9.85546875" style="36" customWidth="1"/>
    <col min="13088" max="13089" width="10.140625" style="36" customWidth="1"/>
    <col min="13090" max="13090" width="8.85546875" style="36" customWidth="1"/>
    <col min="13091" max="13091" width="1.42578125" style="36" customWidth="1"/>
    <col min="13092" max="13312" width="9.140625" style="36"/>
    <col min="13313" max="13313" width="1.42578125" style="36" customWidth="1"/>
    <col min="13314" max="13314" width="8.85546875" style="36" customWidth="1"/>
    <col min="13315" max="13315" width="10.85546875" style="36" customWidth="1"/>
    <col min="13316" max="13316" width="1.85546875" style="36" customWidth="1"/>
    <col min="13317" max="13318" width="2.140625" style="36" customWidth="1"/>
    <col min="13319" max="13320" width="0.5703125" style="36" customWidth="1"/>
    <col min="13321" max="13321" width="7.140625" style="36" customWidth="1"/>
    <col min="13322" max="13323" width="0.5703125" style="36" customWidth="1"/>
    <col min="13324" max="13325" width="2.140625" style="36" customWidth="1"/>
    <col min="13326" max="13326" width="1.85546875" style="36" customWidth="1"/>
    <col min="13327" max="13327" width="5.42578125" style="36" customWidth="1"/>
    <col min="13328" max="13328" width="6.42578125" style="36" customWidth="1"/>
    <col min="13329" max="13329" width="5.42578125" style="36" customWidth="1"/>
    <col min="13330" max="13330" width="1.85546875" style="36" customWidth="1"/>
    <col min="13331" max="13332" width="2.140625" style="36" customWidth="1"/>
    <col min="13333" max="13334" width="0.5703125" style="36" customWidth="1"/>
    <col min="13335" max="13335" width="7.140625" style="36" customWidth="1"/>
    <col min="13336" max="13337" width="0.5703125" style="36" customWidth="1"/>
    <col min="13338" max="13339" width="2.140625" style="36" customWidth="1"/>
    <col min="13340" max="13340" width="1.85546875" style="36" customWidth="1"/>
    <col min="13341" max="13341" width="9.140625" style="36"/>
    <col min="13342" max="13342" width="8.42578125" style="36" customWidth="1"/>
    <col min="13343" max="13343" width="9.85546875" style="36" customWidth="1"/>
    <col min="13344" max="13345" width="10.140625" style="36" customWidth="1"/>
    <col min="13346" max="13346" width="8.85546875" style="36" customWidth="1"/>
    <col min="13347" max="13347" width="1.42578125" style="36" customWidth="1"/>
    <col min="13348" max="13568" width="9.140625" style="36"/>
    <col min="13569" max="13569" width="1.42578125" style="36" customWidth="1"/>
    <col min="13570" max="13570" width="8.85546875" style="36" customWidth="1"/>
    <col min="13571" max="13571" width="10.85546875" style="36" customWidth="1"/>
    <col min="13572" max="13572" width="1.85546875" style="36" customWidth="1"/>
    <col min="13573" max="13574" width="2.140625" style="36" customWidth="1"/>
    <col min="13575" max="13576" width="0.5703125" style="36" customWidth="1"/>
    <col min="13577" max="13577" width="7.140625" style="36" customWidth="1"/>
    <col min="13578" max="13579" width="0.5703125" style="36" customWidth="1"/>
    <col min="13580" max="13581" width="2.140625" style="36" customWidth="1"/>
    <col min="13582" max="13582" width="1.85546875" style="36" customWidth="1"/>
    <col min="13583" max="13583" width="5.42578125" style="36" customWidth="1"/>
    <col min="13584" max="13584" width="6.42578125" style="36" customWidth="1"/>
    <col min="13585" max="13585" width="5.42578125" style="36" customWidth="1"/>
    <col min="13586" max="13586" width="1.85546875" style="36" customWidth="1"/>
    <col min="13587" max="13588" width="2.140625" style="36" customWidth="1"/>
    <col min="13589" max="13590" width="0.5703125" style="36" customWidth="1"/>
    <col min="13591" max="13591" width="7.140625" style="36" customWidth="1"/>
    <col min="13592" max="13593" width="0.5703125" style="36" customWidth="1"/>
    <col min="13594" max="13595" width="2.140625" style="36" customWidth="1"/>
    <col min="13596" max="13596" width="1.85546875" style="36" customWidth="1"/>
    <col min="13597" max="13597" width="9.140625" style="36"/>
    <col min="13598" max="13598" width="8.42578125" style="36" customWidth="1"/>
    <col min="13599" max="13599" width="9.85546875" style="36" customWidth="1"/>
    <col min="13600" max="13601" width="10.140625" style="36" customWidth="1"/>
    <col min="13602" max="13602" width="8.85546875" style="36" customWidth="1"/>
    <col min="13603" max="13603" width="1.42578125" style="36" customWidth="1"/>
    <col min="13604" max="13824" width="9.140625" style="36"/>
    <col min="13825" max="13825" width="1.42578125" style="36" customWidth="1"/>
    <col min="13826" max="13826" width="8.85546875" style="36" customWidth="1"/>
    <col min="13827" max="13827" width="10.85546875" style="36" customWidth="1"/>
    <col min="13828" max="13828" width="1.85546875" style="36" customWidth="1"/>
    <col min="13829" max="13830" width="2.140625" style="36" customWidth="1"/>
    <col min="13831" max="13832" width="0.5703125" style="36" customWidth="1"/>
    <col min="13833" max="13833" width="7.140625" style="36" customWidth="1"/>
    <col min="13834" max="13835" width="0.5703125" style="36" customWidth="1"/>
    <col min="13836" max="13837" width="2.140625" style="36" customWidth="1"/>
    <col min="13838" max="13838" width="1.85546875" style="36" customWidth="1"/>
    <col min="13839" max="13839" width="5.42578125" style="36" customWidth="1"/>
    <col min="13840" max="13840" width="6.42578125" style="36" customWidth="1"/>
    <col min="13841" max="13841" width="5.42578125" style="36" customWidth="1"/>
    <col min="13842" max="13842" width="1.85546875" style="36" customWidth="1"/>
    <col min="13843" max="13844" width="2.140625" style="36" customWidth="1"/>
    <col min="13845" max="13846" width="0.5703125" style="36" customWidth="1"/>
    <col min="13847" max="13847" width="7.140625" style="36" customWidth="1"/>
    <col min="13848" max="13849" width="0.5703125" style="36" customWidth="1"/>
    <col min="13850" max="13851" width="2.140625" style="36" customWidth="1"/>
    <col min="13852" max="13852" width="1.85546875" style="36" customWidth="1"/>
    <col min="13853" max="13853" width="9.140625" style="36"/>
    <col min="13854" max="13854" width="8.42578125" style="36" customWidth="1"/>
    <col min="13855" max="13855" width="9.85546875" style="36" customWidth="1"/>
    <col min="13856" max="13857" width="10.140625" style="36" customWidth="1"/>
    <col min="13858" max="13858" width="8.85546875" style="36" customWidth="1"/>
    <col min="13859" max="13859" width="1.42578125" style="36" customWidth="1"/>
    <col min="13860" max="14080" width="9.140625" style="36"/>
    <col min="14081" max="14081" width="1.42578125" style="36" customWidth="1"/>
    <col min="14082" max="14082" width="8.85546875" style="36" customWidth="1"/>
    <col min="14083" max="14083" width="10.85546875" style="36" customWidth="1"/>
    <col min="14084" max="14084" width="1.85546875" style="36" customWidth="1"/>
    <col min="14085" max="14086" width="2.140625" style="36" customWidth="1"/>
    <col min="14087" max="14088" width="0.5703125" style="36" customWidth="1"/>
    <col min="14089" max="14089" width="7.140625" style="36" customWidth="1"/>
    <col min="14090" max="14091" width="0.5703125" style="36" customWidth="1"/>
    <col min="14092" max="14093" width="2.140625" style="36" customWidth="1"/>
    <col min="14094" max="14094" width="1.85546875" style="36" customWidth="1"/>
    <col min="14095" max="14095" width="5.42578125" style="36" customWidth="1"/>
    <col min="14096" max="14096" width="6.42578125" style="36" customWidth="1"/>
    <col min="14097" max="14097" width="5.42578125" style="36" customWidth="1"/>
    <col min="14098" max="14098" width="1.85546875" style="36" customWidth="1"/>
    <col min="14099" max="14100" width="2.140625" style="36" customWidth="1"/>
    <col min="14101" max="14102" width="0.5703125" style="36" customWidth="1"/>
    <col min="14103" max="14103" width="7.140625" style="36" customWidth="1"/>
    <col min="14104" max="14105" width="0.5703125" style="36" customWidth="1"/>
    <col min="14106" max="14107" width="2.140625" style="36" customWidth="1"/>
    <col min="14108" max="14108" width="1.85546875" style="36" customWidth="1"/>
    <col min="14109" max="14109" width="9.140625" style="36"/>
    <col min="14110" max="14110" width="8.42578125" style="36" customWidth="1"/>
    <col min="14111" max="14111" width="9.85546875" style="36" customWidth="1"/>
    <col min="14112" max="14113" width="10.140625" style="36" customWidth="1"/>
    <col min="14114" max="14114" width="8.85546875" style="36" customWidth="1"/>
    <col min="14115" max="14115" width="1.42578125" style="36" customWidth="1"/>
    <col min="14116" max="14336" width="9.140625" style="36"/>
    <col min="14337" max="14337" width="1.42578125" style="36" customWidth="1"/>
    <col min="14338" max="14338" width="8.85546875" style="36" customWidth="1"/>
    <col min="14339" max="14339" width="10.85546875" style="36" customWidth="1"/>
    <col min="14340" max="14340" width="1.85546875" style="36" customWidth="1"/>
    <col min="14341" max="14342" width="2.140625" style="36" customWidth="1"/>
    <col min="14343" max="14344" width="0.5703125" style="36" customWidth="1"/>
    <col min="14345" max="14345" width="7.140625" style="36" customWidth="1"/>
    <col min="14346" max="14347" width="0.5703125" style="36" customWidth="1"/>
    <col min="14348" max="14349" width="2.140625" style="36" customWidth="1"/>
    <col min="14350" max="14350" width="1.85546875" style="36" customWidth="1"/>
    <col min="14351" max="14351" width="5.42578125" style="36" customWidth="1"/>
    <col min="14352" max="14352" width="6.42578125" style="36" customWidth="1"/>
    <col min="14353" max="14353" width="5.42578125" style="36" customWidth="1"/>
    <col min="14354" max="14354" width="1.85546875" style="36" customWidth="1"/>
    <col min="14355" max="14356" width="2.140625" style="36" customWidth="1"/>
    <col min="14357" max="14358" width="0.5703125" style="36" customWidth="1"/>
    <col min="14359" max="14359" width="7.140625" style="36" customWidth="1"/>
    <col min="14360" max="14361" width="0.5703125" style="36" customWidth="1"/>
    <col min="14362" max="14363" width="2.140625" style="36" customWidth="1"/>
    <col min="14364" max="14364" width="1.85546875" style="36" customWidth="1"/>
    <col min="14365" max="14365" width="9.140625" style="36"/>
    <col min="14366" max="14366" width="8.42578125" style="36" customWidth="1"/>
    <col min="14367" max="14367" width="9.85546875" style="36" customWidth="1"/>
    <col min="14368" max="14369" width="10.140625" style="36" customWidth="1"/>
    <col min="14370" max="14370" width="8.85546875" style="36" customWidth="1"/>
    <col min="14371" max="14371" width="1.42578125" style="36" customWidth="1"/>
    <col min="14372" max="14592" width="9.140625" style="36"/>
    <col min="14593" max="14593" width="1.42578125" style="36" customWidth="1"/>
    <col min="14594" max="14594" width="8.85546875" style="36" customWidth="1"/>
    <col min="14595" max="14595" width="10.85546875" style="36" customWidth="1"/>
    <col min="14596" max="14596" width="1.85546875" style="36" customWidth="1"/>
    <col min="14597" max="14598" width="2.140625" style="36" customWidth="1"/>
    <col min="14599" max="14600" width="0.5703125" style="36" customWidth="1"/>
    <col min="14601" max="14601" width="7.140625" style="36" customWidth="1"/>
    <col min="14602" max="14603" width="0.5703125" style="36" customWidth="1"/>
    <col min="14604" max="14605" width="2.140625" style="36" customWidth="1"/>
    <col min="14606" max="14606" width="1.85546875" style="36" customWidth="1"/>
    <col min="14607" max="14607" width="5.42578125" style="36" customWidth="1"/>
    <col min="14608" max="14608" width="6.42578125" style="36" customWidth="1"/>
    <col min="14609" max="14609" width="5.42578125" style="36" customWidth="1"/>
    <col min="14610" max="14610" width="1.85546875" style="36" customWidth="1"/>
    <col min="14611" max="14612" width="2.140625" style="36" customWidth="1"/>
    <col min="14613" max="14614" width="0.5703125" style="36" customWidth="1"/>
    <col min="14615" max="14615" width="7.140625" style="36" customWidth="1"/>
    <col min="14616" max="14617" width="0.5703125" style="36" customWidth="1"/>
    <col min="14618" max="14619" width="2.140625" style="36" customWidth="1"/>
    <col min="14620" max="14620" width="1.85546875" style="36" customWidth="1"/>
    <col min="14621" max="14621" width="9.140625" style="36"/>
    <col min="14622" max="14622" width="8.42578125" style="36" customWidth="1"/>
    <col min="14623" max="14623" width="9.85546875" style="36" customWidth="1"/>
    <col min="14624" max="14625" width="10.140625" style="36" customWidth="1"/>
    <col min="14626" max="14626" width="8.85546875" style="36" customWidth="1"/>
    <col min="14627" max="14627" width="1.42578125" style="36" customWidth="1"/>
    <col min="14628" max="14848" width="9.140625" style="36"/>
    <col min="14849" max="14849" width="1.42578125" style="36" customWidth="1"/>
    <col min="14850" max="14850" width="8.85546875" style="36" customWidth="1"/>
    <col min="14851" max="14851" width="10.85546875" style="36" customWidth="1"/>
    <col min="14852" max="14852" width="1.85546875" style="36" customWidth="1"/>
    <col min="14853" max="14854" width="2.140625" style="36" customWidth="1"/>
    <col min="14855" max="14856" width="0.5703125" style="36" customWidth="1"/>
    <col min="14857" max="14857" width="7.140625" style="36" customWidth="1"/>
    <col min="14858" max="14859" width="0.5703125" style="36" customWidth="1"/>
    <col min="14860" max="14861" width="2.140625" style="36" customWidth="1"/>
    <col min="14862" max="14862" width="1.85546875" style="36" customWidth="1"/>
    <col min="14863" max="14863" width="5.42578125" style="36" customWidth="1"/>
    <col min="14864" max="14864" width="6.42578125" style="36" customWidth="1"/>
    <col min="14865" max="14865" width="5.42578125" style="36" customWidth="1"/>
    <col min="14866" max="14866" width="1.85546875" style="36" customWidth="1"/>
    <col min="14867" max="14868" width="2.140625" style="36" customWidth="1"/>
    <col min="14869" max="14870" width="0.5703125" style="36" customWidth="1"/>
    <col min="14871" max="14871" width="7.140625" style="36" customWidth="1"/>
    <col min="14872" max="14873" width="0.5703125" style="36" customWidth="1"/>
    <col min="14874" max="14875" width="2.140625" style="36" customWidth="1"/>
    <col min="14876" max="14876" width="1.85546875" style="36" customWidth="1"/>
    <col min="14877" max="14877" width="9.140625" style="36"/>
    <col min="14878" max="14878" width="8.42578125" style="36" customWidth="1"/>
    <col min="14879" max="14879" width="9.85546875" style="36" customWidth="1"/>
    <col min="14880" max="14881" width="10.140625" style="36" customWidth="1"/>
    <col min="14882" max="14882" width="8.85546875" style="36" customWidth="1"/>
    <col min="14883" max="14883" width="1.42578125" style="36" customWidth="1"/>
    <col min="14884" max="15104" width="9.140625" style="36"/>
    <col min="15105" max="15105" width="1.42578125" style="36" customWidth="1"/>
    <col min="15106" max="15106" width="8.85546875" style="36" customWidth="1"/>
    <col min="15107" max="15107" width="10.85546875" style="36" customWidth="1"/>
    <col min="15108" max="15108" width="1.85546875" style="36" customWidth="1"/>
    <col min="15109" max="15110" width="2.140625" style="36" customWidth="1"/>
    <col min="15111" max="15112" width="0.5703125" style="36" customWidth="1"/>
    <col min="15113" max="15113" width="7.140625" style="36" customWidth="1"/>
    <col min="15114" max="15115" width="0.5703125" style="36" customWidth="1"/>
    <col min="15116" max="15117" width="2.140625" style="36" customWidth="1"/>
    <col min="15118" max="15118" width="1.85546875" style="36" customWidth="1"/>
    <col min="15119" max="15119" width="5.42578125" style="36" customWidth="1"/>
    <col min="15120" max="15120" width="6.42578125" style="36" customWidth="1"/>
    <col min="15121" max="15121" width="5.42578125" style="36" customWidth="1"/>
    <col min="15122" max="15122" width="1.85546875" style="36" customWidth="1"/>
    <col min="15123" max="15124" width="2.140625" style="36" customWidth="1"/>
    <col min="15125" max="15126" width="0.5703125" style="36" customWidth="1"/>
    <col min="15127" max="15127" width="7.140625" style="36" customWidth="1"/>
    <col min="15128" max="15129" width="0.5703125" style="36" customWidth="1"/>
    <col min="15130" max="15131" width="2.140625" style="36" customWidth="1"/>
    <col min="15132" max="15132" width="1.85546875" style="36" customWidth="1"/>
    <col min="15133" max="15133" width="9.140625" style="36"/>
    <col min="15134" max="15134" width="8.42578125" style="36" customWidth="1"/>
    <col min="15135" max="15135" width="9.85546875" style="36" customWidth="1"/>
    <col min="15136" max="15137" width="10.140625" style="36" customWidth="1"/>
    <col min="15138" max="15138" width="8.85546875" style="36" customWidth="1"/>
    <col min="15139" max="15139" width="1.42578125" style="36" customWidth="1"/>
    <col min="15140" max="15360" width="9.140625" style="36"/>
    <col min="15361" max="15361" width="1.42578125" style="36" customWidth="1"/>
    <col min="15362" max="15362" width="8.85546875" style="36" customWidth="1"/>
    <col min="15363" max="15363" width="10.85546875" style="36" customWidth="1"/>
    <col min="15364" max="15364" width="1.85546875" style="36" customWidth="1"/>
    <col min="15365" max="15366" width="2.140625" style="36" customWidth="1"/>
    <col min="15367" max="15368" width="0.5703125" style="36" customWidth="1"/>
    <col min="15369" max="15369" width="7.140625" style="36" customWidth="1"/>
    <col min="15370" max="15371" width="0.5703125" style="36" customWidth="1"/>
    <col min="15372" max="15373" width="2.140625" style="36" customWidth="1"/>
    <col min="15374" max="15374" width="1.85546875" style="36" customWidth="1"/>
    <col min="15375" max="15375" width="5.42578125" style="36" customWidth="1"/>
    <col min="15376" max="15376" width="6.42578125" style="36" customWidth="1"/>
    <col min="15377" max="15377" width="5.42578125" style="36" customWidth="1"/>
    <col min="15378" max="15378" width="1.85546875" style="36" customWidth="1"/>
    <col min="15379" max="15380" width="2.140625" style="36" customWidth="1"/>
    <col min="15381" max="15382" width="0.5703125" style="36" customWidth="1"/>
    <col min="15383" max="15383" width="7.140625" style="36" customWidth="1"/>
    <col min="15384" max="15385" width="0.5703125" style="36" customWidth="1"/>
    <col min="15386" max="15387" width="2.140625" style="36" customWidth="1"/>
    <col min="15388" max="15388" width="1.85546875" style="36" customWidth="1"/>
    <col min="15389" max="15389" width="9.140625" style="36"/>
    <col min="15390" max="15390" width="8.42578125" style="36" customWidth="1"/>
    <col min="15391" max="15391" width="9.85546875" style="36" customWidth="1"/>
    <col min="15392" max="15393" width="10.140625" style="36" customWidth="1"/>
    <col min="15394" max="15394" width="8.85546875" style="36" customWidth="1"/>
    <col min="15395" max="15395" width="1.42578125" style="36" customWidth="1"/>
    <col min="15396" max="15616" width="9.140625" style="36"/>
    <col min="15617" max="15617" width="1.42578125" style="36" customWidth="1"/>
    <col min="15618" max="15618" width="8.85546875" style="36" customWidth="1"/>
    <col min="15619" max="15619" width="10.85546875" style="36" customWidth="1"/>
    <col min="15620" max="15620" width="1.85546875" style="36" customWidth="1"/>
    <col min="15621" max="15622" width="2.140625" style="36" customWidth="1"/>
    <col min="15623" max="15624" width="0.5703125" style="36" customWidth="1"/>
    <col min="15625" max="15625" width="7.140625" style="36" customWidth="1"/>
    <col min="15626" max="15627" width="0.5703125" style="36" customWidth="1"/>
    <col min="15628" max="15629" width="2.140625" style="36" customWidth="1"/>
    <col min="15630" max="15630" width="1.85546875" style="36" customWidth="1"/>
    <col min="15631" max="15631" width="5.42578125" style="36" customWidth="1"/>
    <col min="15632" max="15632" width="6.42578125" style="36" customWidth="1"/>
    <col min="15633" max="15633" width="5.42578125" style="36" customWidth="1"/>
    <col min="15634" max="15634" width="1.85546875" style="36" customWidth="1"/>
    <col min="15635" max="15636" width="2.140625" style="36" customWidth="1"/>
    <col min="15637" max="15638" width="0.5703125" style="36" customWidth="1"/>
    <col min="15639" max="15639" width="7.140625" style="36" customWidth="1"/>
    <col min="15640" max="15641" width="0.5703125" style="36" customWidth="1"/>
    <col min="15642" max="15643" width="2.140625" style="36" customWidth="1"/>
    <col min="15644" max="15644" width="1.85546875" style="36" customWidth="1"/>
    <col min="15645" max="15645" width="9.140625" style="36"/>
    <col min="15646" max="15646" width="8.42578125" style="36" customWidth="1"/>
    <col min="15647" max="15647" width="9.85546875" style="36" customWidth="1"/>
    <col min="15648" max="15649" width="10.140625" style="36" customWidth="1"/>
    <col min="15650" max="15650" width="8.85546875" style="36" customWidth="1"/>
    <col min="15651" max="15651" width="1.42578125" style="36" customWidth="1"/>
    <col min="15652" max="15872" width="9.140625" style="36"/>
    <col min="15873" max="15873" width="1.42578125" style="36" customWidth="1"/>
    <col min="15874" max="15874" width="8.85546875" style="36" customWidth="1"/>
    <col min="15875" max="15875" width="10.85546875" style="36" customWidth="1"/>
    <col min="15876" max="15876" width="1.85546875" style="36" customWidth="1"/>
    <col min="15877" max="15878" width="2.140625" style="36" customWidth="1"/>
    <col min="15879" max="15880" width="0.5703125" style="36" customWidth="1"/>
    <col min="15881" max="15881" width="7.140625" style="36" customWidth="1"/>
    <col min="15882" max="15883" width="0.5703125" style="36" customWidth="1"/>
    <col min="15884" max="15885" width="2.140625" style="36" customWidth="1"/>
    <col min="15886" max="15886" width="1.85546875" style="36" customWidth="1"/>
    <col min="15887" max="15887" width="5.42578125" style="36" customWidth="1"/>
    <col min="15888" max="15888" width="6.42578125" style="36" customWidth="1"/>
    <col min="15889" max="15889" width="5.42578125" style="36" customWidth="1"/>
    <col min="15890" max="15890" width="1.85546875" style="36" customWidth="1"/>
    <col min="15891" max="15892" width="2.140625" style="36" customWidth="1"/>
    <col min="15893" max="15894" width="0.5703125" style="36" customWidth="1"/>
    <col min="15895" max="15895" width="7.140625" style="36" customWidth="1"/>
    <col min="15896" max="15897" width="0.5703125" style="36" customWidth="1"/>
    <col min="15898" max="15899" width="2.140625" style="36" customWidth="1"/>
    <col min="15900" max="15900" width="1.85546875" style="36" customWidth="1"/>
    <col min="15901" max="15901" width="9.140625" style="36"/>
    <col min="15902" max="15902" width="8.42578125" style="36" customWidth="1"/>
    <col min="15903" max="15903" width="9.85546875" style="36" customWidth="1"/>
    <col min="15904" max="15905" width="10.140625" style="36" customWidth="1"/>
    <col min="15906" max="15906" width="8.85546875" style="36" customWidth="1"/>
    <col min="15907" max="15907" width="1.42578125" style="36" customWidth="1"/>
    <col min="15908" max="16128" width="9.140625" style="36"/>
    <col min="16129" max="16129" width="1.42578125" style="36" customWidth="1"/>
    <col min="16130" max="16130" width="8.85546875" style="36" customWidth="1"/>
    <col min="16131" max="16131" width="10.85546875" style="36" customWidth="1"/>
    <col min="16132" max="16132" width="1.85546875" style="36" customWidth="1"/>
    <col min="16133" max="16134" width="2.140625" style="36" customWidth="1"/>
    <col min="16135" max="16136" width="0.5703125" style="36" customWidth="1"/>
    <col min="16137" max="16137" width="7.140625" style="36" customWidth="1"/>
    <col min="16138" max="16139" width="0.5703125" style="36" customWidth="1"/>
    <col min="16140" max="16141" width="2.140625" style="36" customWidth="1"/>
    <col min="16142" max="16142" width="1.85546875" style="36" customWidth="1"/>
    <col min="16143" max="16143" width="5.42578125" style="36" customWidth="1"/>
    <col min="16144" max="16144" width="6.42578125" style="36" customWidth="1"/>
    <col min="16145" max="16145" width="5.42578125" style="36" customWidth="1"/>
    <col min="16146" max="16146" width="1.85546875" style="36" customWidth="1"/>
    <col min="16147" max="16148" width="2.140625" style="36" customWidth="1"/>
    <col min="16149" max="16150" width="0.5703125" style="36" customWidth="1"/>
    <col min="16151" max="16151" width="7.140625" style="36" customWidth="1"/>
    <col min="16152" max="16153" width="0.5703125" style="36" customWidth="1"/>
    <col min="16154" max="16155" width="2.140625" style="36" customWidth="1"/>
    <col min="16156" max="16156" width="1.85546875" style="36" customWidth="1"/>
    <col min="16157" max="16157" width="9.140625" style="36"/>
    <col min="16158" max="16158" width="8.42578125" style="36" customWidth="1"/>
    <col min="16159" max="16159" width="9.85546875" style="36" customWidth="1"/>
    <col min="16160" max="16161" width="10.140625" style="36" customWidth="1"/>
    <col min="16162" max="16162" width="8.85546875" style="36" customWidth="1"/>
    <col min="16163" max="16163" width="1.42578125" style="36" customWidth="1"/>
    <col min="16164" max="16384" width="9.140625" style="36"/>
  </cols>
  <sheetData>
    <row r="1" spans="2:37" ht="12" thickBot="1"/>
    <row r="2" spans="2:37" ht="7.5" customHeight="1">
      <c r="B2" s="39"/>
      <c r="C2" s="40"/>
      <c r="D2" s="41"/>
      <c r="E2" s="40"/>
      <c r="F2" s="40"/>
      <c r="G2" s="40"/>
      <c r="H2" s="40"/>
      <c r="I2" s="40"/>
      <c r="J2" s="41"/>
      <c r="K2" s="40"/>
      <c r="L2" s="40"/>
      <c r="M2" s="40"/>
      <c r="N2" s="40"/>
      <c r="O2" s="40"/>
      <c r="P2" s="40"/>
      <c r="Q2" s="41"/>
      <c r="R2" s="40"/>
      <c r="S2" s="40"/>
      <c r="T2" s="40"/>
      <c r="U2" s="40"/>
      <c r="V2" s="40"/>
      <c r="W2" s="40"/>
      <c r="X2" s="41"/>
      <c r="Y2" s="40"/>
      <c r="Z2" s="40"/>
      <c r="AA2" s="40"/>
      <c r="AB2" s="40"/>
      <c r="AC2" s="40"/>
      <c r="AD2" s="40"/>
      <c r="AE2" s="41"/>
      <c r="AF2" s="40"/>
      <c r="AG2" s="40"/>
      <c r="AH2" s="40"/>
      <c r="AI2" s="40"/>
      <c r="AJ2" s="42"/>
    </row>
    <row r="3" spans="2:37" ht="21.75" customHeight="1">
      <c r="B3" s="43"/>
      <c r="C3" s="36" t="s">
        <v>33</v>
      </c>
      <c r="O3" s="36"/>
      <c r="X3" s="44" t="s">
        <v>34</v>
      </c>
      <c r="AC3" s="36"/>
      <c r="AJ3" s="45"/>
    </row>
    <row r="4" spans="2:37" ht="6.75" customHeight="1" thickBot="1">
      <c r="B4" s="43"/>
      <c r="O4" s="36"/>
      <c r="AC4" s="36"/>
      <c r="AJ4" s="45"/>
    </row>
    <row r="5" spans="2:37" ht="14.1" customHeight="1" thickBot="1">
      <c r="B5" s="43"/>
      <c r="AE5" s="710" t="s">
        <v>161</v>
      </c>
      <c r="AF5" s="711"/>
      <c r="AG5" s="711"/>
      <c r="AH5" s="711"/>
      <c r="AI5" s="712"/>
      <c r="AJ5" s="45"/>
    </row>
    <row r="6" spans="2:37" s="55" customFormat="1" ht="15.75" thickBot="1">
      <c r="B6" s="46"/>
      <c r="C6" s="47"/>
      <c r="D6" s="48"/>
      <c r="E6" s="49"/>
      <c r="F6" s="49"/>
      <c r="G6" s="49"/>
      <c r="H6" s="49"/>
      <c r="I6" s="50"/>
      <c r="J6" s="51" t="s">
        <v>35</v>
      </c>
      <c r="K6" s="49"/>
      <c r="L6" s="49"/>
      <c r="M6" s="49"/>
      <c r="N6" s="49"/>
      <c r="O6" s="49"/>
      <c r="P6" s="49"/>
      <c r="Q6" s="48"/>
      <c r="R6" s="49"/>
      <c r="S6" s="49"/>
      <c r="T6" s="49"/>
      <c r="U6" s="49"/>
      <c r="V6" s="49"/>
      <c r="W6" s="52"/>
      <c r="X6" s="53"/>
      <c r="Y6" s="49"/>
      <c r="Z6" s="49"/>
      <c r="AA6" s="49"/>
      <c r="AB6" s="49"/>
      <c r="AC6" s="49"/>
      <c r="AD6" s="49"/>
      <c r="AE6" s="268" t="s">
        <v>36</v>
      </c>
      <c r="AF6" s="269" t="s">
        <v>37</v>
      </c>
      <c r="AG6" s="270" t="s">
        <v>108</v>
      </c>
      <c r="AH6" s="270" t="s">
        <v>109</v>
      </c>
      <c r="AI6" s="271"/>
      <c r="AJ6" s="54"/>
    </row>
    <row r="7" spans="2:37" s="55" customFormat="1" ht="15">
      <c r="B7" s="46"/>
      <c r="C7" s="56"/>
      <c r="D7" s="57"/>
      <c r="E7" s="56"/>
      <c r="F7" s="56"/>
      <c r="G7" s="56"/>
      <c r="H7" s="56"/>
      <c r="I7" s="56"/>
      <c r="J7" s="51" t="s">
        <v>38</v>
      </c>
      <c r="K7" s="56"/>
      <c r="L7" s="56"/>
      <c r="M7" s="56"/>
      <c r="N7" s="56"/>
      <c r="O7" s="56"/>
      <c r="P7" s="56"/>
      <c r="Q7" s="58" t="s">
        <v>12</v>
      </c>
      <c r="R7" s="56"/>
      <c r="S7" s="56"/>
      <c r="T7" s="56"/>
      <c r="U7" s="56"/>
      <c r="V7" s="56"/>
      <c r="W7" s="59"/>
      <c r="X7" s="60"/>
      <c r="Y7" s="56"/>
      <c r="Z7" s="56"/>
      <c r="AA7" s="56"/>
      <c r="AB7" s="56"/>
      <c r="AC7" s="56"/>
      <c r="AD7" s="56"/>
      <c r="AE7" s="409">
        <f>'7" 26# Deck Tally'!G5</f>
        <v>20.21</v>
      </c>
      <c r="AF7" s="285">
        <f>AE7-(4.776/12)</f>
        <v>19.812000000000001</v>
      </c>
      <c r="AG7" s="286" t="s">
        <v>11</v>
      </c>
      <c r="AH7" s="406" t="str">
        <f>'7" 26# Deck Tally'!F5</f>
        <v>20-B</v>
      </c>
      <c r="AI7" s="314">
        <f>IF(AG7="IN",AF7,0)</f>
        <v>0</v>
      </c>
      <c r="AJ7" s="54"/>
    </row>
    <row r="8" spans="2:37" s="55" customFormat="1" ht="15.75" thickBot="1">
      <c r="B8" s="46"/>
      <c r="C8" s="49"/>
      <c r="D8" s="62"/>
      <c r="E8" s="63"/>
      <c r="F8" s="64"/>
      <c r="G8" s="64"/>
      <c r="H8" s="64"/>
      <c r="I8" s="65"/>
      <c r="J8" s="66"/>
      <c r="K8" s="64"/>
      <c r="L8" s="64"/>
      <c r="M8" s="64"/>
      <c r="N8" s="64"/>
      <c r="O8" s="67"/>
      <c r="P8" s="64"/>
      <c r="Q8" s="62"/>
      <c r="R8" s="64"/>
      <c r="S8" s="63"/>
      <c r="T8" s="64"/>
      <c r="U8" s="64"/>
      <c r="V8" s="64"/>
      <c r="W8" s="68"/>
      <c r="X8" s="69" t="s">
        <v>39</v>
      </c>
      <c r="Y8" s="64"/>
      <c r="Z8" s="64"/>
      <c r="AA8" s="64"/>
      <c r="AB8" s="64"/>
      <c r="AC8" s="67"/>
      <c r="AD8" s="64"/>
      <c r="AE8" s="408">
        <f>'7" 26# Deck Tally'!G6</f>
        <v>20.22</v>
      </c>
      <c r="AF8" s="284">
        <f t="shared" ref="AF8:AF15" si="0">AE8-(4.776/12)</f>
        <v>19.821999999999999</v>
      </c>
      <c r="AG8" s="61" t="s">
        <v>11</v>
      </c>
      <c r="AH8" s="405" t="str">
        <f>'7" 26# Deck Tally'!F6</f>
        <v>20-A</v>
      </c>
      <c r="AI8" s="315">
        <f t="shared" ref="AI8:AI16" si="1">IF(AG8="IN",AF8,0)</f>
        <v>0</v>
      </c>
      <c r="AJ8" s="54"/>
    </row>
    <row r="9" spans="2:37" s="55" customFormat="1" ht="16.5" thickTop="1" thickBot="1">
      <c r="B9" s="46"/>
      <c r="C9" s="49"/>
      <c r="D9" s="48"/>
      <c r="E9" s="70"/>
      <c r="F9" s="71"/>
      <c r="G9" s="71"/>
      <c r="H9" s="71"/>
      <c r="I9" s="72"/>
      <c r="J9" s="66" t="s">
        <v>40</v>
      </c>
      <c r="K9" s="71"/>
      <c r="L9" s="71"/>
      <c r="M9" s="71"/>
      <c r="N9" s="71"/>
      <c r="O9" s="73"/>
      <c r="P9" s="49"/>
      <c r="Q9" s="48"/>
      <c r="R9" s="49"/>
      <c r="S9" s="70"/>
      <c r="T9" s="49"/>
      <c r="U9" s="49"/>
      <c r="V9" s="49"/>
      <c r="W9" s="52"/>
      <c r="X9" s="53" t="s">
        <v>29</v>
      </c>
      <c r="Y9" s="49"/>
      <c r="Z9" s="49"/>
      <c r="AA9" s="49"/>
      <c r="AB9" s="49"/>
      <c r="AC9" s="73"/>
      <c r="AD9" s="49"/>
      <c r="AE9" s="408">
        <f>'7" 26# Deck Tally'!G7</f>
        <v>15.23</v>
      </c>
      <c r="AF9" s="284">
        <f t="shared" si="0"/>
        <v>14.832000000000001</v>
      </c>
      <c r="AG9" s="61" t="s">
        <v>11</v>
      </c>
      <c r="AH9" s="405" t="str">
        <f>'7" 26# Deck Tally'!F7</f>
        <v>15-B</v>
      </c>
      <c r="AI9" s="315">
        <f t="shared" si="1"/>
        <v>0</v>
      </c>
      <c r="AJ9" s="54"/>
    </row>
    <row r="10" spans="2:37" s="55" customFormat="1" ht="16.5" thickTop="1" thickBot="1">
      <c r="B10" s="46"/>
      <c r="C10" s="56"/>
      <c r="D10" s="57"/>
      <c r="E10" s="74"/>
      <c r="F10" s="75"/>
      <c r="G10" s="76"/>
      <c r="H10" s="76"/>
      <c r="I10" s="76"/>
      <c r="J10" s="77" t="s">
        <v>41</v>
      </c>
      <c r="K10" s="76"/>
      <c r="L10" s="76"/>
      <c r="M10" s="76"/>
      <c r="N10" s="78"/>
      <c r="O10" s="79"/>
      <c r="P10" s="56"/>
      <c r="Q10" s="58" t="s">
        <v>42</v>
      </c>
      <c r="R10" s="56"/>
      <c r="S10" s="80"/>
      <c r="T10" s="49"/>
      <c r="U10" s="49"/>
      <c r="V10" s="49"/>
      <c r="W10" s="52"/>
      <c r="X10" s="53" t="s">
        <v>38</v>
      </c>
      <c r="Y10" s="49"/>
      <c r="Z10" s="49"/>
      <c r="AA10" s="49"/>
      <c r="AB10" s="49"/>
      <c r="AC10" s="79"/>
      <c r="AD10" s="56"/>
      <c r="AE10" s="408">
        <f>'7" 26# Deck Tally'!G8</f>
        <v>15.22</v>
      </c>
      <c r="AF10" s="284">
        <f t="shared" si="0"/>
        <v>14.822000000000001</v>
      </c>
      <c r="AG10" s="61" t="s">
        <v>11</v>
      </c>
      <c r="AH10" s="405" t="str">
        <f>'7" 26# Deck Tally'!F8</f>
        <v>15-A</v>
      </c>
      <c r="AI10" s="315">
        <f t="shared" si="1"/>
        <v>0</v>
      </c>
      <c r="AJ10" s="54"/>
    </row>
    <row r="11" spans="2:37" s="55" customFormat="1" ht="16.5" thickTop="1" thickBot="1">
      <c r="B11" s="46"/>
      <c r="C11" s="49"/>
      <c r="D11" s="48"/>
      <c r="E11" s="49"/>
      <c r="F11" s="70"/>
      <c r="G11" s="49"/>
      <c r="H11" s="49"/>
      <c r="I11" s="81"/>
      <c r="J11" s="82" t="s">
        <v>43</v>
      </c>
      <c r="K11" s="49"/>
      <c r="L11" s="49"/>
      <c r="M11" s="49"/>
      <c r="N11" s="73"/>
      <c r="O11" s="49"/>
      <c r="P11" s="49"/>
      <c r="Q11" s="48"/>
      <c r="R11" s="49"/>
      <c r="S11" s="49"/>
      <c r="T11" s="70"/>
      <c r="U11" s="49"/>
      <c r="V11" s="49"/>
      <c r="W11" s="52"/>
      <c r="X11" s="83"/>
      <c r="Y11" s="49"/>
      <c r="Z11" s="49"/>
      <c r="AA11" s="49"/>
      <c r="AB11" s="73"/>
      <c r="AC11" s="49"/>
      <c r="AD11" s="49"/>
      <c r="AE11" s="408">
        <f>'7" 26# Deck Tally'!G9</f>
        <v>10.199999999999999</v>
      </c>
      <c r="AF11" s="284">
        <f t="shared" si="0"/>
        <v>9.8019999999999996</v>
      </c>
      <c r="AG11" s="61" t="s">
        <v>11</v>
      </c>
      <c r="AH11" s="405" t="str">
        <f>'7" 26# Deck Tally'!F9</f>
        <v>10-B</v>
      </c>
      <c r="AI11" s="315">
        <f t="shared" si="1"/>
        <v>0</v>
      </c>
      <c r="AJ11" s="54"/>
    </row>
    <row r="12" spans="2:37" s="55" customFormat="1" ht="15.75" thickTop="1">
      <c r="B12" s="46"/>
      <c r="C12" s="49"/>
      <c r="D12" s="48"/>
      <c r="E12" s="49"/>
      <c r="F12" s="70"/>
      <c r="G12" s="49"/>
      <c r="H12" s="49"/>
      <c r="I12" s="49"/>
      <c r="J12" s="84"/>
      <c r="K12" s="49"/>
      <c r="L12" s="49"/>
      <c r="M12" s="49"/>
      <c r="N12" s="73"/>
      <c r="O12" s="49"/>
      <c r="P12" s="49"/>
      <c r="Q12" s="48"/>
      <c r="R12" s="49"/>
      <c r="S12" s="49"/>
      <c r="T12" s="70"/>
      <c r="U12" s="49"/>
      <c r="V12" s="49"/>
      <c r="W12" s="52"/>
      <c r="X12" s="85"/>
      <c r="Y12" s="49"/>
      <c r="Z12" s="49"/>
      <c r="AA12" s="49"/>
      <c r="AB12" s="73"/>
      <c r="AC12" s="49"/>
      <c r="AD12" s="49"/>
      <c r="AE12" s="408">
        <f>'7" 26# Deck Tally'!G10</f>
        <v>10.199999999999999</v>
      </c>
      <c r="AF12" s="284">
        <f t="shared" si="0"/>
        <v>9.8019999999999996</v>
      </c>
      <c r="AG12" s="61" t="s">
        <v>11</v>
      </c>
      <c r="AH12" s="405" t="str">
        <f>'7" 26# Deck Tally'!F10</f>
        <v>10-A</v>
      </c>
      <c r="AI12" s="315">
        <f t="shared" si="1"/>
        <v>0</v>
      </c>
      <c r="AJ12" s="54"/>
    </row>
    <row r="13" spans="2:37" s="55" customFormat="1" ht="15">
      <c r="B13" s="46"/>
      <c r="C13" s="49"/>
      <c r="D13" s="48"/>
      <c r="E13" s="49"/>
      <c r="F13" s="70"/>
      <c r="G13" s="49"/>
      <c r="H13" s="49"/>
      <c r="I13" s="49"/>
      <c r="J13" s="86" t="s">
        <v>44</v>
      </c>
      <c r="K13" s="49"/>
      <c r="L13" s="49"/>
      <c r="M13" s="49"/>
      <c r="N13" s="73"/>
      <c r="O13" s="49"/>
      <c r="P13" s="49"/>
      <c r="Q13" s="48"/>
      <c r="R13" s="49"/>
      <c r="S13" s="49"/>
      <c r="T13" s="70"/>
      <c r="U13" s="49"/>
      <c r="V13" s="49"/>
      <c r="W13" s="87"/>
      <c r="X13" s="85"/>
      <c r="Y13" s="49"/>
      <c r="Z13" s="49"/>
      <c r="AA13" s="49"/>
      <c r="AB13" s="73"/>
      <c r="AC13" s="49"/>
      <c r="AD13" s="49"/>
      <c r="AE13" s="408">
        <f>'7" 26# Deck Tally'!G11</f>
        <v>6.23</v>
      </c>
      <c r="AF13" s="456">
        <f t="shared" si="0"/>
        <v>5.8320000000000007</v>
      </c>
      <c r="AG13" s="61" t="s">
        <v>11</v>
      </c>
      <c r="AH13" s="405" t="str">
        <f>'7" 26# Deck Tally'!F11</f>
        <v>6-B</v>
      </c>
      <c r="AI13" s="315">
        <f t="shared" si="1"/>
        <v>0</v>
      </c>
      <c r="AJ13" s="54"/>
      <c r="AK13" s="433"/>
    </row>
    <row r="14" spans="2:37" s="55" customFormat="1" ht="15.75" thickBot="1">
      <c r="B14" s="46"/>
      <c r="C14" s="49"/>
      <c r="D14" s="48"/>
      <c r="E14" s="49"/>
      <c r="F14" s="70"/>
      <c r="G14" s="49"/>
      <c r="H14" s="49"/>
      <c r="I14" s="49"/>
      <c r="J14" s="88"/>
      <c r="K14" s="49"/>
      <c r="L14" s="49"/>
      <c r="M14" s="49"/>
      <c r="N14" s="73"/>
      <c r="O14" s="49"/>
      <c r="P14" s="49"/>
      <c r="Q14" s="48"/>
      <c r="R14" s="49"/>
      <c r="S14" s="49"/>
      <c r="T14" s="70"/>
      <c r="U14" s="49"/>
      <c r="V14" s="49"/>
      <c r="W14" s="87"/>
      <c r="X14" s="85"/>
      <c r="Y14" s="49"/>
      <c r="Z14" s="49"/>
      <c r="AA14" s="49"/>
      <c r="AB14" s="73"/>
      <c r="AC14" s="49"/>
      <c r="AD14" s="49"/>
      <c r="AE14" s="408">
        <f>'7" 26# Deck Tally'!G12</f>
        <v>6.22</v>
      </c>
      <c r="AF14" s="284">
        <f t="shared" si="0"/>
        <v>5.8220000000000001</v>
      </c>
      <c r="AG14" s="509" t="s">
        <v>9</v>
      </c>
      <c r="AH14" s="405" t="str">
        <f>'7" 26# Deck Tally'!F12</f>
        <v>6-A</v>
      </c>
      <c r="AI14" s="315">
        <f t="shared" si="1"/>
        <v>5.8220000000000001</v>
      </c>
      <c r="AJ14" s="54"/>
    </row>
    <row r="15" spans="2:37" s="55" customFormat="1" ht="16.5" thickTop="1" thickBot="1">
      <c r="B15" s="46"/>
      <c r="C15" s="49"/>
      <c r="D15" s="48"/>
      <c r="E15" s="49"/>
      <c r="F15" s="70"/>
      <c r="G15" s="49"/>
      <c r="H15" s="49"/>
      <c r="I15" s="87"/>
      <c r="J15" s="89"/>
      <c r="K15" s="49"/>
      <c r="L15" s="49"/>
      <c r="M15" s="49"/>
      <c r="N15" s="73"/>
      <c r="O15" s="49"/>
      <c r="P15" s="49"/>
      <c r="Q15" s="48"/>
      <c r="R15" s="49"/>
      <c r="S15" s="49"/>
      <c r="T15" s="70"/>
      <c r="U15" s="49"/>
      <c r="V15" s="49"/>
      <c r="W15" s="87"/>
      <c r="X15" s="90"/>
      <c r="Y15" s="49"/>
      <c r="Z15" s="49"/>
      <c r="AA15" s="49"/>
      <c r="AB15" s="73"/>
      <c r="AC15" s="49"/>
      <c r="AD15" s="49"/>
      <c r="AE15" s="408">
        <f>'7" 26# Deck Tally'!G13</f>
        <v>3.22</v>
      </c>
      <c r="AF15" s="284">
        <f t="shared" si="0"/>
        <v>2.8220000000000001</v>
      </c>
      <c r="AG15" s="509" t="s">
        <v>9</v>
      </c>
      <c r="AH15" s="405" t="str">
        <f>'7" 26# Deck Tally'!F13</f>
        <v>3-B</v>
      </c>
      <c r="AI15" s="315">
        <f t="shared" si="1"/>
        <v>2.8220000000000001</v>
      </c>
      <c r="AJ15" s="54"/>
    </row>
    <row r="16" spans="2:37" s="55" customFormat="1" ht="16.5" thickTop="1" thickBot="1">
      <c r="B16" s="46"/>
      <c r="C16" s="49"/>
      <c r="D16" s="48"/>
      <c r="E16" s="49"/>
      <c r="F16" s="70"/>
      <c r="G16" s="49"/>
      <c r="H16" s="91"/>
      <c r="I16" s="92"/>
      <c r="J16" s="93"/>
      <c r="K16" s="94"/>
      <c r="L16" s="95"/>
      <c r="M16" s="49"/>
      <c r="N16" s="73"/>
      <c r="O16" s="49"/>
      <c r="P16" s="49"/>
      <c r="Q16" s="48"/>
      <c r="R16" s="49"/>
      <c r="S16" s="49"/>
      <c r="T16" s="70"/>
      <c r="U16" s="49"/>
      <c r="V16" s="49"/>
      <c r="W16" s="87"/>
      <c r="X16" s="93"/>
      <c r="Y16" s="49"/>
      <c r="Z16" s="49"/>
      <c r="AA16" s="49"/>
      <c r="AB16" s="73"/>
      <c r="AC16" s="49"/>
      <c r="AD16" s="49"/>
      <c r="AE16" s="408">
        <f>'7" 26# Deck Tally'!G14</f>
        <v>3.24</v>
      </c>
      <c r="AF16" s="284">
        <f t="shared" ref="AF16:AF19" si="2">AE16-(4.776/12)</f>
        <v>2.8420000000000001</v>
      </c>
      <c r="AG16" s="61" t="s">
        <v>11</v>
      </c>
      <c r="AH16" s="405" t="str">
        <f>'7" 26# Deck Tally'!F14</f>
        <v>3-A</v>
      </c>
      <c r="AI16" s="315">
        <f t="shared" si="1"/>
        <v>0</v>
      </c>
      <c r="AJ16" s="54"/>
    </row>
    <row r="17" spans="2:36" s="55" customFormat="1" ht="16.5" thickTop="1" thickBot="1">
      <c r="B17" s="46"/>
      <c r="C17" s="96" t="s">
        <v>45</v>
      </c>
      <c r="D17" s="96"/>
      <c r="E17" s="97"/>
      <c r="F17" s="56"/>
      <c r="G17" s="98"/>
      <c r="H17" s="99"/>
      <c r="I17" s="92"/>
      <c r="J17" s="93"/>
      <c r="K17" s="100"/>
      <c r="L17" s="101"/>
      <c r="M17" s="99"/>
      <c r="N17" s="73"/>
      <c r="O17" s="49"/>
      <c r="P17" s="49"/>
      <c r="Q17" s="48"/>
      <c r="R17" s="49"/>
      <c r="S17" s="49"/>
      <c r="T17" s="70"/>
      <c r="U17" s="49"/>
      <c r="V17" s="91"/>
      <c r="W17" s="92"/>
      <c r="X17" s="93"/>
      <c r="Y17" s="102"/>
      <c r="Z17" s="95"/>
      <c r="AA17" s="49"/>
      <c r="AB17" s="73"/>
      <c r="AC17" s="49"/>
      <c r="AD17" s="49"/>
      <c r="AE17" s="472"/>
      <c r="AF17" s="284">
        <f t="shared" si="2"/>
        <v>-0.39799999999999996</v>
      </c>
      <c r="AG17" s="61" t="s">
        <v>11</v>
      </c>
      <c r="AH17" s="405"/>
      <c r="AI17" s="315"/>
      <c r="AJ17" s="54"/>
    </row>
    <row r="18" spans="2:36" s="55" customFormat="1" ht="16.5" thickTop="1" thickBot="1">
      <c r="B18" s="46"/>
      <c r="C18" s="103"/>
      <c r="D18" s="103"/>
      <c r="E18" s="104"/>
      <c r="F18" s="64"/>
      <c r="G18" s="49"/>
      <c r="H18" s="105"/>
      <c r="I18" s="106"/>
      <c r="J18" s="93"/>
      <c r="K18" s="107"/>
      <c r="L18" s="105"/>
      <c r="M18" s="49"/>
      <c r="N18" s="73"/>
      <c r="O18" s="49"/>
      <c r="P18" s="49"/>
      <c r="Q18" s="48"/>
      <c r="R18" s="49"/>
      <c r="S18" s="49"/>
      <c r="T18" s="70"/>
      <c r="U18" s="98"/>
      <c r="V18" s="99"/>
      <c r="W18" s="92"/>
      <c r="X18" s="93"/>
      <c r="Y18" s="100"/>
      <c r="Z18" s="101"/>
      <c r="AA18" s="99"/>
      <c r="AB18" s="73"/>
      <c r="AC18" s="49"/>
      <c r="AD18" s="470"/>
      <c r="AE18" s="408"/>
      <c r="AF18" s="456">
        <f t="shared" si="2"/>
        <v>-0.39799999999999996</v>
      </c>
      <c r="AG18" s="61" t="s">
        <v>11</v>
      </c>
      <c r="AH18" s="405"/>
      <c r="AI18" s="315"/>
      <c r="AJ18" s="272"/>
    </row>
    <row r="19" spans="2:36" s="55" customFormat="1" ht="16.5" thickTop="1" thickBot="1">
      <c r="B19" s="46"/>
      <c r="C19" s="49"/>
      <c r="D19" s="48"/>
      <c r="E19" s="49"/>
      <c r="F19" s="70"/>
      <c r="H19" s="49"/>
      <c r="I19" s="87"/>
      <c r="J19" s="108"/>
      <c r="K19" s="49"/>
      <c r="N19" s="73"/>
      <c r="O19" s="49"/>
      <c r="P19" s="49"/>
      <c r="Q19" s="48"/>
      <c r="R19" s="49"/>
      <c r="S19" s="49"/>
      <c r="T19" s="70"/>
      <c r="U19" s="49"/>
      <c r="V19" s="105"/>
      <c r="W19" s="106"/>
      <c r="X19" s="93"/>
      <c r="Y19" s="107"/>
      <c r="Z19" s="105"/>
      <c r="AA19" s="49"/>
      <c r="AB19" s="73"/>
      <c r="AC19" s="49"/>
      <c r="AD19" s="470"/>
      <c r="AE19" s="408"/>
      <c r="AF19" s="284">
        <f t="shared" si="2"/>
        <v>-0.39799999999999996</v>
      </c>
      <c r="AG19" s="61" t="s">
        <v>11</v>
      </c>
      <c r="AH19" s="405"/>
      <c r="AI19" s="315"/>
      <c r="AJ19" s="272"/>
    </row>
    <row r="20" spans="2:36" s="55" customFormat="1" ht="16.5" thickTop="1" thickBot="1">
      <c r="B20" s="46"/>
      <c r="C20" s="49"/>
      <c r="D20" s="109"/>
      <c r="E20" s="49"/>
      <c r="F20" s="110"/>
      <c r="G20" s="49"/>
      <c r="H20" s="49"/>
      <c r="I20" s="87"/>
      <c r="J20" s="108"/>
      <c r="K20" s="49"/>
      <c r="L20" s="49"/>
      <c r="M20" s="49"/>
      <c r="N20" s="111"/>
      <c r="O20" s="49"/>
      <c r="P20" s="49"/>
      <c r="Q20" s="48"/>
      <c r="R20" s="49"/>
      <c r="S20" s="49"/>
      <c r="T20" s="110"/>
      <c r="U20" s="49"/>
      <c r="V20" s="49"/>
      <c r="W20" s="87"/>
      <c r="X20" s="93"/>
      <c r="Y20" s="112"/>
      <c r="Z20" s="49"/>
      <c r="AA20" s="49"/>
      <c r="AB20" s="111"/>
      <c r="AC20" s="47"/>
      <c r="AD20" s="433"/>
      <c r="AE20" s="408"/>
      <c r="AF20" s="284">
        <f>AE20-(4.776/12)</f>
        <v>-0.39799999999999996</v>
      </c>
      <c r="AG20" s="61" t="s">
        <v>11</v>
      </c>
      <c r="AH20" s="405"/>
      <c r="AI20" s="315"/>
      <c r="AJ20" s="272"/>
    </row>
    <row r="21" spans="2:36" s="55" customFormat="1" ht="16.5" thickTop="1" thickBot="1">
      <c r="B21" s="46"/>
      <c r="C21" s="49"/>
      <c r="D21" s="109"/>
      <c r="E21" s="49"/>
      <c r="F21" s="73"/>
      <c r="G21" s="49"/>
      <c r="H21" s="49"/>
      <c r="I21" s="49"/>
      <c r="J21" s="113" t="s">
        <v>46</v>
      </c>
      <c r="K21" s="49"/>
      <c r="L21" s="49"/>
      <c r="M21" s="49"/>
      <c r="N21" s="70"/>
      <c r="O21" s="49"/>
      <c r="P21" s="49"/>
      <c r="Q21" s="48"/>
      <c r="R21" s="49"/>
      <c r="S21" s="49"/>
      <c r="T21" s="73"/>
      <c r="U21" s="49"/>
      <c r="V21" s="49"/>
      <c r="W21" s="87"/>
      <c r="X21" s="93"/>
      <c r="Y21" s="49"/>
      <c r="Z21" s="49"/>
      <c r="AA21" s="73"/>
      <c r="AB21" s="49"/>
      <c r="AC21" s="47"/>
      <c r="AD21" s="433"/>
      <c r="AE21" s="407"/>
      <c r="AF21" s="284">
        <f t="shared" ref="AF21:AF25" si="3">AE21-0.398</f>
        <v>-0.39800000000000002</v>
      </c>
      <c r="AG21" s="61" t="s">
        <v>11</v>
      </c>
      <c r="AH21" s="405"/>
      <c r="AI21" s="315"/>
      <c r="AJ21" s="272"/>
    </row>
    <row r="22" spans="2:36" s="55" customFormat="1" ht="16.5" thickTop="1" thickBot="1">
      <c r="B22" s="46"/>
      <c r="C22" s="49"/>
      <c r="D22" s="58" t="s">
        <v>47</v>
      </c>
      <c r="E22" s="56"/>
      <c r="F22" s="97"/>
      <c r="G22" s="56"/>
      <c r="H22" s="114"/>
      <c r="I22" s="115"/>
      <c r="J22" s="89"/>
      <c r="K22" s="116"/>
      <c r="L22" s="114"/>
      <c r="M22" s="49"/>
      <c r="N22" s="70"/>
      <c r="O22" s="49"/>
      <c r="P22" s="49"/>
      <c r="R22" s="49"/>
      <c r="S22" s="49"/>
      <c r="T22" s="117"/>
      <c r="U22" s="49"/>
      <c r="V22" s="49"/>
      <c r="W22" s="87"/>
      <c r="X22" s="89"/>
      <c r="Y22" s="49"/>
      <c r="Z22" s="49"/>
      <c r="AA22" s="73"/>
      <c r="AB22" s="49"/>
      <c r="AC22" s="49"/>
      <c r="AD22" s="470"/>
      <c r="AE22" s="407"/>
      <c r="AF22" s="284">
        <f t="shared" si="3"/>
        <v>-0.39800000000000002</v>
      </c>
      <c r="AG22" s="61" t="s">
        <v>11</v>
      </c>
      <c r="AH22" s="405"/>
      <c r="AI22" s="315"/>
      <c r="AJ22" s="272"/>
    </row>
    <row r="23" spans="2:36" s="55" customFormat="1" ht="17.25" customHeight="1" thickTop="1" thickBot="1">
      <c r="B23" s="46"/>
      <c r="C23" s="49"/>
      <c r="D23" s="58"/>
      <c r="E23" s="56"/>
      <c r="F23" s="97"/>
      <c r="G23" s="56"/>
      <c r="H23" s="49"/>
      <c r="I23" s="87"/>
      <c r="J23" s="93"/>
      <c r="K23" s="49"/>
      <c r="L23" s="49"/>
      <c r="M23" s="118"/>
      <c r="N23" s="56"/>
      <c r="O23" s="56"/>
      <c r="P23" s="56"/>
      <c r="Q23" s="58"/>
      <c r="R23" s="56"/>
      <c r="S23" s="56"/>
      <c r="T23" s="97"/>
      <c r="U23" s="56"/>
      <c r="V23" s="114"/>
      <c r="W23" s="119"/>
      <c r="X23" s="93"/>
      <c r="Y23" s="120"/>
      <c r="Z23" s="114"/>
      <c r="AA23" s="73"/>
      <c r="AB23" s="49"/>
      <c r="AC23" s="49"/>
      <c r="AD23" s="470"/>
      <c r="AE23" s="407"/>
      <c r="AF23" s="284">
        <f t="shared" si="3"/>
        <v>-0.39800000000000002</v>
      </c>
      <c r="AG23" s="61" t="s">
        <v>11</v>
      </c>
      <c r="AH23" s="405"/>
      <c r="AI23" s="315"/>
      <c r="AJ23" s="272"/>
    </row>
    <row r="24" spans="2:36" s="55" customFormat="1" ht="15.75" thickTop="1">
      <c r="B24" s="46"/>
      <c r="C24" s="49"/>
      <c r="D24" s="109"/>
      <c r="E24" s="49"/>
      <c r="F24" s="117"/>
      <c r="G24" s="49"/>
      <c r="H24" s="121"/>
      <c r="I24" s="122"/>
      <c r="J24" s="108"/>
      <c r="L24" s="121"/>
      <c r="M24" s="73"/>
      <c r="N24" s="49"/>
      <c r="O24" s="49"/>
      <c r="P24" s="49"/>
      <c r="Q24" s="109" t="s">
        <v>48</v>
      </c>
      <c r="R24" s="49"/>
      <c r="S24" s="49"/>
      <c r="T24" s="117"/>
      <c r="U24" s="49"/>
      <c r="V24" s="121"/>
      <c r="W24" s="122"/>
      <c r="X24" s="93"/>
      <c r="Z24" s="121"/>
      <c r="AA24" s="73"/>
      <c r="AB24" s="49"/>
      <c r="AC24" s="49"/>
      <c r="AD24" s="49"/>
      <c r="AE24" s="408"/>
      <c r="AF24" s="284">
        <f t="shared" si="3"/>
        <v>-0.39800000000000002</v>
      </c>
      <c r="AG24" s="61" t="s">
        <v>11</v>
      </c>
      <c r="AH24" s="405"/>
      <c r="AI24" s="315"/>
      <c r="AJ24" s="272"/>
    </row>
    <row r="25" spans="2:36" s="55" customFormat="1" ht="15">
      <c r="B25" s="46"/>
      <c r="C25" s="49"/>
      <c r="D25" s="109"/>
      <c r="E25" s="49"/>
      <c r="F25" s="117"/>
      <c r="G25" s="49"/>
      <c r="H25" s="121"/>
      <c r="I25" s="122"/>
      <c r="J25" s="93"/>
      <c r="K25" s="49"/>
      <c r="L25" s="121"/>
      <c r="M25" s="73"/>
      <c r="N25" s="49"/>
      <c r="O25" s="49"/>
      <c r="P25" s="49"/>
      <c r="Q25" s="48"/>
      <c r="R25" s="49"/>
      <c r="S25" s="49"/>
      <c r="T25" s="117"/>
      <c r="U25" s="49"/>
      <c r="V25" s="121"/>
      <c r="W25" s="122"/>
      <c r="X25" s="93"/>
      <c r="Y25" s="49"/>
      <c r="Z25" s="121"/>
      <c r="AA25" s="73"/>
      <c r="AB25" s="49"/>
      <c r="AC25" s="49"/>
      <c r="AD25" s="49"/>
      <c r="AE25" s="316"/>
      <c r="AF25" s="284">
        <f t="shared" si="3"/>
        <v>-0.39800000000000002</v>
      </c>
      <c r="AG25" s="61" t="s">
        <v>11</v>
      </c>
      <c r="AH25" s="224"/>
      <c r="AI25" s="317"/>
      <c r="AJ25" s="272"/>
    </row>
    <row r="26" spans="2:36" s="55" customFormat="1" ht="15">
      <c r="B26" s="46"/>
      <c r="C26" s="49"/>
      <c r="D26" s="109"/>
      <c r="E26" s="49"/>
      <c r="F26" s="117"/>
      <c r="G26" s="49"/>
      <c r="H26" s="121"/>
      <c r="I26" s="122"/>
      <c r="J26" s="93"/>
      <c r="K26" s="49"/>
      <c r="L26" s="121"/>
      <c r="M26" s="73"/>
      <c r="N26" s="49"/>
      <c r="O26" s="49"/>
      <c r="P26" s="49"/>
      <c r="Q26" s="48"/>
      <c r="R26" s="49"/>
      <c r="S26" s="49"/>
      <c r="T26" s="117"/>
      <c r="U26" s="49"/>
      <c r="V26" s="121"/>
      <c r="W26" s="122"/>
      <c r="X26" s="93"/>
      <c r="Y26" s="49"/>
      <c r="Z26" s="121"/>
      <c r="AA26" s="73"/>
      <c r="AB26" s="49"/>
      <c r="AC26" s="49"/>
      <c r="AD26" s="49"/>
      <c r="AE26" s="316"/>
      <c r="AF26" s="284">
        <f t="shared" ref="AF26:AF36" si="4">AE26-0.398</f>
        <v>-0.39800000000000002</v>
      </c>
      <c r="AG26" s="61" t="s">
        <v>11</v>
      </c>
      <c r="AH26" s="224"/>
      <c r="AI26" s="317"/>
      <c r="AJ26" s="272"/>
    </row>
    <row r="27" spans="2:36" s="55" customFormat="1" ht="15">
      <c r="B27" s="46"/>
      <c r="C27" s="49"/>
      <c r="D27" s="109"/>
      <c r="E27" s="49"/>
      <c r="F27" s="117"/>
      <c r="G27" s="49"/>
      <c r="H27" s="121"/>
      <c r="I27" s="122"/>
      <c r="J27" s="93"/>
      <c r="K27" s="49"/>
      <c r="L27" s="121"/>
      <c r="M27" s="73"/>
      <c r="N27" s="49"/>
      <c r="O27" s="49"/>
      <c r="P27" s="49"/>
      <c r="Q27" s="48"/>
      <c r="R27" s="49"/>
      <c r="S27" s="49"/>
      <c r="T27" s="117"/>
      <c r="U27" s="49"/>
      <c r="V27" s="121"/>
      <c r="W27" s="122"/>
      <c r="X27" s="93"/>
      <c r="Y27" s="49"/>
      <c r="Z27" s="121"/>
      <c r="AA27" s="73"/>
      <c r="AB27" s="49"/>
      <c r="AC27" s="49"/>
      <c r="AD27" s="49"/>
      <c r="AE27" s="316"/>
      <c r="AF27" s="284">
        <f t="shared" si="4"/>
        <v>-0.39800000000000002</v>
      </c>
      <c r="AG27" s="61" t="s">
        <v>11</v>
      </c>
      <c r="AH27" s="224"/>
      <c r="AI27" s="317"/>
      <c r="AJ27" s="272"/>
    </row>
    <row r="28" spans="2:36" s="55" customFormat="1" ht="15">
      <c r="B28" s="46"/>
      <c r="C28" s="49"/>
      <c r="D28" s="58" t="s">
        <v>49</v>
      </c>
      <c r="E28" s="56"/>
      <c r="F28" s="97"/>
      <c r="G28" s="56"/>
      <c r="H28" s="121"/>
      <c r="I28" s="122"/>
      <c r="J28" s="93"/>
      <c r="K28" s="49"/>
      <c r="L28" s="121"/>
      <c r="M28" s="73"/>
      <c r="N28" s="49"/>
      <c r="O28" s="49"/>
      <c r="P28" s="49"/>
      <c r="Q28" s="48"/>
      <c r="R28" s="49"/>
      <c r="S28" s="49"/>
      <c r="T28" s="117"/>
      <c r="U28" s="49"/>
      <c r="V28" s="121"/>
      <c r="W28" s="122"/>
      <c r="X28" s="93"/>
      <c r="Y28" s="49"/>
      <c r="Z28" s="121"/>
      <c r="AA28" s="73"/>
      <c r="AB28" s="49"/>
      <c r="AC28" s="49"/>
      <c r="AD28" s="49"/>
      <c r="AE28" s="316"/>
      <c r="AF28" s="284">
        <f t="shared" si="4"/>
        <v>-0.39800000000000002</v>
      </c>
      <c r="AG28" s="61" t="s">
        <v>11</v>
      </c>
      <c r="AH28" s="224"/>
      <c r="AI28" s="317"/>
      <c r="AJ28" s="272"/>
    </row>
    <row r="29" spans="2:36" s="55" customFormat="1" ht="15.75" thickBot="1">
      <c r="B29" s="46"/>
      <c r="C29" s="49"/>
      <c r="D29" s="58" t="s">
        <v>50</v>
      </c>
      <c r="E29" s="56"/>
      <c r="F29" s="97"/>
      <c r="G29" s="56"/>
      <c r="H29" s="123"/>
      <c r="I29" s="124"/>
      <c r="J29" s="48"/>
      <c r="K29" s="124"/>
      <c r="L29" s="123"/>
      <c r="M29" s="73"/>
      <c r="N29" s="49"/>
      <c r="O29" s="49"/>
      <c r="P29" s="49"/>
      <c r="Q29" s="48"/>
      <c r="R29" s="49"/>
      <c r="S29" s="49"/>
      <c r="T29" s="117"/>
      <c r="U29" s="49"/>
      <c r="V29" s="123"/>
      <c r="W29" s="124"/>
      <c r="X29" s="93"/>
      <c r="Y29" s="124"/>
      <c r="Z29" s="123"/>
      <c r="AA29" s="73"/>
      <c r="AB29" s="49"/>
      <c r="AC29" s="49"/>
      <c r="AD29" s="49"/>
      <c r="AE29" s="316"/>
      <c r="AF29" s="284">
        <f t="shared" si="4"/>
        <v>-0.39800000000000002</v>
      </c>
      <c r="AG29" s="61" t="s">
        <v>11</v>
      </c>
      <c r="AH29" s="224"/>
      <c r="AI29" s="317"/>
      <c r="AJ29" s="272"/>
    </row>
    <row r="30" spans="2:36" s="55" customFormat="1" ht="15.75" thickTop="1">
      <c r="B30" s="46"/>
      <c r="C30" s="49"/>
      <c r="D30" s="48"/>
      <c r="E30" s="49"/>
      <c r="F30" s="117"/>
      <c r="G30" s="49"/>
      <c r="H30" s="125"/>
      <c r="I30" s="126"/>
      <c r="J30" s="83"/>
      <c r="L30" s="125"/>
      <c r="M30" s="73"/>
      <c r="N30" s="49"/>
      <c r="O30" s="49"/>
      <c r="P30" s="49"/>
      <c r="Q30" s="48"/>
      <c r="R30" s="49"/>
      <c r="S30" s="49"/>
      <c r="T30" s="117"/>
      <c r="U30" s="49"/>
      <c r="V30" s="125"/>
      <c r="W30" s="126"/>
      <c r="X30" s="83"/>
      <c r="Z30" s="125"/>
      <c r="AA30" s="73"/>
      <c r="AB30" s="49"/>
      <c r="AC30" s="49"/>
      <c r="AD30" s="49"/>
      <c r="AE30" s="316"/>
      <c r="AF30" s="284">
        <f t="shared" si="4"/>
        <v>-0.39800000000000002</v>
      </c>
      <c r="AG30" s="61" t="s">
        <v>11</v>
      </c>
      <c r="AH30" s="224"/>
      <c r="AI30" s="317"/>
      <c r="AJ30" s="272"/>
    </row>
    <row r="31" spans="2:36" s="55" customFormat="1" ht="15">
      <c r="B31" s="46"/>
      <c r="C31" s="49"/>
      <c r="D31" s="48"/>
      <c r="E31" s="49"/>
      <c r="F31" s="73"/>
      <c r="G31" s="49"/>
      <c r="H31" s="125"/>
      <c r="I31" s="127"/>
      <c r="J31" s="83"/>
      <c r="K31" s="128"/>
      <c r="L31" s="125"/>
      <c r="M31" s="73"/>
      <c r="N31" s="49"/>
      <c r="O31" s="49"/>
      <c r="P31" s="49"/>
      <c r="Q31" s="48"/>
      <c r="R31" s="49"/>
      <c r="S31" s="49"/>
      <c r="T31" s="73"/>
      <c r="U31" s="49"/>
      <c r="V31" s="125"/>
      <c r="W31" s="127"/>
      <c r="X31" s="83"/>
      <c r="Y31" s="128"/>
      <c r="Z31" s="125"/>
      <c r="AA31" s="73"/>
      <c r="AB31" s="49"/>
      <c r="AC31" s="49"/>
      <c r="AD31" s="49"/>
      <c r="AE31" s="316"/>
      <c r="AF31" s="284">
        <f t="shared" si="4"/>
        <v>-0.39800000000000002</v>
      </c>
      <c r="AG31" s="61" t="s">
        <v>11</v>
      </c>
      <c r="AH31" s="224"/>
      <c r="AI31" s="317"/>
      <c r="AJ31" s="272"/>
    </row>
    <row r="32" spans="2:36" s="55" customFormat="1" ht="15">
      <c r="B32" s="46"/>
      <c r="C32" s="49"/>
      <c r="D32" s="48"/>
      <c r="E32" s="49"/>
      <c r="F32" s="73"/>
      <c r="G32" s="49"/>
      <c r="H32" s="129"/>
      <c r="I32" s="130"/>
      <c r="J32" s="83"/>
      <c r="L32" s="129"/>
      <c r="M32" s="73"/>
      <c r="N32" s="49"/>
      <c r="O32" s="49"/>
      <c r="P32" s="49"/>
      <c r="Q32" s="48"/>
      <c r="R32" s="49"/>
      <c r="S32" s="49"/>
      <c r="T32" s="73"/>
      <c r="U32" s="49"/>
      <c r="V32" s="129"/>
      <c r="W32" s="130"/>
      <c r="X32" s="83"/>
      <c r="Z32" s="129"/>
      <c r="AA32" s="73"/>
      <c r="AB32" s="49"/>
      <c r="AC32" s="49"/>
      <c r="AD32" s="49"/>
      <c r="AE32" s="287"/>
      <c r="AF32" s="284">
        <f t="shared" si="4"/>
        <v>-0.39800000000000002</v>
      </c>
      <c r="AG32" s="61" t="s">
        <v>11</v>
      </c>
      <c r="AH32" s="224"/>
      <c r="AI32" s="273"/>
      <c r="AJ32" s="272"/>
    </row>
    <row r="33" spans="2:37" s="55" customFormat="1" ht="15">
      <c r="B33" s="46"/>
      <c r="C33" s="49"/>
      <c r="D33" s="48"/>
      <c r="E33" s="49"/>
      <c r="F33" s="73"/>
      <c r="G33" s="49"/>
      <c r="H33" s="49"/>
      <c r="I33" s="73"/>
      <c r="J33" s="83"/>
      <c r="K33" s="49"/>
      <c r="L33" s="49"/>
      <c r="M33" s="73"/>
      <c r="N33" s="49"/>
      <c r="O33" s="49"/>
      <c r="P33" s="49"/>
      <c r="Q33" s="48"/>
      <c r="R33" s="49"/>
      <c r="S33" s="49"/>
      <c r="T33" s="73"/>
      <c r="U33" s="49"/>
      <c r="V33" s="49"/>
      <c r="W33" s="73"/>
      <c r="X33" s="83"/>
      <c r="Y33" s="49"/>
      <c r="Z33" s="49"/>
      <c r="AA33" s="73"/>
      <c r="AB33" s="49"/>
      <c r="AC33" s="49"/>
      <c r="AD33" s="49"/>
      <c r="AE33" s="287"/>
      <c r="AF33" s="284">
        <f t="shared" si="4"/>
        <v>-0.39800000000000002</v>
      </c>
      <c r="AG33" s="61" t="s">
        <v>11</v>
      </c>
      <c r="AH33" s="224"/>
      <c r="AI33" s="273"/>
      <c r="AJ33" s="272"/>
    </row>
    <row r="34" spans="2:37" s="55" customFormat="1" ht="15">
      <c r="B34" s="46"/>
      <c r="C34" s="49"/>
      <c r="D34" s="48"/>
      <c r="E34" s="49"/>
      <c r="F34" s="49"/>
      <c r="G34" s="49"/>
      <c r="H34" s="49"/>
      <c r="I34" s="73"/>
      <c r="J34" s="131"/>
      <c r="K34" s="49"/>
      <c r="L34" s="49"/>
      <c r="M34" s="49"/>
      <c r="N34" s="49"/>
      <c r="O34" s="49"/>
      <c r="P34" s="49"/>
      <c r="Q34" s="48"/>
      <c r="R34" s="49"/>
      <c r="S34" s="49"/>
      <c r="T34" s="49"/>
      <c r="U34" s="49"/>
      <c r="V34" s="49"/>
      <c r="W34" s="73"/>
      <c r="X34" s="131"/>
      <c r="Y34" s="49"/>
      <c r="Z34" s="49"/>
      <c r="AA34" s="49"/>
      <c r="AB34" s="49"/>
      <c r="AC34" s="49"/>
      <c r="AD34" s="49"/>
      <c r="AE34" s="287"/>
      <c r="AF34" s="284">
        <f t="shared" si="4"/>
        <v>-0.39800000000000002</v>
      </c>
      <c r="AG34" s="61" t="s">
        <v>11</v>
      </c>
      <c r="AH34" s="224"/>
      <c r="AI34" s="273"/>
      <c r="AJ34" s="54"/>
      <c r="AK34" s="55" t="s">
        <v>8</v>
      </c>
    </row>
    <row r="35" spans="2:37" s="55" customFormat="1" ht="15.75" thickBot="1">
      <c r="B35" s="46"/>
      <c r="C35" s="49"/>
      <c r="D35" s="48"/>
      <c r="E35" s="49"/>
      <c r="F35" s="49"/>
      <c r="G35" s="49"/>
      <c r="H35" s="49"/>
      <c r="I35" s="49"/>
      <c r="J35" s="48"/>
      <c r="K35" s="49"/>
      <c r="L35" s="49"/>
      <c r="M35" s="49"/>
      <c r="N35" s="49"/>
      <c r="O35" s="49"/>
      <c r="P35" s="49"/>
      <c r="Q35" s="48"/>
      <c r="R35" s="49"/>
      <c r="S35" s="49"/>
      <c r="T35" s="49"/>
      <c r="U35" s="49"/>
      <c r="V35" s="49"/>
      <c r="W35" s="49"/>
      <c r="X35" s="48"/>
      <c r="Y35" s="49"/>
      <c r="Z35" s="49"/>
      <c r="AA35" s="49"/>
      <c r="AB35" s="49"/>
      <c r="AC35" s="49"/>
      <c r="AD35" s="49"/>
      <c r="AE35" s="287"/>
      <c r="AF35" s="284">
        <f t="shared" si="4"/>
        <v>-0.39800000000000002</v>
      </c>
      <c r="AG35" s="61" t="s">
        <v>11</v>
      </c>
      <c r="AH35" s="224"/>
      <c r="AI35" s="273"/>
      <c r="AJ35" s="54"/>
    </row>
    <row r="36" spans="2:37" s="55" customFormat="1" ht="15.75" thickBot="1">
      <c r="B36" s="46"/>
      <c r="C36" s="49"/>
      <c r="D36" s="48"/>
      <c r="E36" s="132"/>
      <c r="F36" s="133"/>
      <c r="G36" s="133"/>
      <c r="H36" s="133"/>
      <c r="I36" s="133"/>
      <c r="J36" s="134" t="s">
        <v>51</v>
      </c>
      <c r="K36" s="133"/>
      <c r="L36" s="133"/>
      <c r="M36" s="133"/>
      <c r="N36" s="133"/>
      <c r="O36" s="135"/>
      <c r="P36" s="49"/>
      <c r="Q36" s="48"/>
      <c r="R36" s="49"/>
      <c r="S36" s="132"/>
      <c r="T36" s="133"/>
      <c r="U36" s="133"/>
      <c r="V36" s="133"/>
      <c r="W36" s="133"/>
      <c r="X36" s="134" t="s">
        <v>52</v>
      </c>
      <c r="Y36" s="133"/>
      <c r="Z36" s="133"/>
      <c r="AA36" s="133"/>
      <c r="AB36" s="133"/>
      <c r="AC36" s="135"/>
      <c r="AD36" s="49"/>
      <c r="AE36" s="287"/>
      <c r="AF36" s="284">
        <f t="shared" si="4"/>
        <v>-0.39800000000000002</v>
      </c>
      <c r="AG36" s="61" t="s">
        <v>11</v>
      </c>
      <c r="AH36" s="224"/>
      <c r="AI36" s="273"/>
      <c r="AJ36" s="54"/>
    </row>
    <row r="37" spans="2:37" s="55" customFormat="1" ht="15.75" thickBot="1">
      <c r="B37" s="46"/>
      <c r="C37" s="49"/>
      <c r="D37" s="48"/>
      <c r="E37" s="49"/>
      <c r="F37" s="49"/>
      <c r="G37" s="49"/>
      <c r="H37" s="49"/>
      <c r="I37" s="49"/>
      <c r="J37" s="109"/>
      <c r="K37" s="49"/>
      <c r="L37" s="49"/>
      <c r="M37" s="49"/>
      <c r="N37" s="49"/>
      <c r="O37" s="49"/>
      <c r="P37" s="49"/>
      <c r="Q37" s="48"/>
      <c r="R37" s="49"/>
      <c r="S37" s="49"/>
      <c r="T37" s="49"/>
      <c r="U37" s="49"/>
      <c r="V37" s="49"/>
      <c r="W37" s="49"/>
      <c r="X37" s="109"/>
      <c r="Y37" s="49"/>
      <c r="Z37" s="49"/>
      <c r="AA37" s="49"/>
      <c r="AB37" s="49"/>
      <c r="AC37" s="49"/>
      <c r="AD37" s="49"/>
      <c r="AE37" s="318"/>
      <c r="AF37" s="319">
        <f>SUM(AI7:AI36)</f>
        <v>8.6440000000000001</v>
      </c>
      <c r="AG37" s="274" t="s">
        <v>53</v>
      </c>
      <c r="AH37" s="274"/>
      <c r="AI37" s="320"/>
      <c r="AJ37" s="54"/>
    </row>
    <row r="38" spans="2:37" s="55" customFormat="1" ht="15">
      <c r="B38" s="46"/>
      <c r="C38" s="49"/>
      <c r="D38" s="48"/>
      <c r="E38" s="49"/>
      <c r="F38" s="49"/>
      <c r="G38" s="49"/>
      <c r="H38" s="49"/>
      <c r="I38" s="49"/>
      <c r="J38" s="109"/>
      <c r="K38" s="49"/>
      <c r="L38" s="49"/>
      <c r="M38" s="49"/>
      <c r="N38" s="49"/>
      <c r="O38" s="49"/>
      <c r="P38" s="49"/>
      <c r="Q38" s="48"/>
      <c r="R38" s="49"/>
      <c r="S38" s="49"/>
      <c r="T38" s="49"/>
      <c r="U38" s="49"/>
      <c r="V38" s="49"/>
      <c r="W38" s="49"/>
      <c r="X38" s="109"/>
      <c r="Y38" s="49"/>
      <c r="Z38" s="49"/>
      <c r="AA38" s="49"/>
      <c r="AB38" s="49"/>
      <c r="AC38" s="49"/>
      <c r="AD38" s="49"/>
      <c r="AE38" s="36"/>
      <c r="AF38" s="36"/>
      <c r="AG38" s="36"/>
      <c r="AH38" s="36"/>
      <c r="AI38" s="36"/>
      <c r="AJ38" s="54"/>
    </row>
    <row r="39" spans="2:37" s="55" customFormat="1" ht="15">
      <c r="B39" s="46"/>
      <c r="C39" s="48" t="s">
        <v>54</v>
      </c>
      <c r="D39" s="48"/>
      <c r="E39" s="49"/>
      <c r="F39" s="49"/>
      <c r="G39" s="49"/>
      <c r="H39" s="49"/>
      <c r="I39" s="49"/>
      <c r="J39" s="109"/>
      <c r="K39" s="49"/>
      <c r="L39" s="49"/>
      <c r="M39" s="49"/>
      <c r="N39" s="49"/>
      <c r="O39" s="49"/>
      <c r="P39" s="49"/>
      <c r="Q39" s="48"/>
      <c r="R39" s="49"/>
      <c r="S39" s="49"/>
      <c r="T39" s="49"/>
      <c r="U39" s="49"/>
      <c r="V39" s="49"/>
      <c r="W39" s="49"/>
      <c r="X39" s="109"/>
      <c r="Y39" s="49"/>
      <c r="Z39" s="49"/>
      <c r="AA39" s="49"/>
      <c r="AB39" s="49"/>
      <c r="AC39" s="49"/>
      <c r="AD39" s="49"/>
      <c r="AE39" s="36"/>
      <c r="AF39" s="36"/>
      <c r="AG39" s="36"/>
      <c r="AH39" s="36"/>
      <c r="AI39" s="36"/>
      <c r="AJ39" s="54"/>
    </row>
    <row r="40" spans="2:37" ht="12">
      <c r="B40" s="43"/>
      <c r="C40" s="136">
        <v>17.829999999999998</v>
      </c>
      <c r="D40" s="137" t="s">
        <v>255</v>
      </c>
      <c r="E40" s="138"/>
      <c r="F40" s="138"/>
      <c r="G40" s="138"/>
      <c r="H40" s="138"/>
      <c r="I40" s="138"/>
      <c r="J40" s="139"/>
      <c r="K40" s="138"/>
      <c r="L40" s="138"/>
      <c r="M40" s="138"/>
      <c r="N40" s="138"/>
      <c r="O40" s="140"/>
      <c r="P40" s="138"/>
      <c r="Q40" s="141"/>
      <c r="R40" s="38"/>
      <c r="S40" s="38"/>
      <c r="T40" s="38"/>
      <c r="U40" s="38"/>
      <c r="V40" s="38"/>
      <c r="W40" s="38"/>
      <c r="X40" s="142"/>
      <c r="Y40" s="38"/>
      <c r="Z40" s="38"/>
      <c r="AA40" s="38"/>
      <c r="AB40" s="38"/>
      <c r="AD40" s="38"/>
      <c r="AE40" s="36"/>
      <c r="AJ40" s="45"/>
    </row>
    <row r="41" spans="2:37" ht="12.75">
      <c r="B41" s="43"/>
      <c r="C41" s="143">
        <f>'PRO TBG FINAL - TALLY'!G438</f>
        <v>33.552</v>
      </c>
      <c r="D41" s="144" t="s">
        <v>256</v>
      </c>
      <c r="Q41" s="145"/>
      <c r="R41" s="146"/>
      <c r="X41" s="36"/>
      <c r="AC41" s="36"/>
      <c r="AE41" s="36"/>
      <c r="AJ41" s="45"/>
    </row>
    <row r="42" spans="2:37" ht="12.75">
      <c r="B42" s="43"/>
      <c r="C42" s="143">
        <f>'PRO TBG FINAL - TALLY'!G437</f>
        <v>31.821999999999999</v>
      </c>
      <c r="D42" s="144" t="s">
        <v>252</v>
      </c>
      <c r="Q42" s="145"/>
      <c r="R42" s="146"/>
      <c r="X42" s="36"/>
      <c r="AC42" s="36"/>
      <c r="AE42" s="36"/>
      <c r="AJ42" s="45"/>
    </row>
    <row r="43" spans="2:37" ht="12.75">
      <c r="B43" s="43"/>
      <c r="C43" s="143">
        <f>'PRO TBG FINAL - TALLY'!G435</f>
        <v>33.192</v>
      </c>
      <c r="D43" s="144" t="s">
        <v>253</v>
      </c>
      <c r="Q43" s="145"/>
      <c r="R43" s="146"/>
      <c r="X43" s="36"/>
      <c r="AC43" s="36"/>
      <c r="AE43" s="36"/>
      <c r="AJ43" s="45"/>
    </row>
    <row r="44" spans="2:37" ht="14.25">
      <c r="B44" s="43"/>
      <c r="C44" s="143"/>
      <c r="D44" s="144" t="s">
        <v>253</v>
      </c>
      <c r="Q44" s="145"/>
      <c r="R44" s="146"/>
      <c r="T44" s="48" t="s">
        <v>54</v>
      </c>
      <c r="X44" s="152" t="s">
        <v>55</v>
      </c>
      <c r="AC44" s="36"/>
      <c r="AE44" s="36"/>
      <c r="AH44" s="471"/>
      <c r="AJ44" s="45"/>
    </row>
    <row r="45" spans="2:37" ht="15" thickBot="1">
      <c r="B45" s="43"/>
      <c r="C45" s="147"/>
      <c r="D45" s="144" t="s">
        <v>254</v>
      </c>
      <c r="Q45" s="145"/>
      <c r="R45" s="146"/>
      <c r="T45" s="48"/>
      <c r="X45" s="152"/>
      <c r="AC45" s="36"/>
      <c r="AE45" s="36"/>
      <c r="AH45" s="471"/>
      <c r="AJ45" s="45"/>
    </row>
    <row r="46" spans="2:37" ht="12.75">
      <c r="B46" s="43"/>
      <c r="C46" s="153">
        <f>SUM(C40:C45)</f>
        <v>116.39599999999999</v>
      </c>
      <c r="D46" s="154" t="s">
        <v>56</v>
      </c>
      <c r="E46" s="155"/>
      <c r="F46" s="155"/>
      <c r="G46" s="155"/>
      <c r="H46" s="155"/>
      <c r="I46" s="155"/>
      <c r="J46" s="156"/>
      <c r="K46" s="155"/>
      <c r="L46" s="155"/>
      <c r="M46" s="155"/>
      <c r="N46" s="155"/>
      <c r="O46" s="155"/>
      <c r="P46" s="155"/>
      <c r="Q46" s="157"/>
      <c r="R46" s="146"/>
      <c r="S46" s="697">
        <f>C46</f>
        <v>116.39599999999999</v>
      </c>
      <c r="T46" s="698"/>
      <c r="U46" s="699"/>
      <c r="V46" s="700" t="s">
        <v>57</v>
      </c>
      <c r="W46" s="701"/>
      <c r="X46" s="701"/>
      <c r="Y46" s="701"/>
      <c r="Z46" s="701"/>
      <c r="AA46" s="701"/>
      <c r="AB46" s="701"/>
      <c r="AC46" s="701"/>
      <c r="AD46" s="701"/>
      <c r="AE46" s="702"/>
      <c r="AJ46" s="45"/>
    </row>
    <row r="47" spans="2:37" ht="12.75">
      <c r="B47" s="43"/>
      <c r="C47" s="158"/>
      <c r="D47" s="36"/>
      <c r="Q47" s="36"/>
      <c r="R47" s="146"/>
      <c r="S47" s="703">
        <f>C50</f>
        <v>105.88</v>
      </c>
      <c r="T47" s="704"/>
      <c r="U47" s="705"/>
      <c r="V47" s="706" t="s">
        <v>58</v>
      </c>
      <c r="W47" s="707"/>
      <c r="X47" s="707"/>
      <c r="Y47" s="707"/>
      <c r="Z47" s="707"/>
      <c r="AA47" s="707"/>
      <c r="AB47" s="707"/>
      <c r="AC47" s="707"/>
      <c r="AD47" s="707"/>
      <c r="AE47" s="708"/>
      <c r="AH47" s="473"/>
      <c r="AJ47" s="45"/>
    </row>
    <row r="48" spans="2:37" ht="12.75">
      <c r="B48" s="43"/>
      <c r="C48" s="159">
        <v>99.55</v>
      </c>
      <c r="D48" s="137" t="s">
        <v>59</v>
      </c>
      <c r="E48" s="138"/>
      <c r="F48" s="138"/>
      <c r="G48" s="138"/>
      <c r="H48" s="138"/>
      <c r="I48" s="138"/>
      <c r="J48" s="139"/>
      <c r="K48" s="138"/>
      <c r="L48" s="138"/>
      <c r="M48" s="138"/>
      <c r="N48" s="138"/>
      <c r="O48" s="140"/>
      <c r="P48" s="138"/>
      <c r="Q48" s="141"/>
      <c r="R48" s="146"/>
      <c r="S48" s="709">
        <v>2</v>
      </c>
      <c r="T48" s="692"/>
      <c r="U48" s="693"/>
      <c r="V48" s="706" t="s">
        <v>60</v>
      </c>
      <c r="W48" s="707"/>
      <c r="X48" s="707"/>
      <c r="Y48" s="707"/>
      <c r="Z48" s="707"/>
      <c r="AA48" s="707"/>
      <c r="AB48" s="707"/>
      <c r="AC48" s="707"/>
      <c r="AD48" s="707"/>
      <c r="AE48" s="708"/>
      <c r="AG48" s="471"/>
      <c r="AH48" s="471"/>
      <c r="AJ48" s="45"/>
    </row>
    <row r="49" spans="2:36" ht="13.5" thickBot="1">
      <c r="B49" s="43"/>
      <c r="C49" s="160">
        <v>6.33</v>
      </c>
      <c r="D49" s="161" t="s">
        <v>61</v>
      </c>
      <c r="E49" s="148"/>
      <c r="F49" s="148"/>
      <c r="G49" s="148"/>
      <c r="H49" s="148"/>
      <c r="I49" s="148"/>
      <c r="J49" s="149"/>
      <c r="K49" s="148"/>
      <c r="L49" s="148"/>
      <c r="M49" s="148"/>
      <c r="N49" s="148"/>
      <c r="O49" s="150"/>
      <c r="P49" s="148"/>
      <c r="Q49" s="151"/>
      <c r="R49" s="146"/>
      <c r="S49" s="713">
        <f>S46-S47-S48</f>
        <v>8.5159999999999911</v>
      </c>
      <c r="T49" s="714"/>
      <c r="U49" s="715"/>
      <c r="V49" s="716" t="s">
        <v>62</v>
      </c>
      <c r="W49" s="717"/>
      <c r="X49" s="717"/>
      <c r="Y49" s="717"/>
      <c r="Z49" s="717"/>
      <c r="AA49" s="717"/>
      <c r="AB49" s="717"/>
      <c r="AC49" s="717"/>
      <c r="AD49" s="717"/>
      <c r="AE49" s="718"/>
      <c r="AG49" s="473"/>
      <c r="AH49" s="471"/>
      <c r="AJ49" s="45"/>
    </row>
    <row r="50" spans="2:36" ht="12.75">
      <c r="B50" s="43"/>
      <c r="C50" s="153">
        <f>C48+C49</f>
        <v>105.88</v>
      </c>
      <c r="D50" s="154" t="s">
        <v>63</v>
      </c>
      <c r="E50" s="155"/>
      <c r="F50" s="155"/>
      <c r="G50" s="155"/>
      <c r="H50" s="155"/>
      <c r="I50" s="155"/>
      <c r="J50" s="156"/>
      <c r="K50" s="155"/>
      <c r="L50" s="155"/>
      <c r="M50" s="155"/>
      <c r="N50" s="155"/>
      <c r="O50" s="155"/>
      <c r="P50" s="155"/>
      <c r="Q50" s="157"/>
      <c r="R50" s="146"/>
      <c r="S50" s="719">
        <f>AF37</f>
        <v>8.6440000000000001</v>
      </c>
      <c r="T50" s="720"/>
      <c r="U50" s="721"/>
      <c r="V50" s="722" t="s">
        <v>64</v>
      </c>
      <c r="W50" s="723"/>
      <c r="X50" s="723"/>
      <c r="Y50" s="723"/>
      <c r="Z50" s="723"/>
      <c r="AA50" s="723"/>
      <c r="AB50" s="723"/>
      <c r="AC50" s="723"/>
      <c r="AD50" s="723"/>
      <c r="AE50" s="724"/>
      <c r="AH50" s="473"/>
      <c r="AJ50" s="45"/>
    </row>
    <row r="51" spans="2:36" ht="12.75">
      <c r="B51" s="43"/>
      <c r="C51" s="162"/>
      <c r="D51" s="36"/>
      <c r="Q51" s="36"/>
      <c r="R51" s="146"/>
      <c r="S51" s="691">
        <f>S50-S49</f>
        <v>0.128000000000009</v>
      </c>
      <c r="T51" s="692"/>
      <c r="U51" s="693"/>
      <c r="V51" s="694" t="s">
        <v>65</v>
      </c>
      <c r="W51" s="695"/>
      <c r="X51" s="695"/>
      <c r="Y51" s="695"/>
      <c r="Z51" s="695"/>
      <c r="AA51" s="695"/>
      <c r="AB51" s="695"/>
      <c r="AC51" s="695"/>
      <c r="AD51" s="695"/>
      <c r="AE51" s="696"/>
      <c r="AH51" s="471"/>
      <c r="AJ51" s="45"/>
    </row>
    <row r="52" spans="2:36" ht="12.75">
      <c r="B52" s="43"/>
      <c r="C52" s="162"/>
      <c r="D52" s="36"/>
      <c r="Q52" s="36"/>
      <c r="R52" s="146"/>
      <c r="T52" s="37"/>
      <c r="X52" s="163" t="s">
        <v>66</v>
      </c>
      <c r="AB52" s="38"/>
      <c r="AC52" s="36"/>
      <c r="AD52" s="37"/>
      <c r="AE52" s="36"/>
      <c r="AH52" s="473"/>
      <c r="AJ52" s="45"/>
    </row>
    <row r="53" spans="2:36" ht="12.75">
      <c r="B53" s="43"/>
      <c r="C53" s="162"/>
      <c r="D53" s="36"/>
      <c r="Q53" s="36"/>
      <c r="R53" s="146"/>
      <c r="X53" s="36"/>
      <c r="AC53" s="36"/>
      <c r="AE53" s="36"/>
      <c r="AJ53" s="45"/>
    </row>
    <row r="54" spans="2:36" ht="12.75">
      <c r="B54" s="43"/>
      <c r="C54" s="158"/>
      <c r="D54" s="36"/>
      <c r="Q54" s="36"/>
      <c r="R54" s="146"/>
      <c r="X54" s="36"/>
      <c r="AC54" s="36"/>
      <c r="AE54" s="36"/>
      <c r="AJ54" s="45"/>
    </row>
    <row r="55" spans="2:36" ht="7.5" customHeight="1" thickBot="1">
      <c r="B55" s="164"/>
      <c r="C55" s="165"/>
      <c r="D55" s="166"/>
      <c r="E55" s="166"/>
      <c r="F55" s="166"/>
      <c r="G55" s="166"/>
      <c r="H55" s="166"/>
      <c r="I55" s="166"/>
      <c r="J55" s="167"/>
      <c r="K55" s="166"/>
      <c r="L55" s="166"/>
      <c r="M55" s="166"/>
      <c r="N55" s="166"/>
      <c r="O55" s="168"/>
      <c r="P55" s="166"/>
      <c r="Q55" s="166"/>
      <c r="R55" s="169"/>
      <c r="S55" s="166"/>
      <c r="T55" s="166"/>
      <c r="U55" s="166"/>
      <c r="V55" s="166"/>
      <c r="W55" s="166"/>
      <c r="X55" s="166"/>
      <c r="Y55" s="166"/>
      <c r="Z55" s="166"/>
      <c r="AA55" s="166"/>
      <c r="AB55" s="166"/>
      <c r="AC55" s="166"/>
      <c r="AD55" s="166"/>
      <c r="AE55" s="166"/>
      <c r="AF55" s="166"/>
      <c r="AG55" s="166"/>
      <c r="AH55" s="166"/>
      <c r="AI55" s="166"/>
      <c r="AJ55" s="170"/>
    </row>
    <row r="56" spans="2:36" ht="12.75">
      <c r="C56" s="162"/>
      <c r="D56" s="36"/>
      <c r="Q56" s="36"/>
      <c r="R56" s="146"/>
      <c r="X56" s="36"/>
      <c r="AC56" s="36"/>
      <c r="AD56" s="146"/>
      <c r="AE56" s="36"/>
    </row>
    <row r="57" spans="2:36" ht="12.75">
      <c r="D57" s="36"/>
      <c r="J57" s="36"/>
      <c r="O57" s="36"/>
      <c r="Q57" s="36"/>
      <c r="R57" s="146"/>
      <c r="X57" s="146"/>
      <c r="Y57" s="146"/>
      <c r="Z57" s="146"/>
      <c r="AA57" s="146"/>
      <c r="AB57" s="146"/>
      <c r="AC57" s="146"/>
      <c r="AD57" s="146"/>
      <c r="AE57" s="36"/>
      <c r="AG57" s="471"/>
    </row>
    <row r="58" spans="2:36" ht="12.75">
      <c r="D58" s="36"/>
      <c r="J58" s="36"/>
      <c r="O58" s="36"/>
      <c r="Q58" s="36"/>
      <c r="R58" s="146"/>
      <c r="X58" s="146"/>
      <c r="Y58" s="146"/>
      <c r="Z58" s="146"/>
      <c r="AA58" s="146"/>
      <c r="AB58" s="146"/>
      <c r="AC58" s="146"/>
      <c r="AD58" s="146"/>
      <c r="AE58" s="36"/>
      <c r="AG58" s="473"/>
    </row>
    <row r="59" spans="2:36" ht="12.75">
      <c r="D59" s="36"/>
      <c r="J59" s="36"/>
      <c r="O59" s="36"/>
      <c r="Q59" s="36"/>
      <c r="R59" s="146"/>
      <c r="X59" s="146"/>
      <c r="Y59" s="146"/>
      <c r="Z59" s="146"/>
      <c r="AA59" s="146"/>
      <c r="AB59" s="146"/>
      <c r="AC59" s="146"/>
      <c r="AD59" s="146"/>
      <c r="AE59" s="36"/>
      <c r="AG59" s="471"/>
    </row>
    <row r="60" spans="2:36" ht="12.75">
      <c r="D60" s="36"/>
      <c r="J60" s="36"/>
      <c r="O60" s="36"/>
      <c r="Q60" s="36"/>
      <c r="R60" s="146"/>
      <c r="X60" s="146"/>
      <c r="Y60" s="146"/>
      <c r="Z60" s="146"/>
      <c r="AA60" s="146"/>
      <c r="AB60" s="146"/>
      <c r="AC60" s="146"/>
      <c r="AD60" s="146"/>
    </row>
    <row r="61" spans="2:36" ht="12.75">
      <c r="D61" s="36"/>
      <c r="J61" s="36"/>
      <c r="O61" s="36"/>
      <c r="Q61" s="36"/>
      <c r="R61" s="146"/>
      <c r="X61" s="146"/>
      <c r="Y61" s="146"/>
      <c r="Z61" s="146"/>
      <c r="AA61" s="146"/>
      <c r="AB61" s="146"/>
      <c r="AC61" s="146"/>
      <c r="AD61" s="146"/>
    </row>
    <row r="62" spans="2:36" ht="12.75">
      <c r="D62" s="36"/>
      <c r="J62" s="36"/>
      <c r="O62" s="36"/>
      <c r="Q62" s="36"/>
      <c r="R62" s="146"/>
      <c r="X62" s="146"/>
      <c r="Y62" s="146"/>
      <c r="Z62" s="146"/>
      <c r="AA62" s="146"/>
      <c r="AB62" s="146"/>
      <c r="AC62" s="146"/>
      <c r="AD62" s="146"/>
    </row>
    <row r="63" spans="2:36" ht="12.75">
      <c r="O63" s="36"/>
      <c r="X63" s="146"/>
      <c r="Y63" s="146"/>
      <c r="Z63" s="146"/>
      <c r="AA63" s="146"/>
      <c r="AB63" s="146"/>
      <c r="AC63" s="146"/>
      <c r="AD63" s="146"/>
    </row>
    <row r="64" spans="2:36" ht="12.75">
      <c r="O64" s="36"/>
      <c r="X64" s="146"/>
      <c r="Y64" s="146"/>
      <c r="Z64" s="146"/>
      <c r="AA64" s="146"/>
      <c r="AB64" s="146"/>
      <c r="AC64" s="146"/>
      <c r="AD64" s="146"/>
    </row>
    <row r="65" spans="15:31" ht="12.75">
      <c r="O65" s="36"/>
      <c r="X65" s="146"/>
      <c r="Y65" s="146"/>
      <c r="Z65" s="146"/>
      <c r="AA65" s="146"/>
      <c r="AB65" s="146"/>
      <c r="AC65" s="146"/>
      <c r="AD65" s="146"/>
      <c r="AE65" s="146"/>
    </row>
    <row r="66" spans="15:31" ht="12.75">
      <c r="O66" s="36"/>
      <c r="X66" s="146"/>
      <c r="Y66" s="146"/>
      <c r="Z66" s="146"/>
      <c r="AA66" s="146"/>
      <c r="AB66" s="146"/>
      <c r="AC66" s="146"/>
      <c r="AD66" s="146"/>
      <c r="AE66" s="146"/>
    </row>
    <row r="67" spans="15:31" ht="12.75">
      <c r="O67" s="36"/>
      <c r="X67" s="146"/>
      <c r="Y67" s="146"/>
      <c r="Z67" s="146"/>
      <c r="AA67" s="146"/>
      <c r="AB67" s="146"/>
      <c r="AC67" s="146"/>
      <c r="AD67" s="146"/>
      <c r="AE67" s="146"/>
    </row>
    <row r="68" spans="15:31" ht="12.75">
      <c r="O68" s="36"/>
      <c r="X68" s="146"/>
      <c r="Y68" s="146"/>
      <c r="Z68" s="146"/>
      <c r="AA68" s="146"/>
      <c r="AB68" s="146"/>
      <c r="AC68" s="146"/>
      <c r="AD68" s="146"/>
      <c r="AE68" s="146"/>
    </row>
    <row r="69" spans="15:31" ht="12.75">
      <c r="O69" s="36"/>
      <c r="X69" s="146"/>
      <c r="Y69" s="146"/>
      <c r="Z69" s="146"/>
      <c r="AA69" s="146"/>
      <c r="AB69" s="146"/>
      <c r="AC69" s="146"/>
      <c r="AD69" s="146"/>
      <c r="AE69" s="146"/>
    </row>
    <row r="70" spans="15:31" ht="12.75">
      <c r="O70" s="36"/>
      <c r="X70" s="146"/>
      <c r="Y70" s="146"/>
      <c r="Z70" s="146"/>
      <c r="AA70" s="146"/>
      <c r="AB70" s="146"/>
      <c r="AC70" s="146"/>
      <c r="AD70" s="146"/>
      <c r="AE70" s="146"/>
    </row>
    <row r="71" spans="15:31" ht="12.75">
      <c r="O71" s="36"/>
      <c r="X71" s="146"/>
      <c r="Y71" s="146"/>
      <c r="Z71" s="146"/>
      <c r="AA71" s="146"/>
      <c r="AB71" s="146"/>
      <c r="AC71" s="146"/>
      <c r="AD71" s="146"/>
      <c r="AE71" s="146"/>
    </row>
    <row r="72" spans="15:31" ht="12.75">
      <c r="O72" s="36"/>
      <c r="X72" s="146"/>
      <c r="Y72" s="146"/>
      <c r="Z72" s="146"/>
      <c r="AA72" s="146"/>
      <c r="AB72" s="146"/>
      <c r="AC72" s="146"/>
      <c r="AD72" s="146"/>
      <c r="AE72" s="146"/>
    </row>
    <row r="73" spans="15:31" ht="12.75">
      <c r="O73" s="36"/>
      <c r="AA73" s="38"/>
      <c r="AC73" s="36"/>
      <c r="AE73" s="146"/>
    </row>
    <row r="74" spans="15:31" ht="12.75">
      <c r="O74" s="36"/>
      <c r="AA74" s="38"/>
      <c r="AE74" s="146"/>
    </row>
    <row r="75" spans="15:31" ht="12.75">
      <c r="O75" s="36"/>
      <c r="AA75" s="38"/>
      <c r="AC75" s="36"/>
      <c r="AE75" s="146"/>
    </row>
    <row r="76" spans="15:31" ht="12.75">
      <c r="O76" s="36"/>
      <c r="AC76" s="36"/>
      <c r="AE76" s="146"/>
    </row>
    <row r="77" spans="15:31" ht="12.75">
      <c r="O77" s="36"/>
      <c r="AC77" s="36"/>
      <c r="AE77" s="146"/>
    </row>
    <row r="78" spans="15:31" ht="12.75">
      <c r="O78" s="36"/>
      <c r="AC78" s="36"/>
      <c r="AD78" s="171"/>
      <c r="AE78" s="146"/>
    </row>
    <row r="79" spans="15:31" ht="12.75">
      <c r="O79" s="36"/>
      <c r="AC79" s="36"/>
      <c r="AD79" s="171"/>
      <c r="AE79" s="146"/>
    </row>
    <row r="80" spans="15:31" ht="12.75">
      <c r="O80" s="36"/>
      <c r="AC80" s="36"/>
      <c r="AD80" s="171"/>
      <c r="AE80" s="146"/>
    </row>
    <row r="81" spans="15:31" ht="12.75">
      <c r="O81" s="36"/>
      <c r="AC81" s="36"/>
      <c r="AD81" s="171"/>
      <c r="AE81" s="171"/>
    </row>
    <row r="82" spans="15:31" ht="12.75">
      <c r="O82" s="36"/>
      <c r="AC82" s="36"/>
      <c r="AD82" s="171"/>
    </row>
    <row r="83" spans="15:31" ht="12.75">
      <c r="O83" s="36"/>
      <c r="AC83" s="36"/>
      <c r="AD83" s="171"/>
    </row>
    <row r="84" spans="15:31" ht="12.75">
      <c r="O84" s="36"/>
      <c r="AC84" s="36"/>
      <c r="AD84" s="171"/>
    </row>
    <row r="85" spans="15:31" ht="12.75">
      <c r="O85" s="36"/>
      <c r="AC85" s="36"/>
      <c r="AD85" s="171"/>
    </row>
    <row r="86" spans="15:31" ht="12.75">
      <c r="O86" s="36"/>
      <c r="AC86" s="36"/>
      <c r="AD86" s="171"/>
    </row>
    <row r="87" spans="15:31" ht="12.75">
      <c r="O87" s="36"/>
      <c r="AC87" s="36"/>
      <c r="AD87" s="171"/>
    </row>
    <row r="88" spans="15:31" ht="12.75">
      <c r="O88" s="36"/>
      <c r="AC88" s="36"/>
      <c r="AD88" s="171"/>
    </row>
    <row r="89" spans="15:31" ht="12.75">
      <c r="O89" s="36"/>
      <c r="AC89" s="36"/>
      <c r="AD89" s="171"/>
    </row>
    <row r="90" spans="15:31" ht="12.75">
      <c r="O90" s="36"/>
      <c r="AC90" s="36"/>
      <c r="AD90" s="171"/>
    </row>
    <row r="91" spans="15:31" ht="12.75">
      <c r="O91" s="36"/>
      <c r="AC91" s="36"/>
      <c r="AD91" s="171"/>
    </row>
    <row r="92" spans="15:31" ht="12.75">
      <c r="O92" s="36"/>
      <c r="AC92" s="36"/>
      <c r="AD92" s="171"/>
    </row>
    <row r="93" spans="15:31" ht="12.75">
      <c r="O93" s="36"/>
      <c r="AC93" s="36"/>
      <c r="AD93" s="171"/>
    </row>
    <row r="94" spans="15:31" ht="12.75">
      <c r="O94" s="36"/>
      <c r="AC94" s="36"/>
      <c r="AD94" s="171"/>
    </row>
    <row r="95" spans="15:31">
      <c r="O95" s="36"/>
      <c r="AC95" s="36"/>
    </row>
    <row r="96" spans="15:31">
      <c r="O96" s="36"/>
      <c r="AC96" s="36"/>
    </row>
    <row r="97" spans="15:29">
      <c r="O97" s="36"/>
      <c r="AC97" s="36"/>
    </row>
    <row r="98" spans="15:29">
      <c r="O98" s="36"/>
      <c r="AC98" s="36"/>
    </row>
    <row r="99" spans="15:29">
      <c r="O99" s="36"/>
      <c r="AC99" s="36"/>
    </row>
    <row r="100" spans="15:29">
      <c r="O100" s="36"/>
      <c r="AC100" s="36"/>
    </row>
    <row r="101" spans="15:29">
      <c r="O101" s="36"/>
      <c r="AC101" s="36"/>
    </row>
    <row r="102" spans="15:29">
      <c r="O102" s="36"/>
      <c r="AC102" s="36"/>
    </row>
    <row r="103" spans="15:29">
      <c r="O103" s="36"/>
      <c r="AC103" s="36"/>
    </row>
    <row r="104" spans="15:29">
      <c r="O104" s="36"/>
      <c r="AC104" s="36"/>
    </row>
    <row r="105" spans="15:29">
      <c r="O105" s="36"/>
      <c r="AC105" s="36"/>
    </row>
    <row r="106" spans="15:29">
      <c r="O106" s="36"/>
      <c r="AC106" s="36"/>
    </row>
    <row r="107" spans="15:29">
      <c r="O107" s="36"/>
      <c r="AC107" s="36"/>
    </row>
    <row r="108" spans="15:29">
      <c r="O108" s="36"/>
      <c r="AC108" s="36"/>
    </row>
    <row r="109" spans="15:29">
      <c r="O109" s="36"/>
      <c r="AC109" s="36"/>
    </row>
    <row r="110" spans="15:29">
      <c r="O110" s="36"/>
      <c r="AC110" s="36"/>
    </row>
    <row r="111" spans="15:29">
      <c r="O111" s="36"/>
      <c r="AC111" s="36"/>
    </row>
    <row r="112" spans="15:29">
      <c r="O112" s="36"/>
      <c r="AC112" s="36"/>
    </row>
    <row r="113" spans="15:29">
      <c r="O113" s="36"/>
      <c r="AC113" s="36"/>
    </row>
    <row r="114" spans="15:29">
      <c r="O114" s="36"/>
      <c r="AC114" s="36"/>
    </row>
    <row r="115" spans="15:29">
      <c r="O115" s="36"/>
      <c r="AC115" s="36"/>
    </row>
    <row r="116" spans="15:29">
      <c r="O116" s="36"/>
      <c r="AC116" s="36"/>
    </row>
    <row r="117" spans="15:29">
      <c r="O117" s="36"/>
      <c r="AC117" s="36"/>
    </row>
    <row r="118" spans="15:29">
      <c r="O118" s="36"/>
      <c r="AC118" s="36"/>
    </row>
    <row r="119" spans="15:29">
      <c r="O119" s="36"/>
      <c r="AC119" s="36"/>
    </row>
    <row r="120" spans="15:29">
      <c r="O120" s="36"/>
      <c r="AC120" s="36"/>
    </row>
    <row r="121" spans="15:29">
      <c r="O121" s="36"/>
      <c r="AC121" s="36"/>
    </row>
    <row r="122" spans="15:29">
      <c r="O122" s="36"/>
      <c r="AC122" s="36"/>
    </row>
    <row r="123" spans="15:29">
      <c r="O123" s="36"/>
      <c r="AC123" s="36"/>
    </row>
    <row r="124" spans="15:29">
      <c r="O124" s="36"/>
      <c r="AC124" s="36"/>
    </row>
    <row r="125" spans="15:29">
      <c r="O125" s="36"/>
      <c r="AC125" s="36"/>
    </row>
    <row r="126" spans="15:29">
      <c r="O126" s="36"/>
      <c r="AC126" s="36"/>
    </row>
    <row r="127" spans="15:29">
      <c r="O127" s="36"/>
      <c r="AC127" s="36"/>
    </row>
    <row r="128" spans="15:29">
      <c r="O128" s="36"/>
      <c r="AC128" s="36"/>
    </row>
    <row r="129" spans="15:29">
      <c r="O129" s="36"/>
      <c r="AC129" s="36"/>
    </row>
    <row r="130" spans="15:29">
      <c r="O130" s="36"/>
      <c r="AC130" s="36"/>
    </row>
    <row r="131" spans="15:29">
      <c r="O131" s="36"/>
      <c r="AC131" s="36"/>
    </row>
    <row r="132" spans="15:29">
      <c r="O132" s="36"/>
      <c r="AC132" s="36"/>
    </row>
    <row r="133" spans="15:29">
      <c r="O133" s="36"/>
      <c r="AC133" s="36"/>
    </row>
    <row r="134" spans="15:29">
      <c r="O134" s="36"/>
      <c r="AC134" s="36"/>
    </row>
    <row r="135" spans="15:29">
      <c r="O135" s="36"/>
      <c r="AC135" s="36"/>
    </row>
    <row r="136" spans="15:29">
      <c r="O136" s="36"/>
      <c r="AC136" s="36"/>
    </row>
    <row r="137" spans="15:29">
      <c r="O137" s="36"/>
      <c r="AC137" s="36"/>
    </row>
    <row r="138" spans="15:29">
      <c r="O138" s="36"/>
      <c r="AC138" s="36"/>
    </row>
    <row r="139" spans="15:29">
      <c r="O139" s="36"/>
      <c r="AC139" s="36"/>
    </row>
    <row r="140" spans="15:29">
      <c r="O140" s="36"/>
      <c r="AC140" s="36"/>
    </row>
    <row r="141" spans="15:29">
      <c r="O141" s="36"/>
      <c r="AC141" s="36"/>
    </row>
    <row r="142" spans="15:29">
      <c r="O142" s="36"/>
      <c r="AC142" s="36"/>
    </row>
    <row r="143" spans="15:29">
      <c r="O143" s="36"/>
      <c r="AC143" s="36"/>
    </row>
    <row r="144" spans="15:29">
      <c r="O144" s="36"/>
      <c r="AC144" s="36"/>
    </row>
    <row r="145" spans="15:29">
      <c r="O145" s="36"/>
      <c r="AC145" s="36"/>
    </row>
    <row r="146" spans="15:29">
      <c r="O146" s="36"/>
      <c r="AC146" s="36"/>
    </row>
    <row r="147" spans="15:29">
      <c r="O147" s="36"/>
      <c r="AC147" s="36"/>
    </row>
    <row r="148" spans="15:29">
      <c r="O148" s="36"/>
      <c r="AC148" s="36"/>
    </row>
    <row r="149" spans="15:29">
      <c r="O149" s="36"/>
      <c r="AC149" s="36"/>
    </row>
    <row r="150" spans="15:29">
      <c r="O150" s="36"/>
      <c r="AC150" s="36"/>
    </row>
    <row r="151" spans="15:29">
      <c r="O151" s="36"/>
      <c r="AC151" s="36"/>
    </row>
    <row r="152" spans="15:29">
      <c r="O152" s="36"/>
      <c r="AC152" s="36"/>
    </row>
    <row r="153" spans="15:29">
      <c r="O153" s="36"/>
      <c r="AC153" s="36"/>
    </row>
    <row r="154" spans="15:29">
      <c r="O154" s="36"/>
      <c r="AC154" s="36"/>
    </row>
    <row r="155" spans="15:29">
      <c r="O155" s="36"/>
      <c r="AC155" s="36"/>
    </row>
    <row r="156" spans="15:29">
      <c r="O156" s="36"/>
      <c r="AC156" s="36"/>
    </row>
    <row r="157" spans="15:29">
      <c r="O157" s="36"/>
      <c r="AC157" s="36"/>
    </row>
    <row r="158" spans="15:29">
      <c r="O158" s="36"/>
      <c r="AC158" s="36"/>
    </row>
    <row r="159" spans="15:29">
      <c r="O159" s="36"/>
      <c r="AC159" s="36"/>
    </row>
    <row r="160" spans="15:29">
      <c r="O160" s="36"/>
      <c r="AC160" s="36"/>
    </row>
    <row r="161" spans="15:29">
      <c r="O161" s="36"/>
      <c r="AC161" s="36"/>
    </row>
    <row r="162" spans="15:29">
      <c r="O162" s="36"/>
      <c r="AC162" s="36"/>
    </row>
    <row r="163" spans="15:29">
      <c r="O163" s="36"/>
      <c r="AC163" s="36"/>
    </row>
    <row r="164" spans="15:29">
      <c r="O164" s="36"/>
      <c r="AC164" s="36"/>
    </row>
    <row r="165" spans="15:29">
      <c r="O165" s="36"/>
      <c r="AC165" s="36"/>
    </row>
    <row r="166" spans="15:29">
      <c r="O166" s="36"/>
      <c r="AC166" s="36"/>
    </row>
    <row r="167" spans="15:29">
      <c r="O167" s="36"/>
      <c r="AC167" s="36"/>
    </row>
    <row r="168" spans="15:29">
      <c r="O168" s="36"/>
      <c r="AC168" s="36"/>
    </row>
    <row r="169" spans="15:29">
      <c r="O169" s="36"/>
      <c r="AC169" s="36"/>
    </row>
    <row r="170" spans="15:29">
      <c r="O170" s="36"/>
      <c r="AC170" s="36"/>
    </row>
    <row r="171" spans="15:29">
      <c r="O171" s="36"/>
      <c r="AC171" s="36"/>
    </row>
    <row r="172" spans="15:29">
      <c r="O172" s="36"/>
      <c r="AC172" s="36"/>
    </row>
    <row r="173" spans="15:29">
      <c r="O173" s="36"/>
      <c r="AC173" s="36"/>
    </row>
    <row r="174" spans="15:29">
      <c r="O174" s="36"/>
      <c r="AC174" s="36"/>
    </row>
    <row r="175" spans="15:29">
      <c r="O175" s="36"/>
      <c r="AC175" s="36"/>
    </row>
    <row r="176" spans="15:29">
      <c r="O176" s="36"/>
      <c r="AC176" s="36"/>
    </row>
    <row r="177" spans="15:29">
      <c r="O177" s="36"/>
      <c r="AC177" s="36"/>
    </row>
    <row r="178" spans="15:29">
      <c r="O178" s="36"/>
      <c r="AC178" s="36"/>
    </row>
    <row r="179" spans="15:29">
      <c r="O179" s="36"/>
      <c r="AC179" s="36"/>
    </row>
    <row r="180" spans="15:29">
      <c r="O180" s="36"/>
      <c r="AC180" s="36"/>
    </row>
    <row r="181" spans="15:29">
      <c r="O181" s="36"/>
      <c r="AC181" s="36"/>
    </row>
    <row r="182" spans="15:29">
      <c r="O182" s="36"/>
      <c r="AC182" s="36"/>
    </row>
    <row r="183" spans="15:29">
      <c r="O183" s="36"/>
      <c r="AC183" s="36"/>
    </row>
    <row r="184" spans="15:29">
      <c r="O184" s="36"/>
      <c r="AC184" s="36"/>
    </row>
    <row r="185" spans="15:29">
      <c r="O185" s="36"/>
      <c r="AC185" s="36"/>
    </row>
    <row r="186" spans="15:29">
      <c r="O186" s="36"/>
      <c r="AC186" s="36"/>
    </row>
    <row r="187" spans="15:29">
      <c r="O187" s="36"/>
      <c r="AC187" s="36"/>
    </row>
    <row r="188" spans="15:29">
      <c r="O188" s="36"/>
      <c r="AC188" s="36"/>
    </row>
    <row r="189" spans="15:29">
      <c r="O189" s="36"/>
      <c r="AC189" s="36"/>
    </row>
    <row r="190" spans="15:29">
      <c r="O190" s="36"/>
      <c r="AC190" s="36"/>
    </row>
    <row r="191" spans="15:29">
      <c r="O191" s="36"/>
      <c r="AC191" s="36"/>
    </row>
    <row r="192" spans="15:29">
      <c r="O192" s="36"/>
      <c r="AC192" s="36"/>
    </row>
    <row r="193" spans="15:29">
      <c r="O193" s="36"/>
      <c r="AC193" s="36"/>
    </row>
    <row r="194" spans="15:29">
      <c r="O194" s="36"/>
      <c r="AC194" s="36"/>
    </row>
    <row r="195" spans="15:29">
      <c r="O195" s="36"/>
      <c r="AC195" s="36"/>
    </row>
    <row r="196" spans="15:29">
      <c r="O196" s="36"/>
      <c r="AC196" s="36"/>
    </row>
    <row r="197" spans="15:29">
      <c r="O197" s="36"/>
      <c r="AC197" s="36"/>
    </row>
    <row r="198" spans="15:29">
      <c r="O198" s="36"/>
      <c r="AC198" s="36"/>
    </row>
    <row r="199" spans="15:29">
      <c r="O199" s="36"/>
      <c r="AC199" s="36"/>
    </row>
    <row r="200" spans="15:29">
      <c r="O200" s="36"/>
      <c r="AC200" s="36"/>
    </row>
    <row r="201" spans="15:29">
      <c r="O201" s="36"/>
      <c r="AC201" s="36"/>
    </row>
    <row r="202" spans="15:29">
      <c r="O202" s="36"/>
      <c r="AC202" s="36"/>
    </row>
    <row r="203" spans="15:29">
      <c r="O203" s="36"/>
      <c r="AC203" s="36"/>
    </row>
    <row r="204" spans="15:29">
      <c r="O204" s="36"/>
      <c r="AC204" s="36"/>
    </row>
    <row r="205" spans="15:29">
      <c r="O205" s="36"/>
      <c r="AC205" s="36"/>
    </row>
    <row r="206" spans="15:29">
      <c r="O206" s="36"/>
      <c r="AC206" s="36"/>
    </row>
    <row r="207" spans="15:29">
      <c r="O207" s="36"/>
      <c r="AC207" s="36"/>
    </row>
    <row r="208" spans="15:29">
      <c r="O208" s="36"/>
      <c r="AC208" s="36"/>
    </row>
    <row r="209" spans="15:29">
      <c r="O209" s="36"/>
      <c r="AC209" s="36"/>
    </row>
    <row r="210" spans="15:29">
      <c r="O210" s="36"/>
      <c r="AC210" s="36"/>
    </row>
    <row r="211" spans="15:29">
      <c r="O211" s="36"/>
      <c r="AC211" s="36"/>
    </row>
    <row r="212" spans="15:29">
      <c r="O212" s="36"/>
      <c r="AC212" s="36"/>
    </row>
    <row r="213" spans="15:29">
      <c r="O213" s="36"/>
      <c r="AC213" s="36"/>
    </row>
    <row r="214" spans="15:29">
      <c r="O214" s="36"/>
      <c r="AC214" s="36"/>
    </row>
    <row r="215" spans="15:29">
      <c r="O215" s="36"/>
      <c r="AC215" s="36"/>
    </row>
    <row r="216" spans="15:29">
      <c r="O216" s="36"/>
      <c r="AC216" s="36"/>
    </row>
    <row r="217" spans="15:29">
      <c r="O217" s="36"/>
      <c r="AC217" s="36"/>
    </row>
    <row r="218" spans="15:29">
      <c r="O218" s="36"/>
      <c r="AC218" s="36"/>
    </row>
    <row r="219" spans="15:29">
      <c r="O219" s="36"/>
      <c r="AC219" s="36"/>
    </row>
    <row r="220" spans="15:29">
      <c r="O220" s="36"/>
      <c r="AC220" s="36"/>
    </row>
    <row r="221" spans="15:29">
      <c r="O221" s="36"/>
      <c r="AC221" s="36"/>
    </row>
    <row r="222" spans="15:29">
      <c r="O222" s="36"/>
      <c r="AC222" s="36"/>
    </row>
    <row r="223" spans="15:29">
      <c r="O223" s="36"/>
      <c r="AC223" s="36"/>
    </row>
    <row r="224" spans="15:29">
      <c r="O224" s="36"/>
      <c r="AC224" s="36"/>
    </row>
    <row r="225" spans="15:29">
      <c r="O225" s="36"/>
      <c r="AC225" s="36"/>
    </row>
    <row r="226" spans="15:29">
      <c r="O226" s="36"/>
      <c r="AC226" s="36"/>
    </row>
    <row r="227" spans="15:29">
      <c r="O227" s="36"/>
      <c r="AC227" s="36"/>
    </row>
    <row r="228" spans="15:29">
      <c r="O228" s="36"/>
      <c r="AC228" s="36"/>
    </row>
    <row r="229" spans="15:29">
      <c r="O229" s="36"/>
      <c r="AC229" s="36"/>
    </row>
    <row r="230" spans="15:29">
      <c r="O230" s="36"/>
      <c r="AC230" s="36"/>
    </row>
    <row r="231" spans="15:29">
      <c r="O231" s="36"/>
      <c r="AC231" s="36"/>
    </row>
    <row r="232" spans="15:29">
      <c r="O232" s="36"/>
      <c r="AC232" s="36"/>
    </row>
    <row r="233" spans="15:29">
      <c r="O233" s="36"/>
      <c r="AC233" s="36"/>
    </row>
    <row r="234" spans="15:29">
      <c r="O234" s="36"/>
      <c r="AC234" s="36"/>
    </row>
    <row r="235" spans="15:29">
      <c r="O235" s="36"/>
      <c r="AC235" s="36"/>
    </row>
    <row r="236" spans="15:29">
      <c r="O236" s="36"/>
      <c r="AC236" s="36"/>
    </row>
    <row r="237" spans="15:29">
      <c r="O237" s="36"/>
      <c r="AC237" s="36"/>
    </row>
    <row r="238" spans="15:29">
      <c r="O238" s="36"/>
      <c r="AC238" s="36"/>
    </row>
    <row r="239" spans="15:29">
      <c r="O239" s="36"/>
      <c r="AC239" s="36"/>
    </row>
    <row r="240" spans="15:29">
      <c r="O240" s="36"/>
      <c r="AC240" s="36"/>
    </row>
    <row r="241" spans="15:29">
      <c r="O241" s="36"/>
      <c r="AC241" s="36"/>
    </row>
    <row r="242" spans="15:29">
      <c r="O242" s="36"/>
      <c r="AC242" s="36"/>
    </row>
    <row r="243" spans="15:29">
      <c r="O243" s="36"/>
      <c r="AC243" s="36"/>
    </row>
    <row r="244" spans="15:29">
      <c r="O244" s="36"/>
      <c r="AC244" s="36"/>
    </row>
    <row r="245" spans="15:29">
      <c r="O245" s="36"/>
      <c r="AC245" s="36"/>
    </row>
    <row r="246" spans="15:29">
      <c r="O246" s="36"/>
      <c r="AC246" s="36"/>
    </row>
    <row r="247" spans="15:29">
      <c r="O247" s="36"/>
      <c r="AC247" s="36"/>
    </row>
    <row r="248" spans="15:29">
      <c r="O248" s="36"/>
      <c r="AC248" s="36"/>
    </row>
    <row r="249" spans="15:29">
      <c r="O249" s="36"/>
      <c r="AC249" s="36"/>
    </row>
    <row r="250" spans="15:29">
      <c r="O250" s="36"/>
      <c r="AC250" s="36"/>
    </row>
    <row r="251" spans="15:29">
      <c r="O251" s="36"/>
      <c r="AC251" s="36"/>
    </row>
    <row r="252" spans="15:29">
      <c r="O252" s="36"/>
      <c r="AC252" s="36"/>
    </row>
    <row r="253" spans="15:29">
      <c r="O253" s="36"/>
      <c r="AC253" s="36"/>
    </row>
    <row r="254" spans="15:29">
      <c r="O254" s="36"/>
      <c r="AC254" s="36"/>
    </row>
    <row r="255" spans="15:29">
      <c r="O255" s="36"/>
      <c r="AC255" s="36"/>
    </row>
    <row r="256" spans="15:29">
      <c r="O256" s="36"/>
      <c r="AC256" s="36"/>
    </row>
    <row r="257" spans="15:29">
      <c r="O257" s="36"/>
      <c r="AC257" s="36"/>
    </row>
    <row r="258" spans="15:29">
      <c r="O258" s="36"/>
      <c r="AC258" s="36"/>
    </row>
    <row r="259" spans="15:29">
      <c r="O259" s="36"/>
      <c r="AC259" s="36"/>
    </row>
    <row r="260" spans="15:29">
      <c r="O260" s="36"/>
      <c r="AC260" s="36"/>
    </row>
    <row r="261" spans="15:29">
      <c r="O261" s="36"/>
      <c r="AC261" s="36"/>
    </row>
    <row r="262" spans="15:29">
      <c r="O262" s="36"/>
      <c r="AC262" s="36"/>
    </row>
    <row r="263" spans="15:29">
      <c r="O263" s="36"/>
      <c r="AC263" s="36"/>
    </row>
    <row r="264" spans="15:29">
      <c r="O264" s="36"/>
      <c r="AC264" s="36"/>
    </row>
    <row r="265" spans="15:29">
      <c r="O265" s="36"/>
      <c r="AC265" s="36"/>
    </row>
    <row r="266" spans="15:29">
      <c r="O266" s="36"/>
      <c r="AC266" s="36"/>
    </row>
    <row r="267" spans="15:29">
      <c r="O267" s="36"/>
      <c r="AC267" s="36"/>
    </row>
    <row r="268" spans="15:29">
      <c r="O268" s="36"/>
      <c r="AC268" s="36"/>
    </row>
    <row r="269" spans="15:29">
      <c r="O269" s="36"/>
      <c r="AC269" s="36"/>
    </row>
    <row r="270" spans="15:29">
      <c r="O270" s="36"/>
      <c r="AC270" s="36"/>
    </row>
    <row r="271" spans="15:29">
      <c r="O271" s="36"/>
      <c r="AC271" s="36"/>
    </row>
    <row r="272" spans="15:29">
      <c r="O272" s="36"/>
      <c r="AC272" s="36"/>
    </row>
    <row r="273" spans="15:29">
      <c r="O273" s="36"/>
      <c r="AC273" s="36"/>
    </row>
    <row r="274" spans="15:29">
      <c r="O274" s="36"/>
      <c r="AC274" s="36"/>
    </row>
    <row r="275" spans="15:29">
      <c r="O275" s="36"/>
      <c r="AC275" s="36"/>
    </row>
    <row r="276" spans="15:29">
      <c r="O276" s="36"/>
      <c r="AC276" s="36"/>
    </row>
    <row r="277" spans="15:29">
      <c r="O277" s="36"/>
      <c r="AC277" s="36"/>
    </row>
    <row r="278" spans="15:29">
      <c r="O278" s="36"/>
      <c r="AC278" s="36"/>
    </row>
    <row r="279" spans="15:29">
      <c r="O279" s="36"/>
      <c r="AC279" s="36"/>
    </row>
    <row r="280" spans="15:29">
      <c r="O280" s="36"/>
      <c r="AC280" s="36"/>
    </row>
    <row r="281" spans="15:29">
      <c r="O281" s="36"/>
      <c r="AC281" s="36"/>
    </row>
    <row r="282" spans="15:29">
      <c r="O282" s="36"/>
      <c r="AC282" s="36"/>
    </row>
    <row r="283" spans="15:29">
      <c r="O283" s="36"/>
      <c r="AC283" s="36"/>
    </row>
    <row r="284" spans="15:29">
      <c r="O284" s="36"/>
      <c r="AC284" s="36"/>
    </row>
    <row r="285" spans="15:29">
      <c r="O285" s="36"/>
      <c r="AC285" s="36"/>
    </row>
    <row r="286" spans="15:29">
      <c r="O286" s="36"/>
      <c r="AC286" s="36"/>
    </row>
    <row r="287" spans="15:29">
      <c r="O287" s="36"/>
      <c r="AC287" s="36"/>
    </row>
    <row r="288" spans="15:29">
      <c r="O288" s="36"/>
      <c r="AC288" s="36"/>
    </row>
    <row r="289" spans="15:29">
      <c r="O289" s="36"/>
      <c r="AC289" s="36"/>
    </row>
    <row r="290" spans="15:29">
      <c r="O290" s="36"/>
      <c r="AC290" s="36"/>
    </row>
    <row r="291" spans="15:29">
      <c r="O291" s="36"/>
      <c r="AC291" s="36"/>
    </row>
    <row r="292" spans="15:29">
      <c r="O292" s="36"/>
      <c r="AC292" s="36"/>
    </row>
    <row r="293" spans="15:29">
      <c r="O293" s="36"/>
      <c r="AC293" s="36"/>
    </row>
    <row r="294" spans="15:29">
      <c r="O294" s="36"/>
      <c r="AC294" s="36"/>
    </row>
    <row r="295" spans="15:29">
      <c r="O295" s="36"/>
      <c r="AC295" s="36"/>
    </row>
    <row r="296" spans="15:29">
      <c r="O296" s="36"/>
      <c r="AC296" s="36"/>
    </row>
    <row r="297" spans="15:29">
      <c r="O297" s="36"/>
      <c r="AC297" s="36"/>
    </row>
    <row r="298" spans="15:29">
      <c r="O298" s="36"/>
      <c r="AC298" s="36"/>
    </row>
    <row r="299" spans="15:29">
      <c r="O299" s="36"/>
      <c r="AC299" s="36"/>
    </row>
    <row r="300" spans="15:29">
      <c r="O300" s="36"/>
      <c r="AC300" s="36"/>
    </row>
    <row r="301" spans="15:29">
      <c r="O301" s="36"/>
      <c r="AC301" s="36"/>
    </row>
    <row r="302" spans="15:29">
      <c r="O302" s="36"/>
      <c r="AC302" s="36"/>
    </row>
    <row r="303" spans="15:29">
      <c r="O303" s="36"/>
      <c r="AC303" s="36"/>
    </row>
    <row r="304" spans="15:29">
      <c r="O304" s="36"/>
      <c r="AC304" s="36"/>
    </row>
    <row r="305" spans="15:29">
      <c r="O305" s="36"/>
      <c r="AC305" s="36"/>
    </row>
    <row r="306" spans="15:29">
      <c r="O306" s="36"/>
      <c r="AC306" s="36"/>
    </row>
    <row r="307" spans="15:29">
      <c r="O307" s="36"/>
      <c r="AC307" s="36"/>
    </row>
    <row r="308" spans="15:29">
      <c r="O308" s="36"/>
      <c r="AC308" s="36"/>
    </row>
    <row r="309" spans="15:29">
      <c r="O309" s="36"/>
      <c r="AC309" s="36"/>
    </row>
    <row r="310" spans="15:29">
      <c r="O310" s="36"/>
      <c r="AC310" s="36"/>
    </row>
    <row r="311" spans="15:29">
      <c r="O311" s="36"/>
      <c r="AC311" s="36"/>
    </row>
    <row r="312" spans="15:29">
      <c r="O312" s="36"/>
      <c r="AC312" s="36"/>
    </row>
    <row r="313" spans="15:29">
      <c r="O313" s="36"/>
      <c r="AC313" s="36"/>
    </row>
    <row r="314" spans="15:29">
      <c r="O314" s="36"/>
      <c r="AC314" s="36"/>
    </row>
    <row r="315" spans="15:29">
      <c r="O315" s="36"/>
      <c r="AC315" s="36"/>
    </row>
    <row r="316" spans="15:29">
      <c r="O316" s="36"/>
      <c r="AC316" s="36"/>
    </row>
    <row r="317" spans="15:29">
      <c r="O317" s="36"/>
      <c r="AC317" s="36"/>
    </row>
    <row r="318" spans="15:29">
      <c r="O318" s="36"/>
      <c r="AC318" s="36"/>
    </row>
    <row r="319" spans="15:29">
      <c r="O319" s="36"/>
      <c r="AC319" s="36"/>
    </row>
    <row r="320" spans="15:29">
      <c r="O320" s="36"/>
      <c r="AC320" s="36"/>
    </row>
    <row r="321" spans="15:29">
      <c r="O321" s="36"/>
      <c r="AC321" s="36"/>
    </row>
    <row r="322" spans="15:29">
      <c r="O322" s="36"/>
      <c r="AC322" s="36"/>
    </row>
    <row r="323" spans="15:29">
      <c r="O323" s="36"/>
      <c r="AC323" s="36"/>
    </row>
    <row r="324" spans="15:29">
      <c r="O324" s="36"/>
      <c r="AC324" s="36"/>
    </row>
    <row r="325" spans="15:29">
      <c r="O325" s="36"/>
      <c r="AC325" s="36"/>
    </row>
    <row r="326" spans="15:29">
      <c r="O326" s="36"/>
      <c r="AC326" s="36"/>
    </row>
    <row r="327" spans="15:29">
      <c r="O327" s="36"/>
      <c r="AC327" s="36"/>
    </row>
    <row r="328" spans="15:29">
      <c r="O328" s="36"/>
      <c r="AC328" s="36"/>
    </row>
    <row r="329" spans="15:29">
      <c r="O329" s="36"/>
      <c r="AC329" s="36"/>
    </row>
    <row r="330" spans="15:29">
      <c r="O330" s="36"/>
      <c r="AC330" s="36"/>
    </row>
    <row r="331" spans="15:29">
      <c r="O331" s="36"/>
      <c r="AC331" s="36"/>
    </row>
    <row r="332" spans="15:29">
      <c r="O332" s="36"/>
      <c r="AC332" s="36"/>
    </row>
    <row r="333" spans="15:29">
      <c r="O333" s="36"/>
      <c r="AC333" s="36"/>
    </row>
    <row r="334" spans="15:29">
      <c r="O334" s="36"/>
      <c r="AC334" s="36"/>
    </row>
    <row r="335" spans="15:29">
      <c r="O335" s="36"/>
      <c r="AC335" s="36"/>
    </row>
    <row r="336" spans="15:29">
      <c r="O336" s="36"/>
      <c r="AC336" s="36"/>
    </row>
    <row r="337" spans="15:29">
      <c r="O337" s="36"/>
      <c r="AC337" s="36"/>
    </row>
    <row r="338" spans="15:29">
      <c r="O338" s="36"/>
      <c r="AC338" s="36"/>
    </row>
    <row r="339" spans="15:29">
      <c r="O339" s="36"/>
      <c r="AC339" s="36"/>
    </row>
    <row r="340" spans="15:29">
      <c r="O340" s="36"/>
      <c r="AC340" s="36"/>
    </row>
    <row r="341" spans="15:29">
      <c r="O341" s="36"/>
      <c r="AC341" s="36"/>
    </row>
    <row r="342" spans="15:29">
      <c r="O342" s="36"/>
      <c r="AC342" s="36"/>
    </row>
    <row r="343" spans="15:29">
      <c r="O343" s="36"/>
      <c r="AC343" s="36"/>
    </row>
    <row r="344" spans="15:29">
      <c r="O344" s="36"/>
      <c r="AC344" s="36"/>
    </row>
    <row r="345" spans="15:29">
      <c r="O345" s="36"/>
      <c r="AC345" s="36"/>
    </row>
    <row r="346" spans="15:29">
      <c r="O346" s="36"/>
      <c r="AC346" s="36"/>
    </row>
    <row r="347" spans="15:29">
      <c r="O347" s="36"/>
      <c r="AC347" s="36"/>
    </row>
    <row r="348" spans="15:29">
      <c r="O348" s="36"/>
      <c r="AC348" s="36"/>
    </row>
    <row r="349" spans="15:29">
      <c r="O349" s="36"/>
      <c r="AC349" s="36"/>
    </row>
    <row r="350" spans="15:29">
      <c r="O350" s="36"/>
      <c r="AC350" s="36"/>
    </row>
    <row r="351" spans="15:29">
      <c r="O351" s="36"/>
      <c r="AC351" s="36"/>
    </row>
    <row r="352" spans="15:29">
      <c r="O352" s="36"/>
      <c r="AC352" s="36"/>
    </row>
    <row r="353" spans="15:29">
      <c r="O353" s="36"/>
      <c r="AC353" s="36"/>
    </row>
    <row r="354" spans="15:29">
      <c r="O354" s="36"/>
      <c r="AC354" s="36"/>
    </row>
    <row r="355" spans="15:29">
      <c r="O355" s="36"/>
      <c r="AC355" s="36"/>
    </row>
    <row r="356" spans="15:29">
      <c r="O356" s="36"/>
      <c r="AC356" s="36"/>
    </row>
    <row r="357" spans="15:29">
      <c r="O357" s="36"/>
      <c r="AC357" s="36"/>
    </row>
    <row r="358" spans="15:29">
      <c r="O358" s="36"/>
      <c r="AC358" s="36"/>
    </row>
    <row r="359" spans="15:29">
      <c r="O359" s="36"/>
      <c r="AC359" s="36"/>
    </row>
    <row r="360" spans="15:29">
      <c r="O360" s="36"/>
      <c r="AC360" s="36"/>
    </row>
    <row r="361" spans="15:29">
      <c r="O361" s="36"/>
      <c r="AC361" s="36"/>
    </row>
    <row r="362" spans="15:29">
      <c r="O362" s="36"/>
      <c r="AC362" s="36"/>
    </row>
    <row r="363" spans="15:29">
      <c r="O363" s="36"/>
      <c r="AC363" s="36"/>
    </row>
    <row r="364" spans="15:29">
      <c r="O364" s="36"/>
      <c r="AC364" s="36"/>
    </row>
    <row r="365" spans="15:29">
      <c r="O365" s="36"/>
      <c r="AC365" s="36"/>
    </row>
    <row r="366" spans="15:29">
      <c r="O366" s="36"/>
      <c r="AC366" s="36"/>
    </row>
    <row r="367" spans="15:29">
      <c r="O367" s="36"/>
      <c r="AC367" s="36"/>
    </row>
    <row r="368" spans="15:29">
      <c r="O368" s="36"/>
      <c r="AC368" s="36"/>
    </row>
    <row r="369" spans="15:29">
      <c r="O369" s="36"/>
      <c r="AC369" s="36"/>
    </row>
    <row r="370" spans="15:29">
      <c r="O370" s="36"/>
      <c r="AC370" s="36"/>
    </row>
    <row r="371" spans="15:29">
      <c r="O371" s="36"/>
      <c r="AC371" s="36"/>
    </row>
    <row r="372" spans="15:29">
      <c r="O372" s="36"/>
      <c r="AC372" s="36"/>
    </row>
    <row r="373" spans="15:29">
      <c r="O373" s="36"/>
      <c r="AC373" s="36"/>
    </row>
    <row r="374" spans="15:29">
      <c r="O374" s="36"/>
      <c r="AC374" s="36"/>
    </row>
    <row r="375" spans="15:29">
      <c r="O375" s="36"/>
      <c r="AC375" s="36"/>
    </row>
    <row r="376" spans="15:29">
      <c r="O376" s="36"/>
      <c r="AC376" s="36"/>
    </row>
    <row r="377" spans="15:29">
      <c r="O377" s="36"/>
      <c r="AC377" s="36"/>
    </row>
    <row r="378" spans="15:29">
      <c r="O378" s="36"/>
      <c r="AC378" s="36"/>
    </row>
    <row r="379" spans="15:29">
      <c r="O379" s="36"/>
      <c r="AC379" s="36"/>
    </row>
    <row r="380" spans="15:29">
      <c r="O380" s="36"/>
      <c r="AC380" s="36"/>
    </row>
    <row r="381" spans="15:29">
      <c r="O381" s="36"/>
      <c r="AC381" s="36"/>
    </row>
    <row r="382" spans="15:29">
      <c r="O382" s="36"/>
      <c r="AC382" s="36"/>
    </row>
    <row r="383" spans="15:29">
      <c r="O383" s="36"/>
      <c r="AC383" s="36"/>
    </row>
    <row r="384" spans="15:29">
      <c r="O384" s="36"/>
      <c r="AC384" s="36"/>
    </row>
    <row r="385" spans="15:29">
      <c r="O385" s="36"/>
      <c r="AC385" s="36"/>
    </row>
    <row r="386" spans="15:29">
      <c r="AC386" s="36"/>
    </row>
    <row r="387" spans="15:29">
      <c r="AC387" s="36"/>
    </row>
    <row r="388" spans="15:29">
      <c r="AC388" s="36"/>
    </row>
    <row r="389" spans="15:29">
      <c r="AC389" s="36"/>
    </row>
    <row r="390" spans="15:29">
      <c r="AC390" s="36"/>
    </row>
    <row r="391" spans="15:29">
      <c r="AC391" s="36"/>
    </row>
    <row r="392" spans="15:29">
      <c r="AC392" s="36"/>
    </row>
    <row r="393" spans="15:29">
      <c r="AC393" s="36"/>
    </row>
    <row r="394" spans="15:29">
      <c r="AC394" s="36"/>
    </row>
    <row r="395" spans="15:29">
      <c r="AC395" s="36"/>
    </row>
    <row r="396" spans="15:29">
      <c r="AC396" s="36"/>
    </row>
    <row r="397" spans="15:29">
      <c r="AC397" s="36"/>
    </row>
  </sheetData>
  <mergeCells count="13">
    <mergeCell ref="AE5:AI5"/>
    <mergeCell ref="S49:U49"/>
    <mergeCell ref="V49:AE49"/>
    <mergeCell ref="S50:U50"/>
    <mergeCell ref="V50:AE50"/>
    <mergeCell ref="S51:U51"/>
    <mergeCell ref="V51:AE51"/>
    <mergeCell ref="S46:U46"/>
    <mergeCell ref="V46:AE46"/>
    <mergeCell ref="S47:U47"/>
    <mergeCell ref="V47:AE47"/>
    <mergeCell ref="S48:U48"/>
    <mergeCell ref="V48:AE48"/>
  </mergeCells>
  <pageMargins left="0.7" right="0.7" top="0.75" bottom="0.75" header="0.3" footer="0.3"/>
  <pageSetup scale="64" orientation="landscape" r:id="rId1"/>
  <rowBreaks count="1" manualBreakCount="1">
    <brk id="56" max="16383" man="1"/>
  </rowBreaks>
  <ignoredErrors>
    <ignoredError sqref="S50 C41:C43" unlocked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B050"/>
  </sheetPr>
  <dimension ref="A1:R485"/>
  <sheetViews>
    <sheetView zoomScale="85" zoomScaleNormal="85" workbookViewId="0">
      <selection activeCell="G12" sqref="G12"/>
    </sheetView>
  </sheetViews>
  <sheetFormatPr defaultRowHeight="12.75"/>
  <cols>
    <col min="1" max="1" width="5.140625" customWidth="1"/>
    <col min="2" max="2" width="11.42578125" style="220" customWidth="1"/>
    <col min="3" max="3" width="11.42578125" style="221" customWidth="1"/>
    <col min="4" max="4" width="22.42578125" customWidth="1"/>
    <col min="5" max="5" width="4.140625" customWidth="1"/>
    <col min="6" max="6" width="22.5703125" style="28" customWidth="1"/>
    <col min="7" max="7" width="10.5703125" style="221" bestFit="1" customWidth="1"/>
    <col min="8" max="8" width="10.140625" style="221" customWidth="1"/>
    <col min="9" max="10" width="2.140625" customWidth="1"/>
    <col min="11" max="11" width="12.7109375" customWidth="1"/>
    <col min="12" max="12" width="13.5703125" customWidth="1"/>
    <col min="13" max="13" width="13.28515625" customWidth="1"/>
    <col min="14" max="15" width="2.140625" customWidth="1"/>
    <col min="16" max="16" width="24.42578125" bestFit="1" customWidth="1"/>
    <col min="17" max="17" width="11.85546875" customWidth="1"/>
    <col min="18" max="18" width="7.5703125" customWidth="1"/>
    <col min="19" max="19" width="7.85546875" customWidth="1"/>
    <col min="20" max="20" width="8.140625" customWidth="1"/>
    <col min="21" max="21" width="6.7109375" customWidth="1"/>
    <col min="22" max="22" width="10.7109375" customWidth="1"/>
    <col min="239" max="240" width="8.85546875" customWidth="1"/>
    <col min="241" max="241" width="14" customWidth="1"/>
    <col min="243" max="244" width="8.85546875" customWidth="1"/>
    <col min="248" max="249" width="8.85546875" customWidth="1"/>
    <col min="250" max="250" width="11.85546875" customWidth="1"/>
    <col min="251" max="251" width="8.85546875" customWidth="1"/>
    <col min="252" max="260" width="0" hidden="1" customWidth="1"/>
    <col min="495" max="496" width="8.85546875" customWidth="1"/>
    <col min="497" max="497" width="14" customWidth="1"/>
    <col min="499" max="500" width="8.85546875" customWidth="1"/>
    <col min="504" max="505" width="8.85546875" customWidth="1"/>
    <col min="506" max="506" width="11.85546875" customWidth="1"/>
    <col min="507" max="507" width="8.85546875" customWidth="1"/>
    <col min="508" max="516" width="0" hidden="1" customWidth="1"/>
    <col min="751" max="752" width="8.85546875" customWidth="1"/>
    <col min="753" max="753" width="14" customWidth="1"/>
    <col min="755" max="756" width="8.85546875" customWidth="1"/>
    <col min="760" max="761" width="8.85546875" customWidth="1"/>
    <col min="762" max="762" width="11.85546875" customWidth="1"/>
    <col min="763" max="763" width="8.85546875" customWidth="1"/>
    <col min="764" max="772" width="0" hidden="1" customWidth="1"/>
    <col min="1007" max="1008" width="8.85546875" customWidth="1"/>
    <col min="1009" max="1009" width="14" customWidth="1"/>
    <col min="1011" max="1012" width="8.85546875" customWidth="1"/>
    <col min="1016" max="1017" width="8.85546875" customWidth="1"/>
    <col min="1018" max="1018" width="11.85546875" customWidth="1"/>
    <col min="1019" max="1019" width="8.85546875" customWidth="1"/>
    <col min="1020" max="1028" width="0" hidden="1" customWidth="1"/>
    <col min="1263" max="1264" width="8.85546875" customWidth="1"/>
    <col min="1265" max="1265" width="14" customWidth="1"/>
    <col min="1267" max="1268" width="8.85546875" customWidth="1"/>
    <col min="1272" max="1273" width="8.85546875" customWidth="1"/>
    <col min="1274" max="1274" width="11.85546875" customWidth="1"/>
    <col min="1275" max="1275" width="8.85546875" customWidth="1"/>
    <col min="1276" max="1284" width="0" hidden="1" customWidth="1"/>
    <col min="1519" max="1520" width="8.85546875" customWidth="1"/>
    <col min="1521" max="1521" width="14" customWidth="1"/>
    <col min="1523" max="1524" width="8.85546875" customWidth="1"/>
    <col min="1528" max="1529" width="8.85546875" customWidth="1"/>
    <col min="1530" max="1530" width="11.85546875" customWidth="1"/>
    <col min="1531" max="1531" width="8.85546875" customWidth="1"/>
    <col min="1532" max="1540" width="0" hidden="1" customWidth="1"/>
    <col min="1775" max="1776" width="8.85546875" customWidth="1"/>
    <col min="1777" max="1777" width="14" customWidth="1"/>
    <col min="1779" max="1780" width="8.85546875" customWidth="1"/>
    <col min="1784" max="1785" width="8.85546875" customWidth="1"/>
    <col min="1786" max="1786" width="11.85546875" customWidth="1"/>
    <col min="1787" max="1787" width="8.85546875" customWidth="1"/>
    <col min="1788" max="1796" width="0" hidden="1" customWidth="1"/>
    <col min="2031" max="2032" width="8.85546875" customWidth="1"/>
    <col min="2033" max="2033" width="14" customWidth="1"/>
    <col min="2035" max="2036" width="8.85546875" customWidth="1"/>
    <col min="2040" max="2041" width="8.85546875" customWidth="1"/>
    <col min="2042" max="2042" width="11.85546875" customWidth="1"/>
    <col min="2043" max="2043" width="8.85546875" customWidth="1"/>
    <col min="2044" max="2052" width="0" hidden="1" customWidth="1"/>
    <col min="2287" max="2288" width="8.85546875" customWidth="1"/>
    <col min="2289" max="2289" width="14" customWidth="1"/>
    <col min="2291" max="2292" width="8.85546875" customWidth="1"/>
    <col min="2296" max="2297" width="8.85546875" customWidth="1"/>
    <col min="2298" max="2298" width="11.85546875" customWidth="1"/>
    <col min="2299" max="2299" width="8.85546875" customWidth="1"/>
    <col min="2300" max="2308" width="0" hidden="1" customWidth="1"/>
    <col min="2543" max="2544" width="8.85546875" customWidth="1"/>
    <col min="2545" max="2545" width="14" customWidth="1"/>
    <col min="2547" max="2548" width="8.85546875" customWidth="1"/>
    <col min="2552" max="2553" width="8.85546875" customWidth="1"/>
    <col min="2554" max="2554" width="11.85546875" customWidth="1"/>
    <col min="2555" max="2555" width="8.85546875" customWidth="1"/>
    <col min="2556" max="2564" width="0" hidden="1" customWidth="1"/>
    <col min="2799" max="2800" width="8.85546875" customWidth="1"/>
    <col min="2801" max="2801" width="14" customWidth="1"/>
    <col min="2803" max="2804" width="8.85546875" customWidth="1"/>
    <col min="2808" max="2809" width="8.85546875" customWidth="1"/>
    <col min="2810" max="2810" width="11.85546875" customWidth="1"/>
    <col min="2811" max="2811" width="8.85546875" customWidth="1"/>
    <col min="2812" max="2820" width="0" hidden="1" customWidth="1"/>
    <col min="3055" max="3056" width="8.85546875" customWidth="1"/>
    <col min="3057" max="3057" width="14" customWidth="1"/>
    <col min="3059" max="3060" width="8.85546875" customWidth="1"/>
    <col min="3064" max="3065" width="8.85546875" customWidth="1"/>
    <col min="3066" max="3066" width="11.85546875" customWidth="1"/>
    <col min="3067" max="3067" width="8.85546875" customWidth="1"/>
    <col min="3068" max="3076" width="0" hidden="1" customWidth="1"/>
    <col min="3311" max="3312" width="8.85546875" customWidth="1"/>
    <col min="3313" max="3313" width="14" customWidth="1"/>
    <col min="3315" max="3316" width="8.85546875" customWidth="1"/>
    <col min="3320" max="3321" width="8.85546875" customWidth="1"/>
    <col min="3322" max="3322" width="11.85546875" customWidth="1"/>
    <col min="3323" max="3323" width="8.85546875" customWidth="1"/>
    <col min="3324" max="3332" width="0" hidden="1" customWidth="1"/>
    <col min="3567" max="3568" width="8.85546875" customWidth="1"/>
    <col min="3569" max="3569" width="14" customWidth="1"/>
    <col min="3571" max="3572" width="8.85546875" customWidth="1"/>
    <col min="3576" max="3577" width="8.85546875" customWidth="1"/>
    <col min="3578" max="3578" width="11.85546875" customWidth="1"/>
    <col min="3579" max="3579" width="8.85546875" customWidth="1"/>
    <col min="3580" max="3588" width="0" hidden="1" customWidth="1"/>
    <col min="3823" max="3824" width="8.85546875" customWidth="1"/>
    <col min="3825" max="3825" width="14" customWidth="1"/>
    <col min="3827" max="3828" width="8.85546875" customWidth="1"/>
    <col min="3832" max="3833" width="8.85546875" customWidth="1"/>
    <col min="3834" max="3834" width="11.85546875" customWidth="1"/>
    <col min="3835" max="3835" width="8.85546875" customWidth="1"/>
    <col min="3836" max="3844" width="0" hidden="1" customWidth="1"/>
    <col min="4079" max="4080" width="8.85546875" customWidth="1"/>
    <col min="4081" max="4081" width="14" customWidth="1"/>
    <col min="4083" max="4084" width="8.85546875" customWidth="1"/>
    <col min="4088" max="4089" width="8.85546875" customWidth="1"/>
    <col min="4090" max="4090" width="11.85546875" customWidth="1"/>
    <col min="4091" max="4091" width="8.85546875" customWidth="1"/>
    <col min="4092" max="4100" width="0" hidden="1" customWidth="1"/>
    <col min="4335" max="4336" width="8.85546875" customWidth="1"/>
    <col min="4337" max="4337" width="14" customWidth="1"/>
    <col min="4339" max="4340" width="8.85546875" customWidth="1"/>
    <col min="4344" max="4345" width="8.85546875" customWidth="1"/>
    <col min="4346" max="4346" width="11.85546875" customWidth="1"/>
    <col min="4347" max="4347" width="8.85546875" customWidth="1"/>
    <col min="4348" max="4356" width="0" hidden="1" customWidth="1"/>
    <col min="4591" max="4592" width="8.85546875" customWidth="1"/>
    <col min="4593" max="4593" width="14" customWidth="1"/>
    <col min="4595" max="4596" width="8.85546875" customWidth="1"/>
    <col min="4600" max="4601" width="8.85546875" customWidth="1"/>
    <col min="4602" max="4602" width="11.85546875" customWidth="1"/>
    <col min="4603" max="4603" width="8.85546875" customWidth="1"/>
    <col min="4604" max="4612" width="0" hidden="1" customWidth="1"/>
    <col min="4847" max="4848" width="8.85546875" customWidth="1"/>
    <col min="4849" max="4849" width="14" customWidth="1"/>
    <col min="4851" max="4852" width="8.85546875" customWidth="1"/>
    <col min="4856" max="4857" width="8.85546875" customWidth="1"/>
    <col min="4858" max="4858" width="11.85546875" customWidth="1"/>
    <col min="4859" max="4859" width="8.85546875" customWidth="1"/>
    <col min="4860" max="4868" width="0" hidden="1" customWidth="1"/>
    <col min="5103" max="5104" width="8.85546875" customWidth="1"/>
    <col min="5105" max="5105" width="14" customWidth="1"/>
    <col min="5107" max="5108" width="8.85546875" customWidth="1"/>
    <col min="5112" max="5113" width="8.85546875" customWidth="1"/>
    <col min="5114" max="5114" width="11.85546875" customWidth="1"/>
    <col min="5115" max="5115" width="8.85546875" customWidth="1"/>
    <col min="5116" max="5124" width="0" hidden="1" customWidth="1"/>
    <col min="5359" max="5360" width="8.85546875" customWidth="1"/>
    <col min="5361" max="5361" width="14" customWidth="1"/>
    <col min="5363" max="5364" width="8.85546875" customWidth="1"/>
    <col min="5368" max="5369" width="8.85546875" customWidth="1"/>
    <col min="5370" max="5370" width="11.85546875" customWidth="1"/>
    <col min="5371" max="5371" width="8.85546875" customWidth="1"/>
    <col min="5372" max="5380" width="0" hidden="1" customWidth="1"/>
    <col min="5615" max="5616" width="8.85546875" customWidth="1"/>
    <col min="5617" max="5617" width="14" customWidth="1"/>
    <col min="5619" max="5620" width="8.85546875" customWidth="1"/>
    <col min="5624" max="5625" width="8.85546875" customWidth="1"/>
    <col min="5626" max="5626" width="11.85546875" customWidth="1"/>
    <col min="5627" max="5627" width="8.85546875" customWidth="1"/>
    <col min="5628" max="5636" width="0" hidden="1" customWidth="1"/>
    <col min="5871" max="5872" width="8.85546875" customWidth="1"/>
    <col min="5873" max="5873" width="14" customWidth="1"/>
    <col min="5875" max="5876" width="8.85546875" customWidth="1"/>
    <col min="5880" max="5881" width="8.85546875" customWidth="1"/>
    <col min="5882" max="5882" width="11.85546875" customWidth="1"/>
    <col min="5883" max="5883" width="8.85546875" customWidth="1"/>
    <col min="5884" max="5892" width="0" hidden="1" customWidth="1"/>
    <col min="6127" max="6128" width="8.85546875" customWidth="1"/>
    <col min="6129" max="6129" width="14" customWidth="1"/>
    <col min="6131" max="6132" width="8.85546875" customWidth="1"/>
    <col min="6136" max="6137" width="8.85546875" customWidth="1"/>
    <col min="6138" max="6138" width="11.85546875" customWidth="1"/>
    <col min="6139" max="6139" width="8.85546875" customWidth="1"/>
    <col min="6140" max="6148" width="0" hidden="1" customWidth="1"/>
    <col min="6383" max="6384" width="8.85546875" customWidth="1"/>
    <col min="6385" max="6385" width="14" customWidth="1"/>
    <col min="6387" max="6388" width="8.85546875" customWidth="1"/>
    <col min="6392" max="6393" width="8.85546875" customWidth="1"/>
    <col min="6394" max="6394" width="11.85546875" customWidth="1"/>
    <col min="6395" max="6395" width="8.85546875" customWidth="1"/>
    <col min="6396" max="6404" width="0" hidden="1" customWidth="1"/>
    <col min="6639" max="6640" width="8.85546875" customWidth="1"/>
    <col min="6641" max="6641" width="14" customWidth="1"/>
    <col min="6643" max="6644" width="8.85546875" customWidth="1"/>
    <col min="6648" max="6649" width="8.85546875" customWidth="1"/>
    <col min="6650" max="6650" width="11.85546875" customWidth="1"/>
    <col min="6651" max="6651" width="8.85546875" customWidth="1"/>
    <col min="6652" max="6660" width="0" hidden="1" customWidth="1"/>
    <col min="6895" max="6896" width="8.85546875" customWidth="1"/>
    <col min="6897" max="6897" width="14" customWidth="1"/>
    <col min="6899" max="6900" width="8.85546875" customWidth="1"/>
    <col min="6904" max="6905" width="8.85546875" customWidth="1"/>
    <col min="6906" max="6906" width="11.85546875" customWidth="1"/>
    <col min="6907" max="6907" width="8.85546875" customWidth="1"/>
    <col min="6908" max="6916" width="0" hidden="1" customWidth="1"/>
    <col min="7151" max="7152" width="8.85546875" customWidth="1"/>
    <col min="7153" max="7153" width="14" customWidth="1"/>
    <col min="7155" max="7156" width="8.85546875" customWidth="1"/>
    <col min="7160" max="7161" width="8.85546875" customWidth="1"/>
    <col min="7162" max="7162" width="11.85546875" customWidth="1"/>
    <col min="7163" max="7163" width="8.85546875" customWidth="1"/>
    <col min="7164" max="7172" width="0" hidden="1" customWidth="1"/>
    <col min="7407" max="7408" width="8.85546875" customWidth="1"/>
    <col min="7409" max="7409" width="14" customWidth="1"/>
    <col min="7411" max="7412" width="8.85546875" customWidth="1"/>
    <col min="7416" max="7417" width="8.85546875" customWidth="1"/>
    <col min="7418" max="7418" width="11.85546875" customWidth="1"/>
    <col min="7419" max="7419" width="8.85546875" customWidth="1"/>
    <col min="7420" max="7428" width="0" hidden="1" customWidth="1"/>
    <col min="7663" max="7664" width="8.85546875" customWidth="1"/>
    <col min="7665" max="7665" width="14" customWidth="1"/>
    <col min="7667" max="7668" width="8.85546875" customWidth="1"/>
    <col min="7672" max="7673" width="8.85546875" customWidth="1"/>
    <col min="7674" max="7674" width="11.85546875" customWidth="1"/>
    <col min="7675" max="7675" width="8.85546875" customWidth="1"/>
    <col min="7676" max="7684" width="0" hidden="1" customWidth="1"/>
    <col min="7919" max="7920" width="8.85546875" customWidth="1"/>
    <col min="7921" max="7921" width="14" customWidth="1"/>
    <col min="7923" max="7924" width="8.85546875" customWidth="1"/>
    <col min="7928" max="7929" width="8.85546875" customWidth="1"/>
    <col min="7930" max="7930" width="11.85546875" customWidth="1"/>
    <col min="7931" max="7931" width="8.85546875" customWidth="1"/>
    <col min="7932" max="7940" width="0" hidden="1" customWidth="1"/>
    <col min="8175" max="8176" width="8.85546875" customWidth="1"/>
    <col min="8177" max="8177" width="14" customWidth="1"/>
    <col min="8179" max="8180" width="8.85546875" customWidth="1"/>
    <col min="8184" max="8185" width="8.85546875" customWidth="1"/>
    <col min="8186" max="8186" width="11.85546875" customWidth="1"/>
    <col min="8187" max="8187" width="8.85546875" customWidth="1"/>
    <col min="8188" max="8196" width="0" hidden="1" customWidth="1"/>
    <col min="8431" max="8432" width="8.85546875" customWidth="1"/>
    <col min="8433" max="8433" width="14" customWidth="1"/>
    <col min="8435" max="8436" width="8.85546875" customWidth="1"/>
    <col min="8440" max="8441" width="8.85546875" customWidth="1"/>
    <col min="8442" max="8442" width="11.85546875" customWidth="1"/>
    <col min="8443" max="8443" width="8.85546875" customWidth="1"/>
    <col min="8444" max="8452" width="0" hidden="1" customWidth="1"/>
    <col min="8687" max="8688" width="8.85546875" customWidth="1"/>
    <col min="8689" max="8689" width="14" customWidth="1"/>
    <col min="8691" max="8692" width="8.85546875" customWidth="1"/>
    <col min="8696" max="8697" width="8.85546875" customWidth="1"/>
    <col min="8698" max="8698" width="11.85546875" customWidth="1"/>
    <col min="8699" max="8699" width="8.85546875" customWidth="1"/>
    <col min="8700" max="8708" width="0" hidden="1" customWidth="1"/>
    <col min="8943" max="8944" width="8.85546875" customWidth="1"/>
    <col min="8945" max="8945" width="14" customWidth="1"/>
    <col min="8947" max="8948" width="8.85546875" customWidth="1"/>
    <col min="8952" max="8953" width="8.85546875" customWidth="1"/>
    <col min="8954" max="8954" width="11.85546875" customWidth="1"/>
    <col min="8955" max="8955" width="8.85546875" customWidth="1"/>
    <col min="8956" max="8964" width="0" hidden="1" customWidth="1"/>
    <col min="9199" max="9200" width="8.85546875" customWidth="1"/>
    <col min="9201" max="9201" width="14" customWidth="1"/>
    <col min="9203" max="9204" width="8.85546875" customWidth="1"/>
    <col min="9208" max="9209" width="8.85546875" customWidth="1"/>
    <col min="9210" max="9210" width="11.85546875" customWidth="1"/>
    <col min="9211" max="9211" width="8.85546875" customWidth="1"/>
    <col min="9212" max="9220" width="0" hidden="1" customWidth="1"/>
    <col min="9455" max="9456" width="8.85546875" customWidth="1"/>
    <col min="9457" max="9457" width="14" customWidth="1"/>
    <col min="9459" max="9460" width="8.85546875" customWidth="1"/>
    <col min="9464" max="9465" width="8.85546875" customWidth="1"/>
    <col min="9466" max="9466" width="11.85546875" customWidth="1"/>
    <col min="9467" max="9467" width="8.85546875" customWidth="1"/>
    <col min="9468" max="9476" width="0" hidden="1" customWidth="1"/>
    <col min="9711" max="9712" width="8.85546875" customWidth="1"/>
    <col min="9713" max="9713" width="14" customWidth="1"/>
    <col min="9715" max="9716" width="8.85546875" customWidth="1"/>
    <col min="9720" max="9721" width="8.85546875" customWidth="1"/>
    <col min="9722" max="9722" width="11.85546875" customWidth="1"/>
    <col min="9723" max="9723" width="8.85546875" customWidth="1"/>
    <col min="9724" max="9732" width="0" hidden="1" customWidth="1"/>
    <col min="9967" max="9968" width="8.85546875" customWidth="1"/>
    <col min="9969" max="9969" width="14" customWidth="1"/>
    <col min="9971" max="9972" width="8.85546875" customWidth="1"/>
    <col min="9976" max="9977" width="8.85546875" customWidth="1"/>
    <col min="9978" max="9978" width="11.85546875" customWidth="1"/>
    <col min="9979" max="9979" width="8.85546875" customWidth="1"/>
    <col min="9980" max="9988" width="0" hidden="1" customWidth="1"/>
    <col min="10223" max="10224" width="8.85546875" customWidth="1"/>
    <col min="10225" max="10225" width="14" customWidth="1"/>
    <col min="10227" max="10228" width="8.85546875" customWidth="1"/>
    <col min="10232" max="10233" width="8.85546875" customWidth="1"/>
    <col min="10234" max="10234" width="11.85546875" customWidth="1"/>
    <col min="10235" max="10235" width="8.85546875" customWidth="1"/>
    <col min="10236" max="10244" width="0" hidden="1" customWidth="1"/>
    <col min="10479" max="10480" width="8.85546875" customWidth="1"/>
    <col min="10481" max="10481" width="14" customWidth="1"/>
    <col min="10483" max="10484" width="8.85546875" customWidth="1"/>
    <col min="10488" max="10489" width="8.85546875" customWidth="1"/>
    <col min="10490" max="10490" width="11.85546875" customWidth="1"/>
    <col min="10491" max="10491" width="8.85546875" customWidth="1"/>
    <col min="10492" max="10500" width="0" hidden="1" customWidth="1"/>
    <col min="10735" max="10736" width="8.85546875" customWidth="1"/>
    <col min="10737" max="10737" width="14" customWidth="1"/>
    <col min="10739" max="10740" width="8.85546875" customWidth="1"/>
    <col min="10744" max="10745" width="8.85546875" customWidth="1"/>
    <col min="10746" max="10746" width="11.85546875" customWidth="1"/>
    <col min="10747" max="10747" width="8.85546875" customWidth="1"/>
    <col min="10748" max="10756" width="0" hidden="1" customWidth="1"/>
    <col min="10991" max="10992" width="8.85546875" customWidth="1"/>
    <col min="10993" max="10993" width="14" customWidth="1"/>
    <col min="10995" max="10996" width="8.85546875" customWidth="1"/>
    <col min="11000" max="11001" width="8.85546875" customWidth="1"/>
    <col min="11002" max="11002" width="11.85546875" customWidth="1"/>
    <col min="11003" max="11003" width="8.85546875" customWidth="1"/>
    <col min="11004" max="11012" width="0" hidden="1" customWidth="1"/>
    <col min="11247" max="11248" width="8.85546875" customWidth="1"/>
    <col min="11249" max="11249" width="14" customWidth="1"/>
    <col min="11251" max="11252" width="8.85546875" customWidth="1"/>
    <col min="11256" max="11257" width="8.85546875" customWidth="1"/>
    <col min="11258" max="11258" width="11.85546875" customWidth="1"/>
    <col min="11259" max="11259" width="8.85546875" customWidth="1"/>
    <col min="11260" max="11268" width="0" hidden="1" customWidth="1"/>
    <col min="11503" max="11504" width="8.85546875" customWidth="1"/>
    <col min="11505" max="11505" width="14" customWidth="1"/>
    <col min="11507" max="11508" width="8.85546875" customWidth="1"/>
    <col min="11512" max="11513" width="8.85546875" customWidth="1"/>
    <col min="11514" max="11514" width="11.85546875" customWidth="1"/>
    <col min="11515" max="11515" width="8.85546875" customWidth="1"/>
    <col min="11516" max="11524" width="0" hidden="1" customWidth="1"/>
    <col min="11759" max="11760" width="8.85546875" customWidth="1"/>
    <col min="11761" max="11761" width="14" customWidth="1"/>
    <col min="11763" max="11764" width="8.85546875" customWidth="1"/>
    <col min="11768" max="11769" width="8.85546875" customWidth="1"/>
    <col min="11770" max="11770" width="11.85546875" customWidth="1"/>
    <col min="11771" max="11771" width="8.85546875" customWidth="1"/>
    <col min="11772" max="11780" width="0" hidden="1" customWidth="1"/>
    <col min="12015" max="12016" width="8.85546875" customWidth="1"/>
    <col min="12017" max="12017" width="14" customWidth="1"/>
    <col min="12019" max="12020" width="8.85546875" customWidth="1"/>
    <col min="12024" max="12025" width="8.85546875" customWidth="1"/>
    <col min="12026" max="12026" width="11.85546875" customWidth="1"/>
    <col min="12027" max="12027" width="8.85546875" customWidth="1"/>
    <col min="12028" max="12036" width="0" hidden="1" customWidth="1"/>
    <col min="12271" max="12272" width="8.85546875" customWidth="1"/>
    <col min="12273" max="12273" width="14" customWidth="1"/>
    <col min="12275" max="12276" width="8.85546875" customWidth="1"/>
    <col min="12280" max="12281" width="8.85546875" customWidth="1"/>
    <col min="12282" max="12282" width="11.85546875" customWidth="1"/>
    <col min="12283" max="12283" width="8.85546875" customWidth="1"/>
    <col min="12284" max="12292" width="0" hidden="1" customWidth="1"/>
    <col min="12527" max="12528" width="8.85546875" customWidth="1"/>
    <col min="12529" max="12529" width="14" customWidth="1"/>
    <col min="12531" max="12532" width="8.85546875" customWidth="1"/>
    <col min="12536" max="12537" width="8.85546875" customWidth="1"/>
    <col min="12538" max="12538" width="11.85546875" customWidth="1"/>
    <col min="12539" max="12539" width="8.85546875" customWidth="1"/>
    <col min="12540" max="12548" width="0" hidden="1" customWidth="1"/>
    <col min="12783" max="12784" width="8.85546875" customWidth="1"/>
    <col min="12785" max="12785" width="14" customWidth="1"/>
    <col min="12787" max="12788" width="8.85546875" customWidth="1"/>
    <col min="12792" max="12793" width="8.85546875" customWidth="1"/>
    <col min="12794" max="12794" width="11.85546875" customWidth="1"/>
    <col min="12795" max="12795" width="8.85546875" customWidth="1"/>
    <col min="12796" max="12804" width="0" hidden="1" customWidth="1"/>
    <col min="13039" max="13040" width="8.85546875" customWidth="1"/>
    <col min="13041" max="13041" width="14" customWidth="1"/>
    <col min="13043" max="13044" width="8.85546875" customWidth="1"/>
    <col min="13048" max="13049" width="8.85546875" customWidth="1"/>
    <col min="13050" max="13050" width="11.85546875" customWidth="1"/>
    <col min="13051" max="13051" width="8.85546875" customWidth="1"/>
    <col min="13052" max="13060" width="0" hidden="1" customWidth="1"/>
    <col min="13295" max="13296" width="8.85546875" customWidth="1"/>
    <col min="13297" max="13297" width="14" customWidth="1"/>
    <col min="13299" max="13300" width="8.85546875" customWidth="1"/>
    <col min="13304" max="13305" width="8.85546875" customWidth="1"/>
    <col min="13306" max="13306" width="11.85546875" customWidth="1"/>
    <col min="13307" max="13307" width="8.85546875" customWidth="1"/>
    <col min="13308" max="13316" width="0" hidden="1" customWidth="1"/>
    <col min="13551" max="13552" width="8.85546875" customWidth="1"/>
    <col min="13553" max="13553" width="14" customWidth="1"/>
    <col min="13555" max="13556" width="8.85546875" customWidth="1"/>
    <col min="13560" max="13561" width="8.85546875" customWidth="1"/>
    <col min="13562" max="13562" width="11.85546875" customWidth="1"/>
    <col min="13563" max="13563" width="8.85546875" customWidth="1"/>
    <col min="13564" max="13572" width="0" hidden="1" customWidth="1"/>
    <col min="13807" max="13808" width="8.85546875" customWidth="1"/>
    <col min="13809" max="13809" width="14" customWidth="1"/>
    <col min="13811" max="13812" width="8.85546875" customWidth="1"/>
    <col min="13816" max="13817" width="8.85546875" customWidth="1"/>
    <col min="13818" max="13818" width="11.85546875" customWidth="1"/>
    <col min="13819" max="13819" width="8.85546875" customWidth="1"/>
    <col min="13820" max="13828" width="0" hidden="1" customWidth="1"/>
    <col min="14063" max="14064" width="8.85546875" customWidth="1"/>
    <col min="14065" max="14065" width="14" customWidth="1"/>
    <col min="14067" max="14068" width="8.85546875" customWidth="1"/>
    <col min="14072" max="14073" width="8.85546875" customWidth="1"/>
    <col min="14074" max="14074" width="11.85546875" customWidth="1"/>
    <col min="14075" max="14075" width="8.85546875" customWidth="1"/>
    <col min="14076" max="14084" width="0" hidden="1" customWidth="1"/>
    <col min="14319" max="14320" width="8.85546875" customWidth="1"/>
    <col min="14321" max="14321" width="14" customWidth="1"/>
    <col min="14323" max="14324" width="8.85546875" customWidth="1"/>
    <col min="14328" max="14329" width="8.85546875" customWidth="1"/>
    <col min="14330" max="14330" width="11.85546875" customWidth="1"/>
    <col min="14331" max="14331" width="8.85546875" customWidth="1"/>
    <col min="14332" max="14340" width="0" hidden="1" customWidth="1"/>
    <col min="14575" max="14576" width="8.85546875" customWidth="1"/>
    <col min="14577" max="14577" width="14" customWidth="1"/>
    <col min="14579" max="14580" width="8.85546875" customWidth="1"/>
    <col min="14584" max="14585" width="8.85546875" customWidth="1"/>
    <col min="14586" max="14586" width="11.85546875" customWidth="1"/>
    <col min="14587" max="14587" width="8.85546875" customWidth="1"/>
    <col min="14588" max="14596" width="0" hidden="1" customWidth="1"/>
    <col min="14831" max="14832" width="8.85546875" customWidth="1"/>
    <col min="14833" max="14833" width="14" customWidth="1"/>
    <col min="14835" max="14836" width="8.85546875" customWidth="1"/>
    <col min="14840" max="14841" width="8.85546875" customWidth="1"/>
    <col min="14842" max="14842" width="11.85546875" customWidth="1"/>
    <col min="14843" max="14843" width="8.85546875" customWidth="1"/>
    <col min="14844" max="14852" width="0" hidden="1" customWidth="1"/>
    <col min="15087" max="15088" width="8.85546875" customWidth="1"/>
    <col min="15089" max="15089" width="14" customWidth="1"/>
    <col min="15091" max="15092" width="8.85546875" customWidth="1"/>
    <col min="15096" max="15097" width="8.85546875" customWidth="1"/>
    <col min="15098" max="15098" width="11.85546875" customWidth="1"/>
    <col min="15099" max="15099" width="8.85546875" customWidth="1"/>
    <col min="15100" max="15108" width="0" hidden="1" customWidth="1"/>
    <col min="15343" max="15344" width="8.85546875" customWidth="1"/>
    <col min="15345" max="15345" width="14" customWidth="1"/>
    <col min="15347" max="15348" width="8.85546875" customWidth="1"/>
    <col min="15352" max="15353" width="8.85546875" customWidth="1"/>
    <col min="15354" max="15354" width="11.85546875" customWidth="1"/>
    <col min="15355" max="15355" width="8.85546875" customWidth="1"/>
    <col min="15356" max="15364" width="0" hidden="1" customWidth="1"/>
    <col min="15599" max="15600" width="8.85546875" customWidth="1"/>
    <col min="15601" max="15601" width="14" customWidth="1"/>
    <col min="15603" max="15604" width="8.85546875" customWidth="1"/>
    <col min="15608" max="15609" width="8.85546875" customWidth="1"/>
    <col min="15610" max="15610" width="11.85546875" customWidth="1"/>
    <col min="15611" max="15611" width="8.85546875" customWidth="1"/>
    <col min="15612" max="15620" width="0" hidden="1" customWidth="1"/>
    <col min="15855" max="15856" width="8.85546875" customWidth="1"/>
    <col min="15857" max="15857" width="14" customWidth="1"/>
    <col min="15859" max="15860" width="8.85546875" customWidth="1"/>
    <col min="15864" max="15865" width="8.85546875" customWidth="1"/>
    <col min="15866" max="15866" width="11.85546875" customWidth="1"/>
    <col min="15867" max="15867" width="8.85546875" customWidth="1"/>
    <col min="15868" max="15876" width="0" hidden="1" customWidth="1"/>
    <col min="16111" max="16112" width="8.85546875" customWidth="1"/>
    <col min="16113" max="16113" width="14" customWidth="1"/>
    <col min="16115" max="16116" width="8.85546875" customWidth="1"/>
    <col min="16120" max="16121" width="8.85546875" customWidth="1"/>
    <col min="16122" max="16122" width="11.85546875" customWidth="1"/>
    <col min="16123" max="16123" width="8.85546875" customWidth="1"/>
    <col min="16124" max="16132" width="0" hidden="1" customWidth="1"/>
  </cols>
  <sheetData>
    <row r="1" spans="1:18" ht="13.5" thickBot="1"/>
    <row r="2" spans="1:18" ht="16.5" customHeight="1" thickTop="1">
      <c r="B2" s="746" t="s">
        <v>89</v>
      </c>
      <c r="C2" s="747"/>
      <c r="D2" s="748"/>
      <c r="F2" s="752" t="s">
        <v>194</v>
      </c>
      <c r="G2" s="753"/>
      <c r="H2" s="754"/>
      <c r="K2" s="725" t="s">
        <v>90</v>
      </c>
      <c r="L2" s="726"/>
      <c r="M2" s="727"/>
      <c r="P2" s="334" t="s">
        <v>115</v>
      </c>
      <c r="Q2" s="335">
        <v>13.74</v>
      </c>
    </row>
    <row r="3" spans="1:18" ht="14.1" customHeight="1" thickBot="1">
      <c r="B3" s="749"/>
      <c r="C3" s="750"/>
      <c r="D3" s="751"/>
      <c r="F3" s="755"/>
      <c r="G3" s="756"/>
      <c r="H3" s="757"/>
      <c r="K3" s="728"/>
      <c r="L3" s="729"/>
      <c r="M3" s="730"/>
      <c r="P3" s="336" t="s">
        <v>116</v>
      </c>
      <c r="Q3" s="337">
        <v>20.47</v>
      </c>
    </row>
    <row r="4" spans="1:18" ht="12.95" customHeight="1" thickTop="1" thickBot="1">
      <c r="B4" s="426">
        <v>320</v>
      </c>
      <c r="C4" s="462">
        <v>33.56</v>
      </c>
      <c r="D4" s="427" t="s">
        <v>195</v>
      </c>
      <c r="F4" s="338" t="s">
        <v>149</v>
      </c>
      <c r="G4" s="424" t="s">
        <v>148</v>
      </c>
      <c r="H4" s="425" t="s">
        <v>192</v>
      </c>
      <c r="I4" s="2"/>
      <c r="J4" s="2"/>
      <c r="K4" s="412" t="s">
        <v>149</v>
      </c>
      <c r="L4" s="413" t="s">
        <v>148</v>
      </c>
      <c r="M4" s="414" t="s">
        <v>192</v>
      </c>
      <c r="P4" s="339" t="s">
        <v>118</v>
      </c>
      <c r="Q4" s="337">
        <f>6.73</f>
        <v>6.73</v>
      </c>
    </row>
    <row r="5" spans="1:18" ht="12.95" customHeight="1" thickTop="1" thickBot="1">
      <c r="A5" s="428">
        <v>1</v>
      </c>
      <c r="B5" s="365">
        <f>B4-1</f>
        <v>319</v>
      </c>
      <c r="C5" s="457">
        <v>33.92</v>
      </c>
      <c r="D5" s="366"/>
      <c r="F5" s="390" t="s">
        <v>202</v>
      </c>
      <c r="G5" s="419">
        <v>20.21</v>
      </c>
      <c r="H5" s="743" t="s">
        <v>200</v>
      </c>
      <c r="I5" s="2"/>
      <c r="J5" s="2"/>
      <c r="K5" s="395" t="s">
        <v>190</v>
      </c>
      <c r="L5" s="454">
        <v>41.65</v>
      </c>
      <c r="M5" s="740" t="s">
        <v>236</v>
      </c>
      <c r="P5" s="341" t="s">
        <v>117</v>
      </c>
      <c r="Q5" s="342">
        <v>100</v>
      </c>
      <c r="R5" s="277"/>
    </row>
    <row r="6" spans="1:18" ht="15.75" thickBot="1">
      <c r="A6" s="428">
        <f>A5+1</f>
        <v>2</v>
      </c>
      <c r="B6" s="365">
        <f t="shared" ref="B6:B64" si="0">B5-1</f>
        <v>318</v>
      </c>
      <c r="C6" s="457">
        <v>32.33</v>
      </c>
      <c r="D6" s="367"/>
      <c r="F6" s="390" t="s">
        <v>201</v>
      </c>
      <c r="G6" s="419">
        <v>20.22</v>
      </c>
      <c r="H6" s="744"/>
      <c r="I6" s="2"/>
      <c r="J6" s="2"/>
      <c r="K6" s="396" t="s">
        <v>191</v>
      </c>
      <c r="L6" s="455">
        <v>41.7</v>
      </c>
      <c r="M6" s="741"/>
      <c r="R6" s="277"/>
    </row>
    <row r="7" spans="1:18" ht="15.75" thickBot="1">
      <c r="A7" s="428">
        <f t="shared" ref="A7:A70" si="1">A6+1</f>
        <v>3</v>
      </c>
      <c r="B7" s="365">
        <f t="shared" si="0"/>
        <v>317</v>
      </c>
      <c r="C7" s="457">
        <v>33.729999999999997</v>
      </c>
      <c r="D7" s="367"/>
      <c r="F7" s="391" t="s">
        <v>237</v>
      </c>
      <c r="G7" s="420">
        <v>15.23</v>
      </c>
      <c r="H7" s="744"/>
      <c r="I7" s="2"/>
      <c r="J7" s="2"/>
      <c r="K7" s="396" t="s">
        <v>203</v>
      </c>
      <c r="L7" s="455">
        <v>42.17</v>
      </c>
      <c r="M7" s="741"/>
      <c r="O7" s="392"/>
      <c r="P7" s="393"/>
      <c r="Q7" s="394"/>
      <c r="R7" s="277"/>
    </row>
    <row r="8" spans="1:18" ht="14.1" customHeight="1" thickBot="1">
      <c r="A8" s="428">
        <f t="shared" si="1"/>
        <v>4</v>
      </c>
      <c r="B8" s="365">
        <f t="shared" si="0"/>
        <v>316</v>
      </c>
      <c r="C8" s="457">
        <v>33.47</v>
      </c>
      <c r="D8" s="367"/>
      <c r="F8" s="391" t="s">
        <v>238</v>
      </c>
      <c r="G8" s="420">
        <v>15.22</v>
      </c>
      <c r="H8" s="744"/>
      <c r="I8" s="2"/>
      <c r="J8" s="2"/>
      <c r="K8" s="396" t="s">
        <v>204</v>
      </c>
      <c r="L8" s="455">
        <v>40.1</v>
      </c>
      <c r="M8" s="742"/>
      <c r="Q8" s="19"/>
      <c r="R8" s="277"/>
    </row>
    <row r="9" spans="1:18" ht="14.1" customHeight="1">
      <c r="A9" s="428">
        <f t="shared" si="1"/>
        <v>5</v>
      </c>
      <c r="B9" s="365">
        <f t="shared" si="0"/>
        <v>315</v>
      </c>
      <c r="C9" s="457">
        <v>33.590000000000003</v>
      </c>
      <c r="D9" s="367"/>
      <c r="F9" s="346" t="s">
        <v>239</v>
      </c>
      <c r="G9" s="421">
        <v>10.199999999999999</v>
      </c>
      <c r="H9" s="744"/>
      <c r="I9" s="2"/>
      <c r="J9" s="2"/>
      <c r="K9" s="734" t="s">
        <v>91</v>
      </c>
      <c r="L9" s="735"/>
      <c r="M9" s="736"/>
    </row>
    <row r="10" spans="1:18" ht="14.1" customHeight="1" thickBot="1">
      <c r="A10" s="428">
        <f t="shared" si="1"/>
        <v>6</v>
      </c>
      <c r="B10" s="365">
        <f t="shared" si="0"/>
        <v>314</v>
      </c>
      <c r="C10" s="457">
        <v>33.630000000000003</v>
      </c>
      <c r="D10" s="367"/>
      <c r="F10" s="346" t="s">
        <v>240</v>
      </c>
      <c r="G10" s="421">
        <v>10.199999999999999</v>
      </c>
      <c r="H10" s="744"/>
      <c r="I10" s="2"/>
      <c r="J10" s="2"/>
      <c r="K10" s="737"/>
      <c r="L10" s="738"/>
      <c r="M10" s="739"/>
    </row>
    <row r="11" spans="1:18" ht="12.95" customHeight="1" thickBot="1">
      <c r="A11" s="428">
        <f t="shared" si="1"/>
        <v>7</v>
      </c>
      <c r="B11" s="365">
        <f t="shared" si="0"/>
        <v>313</v>
      </c>
      <c r="C11" s="457">
        <v>33.54</v>
      </c>
      <c r="D11" s="367"/>
      <c r="F11" s="345" t="s">
        <v>241</v>
      </c>
      <c r="G11" s="422">
        <v>6.23</v>
      </c>
      <c r="H11" s="744"/>
      <c r="I11" s="2"/>
      <c r="J11" s="2"/>
      <c r="K11" s="412" t="s">
        <v>149</v>
      </c>
      <c r="L11" s="413" t="s">
        <v>148</v>
      </c>
      <c r="M11" s="414" t="s">
        <v>192</v>
      </c>
      <c r="R11" s="277"/>
    </row>
    <row r="12" spans="1:18" ht="14.1" customHeight="1">
      <c r="A12" s="428">
        <f t="shared" si="1"/>
        <v>8</v>
      </c>
      <c r="B12" s="365">
        <f t="shared" si="0"/>
        <v>312</v>
      </c>
      <c r="C12" s="457">
        <v>33.82</v>
      </c>
      <c r="D12" s="367"/>
      <c r="F12" s="345" t="s">
        <v>242</v>
      </c>
      <c r="G12" s="422">
        <v>6.22</v>
      </c>
      <c r="H12" s="744"/>
      <c r="I12" s="2"/>
      <c r="J12" s="2"/>
      <c r="K12" s="399" t="s">
        <v>205</v>
      </c>
      <c r="L12" s="398">
        <v>3.14</v>
      </c>
      <c r="M12" s="731" t="s">
        <v>236</v>
      </c>
    </row>
    <row r="13" spans="1:18" ht="13.5" customHeight="1">
      <c r="A13" s="428">
        <f t="shared" si="1"/>
        <v>9</v>
      </c>
      <c r="B13" s="365">
        <f t="shared" si="0"/>
        <v>311</v>
      </c>
      <c r="C13" s="457">
        <v>33.130000000000003</v>
      </c>
      <c r="D13" s="367"/>
      <c r="F13" s="340" t="s">
        <v>243</v>
      </c>
      <c r="G13" s="423">
        <v>3.22</v>
      </c>
      <c r="H13" s="744"/>
      <c r="K13" s="399" t="s">
        <v>206</v>
      </c>
      <c r="L13" s="398">
        <v>3.45</v>
      </c>
      <c r="M13" s="732"/>
    </row>
    <row r="14" spans="1:18" ht="15">
      <c r="A14" s="428">
        <f t="shared" si="1"/>
        <v>10</v>
      </c>
      <c r="B14" s="365">
        <f t="shared" si="0"/>
        <v>310</v>
      </c>
      <c r="C14" s="457">
        <v>33.43</v>
      </c>
      <c r="D14" s="367"/>
      <c r="F14" s="340" t="s">
        <v>244</v>
      </c>
      <c r="G14" s="423">
        <v>3.24</v>
      </c>
      <c r="H14" s="745"/>
      <c r="K14" s="399" t="s">
        <v>207</v>
      </c>
      <c r="L14" s="398">
        <v>5.51</v>
      </c>
      <c r="M14" s="732"/>
      <c r="N14" s="258"/>
      <c r="R14" s="277"/>
    </row>
    <row r="15" spans="1:18" ht="15" thickBot="1">
      <c r="A15" s="428">
        <f t="shared" si="1"/>
        <v>11</v>
      </c>
      <c r="B15" s="365">
        <f t="shared" si="0"/>
        <v>309</v>
      </c>
      <c r="C15" s="457">
        <v>33.68</v>
      </c>
      <c r="D15" s="367"/>
      <c r="F15" s="251"/>
      <c r="G15" s="223"/>
      <c r="H15" s="448"/>
      <c r="I15" s="222"/>
      <c r="J15" s="222"/>
      <c r="K15" s="399" t="s">
        <v>208</v>
      </c>
      <c r="L15" s="398">
        <v>5.52</v>
      </c>
      <c r="M15" s="732"/>
      <c r="N15" s="222"/>
    </row>
    <row r="16" spans="1:18" ht="15">
      <c r="A16" s="428">
        <f t="shared" si="1"/>
        <v>12</v>
      </c>
      <c r="B16" s="365">
        <f t="shared" si="0"/>
        <v>308</v>
      </c>
      <c r="C16" s="457">
        <v>33.700000000000003</v>
      </c>
      <c r="D16" s="367"/>
      <c r="F16" s="410" t="s">
        <v>193</v>
      </c>
      <c r="G16" s="445" t="s">
        <v>127</v>
      </c>
      <c r="H16" s="449"/>
      <c r="K16" s="399" t="s">
        <v>209</v>
      </c>
      <c r="L16" s="398">
        <v>6.49</v>
      </c>
      <c r="M16" s="732"/>
    </row>
    <row r="17" spans="1:18" ht="12.95" customHeight="1">
      <c r="A17" s="428">
        <f t="shared" si="1"/>
        <v>13</v>
      </c>
      <c r="B17" s="365">
        <f t="shared" si="0"/>
        <v>307</v>
      </c>
      <c r="C17" s="457">
        <v>33.82</v>
      </c>
      <c r="D17" s="367"/>
      <c r="F17" s="400" t="s">
        <v>133</v>
      </c>
      <c r="G17" s="446">
        <v>2</v>
      </c>
      <c r="H17" s="449"/>
      <c r="K17" s="399" t="s">
        <v>210</v>
      </c>
      <c r="L17" s="398">
        <v>6.52</v>
      </c>
      <c r="M17" s="732"/>
      <c r="R17" s="277"/>
    </row>
    <row r="18" spans="1:18" ht="15">
      <c r="A18" s="428">
        <f t="shared" si="1"/>
        <v>14</v>
      </c>
      <c r="B18" s="365">
        <f t="shared" si="0"/>
        <v>306</v>
      </c>
      <c r="C18" s="457">
        <v>33.630000000000003</v>
      </c>
      <c r="D18" s="367"/>
      <c r="F18" s="401" t="s">
        <v>187</v>
      </c>
      <c r="G18" s="447">
        <v>0</v>
      </c>
      <c r="H18" s="449"/>
      <c r="K18" s="399" t="s">
        <v>211</v>
      </c>
      <c r="L18" s="398">
        <v>10.53</v>
      </c>
      <c r="M18" s="732"/>
    </row>
    <row r="19" spans="1:18" ht="13.5" customHeight="1" thickBot="1">
      <c r="A19" s="428">
        <f t="shared" si="1"/>
        <v>15</v>
      </c>
      <c r="B19" s="365">
        <f t="shared" si="0"/>
        <v>305</v>
      </c>
      <c r="C19" s="457">
        <v>33.82</v>
      </c>
      <c r="D19" s="367"/>
      <c r="F19" s="370" t="s">
        <v>128</v>
      </c>
      <c r="G19" s="343">
        <v>2</v>
      </c>
      <c r="H19" s="223"/>
      <c r="K19" s="396" t="s">
        <v>212</v>
      </c>
      <c r="L19" s="397">
        <v>10.44</v>
      </c>
      <c r="M19" s="733"/>
    </row>
    <row r="20" spans="1:18" ht="15">
      <c r="A20" s="428">
        <f t="shared" si="1"/>
        <v>16</v>
      </c>
      <c r="B20" s="365">
        <f t="shared" si="0"/>
        <v>304</v>
      </c>
      <c r="C20" s="457">
        <v>33.729999999999997</v>
      </c>
      <c r="D20" s="367"/>
      <c r="F20" s="371" t="s">
        <v>129</v>
      </c>
      <c r="G20" s="387">
        <v>2</v>
      </c>
      <c r="H20" s="415"/>
      <c r="M20" s="450"/>
      <c r="R20" s="277"/>
    </row>
    <row r="21" spans="1:18" ht="15">
      <c r="A21" s="428">
        <f t="shared" si="1"/>
        <v>17</v>
      </c>
      <c r="B21" s="365">
        <f t="shared" si="0"/>
        <v>303</v>
      </c>
      <c r="C21" s="457">
        <v>33.35</v>
      </c>
      <c r="D21" s="367"/>
      <c r="F21" s="402" t="s">
        <v>130</v>
      </c>
      <c r="G21" s="388">
        <v>2</v>
      </c>
      <c r="H21" s="416"/>
      <c r="M21" s="450"/>
      <c r="R21" s="277"/>
    </row>
    <row r="22" spans="1:18" ht="15">
      <c r="A22" s="428">
        <f t="shared" si="1"/>
        <v>18</v>
      </c>
      <c r="B22" s="365">
        <f t="shared" si="0"/>
        <v>302</v>
      </c>
      <c r="C22" s="457">
        <v>33.020000000000003</v>
      </c>
      <c r="D22" s="367"/>
      <c r="F22" s="403" t="s">
        <v>131</v>
      </c>
      <c r="G22" s="389">
        <v>2</v>
      </c>
      <c r="H22" s="416"/>
      <c r="M22" s="450"/>
      <c r="R22" s="277"/>
    </row>
    <row r="23" spans="1:18" ht="15.75" thickBot="1">
      <c r="A23" s="428">
        <f t="shared" si="1"/>
        <v>19</v>
      </c>
      <c r="B23" s="365">
        <f t="shared" si="0"/>
        <v>301</v>
      </c>
      <c r="C23" s="457">
        <v>33.75</v>
      </c>
      <c r="D23" s="367"/>
      <c r="F23" s="404" t="s">
        <v>132</v>
      </c>
      <c r="G23" s="344">
        <f>SUM(G17:G22)</f>
        <v>10</v>
      </c>
      <c r="H23" s="416"/>
      <c r="M23" s="450"/>
      <c r="R23" s="277"/>
    </row>
    <row r="24" spans="1:18">
      <c r="A24" s="428">
        <f t="shared" si="1"/>
        <v>20</v>
      </c>
      <c r="B24" s="365">
        <f t="shared" si="0"/>
        <v>300</v>
      </c>
      <c r="C24" s="457">
        <v>33.82</v>
      </c>
      <c r="D24" s="367"/>
      <c r="H24" s="417"/>
      <c r="M24" s="450"/>
      <c r="R24" s="277"/>
    </row>
    <row r="25" spans="1:18" ht="15">
      <c r="A25" s="428">
        <f t="shared" si="1"/>
        <v>21</v>
      </c>
      <c r="B25" s="365">
        <f t="shared" si="0"/>
        <v>299</v>
      </c>
      <c r="C25" s="457">
        <v>33.81</v>
      </c>
      <c r="D25" s="367"/>
      <c r="F25" s="251"/>
      <c r="G25" s="223"/>
      <c r="H25" s="416"/>
      <c r="M25" s="450"/>
      <c r="R25" s="277"/>
    </row>
    <row r="26" spans="1:18" ht="15">
      <c r="A26" s="428">
        <f t="shared" si="1"/>
        <v>22</v>
      </c>
      <c r="B26" s="365">
        <f t="shared" si="0"/>
        <v>298</v>
      </c>
      <c r="C26" s="457">
        <v>33.94</v>
      </c>
      <c r="D26" s="367"/>
      <c r="F26" s="251"/>
      <c r="G26" s="223"/>
      <c r="H26" s="416"/>
      <c r="M26" s="450"/>
      <c r="R26" s="277"/>
    </row>
    <row r="27" spans="1:18" ht="15">
      <c r="A27" s="428">
        <f t="shared" si="1"/>
        <v>23</v>
      </c>
      <c r="B27" s="365">
        <f t="shared" si="0"/>
        <v>297</v>
      </c>
      <c r="C27" s="457">
        <v>33.950000000000003</v>
      </c>
      <c r="D27" s="367"/>
      <c r="F27" s="251"/>
      <c r="G27" s="223"/>
      <c r="H27" s="418"/>
      <c r="P27" s="223"/>
      <c r="Q27" s="307"/>
      <c r="R27" s="277"/>
    </row>
    <row r="28" spans="1:18">
      <c r="A28" s="428">
        <f t="shared" si="1"/>
        <v>24</v>
      </c>
      <c r="B28" s="365">
        <f t="shared" si="0"/>
        <v>296</v>
      </c>
      <c r="C28" s="457">
        <v>32.85</v>
      </c>
      <c r="D28" s="367"/>
      <c r="F28" s="251"/>
      <c r="G28" s="223"/>
      <c r="P28" s="223"/>
      <c r="Q28" s="307"/>
      <c r="R28" s="277"/>
    </row>
    <row r="29" spans="1:18">
      <c r="A29" s="428">
        <f t="shared" si="1"/>
        <v>25</v>
      </c>
      <c r="B29" s="365">
        <f t="shared" si="0"/>
        <v>295</v>
      </c>
      <c r="C29" s="457">
        <v>33.57</v>
      </c>
      <c r="D29" s="367"/>
      <c r="F29" s="251"/>
      <c r="G29" s="223"/>
      <c r="H29" s="223"/>
      <c r="P29" s="223"/>
      <c r="Q29" s="307"/>
      <c r="R29" s="277"/>
    </row>
    <row r="30" spans="1:18">
      <c r="A30" s="428">
        <f t="shared" si="1"/>
        <v>26</v>
      </c>
      <c r="B30" s="365">
        <f t="shared" si="0"/>
        <v>294</v>
      </c>
      <c r="C30" s="457">
        <v>33.47</v>
      </c>
      <c r="D30" s="367"/>
      <c r="F30" s="251"/>
      <c r="G30" s="223"/>
      <c r="H30" s="223"/>
      <c r="P30" s="223"/>
      <c r="Q30" s="307"/>
      <c r="R30" s="277"/>
    </row>
    <row r="31" spans="1:18">
      <c r="A31" s="428">
        <f t="shared" si="1"/>
        <v>27</v>
      </c>
      <c r="B31" s="365">
        <f t="shared" si="0"/>
        <v>293</v>
      </c>
      <c r="C31" s="457">
        <v>33.64</v>
      </c>
      <c r="D31" s="367"/>
      <c r="F31" s="251"/>
      <c r="G31" s="223"/>
      <c r="H31" s="223"/>
      <c r="P31" s="223"/>
      <c r="Q31" s="307"/>
      <c r="R31" s="277"/>
    </row>
    <row r="32" spans="1:18">
      <c r="A32" s="428">
        <f t="shared" si="1"/>
        <v>28</v>
      </c>
      <c r="B32" s="365">
        <f t="shared" si="0"/>
        <v>292</v>
      </c>
      <c r="C32" s="457">
        <v>33.42</v>
      </c>
      <c r="D32" s="367"/>
      <c r="F32" s="251"/>
      <c r="G32" s="223"/>
      <c r="H32" s="223"/>
      <c r="P32" s="223"/>
      <c r="Q32" s="307"/>
      <c r="R32" s="277"/>
    </row>
    <row r="33" spans="1:18">
      <c r="A33" s="428">
        <f t="shared" si="1"/>
        <v>29</v>
      </c>
      <c r="B33" s="365">
        <f t="shared" si="0"/>
        <v>291</v>
      </c>
      <c r="C33" s="457">
        <v>33.31</v>
      </c>
      <c r="D33" s="367"/>
      <c r="F33" s="251"/>
      <c r="G33" s="223"/>
      <c r="H33" s="223"/>
      <c r="P33" s="223"/>
      <c r="Q33" s="307"/>
      <c r="R33" s="277"/>
    </row>
    <row r="34" spans="1:18">
      <c r="A34" s="428">
        <f t="shared" si="1"/>
        <v>30</v>
      </c>
      <c r="B34" s="365">
        <f t="shared" si="0"/>
        <v>290</v>
      </c>
      <c r="C34" s="457">
        <v>33.5</v>
      </c>
      <c r="D34" s="367"/>
      <c r="F34" s="251"/>
      <c r="G34" s="223"/>
      <c r="H34" s="223"/>
      <c r="P34" s="223"/>
      <c r="Q34" s="307"/>
      <c r="R34" s="277"/>
    </row>
    <row r="35" spans="1:18">
      <c r="A35" s="428">
        <f t="shared" si="1"/>
        <v>31</v>
      </c>
      <c r="B35" s="365">
        <f t="shared" si="0"/>
        <v>289</v>
      </c>
      <c r="C35" s="457">
        <v>33.409999999999997</v>
      </c>
      <c r="D35" s="367"/>
      <c r="F35" s="251"/>
      <c r="G35" s="223"/>
      <c r="H35" s="223"/>
      <c r="P35" s="223"/>
      <c r="Q35" s="307"/>
      <c r="R35" s="277"/>
    </row>
    <row r="36" spans="1:18">
      <c r="A36" s="428">
        <f t="shared" si="1"/>
        <v>32</v>
      </c>
      <c r="B36" s="365">
        <f t="shared" si="0"/>
        <v>288</v>
      </c>
      <c r="C36" s="457">
        <v>32.56</v>
      </c>
      <c r="D36" s="367"/>
      <c r="F36" s="251"/>
      <c r="G36" s="223"/>
      <c r="H36" s="223"/>
      <c r="P36" s="223"/>
      <c r="Q36" s="307"/>
      <c r="R36" s="277"/>
    </row>
    <row r="37" spans="1:18">
      <c r="A37" s="428">
        <f t="shared" si="1"/>
        <v>33</v>
      </c>
      <c r="B37" s="365">
        <f t="shared" si="0"/>
        <v>287</v>
      </c>
      <c r="C37" s="457">
        <v>33.04</v>
      </c>
      <c r="D37" s="367"/>
      <c r="F37" s="251"/>
      <c r="G37" s="223"/>
      <c r="H37" s="223"/>
      <c r="P37" s="223"/>
      <c r="Q37" s="307"/>
      <c r="R37" s="277"/>
    </row>
    <row r="38" spans="1:18">
      <c r="A38" s="428">
        <f t="shared" si="1"/>
        <v>34</v>
      </c>
      <c r="B38" s="365">
        <f t="shared" si="0"/>
        <v>286</v>
      </c>
      <c r="C38" s="457">
        <v>33.229999999999997</v>
      </c>
      <c r="D38" s="367"/>
      <c r="F38" s="251"/>
      <c r="G38" s="223"/>
      <c r="H38" s="223"/>
      <c r="P38" s="223"/>
      <c r="Q38" s="307"/>
      <c r="R38" s="277"/>
    </row>
    <row r="39" spans="1:18">
      <c r="A39" s="428">
        <f t="shared" si="1"/>
        <v>35</v>
      </c>
      <c r="B39" s="365">
        <f t="shared" si="0"/>
        <v>285</v>
      </c>
      <c r="C39" s="457">
        <v>33.21</v>
      </c>
      <c r="D39" s="367"/>
      <c r="F39" s="251"/>
      <c r="G39" s="223"/>
      <c r="H39" s="223"/>
      <c r="P39" s="223"/>
      <c r="Q39" s="307"/>
      <c r="R39" s="277"/>
    </row>
    <row r="40" spans="1:18">
      <c r="A40" s="428">
        <f t="shared" si="1"/>
        <v>36</v>
      </c>
      <c r="B40" s="365">
        <f t="shared" si="0"/>
        <v>284</v>
      </c>
      <c r="C40" s="457">
        <v>33.619999999999997</v>
      </c>
      <c r="D40" s="367"/>
      <c r="F40" s="251"/>
      <c r="G40" s="223"/>
      <c r="H40" s="223"/>
      <c r="P40" s="223"/>
      <c r="Q40" s="307"/>
      <c r="R40" s="277"/>
    </row>
    <row r="41" spans="1:18">
      <c r="A41" s="428">
        <f t="shared" si="1"/>
        <v>37</v>
      </c>
      <c r="B41" s="365">
        <f t="shared" si="0"/>
        <v>283</v>
      </c>
      <c r="C41" s="457">
        <v>33.799999999999997</v>
      </c>
      <c r="D41" s="367"/>
      <c r="F41" s="251"/>
      <c r="G41" s="223"/>
      <c r="H41" s="223"/>
      <c r="P41" s="223"/>
      <c r="Q41" s="307"/>
      <c r="R41" s="277"/>
    </row>
    <row r="42" spans="1:18">
      <c r="A42" s="428">
        <f t="shared" si="1"/>
        <v>38</v>
      </c>
      <c r="B42" s="365">
        <f t="shared" si="0"/>
        <v>282</v>
      </c>
      <c r="C42" s="457">
        <v>33.15</v>
      </c>
      <c r="D42" s="367"/>
      <c r="F42" s="251"/>
      <c r="G42" s="223"/>
      <c r="H42" s="223"/>
      <c r="P42" s="223"/>
      <c r="Q42" s="307"/>
      <c r="R42" s="277"/>
    </row>
    <row r="43" spans="1:18">
      <c r="A43" s="428">
        <f t="shared" si="1"/>
        <v>39</v>
      </c>
      <c r="B43" s="365">
        <f t="shared" si="0"/>
        <v>281</v>
      </c>
      <c r="C43" s="457">
        <v>33.71</v>
      </c>
      <c r="D43" s="367"/>
      <c r="F43" s="251"/>
      <c r="G43" s="223"/>
      <c r="H43" s="223"/>
      <c r="P43" s="223"/>
      <c r="Q43" s="307"/>
      <c r="R43" s="277"/>
    </row>
    <row r="44" spans="1:18">
      <c r="A44" s="428">
        <f t="shared" si="1"/>
        <v>40</v>
      </c>
      <c r="B44" s="365">
        <f t="shared" si="0"/>
        <v>280</v>
      </c>
      <c r="C44" s="457">
        <v>33.94</v>
      </c>
      <c r="D44" s="367"/>
      <c r="F44" s="251"/>
      <c r="G44" s="223"/>
      <c r="H44" s="223"/>
      <c r="P44" s="223"/>
      <c r="Q44" s="307"/>
      <c r="R44" s="277"/>
    </row>
    <row r="45" spans="1:18">
      <c r="A45" s="428">
        <f t="shared" si="1"/>
        <v>41</v>
      </c>
      <c r="B45" s="365">
        <f t="shared" si="0"/>
        <v>279</v>
      </c>
      <c r="C45" s="457">
        <v>33.58</v>
      </c>
      <c r="D45" s="367"/>
      <c r="F45" s="251"/>
      <c r="G45" s="223"/>
      <c r="H45" s="223"/>
      <c r="P45" s="223"/>
      <c r="Q45" s="307"/>
      <c r="R45" s="277"/>
    </row>
    <row r="46" spans="1:18">
      <c r="A46" s="428">
        <f t="shared" si="1"/>
        <v>42</v>
      </c>
      <c r="B46" s="365">
        <f t="shared" si="0"/>
        <v>278</v>
      </c>
      <c r="C46" s="457">
        <v>33.479999999999997</v>
      </c>
      <c r="D46" s="367"/>
      <c r="F46" s="251"/>
      <c r="G46" s="223"/>
      <c r="H46" s="223"/>
      <c r="P46" s="223"/>
      <c r="Q46" s="307"/>
      <c r="R46" s="277"/>
    </row>
    <row r="47" spans="1:18">
      <c r="A47" s="428">
        <f t="shared" si="1"/>
        <v>43</v>
      </c>
      <c r="B47" s="365">
        <f t="shared" si="0"/>
        <v>277</v>
      </c>
      <c r="C47" s="457">
        <v>33.19</v>
      </c>
      <c r="D47" s="367"/>
      <c r="F47" s="251"/>
      <c r="G47" s="223"/>
      <c r="H47" s="223"/>
      <c r="P47" s="223"/>
      <c r="Q47" s="307"/>
      <c r="R47" s="277"/>
    </row>
    <row r="48" spans="1:18">
      <c r="A48" s="428">
        <f t="shared" si="1"/>
        <v>44</v>
      </c>
      <c r="B48" s="365">
        <f t="shared" si="0"/>
        <v>276</v>
      </c>
      <c r="C48" s="458">
        <v>33.880000000000003</v>
      </c>
      <c r="D48" s="367"/>
      <c r="F48" s="251"/>
      <c r="G48" s="223"/>
      <c r="H48" s="223"/>
      <c r="P48" s="223"/>
      <c r="Q48" s="307"/>
      <c r="R48" s="277"/>
    </row>
    <row r="49" spans="1:18">
      <c r="A49" s="428">
        <f t="shared" si="1"/>
        <v>45</v>
      </c>
      <c r="B49" s="365">
        <f t="shared" si="0"/>
        <v>275</v>
      </c>
      <c r="C49" s="458">
        <v>33.380000000000003</v>
      </c>
      <c r="D49" s="367"/>
      <c r="F49" s="251"/>
      <c r="G49" s="223"/>
      <c r="H49" s="223"/>
      <c r="P49" s="223"/>
      <c r="Q49" s="307"/>
      <c r="R49" s="277"/>
    </row>
    <row r="50" spans="1:18">
      <c r="A50" s="428">
        <f t="shared" si="1"/>
        <v>46</v>
      </c>
      <c r="B50" s="365">
        <f t="shared" si="0"/>
        <v>274</v>
      </c>
      <c r="C50" s="458">
        <v>33.619999999999997</v>
      </c>
      <c r="D50" s="367"/>
      <c r="F50" s="251"/>
      <c r="G50" s="223"/>
      <c r="H50" s="223"/>
      <c r="P50" s="223"/>
      <c r="Q50" s="307"/>
      <c r="R50" s="277"/>
    </row>
    <row r="51" spans="1:18">
      <c r="A51" s="428">
        <f t="shared" si="1"/>
        <v>47</v>
      </c>
      <c r="B51" s="365">
        <f t="shared" si="0"/>
        <v>273</v>
      </c>
      <c r="C51" s="458">
        <v>33.4</v>
      </c>
      <c r="D51" s="367"/>
      <c r="F51" s="251"/>
      <c r="G51" s="223"/>
      <c r="H51" s="223"/>
      <c r="P51" s="223"/>
      <c r="Q51" s="307"/>
      <c r="R51" s="277"/>
    </row>
    <row r="52" spans="1:18">
      <c r="A52" s="428">
        <f t="shared" si="1"/>
        <v>48</v>
      </c>
      <c r="B52" s="365">
        <f t="shared" si="0"/>
        <v>272</v>
      </c>
      <c r="C52" s="458">
        <v>32.81</v>
      </c>
      <c r="D52" s="367"/>
      <c r="F52" s="251"/>
      <c r="G52" s="223"/>
      <c r="H52" s="223"/>
      <c r="P52" s="223"/>
      <c r="Q52" s="307"/>
      <c r="R52" s="277"/>
    </row>
    <row r="53" spans="1:18">
      <c r="A53" s="428">
        <f t="shared" si="1"/>
        <v>49</v>
      </c>
      <c r="B53" s="365">
        <f t="shared" si="0"/>
        <v>271</v>
      </c>
      <c r="C53" s="458">
        <v>33.01</v>
      </c>
      <c r="D53" s="367"/>
      <c r="F53" s="251"/>
      <c r="G53" s="223"/>
      <c r="H53" s="223"/>
      <c r="P53" s="223"/>
      <c r="Q53" s="307"/>
      <c r="R53" s="277"/>
    </row>
    <row r="54" spans="1:18">
      <c r="A54" s="428">
        <f t="shared" si="1"/>
        <v>50</v>
      </c>
      <c r="B54" s="365">
        <f t="shared" si="0"/>
        <v>270</v>
      </c>
      <c r="C54" s="458">
        <v>33.270000000000003</v>
      </c>
      <c r="D54" s="367"/>
      <c r="F54" s="251"/>
      <c r="G54" s="223"/>
      <c r="H54" s="223"/>
      <c r="P54" s="223"/>
      <c r="Q54" s="307"/>
      <c r="R54" s="277"/>
    </row>
    <row r="55" spans="1:18">
      <c r="A55" s="428">
        <f t="shared" si="1"/>
        <v>51</v>
      </c>
      <c r="B55" s="365">
        <f t="shared" si="0"/>
        <v>269</v>
      </c>
      <c r="C55" s="458">
        <v>33.08</v>
      </c>
      <c r="D55" s="367"/>
      <c r="F55" s="251"/>
      <c r="G55" s="223"/>
      <c r="H55" s="223"/>
      <c r="P55" s="223"/>
      <c r="Q55" s="307"/>
      <c r="R55" s="277"/>
    </row>
    <row r="56" spans="1:18">
      <c r="A56" s="428">
        <f t="shared" si="1"/>
        <v>52</v>
      </c>
      <c r="B56" s="365">
        <f t="shared" si="0"/>
        <v>268</v>
      </c>
      <c r="C56" s="458">
        <v>33.700000000000003</v>
      </c>
      <c r="D56" s="367"/>
      <c r="F56" s="251"/>
      <c r="G56" s="223"/>
      <c r="H56" s="223"/>
      <c r="P56" s="223"/>
      <c r="Q56" s="307"/>
      <c r="R56" s="277"/>
    </row>
    <row r="57" spans="1:18">
      <c r="A57" s="428">
        <f t="shared" si="1"/>
        <v>53</v>
      </c>
      <c r="B57" s="365">
        <f t="shared" si="0"/>
        <v>267</v>
      </c>
      <c r="C57" s="458">
        <v>33.78</v>
      </c>
      <c r="D57" s="367"/>
      <c r="F57" s="251"/>
      <c r="G57" s="223"/>
      <c r="H57" s="223"/>
      <c r="P57" s="223"/>
      <c r="Q57" s="307"/>
      <c r="R57" s="277"/>
    </row>
    <row r="58" spans="1:18">
      <c r="A58" s="428">
        <f t="shared" si="1"/>
        <v>54</v>
      </c>
      <c r="B58" s="365">
        <f t="shared" si="0"/>
        <v>266</v>
      </c>
      <c r="C58" s="458">
        <v>33.93</v>
      </c>
      <c r="D58" s="367"/>
      <c r="F58" s="251"/>
      <c r="G58" s="223"/>
      <c r="H58" s="223"/>
      <c r="P58" s="223"/>
      <c r="Q58" s="307"/>
      <c r="R58" s="277"/>
    </row>
    <row r="59" spans="1:18">
      <c r="A59" s="428">
        <f t="shared" si="1"/>
        <v>55</v>
      </c>
      <c r="B59" s="365">
        <f t="shared" si="0"/>
        <v>265</v>
      </c>
      <c r="C59" s="458">
        <v>33.67</v>
      </c>
      <c r="D59" s="367"/>
      <c r="F59" s="251"/>
      <c r="G59" s="223"/>
      <c r="H59" s="223"/>
      <c r="P59" s="223"/>
      <c r="Q59" s="307"/>
      <c r="R59" s="277"/>
    </row>
    <row r="60" spans="1:18">
      <c r="A60" s="428">
        <f t="shared" si="1"/>
        <v>56</v>
      </c>
      <c r="B60" s="365">
        <f t="shared" si="0"/>
        <v>264</v>
      </c>
      <c r="C60" s="458">
        <v>33.93</v>
      </c>
      <c r="D60" s="367"/>
      <c r="F60" s="251"/>
      <c r="G60" s="223"/>
      <c r="H60" s="223"/>
      <c r="P60" s="223"/>
      <c r="Q60" s="307"/>
      <c r="R60" s="277"/>
    </row>
    <row r="61" spans="1:18">
      <c r="A61" s="428">
        <f t="shared" si="1"/>
        <v>57</v>
      </c>
      <c r="B61" s="365">
        <f t="shared" si="0"/>
        <v>263</v>
      </c>
      <c r="C61" s="458">
        <v>33.93</v>
      </c>
      <c r="D61" s="367"/>
      <c r="F61" s="251"/>
      <c r="G61" s="223"/>
      <c r="H61" s="223"/>
      <c r="P61" s="223"/>
      <c r="Q61" s="307"/>
      <c r="R61" s="277"/>
    </row>
    <row r="62" spans="1:18">
      <c r="A62" s="428">
        <f t="shared" si="1"/>
        <v>58</v>
      </c>
      <c r="B62" s="365">
        <f t="shared" si="0"/>
        <v>262</v>
      </c>
      <c r="C62" s="458">
        <v>33.950000000000003</v>
      </c>
      <c r="D62" s="367"/>
      <c r="F62" s="251"/>
      <c r="G62" s="223"/>
      <c r="H62" s="223"/>
      <c r="P62" s="223"/>
      <c r="Q62" s="307"/>
      <c r="R62" s="277"/>
    </row>
    <row r="63" spans="1:18">
      <c r="A63" s="428">
        <f t="shared" si="1"/>
        <v>59</v>
      </c>
      <c r="B63" s="365">
        <f t="shared" si="0"/>
        <v>261</v>
      </c>
      <c r="C63" s="458">
        <v>33.950000000000003</v>
      </c>
      <c r="D63" s="367"/>
      <c r="F63" s="251"/>
      <c r="G63" s="223"/>
      <c r="H63" s="223"/>
      <c r="P63" s="223"/>
      <c r="Q63" s="307"/>
      <c r="R63" s="277"/>
    </row>
    <row r="64" spans="1:18">
      <c r="A64" s="428">
        <f t="shared" si="1"/>
        <v>60</v>
      </c>
      <c r="B64" s="365">
        <f t="shared" si="0"/>
        <v>260</v>
      </c>
      <c r="C64" s="458">
        <v>33.950000000000003</v>
      </c>
      <c r="D64" s="367"/>
      <c r="F64" s="251"/>
      <c r="G64" s="223"/>
      <c r="H64" s="223"/>
      <c r="P64" s="223"/>
      <c r="Q64" s="307"/>
      <c r="R64" s="277"/>
    </row>
    <row r="65" spans="1:18">
      <c r="A65" s="428">
        <f t="shared" si="1"/>
        <v>61</v>
      </c>
      <c r="B65" s="365">
        <f t="shared" ref="B65:B128" si="2">B64-1</f>
        <v>259</v>
      </c>
      <c r="C65" s="458">
        <v>33.950000000000003</v>
      </c>
      <c r="D65" s="367"/>
      <c r="F65" s="251"/>
      <c r="G65" s="223"/>
      <c r="H65" s="223"/>
      <c r="P65" s="223"/>
      <c r="Q65" s="307"/>
      <c r="R65" s="277"/>
    </row>
    <row r="66" spans="1:18">
      <c r="A66" s="428">
        <f t="shared" si="1"/>
        <v>62</v>
      </c>
      <c r="B66" s="365">
        <f t="shared" si="2"/>
        <v>258</v>
      </c>
      <c r="C66" s="458">
        <v>33.72</v>
      </c>
      <c r="D66" s="367"/>
      <c r="F66" s="251"/>
      <c r="G66" s="223"/>
      <c r="H66" s="223"/>
      <c r="P66" s="223"/>
      <c r="Q66" s="307"/>
      <c r="R66" s="277"/>
    </row>
    <row r="67" spans="1:18">
      <c r="A67" s="428">
        <f t="shared" si="1"/>
        <v>63</v>
      </c>
      <c r="B67" s="365">
        <f t="shared" si="2"/>
        <v>257</v>
      </c>
      <c r="C67" s="458">
        <v>33.520000000000003</v>
      </c>
      <c r="D67" s="367"/>
      <c r="F67" s="251"/>
      <c r="G67" s="223"/>
      <c r="H67" s="223"/>
      <c r="P67" s="223"/>
      <c r="Q67" s="307"/>
      <c r="R67" s="277"/>
    </row>
    <row r="68" spans="1:18">
      <c r="A68" s="428">
        <f t="shared" si="1"/>
        <v>64</v>
      </c>
      <c r="B68" s="365">
        <f t="shared" si="2"/>
        <v>256</v>
      </c>
      <c r="C68" s="458">
        <v>33.74</v>
      </c>
      <c r="D68" s="367"/>
      <c r="F68" s="251"/>
      <c r="G68" s="223"/>
      <c r="H68" s="223"/>
      <c r="P68" s="223"/>
      <c r="Q68" s="307"/>
      <c r="R68" s="277"/>
    </row>
    <row r="69" spans="1:18">
      <c r="A69" s="428">
        <f t="shared" si="1"/>
        <v>65</v>
      </c>
      <c r="B69" s="365">
        <f t="shared" si="2"/>
        <v>255</v>
      </c>
      <c r="C69" s="458">
        <v>33.58</v>
      </c>
      <c r="D69" s="367"/>
      <c r="F69" s="251"/>
      <c r="G69" s="223"/>
      <c r="H69" s="223"/>
      <c r="P69" s="223"/>
      <c r="Q69" s="307"/>
      <c r="R69" s="277"/>
    </row>
    <row r="70" spans="1:18">
      <c r="A70" s="428">
        <f t="shared" si="1"/>
        <v>66</v>
      </c>
      <c r="B70" s="365">
        <f t="shared" si="2"/>
        <v>254</v>
      </c>
      <c r="C70" s="458">
        <v>33.89</v>
      </c>
      <c r="D70" s="367"/>
      <c r="F70" s="251"/>
      <c r="G70" s="223"/>
      <c r="H70" s="223"/>
      <c r="P70" s="223"/>
      <c r="Q70" s="307"/>
      <c r="R70" s="277"/>
    </row>
    <row r="71" spans="1:18">
      <c r="A71" s="428">
        <f t="shared" ref="A71:A134" si="3">A70+1</f>
        <v>67</v>
      </c>
      <c r="B71" s="365">
        <f t="shared" si="2"/>
        <v>253</v>
      </c>
      <c r="C71" s="458">
        <v>33.53</v>
      </c>
      <c r="D71" s="367"/>
      <c r="F71" s="251"/>
      <c r="G71" s="223"/>
      <c r="H71" s="223"/>
      <c r="P71" s="223"/>
      <c r="Q71" s="307"/>
      <c r="R71" s="277"/>
    </row>
    <row r="72" spans="1:18">
      <c r="A72" s="428">
        <f t="shared" si="3"/>
        <v>68</v>
      </c>
      <c r="B72" s="365">
        <f t="shared" si="2"/>
        <v>252</v>
      </c>
      <c r="C72" s="458">
        <v>33.82</v>
      </c>
      <c r="D72" s="367"/>
      <c r="F72" s="251"/>
      <c r="G72" s="223"/>
      <c r="H72" s="223"/>
      <c r="P72" s="223"/>
      <c r="Q72" s="307"/>
      <c r="R72" s="277"/>
    </row>
    <row r="73" spans="1:18">
      <c r="A73" s="428">
        <f t="shared" si="3"/>
        <v>69</v>
      </c>
      <c r="B73" s="365">
        <f t="shared" si="2"/>
        <v>251</v>
      </c>
      <c r="C73" s="458">
        <v>33.61</v>
      </c>
      <c r="D73" s="367"/>
      <c r="F73" s="251"/>
      <c r="G73" s="223"/>
      <c r="H73" s="223"/>
      <c r="P73" s="223"/>
      <c r="Q73" s="307"/>
      <c r="R73" s="277"/>
    </row>
    <row r="74" spans="1:18">
      <c r="A74" s="428">
        <f t="shared" si="3"/>
        <v>70</v>
      </c>
      <c r="B74" s="365">
        <f t="shared" si="2"/>
        <v>250</v>
      </c>
      <c r="C74" s="458">
        <v>33.450000000000003</v>
      </c>
      <c r="D74" s="367"/>
      <c r="F74" s="251"/>
      <c r="G74" s="223"/>
      <c r="H74" s="223"/>
      <c r="P74" s="223"/>
      <c r="Q74" s="307"/>
      <c r="R74" s="277"/>
    </row>
    <row r="75" spans="1:18">
      <c r="A75" s="428">
        <f t="shared" si="3"/>
        <v>71</v>
      </c>
      <c r="B75" s="365">
        <f t="shared" si="2"/>
        <v>249</v>
      </c>
      <c r="C75" s="458">
        <v>33.68</v>
      </c>
      <c r="D75" s="367"/>
      <c r="F75" s="251"/>
      <c r="G75" s="223"/>
      <c r="H75" s="223"/>
      <c r="P75" s="223"/>
      <c r="Q75" s="307"/>
      <c r="R75" s="277"/>
    </row>
    <row r="76" spans="1:18">
      <c r="A76" s="428">
        <f t="shared" si="3"/>
        <v>72</v>
      </c>
      <c r="B76" s="365">
        <f t="shared" si="2"/>
        <v>248</v>
      </c>
      <c r="C76" s="458">
        <v>33.24</v>
      </c>
      <c r="D76" s="367"/>
      <c r="F76" s="251"/>
      <c r="G76" s="223"/>
      <c r="H76" s="223"/>
      <c r="P76" s="223"/>
      <c r="Q76" s="307"/>
      <c r="R76" s="277"/>
    </row>
    <row r="77" spans="1:18">
      <c r="A77" s="428">
        <f t="shared" si="3"/>
        <v>73</v>
      </c>
      <c r="B77" s="365">
        <f t="shared" si="2"/>
        <v>247</v>
      </c>
      <c r="C77" s="458">
        <v>31</v>
      </c>
      <c r="D77" s="367"/>
      <c r="F77" s="251"/>
      <c r="G77" s="223"/>
      <c r="H77" s="223"/>
      <c r="P77" s="223"/>
      <c r="Q77" s="307"/>
      <c r="R77" s="277"/>
    </row>
    <row r="78" spans="1:18">
      <c r="A78" s="428">
        <f t="shared" si="3"/>
        <v>74</v>
      </c>
      <c r="B78" s="365">
        <f t="shared" si="2"/>
        <v>246</v>
      </c>
      <c r="C78" s="458">
        <v>33.76</v>
      </c>
      <c r="D78" s="367"/>
      <c r="F78" s="251"/>
      <c r="G78" s="223"/>
      <c r="H78" s="223"/>
      <c r="P78" s="223"/>
      <c r="Q78" s="307"/>
      <c r="R78" s="277"/>
    </row>
    <row r="79" spans="1:18">
      <c r="A79" s="428">
        <f t="shared" si="3"/>
        <v>75</v>
      </c>
      <c r="B79" s="365">
        <f t="shared" si="2"/>
        <v>245</v>
      </c>
      <c r="C79" s="458">
        <v>33.74</v>
      </c>
      <c r="D79" s="367"/>
      <c r="F79" s="251"/>
      <c r="G79" s="223"/>
      <c r="H79" s="223"/>
      <c r="P79" s="223"/>
      <c r="Q79" s="307"/>
      <c r="R79" s="277"/>
    </row>
    <row r="80" spans="1:18">
      <c r="A80" s="428">
        <f t="shared" si="3"/>
        <v>76</v>
      </c>
      <c r="B80" s="365">
        <f t="shared" si="2"/>
        <v>244</v>
      </c>
      <c r="C80" s="458">
        <v>33.94</v>
      </c>
      <c r="D80" s="367"/>
      <c r="F80" s="251"/>
      <c r="G80" s="223"/>
      <c r="H80" s="223"/>
      <c r="P80" s="223"/>
      <c r="Q80" s="307"/>
      <c r="R80" s="277"/>
    </row>
    <row r="81" spans="1:18">
      <c r="A81" s="428">
        <f t="shared" si="3"/>
        <v>77</v>
      </c>
      <c r="B81" s="365">
        <f t="shared" si="2"/>
        <v>243</v>
      </c>
      <c r="C81" s="458">
        <v>33.520000000000003</v>
      </c>
      <c r="D81" s="367"/>
      <c r="F81" s="251"/>
      <c r="G81" s="223"/>
      <c r="H81" s="223"/>
      <c r="P81" s="223"/>
      <c r="Q81" s="307"/>
      <c r="R81" s="277"/>
    </row>
    <row r="82" spans="1:18">
      <c r="A82" s="428">
        <f t="shared" si="3"/>
        <v>78</v>
      </c>
      <c r="B82" s="365">
        <f t="shared" si="2"/>
        <v>242</v>
      </c>
      <c r="C82" s="458">
        <v>33.71</v>
      </c>
      <c r="D82" s="367"/>
      <c r="F82" s="251"/>
      <c r="G82" s="223"/>
      <c r="H82" s="223"/>
      <c r="P82" s="223"/>
      <c r="Q82" s="307"/>
      <c r="R82" s="277"/>
    </row>
    <row r="83" spans="1:18">
      <c r="A83" s="428">
        <f t="shared" si="3"/>
        <v>79</v>
      </c>
      <c r="B83" s="365">
        <f t="shared" si="2"/>
        <v>241</v>
      </c>
      <c r="C83" s="458">
        <v>33.71</v>
      </c>
      <c r="D83" s="367"/>
      <c r="F83" s="251"/>
      <c r="G83" s="223"/>
      <c r="H83" s="223"/>
      <c r="P83" s="223"/>
      <c r="Q83" s="307"/>
      <c r="R83" s="277"/>
    </row>
    <row r="84" spans="1:18">
      <c r="A84" s="428">
        <f t="shared" si="3"/>
        <v>80</v>
      </c>
      <c r="B84" s="365">
        <f t="shared" si="2"/>
        <v>240</v>
      </c>
      <c r="C84" s="458">
        <v>33.159999999999997</v>
      </c>
      <c r="D84" s="367"/>
      <c r="F84" s="251"/>
      <c r="G84" s="223"/>
      <c r="H84" s="223"/>
      <c r="P84" s="223"/>
      <c r="Q84" s="307"/>
      <c r="R84" s="277"/>
    </row>
    <row r="85" spans="1:18">
      <c r="A85" s="428">
        <f t="shared" si="3"/>
        <v>81</v>
      </c>
      <c r="B85" s="365">
        <f t="shared" si="2"/>
        <v>239</v>
      </c>
      <c r="C85" s="458">
        <v>33.65</v>
      </c>
      <c r="D85" s="367"/>
      <c r="F85" s="251"/>
      <c r="G85" s="223"/>
      <c r="H85" s="223"/>
      <c r="P85" s="223"/>
      <c r="Q85" s="307"/>
      <c r="R85" s="277"/>
    </row>
    <row r="86" spans="1:18">
      <c r="A86" s="428">
        <f t="shared" si="3"/>
        <v>82</v>
      </c>
      <c r="B86" s="365">
        <f t="shared" si="2"/>
        <v>238</v>
      </c>
      <c r="C86" s="458">
        <v>33.590000000000003</v>
      </c>
      <c r="D86" s="367"/>
      <c r="F86" s="251"/>
      <c r="G86" s="223"/>
      <c r="H86" s="223"/>
      <c r="P86" s="223"/>
      <c r="Q86" s="307"/>
      <c r="R86" s="277"/>
    </row>
    <row r="87" spans="1:18">
      <c r="A87" s="428">
        <f t="shared" si="3"/>
        <v>83</v>
      </c>
      <c r="B87" s="365">
        <f t="shared" si="2"/>
        <v>237</v>
      </c>
      <c r="C87" s="458">
        <v>33.69</v>
      </c>
      <c r="D87" s="367"/>
      <c r="F87" s="251"/>
      <c r="G87" s="223"/>
      <c r="H87" s="223"/>
      <c r="P87" s="223"/>
      <c r="Q87" s="307"/>
      <c r="R87" s="277"/>
    </row>
    <row r="88" spans="1:18">
      <c r="A88" s="428">
        <f t="shared" si="3"/>
        <v>84</v>
      </c>
      <c r="B88" s="365">
        <f t="shared" si="2"/>
        <v>236</v>
      </c>
      <c r="C88" s="458">
        <v>33.74</v>
      </c>
      <c r="D88" s="367"/>
      <c r="F88" s="251"/>
      <c r="G88" s="223"/>
      <c r="H88" s="223"/>
      <c r="P88" s="223"/>
      <c r="Q88" s="307"/>
      <c r="R88" s="277"/>
    </row>
    <row r="89" spans="1:18">
      <c r="A89" s="428">
        <f t="shared" si="3"/>
        <v>85</v>
      </c>
      <c r="B89" s="365">
        <f t="shared" si="2"/>
        <v>235</v>
      </c>
      <c r="C89" s="458">
        <v>32.51</v>
      </c>
      <c r="D89" s="367"/>
      <c r="F89" s="251"/>
      <c r="G89" s="223"/>
      <c r="H89" s="223"/>
      <c r="P89" s="223"/>
      <c r="Q89" s="307"/>
      <c r="R89" s="277"/>
    </row>
    <row r="90" spans="1:18">
      <c r="A90" s="428">
        <f t="shared" si="3"/>
        <v>86</v>
      </c>
      <c r="B90" s="365">
        <f t="shared" si="2"/>
        <v>234</v>
      </c>
      <c r="C90" s="458">
        <v>33.44</v>
      </c>
      <c r="D90" s="367"/>
      <c r="F90" s="251"/>
      <c r="G90" s="223"/>
      <c r="H90" s="223"/>
      <c r="P90" s="223"/>
      <c r="Q90" s="307"/>
      <c r="R90" s="277"/>
    </row>
    <row r="91" spans="1:18">
      <c r="A91" s="428">
        <f t="shared" si="3"/>
        <v>87</v>
      </c>
      <c r="B91" s="365">
        <f t="shared" si="2"/>
        <v>233</v>
      </c>
      <c r="C91" s="458">
        <v>33.68</v>
      </c>
      <c r="D91" s="367"/>
      <c r="F91" s="251"/>
      <c r="G91" s="223"/>
      <c r="H91" s="223"/>
      <c r="P91" s="223"/>
      <c r="Q91" s="307"/>
      <c r="R91" s="277"/>
    </row>
    <row r="92" spans="1:18">
      <c r="A92" s="428">
        <f t="shared" si="3"/>
        <v>88</v>
      </c>
      <c r="B92" s="365">
        <f t="shared" si="2"/>
        <v>232</v>
      </c>
      <c r="C92" s="458">
        <v>33.94</v>
      </c>
      <c r="D92" s="367"/>
      <c r="F92" s="251"/>
      <c r="G92" s="223"/>
      <c r="H92" s="223"/>
      <c r="P92" s="223"/>
      <c r="Q92" s="307"/>
      <c r="R92" s="277"/>
    </row>
    <row r="93" spans="1:18">
      <c r="A93" s="428">
        <f t="shared" si="3"/>
        <v>89</v>
      </c>
      <c r="B93" s="365">
        <f t="shared" si="2"/>
        <v>231</v>
      </c>
      <c r="C93" s="458">
        <v>33.5</v>
      </c>
      <c r="D93" s="367"/>
      <c r="F93" s="251"/>
      <c r="G93" s="223"/>
      <c r="H93" s="223"/>
      <c r="P93" s="223"/>
      <c r="Q93" s="307"/>
      <c r="R93" s="277"/>
    </row>
    <row r="94" spans="1:18">
      <c r="A94" s="428">
        <f t="shared" si="3"/>
        <v>90</v>
      </c>
      <c r="B94" s="365">
        <f t="shared" si="2"/>
        <v>230</v>
      </c>
      <c r="C94" s="458">
        <v>33.92</v>
      </c>
      <c r="D94" s="367"/>
      <c r="F94" s="251"/>
      <c r="G94" s="223"/>
      <c r="H94" s="223"/>
      <c r="P94" s="223"/>
      <c r="Q94" s="307"/>
      <c r="R94" s="277"/>
    </row>
    <row r="95" spans="1:18">
      <c r="A95" s="428">
        <f t="shared" si="3"/>
        <v>91</v>
      </c>
      <c r="B95" s="365">
        <f t="shared" si="2"/>
        <v>229</v>
      </c>
      <c r="C95" s="458">
        <v>33.65</v>
      </c>
      <c r="D95" s="367"/>
      <c r="F95" s="251"/>
      <c r="G95" s="223"/>
      <c r="H95" s="223"/>
      <c r="P95" s="223"/>
      <c r="Q95" s="307"/>
      <c r="R95" s="277"/>
    </row>
    <row r="96" spans="1:18">
      <c r="A96" s="428">
        <f t="shared" si="3"/>
        <v>92</v>
      </c>
      <c r="B96" s="365">
        <f t="shared" si="2"/>
        <v>228</v>
      </c>
      <c r="C96" s="458">
        <v>33.94</v>
      </c>
      <c r="D96" s="367"/>
      <c r="F96" s="251"/>
      <c r="G96" s="223"/>
      <c r="H96" s="223"/>
      <c r="P96" s="223"/>
      <c r="Q96" s="307"/>
      <c r="R96" s="277"/>
    </row>
    <row r="97" spans="1:18">
      <c r="A97" s="428">
        <f t="shared" si="3"/>
        <v>93</v>
      </c>
      <c r="B97" s="365">
        <f t="shared" si="2"/>
        <v>227</v>
      </c>
      <c r="C97" s="458">
        <v>33.92</v>
      </c>
      <c r="D97" s="367"/>
      <c r="F97" s="251"/>
      <c r="G97" s="223"/>
      <c r="H97" s="223"/>
      <c r="P97" s="223"/>
      <c r="Q97" s="307"/>
      <c r="R97" s="277"/>
    </row>
    <row r="98" spans="1:18">
      <c r="A98" s="428">
        <f t="shared" si="3"/>
        <v>94</v>
      </c>
      <c r="B98" s="365">
        <f t="shared" si="2"/>
        <v>226</v>
      </c>
      <c r="C98" s="458">
        <v>33.299999999999997</v>
      </c>
      <c r="D98" s="367"/>
      <c r="F98" s="251"/>
      <c r="G98" s="223"/>
      <c r="H98" s="223"/>
      <c r="P98" s="223"/>
      <c r="Q98" s="307"/>
      <c r="R98" s="277"/>
    </row>
    <row r="99" spans="1:18">
      <c r="A99" s="428">
        <f t="shared" si="3"/>
        <v>95</v>
      </c>
      <c r="B99" s="365">
        <f t="shared" si="2"/>
        <v>225</v>
      </c>
      <c r="C99" s="458">
        <v>33.56</v>
      </c>
      <c r="D99" s="367"/>
      <c r="F99" s="251"/>
      <c r="G99" s="223"/>
      <c r="H99" s="223"/>
      <c r="P99" s="223"/>
      <c r="Q99" s="307"/>
      <c r="R99" s="277"/>
    </row>
    <row r="100" spans="1:18">
      <c r="A100" s="428">
        <f t="shared" si="3"/>
        <v>96</v>
      </c>
      <c r="B100" s="365">
        <f t="shared" si="2"/>
        <v>224</v>
      </c>
      <c r="C100" s="458">
        <v>33.840000000000003</v>
      </c>
      <c r="D100" s="367"/>
      <c r="F100" s="251"/>
      <c r="G100" s="223"/>
      <c r="H100" s="223"/>
      <c r="P100" s="223"/>
      <c r="Q100" s="307"/>
      <c r="R100" s="277"/>
    </row>
    <row r="101" spans="1:18">
      <c r="A101" s="428">
        <f t="shared" si="3"/>
        <v>97</v>
      </c>
      <c r="B101" s="365">
        <f t="shared" si="2"/>
        <v>223</v>
      </c>
      <c r="C101" s="458">
        <v>33.47</v>
      </c>
      <c r="D101" s="367"/>
      <c r="F101" s="251"/>
      <c r="G101" s="223"/>
      <c r="H101" s="223"/>
      <c r="P101" s="223"/>
      <c r="Q101" s="307"/>
      <c r="R101" s="277"/>
    </row>
    <row r="102" spans="1:18">
      <c r="A102" s="428">
        <f t="shared" si="3"/>
        <v>98</v>
      </c>
      <c r="B102" s="365">
        <f t="shared" si="2"/>
        <v>222</v>
      </c>
      <c r="C102" s="458">
        <v>33.950000000000003</v>
      </c>
      <c r="D102" s="367"/>
      <c r="F102" s="251"/>
      <c r="G102" s="223"/>
      <c r="H102" s="223"/>
      <c r="P102" s="223"/>
      <c r="Q102" s="307"/>
      <c r="R102" s="277"/>
    </row>
    <row r="103" spans="1:18">
      <c r="A103" s="428">
        <f t="shared" si="3"/>
        <v>99</v>
      </c>
      <c r="B103" s="365">
        <f t="shared" si="2"/>
        <v>221</v>
      </c>
      <c r="C103" s="458">
        <v>33.880000000000003</v>
      </c>
      <c r="D103" s="367"/>
      <c r="F103" s="251"/>
      <c r="G103" s="223"/>
      <c r="H103" s="223"/>
      <c r="P103" s="223"/>
      <c r="Q103" s="307"/>
      <c r="R103" s="277"/>
    </row>
    <row r="104" spans="1:18">
      <c r="A104" s="428">
        <f t="shared" si="3"/>
        <v>100</v>
      </c>
      <c r="B104" s="365">
        <f t="shared" si="2"/>
        <v>220</v>
      </c>
      <c r="C104" s="458">
        <v>33.86</v>
      </c>
      <c r="D104" s="367"/>
      <c r="F104" s="251"/>
      <c r="G104" s="223"/>
      <c r="H104" s="223"/>
      <c r="P104" s="223"/>
      <c r="Q104" s="307"/>
      <c r="R104" s="277"/>
    </row>
    <row r="105" spans="1:18">
      <c r="A105" s="428">
        <f t="shared" si="3"/>
        <v>101</v>
      </c>
      <c r="B105" s="365">
        <f t="shared" si="2"/>
        <v>219</v>
      </c>
      <c r="C105" s="458">
        <v>31.14</v>
      </c>
      <c r="D105" s="367"/>
      <c r="F105" s="251"/>
      <c r="G105" s="223"/>
      <c r="H105" s="223"/>
      <c r="P105" s="223"/>
      <c r="Q105" s="307"/>
      <c r="R105" s="277"/>
    </row>
    <row r="106" spans="1:18">
      <c r="A106" s="428">
        <f t="shared" si="3"/>
        <v>102</v>
      </c>
      <c r="B106" s="365">
        <f t="shared" si="2"/>
        <v>218</v>
      </c>
      <c r="C106" s="458">
        <v>33.869999999999997</v>
      </c>
      <c r="D106" s="367"/>
      <c r="F106" s="251"/>
      <c r="G106" s="223"/>
      <c r="H106" s="223"/>
      <c r="P106" s="223"/>
      <c r="Q106" s="307"/>
      <c r="R106" s="277"/>
    </row>
    <row r="107" spans="1:18">
      <c r="A107" s="428">
        <f t="shared" si="3"/>
        <v>103</v>
      </c>
      <c r="B107" s="365">
        <f t="shared" si="2"/>
        <v>217</v>
      </c>
      <c r="C107" s="458">
        <v>33.950000000000003</v>
      </c>
      <c r="D107" s="367"/>
      <c r="F107" s="251"/>
      <c r="G107" s="223"/>
      <c r="H107" s="223"/>
      <c r="P107" s="223"/>
      <c r="Q107" s="307"/>
      <c r="R107" s="277"/>
    </row>
    <row r="108" spans="1:18">
      <c r="A108" s="428">
        <f t="shared" si="3"/>
        <v>104</v>
      </c>
      <c r="B108" s="365">
        <f t="shared" si="2"/>
        <v>216</v>
      </c>
      <c r="C108" s="458">
        <v>33.08</v>
      </c>
      <c r="D108" s="367"/>
      <c r="F108" s="251"/>
      <c r="G108" s="223"/>
      <c r="H108" s="223"/>
      <c r="P108" s="223"/>
      <c r="Q108" s="307"/>
      <c r="R108" s="277"/>
    </row>
    <row r="109" spans="1:18">
      <c r="A109" s="428">
        <f t="shared" si="3"/>
        <v>105</v>
      </c>
      <c r="B109" s="365">
        <f t="shared" si="2"/>
        <v>215</v>
      </c>
      <c r="C109" s="458">
        <v>33.770000000000003</v>
      </c>
      <c r="D109" s="367"/>
      <c r="F109" s="251"/>
      <c r="G109" s="223"/>
      <c r="H109" s="223"/>
      <c r="P109" s="223"/>
      <c r="Q109" s="307"/>
      <c r="R109" s="277"/>
    </row>
    <row r="110" spans="1:18">
      <c r="A110" s="428">
        <f t="shared" si="3"/>
        <v>106</v>
      </c>
      <c r="B110" s="365">
        <f t="shared" si="2"/>
        <v>214</v>
      </c>
      <c r="C110" s="458">
        <v>33.369999999999997</v>
      </c>
      <c r="D110" s="367"/>
      <c r="F110" s="251"/>
      <c r="G110" s="223"/>
      <c r="H110" s="223"/>
      <c r="P110" s="223"/>
      <c r="Q110" s="307"/>
      <c r="R110" s="277"/>
    </row>
    <row r="111" spans="1:18">
      <c r="A111" s="428">
        <f t="shared" si="3"/>
        <v>107</v>
      </c>
      <c r="B111" s="365">
        <f t="shared" si="2"/>
        <v>213</v>
      </c>
      <c r="C111" s="458">
        <v>33.950000000000003</v>
      </c>
      <c r="D111" s="367"/>
      <c r="F111" s="251"/>
      <c r="G111" s="223"/>
      <c r="H111" s="223"/>
      <c r="P111" s="223"/>
      <c r="Q111" s="307"/>
      <c r="R111" s="277"/>
    </row>
    <row r="112" spans="1:18">
      <c r="A112" s="428">
        <f t="shared" si="3"/>
        <v>108</v>
      </c>
      <c r="B112" s="365">
        <f t="shared" si="2"/>
        <v>212</v>
      </c>
      <c r="C112" s="458">
        <v>33.86</v>
      </c>
      <c r="D112" s="367"/>
      <c r="F112" s="251"/>
      <c r="G112" s="223"/>
      <c r="H112" s="223"/>
      <c r="P112" s="223"/>
      <c r="Q112" s="307"/>
      <c r="R112" s="277"/>
    </row>
    <row r="113" spans="1:18">
      <c r="A113" s="428">
        <f t="shared" si="3"/>
        <v>109</v>
      </c>
      <c r="B113" s="365">
        <f t="shared" si="2"/>
        <v>211</v>
      </c>
      <c r="C113" s="458">
        <v>33.82</v>
      </c>
      <c r="D113" s="367"/>
      <c r="F113" s="251"/>
      <c r="G113" s="223"/>
      <c r="H113" s="223"/>
      <c r="P113" s="223"/>
      <c r="Q113" s="307"/>
      <c r="R113" s="277"/>
    </row>
    <row r="114" spans="1:18">
      <c r="A114" s="428">
        <f t="shared" si="3"/>
        <v>110</v>
      </c>
      <c r="B114" s="365">
        <f t="shared" si="2"/>
        <v>210</v>
      </c>
      <c r="C114" s="458">
        <v>33.71</v>
      </c>
      <c r="D114" s="367"/>
      <c r="F114" s="251"/>
      <c r="G114" s="223"/>
      <c r="H114" s="223"/>
      <c r="P114" s="223"/>
      <c r="Q114" s="307"/>
      <c r="R114" s="277"/>
    </row>
    <row r="115" spans="1:18">
      <c r="A115" s="428">
        <f t="shared" si="3"/>
        <v>111</v>
      </c>
      <c r="B115" s="365">
        <f t="shared" si="2"/>
        <v>209</v>
      </c>
      <c r="C115" s="458">
        <v>33.94</v>
      </c>
      <c r="D115" s="367"/>
      <c r="F115" s="251"/>
      <c r="G115" s="223"/>
      <c r="H115" s="223"/>
      <c r="P115" s="223"/>
      <c r="Q115" s="307"/>
      <c r="R115" s="277"/>
    </row>
    <row r="116" spans="1:18">
      <c r="A116" s="428">
        <f t="shared" si="3"/>
        <v>112</v>
      </c>
      <c r="B116" s="365">
        <f t="shared" si="2"/>
        <v>208</v>
      </c>
      <c r="C116" s="458">
        <v>33.950000000000003</v>
      </c>
      <c r="D116" s="367"/>
      <c r="F116" s="251"/>
      <c r="G116" s="223"/>
      <c r="H116" s="223"/>
      <c r="P116" s="223"/>
      <c r="Q116" s="307"/>
      <c r="R116" s="277"/>
    </row>
    <row r="117" spans="1:18">
      <c r="A117" s="428">
        <f t="shared" si="3"/>
        <v>113</v>
      </c>
      <c r="B117" s="365">
        <f t="shared" si="2"/>
        <v>207</v>
      </c>
      <c r="C117" s="458">
        <v>33.67</v>
      </c>
      <c r="D117" s="367"/>
      <c r="F117" s="251"/>
      <c r="G117" s="223"/>
      <c r="H117" s="223"/>
      <c r="P117" s="223"/>
      <c r="Q117" s="307"/>
      <c r="R117" s="277"/>
    </row>
    <row r="118" spans="1:18">
      <c r="A118" s="428">
        <f t="shared" si="3"/>
        <v>114</v>
      </c>
      <c r="B118" s="365">
        <f t="shared" si="2"/>
        <v>206</v>
      </c>
      <c r="C118" s="458">
        <v>33.51</v>
      </c>
      <c r="D118" s="367"/>
      <c r="F118" s="251"/>
      <c r="G118" s="223"/>
      <c r="H118" s="223"/>
      <c r="P118" s="223"/>
      <c r="Q118" s="307"/>
      <c r="R118" s="277"/>
    </row>
    <row r="119" spans="1:18">
      <c r="A119" s="428">
        <f t="shared" si="3"/>
        <v>115</v>
      </c>
      <c r="B119" s="365">
        <f t="shared" si="2"/>
        <v>205</v>
      </c>
      <c r="C119" s="458">
        <v>33.549999999999997</v>
      </c>
      <c r="D119" s="367"/>
      <c r="F119" s="251"/>
      <c r="G119" s="223"/>
      <c r="H119" s="223"/>
      <c r="P119" s="223"/>
      <c r="Q119" s="307"/>
      <c r="R119" s="277"/>
    </row>
    <row r="120" spans="1:18">
      <c r="A120" s="428">
        <f t="shared" si="3"/>
        <v>116</v>
      </c>
      <c r="B120" s="365">
        <f t="shared" si="2"/>
        <v>204</v>
      </c>
      <c r="C120" s="458">
        <v>33.83</v>
      </c>
      <c r="D120" s="367"/>
      <c r="F120" s="251"/>
      <c r="G120" s="223"/>
      <c r="H120" s="223"/>
      <c r="P120" s="223"/>
      <c r="Q120" s="307"/>
      <c r="R120" s="277"/>
    </row>
    <row r="121" spans="1:18">
      <c r="A121" s="428">
        <f t="shared" si="3"/>
        <v>117</v>
      </c>
      <c r="B121" s="365">
        <f t="shared" si="2"/>
        <v>203</v>
      </c>
      <c r="C121" s="458">
        <v>33.619999999999997</v>
      </c>
      <c r="D121" s="367"/>
      <c r="F121" s="251"/>
      <c r="G121" s="223"/>
      <c r="H121" s="223"/>
      <c r="P121" s="223"/>
      <c r="Q121" s="307"/>
      <c r="R121" s="277"/>
    </row>
    <row r="122" spans="1:18">
      <c r="A122" s="428">
        <f t="shared" si="3"/>
        <v>118</v>
      </c>
      <c r="B122" s="365">
        <f t="shared" si="2"/>
        <v>202</v>
      </c>
      <c r="C122" s="458">
        <v>33.299999999999997</v>
      </c>
      <c r="D122" s="367"/>
      <c r="F122" s="251"/>
      <c r="G122" s="223"/>
      <c r="H122" s="223"/>
      <c r="P122" s="223"/>
      <c r="Q122" s="307"/>
      <c r="R122" s="277"/>
    </row>
    <row r="123" spans="1:18">
      <c r="A123" s="428">
        <f t="shared" si="3"/>
        <v>119</v>
      </c>
      <c r="B123" s="365">
        <f t="shared" si="2"/>
        <v>201</v>
      </c>
      <c r="C123" s="458">
        <v>33.409999999999997</v>
      </c>
      <c r="D123" s="367"/>
      <c r="F123" s="251"/>
      <c r="G123" s="223"/>
      <c r="H123" s="223"/>
      <c r="P123" s="223"/>
      <c r="Q123" s="307"/>
      <c r="R123" s="277"/>
    </row>
    <row r="124" spans="1:18">
      <c r="A124" s="428">
        <f t="shared" si="3"/>
        <v>120</v>
      </c>
      <c r="B124" s="365">
        <f t="shared" si="2"/>
        <v>200</v>
      </c>
      <c r="C124" s="458">
        <v>33.380000000000003</v>
      </c>
      <c r="D124" s="367"/>
      <c r="F124" s="251"/>
      <c r="G124" s="223"/>
      <c r="H124" s="223"/>
      <c r="P124" s="223"/>
      <c r="Q124" s="307"/>
      <c r="R124" s="277"/>
    </row>
    <row r="125" spans="1:18">
      <c r="A125" s="428">
        <f t="shared" si="3"/>
        <v>121</v>
      </c>
      <c r="B125" s="365">
        <f t="shared" si="2"/>
        <v>199</v>
      </c>
      <c r="C125" s="458">
        <v>33.74</v>
      </c>
      <c r="D125" s="367"/>
      <c r="F125" s="251"/>
      <c r="G125" s="223"/>
      <c r="H125" s="223"/>
      <c r="P125" s="223"/>
      <c r="Q125" s="307"/>
      <c r="R125" s="277"/>
    </row>
    <row r="126" spans="1:18">
      <c r="A126" s="428">
        <f t="shared" si="3"/>
        <v>122</v>
      </c>
      <c r="B126" s="365">
        <f t="shared" si="2"/>
        <v>198</v>
      </c>
      <c r="C126" s="458">
        <v>33.65</v>
      </c>
      <c r="D126" s="367"/>
      <c r="F126" s="251"/>
      <c r="G126" s="223"/>
      <c r="H126" s="223"/>
      <c r="P126" s="223"/>
      <c r="Q126" s="307"/>
      <c r="R126" s="277"/>
    </row>
    <row r="127" spans="1:18">
      <c r="A127" s="428">
        <f t="shared" si="3"/>
        <v>123</v>
      </c>
      <c r="B127" s="365">
        <f t="shared" si="2"/>
        <v>197</v>
      </c>
      <c r="C127" s="458">
        <v>33.770000000000003</v>
      </c>
      <c r="D127" s="367"/>
      <c r="F127" s="251"/>
      <c r="G127" s="223"/>
      <c r="H127" s="223"/>
      <c r="P127" s="223"/>
      <c r="Q127" s="307"/>
      <c r="R127" s="277"/>
    </row>
    <row r="128" spans="1:18">
      <c r="A128" s="428">
        <f t="shared" si="3"/>
        <v>124</v>
      </c>
      <c r="B128" s="365">
        <f t="shared" si="2"/>
        <v>196</v>
      </c>
      <c r="C128" s="458">
        <v>33.840000000000003</v>
      </c>
      <c r="D128" s="367"/>
      <c r="F128" s="251"/>
      <c r="G128" s="223"/>
      <c r="H128" s="223"/>
      <c r="P128" s="223"/>
      <c r="Q128" s="307"/>
      <c r="R128" s="277"/>
    </row>
    <row r="129" spans="1:18">
      <c r="A129" s="428">
        <f t="shared" si="3"/>
        <v>125</v>
      </c>
      <c r="B129" s="365">
        <f t="shared" ref="B129:B192" si="4">B128-1</f>
        <v>195</v>
      </c>
      <c r="C129" s="458">
        <v>32.21</v>
      </c>
      <c r="D129" s="367"/>
      <c r="F129" s="251"/>
      <c r="G129" s="223"/>
      <c r="H129" s="223"/>
      <c r="P129" s="223"/>
      <c r="Q129" s="307"/>
      <c r="R129" s="277"/>
    </row>
    <row r="130" spans="1:18">
      <c r="A130" s="428">
        <f t="shared" si="3"/>
        <v>126</v>
      </c>
      <c r="B130" s="365">
        <f t="shared" si="4"/>
        <v>194</v>
      </c>
      <c r="C130" s="458">
        <v>33.21</v>
      </c>
      <c r="D130" s="367"/>
      <c r="F130" s="251"/>
      <c r="G130" s="223"/>
      <c r="H130" s="223"/>
      <c r="P130" s="223"/>
      <c r="Q130" s="307"/>
      <c r="R130" s="277"/>
    </row>
    <row r="131" spans="1:18">
      <c r="A131" s="428">
        <f t="shared" si="3"/>
        <v>127</v>
      </c>
      <c r="B131" s="365">
        <f t="shared" si="4"/>
        <v>193</v>
      </c>
      <c r="C131" s="458">
        <v>33.979999999999997</v>
      </c>
      <c r="D131" s="367"/>
      <c r="F131" s="251"/>
      <c r="G131" s="223"/>
      <c r="H131" s="223"/>
      <c r="P131" s="223"/>
      <c r="Q131" s="307"/>
      <c r="R131" s="277"/>
    </row>
    <row r="132" spans="1:18">
      <c r="A132" s="428">
        <f t="shared" si="3"/>
        <v>128</v>
      </c>
      <c r="B132" s="365">
        <f t="shared" si="4"/>
        <v>192</v>
      </c>
      <c r="C132" s="458">
        <v>33.86</v>
      </c>
      <c r="D132" s="367"/>
      <c r="F132" s="251"/>
      <c r="G132" s="223"/>
      <c r="H132" s="223"/>
      <c r="P132" s="223"/>
      <c r="Q132" s="307"/>
      <c r="R132" s="277"/>
    </row>
    <row r="133" spans="1:18">
      <c r="A133" s="428">
        <f t="shared" si="3"/>
        <v>129</v>
      </c>
      <c r="B133" s="365">
        <f t="shared" si="4"/>
        <v>191</v>
      </c>
      <c r="C133" s="458">
        <v>33.51</v>
      </c>
      <c r="D133" s="367"/>
      <c r="F133" s="251"/>
      <c r="G133" s="223"/>
      <c r="H133" s="223"/>
      <c r="P133" s="223"/>
      <c r="Q133" s="307"/>
      <c r="R133" s="277"/>
    </row>
    <row r="134" spans="1:18">
      <c r="A134" s="428">
        <f t="shared" si="3"/>
        <v>130</v>
      </c>
      <c r="B134" s="365">
        <f t="shared" si="4"/>
        <v>190</v>
      </c>
      <c r="C134" s="458">
        <v>33.78</v>
      </c>
      <c r="D134" s="367"/>
      <c r="F134" s="251"/>
      <c r="G134" s="223"/>
      <c r="H134" s="223"/>
      <c r="P134" s="223"/>
      <c r="Q134" s="307"/>
      <c r="R134" s="277"/>
    </row>
    <row r="135" spans="1:18">
      <c r="A135" s="428">
        <f t="shared" ref="A135:A198" si="5">A134+1</f>
        <v>131</v>
      </c>
      <c r="B135" s="365">
        <f t="shared" si="4"/>
        <v>189</v>
      </c>
      <c r="C135" s="458">
        <v>33.869999999999997</v>
      </c>
      <c r="D135" s="367"/>
      <c r="F135" s="251"/>
      <c r="G135" s="223"/>
      <c r="H135" s="223"/>
      <c r="P135" s="223"/>
      <c r="Q135" s="307"/>
      <c r="R135" s="277"/>
    </row>
    <row r="136" spans="1:18">
      <c r="A136" s="428">
        <f t="shared" si="5"/>
        <v>132</v>
      </c>
      <c r="B136" s="365">
        <f t="shared" si="4"/>
        <v>188</v>
      </c>
      <c r="C136" s="458">
        <v>33.92</v>
      </c>
      <c r="D136" s="367"/>
      <c r="F136" s="251"/>
      <c r="G136" s="223"/>
      <c r="H136" s="223"/>
      <c r="P136" s="223"/>
      <c r="Q136" s="307"/>
      <c r="R136" s="277"/>
    </row>
    <row r="137" spans="1:18">
      <c r="A137" s="428">
        <f t="shared" si="5"/>
        <v>133</v>
      </c>
      <c r="B137" s="365">
        <f t="shared" si="4"/>
        <v>187</v>
      </c>
      <c r="C137" s="458">
        <v>33.71</v>
      </c>
      <c r="D137" s="367"/>
      <c r="F137" s="251"/>
      <c r="G137" s="223"/>
      <c r="H137" s="223"/>
      <c r="P137" s="223"/>
      <c r="Q137" s="307"/>
      <c r="R137" s="277"/>
    </row>
    <row r="138" spans="1:18">
      <c r="A138" s="428">
        <f t="shared" si="5"/>
        <v>134</v>
      </c>
      <c r="B138" s="365">
        <f t="shared" si="4"/>
        <v>186</v>
      </c>
      <c r="C138" s="458">
        <v>31.57</v>
      </c>
      <c r="D138" s="367"/>
      <c r="F138" s="251"/>
      <c r="G138" s="223"/>
      <c r="H138" s="223"/>
      <c r="P138" s="223"/>
      <c r="Q138" s="307"/>
      <c r="R138" s="277"/>
    </row>
    <row r="139" spans="1:18">
      <c r="A139" s="428">
        <f t="shared" si="5"/>
        <v>135</v>
      </c>
      <c r="B139" s="365">
        <f t="shared" si="4"/>
        <v>185</v>
      </c>
      <c r="C139" s="458">
        <v>33.659999999999997</v>
      </c>
      <c r="D139" s="367"/>
      <c r="F139" s="251"/>
      <c r="G139" s="223"/>
      <c r="H139" s="223"/>
      <c r="P139" s="223"/>
      <c r="Q139" s="307"/>
      <c r="R139" s="277"/>
    </row>
    <row r="140" spans="1:18">
      <c r="A140" s="428">
        <f t="shared" si="5"/>
        <v>136</v>
      </c>
      <c r="B140" s="365">
        <f t="shared" si="4"/>
        <v>184</v>
      </c>
      <c r="C140" s="458">
        <v>33.46</v>
      </c>
      <c r="D140" s="367"/>
      <c r="F140" s="251"/>
      <c r="G140" s="223"/>
      <c r="H140" s="223"/>
      <c r="P140" s="223"/>
      <c r="Q140" s="307"/>
      <c r="R140" s="277"/>
    </row>
    <row r="141" spans="1:18">
      <c r="A141" s="428">
        <f t="shared" si="5"/>
        <v>137</v>
      </c>
      <c r="B141" s="365">
        <f t="shared" si="4"/>
        <v>183</v>
      </c>
      <c r="C141" s="458">
        <v>33.96</v>
      </c>
      <c r="D141" s="367"/>
      <c r="F141" s="251"/>
      <c r="G141" s="223"/>
      <c r="H141" s="223"/>
      <c r="P141" s="223"/>
      <c r="Q141" s="307"/>
      <c r="R141" s="277"/>
    </row>
    <row r="142" spans="1:18">
      <c r="A142" s="428">
        <f t="shared" si="5"/>
        <v>138</v>
      </c>
      <c r="B142" s="365">
        <f t="shared" si="4"/>
        <v>182</v>
      </c>
      <c r="C142" s="458">
        <v>33.909999999999997</v>
      </c>
      <c r="D142" s="367"/>
      <c r="F142" s="251"/>
      <c r="G142" s="223"/>
      <c r="H142" s="223"/>
      <c r="P142" s="223"/>
      <c r="Q142" s="307"/>
      <c r="R142" s="277"/>
    </row>
    <row r="143" spans="1:18">
      <c r="A143" s="428">
        <f t="shared" si="5"/>
        <v>139</v>
      </c>
      <c r="B143" s="365">
        <f t="shared" si="4"/>
        <v>181</v>
      </c>
      <c r="C143" s="458">
        <v>33.69</v>
      </c>
      <c r="D143" s="367"/>
      <c r="F143" s="251"/>
      <c r="G143" s="223"/>
      <c r="H143" s="223"/>
      <c r="P143" s="223"/>
      <c r="Q143" s="307"/>
      <c r="R143" s="277"/>
    </row>
    <row r="144" spans="1:18">
      <c r="A144" s="428">
        <f t="shared" si="5"/>
        <v>140</v>
      </c>
      <c r="B144" s="365">
        <f t="shared" si="4"/>
        <v>180</v>
      </c>
      <c r="C144" s="458">
        <v>33.49</v>
      </c>
      <c r="D144" s="367"/>
      <c r="F144" s="251"/>
      <c r="G144" s="223"/>
      <c r="H144" s="223"/>
      <c r="P144" s="223"/>
      <c r="Q144" s="307"/>
      <c r="R144" s="277"/>
    </row>
    <row r="145" spans="1:18">
      <c r="A145" s="428">
        <f t="shared" si="5"/>
        <v>141</v>
      </c>
      <c r="B145" s="365">
        <f t="shared" si="4"/>
        <v>179</v>
      </c>
      <c r="C145" s="458">
        <v>33.630000000000003</v>
      </c>
      <c r="D145" s="367"/>
      <c r="F145" s="251"/>
      <c r="G145" s="223"/>
      <c r="H145" s="223"/>
      <c r="P145" s="223"/>
      <c r="Q145" s="307"/>
      <c r="R145" s="277"/>
    </row>
    <row r="146" spans="1:18">
      <c r="A146" s="428">
        <f t="shared" si="5"/>
        <v>142</v>
      </c>
      <c r="B146" s="365">
        <f t="shared" si="4"/>
        <v>178</v>
      </c>
      <c r="C146" s="458">
        <v>33.72</v>
      </c>
      <c r="D146" s="367"/>
      <c r="F146" s="251"/>
      <c r="G146" s="223"/>
      <c r="H146" s="223"/>
      <c r="P146" s="223"/>
      <c r="Q146" s="307"/>
      <c r="R146" s="277"/>
    </row>
    <row r="147" spans="1:18">
      <c r="A147" s="428">
        <f t="shared" si="5"/>
        <v>143</v>
      </c>
      <c r="B147" s="365">
        <f t="shared" si="4"/>
        <v>177</v>
      </c>
      <c r="C147" s="458">
        <v>33.479999999999997</v>
      </c>
      <c r="D147" s="367"/>
      <c r="F147" s="251"/>
      <c r="G147" s="223"/>
      <c r="H147" s="223"/>
      <c r="P147" s="223"/>
      <c r="Q147" s="307"/>
      <c r="R147" s="277"/>
    </row>
    <row r="148" spans="1:18">
      <c r="A148" s="428">
        <f t="shared" si="5"/>
        <v>144</v>
      </c>
      <c r="B148" s="365">
        <f t="shared" si="4"/>
        <v>176</v>
      </c>
      <c r="C148" s="458">
        <v>33.56</v>
      </c>
      <c r="D148" s="367"/>
      <c r="F148" s="251"/>
      <c r="G148" s="223"/>
      <c r="H148" s="223"/>
      <c r="P148" s="223"/>
      <c r="Q148" s="307"/>
      <c r="R148" s="277"/>
    </row>
    <row r="149" spans="1:18">
      <c r="A149" s="428">
        <f t="shared" si="5"/>
        <v>145</v>
      </c>
      <c r="B149" s="365">
        <f t="shared" si="4"/>
        <v>175</v>
      </c>
      <c r="C149" s="458">
        <v>33.44</v>
      </c>
      <c r="D149" s="367"/>
      <c r="F149" s="251"/>
      <c r="G149" s="223"/>
      <c r="H149" s="223"/>
      <c r="P149" s="223"/>
      <c r="Q149" s="307"/>
      <c r="R149" s="277"/>
    </row>
    <row r="150" spans="1:18">
      <c r="A150" s="428">
        <f t="shared" si="5"/>
        <v>146</v>
      </c>
      <c r="B150" s="365">
        <f t="shared" si="4"/>
        <v>174</v>
      </c>
      <c r="C150" s="458">
        <v>33.58</v>
      </c>
      <c r="D150" s="367"/>
      <c r="F150" s="251"/>
      <c r="G150" s="223"/>
      <c r="H150" s="223"/>
      <c r="P150" s="223"/>
      <c r="Q150" s="307"/>
      <c r="R150" s="277"/>
    </row>
    <row r="151" spans="1:18">
      <c r="A151" s="428">
        <f t="shared" si="5"/>
        <v>147</v>
      </c>
      <c r="B151" s="365">
        <f t="shared" si="4"/>
        <v>173</v>
      </c>
      <c r="C151" s="458">
        <v>33.64</v>
      </c>
      <c r="D151" s="367"/>
      <c r="F151" s="251"/>
      <c r="G151" s="223"/>
      <c r="H151" s="223"/>
      <c r="P151" s="223"/>
      <c r="Q151" s="307"/>
      <c r="R151" s="277"/>
    </row>
    <row r="152" spans="1:18">
      <c r="A152" s="428">
        <f t="shared" si="5"/>
        <v>148</v>
      </c>
      <c r="B152" s="365">
        <f t="shared" si="4"/>
        <v>172</v>
      </c>
      <c r="C152" s="458">
        <v>33.75</v>
      </c>
      <c r="D152" s="367"/>
      <c r="F152" s="251"/>
      <c r="G152" s="223"/>
      <c r="H152" s="223"/>
      <c r="P152" s="223"/>
      <c r="Q152" s="307"/>
      <c r="R152" s="277"/>
    </row>
    <row r="153" spans="1:18">
      <c r="A153" s="428">
        <f t="shared" si="5"/>
        <v>149</v>
      </c>
      <c r="B153" s="365">
        <f t="shared" si="4"/>
        <v>171</v>
      </c>
      <c r="C153" s="458">
        <v>33.51</v>
      </c>
      <c r="D153" s="367"/>
      <c r="F153" s="251"/>
      <c r="G153" s="223"/>
      <c r="H153" s="223"/>
      <c r="P153" s="223"/>
      <c r="Q153" s="307"/>
      <c r="R153" s="277"/>
    </row>
    <row r="154" spans="1:18">
      <c r="A154" s="428">
        <f t="shared" si="5"/>
        <v>150</v>
      </c>
      <c r="B154" s="365">
        <f t="shared" si="4"/>
        <v>170</v>
      </c>
      <c r="C154" s="458">
        <v>33.869999999999997</v>
      </c>
      <c r="D154" s="367"/>
      <c r="F154" s="251"/>
      <c r="G154" s="223"/>
      <c r="H154" s="223"/>
      <c r="P154" s="223"/>
      <c r="Q154" s="307"/>
      <c r="R154" s="277"/>
    </row>
    <row r="155" spans="1:18">
      <c r="A155" s="428">
        <f t="shared" si="5"/>
        <v>151</v>
      </c>
      <c r="B155" s="365">
        <f t="shared" si="4"/>
        <v>169</v>
      </c>
      <c r="C155" s="458">
        <v>33.659999999999997</v>
      </c>
      <c r="D155" s="367"/>
      <c r="F155" s="251"/>
      <c r="G155" s="223"/>
      <c r="H155" s="223"/>
      <c r="P155" s="223"/>
      <c r="Q155" s="307"/>
      <c r="R155" s="277"/>
    </row>
    <row r="156" spans="1:18">
      <c r="A156" s="428">
        <f t="shared" si="5"/>
        <v>152</v>
      </c>
      <c r="B156" s="365">
        <f t="shared" si="4"/>
        <v>168</v>
      </c>
      <c r="C156" s="458">
        <v>33.409999999999997</v>
      </c>
      <c r="D156" s="367"/>
      <c r="F156" s="251"/>
      <c r="G156" s="223"/>
      <c r="H156" s="223"/>
      <c r="P156" s="223"/>
      <c r="Q156" s="307"/>
      <c r="R156" s="277"/>
    </row>
    <row r="157" spans="1:18">
      <c r="A157" s="428">
        <f t="shared" si="5"/>
        <v>153</v>
      </c>
      <c r="B157" s="365">
        <f t="shared" si="4"/>
        <v>167</v>
      </c>
      <c r="C157" s="458">
        <v>33.68</v>
      </c>
      <c r="D157" s="367"/>
      <c r="F157" s="251"/>
      <c r="G157" s="223"/>
      <c r="H157" s="223"/>
      <c r="P157" s="223"/>
      <c r="Q157" s="307"/>
      <c r="R157" s="277"/>
    </row>
    <row r="158" spans="1:18">
      <c r="A158" s="428">
        <f t="shared" si="5"/>
        <v>154</v>
      </c>
      <c r="B158" s="365">
        <f t="shared" si="4"/>
        <v>166</v>
      </c>
      <c r="C158" s="458">
        <v>33.590000000000003</v>
      </c>
      <c r="D158" s="367"/>
      <c r="F158" s="251"/>
      <c r="G158" s="223"/>
      <c r="H158" s="223"/>
      <c r="P158" s="223"/>
      <c r="Q158" s="307"/>
      <c r="R158" s="277"/>
    </row>
    <row r="159" spans="1:18">
      <c r="A159" s="428">
        <f t="shared" si="5"/>
        <v>155</v>
      </c>
      <c r="B159" s="365">
        <f t="shared" si="4"/>
        <v>165</v>
      </c>
      <c r="C159" s="458">
        <v>33.28</v>
      </c>
      <c r="D159" s="367"/>
      <c r="F159" s="251"/>
      <c r="G159" s="223"/>
      <c r="H159" s="223"/>
      <c r="P159" s="223"/>
      <c r="Q159" s="307"/>
      <c r="R159" s="277"/>
    </row>
    <row r="160" spans="1:18">
      <c r="A160" s="428">
        <f t="shared" si="5"/>
        <v>156</v>
      </c>
      <c r="B160" s="365">
        <f t="shared" si="4"/>
        <v>164</v>
      </c>
      <c r="C160" s="458">
        <v>33.64</v>
      </c>
      <c r="D160" s="367"/>
      <c r="F160" s="251"/>
      <c r="G160" s="223"/>
      <c r="H160" s="223"/>
      <c r="P160" s="223"/>
      <c r="Q160" s="307"/>
      <c r="R160" s="277"/>
    </row>
    <row r="161" spans="1:18">
      <c r="A161" s="428">
        <f t="shared" si="5"/>
        <v>157</v>
      </c>
      <c r="B161" s="365">
        <f t="shared" si="4"/>
        <v>163</v>
      </c>
      <c r="C161" s="458">
        <v>33.979999999999997</v>
      </c>
      <c r="D161" s="367"/>
      <c r="F161" s="251"/>
      <c r="G161" s="223"/>
      <c r="H161" s="223"/>
      <c r="P161" s="223"/>
      <c r="Q161" s="307"/>
      <c r="R161" s="277"/>
    </row>
    <row r="162" spans="1:18">
      <c r="A162" s="428">
        <f t="shared" si="5"/>
        <v>158</v>
      </c>
      <c r="B162" s="365">
        <f t="shared" si="4"/>
        <v>162</v>
      </c>
      <c r="C162" s="458">
        <v>33.75</v>
      </c>
      <c r="D162" s="367"/>
      <c r="F162" s="251"/>
      <c r="G162" s="223"/>
      <c r="H162" s="223"/>
      <c r="P162" s="223"/>
      <c r="Q162" s="307"/>
      <c r="R162" s="277"/>
    </row>
    <row r="163" spans="1:18">
      <c r="A163" s="428">
        <f t="shared" si="5"/>
        <v>159</v>
      </c>
      <c r="B163" s="365">
        <f t="shared" si="4"/>
        <v>161</v>
      </c>
      <c r="C163" s="458">
        <v>32.049999999999997</v>
      </c>
      <c r="D163" s="367"/>
      <c r="F163" s="251"/>
      <c r="G163" s="223"/>
      <c r="H163" s="223"/>
      <c r="P163" s="223"/>
      <c r="Q163" s="307"/>
      <c r="R163" s="277"/>
    </row>
    <row r="164" spans="1:18">
      <c r="A164" s="428">
        <f t="shared" si="5"/>
        <v>160</v>
      </c>
      <c r="B164" s="365">
        <f t="shared" si="4"/>
        <v>160</v>
      </c>
      <c r="C164" s="458">
        <v>33.81</v>
      </c>
      <c r="D164" s="367"/>
      <c r="F164" s="251"/>
      <c r="G164" s="223"/>
      <c r="H164" s="223"/>
      <c r="P164" s="223"/>
      <c r="Q164" s="307"/>
      <c r="R164" s="277"/>
    </row>
    <row r="165" spans="1:18">
      <c r="A165" s="428">
        <f t="shared" si="5"/>
        <v>161</v>
      </c>
      <c r="B165" s="365">
        <f t="shared" si="4"/>
        <v>159</v>
      </c>
      <c r="C165" s="458">
        <v>32.14</v>
      </c>
      <c r="D165" s="367"/>
      <c r="F165" s="251"/>
      <c r="G165" s="223"/>
      <c r="H165" s="223"/>
      <c r="P165" s="223"/>
      <c r="Q165" s="307"/>
      <c r="R165" s="277"/>
    </row>
    <row r="166" spans="1:18">
      <c r="A166" s="428">
        <f t="shared" si="5"/>
        <v>162</v>
      </c>
      <c r="B166" s="365">
        <f t="shared" si="4"/>
        <v>158</v>
      </c>
      <c r="C166" s="458">
        <v>33.82</v>
      </c>
      <c r="D166" s="367"/>
      <c r="F166" s="251"/>
      <c r="G166" s="223"/>
      <c r="H166" s="223"/>
      <c r="P166" s="223"/>
      <c r="Q166" s="307"/>
      <c r="R166" s="277"/>
    </row>
    <row r="167" spans="1:18">
      <c r="A167" s="428">
        <f t="shared" si="5"/>
        <v>163</v>
      </c>
      <c r="B167" s="365">
        <f t="shared" si="4"/>
        <v>157</v>
      </c>
      <c r="C167" s="458">
        <v>33.57</v>
      </c>
      <c r="D167" s="367"/>
      <c r="F167" s="251"/>
      <c r="G167" s="223"/>
      <c r="H167" s="223"/>
      <c r="P167" s="223"/>
      <c r="Q167" s="307"/>
      <c r="R167" s="277"/>
    </row>
    <row r="168" spans="1:18">
      <c r="A168" s="428">
        <f t="shared" si="5"/>
        <v>164</v>
      </c>
      <c r="B168" s="365">
        <f t="shared" si="4"/>
        <v>156</v>
      </c>
      <c r="C168" s="458">
        <v>33.65</v>
      </c>
      <c r="D168" s="367"/>
      <c r="F168" s="251"/>
      <c r="G168" s="223"/>
      <c r="H168" s="223"/>
      <c r="P168" s="223"/>
      <c r="Q168" s="307"/>
      <c r="R168" s="277"/>
    </row>
    <row r="169" spans="1:18">
      <c r="A169" s="428">
        <f t="shared" si="5"/>
        <v>165</v>
      </c>
      <c r="B169" s="365">
        <f t="shared" si="4"/>
        <v>155</v>
      </c>
      <c r="C169" s="458">
        <v>33.67</v>
      </c>
      <c r="D169" s="367"/>
      <c r="F169" s="251"/>
      <c r="G169" s="223"/>
      <c r="H169" s="223"/>
      <c r="P169" s="223"/>
      <c r="Q169" s="307"/>
      <c r="R169" s="277"/>
    </row>
    <row r="170" spans="1:18">
      <c r="A170" s="428">
        <f t="shared" si="5"/>
        <v>166</v>
      </c>
      <c r="B170" s="365">
        <f t="shared" si="4"/>
        <v>154</v>
      </c>
      <c r="C170" s="458">
        <v>32.11</v>
      </c>
      <c r="D170" s="367"/>
      <c r="F170" s="251"/>
      <c r="G170" s="223"/>
      <c r="H170" s="223"/>
      <c r="P170" s="223"/>
      <c r="Q170" s="307"/>
      <c r="R170" s="277"/>
    </row>
    <row r="171" spans="1:18">
      <c r="A171" s="428">
        <f t="shared" si="5"/>
        <v>167</v>
      </c>
      <c r="B171" s="365">
        <f t="shared" si="4"/>
        <v>153</v>
      </c>
      <c r="C171" s="458">
        <v>33.630000000000003</v>
      </c>
      <c r="D171" s="367"/>
      <c r="F171" s="251"/>
      <c r="G171" s="223"/>
      <c r="H171" s="223"/>
      <c r="P171" s="223"/>
      <c r="Q171" s="307"/>
      <c r="R171" s="277"/>
    </row>
    <row r="172" spans="1:18">
      <c r="A172" s="428">
        <f t="shared" si="5"/>
        <v>168</v>
      </c>
      <c r="B172" s="365">
        <f t="shared" si="4"/>
        <v>152</v>
      </c>
      <c r="C172" s="458">
        <v>31.35</v>
      </c>
      <c r="D172" s="367"/>
      <c r="F172" s="251"/>
      <c r="G172" s="223"/>
      <c r="H172" s="223"/>
      <c r="P172" s="223"/>
      <c r="Q172" s="307"/>
      <c r="R172" s="277"/>
    </row>
    <row r="173" spans="1:18">
      <c r="A173" s="428">
        <f t="shared" si="5"/>
        <v>169</v>
      </c>
      <c r="B173" s="365">
        <f t="shared" si="4"/>
        <v>151</v>
      </c>
      <c r="C173" s="458">
        <v>33.47</v>
      </c>
      <c r="D173" s="367"/>
      <c r="F173" s="251"/>
      <c r="G173" s="223"/>
      <c r="H173" s="223"/>
      <c r="P173" s="223"/>
      <c r="Q173" s="307"/>
      <c r="R173" s="277"/>
    </row>
    <row r="174" spans="1:18">
      <c r="A174" s="428">
        <f t="shared" si="5"/>
        <v>170</v>
      </c>
      <c r="B174" s="365">
        <f t="shared" si="4"/>
        <v>150</v>
      </c>
      <c r="C174" s="458">
        <v>33.49</v>
      </c>
      <c r="D174" s="367"/>
      <c r="F174" s="251"/>
      <c r="G174" s="223"/>
      <c r="H174" s="223"/>
      <c r="P174" s="223"/>
      <c r="Q174" s="307"/>
      <c r="R174" s="277"/>
    </row>
    <row r="175" spans="1:18">
      <c r="A175" s="428">
        <f t="shared" si="5"/>
        <v>171</v>
      </c>
      <c r="B175" s="365">
        <f t="shared" si="4"/>
        <v>149</v>
      </c>
      <c r="C175" s="458">
        <v>33.57</v>
      </c>
      <c r="D175" s="367"/>
      <c r="F175" s="251"/>
      <c r="G175" s="223"/>
      <c r="H175" s="223"/>
      <c r="P175" s="223"/>
      <c r="Q175" s="307"/>
      <c r="R175" s="277"/>
    </row>
    <row r="176" spans="1:18">
      <c r="A176" s="428">
        <f t="shared" si="5"/>
        <v>172</v>
      </c>
      <c r="B176" s="365">
        <f t="shared" si="4"/>
        <v>148</v>
      </c>
      <c r="C176" s="458">
        <v>33.6</v>
      </c>
      <c r="D176" s="367"/>
      <c r="F176" s="251"/>
      <c r="G176" s="223"/>
      <c r="H176" s="223"/>
      <c r="P176" s="223"/>
      <c r="Q176" s="307"/>
      <c r="R176" s="277"/>
    </row>
    <row r="177" spans="1:18">
      <c r="A177" s="428">
        <f t="shared" si="5"/>
        <v>173</v>
      </c>
      <c r="B177" s="365">
        <f t="shared" si="4"/>
        <v>147</v>
      </c>
      <c r="C177" s="458">
        <v>33.78</v>
      </c>
      <c r="D177" s="367"/>
      <c r="F177" s="251"/>
      <c r="G177" s="223"/>
      <c r="H177" s="223"/>
      <c r="P177" s="223"/>
      <c r="Q177" s="307"/>
      <c r="R177" s="277"/>
    </row>
    <row r="178" spans="1:18">
      <c r="A178" s="428">
        <f t="shared" si="5"/>
        <v>174</v>
      </c>
      <c r="B178" s="365">
        <f t="shared" si="4"/>
        <v>146</v>
      </c>
      <c r="C178" s="458">
        <v>33.46</v>
      </c>
      <c r="D178" s="367"/>
      <c r="F178" s="251"/>
      <c r="G178" s="223"/>
      <c r="H178" s="223"/>
      <c r="P178" s="223"/>
      <c r="Q178" s="307"/>
      <c r="R178" s="277"/>
    </row>
    <row r="179" spans="1:18">
      <c r="A179" s="428">
        <f t="shared" si="5"/>
        <v>175</v>
      </c>
      <c r="B179" s="365">
        <f t="shared" si="4"/>
        <v>145</v>
      </c>
      <c r="C179" s="458">
        <v>33.630000000000003</v>
      </c>
      <c r="D179" s="367"/>
      <c r="F179" s="251"/>
      <c r="G179" s="223"/>
      <c r="H179" s="223"/>
      <c r="P179" s="223"/>
      <c r="Q179" s="307"/>
      <c r="R179" s="277"/>
    </row>
    <row r="180" spans="1:18">
      <c r="A180" s="428">
        <f t="shared" si="5"/>
        <v>176</v>
      </c>
      <c r="B180" s="365">
        <f t="shared" si="4"/>
        <v>144</v>
      </c>
      <c r="C180" s="458">
        <v>33.89</v>
      </c>
      <c r="D180" s="367"/>
      <c r="F180" s="251"/>
      <c r="G180" s="223"/>
      <c r="H180" s="223"/>
      <c r="P180" s="223"/>
      <c r="Q180" s="307"/>
      <c r="R180" s="277"/>
    </row>
    <row r="181" spans="1:18">
      <c r="A181" s="428">
        <f t="shared" si="5"/>
        <v>177</v>
      </c>
      <c r="B181" s="365">
        <f t="shared" si="4"/>
        <v>143</v>
      </c>
      <c r="C181" s="458">
        <v>33.369999999999997</v>
      </c>
      <c r="D181" s="367"/>
      <c r="F181" s="251"/>
      <c r="G181" s="223"/>
      <c r="H181" s="223"/>
      <c r="P181" s="223"/>
      <c r="Q181" s="307"/>
      <c r="R181" s="277"/>
    </row>
    <row r="182" spans="1:18">
      <c r="A182" s="428">
        <f t="shared" si="5"/>
        <v>178</v>
      </c>
      <c r="B182" s="365">
        <f t="shared" si="4"/>
        <v>142</v>
      </c>
      <c r="C182" s="458">
        <v>33.869999999999997</v>
      </c>
      <c r="D182" s="367"/>
      <c r="F182" s="251"/>
      <c r="G182" s="223"/>
      <c r="H182" s="223"/>
      <c r="P182" s="223"/>
      <c r="Q182" s="307"/>
      <c r="R182" s="277"/>
    </row>
    <row r="183" spans="1:18">
      <c r="A183" s="428">
        <f t="shared" si="5"/>
        <v>179</v>
      </c>
      <c r="B183" s="365">
        <f t="shared" si="4"/>
        <v>141</v>
      </c>
      <c r="C183" s="458">
        <v>33.950000000000003</v>
      </c>
      <c r="D183" s="367"/>
      <c r="F183" s="251"/>
      <c r="G183" s="223"/>
      <c r="H183" s="223"/>
      <c r="P183" s="223"/>
      <c r="Q183" s="307"/>
      <c r="R183" s="277"/>
    </row>
    <row r="184" spans="1:18">
      <c r="A184" s="428">
        <f t="shared" si="5"/>
        <v>180</v>
      </c>
      <c r="B184" s="365">
        <f t="shared" si="4"/>
        <v>140</v>
      </c>
      <c r="C184" s="458">
        <v>33.86</v>
      </c>
      <c r="D184" s="367"/>
      <c r="F184" s="251"/>
      <c r="G184" s="223"/>
      <c r="H184" s="223"/>
      <c r="P184" s="223"/>
      <c r="Q184" s="307"/>
      <c r="R184" s="277"/>
    </row>
    <row r="185" spans="1:18">
      <c r="A185" s="428">
        <f t="shared" si="5"/>
        <v>181</v>
      </c>
      <c r="B185" s="365">
        <f t="shared" si="4"/>
        <v>139</v>
      </c>
      <c r="C185" s="458">
        <v>33.799999999999997</v>
      </c>
      <c r="D185" s="367"/>
      <c r="F185" s="251"/>
      <c r="G185" s="223"/>
      <c r="H185" s="223"/>
      <c r="P185" s="223"/>
      <c r="Q185" s="307"/>
      <c r="R185" s="277"/>
    </row>
    <row r="186" spans="1:18">
      <c r="A186" s="428">
        <f t="shared" si="5"/>
        <v>182</v>
      </c>
      <c r="B186" s="365">
        <f t="shared" si="4"/>
        <v>138</v>
      </c>
      <c r="C186" s="458">
        <v>33.880000000000003</v>
      </c>
      <c r="D186" s="367"/>
      <c r="F186" s="251"/>
      <c r="G186" s="223"/>
      <c r="H186" s="223"/>
      <c r="P186" s="223"/>
      <c r="Q186" s="307"/>
      <c r="R186" s="277"/>
    </row>
    <row r="187" spans="1:18">
      <c r="A187" s="428">
        <f t="shared" si="5"/>
        <v>183</v>
      </c>
      <c r="B187" s="365">
        <f t="shared" si="4"/>
        <v>137</v>
      </c>
      <c r="C187" s="458">
        <v>33.69</v>
      </c>
      <c r="D187" s="367"/>
      <c r="F187" s="251"/>
      <c r="G187" s="223"/>
      <c r="H187" s="223"/>
      <c r="P187" s="223"/>
      <c r="Q187" s="307"/>
      <c r="R187" s="277"/>
    </row>
    <row r="188" spans="1:18">
      <c r="A188" s="428">
        <f t="shared" si="5"/>
        <v>184</v>
      </c>
      <c r="B188" s="365">
        <f t="shared" si="4"/>
        <v>136</v>
      </c>
      <c r="C188" s="458">
        <v>33.08</v>
      </c>
      <c r="D188" s="367"/>
      <c r="F188" s="251"/>
      <c r="G188" s="223"/>
      <c r="H188" s="223"/>
      <c r="P188" s="223"/>
      <c r="Q188" s="307"/>
      <c r="R188" s="277"/>
    </row>
    <row r="189" spans="1:18">
      <c r="A189" s="428">
        <f t="shared" si="5"/>
        <v>185</v>
      </c>
      <c r="B189" s="365">
        <f t="shared" si="4"/>
        <v>135</v>
      </c>
      <c r="C189" s="458">
        <v>33.950000000000003</v>
      </c>
      <c r="D189" s="367"/>
      <c r="F189" s="251"/>
      <c r="G189" s="223"/>
      <c r="H189" s="223"/>
      <c r="P189" s="223"/>
      <c r="Q189" s="307"/>
      <c r="R189" s="277"/>
    </row>
    <row r="190" spans="1:18">
      <c r="A190" s="428">
        <f t="shared" si="5"/>
        <v>186</v>
      </c>
      <c r="B190" s="365">
        <f t="shared" si="4"/>
        <v>134</v>
      </c>
      <c r="C190" s="458">
        <v>33.49</v>
      </c>
      <c r="D190" s="367"/>
      <c r="F190" s="251"/>
      <c r="G190" s="223"/>
      <c r="H190" s="223"/>
      <c r="P190" s="223"/>
      <c r="Q190" s="307"/>
      <c r="R190" s="277"/>
    </row>
    <row r="191" spans="1:18">
      <c r="A191" s="428">
        <f t="shared" si="5"/>
        <v>187</v>
      </c>
      <c r="B191" s="365">
        <f t="shared" si="4"/>
        <v>133</v>
      </c>
      <c r="C191" s="458">
        <v>33.33</v>
      </c>
      <c r="D191" s="367"/>
      <c r="F191" s="251"/>
      <c r="G191" s="223"/>
      <c r="H191" s="223"/>
      <c r="P191" s="223"/>
      <c r="Q191" s="307"/>
      <c r="R191" s="277"/>
    </row>
    <row r="192" spans="1:18">
      <c r="A192" s="428">
        <f t="shared" si="5"/>
        <v>188</v>
      </c>
      <c r="B192" s="365">
        <f t="shared" si="4"/>
        <v>132</v>
      </c>
      <c r="C192" s="458">
        <v>33.549999999999997</v>
      </c>
      <c r="D192" s="367"/>
      <c r="F192" s="251"/>
      <c r="G192" s="223"/>
      <c r="H192" s="223"/>
      <c r="P192" s="223"/>
      <c r="Q192" s="307"/>
      <c r="R192" s="277"/>
    </row>
    <row r="193" spans="1:18">
      <c r="A193" s="428">
        <f t="shared" si="5"/>
        <v>189</v>
      </c>
      <c r="B193" s="365">
        <f t="shared" ref="B193:B256" si="6">B192-1</f>
        <v>131</v>
      </c>
      <c r="C193" s="458">
        <v>32.1</v>
      </c>
      <c r="D193" s="367"/>
      <c r="F193" s="251"/>
      <c r="G193" s="223"/>
      <c r="H193" s="223"/>
      <c r="P193" s="223"/>
      <c r="Q193" s="307"/>
      <c r="R193" s="277"/>
    </row>
    <row r="194" spans="1:18">
      <c r="A194" s="428">
        <f t="shared" si="5"/>
        <v>190</v>
      </c>
      <c r="B194" s="365">
        <f t="shared" si="6"/>
        <v>130</v>
      </c>
      <c r="C194" s="458">
        <v>33.83</v>
      </c>
      <c r="D194" s="367"/>
      <c r="F194" s="251"/>
      <c r="G194" s="223"/>
      <c r="H194" s="223"/>
      <c r="P194" s="223"/>
      <c r="Q194" s="307"/>
      <c r="R194" s="277"/>
    </row>
    <row r="195" spans="1:18">
      <c r="A195" s="428">
        <f t="shared" si="5"/>
        <v>191</v>
      </c>
      <c r="B195" s="365">
        <f t="shared" si="6"/>
        <v>129</v>
      </c>
      <c r="C195" s="458">
        <v>33.729999999999997</v>
      </c>
      <c r="D195" s="367"/>
      <c r="F195" s="251"/>
      <c r="G195" s="223"/>
      <c r="H195" s="223"/>
      <c r="P195" s="223"/>
      <c r="Q195" s="307"/>
      <c r="R195" s="277"/>
    </row>
    <row r="196" spans="1:18">
      <c r="A196" s="428">
        <f t="shared" si="5"/>
        <v>192</v>
      </c>
      <c r="B196" s="365">
        <f t="shared" si="6"/>
        <v>128</v>
      </c>
      <c r="C196" s="458">
        <v>33.44</v>
      </c>
      <c r="D196" s="367"/>
      <c r="F196" s="251"/>
      <c r="G196" s="223"/>
      <c r="H196" s="223"/>
      <c r="P196" s="223"/>
      <c r="Q196" s="307"/>
      <c r="R196" s="277"/>
    </row>
    <row r="197" spans="1:18">
      <c r="A197" s="428">
        <f t="shared" si="5"/>
        <v>193</v>
      </c>
      <c r="B197" s="365">
        <f t="shared" si="6"/>
        <v>127</v>
      </c>
      <c r="C197" s="458">
        <v>33.65</v>
      </c>
      <c r="D197" s="367"/>
      <c r="F197" s="251"/>
      <c r="G197" s="223"/>
      <c r="H197" s="223"/>
      <c r="P197" s="223"/>
      <c r="Q197" s="307"/>
      <c r="R197" s="277"/>
    </row>
    <row r="198" spans="1:18">
      <c r="A198" s="428">
        <f t="shared" si="5"/>
        <v>194</v>
      </c>
      <c r="B198" s="365">
        <f t="shared" si="6"/>
        <v>126</v>
      </c>
      <c r="C198" s="458">
        <v>33.369999999999997</v>
      </c>
      <c r="D198" s="367"/>
      <c r="F198" s="251"/>
      <c r="G198" s="223"/>
      <c r="H198" s="223"/>
      <c r="P198" s="223"/>
      <c r="Q198" s="307"/>
      <c r="R198" s="277"/>
    </row>
    <row r="199" spans="1:18">
      <c r="A199" s="428">
        <f t="shared" ref="A199:A262" si="7">A198+1</f>
        <v>195</v>
      </c>
      <c r="B199" s="365">
        <f t="shared" si="6"/>
        <v>125</v>
      </c>
      <c r="C199" s="458">
        <v>33.590000000000003</v>
      </c>
      <c r="D199" s="367"/>
      <c r="F199" s="251"/>
      <c r="G199" s="223"/>
      <c r="H199" s="223"/>
      <c r="P199" s="223"/>
      <c r="Q199" s="307"/>
      <c r="R199" s="277"/>
    </row>
    <row r="200" spans="1:18">
      <c r="A200" s="428">
        <f t="shared" si="7"/>
        <v>196</v>
      </c>
      <c r="B200" s="365">
        <f t="shared" si="6"/>
        <v>124</v>
      </c>
      <c r="C200" s="458">
        <v>33.119999999999997</v>
      </c>
      <c r="D200" s="367"/>
      <c r="F200" s="251"/>
      <c r="G200" s="223"/>
      <c r="H200" s="223"/>
      <c r="P200" s="223"/>
      <c r="Q200" s="307"/>
      <c r="R200" s="277"/>
    </row>
    <row r="201" spans="1:18">
      <c r="A201" s="428">
        <f t="shared" si="7"/>
        <v>197</v>
      </c>
      <c r="B201" s="365">
        <f t="shared" si="6"/>
        <v>123</v>
      </c>
      <c r="C201" s="458">
        <v>33.94</v>
      </c>
      <c r="D201" s="367"/>
      <c r="F201" s="251"/>
      <c r="G201" s="223"/>
      <c r="H201" s="223"/>
      <c r="P201" s="223"/>
      <c r="Q201" s="307"/>
      <c r="R201" s="277"/>
    </row>
    <row r="202" spans="1:18">
      <c r="A202" s="428">
        <f t="shared" si="7"/>
        <v>198</v>
      </c>
      <c r="B202" s="365">
        <f t="shared" si="6"/>
        <v>122</v>
      </c>
      <c r="C202" s="458">
        <v>33.85</v>
      </c>
      <c r="D202" s="367"/>
      <c r="F202" s="251"/>
      <c r="G202" s="223"/>
      <c r="H202" s="223"/>
      <c r="P202" s="223"/>
      <c r="Q202" s="307"/>
      <c r="R202" s="277"/>
    </row>
    <row r="203" spans="1:18">
      <c r="A203" s="428">
        <f t="shared" si="7"/>
        <v>199</v>
      </c>
      <c r="B203" s="365">
        <f t="shared" si="6"/>
        <v>121</v>
      </c>
      <c r="C203" s="458">
        <v>33.659999999999997</v>
      </c>
      <c r="D203" s="367"/>
      <c r="F203" s="251"/>
      <c r="G203" s="223"/>
      <c r="H203" s="223"/>
      <c r="P203" s="223"/>
      <c r="Q203" s="307"/>
      <c r="R203" s="277"/>
    </row>
    <row r="204" spans="1:18">
      <c r="A204" s="428">
        <f t="shared" si="7"/>
        <v>200</v>
      </c>
      <c r="B204" s="365">
        <f t="shared" si="6"/>
        <v>120</v>
      </c>
      <c r="C204" s="458">
        <v>33.53</v>
      </c>
      <c r="D204" s="367"/>
      <c r="F204" s="251"/>
      <c r="G204" s="223"/>
      <c r="H204" s="223"/>
      <c r="P204" s="223"/>
      <c r="Q204" s="307"/>
      <c r="R204" s="277"/>
    </row>
    <row r="205" spans="1:18">
      <c r="A205" s="428">
        <f t="shared" si="7"/>
        <v>201</v>
      </c>
      <c r="B205" s="365">
        <f t="shared" si="6"/>
        <v>119</v>
      </c>
      <c r="C205" s="458">
        <v>33.51</v>
      </c>
      <c r="D205" s="367"/>
      <c r="F205" s="251"/>
      <c r="G205" s="223"/>
      <c r="H205" s="223"/>
      <c r="P205" s="223"/>
      <c r="Q205" s="307"/>
      <c r="R205" s="277"/>
    </row>
    <row r="206" spans="1:18">
      <c r="A206" s="428">
        <f t="shared" si="7"/>
        <v>202</v>
      </c>
      <c r="B206" s="365">
        <f t="shared" si="6"/>
        <v>118</v>
      </c>
      <c r="C206" s="458">
        <v>33.71</v>
      </c>
      <c r="D206" s="367"/>
      <c r="F206" s="251"/>
      <c r="G206" s="223"/>
      <c r="H206" s="223"/>
      <c r="P206" s="223"/>
      <c r="Q206" s="307"/>
      <c r="R206" s="277"/>
    </row>
    <row r="207" spans="1:18">
      <c r="A207" s="428">
        <f t="shared" si="7"/>
        <v>203</v>
      </c>
      <c r="B207" s="365">
        <f t="shared" si="6"/>
        <v>117</v>
      </c>
      <c r="C207" s="458">
        <v>33.94</v>
      </c>
      <c r="D207" s="367"/>
      <c r="F207" s="251"/>
      <c r="G207" s="223"/>
      <c r="H207" s="223"/>
      <c r="P207" s="223"/>
      <c r="Q207" s="307"/>
      <c r="R207" s="277"/>
    </row>
    <row r="208" spans="1:18">
      <c r="A208" s="428">
        <f t="shared" si="7"/>
        <v>204</v>
      </c>
      <c r="B208" s="365">
        <f t="shared" si="6"/>
        <v>116</v>
      </c>
      <c r="C208" s="458">
        <v>32.89</v>
      </c>
      <c r="D208" s="367"/>
      <c r="F208" s="251"/>
      <c r="G208" s="223"/>
      <c r="H208" s="223"/>
      <c r="P208" s="223"/>
      <c r="Q208" s="307"/>
      <c r="R208" s="277"/>
    </row>
    <row r="209" spans="1:18">
      <c r="A209" s="428">
        <f t="shared" si="7"/>
        <v>205</v>
      </c>
      <c r="B209" s="365">
        <f t="shared" si="6"/>
        <v>115</v>
      </c>
      <c r="C209" s="458">
        <v>33.479999999999997</v>
      </c>
      <c r="D209" s="367"/>
      <c r="F209" s="251"/>
      <c r="G209" s="223"/>
      <c r="H209" s="223"/>
      <c r="P209" s="223"/>
      <c r="Q209" s="307"/>
      <c r="R209" s="277"/>
    </row>
    <row r="210" spans="1:18">
      <c r="A210" s="428">
        <f t="shared" si="7"/>
        <v>206</v>
      </c>
      <c r="B210" s="365">
        <f t="shared" si="6"/>
        <v>114</v>
      </c>
      <c r="C210" s="458">
        <v>33.950000000000003</v>
      </c>
      <c r="D210" s="367"/>
      <c r="F210" s="251"/>
      <c r="G210" s="223"/>
      <c r="H210" s="223"/>
      <c r="P210" s="223"/>
      <c r="Q210" s="307"/>
      <c r="R210" s="277"/>
    </row>
    <row r="211" spans="1:18">
      <c r="A211" s="428">
        <f t="shared" si="7"/>
        <v>207</v>
      </c>
      <c r="B211" s="365">
        <f t="shared" si="6"/>
        <v>113</v>
      </c>
      <c r="C211" s="458">
        <v>33.51</v>
      </c>
      <c r="D211" s="367"/>
      <c r="F211" s="251"/>
      <c r="G211" s="223"/>
      <c r="H211" s="223"/>
      <c r="P211" s="223"/>
      <c r="Q211" s="307"/>
      <c r="R211" s="277"/>
    </row>
    <row r="212" spans="1:18">
      <c r="A212" s="428">
        <f t="shared" si="7"/>
        <v>208</v>
      </c>
      <c r="B212" s="365">
        <f t="shared" si="6"/>
        <v>112</v>
      </c>
      <c r="C212" s="458">
        <v>33.06</v>
      </c>
      <c r="D212" s="367"/>
      <c r="F212" s="251"/>
      <c r="G212" s="223"/>
      <c r="H212" s="223"/>
      <c r="P212" s="223"/>
      <c r="Q212" s="307"/>
      <c r="R212" s="277"/>
    </row>
    <row r="213" spans="1:18">
      <c r="A213" s="428">
        <f t="shared" si="7"/>
        <v>209</v>
      </c>
      <c r="B213" s="365">
        <f t="shared" si="6"/>
        <v>111</v>
      </c>
      <c r="C213" s="458">
        <v>32.729999999999997</v>
      </c>
      <c r="D213" s="367"/>
      <c r="F213" s="251"/>
      <c r="G213" s="223"/>
      <c r="H213" s="223"/>
      <c r="P213" s="223"/>
      <c r="Q213" s="307"/>
      <c r="R213" s="277"/>
    </row>
    <row r="214" spans="1:18">
      <c r="A214" s="428">
        <f t="shared" si="7"/>
        <v>210</v>
      </c>
      <c r="B214" s="365">
        <f t="shared" si="6"/>
        <v>110</v>
      </c>
      <c r="C214" s="458">
        <v>33.020000000000003</v>
      </c>
      <c r="D214" s="367"/>
      <c r="F214" s="251"/>
      <c r="G214" s="223"/>
      <c r="H214" s="223"/>
      <c r="P214" s="223"/>
      <c r="Q214" s="307"/>
      <c r="R214" s="277"/>
    </row>
    <row r="215" spans="1:18">
      <c r="A215" s="428">
        <f t="shared" si="7"/>
        <v>211</v>
      </c>
      <c r="B215" s="365">
        <f t="shared" si="6"/>
        <v>109</v>
      </c>
      <c r="C215" s="458">
        <v>32.9</v>
      </c>
      <c r="D215" s="367"/>
      <c r="F215" s="251"/>
      <c r="G215" s="223"/>
      <c r="H215" s="223"/>
      <c r="P215" s="223"/>
      <c r="Q215" s="307"/>
      <c r="R215" s="277"/>
    </row>
    <row r="216" spans="1:18">
      <c r="A216" s="428">
        <f t="shared" si="7"/>
        <v>212</v>
      </c>
      <c r="B216" s="365">
        <f t="shared" si="6"/>
        <v>108</v>
      </c>
      <c r="C216" s="458">
        <v>32.869999999999997</v>
      </c>
      <c r="D216" s="367"/>
      <c r="F216" s="251"/>
      <c r="G216" s="223"/>
      <c r="H216" s="223"/>
      <c r="P216" s="223"/>
      <c r="Q216" s="307"/>
      <c r="R216" s="277"/>
    </row>
    <row r="217" spans="1:18">
      <c r="A217" s="428">
        <f t="shared" si="7"/>
        <v>213</v>
      </c>
      <c r="B217" s="365">
        <f t="shared" si="6"/>
        <v>107</v>
      </c>
      <c r="C217" s="458">
        <v>32.97</v>
      </c>
      <c r="D217" s="367"/>
      <c r="F217" s="251"/>
      <c r="G217" s="223"/>
      <c r="H217" s="223"/>
      <c r="P217" s="223"/>
      <c r="Q217" s="307"/>
      <c r="R217" s="277"/>
    </row>
    <row r="218" spans="1:18">
      <c r="A218" s="428">
        <f t="shared" si="7"/>
        <v>214</v>
      </c>
      <c r="B218" s="365">
        <f t="shared" si="6"/>
        <v>106</v>
      </c>
      <c r="C218" s="458">
        <v>31.64</v>
      </c>
      <c r="D218" s="367"/>
      <c r="F218" s="251"/>
      <c r="G218" s="223"/>
      <c r="H218" s="223"/>
      <c r="P218" s="223"/>
      <c r="Q218" s="307"/>
      <c r="R218" s="277"/>
    </row>
    <row r="219" spans="1:18">
      <c r="A219" s="428">
        <f t="shared" si="7"/>
        <v>215</v>
      </c>
      <c r="B219" s="365">
        <f t="shared" si="6"/>
        <v>105</v>
      </c>
      <c r="C219" s="458">
        <v>33.67</v>
      </c>
      <c r="D219" s="367"/>
      <c r="F219" s="251"/>
      <c r="G219" s="223"/>
      <c r="H219" s="223"/>
      <c r="P219" s="223"/>
      <c r="Q219" s="307"/>
      <c r="R219" s="277"/>
    </row>
    <row r="220" spans="1:18">
      <c r="A220" s="428">
        <f t="shared" si="7"/>
        <v>216</v>
      </c>
      <c r="B220" s="365">
        <f t="shared" si="6"/>
        <v>104</v>
      </c>
      <c r="C220" s="458">
        <v>32.57</v>
      </c>
      <c r="D220" s="367"/>
      <c r="F220" s="251"/>
      <c r="G220" s="223"/>
      <c r="H220" s="223"/>
      <c r="P220" s="223"/>
      <c r="Q220" s="307"/>
      <c r="R220" s="277"/>
    </row>
    <row r="221" spans="1:18">
      <c r="A221" s="428">
        <f t="shared" si="7"/>
        <v>217</v>
      </c>
      <c r="B221" s="365">
        <f t="shared" si="6"/>
        <v>103</v>
      </c>
      <c r="C221" s="458">
        <v>32.880000000000003</v>
      </c>
      <c r="D221" s="367"/>
      <c r="F221" s="251"/>
      <c r="G221" s="223"/>
      <c r="H221" s="223"/>
      <c r="P221" s="223"/>
      <c r="Q221" s="307"/>
      <c r="R221" s="277"/>
    </row>
    <row r="222" spans="1:18">
      <c r="A222" s="428">
        <f t="shared" si="7"/>
        <v>218</v>
      </c>
      <c r="B222" s="365">
        <f t="shared" si="6"/>
        <v>102</v>
      </c>
      <c r="C222" s="458">
        <v>33.119999999999997</v>
      </c>
      <c r="D222" s="367"/>
      <c r="F222" s="251"/>
      <c r="G222" s="223"/>
      <c r="H222" s="223"/>
      <c r="P222" s="223"/>
      <c r="Q222" s="307"/>
      <c r="R222" s="277"/>
    </row>
    <row r="223" spans="1:18">
      <c r="A223" s="428">
        <f t="shared" si="7"/>
        <v>219</v>
      </c>
      <c r="B223" s="365">
        <f t="shared" si="6"/>
        <v>101</v>
      </c>
      <c r="C223" s="458">
        <v>33.090000000000003</v>
      </c>
      <c r="D223" s="367"/>
      <c r="F223" s="251"/>
      <c r="G223" s="223"/>
      <c r="H223" s="223"/>
      <c r="P223" s="223"/>
      <c r="Q223" s="307"/>
      <c r="R223" s="277"/>
    </row>
    <row r="224" spans="1:18">
      <c r="A224" s="428">
        <f t="shared" si="7"/>
        <v>220</v>
      </c>
      <c r="B224" s="365">
        <f t="shared" si="6"/>
        <v>100</v>
      </c>
      <c r="C224" s="458">
        <v>31.73</v>
      </c>
      <c r="D224" s="367"/>
      <c r="F224" s="251"/>
      <c r="G224" s="223"/>
      <c r="H224" s="223"/>
      <c r="P224" s="223"/>
      <c r="Q224" s="307"/>
      <c r="R224" s="277"/>
    </row>
    <row r="225" spans="1:18">
      <c r="A225" s="428">
        <f t="shared" si="7"/>
        <v>221</v>
      </c>
      <c r="B225" s="365">
        <f t="shared" si="6"/>
        <v>99</v>
      </c>
      <c r="C225" s="458">
        <v>33.1</v>
      </c>
      <c r="D225" s="367"/>
      <c r="F225" s="251"/>
      <c r="G225" s="223"/>
      <c r="H225" s="223"/>
      <c r="P225" s="223"/>
      <c r="Q225" s="307"/>
      <c r="R225" s="277"/>
    </row>
    <row r="226" spans="1:18">
      <c r="A226" s="428">
        <f t="shared" si="7"/>
        <v>222</v>
      </c>
      <c r="B226" s="365">
        <f t="shared" si="6"/>
        <v>98</v>
      </c>
      <c r="C226" s="458">
        <v>33.57</v>
      </c>
      <c r="D226" s="367"/>
      <c r="F226" s="251"/>
      <c r="G226" s="223"/>
      <c r="H226" s="223"/>
      <c r="P226" s="223"/>
      <c r="Q226" s="307"/>
      <c r="R226" s="277"/>
    </row>
    <row r="227" spans="1:18">
      <c r="A227" s="428">
        <f t="shared" si="7"/>
        <v>223</v>
      </c>
      <c r="B227" s="365">
        <f t="shared" si="6"/>
        <v>97</v>
      </c>
      <c r="C227" s="458">
        <v>33.43</v>
      </c>
      <c r="D227" s="367"/>
      <c r="F227" s="251"/>
      <c r="G227" s="223"/>
      <c r="H227" s="223"/>
      <c r="P227" s="223"/>
      <c r="Q227" s="307"/>
      <c r="R227" s="277"/>
    </row>
    <row r="228" spans="1:18">
      <c r="A228" s="428">
        <f t="shared" si="7"/>
        <v>224</v>
      </c>
      <c r="B228" s="365">
        <f t="shared" si="6"/>
        <v>96</v>
      </c>
      <c r="C228" s="458">
        <v>33.630000000000003</v>
      </c>
      <c r="D228" s="367"/>
      <c r="F228" s="251"/>
      <c r="G228" s="223"/>
      <c r="H228" s="223"/>
      <c r="P228" s="223"/>
      <c r="Q228" s="307"/>
      <c r="R228" s="277"/>
    </row>
    <row r="229" spans="1:18">
      <c r="A229" s="428">
        <f t="shared" si="7"/>
        <v>225</v>
      </c>
      <c r="B229" s="365">
        <f t="shared" si="6"/>
        <v>95</v>
      </c>
      <c r="C229" s="458">
        <v>32</v>
      </c>
      <c r="D229" s="367"/>
      <c r="F229" s="251"/>
      <c r="G229" s="223"/>
      <c r="H229" s="223"/>
      <c r="P229" s="223"/>
      <c r="Q229" s="307"/>
      <c r="R229" s="277"/>
    </row>
    <row r="230" spans="1:18">
      <c r="A230" s="428">
        <f t="shared" si="7"/>
        <v>226</v>
      </c>
      <c r="B230" s="365">
        <f t="shared" si="6"/>
        <v>94</v>
      </c>
      <c r="C230" s="458">
        <v>31.88</v>
      </c>
      <c r="D230" s="367"/>
      <c r="F230" s="251"/>
      <c r="G230" s="223"/>
      <c r="H230" s="223"/>
      <c r="P230" s="223"/>
      <c r="Q230" s="307"/>
      <c r="R230" s="277"/>
    </row>
    <row r="231" spans="1:18">
      <c r="A231" s="428">
        <f t="shared" si="7"/>
        <v>227</v>
      </c>
      <c r="B231" s="365">
        <f t="shared" si="6"/>
        <v>93</v>
      </c>
      <c r="C231" s="458">
        <v>33.4</v>
      </c>
      <c r="D231" s="367"/>
      <c r="F231" s="251"/>
      <c r="G231" s="223"/>
      <c r="H231" s="223"/>
      <c r="P231" s="223"/>
      <c r="Q231" s="307"/>
      <c r="R231" s="277"/>
    </row>
    <row r="232" spans="1:18">
      <c r="A232" s="428">
        <f t="shared" si="7"/>
        <v>228</v>
      </c>
      <c r="B232" s="365">
        <f t="shared" si="6"/>
        <v>92</v>
      </c>
      <c r="C232" s="458">
        <v>33.25</v>
      </c>
      <c r="D232" s="367"/>
      <c r="F232" s="251"/>
      <c r="G232" s="223"/>
      <c r="H232" s="223"/>
      <c r="P232" s="223"/>
      <c r="Q232" s="307"/>
      <c r="R232" s="277"/>
    </row>
    <row r="233" spans="1:18">
      <c r="A233" s="428">
        <f t="shared" si="7"/>
        <v>229</v>
      </c>
      <c r="B233" s="365">
        <f t="shared" si="6"/>
        <v>91</v>
      </c>
      <c r="C233" s="458">
        <v>33.14</v>
      </c>
      <c r="D233" s="367"/>
      <c r="F233" s="251"/>
      <c r="G233" s="223"/>
      <c r="H233" s="223"/>
      <c r="P233" s="223"/>
      <c r="Q233" s="307"/>
      <c r="R233" s="277"/>
    </row>
    <row r="234" spans="1:18">
      <c r="A234" s="428">
        <f t="shared" si="7"/>
        <v>230</v>
      </c>
      <c r="B234" s="365">
        <f t="shared" si="6"/>
        <v>90</v>
      </c>
      <c r="C234" s="458">
        <v>33.35</v>
      </c>
      <c r="D234" s="367"/>
      <c r="F234" s="251"/>
      <c r="G234" s="223"/>
      <c r="H234" s="223"/>
      <c r="P234" s="223"/>
      <c r="Q234" s="307"/>
      <c r="R234" s="277"/>
    </row>
    <row r="235" spans="1:18">
      <c r="A235" s="428">
        <f t="shared" si="7"/>
        <v>231</v>
      </c>
      <c r="B235" s="365">
        <f t="shared" si="6"/>
        <v>89</v>
      </c>
      <c r="C235" s="458">
        <v>33.950000000000003</v>
      </c>
      <c r="D235" s="367"/>
      <c r="F235" s="251"/>
      <c r="G235" s="223"/>
      <c r="H235" s="223"/>
      <c r="P235" s="223"/>
      <c r="Q235" s="307"/>
      <c r="R235" s="277"/>
    </row>
    <row r="236" spans="1:18">
      <c r="A236" s="428">
        <f t="shared" si="7"/>
        <v>232</v>
      </c>
      <c r="B236" s="365">
        <f t="shared" si="6"/>
        <v>88</v>
      </c>
      <c r="C236" s="458">
        <v>33.950000000000003</v>
      </c>
      <c r="D236" s="367"/>
      <c r="F236" s="251"/>
      <c r="G236" s="223"/>
      <c r="H236" s="223"/>
      <c r="P236" s="223"/>
      <c r="Q236" s="307"/>
      <c r="R236" s="277"/>
    </row>
    <row r="237" spans="1:18">
      <c r="A237" s="428">
        <f t="shared" si="7"/>
        <v>233</v>
      </c>
      <c r="B237" s="365">
        <f t="shared" si="6"/>
        <v>87</v>
      </c>
      <c r="C237" s="458">
        <v>33.950000000000003</v>
      </c>
      <c r="D237" s="367"/>
      <c r="F237" s="251"/>
      <c r="G237" s="223"/>
      <c r="H237" s="223"/>
      <c r="P237" s="223"/>
      <c r="Q237" s="307"/>
      <c r="R237" s="277"/>
    </row>
    <row r="238" spans="1:18">
      <c r="A238" s="428">
        <f t="shared" si="7"/>
        <v>234</v>
      </c>
      <c r="B238" s="365">
        <f t="shared" si="6"/>
        <v>86</v>
      </c>
      <c r="C238" s="458">
        <v>33.94</v>
      </c>
      <c r="D238" s="367"/>
      <c r="F238" s="251"/>
      <c r="G238" s="223"/>
      <c r="H238" s="223"/>
      <c r="P238" s="223"/>
      <c r="Q238" s="307"/>
      <c r="R238" s="277"/>
    </row>
    <row r="239" spans="1:18">
      <c r="A239" s="428">
        <f t="shared" si="7"/>
        <v>235</v>
      </c>
      <c r="B239" s="365">
        <f t="shared" si="6"/>
        <v>85</v>
      </c>
      <c r="C239" s="458">
        <v>33.61</v>
      </c>
      <c r="D239" s="367"/>
      <c r="F239" s="251"/>
      <c r="G239" s="223"/>
      <c r="H239" s="223"/>
      <c r="P239" s="223"/>
      <c r="Q239" s="307"/>
      <c r="R239" s="277"/>
    </row>
    <row r="240" spans="1:18" ht="13.5" thickBot="1">
      <c r="A240" s="428">
        <f t="shared" si="7"/>
        <v>236</v>
      </c>
      <c r="B240" s="365">
        <f t="shared" si="6"/>
        <v>84</v>
      </c>
      <c r="C240" s="458">
        <v>33.950000000000003</v>
      </c>
      <c r="D240" s="367"/>
      <c r="F240" s="251"/>
      <c r="G240" s="223"/>
      <c r="H240" s="223"/>
    </row>
    <row r="241" spans="1:11" ht="13.5" thickTop="1">
      <c r="A241" s="428">
        <f t="shared" si="7"/>
        <v>237</v>
      </c>
      <c r="B241" s="365">
        <f t="shared" si="6"/>
        <v>83</v>
      </c>
      <c r="C241" s="459">
        <v>32.72</v>
      </c>
      <c r="D241" s="367"/>
      <c r="E241" s="760" t="s">
        <v>246</v>
      </c>
      <c r="F241" s="761"/>
      <c r="G241" s="758">
        <v>490</v>
      </c>
      <c r="H241" s="223"/>
    </row>
    <row r="242" spans="1:11" ht="13.5" thickBot="1">
      <c r="A242" s="428">
        <f t="shared" si="7"/>
        <v>238</v>
      </c>
      <c r="B242" s="365">
        <f t="shared" si="6"/>
        <v>82</v>
      </c>
      <c r="C242" s="460">
        <v>32.67</v>
      </c>
      <c r="D242" s="367"/>
      <c r="E242" s="762"/>
      <c r="F242" s="763"/>
      <c r="G242" s="759"/>
      <c r="H242" s="223"/>
    </row>
    <row r="243" spans="1:11" ht="13.5" thickTop="1">
      <c r="A243" s="428">
        <f t="shared" si="7"/>
        <v>239</v>
      </c>
      <c r="B243" s="365">
        <f t="shared" si="6"/>
        <v>81</v>
      </c>
      <c r="C243" s="461">
        <v>32.76</v>
      </c>
      <c r="D243" s="367"/>
      <c r="E243" s="760" t="s">
        <v>245</v>
      </c>
      <c r="F243" s="761"/>
      <c r="G243" s="775">
        <f>B324</f>
        <v>436</v>
      </c>
      <c r="H243" s="223"/>
    </row>
    <row r="244" spans="1:11">
      <c r="A244" s="428">
        <f t="shared" si="7"/>
        <v>240</v>
      </c>
      <c r="B244" s="451">
        <f t="shared" si="6"/>
        <v>80</v>
      </c>
      <c r="C244" s="461">
        <v>33.96</v>
      </c>
      <c r="D244" s="367"/>
      <c r="E244" s="779"/>
      <c r="F244" s="780"/>
      <c r="G244" s="776"/>
      <c r="H244" s="223"/>
    </row>
    <row r="245" spans="1:11" ht="13.5" thickBot="1">
      <c r="A245" s="428">
        <f t="shared" si="7"/>
        <v>241</v>
      </c>
      <c r="B245" s="365">
        <f t="shared" si="6"/>
        <v>79</v>
      </c>
      <c r="C245" s="458">
        <v>33.950000000000003</v>
      </c>
      <c r="D245" s="367"/>
      <c r="E245" s="762"/>
      <c r="F245" s="763"/>
      <c r="G245" s="777"/>
      <c r="H245" s="223"/>
    </row>
    <row r="246" spans="1:11" ht="13.5" thickTop="1">
      <c r="A246" s="428">
        <f t="shared" si="7"/>
        <v>242</v>
      </c>
      <c r="B246" s="365">
        <f t="shared" si="6"/>
        <v>78</v>
      </c>
      <c r="C246" s="458">
        <v>33.92</v>
      </c>
      <c r="D246" s="367"/>
      <c r="E246" s="781" t="s">
        <v>182</v>
      </c>
      <c r="F246" s="782"/>
      <c r="G246" s="775">
        <f>B4+(B324-B418)</f>
        <v>414</v>
      </c>
      <c r="H246" s="223"/>
    </row>
    <row r="247" spans="1:11" ht="13.5" customHeight="1">
      <c r="A247" s="428">
        <f t="shared" si="7"/>
        <v>243</v>
      </c>
      <c r="B247" s="365">
        <f t="shared" si="6"/>
        <v>77</v>
      </c>
      <c r="C247" s="458">
        <v>33.82</v>
      </c>
      <c r="D247" s="367"/>
      <c r="E247" s="783"/>
      <c r="F247" s="782"/>
      <c r="G247" s="776"/>
      <c r="H247" s="411"/>
      <c r="K247" s="26"/>
    </row>
    <row r="248" spans="1:11" ht="13.5" thickBot="1">
      <c r="A248" s="428">
        <f t="shared" si="7"/>
        <v>244</v>
      </c>
      <c r="B248" s="365">
        <f t="shared" si="6"/>
        <v>76</v>
      </c>
      <c r="C248" s="458">
        <v>33.49</v>
      </c>
      <c r="D248" s="367"/>
      <c r="E248" s="783"/>
      <c r="F248" s="782"/>
      <c r="G248" s="776"/>
      <c r="H248" s="411"/>
    </row>
    <row r="249" spans="1:11" ht="13.5" thickTop="1">
      <c r="A249" s="428">
        <f t="shared" si="7"/>
        <v>245</v>
      </c>
      <c r="B249" s="365">
        <f t="shared" si="6"/>
        <v>75</v>
      </c>
      <c r="C249" s="458">
        <v>33.479999999999997</v>
      </c>
      <c r="D249" s="367"/>
      <c r="E249" s="769" t="s">
        <v>247</v>
      </c>
      <c r="F249" s="784"/>
      <c r="G249" s="758">
        <f>B324-G246</f>
        <v>22</v>
      </c>
      <c r="H249" s="411"/>
    </row>
    <row r="250" spans="1:11" ht="13.5" customHeight="1" thickBot="1">
      <c r="A250" s="428">
        <f t="shared" si="7"/>
        <v>246</v>
      </c>
      <c r="B250" s="365">
        <f t="shared" si="6"/>
        <v>74</v>
      </c>
      <c r="C250" s="458">
        <v>33.729999999999997</v>
      </c>
      <c r="D250" s="367"/>
      <c r="E250" s="785"/>
      <c r="F250" s="786"/>
      <c r="G250" s="778"/>
      <c r="H250" s="411"/>
    </row>
    <row r="251" spans="1:11" ht="13.5" thickTop="1">
      <c r="A251" s="428">
        <f t="shared" si="7"/>
        <v>247</v>
      </c>
      <c r="B251" s="365">
        <f t="shared" si="6"/>
        <v>73</v>
      </c>
      <c r="C251" s="458">
        <v>33.6</v>
      </c>
      <c r="D251" s="367"/>
      <c r="E251" s="765" t="s">
        <v>248</v>
      </c>
      <c r="F251" s="766"/>
      <c r="G251" s="758">
        <v>76</v>
      </c>
      <c r="H251" s="411"/>
    </row>
    <row r="252" spans="1:11" ht="13.5" thickBot="1">
      <c r="A252" s="428">
        <f t="shared" si="7"/>
        <v>248</v>
      </c>
      <c r="B252" s="365">
        <f t="shared" si="6"/>
        <v>72</v>
      </c>
      <c r="C252" s="458">
        <v>33.590000000000003</v>
      </c>
      <c r="D252" s="367"/>
      <c r="E252" s="767"/>
      <c r="F252" s="768"/>
      <c r="G252" s="764"/>
      <c r="H252" s="411"/>
    </row>
    <row r="253" spans="1:11" ht="12.95" customHeight="1" thickTop="1">
      <c r="A253" s="428">
        <f t="shared" si="7"/>
        <v>249</v>
      </c>
      <c r="B253" s="365">
        <f t="shared" si="6"/>
        <v>71</v>
      </c>
      <c r="C253" s="458">
        <v>33.92</v>
      </c>
      <c r="D253" s="367"/>
      <c r="E253" s="769" t="s">
        <v>197</v>
      </c>
      <c r="F253" s="770"/>
      <c r="G253" s="771"/>
    </row>
    <row r="254" spans="1:11" ht="12.95" customHeight="1" thickBot="1">
      <c r="A254" s="428">
        <f t="shared" si="7"/>
        <v>250</v>
      </c>
      <c r="B254" s="365">
        <f t="shared" si="6"/>
        <v>70</v>
      </c>
      <c r="C254" s="458">
        <v>33.93</v>
      </c>
      <c r="D254" s="367"/>
      <c r="E254" s="772"/>
      <c r="F254" s="773"/>
      <c r="G254" s="774"/>
    </row>
    <row r="255" spans="1:11" ht="13.5" thickTop="1">
      <c r="A255" s="428">
        <f t="shared" si="7"/>
        <v>251</v>
      </c>
      <c r="B255" s="365">
        <f t="shared" si="6"/>
        <v>69</v>
      </c>
      <c r="C255" s="458">
        <v>33.65</v>
      </c>
      <c r="D255" s="367"/>
      <c r="E255" s="436"/>
      <c r="F255" s="453"/>
      <c r="G255" s="453"/>
    </row>
    <row r="256" spans="1:11">
      <c r="A256" s="428">
        <f t="shared" si="7"/>
        <v>252</v>
      </c>
      <c r="B256" s="365">
        <f t="shared" si="6"/>
        <v>68</v>
      </c>
      <c r="C256" s="458">
        <v>33.94</v>
      </c>
      <c r="D256" s="367"/>
      <c r="E256" s="452"/>
      <c r="F256"/>
      <c r="G256"/>
    </row>
    <row r="257" spans="1:4">
      <c r="A257" s="428">
        <f t="shared" si="7"/>
        <v>253</v>
      </c>
      <c r="B257" s="365">
        <f t="shared" ref="B257:B320" si="8">B256-1</f>
        <v>67</v>
      </c>
      <c r="C257" s="458">
        <v>33.520000000000003</v>
      </c>
      <c r="D257" s="367"/>
    </row>
    <row r="258" spans="1:4">
      <c r="A258" s="428">
        <f t="shared" si="7"/>
        <v>254</v>
      </c>
      <c r="B258" s="365">
        <f t="shared" si="8"/>
        <v>66</v>
      </c>
      <c r="C258" s="458">
        <v>33.56</v>
      </c>
      <c r="D258" s="367"/>
    </row>
    <row r="259" spans="1:4">
      <c r="A259" s="428">
        <f t="shared" si="7"/>
        <v>255</v>
      </c>
      <c r="B259" s="365">
        <f t="shared" si="8"/>
        <v>65</v>
      </c>
      <c r="C259" s="458">
        <v>33.450000000000003</v>
      </c>
      <c r="D259" s="367"/>
    </row>
    <row r="260" spans="1:4">
      <c r="A260" s="428">
        <f t="shared" si="7"/>
        <v>256</v>
      </c>
      <c r="B260" s="365">
        <f t="shared" si="8"/>
        <v>64</v>
      </c>
      <c r="C260" s="458">
        <v>33.770000000000003</v>
      </c>
      <c r="D260" s="367"/>
    </row>
    <row r="261" spans="1:4">
      <c r="A261" s="428">
        <f t="shared" si="7"/>
        <v>257</v>
      </c>
      <c r="B261" s="365">
        <f t="shared" si="8"/>
        <v>63</v>
      </c>
      <c r="C261" s="458">
        <v>33.770000000000003</v>
      </c>
      <c r="D261" s="367"/>
    </row>
    <row r="262" spans="1:4">
      <c r="A262" s="428">
        <f t="shared" si="7"/>
        <v>258</v>
      </c>
      <c r="B262" s="365">
        <f t="shared" si="8"/>
        <v>62</v>
      </c>
      <c r="C262" s="458">
        <v>33.549999999999997</v>
      </c>
      <c r="D262" s="367"/>
    </row>
    <row r="263" spans="1:4">
      <c r="A263" s="428">
        <f t="shared" ref="A263:A326" si="9">A262+1</f>
        <v>259</v>
      </c>
      <c r="B263" s="365">
        <f t="shared" si="8"/>
        <v>61</v>
      </c>
      <c r="C263" s="458">
        <v>33.18</v>
      </c>
      <c r="D263" s="367"/>
    </row>
    <row r="264" spans="1:4">
      <c r="A264" s="428">
        <f t="shared" si="9"/>
        <v>260</v>
      </c>
      <c r="B264" s="365">
        <f t="shared" si="8"/>
        <v>60</v>
      </c>
      <c r="C264" s="458">
        <v>33.69</v>
      </c>
      <c r="D264" s="367"/>
    </row>
    <row r="265" spans="1:4">
      <c r="A265" s="428">
        <f t="shared" si="9"/>
        <v>261</v>
      </c>
      <c r="B265" s="365">
        <f t="shared" si="8"/>
        <v>59</v>
      </c>
      <c r="C265" s="458">
        <v>33.43</v>
      </c>
      <c r="D265" s="367"/>
    </row>
    <row r="266" spans="1:4">
      <c r="A266" s="428">
        <f t="shared" si="9"/>
        <v>262</v>
      </c>
      <c r="B266" s="365">
        <f t="shared" si="8"/>
        <v>58</v>
      </c>
      <c r="C266" s="458">
        <v>33.72</v>
      </c>
      <c r="D266" s="367"/>
    </row>
    <row r="267" spans="1:4">
      <c r="A267" s="428">
        <f t="shared" si="9"/>
        <v>263</v>
      </c>
      <c r="B267" s="365">
        <f t="shared" si="8"/>
        <v>57</v>
      </c>
      <c r="C267" s="458">
        <v>33.93</v>
      </c>
      <c r="D267" s="367"/>
    </row>
    <row r="268" spans="1:4">
      <c r="A268" s="428">
        <f t="shared" si="9"/>
        <v>264</v>
      </c>
      <c r="B268" s="365">
        <f t="shared" si="8"/>
        <v>56</v>
      </c>
      <c r="C268" s="458">
        <v>33.35</v>
      </c>
      <c r="D268" s="367"/>
    </row>
    <row r="269" spans="1:4">
      <c r="A269" s="428">
        <f t="shared" si="9"/>
        <v>265</v>
      </c>
      <c r="B269" s="365">
        <f t="shared" si="8"/>
        <v>55</v>
      </c>
      <c r="C269" s="458">
        <v>33.93</v>
      </c>
      <c r="D269" s="367"/>
    </row>
    <row r="270" spans="1:4">
      <c r="A270" s="428">
        <f t="shared" si="9"/>
        <v>266</v>
      </c>
      <c r="B270" s="365">
        <f t="shared" si="8"/>
        <v>54</v>
      </c>
      <c r="C270" s="458">
        <v>33.93</v>
      </c>
      <c r="D270" s="367"/>
    </row>
    <row r="271" spans="1:4">
      <c r="A271" s="428">
        <f t="shared" si="9"/>
        <v>267</v>
      </c>
      <c r="B271" s="365">
        <f t="shared" si="8"/>
        <v>53</v>
      </c>
      <c r="C271" s="458">
        <v>33.78</v>
      </c>
      <c r="D271" s="367"/>
    </row>
    <row r="272" spans="1:4">
      <c r="A272" s="428">
        <f t="shared" si="9"/>
        <v>268</v>
      </c>
      <c r="B272" s="365">
        <f t="shared" si="8"/>
        <v>52</v>
      </c>
      <c r="C272" s="458">
        <v>33.67</v>
      </c>
      <c r="D272" s="367"/>
    </row>
    <row r="273" spans="1:4">
      <c r="A273" s="428">
        <f t="shared" si="9"/>
        <v>269</v>
      </c>
      <c r="B273" s="365">
        <f t="shared" si="8"/>
        <v>51</v>
      </c>
      <c r="C273" s="458">
        <v>33.93</v>
      </c>
      <c r="D273" s="367"/>
    </row>
    <row r="274" spans="1:4">
      <c r="A274" s="428">
        <f t="shared" si="9"/>
        <v>270</v>
      </c>
      <c r="B274" s="365">
        <f t="shared" si="8"/>
        <v>50</v>
      </c>
      <c r="C274" s="458">
        <v>33.76</v>
      </c>
      <c r="D274" s="367"/>
    </row>
    <row r="275" spans="1:4">
      <c r="A275" s="428">
        <f t="shared" si="9"/>
        <v>271</v>
      </c>
      <c r="B275" s="365">
        <f t="shared" si="8"/>
        <v>49</v>
      </c>
      <c r="C275" s="458">
        <v>33.369999999999997</v>
      </c>
      <c r="D275" s="367"/>
    </row>
    <row r="276" spans="1:4">
      <c r="A276" s="428">
        <f t="shared" si="9"/>
        <v>272</v>
      </c>
      <c r="B276" s="365">
        <f t="shared" si="8"/>
        <v>48</v>
      </c>
      <c r="C276" s="458">
        <v>33.549999999999997</v>
      </c>
      <c r="D276" s="367"/>
    </row>
    <row r="277" spans="1:4">
      <c r="A277" s="428">
        <f t="shared" si="9"/>
        <v>273</v>
      </c>
      <c r="B277" s="365">
        <f t="shared" si="8"/>
        <v>47</v>
      </c>
      <c r="C277" s="458">
        <v>33.39</v>
      </c>
      <c r="D277" s="367"/>
    </row>
    <row r="278" spans="1:4">
      <c r="A278" s="428">
        <f t="shared" si="9"/>
        <v>274</v>
      </c>
      <c r="B278" s="365">
        <f t="shared" si="8"/>
        <v>46</v>
      </c>
      <c r="C278" s="458">
        <v>32.950000000000003</v>
      </c>
      <c r="D278" s="367"/>
    </row>
    <row r="279" spans="1:4">
      <c r="A279" s="428">
        <f t="shared" si="9"/>
        <v>275</v>
      </c>
      <c r="B279" s="365">
        <f t="shared" si="8"/>
        <v>45</v>
      </c>
      <c r="C279" s="458">
        <v>33.24</v>
      </c>
      <c r="D279" s="367"/>
    </row>
    <row r="280" spans="1:4">
      <c r="A280" s="428">
        <f t="shared" si="9"/>
        <v>276</v>
      </c>
      <c r="B280" s="365">
        <f t="shared" si="8"/>
        <v>44</v>
      </c>
      <c r="C280" s="458">
        <v>32.86</v>
      </c>
      <c r="D280" s="367"/>
    </row>
    <row r="281" spans="1:4">
      <c r="A281" s="428">
        <f t="shared" si="9"/>
        <v>277</v>
      </c>
      <c r="B281" s="365">
        <f t="shared" si="8"/>
        <v>43</v>
      </c>
      <c r="C281" s="458">
        <v>33.26</v>
      </c>
      <c r="D281" s="367"/>
    </row>
    <row r="282" spans="1:4">
      <c r="A282" s="428">
        <f t="shared" si="9"/>
        <v>278</v>
      </c>
      <c r="B282" s="365">
        <f t="shared" si="8"/>
        <v>42</v>
      </c>
      <c r="C282" s="458">
        <v>33.76</v>
      </c>
      <c r="D282" s="367"/>
    </row>
    <row r="283" spans="1:4">
      <c r="A283" s="428">
        <f t="shared" si="9"/>
        <v>279</v>
      </c>
      <c r="B283" s="365">
        <f t="shared" si="8"/>
        <v>41</v>
      </c>
      <c r="C283" s="458">
        <v>33.119999999999997</v>
      </c>
      <c r="D283" s="367"/>
    </row>
    <row r="284" spans="1:4">
      <c r="A284" s="428">
        <f t="shared" si="9"/>
        <v>280</v>
      </c>
      <c r="B284" s="365">
        <f t="shared" si="8"/>
        <v>40</v>
      </c>
      <c r="C284" s="458">
        <v>33.54</v>
      </c>
      <c r="D284" s="367"/>
    </row>
    <row r="285" spans="1:4">
      <c r="A285" s="428">
        <f t="shared" si="9"/>
        <v>281</v>
      </c>
      <c r="B285" s="365">
        <f t="shared" si="8"/>
        <v>39</v>
      </c>
      <c r="C285" s="458">
        <v>33.46</v>
      </c>
      <c r="D285" s="367"/>
    </row>
    <row r="286" spans="1:4">
      <c r="A286" s="428">
        <f t="shared" si="9"/>
        <v>282</v>
      </c>
      <c r="B286" s="365">
        <f t="shared" si="8"/>
        <v>38</v>
      </c>
      <c r="C286" s="458">
        <v>33.369999999999997</v>
      </c>
      <c r="D286" s="367"/>
    </row>
    <row r="287" spans="1:4">
      <c r="A287" s="428">
        <f t="shared" si="9"/>
        <v>283</v>
      </c>
      <c r="B287" s="365">
        <f t="shared" si="8"/>
        <v>37</v>
      </c>
      <c r="C287" s="458">
        <v>33.380000000000003</v>
      </c>
      <c r="D287" s="367"/>
    </row>
    <row r="288" spans="1:4">
      <c r="A288" s="428">
        <f t="shared" si="9"/>
        <v>284</v>
      </c>
      <c r="B288" s="365">
        <f t="shared" si="8"/>
        <v>36</v>
      </c>
      <c r="C288" s="458">
        <v>31.7</v>
      </c>
      <c r="D288" s="367"/>
    </row>
    <row r="289" spans="1:17">
      <c r="A289" s="428">
        <f t="shared" si="9"/>
        <v>285</v>
      </c>
      <c r="B289" s="365">
        <f t="shared" si="8"/>
        <v>35</v>
      </c>
      <c r="C289" s="458">
        <v>32.21</v>
      </c>
      <c r="D289" s="367"/>
    </row>
    <row r="290" spans="1:17">
      <c r="A290" s="428">
        <f t="shared" si="9"/>
        <v>286</v>
      </c>
      <c r="B290" s="365">
        <f t="shared" si="8"/>
        <v>34</v>
      </c>
      <c r="C290" s="458">
        <v>32.94</v>
      </c>
      <c r="D290" s="367"/>
    </row>
    <row r="291" spans="1:17">
      <c r="A291" s="428">
        <f t="shared" si="9"/>
        <v>287</v>
      </c>
      <c r="B291" s="365">
        <f t="shared" si="8"/>
        <v>33</v>
      </c>
      <c r="C291" s="458">
        <v>33.35</v>
      </c>
      <c r="D291" s="367"/>
    </row>
    <row r="292" spans="1:17">
      <c r="A292" s="428">
        <f t="shared" si="9"/>
        <v>288</v>
      </c>
      <c r="B292" s="365">
        <f t="shared" si="8"/>
        <v>32</v>
      </c>
      <c r="C292" s="458">
        <v>32.619999999999997</v>
      </c>
      <c r="D292" s="367"/>
    </row>
    <row r="293" spans="1:17">
      <c r="A293" s="428">
        <f t="shared" si="9"/>
        <v>289</v>
      </c>
      <c r="B293" s="365">
        <f t="shared" si="8"/>
        <v>31</v>
      </c>
      <c r="C293" s="458">
        <v>33.31</v>
      </c>
      <c r="D293" s="367"/>
    </row>
    <row r="294" spans="1:17">
      <c r="A294" s="428">
        <f t="shared" si="9"/>
        <v>290</v>
      </c>
      <c r="B294" s="365">
        <f t="shared" si="8"/>
        <v>30</v>
      </c>
      <c r="C294" s="458">
        <v>33.229999999999997</v>
      </c>
      <c r="D294" s="367"/>
    </row>
    <row r="295" spans="1:17">
      <c r="A295" s="428">
        <f t="shared" si="9"/>
        <v>291</v>
      </c>
      <c r="B295" s="365">
        <f t="shared" si="8"/>
        <v>29</v>
      </c>
      <c r="C295" s="458">
        <v>33.25</v>
      </c>
      <c r="D295" s="367"/>
    </row>
    <row r="296" spans="1:17">
      <c r="A296" s="428">
        <f t="shared" si="9"/>
        <v>292</v>
      </c>
      <c r="B296" s="365">
        <f t="shared" si="8"/>
        <v>28</v>
      </c>
      <c r="C296" s="458">
        <v>33.46</v>
      </c>
      <c r="D296" s="367"/>
    </row>
    <row r="297" spans="1:17">
      <c r="A297" s="428">
        <f t="shared" si="9"/>
        <v>293</v>
      </c>
      <c r="B297" s="365">
        <f t="shared" si="8"/>
        <v>27</v>
      </c>
      <c r="C297" s="458">
        <v>33.590000000000003</v>
      </c>
      <c r="D297" s="367"/>
    </row>
    <row r="298" spans="1:17">
      <c r="A298" s="428">
        <f t="shared" si="9"/>
        <v>294</v>
      </c>
      <c r="B298" s="365">
        <f t="shared" si="8"/>
        <v>26</v>
      </c>
      <c r="C298" s="458">
        <v>33.47</v>
      </c>
      <c r="D298" s="367"/>
      <c r="Q298" s="368"/>
    </row>
    <row r="299" spans="1:17">
      <c r="A299" s="428">
        <f t="shared" si="9"/>
        <v>295</v>
      </c>
      <c r="B299" s="365">
        <f t="shared" si="8"/>
        <v>25</v>
      </c>
      <c r="C299" s="458">
        <v>33.6</v>
      </c>
      <c r="D299" s="367"/>
      <c r="Q299" s="368"/>
    </row>
    <row r="300" spans="1:17">
      <c r="A300" s="428">
        <f t="shared" si="9"/>
        <v>296</v>
      </c>
      <c r="B300" s="365">
        <f t="shared" si="8"/>
        <v>24</v>
      </c>
      <c r="C300" s="458">
        <v>33.61</v>
      </c>
      <c r="D300" s="367"/>
      <c r="Q300" s="368"/>
    </row>
    <row r="301" spans="1:17">
      <c r="A301" s="428">
        <f t="shared" si="9"/>
        <v>297</v>
      </c>
      <c r="B301" s="365">
        <f t="shared" si="8"/>
        <v>23</v>
      </c>
      <c r="C301" s="458">
        <v>33.04</v>
      </c>
      <c r="D301" s="367"/>
      <c r="Q301" s="368"/>
    </row>
    <row r="302" spans="1:17">
      <c r="A302" s="428">
        <f t="shared" si="9"/>
        <v>298</v>
      </c>
      <c r="B302" s="365">
        <f t="shared" si="8"/>
        <v>22</v>
      </c>
      <c r="C302" s="458">
        <v>32.159999999999997</v>
      </c>
      <c r="D302" s="367"/>
      <c r="Q302" s="368"/>
    </row>
    <row r="303" spans="1:17">
      <c r="A303" s="428">
        <f t="shared" si="9"/>
        <v>299</v>
      </c>
      <c r="B303" s="365">
        <f t="shared" si="8"/>
        <v>21</v>
      </c>
      <c r="C303" s="458">
        <v>32.17</v>
      </c>
      <c r="D303" s="367"/>
      <c r="Q303" s="368"/>
    </row>
    <row r="304" spans="1:17">
      <c r="A304" s="428">
        <f t="shared" si="9"/>
        <v>300</v>
      </c>
      <c r="B304" s="365">
        <f t="shared" si="8"/>
        <v>20</v>
      </c>
      <c r="C304" s="458">
        <v>32.21</v>
      </c>
      <c r="D304" s="367"/>
      <c r="Q304" s="368"/>
    </row>
    <row r="305" spans="1:17">
      <c r="A305" s="428">
        <f t="shared" si="9"/>
        <v>301</v>
      </c>
      <c r="B305" s="365">
        <f t="shared" si="8"/>
        <v>19</v>
      </c>
      <c r="C305" s="458">
        <v>33.94</v>
      </c>
      <c r="D305" s="367"/>
      <c r="Q305" s="368"/>
    </row>
    <row r="306" spans="1:17" ht="13.5" customHeight="1">
      <c r="A306" s="428">
        <f t="shared" si="9"/>
        <v>302</v>
      </c>
      <c r="B306" s="365">
        <f t="shared" si="8"/>
        <v>18</v>
      </c>
      <c r="C306" s="458">
        <v>33.950000000000003</v>
      </c>
      <c r="D306" s="367"/>
      <c r="Q306" s="368"/>
    </row>
    <row r="307" spans="1:17">
      <c r="A307" s="428">
        <f t="shared" si="9"/>
        <v>303</v>
      </c>
      <c r="B307" s="365">
        <f t="shared" si="8"/>
        <v>17</v>
      </c>
      <c r="C307" s="458">
        <v>33.950000000000003</v>
      </c>
      <c r="D307" s="367"/>
      <c r="Q307" s="368"/>
    </row>
    <row r="308" spans="1:17" ht="14.1" customHeight="1">
      <c r="A308" s="428">
        <f t="shared" si="9"/>
        <v>304</v>
      </c>
      <c r="B308" s="365">
        <f t="shared" si="8"/>
        <v>16</v>
      </c>
      <c r="C308" s="458">
        <v>33.950000000000003</v>
      </c>
      <c r="D308" s="367"/>
      <c r="Q308" s="368"/>
    </row>
    <row r="309" spans="1:17" ht="13.5" customHeight="1">
      <c r="A309" s="428">
        <f t="shared" si="9"/>
        <v>305</v>
      </c>
      <c r="B309" s="365">
        <f t="shared" si="8"/>
        <v>15</v>
      </c>
      <c r="C309" s="458">
        <v>33.340000000000003</v>
      </c>
      <c r="D309" s="367"/>
      <c r="Q309" s="368"/>
    </row>
    <row r="310" spans="1:17" ht="12.95" customHeight="1">
      <c r="A310" s="428">
        <f t="shared" si="9"/>
        <v>306</v>
      </c>
      <c r="B310" s="365">
        <f t="shared" si="8"/>
        <v>14</v>
      </c>
      <c r="C310" s="458">
        <v>33.520000000000003</v>
      </c>
      <c r="D310" s="367"/>
      <c r="Q310" s="368"/>
    </row>
    <row r="311" spans="1:17" ht="13.5" customHeight="1">
      <c r="A311" s="428">
        <f t="shared" si="9"/>
        <v>307</v>
      </c>
      <c r="B311" s="365">
        <f t="shared" si="8"/>
        <v>13</v>
      </c>
      <c r="C311" s="458">
        <v>33.450000000000003</v>
      </c>
      <c r="D311" s="367"/>
      <c r="Q311" s="368"/>
    </row>
    <row r="312" spans="1:17" ht="12.95" customHeight="1">
      <c r="A312" s="428">
        <f t="shared" si="9"/>
        <v>308</v>
      </c>
      <c r="B312" s="365">
        <f t="shared" si="8"/>
        <v>12</v>
      </c>
      <c r="C312" s="458">
        <v>33.6</v>
      </c>
      <c r="D312" s="367"/>
      <c r="Q312" s="368"/>
    </row>
    <row r="313" spans="1:17" ht="13.5" customHeight="1">
      <c r="A313" s="428">
        <f t="shared" si="9"/>
        <v>309</v>
      </c>
      <c r="B313" s="365">
        <f t="shared" si="8"/>
        <v>11</v>
      </c>
      <c r="C313" s="458">
        <v>33.229999999999997</v>
      </c>
      <c r="D313" s="367"/>
      <c r="Q313" s="368"/>
    </row>
    <row r="314" spans="1:17" ht="12.6" customHeight="1">
      <c r="A314" s="428">
        <f t="shared" si="9"/>
        <v>310</v>
      </c>
      <c r="B314" s="365">
        <f t="shared" si="8"/>
        <v>10</v>
      </c>
      <c r="C314" s="458">
        <v>33.94</v>
      </c>
      <c r="D314" s="367"/>
      <c r="Q314" s="368"/>
    </row>
    <row r="315" spans="1:17" ht="12.95" customHeight="1">
      <c r="A315" s="428">
        <f t="shared" si="9"/>
        <v>311</v>
      </c>
      <c r="B315" s="365">
        <f t="shared" si="8"/>
        <v>9</v>
      </c>
      <c r="C315" s="458">
        <v>33.64</v>
      </c>
      <c r="D315" s="367"/>
      <c r="Q315" s="368"/>
    </row>
    <row r="316" spans="1:17">
      <c r="A316" s="428">
        <f t="shared" si="9"/>
        <v>312</v>
      </c>
      <c r="B316" s="365">
        <f t="shared" si="8"/>
        <v>8</v>
      </c>
      <c r="C316" s="458">
        <v>33.99</v>
      </c>
      <c r="D316" s="367"/>
      <c r="Q316" s="368"/>
    </row>
    <row r="317" spans="1:17">
      <c r="A317" s="428">
        <f t="shared" si="9"/>
        <v>313</v>
      </c>
      <c r="B317" s="365">
        <f t="shared" si="8"/>
        <v>7</v>
      </c>
      <c r="C317" s="458">
        <v>33.729999999999997</v>
      </c>
      <c r="D317" s="367"/>
      <c r="Q317" s="368"/>
    </row>
    <row r="318" spans="1:17">
      <c r="A318" s="428">
        <f t="shared" si="9"/>
        <v>314</v>
      </c>
      <c r="B318" s="365">
        <f t="shared" si="8"/>
        <v>6</v>
      </c>
      <c r="C318" s="458">
        <v>33.58</v>
      </c>
      <c r="D318" s="367"/>
      <c r="Q318" s="368"/>
    </row>
    <row r="319" spans="1:17">
      <c r="A319" s="428">
        <f t="shared" si="9"/>
        <v>315</v>
      </c>
      <c r="B319" s="365">
        <f t="shared" si="8"/>
        <v>5</v>
      </c>
      <c r="C319" s="458">
        <v>33.659999999999997</v>
      </c>
      <c r="D319" s="367"/>
      <c r="Q319" s="368"/>
    </row>
    <row r="320" spans="1:17">
      <c r="A320" s="428">
        <f t="shared" si="9"/>
        <v>316</v>
      </c>
      <c r="B320" s="365">
        <f t="shared" si="8"/>
        <v>4</v>
      </c>
      <c r="C320" s="458">
        <v>33.950000000000003</v>
      </c>
      <c r="D320" s="367"/>
      <c r="Q320" s="368"/>
    </row>
    <row r="321" spans="1:17">
      <c r="A321" s="428">
        <f t="shared" si="9"/>
        <v>317</v>
      </c>
      <c r="B321" s="365">
        <f t="shared" ref="B321:B384" si="10">B320-1</f>
        <v>3</v>
      </c>
      <c r="C321" s="458">
        <v>33.950000000000003</v>
      </c>
      <c r="D321" s="367"/>
      <c r="Q321" s="368"/>
    </row>
    <row r="322" spans="1:17">
      <c r="A322" s="428">
        <f t="shared" si="9"/>
        <v>318</v>
      </c>
      <c r="B322" s="365">
        <f t="shared" si="10"/>
        <v>2</v>
      </c>
      <c r="C322" s="458">
        <v>33.950000000000003</v>
      </c>
      <c r="D322" s="367"/>
      <c r="H322" s="221">
        <f>SUM(C4:C323)</f>
        <v>10712.140000000007</v>
      </c>
      <c r="Q322" s="368"/>
    </row>
    <row r="323" spans="1:17">
      <c r="A323" s="428">
        <f t="shared" si="9"/>
        <v>319</v>
      </c>
      <c r="B323" s="365">
        <f t="shared" si="10"/>
        <v>1</v>
      </c>
      <c r="C323" s="458">
        <v>33.909999999999997</v>
      </c>
      <c r="D323" s="367"/>
      <c r="H323" s="221">
        <f>H322/320</f>
        <v>33.475437500000019</v>
      </c>
      <c r="L323" s="218">
        <f>H322-H325</f>
        <v>10584.780000000006</v>
      </c>
      <c r="Q323" s="368"/>
    </row>
    <row r="324" spans="1:17">
      <c r="A324" s="428">
        <f t="shared" si="9"/>
        <v>320</v>
      </c>
      <c r="B324" s="365">
        <v>436</v>
      </c>
      <c r="C324" s="458">
        <v>33.61</v>
      </c>
      <c r="D324" s="367"/>
      <c r="L324">
        <f>L323/320</f>
        <v>33.077437500000016</v>
      </c>
      <c r="Q324" s="368"/>
    </row>
    <row r="325" spans="1:17">
      <c r="A325" s="428">
        <f t="shared" si="9"/>
        <v>321</v>
      </c>
      <c r="B325" s="365">
        <f t="shared" si="10"/>
        <v>435</v>
      </c>
      <c r="C325" s="458">
        <v>33.5</v>
      </c>
      <c r="D325" s="367"/>
      <c r="H325" s="221">
        <f>0.398*320</f>
        <v>127.36000000000001</v>
      </c>
      <c r="Q325" s="369"/>
    </row>
    <row r="326" spans="1:17">
      <c r="A326" s="428">
        <f t="shared" si="9"/>
        <v>322</v>
      </c>
      <c r="B326" s="365">
        <f t="shared" si="10"/>
        <v>434</v>
      </c>
      <c r="C326" s="458">
        <v>33.630000000000003</v>
      </c>
      <c r="D326" s="367"/>
      <c r="Q326" s="368"/>
    </row>
    <row r="327" spans="1:17">
      <c r="A327" s="428">
        <f t="shared" ref="A327:A390" si="11">A326+1</f>
        <v>323</v>
      </c>
      <c r="B327" s="365">
        <f t="shared" si="10"/>
        <v>433</v>
      </c>
      <c r="C327" s="458">
        <v>33.94</v>
      </c>
      <c r="D327" s="367"/>
      <c r="F327"/>
      <c r="Q327" s="368"/>
    </row>
    <row r="328" spans="1:17">
      <c r="A328" s="428">
        <f t="shared" si="11"/>
        <v>324</v>
      </c>
      <c r="B328" s="365">
        <f t="shared" si="10"/>
        <v>432</v>
      </c>
      <c r="C328" s="458">
        <v>33.36</v>
      </c>
      <c r="D328" s="367"/>
      <c r="F328"/>
      <c r="Q328" s="368"/>
    </row>
    <row r="329" spans="1:17">
      <c r="A329" s="428">
        <f t="shared" si="11"/>
        <v>325</v>
      </c>
      <c r="B329" s="365">
        <f t="shared" si="10"/>
        <v>431</v>
      </c>
      <c r="C329" s="458">
        <v>33.11</v>
      </c>
      <c r="D329" s="367"/>
      <c r="F329"/>
      <c r="Q329" s="368"/>
    </row>
    <row r="330" spans="1:17">
      <c r="A330" s="428">
        <f t="shared" si="11"/>
        <v>326</v>
      </c>
      <c r="B330" s="365">
        <f t="shared" si="10"/>
        <v>430</v>
      </c>
      <c r="C330" s="458">
        <v>33.19</v>
      </c>
      <c r="D330" s="367"/>
      <c r="F330"/>
      <c r="Q330" s="368"/>
    </row>
    <row r="331" spans="1:17">
      <c r="A331" s="428">
        <f t="shared" si="11"/>
        <v>327</v>
      </c>
      <c r="B331" s="365">
        <f t="shared" si="10"/>
        <v>429</v>
      </c>
      <c r="C331" s="458">
        <v>33</v>
      </c>
      <c r="D331" s="367"/>
      <c r="F331"/>
      <c r="Q331" s="368"/>
    </row>
    <row r="332" spans="1:17">
      <c r="A332" s="428">
        <f t="shared" si="11"/>
        <v>328</v>
      </c>
      <c r="B332" s="365">
        <f t="shared" si="10"/>
        <v>428</v>
      </c>
      <c r="C332" s="458">
        <v>31.95</v>
      </c>
      <c r="D332" s="367"/>
      <c r="F332"/>
    </row>
    <row r="333" spans="1:17">
      <c r="A333" s="428">
        <f t="shared" si="11"/>
        <v>329</v>
      </c>
      <c r="B333" s="365">
        <f t="shared" si="10"/>
        <v>427</v>
      </c>
      <c r="C333" s="458">
        <v>33.409999999999997</v>
      </c>
      <c r="D333" s="367"/>
      <c r="F333"/>
    </row>
    <row r="334" spans="1:17">
      <c r="A334" s="428">
        <f t="shared" si="11"/>
        <v>330</v>
      </c>
      <c r="B334" s="365">
        <f t="shared" si="10"/>
        <v>426</v>
      </c>
      <c r="C334" s="458">
        <v>31.17</v>
      </c>
      <c r="D334" s="367"/>
      <c r="F334"/>
    </row>
    <row r="335" spans="1:17">
      <c r="A335" s="428">
        <f t="shared" si="11"/>
        <v>331</v>
      </c>
      <c r="B335" s="365">
        <f t="shared" si="10"/>
        <v>425</v>
      </c>
      <c r="C335" s="458">
        <v>33.71</v>
      </c>
      <c r="D335" s="367"/>
      <c r="F335"/>
    </row>
    <row r="336" spans="1:17">
      <c r="A336" s="428">
        <f t="shared" si="11"/>
        <v>332</v>
      </c>
      <c r="B336" s="365">
        <f t="shared" si="10"/>
        <v>424</v>
      </c>
      <c r="C336" s="458">
        <v>33.909999999999997</v>
      </c>
      <c r="D336" s="367"/>
      <c r="F336"/>
    </row>
    <row r="337" spans="1:6">
      <c r="A337" s="428">
        <f t="shared" si="11"/>
        <v>333</v>
      </c>
      <c r="B337" s="365">
        <f t="shared" si="10"/>
        <v>423</v>
      </c>
      <c r="C337" s="458">
        <v>31.81</v>
      </c>
      <c r="D337" s="367"/>
      <c r="F337"/>
    </row>
    <row r="338" spans="1:6">
      <c r="A338" s="428">
        <f t="shared" si="11"/>
        <v>334</v>
      </c>
      <c r="B338" s="365">
        <f t="shared" si="10"/>
        <v>422</v>
      </c>
      <c r="C338" s="458">
        <v>33.9</v>
      </c>
      <c r="D338" s="367"/>
      <c r="F338"/>
    </row>
    <row r="339" spans="1:6">
      <c r="A339" s="428">
        <f t="shared" si="11"/>
        <v>335</v>
      </c>
      <c r="B339" s="365">
        <f t="shared" si="10"/>
        <v>421</v>
      </c>
      <c r="C339" s="458">
        <v>33.4</v>
      </c>
      <c r="D339" s="367"/>
      <c r="F339"/>
    </row>
    <row r="340" spans="1:6">
      <c r="A340" s="428">
        <f t="shared" si="11"/>
        <v>336</v>
      </c>
      <c r="B340" s="365">
        <f t="shared" si="10"/>
        <v>420</v>
      </c>
      <c r="C340" s="458">
        <v>33.22</v>
      </c>
      <c r="D340" s="367"/>
      <c r="F340"/>
    </row>
    <row r="341" spans="1:6">
      <c r="A341" s="428">
        <f t="shared" si="11"/>
        <v>337</v>
      </c>
      <c r="B341" s="365">
        <f t="shared" si="10"/>
        <v>419</v>
      </c>
      <c r="C341" s="458">
        <v>33.159999999999997</v>
      </c>
      <c r="D341" s="367"/>
      <c r="F341"/>
    </row>
    <row r="342" spans="1:6">
      <c r="A342" s="428">
        <f t="shared" si="11"/>
        <v>338</v>
      </c>
      <c r="B342" s="365">
        <f t="shared" si="10"/>
        <v>418</v>
      </c>
      <c r="C342" s="458">
        <v>33.33</v>
      </c>
      <c r="D342" s="367"/>
      <c r="F342"/>
    </row>
    <row r="343" spans="1:6">
      <c r="A343" s="428">
        <f t="shared" si="11"/>
        <v>339</v>
      </c>
      <c r="B343" s="365">
        <f t="shared" si="10"/>
        <v>417</v>
      </c>
      <c r="C343" s="458">
        <v>33.92</v>
      </c>
      <c r="D343" s="367"/>
      <c r="F343"/>
    </row>
    <row r="344" spans="1:6">
      <c r="A344" s="428">
        <f t="shared" si="11"/>
        <v>340</v>
      </c>
      <c r="B344" s="365">
        <f t="shared" si="10"/>
        <v>416</v>
      </c>
      <c r="C344" s="458">
        <v>33.65</v>
      </c>
      <c r="D344" s="367"/>
    </row>
    <row r="345" spans="1:6">
      <c r="A345" s="428">
        <f t="shared" si="11"/>
        <v>341</v>
      </c>
      <c r="B345" s="365">
        <f t="shared" si="10"/>
        <v>415</v>
      </c>
      <c r="C345" s="458">
        <v>33.869999999999997</v>
      </c>
      <c r="D345" s="367"/>
    </row>
    <row r="346" spans="1:6" ht="13.5" customHeight="1">
      <c r="A346" s="428">
        <f t="shared" si="11"/>
        <v>342</v>
      </c>
      <c r="B346" s="365">
        <f t="shared" si="10"/>
        <v>414</v>
      </c>
      <c r="C346" s="458">
        <v>33.4</v>
      </c>
      <c r="D346" s="367"/>
    </row>
    <row r="347" spans="1:6">
      <c r="A347" s="428">
        <f t="shared" si="11"/>
        <v>343</v>
      </c>
      <c r="B347" s="365">
        <f t="shared" si="10"/>
        <v>413</v>
      </c>
      <c r="C347" s="458">
        <v>33.49</v>
      </c>
      <c r="D347" s="367"/>
    </row>
    <row r="348" spans="1:6">
      <c r="A348" s="428">
        <f t="shared" si="11"/>
        <v>344</v>
      </c>
      <c r="B348" s="365">
        <f t="shared" si="10"/>
        <v>412</v>
      </c>
      <c r="C348" s="458">
        <v>33.65</v>
      </c>
      <c r="D348" s="367"/>
    </row>
    <row r="349" spans="1:6">
      <c r="A349" s="428">
        <f t="shared" si="11"/>
        <v>345</v>
      </c>
      <c r="B349" s="365">
        <f t="shared" si="10"/>
        <v>411</v>
      </c>
      <c r="C349" s="458">
        <v>33.64</v>
      </c>
      <c r="D349" s="367"/>
    </row>
    <row r="350" spans="1:6">
      <c r="A350" s="428">
        <f t="shared" si="11"/>
        <v>346</v>
      </c>
      <c r="B350" s="365">
        <f t="shared" si="10"/>
        <v>410</v>
      </c>
      <c r="C350" s="458">
        <v>33.549999999999997</v>
      </c>
      <c r="D350" s="367"/>
    </row>
    <row r="351" spans="1:6">
      <c r="A351" s="428">
        <f t="shared" si="11"/>
        <v>347</v>
      </c>
      <c r="B351" s="365">
        <f t="shared" si="10"/>
        <v>409</v>
      </c>
      <c r="C351" s="458">
        <v>33.020000000000003</v>
      </c>
      <c r="D351" s="367"/>
    </row>
    <row r="352" spans="1:6">
      <c r="A352" s="428">
        <f t="shared" si="11"/>
        <v>348</v>
      </c>
      <c r="B352" s="365">
        <f t="shared" si="10"/>
        <v>408</v>
      </c>
      <c r="C352" s="458">
        <v>33.4</v>
      </c>
      <c r="D352" s="367"/>
    </row>
    <row r="353" spans="1:4">
      <c r="A353" s="428">
        <f t="shared" si="11"/>
        <v>349</v>
      </c>
      <c r="B353" s="365">
        <f t="shared" si="10"/>
        <v>407</v>
      </c>
      <c r="C353" s="458">
        <v>33.380000000000003</v>
      </c>
      <c r="D353" s="367"/>
    </row>
    <row r="354" spans="1:4">
      <c r="A354" s="428">
        <f t="shared" si="11"/>
        <v>350</v>
      </c>
      <c r="B354" s="365">
        <f t="shared" si="10"/>
        <v>406</v>
      </c>
      <c r="C354" s="458">
        <v>33.369999999999997</v>
      </c>
      <c r="D354" s="367"/>
    </row>
    <row r="355" spans="1:4">
      <c r="A355" s="428">
        <f t="shared" si="11"/>
        <v>351</v>
      </c>
      <c r="B355" s="365">
        <f t="shared" si="10"/>
        <v>405</v>
      </c>
      <c r="C355" s="458">
        <v>33.770000000000003</v>
      </c>
      <c r="D355" s="367"/>
    </row>
    <row r="356" spans="1:4">
      <c r="A356" s="428">
        <f t="shared" si="11"/>
        <v>352</v>
      </c>
      <c r="B356" s="365">
        <f t="shared" si="10"/>
        <v>404</v>
      </c>
      <c r="C356" s="458">
        <v>33.94</v>
      </c>
      <c r="D356" s="367"/>
    </row>
    <row r="357" spans="1:4">
      <c r="A357" s="428">
        <f t="shared" si="11"/>
        <v>353</v>
      </c>
      <c r="B357" s="365">
        <f t="shared" si="10"/>
        <v>403</v>
      </c>
      <c r="C357" s="458">
        <v>32.92</v>
      </c>
      <c r="D357" s="367"/>
    </row>
    <row r="358" spans="1:4">
      <c r="A358" s="428">
        <f t="shared" si="11"/>
        <v>354</v>
      </c>
      <c r="B358" s="365">
        <f t="shared" si="10"/>
        <v>402</v>
      </c>
      <c r="C358" s="458">
        <v>33.94</v>
      </c>
      <c r="D358" s="367"/>
    </row>
    <row r="359" spans="1:4">
      <c r="A359" s="428">
        <f t="shared" si="11"/>
        <v>355</v>
      </c>
      <c r="B359" s="365">
        <f t="shared" si="10"/>
        <v>401</v>
      </c>
      <c r="C359" s="458">
        <v>33.93</v>
      </c>
      <c r="D359" s="367"/>
    </row>
    <row r="360" spans="1:4">
      <c r="A360" s="428">
        <f t="shared" si="11"/>
        <v>356</v>
      </c>
      <c r="B360" s="365">
        <f t="shared" si="10"/>
        <v>400</v>
      </c>
      <c r="C360" s="458">
        <v>33.11</v>
      </c>
      <c r="D360" s="367"/>
    </row>
    <row r="361" spans="1:4">
      <c r="A361" s="428">
        <f t="shared" si="11"/>
        <v>357</v>
      </c>
      <c r="B361" s="365">
        <f t="shared" si="10"/>
        <v>399</v>
      </c>
      <c r="C361" s="458">
        <v>33.94</v>
      </c>
      <c r="D361" s="367"/>
    </row>
    <row r="362" spans="1:4">
      <c r="A362" s="428">
        <f t="shared" si="11"/>
        <v>358</v>
      </c>
      <c r="B362" s="365">
        <f t="shared" si="10"/>
        <v>398</v>
      </c>
      <c r="C362" s="458">
        <v>33.49</v>
      </c>
      <c r="D362" s="367"/>
    </row>
    <row r="363" spans="1:4">
      <c r="A363" s="428">
        <f t="shared" si="11"/>
        <v>359</v>
      </c>
      <c r="B363" s="365">
        <f t="shared" si="10"/>
        <v>397</v>
      </c>
      <c r="C363" s="458">
        <v>33.86</v>
      </c>
      <c r="D363" s="367"/>
    </row>
    <row r="364" spans="1:4">
      <c r="A364" s="428">
        <f t="shared" si="11"/>
        <v>360</v>
      </c>
      <c r="B364" s="365">
        <f t="shared" si="10"/>
        <v>396</v>
      </c>
      <c r="C364" s="458">
        <v>33.69</v>
      </c>
      <c r="D364" s="367"/>
    </row>
    <row r="365" spans="1:4">
      <c r="A365" s="428">
        <f t="shared" si="11"/>
        <v>361</v>
      </c>
      <c r="B365" s="365">
        <f t="shared" si="10"/>
        <v>395</v>
      </c>
      <c r="C365" s="458">
        <v>33.450000000000003</v>
      </c>
      <c r="D365" s="367"/>
    </row>
    <row r="366" spans="1:4">
      <c r="A366" s="428">
        <f t="shared" si="11"/>
        <v>362</v>
      </c>
      <c r="B366" s="365">
        <f t="shared" si="10"/>
        <v>394</v>
      </c>
      <c r="C366" s="458">
        <v>33.700000000000003</v>
      </c>
      <c r="D366" s="367"/>
    </row>
    <row r="367" spans="1:4">
      <c r="A367" s="428">
        <f t="shared" si="11"/>
        <v>363</v>
      </c>
      <c r="B367" s="365">
        <f t="shared" si="10"/>
        <v>393</v>
      </c>
      <c r="C367" s="458">
        <v>33.92</v>
      </c>
      <c r="D367" s="367"/>
    </row>
    <row r="368" spans="1:4">
      <c r="A368" s="428">
        <f t="shared" si="11"/>
        <v>364</v>
      </c>
      <c r="B368" s="365">
        <f t="shared" si="10"/>
        <v>392</v>
      </c>
      <c r="C368" s="458">
        <v>33.79</v>
      </c>
      <c r="D368" s="367"/>
    </row>
    <row r="369" spans="1:5">
      <c r="A369" s="428">
        <f t="shared" si="11"/>
        <v>365</v>
      </c>
      <c r="B369" s="365">
        <f t="shared" si="10"/>
        <v>391</v>
      </c>
      <c r="C369" s="458">
        <v>33.24</v>
      </c>
      <c r="D369" s="367"/>
    </row>
    <row r="370" spans="1:5">
      <c r="A370" s="428">
        <f t="shared" si="11"/>
        <v>366</v>
      </c>
      <c r="B370" s="365">
        <f t="shared" si="10"/>
        <v>390</v>
      </c>
      <c r="C370" s="458">
        <v>33.92</v>
      </c>
      <c r="D370" s="367"/>
    </row>
    <row r="371" spans="1:5">
      <c r="A371" s="428">
        <f t="shared" si="11"/>
        <v>367</v>
      </c>
      <c r="B371" s="365">
        <f t="shared" si="10"/>
        <v>389</v>
      </c>
      <c r="C371" s="458">
        <v>32.92</v>
      </c>
      <c r="D371" s="367"/>
    </row>
    <row r="372" spans="1:5">
      <c r="A372" s="428">
        <f t="shared" si="11"/>
        <v>368</v>
      </c>
      <c r="B372" s="365">
        <f t="shared" si="10"/>
        <v>388</v>
      </c>
      <c r="C372" s="458">
        <v>31.17</v>
      </c>
      <c r="D372" s="367"/>
    </row>
    <row r="373" spans="1:5">
      <c r="A373" s="428">
        <f t="shared" si="11"/>
        <v>369</v>
      </c>
      <c r="B373" s="365">
        <f t="shared" si="10"/>
        <v>387</v>
      </c>
      <c r="C373" s="458">
        <v>33.130000000000003</v>
      </c>
      <c r="D373" s="367"/>
    </row>
    <row r="374" spans="1:5">
      <c r="A374" s="428">
        <f t="shared" si="11"/>
        <v>370</v>
      </c>
      <c r="B374" s="365">
        <f t="shared" si="10"/>
        <v>386</v>
      </c>
      <c r="C374" s="458">
        <v>32.82</v>
      </c>
      <c r="D374" s="367"/>
    </row>
    <row r="375" spans="1:5">
      <c r="A375" s="428">
        <f t="shared" si="11"/>
        <v>371</v>
      </c>
      <c r="B375" s="365">
        <f t="shared" si="10"/>
        <v>385</v>
      </c>
      <c r="C375" s="458">
        <v>32.79</v>
      </c>
      <c r="D375" s="367"/>
    </row>
    <row r="376" spans="1:5">
      <c r="A376" s="428">
        <f t="shared" si="11"/>
        <v>372</v>
      </c>
      <c r="B376" s="365">
        <f t="shared" si="10"/>
        <v>384</v>
      </c>
      <c r="C376" s="458">
        <v>33.76</v>
      </c>
      <c r="D376" s="367"/>
    </row>
    <row r="377" spans="1:5">
      <c r="A377" s="428">
        <f t="shared" si="11"/>
        <v>373</v>
      </c>
      <c r="B377" s="365">
        <f t="shared" si="10"/>
        <v>383</v>
      </c>
      <c r="C377" s="458">
        <v>33.58</v>
      </c>
      <c r="D377" s="367"/>
    </row>
    <row r="378" spans="1:5">
      <c r="A378" s="428">
        <f t="shared" si="11"/>
        <v>374</v>
      </c>
      <c r="B378" s="365">
        <f t="shared" si="10"/>
        <v>382</v>
      </c>
      <c r="C378" s="458">
        <v>33.65</v>
      </c>
      <c r="D378" s="367"/>
    </row>
    <row r="379" spans="1:5">
      <c r="A379" s="428">
        <f t="shared" si="11"/>
        <v>375</v>
      </c>
      <c r="B379" s="365">
        <f t="shared" si="10"/>
        <v>381</v>
      </c>
      <c r="C379" s="458">
        <v>33.83</v>
      </c>
      <c r="D379" s="367"/>
    </row>
    <row r="380" spans="1:5">
      <c r="A380" s="428">
        <f t="shared" si="11"/>
        <v>376</v>
      </c>
      <c r="B380" s="365">
        <f t="shared" si="10"/>
        <v>380</v>
      </c>
      <c r="C380" s="458">
        <v>33.659999999999997</v>
      </c>
      <c r="D380" s="367"/>
    </row>
    <row r="381" spans="1:5">
      <c r="A381" s="428">
        <f t="shared" si="11"/>
        <v>377</v>
      </c>
      <c r="B381" s="365">
        <f t="shared" si="10"/>
        <v>379</v>
      </c>
      <c r="C381" s="458">
        <v>33.06</v>
      </c>
      <c r="D381" s="367"/>
    </row>
    <row r="382" spans="1:5">
      <c r="A382" s="428">
        <f t="shared" si="11"/>
        <v>378</v>
      </c>
      <c r="B382" s="365">
        <f t="shared" si="10"/>
        <v>378</v>
      </c>
      <c r="C382" s="458">
        <v>33.56</v>
      </c>
      <c r="D382" s="367"/>
    </row>
    <row r="383" spans="1:5">
      <c r="A383" s="428">
        <f t="shared" si="11"/>
        <v>379</v>
      </c>
      <c r="B383" s="365">
        <f t="shared" si="10"/>
        <v>377</v>
      </c>
      <c r="C383" s="458">
        <v>33.64</v>
      </c>
      <c r="D383" s="367"/>
    </row>
    <row r="384" spans="1:5">
      <c r="A384" s="428">
        <f t="shared" si="11"/>
        <v>380</v>
      </c>
      <c r="B384" s="365">
        <f t="shared" si="10"/>
        <v>376</v>
      </c>
      <c r="C384" s="458">
        <v>33.78</v>
      </c>
      <c r="D384" s="367"/>
      <c r="E384" s="222"/>
    </row>
    <row r="385" spans="1:5">
      <c r="A385" s="428">
        <f t="shared" si="11"/>
        <v>381</v>
      </c>
      <c r="B385" s="365">
        <f t="shared" ref="B385:B388" si="12">B384-1</f>
        <v>375</v>
      </c>
      <c r="C385" s="458">
        <v>33.68</v>
      </c>
      <c r="D385" s="367"/>
      <c r="E385" s="222"/>
    </row>
    <row r="386" spans="1:5">
      <c r="A386" s="428">
        <f t="shared" si="11"/>
        <v>382</v>
      </c>
      <c r="B386" s="365">
        <f t="shared" si="12"/>
        <v>374</v>
      </c>
      <c r="C386" s="458">
        <v>31.81</v>
      </c>
      <c r="D386" s="367"/>
    </row>
    <row r="387" spans="1:5">
      <c r="A387" s="428">
        <f t="shared" si="11"/>
        <v>383</v>
      </c>
      <c r="B387" s="365">
        <f t="shared" si="12"/>
        <v>373</v>
      </c>
      <c r="C387" s="458">
        <v>33.590000000000003</v>
      </c>
      <c r="D387" s="367"/>
    </row>
    <row r="388" spans="1:5">
      <c r="A388" s="428">
        <f t="shared" si="11"/>
        <v>384</v>
      </c>
      <c r="B388" s="365">
        <f t="shared" si="12"/>
        <v>372</v>
      </c>
      <c r="C388" s="458">
        <v>33.159999999999997</v>
      </c>
      <c r="D388" s="367"/>
    </row>
    <row r="389" spans="1:5">
      <c r="A389" s="428">
        <f t="shared" si="11"/>
        <v>385</v>
      </c>
      <c r="B389" s="365">
        <f t="shared" ref="B389:B438" si="13">B388-1</f>
        <v>371</v>
      </c>
      <c r="C389" s="458">
        <v>32.89</v>
      </c>
      <c r="D389" s="367"/>
    </row>
    <row r="390" spans="1:5">
      <c r="A390" s="428">
        <f t="shared" si="11"/>
        <v>386</v>
      </c>
      <c r="B390" s="365">
        <f t="shared" si="13"/>
        <v>370</v>
      </c>
      <c r="C390" s="458">
        <v>31.46</v>
      </c>
      <c r="D390" s="367"/>
    </row>
    <row r="391" spans="1:5">
      <c r="A391" s="428">
        <f t="shared" ref="A391:A430" si="14">A390+1</f>
        <v>387</v>
      </c>
      <c r="B391" s="365">
        <f t="shared" si="13"/>
        <v>369</v>
      </c>
      <c r="C391" s="458">
        <v>32.909999999999997</v>
      </c>
      <c r="D391" s="367"/>
    </row>
    <row r="392" spans="1:5">
      <c r="A392" s="428">
        <f t="shared" si="14"/>
        <v>388</v>
      </c>
      <c r="B392" s="365">
        <f t="shared" si="13"/>
        <v>368</v>
      </c>
      <c r="C392" s="458">
        <v>33.43</v>
      </c>
      <c r="D392" s="367"/>
    </row>
    <row r="393" spans="1:5">
      <c r="A393" s="428">
        <f t="shared" si="14"/>
        <v>389</v>
      </c>
      <c r="B393" s="365">
        <f t="shared" si="13"/>
        <v>367</v>
      </c>
      <c r="C393" s="458">
        <v>33.54</v>
      </c>
      <c r="D393" s="367"/>
    </row>
    <row r="394" spans="1:5">
      <c r="A394" s="428">
        <f t="shared" si="14"/>
        <v>390</v>
      </c>
      <c r="B394" s="365">
        <f t="shared" si="13"/>
        <v>366</v>
      </c>
      <c r="C394" s="458">
        <v>31.62</v>
      </c>
      <c r="D394" s="367"/>
    </row>
    <row r="395" spans="1:5">
      <c r="A395" s="428">
        <f t="shared" si="14"/>
        <v>391</v>
      </c>
      <c r="B395" s="365">
        <f t="shared" si="13"/>
        <v>365</v>
      </c>
      <c r="C395" s="458">
        <v>33.19</v>
      </c>
      <c r="D395" s="367"/>
    </row>
    <row r="396" spans="1:5">
      <c r="A396" s="428">
        <f t="shared" si="14"/>
        <v>392</v>
      </c>
      <c r="B396" s="365">
        <f t="shared" si="13"/>
        <v>364</v>
      </c>
      <c r="C396" s="458">
        <v>33.47</v>
      </c>
      <c r="D396" s="367"/>
    </row>
    <row r="397" spans="1:5">
      <c r="A397" s="428">
        <f t="shared" si="14"/>
        <v>393</v>
      </c>
      <c r="B397" s="365">
        <f t="shared" si="13"/>
        <v>363</v>
      </c>
      <c r="C397" s="458">
        <v>33.24</v>
      </c>
      <c r="D397" s="367"/>
    </row>
    <row r="398" spans="1:5">
      <c r="A398" s="428">
        <f t="shared" si="14"/>
        <v>394</v>
      </c>
      <c r="B398" s="365">
        <f t="shared" si="13"/>
        <v>362</v>
      </c>
      <c r="C398" s="458">
        <v>33.54</v>
      </c>
      <c r="D398" s="367"/>
    </row>
    <row r="399" spans="1:5">
      <c r="A399" s="428">
        <f t="shared" si="14"/>
        <v>395</v>
      </c>
      <c r="B399" s="365">
        <f t="shared" si="13"/>
        <v>361</v>
      </c>
      <c r="C399" s="458">
        <v>32.89</v>
      </c>
      <c r="D399" s="367"/>
    </row>
    <row r="400" spans="1:5">
      <c r="A400" s="428">
        <f t="shared" si="14"/>
        <v>396</v>
      </c>
      <c r="B400" s="365">
        <f t="shared" si="13"/>
        <v>360</v>
      </c>
      <c r="C400" s="458">
        <v>33.57</v>
      </c>
      <c r="D400" s="367"/>
    </row>
    <row r="401" spans="1:11">
      <c r="A401" s="428">
        <f t="shared" si="14"/>
        <v>397</v>
      </c>
      <c r="B401" s="365">
        <f t="shared" si="13"/>
        <v>359</v>
      </c>
      <c r="C401" s="458">
        <v>33.159999999999997</v>
      </c>
      <c r="D401" s="367"/>
    </row>
    <row r="402" spans="1:11">
      <c r="A402" s="428">
        <f t="shared" si="14"/>
        <v>398</v>
      </c>
      <c r="B402" s="365">
        <f t="shared" si="13"/>
        <v>358</v>
      </c>
      <c r="C402" s="458">
        <v>33.270000000000003</v>
      </c>
      <c r="D402" s="367"/>
    </row>
    <row r="403" spans="1:11">
      <c r="A403" s="428">
        <f t="shared" si="14"/>
        <v>399</v>
      </c>
      <c r="B403" s="365">
        <f t="shared" si="13"/>
        <v>357</v>
      </c>
      <c r="C403" s="458">
        <v>33.119999999999997</v>
      </c>
      <c r="D403" s="367"/>
    </row>
    <row r="404" spans="1:11">
      <c r="A404" s="428">
        <f t="shared" si="14"/>
        <v>400</v>
      </c>
      <c r="B404" s="365">
        <f t="shared" si="13"/>
        <v>356</v>
      </c>
      <c r="C404" s="458">
        <v>33.83</v>
      </c>
      <c r="D404" s="367"/>
      <c r="K404" s="218"/>
    </row>
    <row r="405" spans="1:11">
      <c r="A405" s="428">
        <f t="shared" si="14"/>
        <v>401</v>
      </c>
      <c r="B405" s="365">
        <f t="shared" si="13"/>
        <v>355</v>
      </c>
      <c r="C405" s="458">
        <v>33.96</v>
      </c>
      <c r="D405" s="367"/>
    </row>
    <row r="406" spans="1:11">
      <c r="A406" s="428">
        <f t="shared" si="14"/>
        <v>402</v>
      </c>
      <c r="B406" s="365">
        <f t="shared" si="13"/>
        <v>354</v>
      </c>
      <c r="C406" s="458">
        <v>33.950000000000003</v>
      </c>
      <c r="D406" s="367"/>
    </row>
    <row r="407" spans="1:11">
      <c r="A407" s="428">
        <f t="shared" si="14"/>
        <v>403</v>
      </c>
      <c r="B407" s="365">
        <f t="shared" si="13"/>
        <v>353</v>
      </c>
      <c r="C407" s="458">
        <v>33.67</v>
      </c>
      <c r="D407" s="367"/>
    </row>
    <row r="408" spans="1:11">
      <c r="A408" s="428">
        <f t="shared" si="14"/>
        <v>404</v>
      </c>
      <c r="B408" s="365">
        <f t="shared" si="13"/>
        <v>352</v>
      </c>
      <c r="C408" s="458">
        <v>33.97</v>
      </c>
      <c r="D408" s="367"/>
    </row>
    <row r="409" spans="1:11">
      <c r="A409" s="428">
        <f t="shared" si="14"/>
        <v>405</v>
      </c>
      <c r="B409" s="365">
        <f t="shared" si="13"/>
        <v>351</v>
      </c>
      <c r="C409" s="458">
        <v>33.92</v>
      </c>
      <c r="D409" s="367"/>
    </row>
    <row r="410" spans="1:11">
      <c r="A410" s="428">
        <f t="shared" si="14"/>
        <v>406</v>
      </c>
      <c r="B410" s="505">
        <f t="shared" si="13"/>
        <v>350</v>
      </c>
      <c r="C410" s="459">
        <v>33.92</v>
      </c>
      <c r="D410" s="367"/>
    </row>
    <row r="411" spans="1:11">
      <c r="A411" s="428">
        <f t="shared" si="14"/>
        <v>407</v>
      </c>
      <c r="B411" s="505">
        <f t="shared" si="13"/>
        <v>349</v>
      </c>
      <c r="C411" s="459">
        <v>33.58</v>
      </c>
      <c r="D411" s="367"/>
    </row>
    <row r="412" spans="1:11">
      <c r="A412" s="428">
        <f t="shared" si="14"/>
        <v>408</v>
      </c>
      <c r="B412" s="505">
        <f t="shared" si="13"/>
        <v>348</v>
      </c>
      <c r="C412" s="459">
        <v>33.99</v>
      </c>
      <c r="D412" s="367"/>
    </row>
    <row r="413" spans="1:11">
      <c r="A413" s="428">
        <f t="shared" si="14"/>
        <v>409</v>
      </c>
      <c r="B413" s="505">
        <f t="shared" si="13"/>
        <v>347</v>
      </c>
      <c r="C413" s="459">
        <v>33.83</v>
      </c>
      <c r="D413" s="367"/>
    </row>
    <row r="414" spans="1:11">
      <c r="A414" s="428">
        <f t="shared" si="14"/>
        <v>410</v>
      </c>
      <c r="B414" s="505">
        <f t="shared" si="13"/>
        <v>346</v>
      </c>
      <c r="C414" s="459">
        <v>33.590000000000003</v>
      </c>
      <c r="D414" s="367"/>
    </row>
    <row r="415" spans="1:11">
      <c r="A415" s="428">
        <f t="shared" si="14"/>
        <v>411</v>
      </c>
      <c r="B415" s="505">
        <f t="shared" si="13"/>
        <v>345</v>
      </c>
      <c r="C415" s="459">
        <v>33.75</v>
      </c>
      <c r="D415" s="367"/>
    </row>
    <row r="416" spans="1:11">
      <c r="A416" s="428">
        <f t="shared" si="14"/>
        <v>412</v>
      </c>
      <c r="B416" s="505">
        <f t="shared" si="13"/>
        <v>344</v>
      </c>
      <c r="C416" s="459">
        <v>33.950000000000003</v>
      </c>
      <c r="D416" s="367"/>
    </row>
    <row r="417" spans="1:4">
      <c r="A417" s="428">
        <f t="shared" si="14"/>
        <v>413</v>
      </c>
      <c r="B417" s="505">
        <f t="shared" si="13"/>
        <v>343</v>
      </c>
      <c r="C417" s="459">
        <v>33.950000000000003</v>
      </c>
      <c r="D417" s="367"/>
    </row>
    <row r="418" spans="1:4">
      <c r="A418" s="428">
        <f t="shared" si="14"/>
        <v>414</v>
      </c>
      <c r="B418" s="501">
        <f t="shared" si="13"/>
        <v>342</v>
      </c>
      <c r="C418" s="502">
        <v>32.5</v>
      </c>
      <c r="D418" s="367"/>
    </row>
    <row r="419" spans="1:4">
      <c r="A419" s="428">
        <f t="shared" si="14"/>
        <v>415</v>
      </c>
      <c r="B419" s="501">
        <f t="shared" si="13"/>
        <v>341</v>
      </c>
      <c r="C419" s="502">
        <v>33.26</v>
      </c>
      <c r="D419" s="367"/>
    </row>
    <row r="420" spans="1:4">
      <c r="A420" s="428">
        <f t="shared" si="14"/>
        <v>416</v>
      </c>
      <c r="B420" s="501">
        <f t="shared" si="13"/>
        <v>340</v>
      </c>
      <c r="C420" s="502">
        <v>33.950000000000003</v>
      </c>
      <c r="D420" s="367"/>
    </row>
    <row r="421" spans="1:4">
      <c r="A421" s="428">
        <f t="shared" si="14"/>
        <v>417</v>
      </c>
      <c r="B421" s="501">
        <f t="shared" si="13"/>
        <v>339</v>
      </c>
      <c r="C421" s="502">
        <v>32.299999999999997</v>
      </c>
      <c r="D421" s="367"/>
    </row>
    <row r="422" spans="1:4">
      <c r="A422" s="428">
        <f t="shared" si="14"/>
        <v>418</v>
      </c>
      <c r="B422" s="501">
        <f t="shared" si="13"/>
        <v>338</v>
      </c>
      <c r="C422" s="502">
        <v>33.81</v>
      </c>
      <c r="D422" s="367"/>
    </row>
    <row r="423" spans="1:4">
      <c r="A423" s="428">
        <f t="shared" si="14"/>
        <v>419</v>
      </c>
      <c r="B423" s="501">
        <f t="shared" si="13"/>
        <v>337</v>
      </c>
      <c r="C423" s="502">
        <v>33.33</v>
      </c>
      <c r="D423" s="367"/>
    </row>
    <row r="424" spans="1:4">
      <c r="A424" s="428">
        <f t="shared" si="14"/>
        <v>420</v>
      </c>
      <c r="B424" s="501">
        <f t="shared" si="13"/>
        <v>336</v>
      </c>
      <c r="C424" s="502">
        <v>33.64</v>
      </c>
      <c r="D424" s="367"/>
    </row>
    <row r="425" spans="1:4">
      <c r="A425" s="428">
        <f t="shared" si="14"/>
        <v>421</v>
      </c>
      <c r="B425" s="501">
        <f t="shared" si="13"/>
        <v>335</v>
      </c>
      <c r="C425" s="502">
        <v>32.22</v>
      </c>
      <c r="D425" s="367"/>
    </row>
    <row r="426" spans="1:4">
      <c r="A426" s="428">
        <f t="shared" si="14"/>
        <v>422</v>
      </c>
      <c r="B426" s="501">
        <f t="shared" si="13"/>
        <v>334</v>
      </c>
      <c r="C426" s="502">
        <v>33.07</v>
      </c>
      <c r="D426" s="367"/>
    </row>
    <row r="427" spans="1:4">
      <c r="A427" s="428">
        <f t="shared" si="14"/>
        <v>423</v>
      </c>
      <c r="B427" s="501">
        <f t="shared" si="13"/>
        <v>333</v>
      </c>
      <c r="C427" s="502">
        <v>33.159999999999997</v>
      </c>
      <c r="D427" s="367"/>
    </row>
    <row r="428" spans="1:4">
      <c r="A428" s="428">
        <f t="shared" si="14"/>
        <v>424</v>
      </c>
      <c r="B428" s="501">
        <f t="shared" si="13"/>
        <v>332</v>
      </c>
      <c r="C428" s="502">
        <v>32.92</v>
      </c>
      <c r="D428" s="367"/>
    </row>
    <row r="429" spans="1:4">
      <c r="A429" s="428">
        <f t="shared" si="14"/>
        <v>425</v>
      </c>
      <c r="B429" s="501">
        <f t="shared" si="13"/>
        <v>331</v>
      </c>
      <c r="C429" s="502">
        <v>33.15</v>
      </c>
      <c r="D429" s="367"/>
    </row>
    <row r="430" spans="1:4">
      <c r="A430" s="428">
        <f t="shared" si="14"/>
        <v>426</v>
      </c>
      <c r="B430" s="501">
        <f t="shared" si="13"/>
        <v>330</v>
      </c>
      <c r="C430" s="502">
        <v>33.49</v>
      </c>
      <c r="D430" s="367"/>
    </row>
    <row r="431" spans="1:4">
      <c r="A431" s="428">
        <v>427</v>
      </c>
      <c r="B431" s="501">
        <f t="shared" si="13"/>
        <v>329</v>
      </c>
      <c r="C431" s="502">
        <v>33.630000000000003</v>
      </c>
      <c r="D431" s="367"/>
    </row>
    <row r="432" spans="1:4">
      <c r="A432" s="428">
        <v>428</v>
      </c>
      <c r="B432" s="501">
        <f t="shared" si="13"/>
        <v>328</v>
      </c>
      <c r="C432" s="502">
        <v>33.39</v>
      </c>
      <c r="D432" s="367"/>
    </row>
    <row r="433" spans="1:4">
      <c r="A433" s="428">
        <v>429</v>
      </c>
      <c r="B433" s="501">
        <f t="shared" si="13"/>
        <v>327</v>
      </c>
      <c r="C433" s="502">
        <v>33.17</v>
      </c>
      <c r="D433" s="367"/>
    </row>
    <row r="434" spans="1:4">
      <c r="A434" s="428">
        <v>430</v>
      </c>
      <c r="B434" s="501">
        <f t="shared" si="13"/>
        <v>326</v>
      </c>
      <c r="C434" s="502">
        <v>33.200000000000003</v>
      </c>
      <c r="D434" s="367"/>
    </row>
    <row r="435" spans="1:4">
      <c r="A435" s="428">
        <v>431</v>
      </c>
      <c r="B435" s="501">
        <f t="shared" si="13"/>
        <v>325</v>
      </c>
      <c r="C435" s="502">
        <v>33.44</v>
      </c>
      <c r="D435" s="367"/>
    </row>
    <row r="436" spans="1:4">
      <c r="A436" s="428">
        <v>432</v>
      </c>
      <c r="B436" s="501">
        <f t="shared" si="13"/>
        <v>324</v>
      </c>
      <c r="C436" s="502">
        <v>33.92</v>
      </c>
      <c r="D436" s="367"/>
    </row>
    <row r="437" spans="1:4">
      <c r="A437" s="428">
        <v>433</v>
      </c>
      <c r="B437" s="501">
        <f t="shared" si="13"/>
        <v>323</v>
      </c>
      <c r="C437" s="502">
        <v>33.979999999999997</v>
      </c>
      <c r="D437" s="367"/>
    </row>
    <row r="438" spans="1:4">
      <c r="A438" s="428">
        <v>434</v>
      </c>
      <c r="B438" s="501">
        <f t="shared" si="13"/>
        <v>322</v>
      </c>
      <c r="C438" s="502">
        <v>33.4</v>
      </c>
      <c r="D438" s="367"/>
    </row>
    <row r="439" spans="1:4" ht="13.5" thickBot="1">
      <c r="A439" s="428">
        <v>435</v>
      </c>
      <c r="B439" s="503">
        <f>B438-1</f>
        <v>321</v>
      </c>
      <c r="C439" s="504">
        <v>33.549999999999997</v>
      </c>
      <c r="D439" s="367"/>
    </row>
    <row r="440" spans="1:4" ht="13.5" thickTop="1">
      <c r="B440" s="499"/>
      <c r="C440" s="368"/>
      <c r="D440" s="453"/>
    </row>
    <row r="441" spans="1:4">
      <c r="B441" s="499"/>
      <c r="C441" s="368"/>
    </row>
    <row r="442" spans="1:4">
      <c r="B442" s="499"/>
      <c r="C442" s="368"/>
    </row>
    <row r="443" spans="1:4">
      <c r="B443" s="499"/>
      <c r="C443" s="368"/>
    </row>
    <row r="444" spans="1:4">
      <c r="B444" s="499"/>
      <c r="C444" s="368"/>
    </row>
    <row r="445" spans="1:4">
      <c r="B445" s="499"/>
      <c r="C445" s="368"/>
    </row>
    <row r="446" spans="1:4">
      <c r="B446" s="499"/>
      <c r="C446" s="368"/>
    </row>
    <row r="447" spans="1:4">
      <c r="B447" s="499"/>
      <c r="C447" s="368"/>
    </row>
    <row r="448" spans="1:4">
      <c r="B448" s="499"/>
      <c r="C448" s="368"/>
    </row>
    <row r="449" spans="2:3">
      <c r="B449" s="499"/>
      <c r="C449" s="368"/>
    </row>
    <row r="450" spans="2:3">
      <c r="B450" s="499"/>
      <c r="C450" s="368"/>
    </row>
    <row r="451" spans="2:3">
      <c r="B451" s="499"/>
      <c r="C451" s="368"/>
    </row>
    <row r="452" spans="2:3">
      <c r="B452" s="499"/>
      <c r="C452" s="368"/>
    </row>
    <row r="453" spans="2:3">
      <c r="B453" s="499"/>
      <c r="C453" s="368"/>
    </row>
    <row r="454" spans="2:3">
      <c r="B454" s="499"/>
      <c r="C454" s="368"/>
    </row>
    <row r="455" spans="2:3">
      <c r="B455" s="499"/>
      <c r="C455" s="368"/>
    </row>
    <row r="456" spans="2:3">
      <c r="B456" s="499"/>
      <c r="C456" s="368"/>
    </row>
    <row r="457" spans="2:3">
      <c r="B457" s="499"/>
      <c r="C457" s="368"/>
    </row>
    <row r="458" spans="2:3">
      <c r="B458" s="499"/>
      <c r="C458" s="368"/>
    </row>
    <row r="459" spans="2:3">
      <c r="B459" s="499"/>
      <c r="C459" s="368"/>
    </row>
    <row r="460" spans="2:3">
      <c r="B460" s="499"/>
      <c r="C460" s="368"/>
    </row>
    <row r="461" spans="2:3">
      <c r="B461" s="499"/>
      <c r="C461" s="368"/>
    </row>
    <row r="462" spans="2:3">
      <c r="B462" s="499"/>
      <c r="C462" s="368"/>
    </row>
    <row r="463" spans="2:3">
      <c r="B463" s="499"/>
      <c r="C463" s="368"/>
    </row>
    <row r="464" spans="2:3">
      <c r="B464" s="499"/>
      <c r="C464" s="368"/>
    </row>
    <row r="465" spans="2:2">
      <c r="B465" s="28"/>
    </row>
    <row r="466" spans="2:2">
      <c r="B466" s="28"/>
    </row>
    <row r="467" spans="2:2">
      <c r="B467" s="28"/>
    </row>
    <row r="468" spans="2:2">
      <c r="B468" s="28"/>
    </row>
    <row r="469" spans="2:2">
      <c r="B469" s="28"/>
    </row>
    <row r="470" spans="2:2">
      <c r="B470" s="28"/>
    </row>
    <row r="471" spans="2:2">
      <c r="B471" s="28"/>
    </row>
    <row r="472" spans="2:2">
      <c r="B472" s="28"/>
    </row>
    <row r="473" spans="2:2">
      <c r="B473" s="28"/>
    </row>
    <row r="474" spans="2:2">
      <c r="B474" s="28"/>
    </row>
    <row r="475" spans="2:2">
      <c r="B475" s="28"/>
    </row>
    <row r="476" spans="2:2">
      <c r="B476" s="28"/>
    </row>
    <row r="477" spans="2:2">
      <c r="B477" s="28"/>
    </row>
    <row r="478" spans="2:2">
      <c r="B478" s="28"/>
    </row>
    <row r="479" spans="2:2">
      <c r="B479" s="28"/>
    </row>
    <row r="480" spans="2:2">
      <c r="B480" s="28"/>
    </row>
    <row r="481" spans="2:2">
      <c r="B481" s="28"/>
    </row>
    <row r="482" spans="2:2">
      <c r="B482" s="221"/>
    </row>
    <row r="483" spans="2:2">
      <c r="B483" s="221"/>
    </row>
    <row r="484" spans="2:2">
      <c r="B484" s="221"/>
    </row>
    <row r="485" spans="2:2">
      <c r="B485" s="221"/>
    </row>
  </sheetData>
  <mergeCells count="18">
    <mergeCell ref="E253:G254"/>
    <mergeCell ref="G243:G245"/>
    <mergeCell ref="G249:G250"/>
    <mergeCell ref="G246:G248"/>
    <mergeCell ref="E243:F245"/>
    <mergeCell ref="E246:F248"/>
    <mergeCell ref="E249:F250"/>
    <mergeCell ref="B2:D3"/>
    <mergeCell ref="F2:H3"/>
    <mergeCell ref="G241:G242"/>
    <mergeCell ref="E241:F242"/>
    <mergeCell ref="G251:G252"/>
    <mergeCell ref="E251:F252"/>
    <mergeCell ref="K2:M3"/>
    <mergeCell ref="M12:M19"/>
    <mergeCell ref="K9:M10"/>
    <mergeCell ref="M5:M8"/>
    <mergeCell ref="H5:H14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0000"/>
  </sheetPr>
  <dimension ref="A1:O405"/>
  <sheetViews>
    <sheetView showGridLines="0" defaultGridColor="0" view="pageBreakPreview" topLeftCell="A318" colorId="10" zoomScaleNormal="100" zoomScaleSheetLayoutView="100" workbookViewId="0">
      <selection activeCell="N358" sqref="N358"/>
    </sheetView>
  </sheetViews>
  <sheetFormatPr defaultColWidth="11.42578125" defaultRowHeight="12.75"/>
  <cols>
    <col min="1" max="1" width="9.28515625" style="1" customWidth="1"/>
    <col min="2" max="2" width="5.7109375" style="28" customWidth="1"/>
    <col min="3" max="4" width="9.42578125" style="7" customWidth="1"/>
    <col min="5" max="5" width="8.140625" style="2" customWidth="1"/>
    <col min="6" max="6" width="10.85546875" style="2" customWidth="1"/>
    <col min="7" max="7" width="7.85546875" style="2" customWidth="1"/>
    <col min="8" max="8" width="9.7109375" style="2" customWidth="1"/>
    <col min="9" max="9" width="10" style="2" customWidth="1"/>
    <col min="10" max="10" width="13.5703125" style="5" customWidth="1"/>
    <col min="11" max="11" width="13.140625" style="10" customWidth="1"/>
    <col min="12" max="12" width="15.85546875" customWidth="1"/>
  </cols>
  <sheetData>
    <row r="1" spans="1:15" ht="18">
      <c r="A1" s="34"/>
      <c r="B1" s="184"/>
      <c r="C1" s="185"/>
      <c r="D1" s="186"/>
      <c r="E1" s="187"/>
      <c r="F1" s="188"/>
      <c r="G1" s="187"/>
      <c r="H1" s="189" t="s">
        <v>14</v>
      </c>
      <c r="I1" s="190"/>
      <c r="J1" s="191"/>
      <c r="K1" s="192" t="s">
        <v>184</v>
      </c>
      <c r="L1" s="193"/>
    </row>
    <row r="2" spans="1:15" ht="15.75">
      <c r="A2" s="197"/>
      <c r="B2" s="11"/>
      <c r="C2" s="20"/>
      <c r="D2" s="20"/>
      <c r="E2" s="3"/>
      <c r="F2" s="29"/>
      <c r="G2" s="3"/>
      <c r="H2" s="21" t="s">
        <v>15</v>
      </c>
      <c r="I2" s="8"/>
      <c r="J2" s="15" t="s">
        <v>13</v>
      </c>
      <c r="K2" s="354">
        <v>43096</v>
      </c>
      <c r="L2" s="194"/>
    </row>
    <row r="3" spans="1:15" ht="18">
      <c r="A3" s="195"/>
      <c r="B3" s="27"/>
      <c r="C3" s="6"/>
      <c r="D3" s="14"/>
      <c r="E3" s="3"/>
      <c r="F3" s="29" t="s">
        <v>0</v>
      </c>
      <c r="G3" s="22" t="s">
        <v>183</v>
      </c>
      <c r="H3" s="8"/>
      <c r="I3" s="8"/>
      <c r="J3" s="4" t="s">
        <v>80</v>
      </c>
      <c r="K3" s="9" t="s">
        <v>180</v>
      </c>
      <c r="L3" s="173"/>
    </row>
    <row r="4" spans="1:15" ht="13.5" thickBot="1">
      <c r="A4" s="196"/>
      <c r="B4" s="11"/>
      <c r="C4" s="6"/>
      <c r="D4" s="14"/>
      <c r="E4" s="3"/>
      <c r="F4" s="29" t="s">
        <v>1</v>
      </c>
      <c r="G4" s="321" t="s">
        <v>79</v>
      </c>
      <c r="H4" s="13"/>
      <c r="I4" s="11"/>
      <c r="J4" s="4" t="s">
        <v>17</v>
      </c>
      <c r="K4" s="9" t="s">
        <v>170</v>
      </c>
      <c r="L4" s="173"/>
    </row>
    <row r="5" spans="1:15" ht="13.5" thickBot="1">
      <c r="A5" s="197"/>
      <c r="B5" s="11"/>
      <c r="C5" s="25"/>
      <c r="D5" s="6"/>
      <c r="E5" s="3"/>
      <c r="F5" s="29" t="s">
        <v>6</v>
      </c>
      <c r="G5" s="322" t="s">
        <v>162</v>
      </c>
      <c r="H5" s="13"/>
      <c r="I5" s="8"/>
      <c r="J5" s="15" t="s">
        <v>81</v>
      </c>
      <c r="K5" s="260">
        <v>1321.74</v>
      </c>
      <c r="L5" s="173" t="s">
        <v>31</v>
      </c>
    </row>
    <row r="6" spans="1:15" ht="13.5" thickBot="1">
      <c r="A6" s="197"/>
      <c r="B6" s="11"/>
      <c r="C6" s="264" t="s">
        <v>77</v>
      </c>
      <c r="D6" s="265" t="s">
        <v>26</v>
      </c>
      <c r="E6" s="266" t="s">
        <v>111</v>
      </c>
      <c r="F6" s="29" t="s">
        <v>2</v>
      </c>
      <c r="G6" s="322">
        <v>85</v>
      </c>
      <c r="H6" s="22" t="s">
        <v>78</v>
      </c>
      <c r="I6" s="14"/>
      <c r="J6" s="15" t="s">
        <v>18</v>
      </c>
      <c r="K6" s="261">
        <v>10152.86</v>
      </c>
      <c r="L6" s="173" t="s">
        <v>31</v>
      </c>
      <c r="M6" s="218"/>
    </row>
    <row r="7" spans="1:15" ht="13.5" thickBot="1">
      <c r="A7" s="197"/>
      <c r="B7" s="11"/>
      <c r="C7" s="207" t="s">
        <v>3</v>
      </c>
      <c r="D7" s="212">
        <v>33.700000000000003</v>
      </c>
      <c r="E7" s="213">
        <v>26</v>
      </c>
      <c r="F7" s="29" t="s">
        <v>4</v>
      </c>
      <c r="G7" s="219">
        <v>8.34</v>
      </c>
      <c r="H7" s="12"/>
      <c r="I7" s="8"/>
      <c r="J7" s="15" t="s">
        <v>5</v>
      </c>
      <c r="K7" s="262">
        <v>15452</v>
      </c>
      <c r="L7" s="173" t="s">
        <v>31</v>
      </c>
      <c r="M7" s="218"/>
    </row>
    <row r="8" spans="1:15" ht="13.5" thickBot="1">
      <c r="A8" s="197"/>
      <c r="B8" s="11"/>
      <c r="C8" s="290" t="s">
        <v>6</v>
      </c>
      <c r="D8" s="214" t="s">
        <v>16</v>
      </c>
      <c r="E8" s="214" t="s">
        <v>82</v>
      </c>
      <c r="F8" s="29" t="s">
        <v>7</v>
      </c>
      <c r="G8" s="215">
        <f>(65.45-G7)/65.45</f>
        <v>0.87257448433919016</v>
      </c>
      <c r="H8" s="12"/>
      <c r="I8" s="8"/>
      <c r="J8" s="15" t="s">
        <v>19</v>
      </c>
      <c r="K8" s="263">
        <v>15447</v>
      </c>
      <c r="L8" s="173" t="s">
        <v>31</v>
      </c>
    </row>
    <row r="9" spans="1:15" ht="13.5" thickBot="1">
      <c r="A9" s="201"/>
      <c r="B9" s="656" t="s">
        <v>10</v>
      </c>
      <c r="C9" s="657"/>
      <c r="D9" s="288">
        <f>3.783/12</f>
        <v>0.31524999999999997</v>
      </c>
      <c r="E9" s="289">
        <f>4.776/12</f>
        <v>0.39799999999999996</v>
      </c>
      <c r="F9" s="206"/>
      <c r="G9" s="208"/>
      <c r="H9" s="208"/>
      <c r="I9" s="209"/>
      <c r="J9" s="210" t="s">
        <v>30</v>
      </c>
      <c r="K9" s="352">
        <f>K6+E13-F12</f>
        <v>10172.400000000001</v>
      </c>
      <c r="L9" s="349" t="s">
        <v>31</v>
      </c>
    </row>
    <row r="10" spans="1:15" ht="12.6" customHeight="1">
      <c r="A10" s="636" t="s">
        <v>97</v>
      </c>
      <c r="B10" s="658"/>
      <c r="C10" s="638"/>
      <c r="D10" s="662" t="s">
        <v>96</v>
      </c>
      <c r="E10" s="613" t="s">
        <v>71</v>
      </c>
      <c r="F10" s="613" t="s">
        <v>72</v>
      </c>
      <c r="G10" s="613" t="s">
        <v>73</v>
      </c>
      <c r="H10" s="613" t="s">
        <v>74</v>
      </c>
      <c r="I10" s="613" t="s">
        <v>75</v>
      </c>
      <c r="J10" s="636" t="s">
        <v>76</v>
      </c>
      <c r="K10" s="636" t="s">
        <v>70</v>
      </c>
      <c r="L10" s="638"/>
    </row>
    <row r="11" spans="1:15" ht="14.1" customHeight="1" thickBot="1">
      <c r="A11" s="659"/>
      <c r="B11" s="660"/>
      <c r="C11" s="661"/>
      <c r="D11" s="663"/>
      <c r="E11" s="614"/>
      <c r="F11" s="614"/>
      <c r="G11" s="614"/>
      <c r="H11" s="614"/>
      <c r="I11" s="614"/>
      <c r="J11" s="637"/>
      <c r="K11" s="637"/>
      <c r="L11" s="639"/>
      <c r="O11" s="19"/>
    </row>
    <row r="12" spans="1:15" ht="13.5" thickBot="1">
      <c r="A12" s="640" t="s">
        <v>67</v>
      </c>
      <c r="B12" s="628"/>
      <c r="C12" s="628"/>
      <c r="D12" s="641"/>
      <c r="E12" s="230">
        <v>0</v>
      </c>
      <c r="F12" s="231">
        <f>E12</f>
        <v>0</v>
      </c>
      <c r="G12" s="231" t="s">
        <v>9</v>
      </c>
      <c r="H12" s="279">
        <f>IF(G12="IN",H11+F12,H11)</f>
        <v>0</v>
      </c>
      <c r="I12" s="281">
        <f>IF(H12="","",$K$6-H12)</f>
        <v>10152.86</v>
      </c>
      <c r="J12" s="280">
        <f>$G$6+(H12*$E$7*$G$8/1000)</f>
        <v>85</v>
      </c>
      <c r="K12" s="642"/>
      <c r="L12" s="643"/>
      <c r="M12" s="218"/>
    </row>
    <row r="13" spans="1:15" ht="12.95" customHeight="1" thickBot="1">
      <c r="A13" s="802" t="s">
        <v>23</v>
      </c>
      <c r="B13" s="647" t="s">
        <v>165</v>
      </c>
      <c r="C13" s="650" t="s">
        <v>21</v>
      </c>
      <c r="D13" s="651"/>
      <c r="E13" s="242">
        <v>19.54</v>
      </c>
      <c r="F13" s="242">
        <f t="shared" ref="F13:F20" si="0">E13</f>
        <v>19.54</v>
      </c>
      <c r="G13" s="267" t="s">
        <v>11</v>
      </c>
      <c r="H13" s="242">
        <f t="shared" ref="H13:H76" si="1">IF(G13="IN",H12+F13,H12)</f>
        <v>0</v>
      </c>
      <c r="I13" s="242">
        <f t="shared" ref="I13:I20" si="2">IF(H13="","",$K$6-H13)</f>
        <v>10152.86</v>
      </c>
      <c r="J13" s="243">
        <f>$G$6+(H13*$E$7*$G$8/1000)</f>
        <v>85</v>
      </c>
      <c r="K13" s="652" t="s">
        <v>167</v>
      </c>
      <c r="L13" s="653"/>
      <c r="M13" s="218"/>
    </row>
    <row r="14" spans="1:15" ht="12.95" customHeight="1">
      <c r="A14" s="803"/>
      <c r="B14" s="648"/>
      <c r="C14" s="632" t="s">
        <v>20</v>
      </c>
      <c r="D14" s="633"/>
      <c r="E14" s="241">
        <v>2.69</v>
      </c>
      <c r="F14" s="241">
        <f t="shared" si="0"/>
        <v>2.69</v>
      </c>
      <c r="G14" s="241" t="s">
        <v>9</v>
      </c>
      <c r="H14" s="241">
        <f t="shared" si="1"/>
        <v>2.69</v>
      </c>
      <c r="I14" s="241">
        <f t="shared" si="2"/>
        <v>10150.17</v>
      </c>
      <c r="J14" s="244">
        <f>$G$6+(H14*$E$7*$G$8/1000)</f>
        <v>85.061027859434688</v>
      </c>
      <c r="K14" s="654"/>
      <c r="L14" s="655"/>
    </row>
    <row r="15" spans="1:15" ht="12.95" customHeight="1" thickBot="1">
      <c r="A15" s="804"/>
      <c r="B15" s="649"/>
      <c r="C15" s="634" t="s">
        <v>22</v>
      </c>
      <c r="D15" s="635"/>
      <c r="E15" s="245">
        <v>14.81</v>
      </c>
      <c r="F15" s="245">
        <f t="shared" si="0"/>
        <v>14.81</v>
      </c>
      <c r="G15" s="245" t="s">
        <v>9</v>
      </c>
      <c r="H15" s="245">
        <f t="shared" si="1"/>
        <v>17.5</v>
      </c>
      <c r="I15" s="245">
        <f t="shared" si="2"/>
        <v>10135.36</v>
      </c>
      <c r="J15" s="246">
        <f>$G$6+(H15*$E$7*$G$8/1000)</f>
        <v>85.397021390374334</v>
      </c>
      <c r="K15" s="529"/>
      <c r="L15" s="530"/>
    </row>
    <row r="16" spans="1:15" s="16" customFormat="1" ht="12.95" hidden="1" customHeight="1" thickBot="1">
      <c r="A16" s="805" t="s">
        <v>99</v>
      </c>
      <c r="B16" s="806"/>
      <c r="C16" s="807"/>
      <c r="D16" s="255" t="s">
        <v>87</v>
      </c>
      <c r="E16" s="256">
        <v>20.2</v>
      </c>
      <c r="F16" s="256">
        <f>E16-($E$9)</f>
        <v>19.802</v>
      </c>
      <c r="G16" s="256" t="s">
        <v>11</v>
      </c>
      <c r="H16" s="256">
        <f>IF(G16="IN",H15+F16,H15)</f>
        <v>17.5</v>
      </c>
      <c r="I16" s="278">
        <f t="shared" si="2"/>
        <v>10135.36</v>
      </c>
      <c r="J16" s="257">
        <f t="shared" ref="J16:J79" si="3">$G$6+(H16*$E$7*$G$8/1000)</f>
        <v>85.397021390374334</v>
      </c>
      <c r="K16" s="805" t="s">
        <v>119</v>
      </c>
      <c r="L16" s="808"/>
      <c r="M16" s="23"/>
      <c r="N16" s="23"/>
    </row>
    <row r="17" spans="1:15" s="16" customFormat="1" ht="13.5" thickBot="1">
      <c r="A17" s="540" t="s">
        <v>98</v>
      </c>
      <c r="B17" s="541"/>
      <c r="C17" s="542"/>
      <c r="D17" s="211">
        <v>376</v>
      </c>
      <c r="E17" s="347">
        <v>32.4</v>
      </c>
      <c r="F17" s="247">
        <f>E17-($E$9)</f>
        <v>32.001999999999995</v>
      </c>
      <c r="G17" s="247" t="s">
        <v>9</v>
      </c>
      <c r="H17" s="247">
        <f>IF(G17="IN",H16+F17,H16)</f>
        <v>49.501999999999995</v>
      </c>
      <c r="I17" s="18">
        <f t="shared" si="2"/>
        <v>10103.358</v>
      </c>
      <c r="J17" s="248">
        <f t="shared" si="3"/>
        <v>86.123048735217722</v>
      </c>
      <c r="K17" s="615"/>
      <c r="L17" s="616"/>
      <c r="M17" s="23"/>
      <c r="N17" s="259"/>
    </row>
    <row r="18" spans="1:15" ht="12.95" customHeight="1">
      <c r="A18" s="620" t="s">
        <v>25</v>
      </c>
      <c r="B18" s="623" t="s">
        <v>166</v>
      </c>
      <c r="C18" s="626" t="s">
        <v>24</v>
      </c>
      <c r="D18" s="627"/>
      <c r="E18" s="230">
        <v>10.199999999999999</v>
      </c>
      <c r="F18" s="230">
        <f>E18-($E$9)</f>
        <v>9.8019999999999996</v>
      </c>
      <c r="G18" s="230" t="s">
        <v>9</v>
      </c>
      <c r="H18" s="235">
        <f t="shared" si="1"/>
        <v>59.303999999999995</v>
      </c>
      <c r="I18" s="230">
        <f t="shared" si="2"/>
        <v>10093.556</v>
      </c>
      <c r="J18" s="236">
        <f t="shared" si="3"/>
        <v>86.345426087700531</v>
      </c>
      <c r="K18" s="628" t="s">
        <v>88</v>
      </c>
      <c r="L18" s="629"/>
      <c r="M18" s="19"/>
      <c r="N18" s="259"/>
    </row>
    <row r="19" spans="1:15" ht="12.95" customHeight="1">
      <c r="A19" s="621"/>
      <c r="B19" s="624"/>
      <c r="C19" s="602" t="s">
        <v>83</v>
      </c>
      <c r="D19" s="603"/>
      <c r="E19" s="234">
        <v>9.94</v>
      </c>
      <c r="F19" s="234">
        <f t="shared" si="0"/>
        <v>9.94</v>
      </c>
      <c r="G19" s="234" t="s">
        <v>9</v>
      </c>
      <c r="H19" s="234">
        <f t="shared" si="1"/>
        <v>69.244</v>
      </c>
      <c r="I19" s="234">
        <f t="shared" si="2"/>
        <v>10083.616</v>
      </c>
      <c r="J19" s="249">
        <f t="shared" si="3"/>
        <v>86.57093423743315</v>
      </c>
      <c r="K19" s="604" t="s">
        <v>168</v>
      </c>
      <c r="L19" s="605"/>
      <c r="M19" s="19"/>
    </row>
    <row r="20" spans="1:15" ht="12.95" customHeight="1">
      <c r="A20" s="621"/>
      <c r="B20" s="624"/>
      <c r="C20" s="606" t="s">
        <v>28</v>
      </c>
      <c r="D20" s="607"/>
      <c r="E20" s="232">
        <f>3.25+2.46</f>
        <v>5.71</v>
      </c>
      <c r="F20" s="232">
        <f t="shared" si="0"/>
        <v>5.71</v>
      </c>
      <c r="G20" s="232" t="s">
        <v>9</v>
      </c>
      <c r="H20" s="233">
        <f t="shared" si="1"/>
        <v>74.953999999999994</v>
      </c>
      <c r="I20" s="232">
        <f t="shared" si="2"/>
        <v>10077.906000000001</v>
      </c>
      <c r="J20" s="237">
        <f t="shared" si="3"/>
        <v>86.700476645378146</v>
      </c>
      <c r="K20" s="608" t="s">
        <v>135</v>
      </c>
      <c r="L20" s="605"/>
      <c r="M20" s="19"/>
    </row>
    <row r="21" spans="1:15" ht="12.95" customHeight="1" thickBot="1">
      <c r="A21" s="622"/>
      <c r="B21" s="625"/>
      <c r="C21" s="609" t="s">
        <v>24</v>
      </c>
      <c r="D21" s="610"/>
      <c r="E21" s="238">
        <v>9.83</v>
      </c>
      <c r="F21" s="238">
        <f>E21</f>
        <v>9.83</v>
      </c>
      <c r="G21" s="238" t="s">
        <v>9</v>
      </c>
      <c r="H21" s="239">
        <f t="shared" si="1"/>
        <v>84.783999999999992</v>
      </c>
      <c r="I21" s="238">
        <f>IF(H21="","",$K$6-H21)</f>
        <v>10068.076000000001</v>
      </c>
      <c r="J21" s="240">
        <f t="shared" si="3"/>
        <v>86.923489232085558</v>
      </c>
      <c r="K21" s="611" t="s">
        <v>169</v>
      </c>
      <c r="L21" s="612"/>
      <c r="M21" s="19"/>
    </row>
    <row r="22" spans="1:15" s="16" customFormat="1" ht="14.1" customHeight="1" thickBot="1">
      <c r="A22" s="540" t="s">
        <v>98</v>
      </c>
      <c r="B22" s="541"/>
      <c r="C22" s="542"/>
      <c r="D22" s="211">
        <f>D17-1</f>
        <v>375</v>
      </c>
      <c r="E22" s="347">
        <v>32.78</v>
      </c>
      <c r="F22" s="18">
        <f>E22-($E$9)</f>
        <v>32.381999999999998</v>
      </c>
      <c r="G22" s="18" t="s">
        <v>9</v>
      </c>
      <c r="H22" s="18">
        <f t="shared" si="1"/>
        <v>117.166</v>
      </c>
      <c r="I22" s="18">
        <f>IF(H22="","",$K$6-H22)</f>
        <v>10035.694000000001</v>
      </c>
      <c r="J22" s="216">
        <f t="shared" si="3"/>
        <v>87.658137612834224</v>
      </c>
      <c r="K22" s="229"/>
      <c r="L22" s="173"/>
      <c r="M22" s="23"/>
    </row>
    <row r="23" spans="1:15" s="16" customFormat="1" ht="14.1" customHeight="1">
      <c r="A23" s="540" t="s">
        <v>98</v>
      </c>
      <c r="B23" s="541"/>
      <c r="C23" s="542"/>
      <c r="D23" s="211">
        <f>D22-1</f>
        <v>374</v>
      </c>
      <c r="E23" s="347">
        <v>32.729999999999997</v>
      </c>
      <c r="F23" s="18">
        <f t="shared" ref="F23:F86" si="4">E23-($E$9)</f>
        <v>32.331999999999994</v>
      </c>
      <c r="G23" s="18" t="s">
        <v>9</v>
      </c>
      <c r="H23" s="18">
        <f t="shared" si="1"/>
        <v>149.49799999999999</v>
      </c>
      <c r="I23" s="18">
        <f t="shared" ref="I23:I86" si="5">IF(H23="","",$K$6-H23)</f>
        <v>10003.362000000001</v>
      </c>
      <c r="J23" s="216">
        <f t="shared" si="3"/>
        <v>88.391651646753246</v>
      </c>
      <c r="K23" s="597" t="s">
        <v>32</v>
      </c>
      <c r="L23" s="598"/>
      <c r="M23" s="19"/>
    </row>
    <row r="24" spans="1:15" s="16" customFormat="1" ht="14.1" customHeight="1" thickBot="1">
      <c r="A24" s="540" t="s">
        <v>98</v>
      </c>
      <c r="B24" s="541"/>
      <c r="C24" s="542"/>
      <c r="D24" s="211">
        <f t="shared" ref="D24:D87" si="6">D23-1</f>
        <v>373</v>
      </c>
      <c r="E24" s="347">
        <v>32.6</v>
      </c>
      <c r="F24" s="18">
        <f t="shared" si="4"/>
        <v>32.201999999999998</v>
      </c>
      <c r="G24" s="18" t="s">
        <v>9</v>
      </c>
      <c r="H24" s="18">
        <f t="shared" si="1"/>
        <v>181.7</v>
      </c>
      <c r="I24" s="18">
        <f t="shared" si="5"/>
        <v>9971.16</v>
      </c>
      <c r="J24" s="216">
        <f t="shared" si="3"/>
        <v>89.122216378915198</v>
      </c>
      <c r="K24" s="599" t="s">
        <v>179</v>
      </c>
      <c r="L24" s="600"/>
      <c r="M24" s="19"/>
      <c r="N24" s="19"/>
    </row>
    <row r="25" spans="1:15" s="16" customFormat="1" ht="14.1" customHeight="1">
      <c r="A25" s="540" t="s">
        <v>98</v>
      </c>
      <c r="B25" s="541"/>
      <c r="C25" s="542"/>
      <c r="D25" s="211">
        <f t="shared" si="6"/>
        <v>372</v>
      </c>
      <c r="E25" s="347">
        <v>33.42</v>
      </c>
      <c r="F25" s="18">
        <f t="shared" si="4"/>
        <v>33.021999999999998</v>
      </c>
      <c r="G25" s="18" t="s">
        <v>9</v>
      </c>
      <c r="H25" s="18">
        <f t="shared" si="1"/>
        <v>214.72199999999998</v>
      </c>
      <c r="I25" s="18">
        <f t="shared" si="5"/>
        <v>9938.1380000000008</v>
      </c>
      <c r="J25" s="216">
        <f t="shared" si="3"/>
        <v>89.871384399083269</v>
      </c>
      <c r="K25" s="196"/>
      <c r="L25" s="198"/>
      <c r="M25" s="31"/>
    </row>
    <row r="26" spans="1:15" s="16" customFormat="1" ht="14.1" customHeight="1" thickBot="1">
      <c r="A26" s="540" t="s">
        <v>98</v>
      </c>
      <c r="B26" s="541"/>
      <c r="C26" s="542"/>
      <c r="D26" s="211">
        <f t="shared" si="6"/>
        <v>371</v>
      </c>
      <c r="E26" s="347">
        <v>32.909999999999997</v>
      </c>
      <c r="F26" s="18">
        <f t="shared" si="4"/>
        <v>32.511999999999993</v>
      </c>
      <c r="G26" s="18" t="s">
        <v>9</v>
      </c>
      <c r="H26" s="18">
        <f t="shared" si="1"/>
        <v>247.23399999999998</v>
      </c>
      <c r="I26" s="18">
        <f t="shared" si="5"/>
        <v>9905.6260000000002</v>
      </c>
      <c r="J26" s="216">
        <f t="shared" si="3"/>
        <v>90.608982081589005</v>
      </c>
      <c r="K26" s="196"/>
      <c r="L26" s="198"/>
      <c r="M26" s="23"/>
      <c r="N26" s="23"/>
    </row>
    <row r="27" spans="1:15" s="16" customFormat="1" ht="14.1" customHeight="1">
      <c r="A27" s="540" t="s">
        <v>98</v>
      </c>
      <c r="B27" s="541"/>
      <c r="C27" s="542"/>
      <c r="D27" s="211">
        <f>D26-1</f>
        <v>370</v>
      </c>
      <c r="E27" s="347">
        <v>33.270000000000003</v>
      </c>
      <c r="F27" s="18">
        <f t="shared" si="4"/>
        <v>32.872</v>
      </c>
      <c r="G27" s="18" t="s">
        <v>9</v>
      </c>
      <c r="H27" s="18">
        <f t="shared" si="1"/>
        <v>280.10599999999999</v>
      </c>
      <c r="I27" s="18">
        <f t="shared" si="5"/>
        <v>9872.7540000000008</v>
      </c>
      <c r="J27" s="216">
        <f t="shared" si="3"/>
        <v>91.354747061268142</v>
      </c>
      <c r="K27" s="589" t="s">
        <v>104</v>
      </c>
      <c r="L27" s="590"/>
      <c r="M27" s="23"/>
    </row>
    <row r="28" spans="1:15" s="16" customFormat="1" ht="14.1" customHeight="1" thickBot="1">
      <c r="A28" s="540" t="s">
        <v>98</v>
      </c>
      <c r="B28" s="541"/>
      <c r="C28" s="542"/>
      <c r="D28" s="211">
        <f t="shared" si="6"/>
        <v>369</v>
      </c>
      <c r="E28" s="347">
        <v>33.19</v>
      </c>
      <c r="F28" s="18">
        <f t="shared" si="4"/>
        <v>32.791999999999994</v>
      </c>
      <c r="G28" s="18" t="s">
        <v>9</v>
      </c>
      <c r="H28" s="18">
        <f t="shared" si="1"/>
        <v>312.89799999999997</v>
      </c>
      <c r="I28" s="18">
        <f t="shared" si="5"/>
        <v>9839.9620000000014</v>
      </c>
      <c r="J28" s="216">
        <f t="shared" si="3"/>
        <v>92.098697086019854</v>
      </c>
      <c r="K28" s="591" t="s">
        <v>105</v>
      </c>
      <c r="L28" s="592"/>
      <c r="M28" s="23"/>
      <c r="O28" s="23"/>
    </row>
    <row r="29" spans="1:15" s="17" customFormat="1" ht="12.95" customHeight="1" thickBot="1">
      <c r="A29" s="540" t="s">
        <v>98</v>
      </c>
      <c r="B29" s="541"/>
      <c r="C29" s="542"/>
      <c r="D29" s="211">
        <f t="shared" si="6"/>
        <v>368</v>
      </c>
      <c r="E29" s="347">
        <v>32.950000000000003</v>
      </c>
      <c r="F29" s="18">
        <f t="shared" si="4"/>
        <v>32.552</v>
      </c>
      <c r="G29" s="18" t="s">
        <v>9</v>
      </c>
      <c r="H29" s="18">
        <f t="shared" si="1"/>
        <v>345.45</v>
      </c>
      <c r="I29" s="18">
        <f t="shared" si="5"/>
        <v>9807.41</v>
      </c>
      <c r="J29" s="216">
        <f t="shared" si="3"/>
        <v>92.837202245989303</v>
      </c>
      <c r="K29" s="196"/>
      <c r="L29" s="198"/>
      <c r="M29" s="23"/>
    </row>
    <row r="30" spans="1:15" s="17" customFormat="1" ht="12.95" customHeight="1">
      <c r="A30" s="540" t="s">
        <v>98</v>
      </c>
      <c r="B30" s="541"/>
      <c r="C30" s="542"/>
      <c r="D30" s="211">
        <f t="shared" si="6"/>
        <v>367</v>
      </c>
      <c r="E30" s="347">
        <v>33.49</v>
      </c>
      <c r="F30" s="18">
        <f t="shared" si="4"/>
        <v>33.091999999999999</v>
      </c>
      <c r="G30" s="18" t="s">
        <v>9</v>
      </c>
      <c r="H30" s="18">
        <f t="shared" si="1"/>
        <v>378.54199999999997</v>
      </c>
      <c r="I30" s="18">
        <f t="shared" si="5"/>
        <v>9774.3180000000011</v>
      </c>
      <c r="J30" s="216">
        <f t="shared" si="3"/>
        <v>93.587958351718868</v>
      </c>
      <c r="K30" s="589" t="s">
        <v>107</v>
      </c>
      <c r="L30" s="590"/>
      <c r="M30" s="23"/>
      <c r="O30" s="24"/>
    </row>
    <row r="31" spans="1:15" s="17" customFormat="1" ht="12.95" customHeight="1" thickBot="1">
      <c r="A31" s="540" t="s">
        <v>98</v>
      </c>
      <c r="B31" s="541"/>
      <c r="C31" s="542"/>
      <c r="D31" s="211">
        <f t="shared" si="6"/>
        <v>366</v>
      </c>
      <c r="E31" s="347">
        <v>33.799999999999997</v>
      </c>
      <c r="F31" s="18">
        <f t="shared" si="4"/>
        <v>33.401999999999994</v>
      </c>
      <c r="G31" s="18" t="s">
        <v>9</v>
      </c>
      <c r="H31" s="18">
        <f t="shared" si="1"/>
        <v>411.94399999999996</v>
      </c>
      <c r="I31" s="18">
        <f t="shared" si="5"/>
        <v>9740.9160000000011</v>
      </c>
      <c r="J31" s="216">
        <f t="shared" si="3"/>
        <v>94.345747407792203</v>
      </c>
      <c r="K31" s="591" t="s">
        <v>106</v>
      </c>
      <c r="L31" s="592"/>
      <c r="M31" s="23"/>
    </row>
    <row r="32" spans="1:15" s="17" customFormat="1" ht="12.95" customHeight="1">
      <c r="A32" s="540" t="s">
        <v>98</v>
      </c>
      <c r="B32" s="541"/>
      <c r="C32" s="542"/>
      <c r="D32" s="211">
        <f t="shared" si="6"/>
        <v>365</v>
      </c>
      <c r="E32" s="347">
        <v>33.54</v>
      </c>
      <c r="F32" s="18">
        <f t="shared" si="4"/>
        <v>33.141999999999996</v>
      </c>
      <c r="G32" s="18" t="s">
        <v>9</v>
      </c>
      <c r="H32" s="18">
        <f t="shared" si="1"/>
        <v>445.08599999999996</v>
      </c>
      <c r="I32" s="18">
        <f t="shared" si="5"/>
        <v>9707.7740000000013</v>
      </c>
      <c r="J32" s="216">
        <f t="shared" si="3"/>
        <v>95.097637860351412</v>
      </c>
      <c r="K32" s="196"/>
      <c r="L32" s="198"/>
    </row>
    <row r="33" spans="1:15" s="17" customFormat="1" ht="12.95" customHeight="1">
      <c r="A33" s="540" t="s">
        <v>98</v>
      </c>
      <c r="B33" s="541"/>
      <c r="C33" s="542"/>
      <c r="D33" s="211">
        <f t="shared" si="6"/>
        <v>364</v>
      </c>
      <c r="E33" s="347">
        <v>33.61</v>
      </c>
      <c r="F33" s="18">
        <f t="shared" si="4"/>
        <v>33.211999999999996</v>
      </c>
      <c r="G33" s="18" t="s">
        <v>9</v>
      </c>
      <c r="H33" s="18">
        <f t="shared" si="1"/>
        <v>478.29799999999994</v>
      </c>
      <c r="I33" s="18">
        <f t="shared" si="5"/>
        <v>9674.5619999999999</v>
      </c>
      <c r="J33" s="216">
        <f t="shared" si="3"/>
        <v>95.851116398472115</v>
      </c>
      <c r="K33" s="196"/>
      <c r="L33" s="198"/>
      <c r="M33" s="23"/>
    </row>
    <row r="34" spans="1:15" s="17" customFormat="1" ht="12.95" customHeight="1">
      <c r="A34" s="540" t="s">
        <v>98</v>
      </c>
      <c r="B34" s="541"/>
      <c r="C34" s="542"/>
      <c r="D34" s="211">
        <f t="shared" si="6"/>
        <v>363</v>
      </c>
      <c r="E34" s="347">
        <v>32.9</v>
      </c>
      <c r="F34" s="18">
        <f t="shared" si="4"/>
        <v>32.501999999999995</v>
      </c>
      <c r="G34" s="18" t="s">
        <v>9</v>
      </c>
      <c r="H34" s="18">
        <f t="shared" si="1"/>
        <v>510.79999999999995</v>
      </c>
      <c r="I34" s="18">
        <f t="shared" si="5"/>
        <v>9642.0600000000013</v>
      </c>
      <c r="J34" s="216">
        <f t="shared" si="3"/>
        <v>96.58848721161192</v>
      </c>
      <c r="K34" s="196"/>
      <c r="L34" s="198"/>
      <c r="M34" s="23"/>
    </row>
    <row r="35" spans="1:15" s="17" customFormat="1" ht="12.95" customHeight="1">
      <c r="A35" s="540" t="s">
        <v>98</v>
      </c>
      <c r="B35" s="541"/>
      <c r="C35" s="542"/>
      <c r="D35" s="211">
        <f t="shared" si="6"/>
        <v>362</v>
      </c>
      <c r="E35" s="347">
        <v>33.67</v>
      </c>
      <c r="F35" s="18">
        <f t="shared" si="4"/>
        <v>33.271999999999998</v>
      </c>
      <c r="G35" s="18" t="s">
        <v>9</v>
      </c>
      <c r="H35" s="18">
        <f t="shared" si="1"/>
        <v>544.072</v>
      </c>
      <c r="I35" s="18">
        <f t="shared" si="5"/>
        <v>9608.7880000000005</v>
      </c>
      <c r="J35" s="216">
        <f t="shared" si="3"/>
        <v>97.343326965928185</v>
      </c>
      <c r="K35" s="196"/>
      <c r="L35" s="198"/>
      <c r="M35" s="23"/>
    </row>
    <row r="36" spans="1:15" s="17" customFormat="1" ht="12.95" customHeight="1">
      <c r="A36" s="540" t="s">
        <v>98</v>
      </c>
      <c r="B36" s="541"/>
      <c r="C36" s="542"/>
      <c r="D36" s="211">
        <f t="shared" si="6"/>
        <v>361</v>
      </c>
      <c r="E36" s="347">
        <v>32.93</v>
      </c>
      <c r="F36" s="18">
        <f t="shared" si="4"/>
        <v>32.531999999999996</v>
      </c>
      <c r="G36" s="18" t="s">
        <v>9</v>
      </c>
      <c r="H36" s="18">
        <f t="shared" si="1"/>
        <v>576.60400000000004</v>
      </c>
      <c r="I36" s="18">
        <f t="shared" si="5"/>
        <v>9576.2560000000012</v>
      </c>
      <c r="J36" s="216">
        <f t="shared" si="3"/>
        <v>98.081378387165771</v>
      </c>
      <c r="K36" s="196"/>
      <c r="L36" s="198"/>
      <c r="M36" s="23"/>
      <c r="O36" s="24"/>
    </row>
    <row r="37" spans="1:15" s="17" customFormat="1" ht="12.95" customHeight="1">
      <c r="A37" s="540" t="s">
        <v>98</v>
      </c>
      <c r="B37" s="541"/>
      <c r="C37" s="542"/>
      <c r="D37" s="211">
        <f t="shared" si="6"/>
        <v>360</v>
      </c>
      <c r="E37" s="347">
        <v>32.79</v>
      </c>
      <c r="F37" s="18">
        <f t="shared" si="4"/>
        <v>32.391999999999996</v>
      </c>
      <c r="G37" s="18" t="s">
        <v>9</v>
      </c>
      <c r="H37" s="18">
        <f t="shared" si="1"/>
        <v>608.99600000000009</v>
      </c>
      <c r="I37" s="18">
        <f t="shared" si="5"/>
        <v>9543.8640000000014</v>
      </c>
      <c r="J37" s="216">
        <f t="shared" si="3"/>
        <v>98.816253637280369</v>
      </c>
      <c r="K37" s="196"/>
      <c r="L37" s="198"/>
      <c r="M37" s="23"/>
    </row>
    <row r="38" spans="1:15" s="17" customFormat="1" ht="12.95" customHeight="1">
      <c r="A38" s="540" t="s">
        <v>98</v>
      </c>
      <c r="B38" s="541"/>
      <c r="C38" s="542"/>
      <c r="D38" s="211">
        <f t="shared" si="6"/>
        <v>359</v>
      </c>
      <c r="E38" s="347">
        <v>32.979999999999997</v>
      </c>
      <c r="F38" s="18">
        <f t="shared" si="4"/>
        <v>32.581999999999994</v>
      </c>
      <c r="G38" s="18" t="s">
        <v>9</v>
      </c>
      <c r="H38" s="18">
        <f t="shared" si="1"/>
        <v>641.57800000000009</v>
      </c>
      <c r="I38" s="18">
        <f t="shared" si="5"/>
        <v>9511.2820000000011</v>
      </c>
      <c r="J38" s="216">
        <f t="shared" si="3"/>
        <v>99.555439405347599</v>
      </c>
      <c r="K38" s="196"/>
      <c r="L38" s="198"/>
      <c r="M38" s="23"/>
    </row>
    <row r="39" spans="1:15" s="17" customFormat="1" ht="12.95" customHeight="1">
      <c r="A39" s="540" t="s">
        <v>98</v>
      </c>
      <c r="B39" s="541"/>
      <c r="C39" s="542"/>
      <c r="D39" s="211">
        <f t="shared" si="6"/>
        <v>358</v>
      </c>
      <c r="E39" s="347">
        <v>33.479999999999997</v>
      </c>
      <c r="F39" s="18">
        <f t="shared" si="4"/>
        <v>33.081999999999994</v>
      </c>
      <c r="G39" s="18" t="s">
        <v>9</v>
      </c>
      <c r="H39" s="18">
        <f t="shared" si="1"/>
        <v>674.66000000000008</v>
      </c>
      <c r="I39" s="18">
        <f t="shared" si="5"/>
        <v>9478.2000000000007</v>
      </c>
      <c r="J39" s="216">
        <f t="shared" si="3"/>
        <v>100.30596864171123</v>
      </c>
      <c r="K39" s="196"/>
      <c r="L39" s="198"/>
      <c r="M39" s="23"/>
    </row>
    <row r="40" spans="1:15" s="17" customFormat="1" ht="12.95" customHeight="1">
      <c r="A40" s="540" t="s">
        <v>98</v>
      </c>
      <c r="B40" s="541"/>
      <c r="C40" s="542"/>
      <c r="D40" s="211">
        <f t="shared" si="6"/>
        <v>357</v>
      </c>
      <c r="E40" s="347">
        <v>33.19</v>
      </c>
      <c r="F40" s="18">
        <f t="shared" si="4"/>
        <v>32.791999999999994</v>
      </c>
      <c r="G40" s="18" t="s">
        <v>9</v>
      </c>
      <c r="H40" s="18">
        <f t="shared" si="1"/>
        <v>707.45200000000011</v>
      </c>
      <c r="I40" s="18">
        <f t="shared" si="5"/>
        <v>9445.4080000000013</v>
      </c>
      <c r="J40" s="216">
        <f t="shared" si="3"/>
        <v>101.04991866646296</v>
      </c>
      <c r="K40" s="252"/>
      <c r="L40" s="198"/>
      <c r="M40" s="23"/>
    </row>
    <row r="41" spans="1:15" s="17" customFormat="1" ht="12.95" customHeight="1">
      <c r="A41" s="540" t="s">
        <v>98</v>
      </c>
      <c r="B41" s="541"/>
      <c r="C41" s="542"/>
      <c r="D41" s="211">
        <f t="shared" si="6"/>
        <v>356</v>
      </c>
      <c r="E41" s="347">
        <v>33.479999999999997</v>
      </c>
      <c r="F41" s="18">
        <f t="shared" si="4"/>
        <v>33.081999999999994</v>
      </c>
      <c r="G41" s="18" t="s">
        <v>9</v>
      </c>
      <c r="H41" s="18">
        <f t="shared" si="1"/>
        <v>740.53400000000011</v>
      </c>
      <c r="I41" s="18">
        <f t="shared" si="5"/>
        <v>9412.3260000000009</v>
      </c>
      <c r="J41" s="216">
        <f t="shared" si="3"/>
        <v>101.80044790282659</v>
      </c>
      <c r="K41" s="196"/>
      <c r="L41" s="198"/>
      <c r="M41" s="23"/>
      <c r="O41" s="24"/>
    </row>
    <row r="42" spans="1:15" s="17" customFormat="1" ht="12.95" customHeight="1">
      <c r="A42" s="540" t="s">
        <v>98</v>
      </c>
      <c r="B42" s="541"/>
      <c r="C42" s="542"/>
      <c r="D42" s="211">
        <f t="shared" si="6"/>
        <v>355</v>
      </c>
      <c r="E42" s="347">
        <v>33.630000000000003</v>
      </c>
      <c r="F42" s="18">
        <f t="shared" si="4"/>
        <v>33.231999999999999</v>
      </c>
      <c r="G42" s="18" t="s">
        <v>9</v>
      </c>
      <c r="H42" s="18">
        <f t="shared" si="1"/>
        <v>773.76600000000008</v>
      </c>
      <c r="I42" s="18">
        <f t="shared" si="5"/>
        <v>9379.094000000001</v>
      </c>
      <c r="J42" s="216">
        <f t="shared" si="3"/>
        <v>102.55438017967914</v>
      </c>
      <c r="K42" s="196"/>
      <c r="L42" s="198"/>
      <c r="M42" s="23"/>
    </row>
    <row r="43" spans="1:15" s="17" customFormat="1" ht="12.95" customHeight="1">
      <c r="A43" s="540" t="s">
        <v>98</v>
      </c>
      <c r="B43" s="541"/>
      <c r="C43" s="542"/>
      <c r="D43" s="211">
        <f t="shared" si="6"/>
        <v>354</v>
      </c>
      <c r="E43" s="347">
        <v>33.43</v>
      </c>
      <c r="F43" s="18">
        <f t="shared" si="4"/>
        <v>33.031999999999996</v>
      </c>
      <c r="G43" s="18" t="s">
        <v>9</v>
      </c>
      <c r="H43" s="18">
        <f t="shared" si="1"/>
        <v>806.79800000000012</v>
      </c>
      <c r="I43" s="18">
        <f t="shared" si="5"/>
        <v>9346.0619999999999</v>
      </c>
      <c r="J43" s="216">
        <f t="shared" si="3"/>
        <v>103.30377506921315</v>
      </c>
      <c r="K43" s="196"/>
      <c r="L43" s="198"/>
      <c r="M43" s="23"/>
    </row>
    <row r="44" spans="1:15" s="17" customFormat="1" ht="12.95" customHeight="1">
      <c r="A44" s="540" t="s">
        <v>98</v>
      </c>
      <c r="B44" s="541"/>
      <c r="C44" s="542"/>
      <c r="D44" s="211">
        <f t="shared" si="6"/>
        <v>353</v>
      </c>
      <c r="E44" s="347">
        <v>33.6</v>
      </c>
      <c r="F44" s="18">
        <f t="shared" si="4"/>
        <v>33.201999999999998</v>
      </c>
      <c r="G44" s="18" t="s">
        <v>9</v>
      </c>
      <c r="H44" s="18">
        <f t="shared" si="1"/>
        <v>840.00000000000011</v>
      </c>
      <c r="I44" s="18">
        <f t="shared" si="5"/>
        <v>9312.86</v>
      </c>
      <c r="J44" s="216">
        <f t="shared" si="3"/>
        <v>104.05702673796792</v>
      </c>
      <c r="K44" s="196"/>
      <c r="L44" s="198"/>
      <c r="M44" s="23"/>
    </row>
    <row r="45" spans="1:15" s="17" customFormat="1" ht="12.95" customHeight="1">
      <c r="A45" s="540" t="s">
        <v>98</v>
      </c>
      <c r="B45" s="541"/>
      <c r="C45" s="542"/>
      <c r="D45" s="211">
        <f t="shared" si="6"/>
        <v>352</v>
      </c>
      <c r="E45" s="347">
        <v>33.880000000000003</v>
      </c>
      <c r="F45" s="18">
        <f t="shared" si="4"/>
        <v>33.481999999999999</v>
      </c>
      <c r="G45" s="18" t="s">
        <v>9</v>
      </c>
      <c r="H45" s="18">
        <f t="shared" si="1"/>
        <v>873.48200000000008</v>
      </c>
      <c r="I45" s="18">
        <f t="shared" si="5"/>
        <v>9279.3780000000006</v>
      </c>
      <c r="J45" s="216">
        <f>$G$6+(H45*$E$7*$G$8/1000)</f>
        <v>104.81663074896868</v>
      </c>
      <c r="K45" s="196"/>
      <c r="L45" s="198"/>
      <c r="M45" s="23"/>
    </row>
    <row r="46" spans="1:15" s="17" customFormat="1" ht="12.95" customHeight="1">
      <c r="A46" s="540" t="s">
        <v>98</v>
      </c>
      <c r="B46" s="541"/>
      <c r="C46" s="542"/>
      <c r="D46" s="211">
        <f t="shared" si="6"/>
        <v>351</v>
      </c>
      <c r="E46" s="347">
        <v>31.65</v>
      </c>
      <c r="F46" s="18">
        <f t="shared" si="4"/>
        <v>31.251999999999999</v>
      </c>
      <c r="G46" s="18" t="s">
        <v>9</v>
      </c>
      <c r="H46" s="18">
        <f t="shared" si="1"/>
        <v>904.73400000000004</v>
      </c>
      <c r="I46" s="18">
        <f t="shared" si="5"/>
        <v>9248.1260000000002</v>
      </c>
      <c r="J46" s="216">
        <f t="shared" si="3"/>
        <v>105.52564289136745</v>
      </c>
      <c r="K46" s="196"/>
      <c r="L46" s="198"/>
      <c r="M46" s="23"/>
    </row>
    <row r="47" spans="1:15" s="17" customFormat="1" ht="12.95" customHeight="1">
      <c r="A47" s="540" t="s">
        <v>98</v>
      </c>
      <c r="B47" s="541"/>
      <c r="C47" s="542"/>
      <c r="D47" s="211">
        <f t="shared" si="6"/>
        <v>350</v>
      </c>
      <c r="E47" s="347">
        <v>33.47</v>
      </c>
      <c r="F47" s="18">
        <f t="shared" si="4"/>
        <v>33.071999999999996</v>
      </c>
      <c r="G47" s="18" t="s">
        <v>9</v>
      </c>
      <c r="H47" s="18">
        <f t="shared" si="1"/>
        <v>937.80600000000004</v>
      </c>
      <c r="I47" s="18">
        <f t="shared" si="5"/>
        <v>9215.0540000000001</v>
      </c>
      <c r="J47" s="216">
        <f t="shared" si="3"/>
        <v>106.27594525836517</v>
      </c>
      <c r="K47" s="196"/>
      <c r="L47" s="198"/>
      <c r="M47" s="23"/>
    </row>
    <row r="48" spans="1:15" s="17" customFormat="1" ht="12.95" customHeight="1">
      <c r="A48" s="540" t="s">
        <v>98</v>
      </c>
      <c r="B48" s="541"/>
      <c r="C48" s="542"/>
      <c r="D48" s="211">
        <f t="shared" si="6"/>
        <v>349</v>
      </c>
      <c r="E48" s="347">
        <v>33.46</v>
      </c>
      <c r="F48" s="18">
        <f t="shared" si="4"/>
        <v>33.061999999999998</v>
      </c>
      <c r="G48" s="18" t="s">
        <v>9</v>
      </c>
      <c r="H48" s="18">
        <f t="shared" si="1"/>
        <v>970.86800000000005</v>
      </c>
      <c r="I48" s="18">
        <f t="shared" si="5"/>
        <v>9181.9920000000002</v>
      </c>
      <c r="J48" s="216">
        <f t="shared" si="3"/>
        <v>107.02602075599694</v>
      </c>
      <c r="K48" s="196"/>
      <c r="L48" s="198"/>
      <c r="M48" s="23"/>
    </row>
    <row r="49" spans="1:13" s="17" customFormat="1" ht="12.95" customHeight="1">
      <c r="A49" s="540" t="s">
        <v>98</v>
      </c>
      <c r="B49" s="541"/>
      <c r="C49" s="542"/>
      <c r="D49" s="211">
        <f t="shared" si="6"/>
        <v>348</v>
      </c>
      <c r="E49" s="347">
        <v>33.04</v>
      </c>
      <c r="F49" s="18">
        <f t="shared" si="4"/>
        <v>32.641999999999996</v>
      </c>
      <c r="G49" s="18" t="s">
        <v>9</v>
      </c>
      <c r="H49" s="18">
        <f t="shared" si="1"/>
        <v>1003.51</v>
      </c>
      <c r="I49" s="18">
        <f t="shared" si="5"/>
        <v>9149.35</v>
      </c>
      <c r="J49" s="216">
        <f t="shared" si="3"/>
        <v>107.76656774025973</v>
      </c>
      <c r="K49" s="196"/>
      <c r="L49" s="198"/>
      <c r="M49" s="23"/>
    </row>
    <row r="50" spans="1:13" s="17" customFormat="1" ht="12.95" customHeight="1">
      <c r="A50" s="540" t="s">
        <v>98</v>
      </c>
      <c r="B50" s="541"/>
      <c r="C50" s="542"/>
      <c r="D50" s="211">
        <f t="shared" si="6"/>
        <v>347</v>
      </c>
      <c r="E50" s="347">
        <v>33.53</v>
      </c>
      <c r="F50" s="18">
        <f t="shared" si="4"/>
        <v>33.131999999999998</v>
      </c>
      <c r="G50" s="18" t="s">
        <v>9</v>
      </c>
      <c r="H50" s="18">
        <f t="shared" si="1"/>
        <v>1036.6420000000001</v>
      </c>
      <c r="I50" s="18">
        <f t="shared" si="5"/>
        <v>9116.2180000000008</v>
      </c>
      <c r="J50" s="216">
        <f t="shared" si="3"/>
        <v>108.51823132345302</v>
      </c>
      <c r="K50" s="196"/>
      <c r="L50" s="173"/>
      <c r="M50" s="23"/>
    </row>
    <row r="51" spans="1:13" s="17" customFormat="1" ht="12.95" customHeight="1">
      <c r="A51" s="540" t="s">
        <v>98</v>
      </c>
      <c r="B51" s="541"/>
      <c r="C51" s="542"/>
      <c r="D51" s="211">
        <f t="shared" si="6"/>
        <v>346</v>
      </c>
      <c r="E51" s="347">
        <v>33.840000000000003</v>
      </c>
      <c r="F51" s="18">
        <f t="shared" si="4"/>
        <v>33.442</v>
      </c>
      <c r="G51" s="18" t="s">
        <v>9</v>
      </c>
      <c r="H51" s="18">
        <f t="shared" si="1"/>
        <v>1070.0840000000001</v>
      </c>
      <c r="I51" s="18">
        <f t="shared" si="5"/>
        <v>9082.7759999999998</v>
      </c>
      <c r="J51" s="216">
        <f t="shared" si="3"/>
        <v>109.27692785699007</v>
      </c>
      <c r="K51" s="196"/>
      <c r="L51" s="173"/>
      <c r="M51" s="23"/>
    </row>
    <row r="52" spans="1:13" s="17" customFormat="1" ht="12.95" customHeight="1">
      <c r="A52" s="540" t="s">
        <v>98</v>
      </c>
      <c r="B52" s="541"/>
      <c r="C52" s="542"/>
      <c r="D52" s="211">
        <f t="shared" si="6"/>
        <v>345</v>
      </c>
      <c r="E52" s="347">
        <v>33.54</v>
      </c>
      <c r="F52" s="18">
        <f t="shared" si="4"/>
        <v>33.141999999999996</v>
      </c>
      <c r="G52" s="18" t="s">
        <v>9</v>
      </c>
      <c r="H52" s="18">
        <f t="shared" si="1"/>
        <v>1103.2260000000001</v>
      </c>
      <c r="I52" s="18">
        <f t="shared" si="5"/>
        <v>9049.634</v>
      </c>
      <c r="J52" s="216">
        <f t="shared" si="3"/>
        <v>110.02881830954928</v>
      </c>
      <c r="K52" s="196" t="s">
        <v>8</v>
      </c>
      <c r="L52" s="173"/>
      <c r="M52" s="23"/>
    </row>
    <row r="53" spans="1:13" s="17" customFormat="1" ht="12.95" customHeight="1">
      <c r="A53" s="540" t="s">
        <v>98</v>
      </c>
      <c r="B53" s="541"/>
      <c r="C53" s="542"/>
      <c r="D53" s="211">
        <f t="shared" si="6"/>
        <v>344</v>
      </c>
      <c r="E53" s="347">
        <v>33.19</v>
      </c>
      <c r="F53" s="18">
        <f t="shared" si="4"/>
        <v>32.791999999999994</v>
      </c>
      <c r="G53" s="18" t="s">
        <v>9</v>
      </c>
      <c r="H53" s="18">
        <f t="shared" si="1"/>
        <v>1136.018</v>
      </c>
      <c r="I53" s="18">
        <f t="shared" si="5"/>
        <v>9016.8420000000006</v>
      </c>
      <c r="J53" s="216">
        <f t="shared" si="3"/>
        <v>110.77276833430099</v>
      </c>
      <c r="K53" s="196"/>
      <c r="L53" s="173"/>
      <c r="M53" s="23"/>
    </row>
    <row r="54" spans="1:13" s="17" customFormat="1" ht="12.95" customHeight="1">
      <c r="A54" s="540" t="s">
        <v>98</v>
      </c>
      <c r="B54" s="541"/>
      <c r="C54" s="542"/>
      <c r="D54" s="211">
        <f t="shared" si="6"/>
        <v>343</v>
      </c>
      <c r="E54" s="347">
        <v>33.75</v>
      </c>
      <c r="F54" s="18">
        <f t="shared" si="4"/>
        <v>33.351999999999997</v>
      </c>
      <c r="G54" s="18" t="s">
        <v>9</v>
      </c>
      <c r="H54" s="18">
        <f t="shared" si="1"/>
        <v>1169.3700000000001</v>
      </c>
      <c r="I54" s="18">
        <f t="shared" si="5"/>
        <v>8983.49</v>
      </c>
      <c r="J54" s="216">
        <f t="shared" si="3"/>
        <v>111.5294230435447</v>
      </c>
      <c r="K54" s="196"/>
      <c r="L54" s="173"/>
      <c r="M54" s="23"/>
    </row>
    <row r="55" spans="1:13" s="17" customFormat="1" ht="12.95" customHeight="1">
      <c r="A55" s="540" t="s">
        <v>98</v>
      </c>
      <c r="B55" s="541"/>
      <c r="C55" s="542"/>
      <c r="D55" s="211">
        <f t="shared" si="6"/>
        <v>342</v>
      </c>
      <c r="E55" s="347">
        <v>33.06</v>
      </c>
      <c r="F55" s="18">
        <f t="shared" si="4"/>
        <v>32.661999999999999</v>
      </c>
      <c r="G55" s="18" t="s">
        <v>9</v>
      </c>
      <c r="H55" s="18">
        <f t="shared" si="1"/>
        <v>1202.0320000000002</v>
      </c>
      <c r="I55" s="18">
        <f t="shared" si="5"/>
        <v>8950.8280000000013</v>
      </c>
      <c r="J55" s="216">
        <f t="shared" si="3"/>
        <v>112.27042376653934</v>
      </c>
      <c r="K55" s="196"/>
      <c r="L55" s="173"/>
      <c r="M55" s="23"/>
    </row>
    <row r="56" spans="1:13" s="17" customFormat="1" ht="12.95" customHeight="1">
      <c r="A56" s="540" t="s">
        <v>98</v>
      </c>
      <c r="B56" s="541"/>
      <c r="C56" s="542"/>
      <c r="D56" s="211">
        <f t="shared" si="6"/>
        <v>341</v>
      </c>
      <c r="E56" s="347">
        <v>33.659999999999997</v>
      </c>
      <c r="F56" s="18">
        <f t="shared" si="4"/>
        <v>33.261999999999993</v>
      </c>
      <c r="G56" s="18" t="s">
        <v>9</v>
      </c>
      <c r="H56" s="18">
        <f t="shared" si="1"/>
        <v>1235.2940000000001</v>
      </c>
      <c r="I56" s="18">
        <f t="shared" si="5"/>
        <v>8917.5660000000007</v>
      </c>
      <c r="J56" s="216">
        <f t="shared" si="3"/>
        <v>113.02503665148969</v>
      </c>
      <c r="K56" s="196"/>
      <c r="L56" s="173"/>
      <c r="M56" s="23"/>
    </row>
    <row r="57" spans="1:13" s="17" customFormat="1" ht="12.95" customHeight="1">
      <c r="A57" s="540" t="s">
        <v>98</v>
      </c>
      <c r="B57" s="541"/>
      <c r="C57" s="542"/>
      <c r="D57" s="211">
        <f t="shared" si="6"/>
        <v>340</v>
      </c>
      <c r="E57" s="347">
        <v>33.43</v>
      </c>
      <c r="F57" s="18">
        <f t="shared" si="4"/>
        <v>33.031999999999996</v>
      </c>
      <c r="G57" s="18" t="s">
        <v>9</v>
      </c>
      <c r="H57" s="18">
        <f t="shared" si="1"/>
        <v>1268.326</v>
      </c>
      <c r="I57" s="18">
        <f t="shared" si="5"/>
        <v>8884.5339999999997</v>
      </c>
      <c r="J57" s="216">
        <f t="shared" si="3"/>
        <v>113.77443154102369</v>
      </c>
      <c r="K57" s="196"/>
      <c r="L57" s="173"/>
      <c r="M57" s="23"/>
    </row>
    <row r="58" spans="1:13" s="17" customFormat="1" ht="12.95" customHeight="1">
      <c r="A58" s="540" t="s">
        <v>98</v>
      </c>
      <c r="B58" s="541"/>
      <c r="C58" s="542"/>
      <c r="D58" s="211">
        <f t="shared" si="6"/>
        <v>339</v>
      </c>
      <c r="E58" s="347">
        <v>33.299999999999997</v>
      </c>
      <c r="F58" s="18">
        <f t="shared" si="4"/>
        <v>32.901999999999994</v>
      </c>
      <c r="G58" s="18" t="s">
        <v>9</v>
      </c>
      <c r="H58" s="18">
        <f t="shared" si="1"/>
        <v>1301.2280000000001</v>
      </c>
      <c r="I58" s="18">
        <f t="shared" si="5"/>
        <v>8851.6320000000014</v>
      </c>
      <c r="J58" s="216">
        <f t="shared" si="3"/>
        <v>114.52087712880061</v>
      </c>
      <c r="K58" s="227"/>
      <c r="L58" s="173"/>
      <c r="M58" s="23"/>
    </row>
    <row r="59" spans="1:13" s="17" customFormat="1" ht="12.95" customHeight="1">
      <c r="A59" s="540" t="s">
        <v>98</v>
      </c>
      <c r="B59" s="541"/>
      <c r="C59" s="542"/>
      <c r="D59" s="211">
        <f t="shared" si="6"/>
        <v>338</v>
      </c>
      <c r="E59" s="347">
        <v>33.58</v>
      </c>
      <c r="F59" s="18">
        <f t="shared" si="4"/>
        <v>33.181999999999995</v>
      </c>
      <c r="G59" s="18" t="s">
        <v>9</v>
      </c>
      <c r="H59" s="18">
        <f t="shared" si="1"/>
        <v>1334.41</v>
      </c>
      <c r="I59" s="18">
        <f t="shared" si="5"/>
        <v>8818.4500000000007</v>
      </c>
      <c r="J59" s="216">
        <f t="shared" si="3"/>
        <v>115.27367505882353</v>
      </c>
      <c r="K59" s="196"/>
      <c r="L59" s="173"/>
      <c r="M59" s="23"/>
    </row>
    <row r="60" spans="1:13" s="17" customFormat="1" ht="12.95" customHeight="1">
      <c r="A60" s="540" t="s">
        <v>98</v>
      </c>
      <c r="B60" s="541"/>
      <c r="C60" s="542"/>
      <c r="D60" s="211">
        <f t="shared" si="6"/>
        <v>337</v>
      </c>
      <c r="E60" s="347">
        <v>33.630000000000003</v>
      </c>
      <c r="F60" s="18">
        <f t="shared" si="4"/>
        <v>33.231999999999999</v>
      </c>
      <c r="G60" s="18" t="s">
        <v>9</v>
      </c>
      <c r="H60" s="18">
        <f t="shared" si="1"/>
        <v>1367.6420000000001</v>
      </c>
      <c r="I60" s="18">
        <f t="shared" si="5"/>
        <v>8785.2180000000008</v>
      </c>
      <c r="J60" s="216">
        <f t="shared" si="3"/>
        <v>116.02760733567609</v>
      </c>
      <c r="K60" s="227"/>
      <c r="L60" s="173"/>
      <c r="M60" s="23"/>
    </row>
    <row r="61" spans="1:13" s="17" customFormat="1" ht="12.95" customHeight="1">
      <c r="A61" s="540" t="s">
        <v>98</v>
      </c>
      <c r="B61" s="541"/>
      <c r="C61" s="542"/>
      <c r="D61" s="211">
        <f t="shared" si="6"/>
        <v>336</v>
      </c>
      <c r="E61" s="347">
        <v>32.950000000000003</v>
      </c>
      <c r="F61" s="18">
        <f t="shared" si="4"/>
        <v>32.552</v>
      </c>
      <c r="G61" s="18" t="s">
        <v>9</v>
      </c>
      <c r="H61" s="18">
        <f t="shared" si="1"/>
        <v>1400.194</v>
      </c>
      <c r="I61" s="18">
        <f t="shared" si="5"/>
        <v>8752.6660000000011</v>
      </c>
      <c r="J61" s="216">
        <f t="shared" si="3"/>
        <v>116.76611249564553</v>
      </c>
      <c r="K61" s="196"/>
      <c r="L61" s="173"/>
      <c r="M61" s="23"/>
    </row>
    <row r="62" spans="1:13" s="17" customFormat="1" ht="12.95" customHeight="1">
      <c r="A62" s="540" t="s">
        <v>98</v>
      </c>
      <c r="B62" s="541"/>
      <c r="C62" s="542"/>
      <c r="D62" s="211">
        <f t="shared" si="6"/>
        <v>335</v>
      </c>
      <c r="E62" s="347">
        <v>32.74</v>
      </c>
      <c r="F62" s="18">
        <f t="shared" si="4"/>
        <v>32.341999999999999</v>
      </c>
      <c r="G62" s="18" t="s">
        <v>9</v>
      </c>
      <c r="H62" s="18">
        <f t="shared" si="1"/>
        <v>1432.5360000000001</v>
      </c>
      <c r="I62" s="18">
        <f t="shared" si="5"/>
        <v>8720.3240000000005</v>
      </c>
      <c r="J62" s="216">
        <f t="shared" si="3"/>
        <v>117.49985339893048</v>
      </c>
      <c r="K62" s="227"/>
      <c r="L62" s="199"/>
      <c r="M62" s="23"/>
    </row>
    <row r="63" spans="1:13" s="17" customFormat="1" ht="12.95" customHeight="1">
      <c r="A63" s="540" t="s">
        <v>98</v>
      </c>
      <c r="B63" s="541"/>
      <c r="C63" s="542"/>
      <c r="D63" s="211">
        <f t="shared" si="6"/>
        <v>334</v>
      </c>
      <c r="E63" s="347">
        <v>33.25</v>
      </c>
      <c r="F63" s="18">
        <f t="shared" si="4"/>
        <v>32.851999999999997</v>
      </c>
      <c r="G63" s="18" t="s">
        <v>9</v>
      </c>
      <c r="H63" s="18">
        <f t="shared" si="1"/>
        <v>1465.3880000000001</v>
      </c>
      <c r="I63" s="18">
        <f t="shared" si="5"/>
        <v>8687.4719999999998</v>
      </c>
      <c r="J63" s="216">
        <f t="shared" si="3"/>
        <v>118.24516463987777</v>
      </c>
      <c r="K63" s="196"/>
      <c r="L63" s="173"/>
      <c r="M63" s="23"/>
    </row>
    <row r="64" spans="1:13" s="17" customFormat="1" ht="12.95" customHeight="1">
      <c r="A64" s="540" t="s">
        <v>98</v>
      </c>
      <c r="B64" s="541"/>
      <c r="C64" s="542"/>
      <c r="D64" s="211">
        <f t="shared" si="6"/>
        <v>333</v>
      </c>
      <c r="E64" s="347">
        <v>32.93</v>
      </c>
      <c r="F64" s="18">
        <f t="shared" si="4"/>
        <v>32.531999999999996</v>
      </c>
      <c r="G64" s="18" t="s">
        <v>9</v>
      </c>
      <c r="H64" s="18">
        <f t="shared" si="1"/>
        <v>1497.92</v>
      </c>
      <c r="I64" s="18">
        <f t="shared" si="5"/>
        <v>8654.94</v>
      </c>
      <c r="J64" s="216">
        <f t="shared" si="3"/>
        <v>118.98321606111534</v>
      </c>
      <c r="K64" s="228"/>
      <c r="L64" s="173"/>
      <c r="M64" s="23"/>
    </row>
    <row r="65" spans="1:13" s="17" customFormat="1" ht="12.95" customHeight="1">
      <c r="A65" s="540" t="s">
        <v>98</v>
      </c>
      <c r="B65" s="541"/>
      <c r="C65" s="542"/>
      <c r="D65" s="211">
        <f t="shared" si="6"/>
        <v>332</v>
      </c>
      <c r="E65" s="347">
        <v>33.6</v>
      </c>
      <c r="F65" s="18">
        <f t="shared" si="4"/>
        <v>33.201999999999998</v>
      </c>
      <c r="G65" s="18" t="s">
        <v>9</v>
      </c>
      <c r="H65" s="18">
        <f t="shared" si="1"/>
        <v>1531.1220000000001</v>
      </c>
      <c r="I65" s="18">
        <f t="shared" si="5"/>
        <v>8621.7380000000012</v>
      </c>
      <c r="J65" s="216">
        <f t="shared" si="3"/>
        <v>119.73646772987013</v>
      </c>
      <c r="K65" s="229"/>
      <c r="L65" s="173"/>
      <c r="M65" s="23"/>
    </row>
    <row r="66" spans="1:13" s="17" customFormat="1" ht="12.95" customHeight="1">
      <c r="A66" s="540" t="s">
        <v>98</v>
      </c>
      <c r="B66" s="541"/>
      <c r="C66" s="542"/>
      <c r="D66" s="211">
        <f t="shared" si="6"/>
        <v>331</v>
      </c>
      <c r="E66" s="347">
        <v>33.83</v>
      </c>
      <c r="F66" s="18">
        <f t="shared" si="4"/>
        <v>33.431999999999995</v>
      </c>
      <c r="G66" s="18" t="s">
        <v>9</v>
      </c>
      <c r="H66" s="18">
        <f t="shared" si="1"/>
        <v>1564.5540000000001</v>
      </c>
      <c r="I66" s="18">
        <f t="shared" si="5"/>
        <v>8588.3060000000005</v>
      </c>
      <c r="J66" s="216">
        <f t="shared" si="3"/>
        <v>120.49493739404126</v>
      </c>
      <c r="K66" s="228"/>
      <c r="L66" s="173"/>
      <c r="M66" s="23"/>
    </row>
    <row r="67" spans="1:13" s="17" customFormat="1" ht="12.95" customHeight="1">
      <c r="A67" s="540" t="s">
        <v>98</v>
      </c>
      <c r="B67" s="541"/>
      <c r="C67" s="542"/>
      <c r="D67" s="211">
        <f t="shared" si="6"/>
        <v>330</v>
      </c>
      <c r="E67" s="347">
        <v>32.479999999999997</v>
      </c>
      <c r="F67" s="18">
        <f t="shared" si="4"/>
        <v>32.081999999999994</v>
      </c>
      <c r="G67" s="18" t="s">
        <v>9</v>
      </c>
      <c r="H67" s="18">
        <f t="shared" si="1"/>
        <v>1596.636</v>
      </c>
      <c r="I67" s="18">
        <f t="shared" si="5"/>
        <v>8556.2240000000002</v>
      </c>
      <c r="J67" s="216">
        <f t="shared" si="3"/>
        <v>121.22277969381207</v>
      </c>
      <c r="K67" s="196"/>
      <c r="L67" s="173"/>
      <c r="M67" s="23"/>
    </row>
    <row r="68" spans="1:13" s="17" customFormat="1" ht="12.95" customHeight="1">
      <c r="A68" s="540" t="s">
        <v>98</v>
      </c>
      <c r="B68" s="541"/>
      <c r="C68" s="542"/>
      <c r="D68" s="211">
        <f t="shared" si="6"/>
        <v>329</v>
      </c>
      <c r="E68" s="347">
        <v>33.94</v>
      </c>
      <c r="F68" s="18">
        <f t="shared" si="4"/>
        <v>33.541999999999994</v>
      </c>
      <c r="G68" s="18" t="s">
        <v>9</v>
      </c>
      <c r="H68" s="18">
        <f t="shared" si="1"/>
        <v>1630.1779999999999</v>
      </c>
      <c r="I68" s="18">
        <f t="shared" si="5"/>
        <v>8522.6820000000007</v>
      </c>
      <c r="J68" s="216">
        <f t="shared" si="3"/>
        <v>121.98374492100839</v>
      </c>
      <c r="K68" s="227"/>
      <c r="L68" s="173"/>
      <c r="M68" s="23"/>
    </row>
    <row r="69" spans="1:13" s="17" customFormat="1" ht="12.95" customHeight="1">
      <c r="A69" s="540" t="s">
        <v>98</v>
      </c>
      <c r="B69" s="541"/>
      <c r="C69" s="542"/>
      <c r="D69" s="211">
        <f t="shared" si="6"/>
        <v>328</v>
      </c>
      <c r="E69" s="347">
        <v>33.68</v>
      </c>
      <c r="F69" s="18">
        <f t="shared" si="4"/>
        <v>33.281999999999996</v>
      </c>
      <c r="G69" s="18" t="s">
        <v>9</v>
      </c>
      <c r="H69" s="18">
        <f t="shared" si="1"/>
        <v>1663.4599999999998</v>
      </c>
      <c r="I69" s="18">
        <f t="shared" si="5"/>
        <v>8489.4000000000015</v>
      </c>
      <c r="J69" s="216">
        <f t="shared" si="3"/>
        <v>122.73881154469059</v>
      </c>
      <c r="K69" s="196"/>
      <c r="L69" s="173"/>
      <c r="M69" s="23"/>
    </row>
    <row r="70" spans="1:13" s="17" customFormat="1" ht="12.95" customHeight="1">
      <c r="A70" s="540" t="s">
        <v>98</v>
      </c>
      <c r="B70" s="541"/>
      <c r="C70" s="542"/>
      <c r="D70" s="211">
        <f t="shared" si="6"/>
        <v>327</v>
      </c>
      <c r="E70" s="347">
        <v>33.68</v>
      </c>
      <c r="F70" s="18">
        <f t="shared" si="4"/>
        <v>33.281999999999996</v>
      </c>
      <c r="G70" s="18" t="s">
        <v>9</v>
      </c>
      <c r="H70" s="18">
        <f t="shared" si="1"/>
        <v>1696.7419999999997</v>
      </c>
      <c r="I70" s="18">
        <f t="shared" si="5"/>
        <v>8456.1180000000004</v>
      </c>
      <c r="J70" s="216">
        <f t="shared" si="3"/>
        <v>123.49387816837279</v>
      </c>
      <c r="K70" s="227"/>
      <c r="L70" s="173"/>
      <c r="M70" s="23"/>
    </row>
    <row r="71" spans="1:13" s="17" customFormat="1" ht="12.95" customHeight="1">
      <c r="A71" s="540" t="s">
        <v>98</v>
      </c>
      <c r="B71" s="541"/>
      <c r="C71" s="542"/>
      <c r="D71" s="211">
        <f t="shared" si="6"/>
        <v>326</v>
      </c>
      <c r="E71" s="347">
        <v>33.380000000000003</v>
      </c>
      <c r="F71" s="18">
        <f t="shared" si="4"/>
        <v>32.981999999999999</v>
      </c>
      <c r="G71" s="18" t="s">
        <v>9</v>
      </c>
      <c r="H71" s="18">
        <f t="shared" si="1"/>
        <v>1729.7239999999997</v>
      </c>
      <c r="I71" s="18">
        <f t="shared" si="5"/>
        <v>8423.1360000000004</v>
      </c>
      <c r="J71" s="216">
        <f t="shared" si="3"/>
        <v>124.24213871107715</v>
      </c>
      <c r="K71" s="252"/>
      <c r="L71" s="173"/>
      <c r="M71" s="23"/>
    </row>
    <row r="72" spans="1:13" s="17" customFormat="1" ht="12.95" customHeight="1">
      <c r="A72" s="540" t="s">
        <v>98</v>
      </c>
      <c r="B72" s="541"/>
      <c r="C72" s="542"/>
      <c r="D72" s="211">
        <f t="shared" si="6"/>
        <v>325</v>
      </c>
      <c r="E72" s="347">
        <v>33.53</v>
      </c>
      <c r="F72" s="18">
        <f t="shared" si="4"/>
        <v>33.131999999999998</v>
      </c>
      <c r="G72" s="18" t="s">
        <v>9</v>
      </c>
      <c r="H72" s="18">
        <f t="shared" si="1"/>
        <v>1762.8559999999998</v>
      </c>
      <c r="I72" s="18">
        <f t="shared" si="5"/>
        <v>8390.0040000000008</v>
      </c>
      <c r="J72" s="216">
        <f t="shared" si="3"/>
        <v>124.99380229427042</v>
      </c>
      <c r="K72" s="227"/>
      <c r="L72" s="173"/>
      <c r="M72" s="23"/>
    </row>
    <row r="73" spans="1:13" s="17" customFormat="1" ht="12.95" customHeight="1">
      <c r="A73" s="540" t="s">
        <v>98</v>
      </c>
      <c r="B73" s="541"/>
      <c r="C73" s="542"/>
      <c r="D73" s="211">
        <f t="shared" si="6"/>
        <v>324</v>
      </c>
      <c r="E73" s="347">
        <v>32.14</v>
      </c>
      <c r="F73" s="18">
        <f t="shared" si="4"/>
        <v>31.742000000000001</v>
      </c>
      <c r="G73" s="18" t="s">
        <v>9</v>
      </c>
      <c r="H73" s="18">
        <f t="shared" si="1"/>
        <v>1794.5979999999997</v>
      </c>
      <c r="I73" s="18">
        <f t="shared" si="5"/>
        <v>8358.2620000000006</v>
      </c>
      <c r="J73" s="216">
        <f t="shared" si="3"/>
        <v>125.71393103559969</v>
      </c>
      <c r="K73" s="196"/>
      <c r="L73" s="173"/>
      <c r="M73" s="23"/>
    </row>
    <row r="74" spans="1:13" s="17" customFormat="1" ht="12.95" customHeight="1">
      <c r="A74" s="540" t="s">
        <v>98</v>
      </c>
      <c r="B74" s="541"/>
      <c r="C74" s="542"/>
      <c r="D74" s="211">
        <f t="shared" si="6"/>
        <v>323</v>
      </c>
      <c r="E74" s="347">
        <v>33.82</v>
      </c>
      <c r="F74" s="18">
        <f t="shared" si="4"/>
        <v>33.421999999999997</v>
      </c>
      <c r="G74" s="18" t="s">
        <v>9</v>
      </c>
      <c r="H74" s="18">
        <f t="shared" si="1"/>
        <v>1828.0199999999998</v>
      </c>
      <c r="I74" s="18">
        <f t="shared" si="5"/>
        <v>8324.84</v>
      </c>
      <c r="J74" s="216">
        <f t="shared" si="3"/>
        <v>126.47217383040488</v>
      </c>
      <c r="K74" s="227"/>
      <c r="L74" s="173"/>
      <c r="M74" s="23"/>
    </row>
    <row r="75" spans="1:13" s="17" customFormat="1" ht="12.95" customHeight="1">
      <c r="A75" s="540" t="s">
        <v>98</v>
      </c>
      <c r="B75" s="541"/>
      <c r="C75" s="542"/>
      <c r="D75" s="211">
        <f t="shared" si="6"/>
        <v>322</v>
      </c>
      <c r="E75" s="347">
        <v>32.93</v>
      </c>
      <c r="F75" s="18">
        <f t="shared" si="4"/>
        <v>32.531999999999996</v>
      </c>
      <c r="G75" s="18" t="s">
        <v>9</v>
      </c>
      <c r="H75" s="18">
        <f t="shared" si="1"/>
        <v>1860.5519999999997</v>
      </c>
      <c r="I75" s="18">
        <f t="shared" si="5"/>
        <v>8292.3080000000009</v>
      </c>
      <c r="J75" s="216">
        <f t="shared" si="3"/>
        <v>127.21022525164247</v>
      </c>
      <c r="K75" s="196"/>
      <c r="L75" s="173"/>
      <c r="M75" s="23"/>
    </row>
    <row r="76" spans="1:13" s="17" customFormat="1" ht="12.95" customHeight="1">
      <c r="A76" s="540" t="s">
        <v>98</v>
      </c>
      <c r="B76" s="541"/>
      <c r="C76" s="542"/>
      <c r="D76" s="211">
        <f t="shared" si="6"/>
        <v>321</v>
      </c>
      <c r="E76" s="347">
        <v>33.5</v>
      </c>
      <c r="F76" s="18">
        <f t="shared" si="4"/>
        <v>33.101999999999997</v>
      </c>
      <c r="G76" s="18" t="s">
        <v>9</v>
      </c>
      <c r="H76" s="18">
        <f t="shared" si="1"/>
        <v>1893.6539999999998</v>
      </c>
      <c r="I76" s="18">
        <f t="shared" si="5"/>
        <v>8259.2060000000001</v>
      </c>
      <c r="J76" s="216">
        <f t="shared" si="3"/>
        <v>127.96120822673797</v>
      </c>
      <c r="K76" s="227"/>
      <c r="L76" s="173"/>
      <c r="M76" s="23"/>
    </row>
    <row r="77" spans="1:13" s="17" customFormat="1" ht="12.95" customHeight="1">
      <c r="A77" s="540" t="s">
        <v>98</v>
      </c>
      <c r="B77" s="541"/>
      <c r="C77" s="542"/>
      <c r="D77" s="211">
        <f t="shared" si="6"/>
        <v>320</v>
      </c>
      <c r="E77" s="347">
        <v>33.340000000000003</v>
      </c>
      <c r="F77" s="18">
        <f t="shared" si="4"/>
        <v>32.942</v>
      </c>
      <c r="G77" s="18" t="s">
        <v>9</v>
      </c>
      <c r="H77" s="18">
        <f t="shared" ref="H77:H140" si="7">IF(G77="IN",H76+F77,H76)</f>
        <v>1926.5959999999998</v>
      </c>
      <c r="I77" s="18">
        <f t="shared" si="5"/>
        <v>8226.264000000001</v>
      </c>
      <c r="J77" s="216">
        <f t="shared" si="3"/>
        <v>128.70856129197858</v>
      </c>
      <c r="K77" s="196"/>
      <c r="L77" s="173"/>
      <c r="M77" s="23"/>
    </row>
    <row r="78" spans="1:13" s="17" customFormat="1" ht="12.95" customHeight="1">
      <c r="A78" s="540" t="s">
        <v>98</v>
      </c>
      <c r="B78" s="541"/>
      <c r="C78" s="542"/>
      <c r="D78" s="211">
        <f t="shared" si="6"/>
        <v>319</v>
      </c>
      <c r="E78" s="347">
        <v>33.47</v>
      </c>
      <c r="F78" s="18">
        <f t="shared" si="4"/>
        <v>33.071999999999996</v>
      </c>
      <c r="G78" s="18" t="s">
        <v>9</v>
      </c>
      <c r="H78" s="18">
        <f t="shared" si="7"/>
        <v>1959.6679999999997</v>
      </c>
      <c r="I78" s="18">
        <f t="shared" si="5"/>
        <v>8193.1920000000009</v>
      </c>
      <c r="J78" s="216">
        <f t="shared" si="3"/>
        <v>129.4588636589763</v>
      </c>
      <c r="K78" s="227"/>
      <c r="L78" s="173"/>
      <c r="M78" s="23"/>
    </row>
    <row r="79" spans="1:13" s="17" customFormat="1" ht="12.95" customHeight="1">
      <c r="A79" s="540" t="s">
        <v>98</v>
      </c>
      <c r="B79" s="541"/>
      <c r="C79" s="542"/>
      <c r="D79" s="211">
        <f t="shared" si="6"/>
        <v>318</v>
      </c>
      <c r="E79" s="347">
        <v>33.28</v>
      </c>
      <c r="F79" s="18">
        <f t="shared" si="4"/>
        <v>32.881999999999998</v>
      </c>
      <c r="G79" s="18" t="s">
        <v>9</v>
      </c>
      <c r="H79" s="18">
        <f t="shared" si="7"/>
        <v>1992.5499999999997</v>
      </c>
      <c r="I79" s="18">
        <f t="shared" si="5"/>
        <v>8160.3100000000013</v>
      </c>
      <c r="J79" s="216">
        <f t="shared" si="3"/>
        <v>130.20485550802138</v>
      </c>
      <c r="K79" s="196"/>
      <c r="L79" s="173"/>
      <c r="M79" s="23"/>
    </row>
    <row r="80" spans="1:13" s="17" customFormat="1" ht="12.95" customHeight="1">
      <c r="A80" s="540" t="s">
        <v>98</v>
      </c>
      <c r="B80" s="541"/>
      <c r="C80" s="542"/>
      <c r="D80" s="211">
        <f t="shared" si="6"/>
        <v>317</v>
      </c>
      <c r="E80" s="347">
        <v>33.479999999999997</v>
      </c>
      <c r="F80" s="18">
        <f t="shared" si="4"/>
        <v>33.081999999999994</v>
      </c>
      <c r="G80" s="18" t="s">
        <v>9</v>
      </c>
      <c r="H80" s="18">
        <f t="shared" si="7"/>
        <v>2025.6319999999996</v>
      </c>
      <c r="I80" s="18">
        <f t="shared" si="5"/>
        <v>8127.228000000001</v>
      </c>
      <c r="J80" s="216">
        <f t="shared" ref="J80:J143" si="8">$G$6+(H80*$E$7*$G$8/1000)</f>
        <v>130.95538474438501</v>
      </c>
      <c r="K80" s="196"/>
      <c r="L80" s="173"/>
    </row>
    <row r="81" spans="1:13" s="17" customFormat="1" ht="12.95" customHeight="1">
      <c r="A81" s="540" t="s">
        <v>98</v>
      </c>
      <c r="B81" s="541"/>
      <c r="C81" s="542"/>
      <c r="D81" s="211">
        <f t="shared" si="6"/>
        <v>316</v>
      </c>
      <c r="E81" s="347">
        <v>33.64</v>
      </c>
      <c r="F81" s="18">
        <f t="shared" si="4"/>
        <v>33.241999999999997</v>
      </c>
      <c r="G81" s="18" t="s">
        <v>9</v>
      </c>
      <c r="H81" s="18">
        <f t="shared" si="7"/>
        <v>2058.8739999999998</v>
      </c>
      <c r="I81" s="18">
        <f t="shared" si="5"/>
        <v>8093.9860000000008</v>
      </c>
      <c r="J81" s="216">
        <f t="shared" si="8"/>
        <v>131.7095438906035</v>
      </c>
      <c r="K81" s="196"/>
      <c r="L81" s="173"/>
      <c r="M81" s="24"/>
    </row>
    <row r="82" spans="1:13" s="17" customFormat="1" ht="12.95" customHeight="1">
      <c r="A82" s="540" t="s">
        <v>98</v>
      </c>
      <c r="B82" s="541"/>
      <c r="C82" s="542"/>
      <c r="D82" s="211">
        <f t="shared" si="6"/>
        <v>315</v>
      </c>
      <c r="E82" s="347">
        <v>33.340000000000003</v>
      </c>
      <c r="F82" s="18">
        <f t="shared" si="4"/>
        <v>32.942</v>
      </c>
      <c r="G82" s="18" t="s">
        <v>9</v>
      </c>
      <c r="H82" s="18">
        <f t="shared" si="7"/>
        <v>2091.8159999999998</v>
      </c>
      <c r="I82" s="18">
        <f t="shared" si="5"/>
        <v>8061.0440000000008</v>
      </c>
      <c r="J82" s="216">
        <f t="shared" si="8"/>
        <v>132.45689695584414</v>
      </c>
      <c r="K82" s="227"/>
      <c r="L82" s="173"/>
    </row>
    <row r="83" spans="1:13" s="17" customFormat="1" ht="12.95" customHeight="1">
      <c r="A83" s="540" t="s">
        <v>98</v>
      </c>
      <c r="B83" s="541"/>
      <c r="C83" s="542"/>
      <c r="D83" s="211">
        <f t="shared" si="6"/>
        <v>314</v>
      </c>
      <c r="E83" s="347">
        <v>33.47</v>
      </c>
      <c r="F83" s="18">
        <f t="shared" si="4"/>
        <v>33.071999999999996</v>
      </c>
      <c r="G83" s="18" t="s">
        <v>9</v>
      </c>
      <c r="H83" s="18">
        <f t="shared" si="7"/>
        <v>2124.8879999999999</v>
      </c>
      <c r="I83" s="18">
        <f t="shared" si="5"/>
        <v>8027.9720000000007</v>
      </c>
      <c r="J83" s="216">
        <f t="shared" si="8"/>
        <v>133.20719932284186</v>
      </c>
      <c r="K83" s="196"/>
      <c r="L83" s="173"/>
    </row>
    <row r="84" spans="1:13" s="17" customFormat="1" ht="12.95" customHeight="1">
      <c r="A84" s="540" t="s">
        <v>98</v>
      </c>
      <c r="B84" s="541"/>
      <c r="C84" s="542"/>
      <c r="D84" s="211">
        <f t="shared" si="6"/>
        <v>313</v>
      </c>
      <c r="E84" s="347">
        <v>33.92</v>
      </c>
      <c r="F84" s="18">
        <f t="shared" si="4"/>
        <v>33.521999999999998</v>
      </c>
      <c r="G84" s="18" t="s">
        <v>9</v>
      </c>
      <c r="H84" s="18">
        <f t="shared" si="7"/>
        <v>2158.41</v>
      </c>
      <c r="I84" s="18">
        <f t="shared" si="5"/>
        <v>7994.4500000000007</v>
      </c>
      <c r="J84" s="216">
        <f t="shared" si="8"/>
        <v>133.96771081130635</v>
      </c>
      <c r="K84" s="227"/>
      <c r="L84" s="173"/>
    </row>
    <row r="85" spans="1:13" s="17" customFormat="1" ht="12.95" customHeight="1">
      <c r="A85" s="540" t="s">
        <v>98</v>
      </c>
      <c r="B85" s="541"/>
      <c r="C85" s="542"/>
      <c r="D85" s="211">
        <f t="shared" si="6"/>
        <v>312</v>
      </c>
      <c r="E85" s="347">
        <v>32.479999999999997</v>
      </c>
      <c r="F85" s="18">
        <f t="shared" si="4"/>
        <v>32.081999999999994</v>
      </c>
      <c r="G85" s="18" t="s">
        <v>9</v>
      </c>
      <c r="H85" s="18">
        <f t="shared" si="7"/>
        <v>2190.4919999999997</v>
      </c>
      <c r="I85" s="18">
        <f t="shared" si="5"/>
        <v>7962.3680000000004</v>
      </c>
      <c r="J85" s="216">
        <f t="shared" si="8"/>
        <v>134.69555311107715</v>
      </c>
      <c r="K85" s="196"/>
      <c r="L85" s="173"/>
    </row>
    <row r="86" spans="1:13" s="17" customFormat="1" ht="12.95" customHeight="1">
      <c r="A86" s="540" t="s">
        <v>98</v>
      </c>
      <c r="B86" s="541"/>
      <c r="C86" s="542"/>
      <c r="D86" s="211">
        <f t="shared" si="6"/>
        <v>311</v>
      </c>
      <c r="E86" s="347">
        <v>33.68</v>
      </c>
      <c r="F86" s="18">
        <f t="shared" si="4"/>
        <v>33.281999999999996</v>
      </c>
      <c r="G86" s="18" t="s">
        <v>9</v>
      </c>
      <c r="H86" s="18">
        <f t="shared" si="7"/>
        <v>2223.7739999999999</v>
      </c>
      <c r="I86" s="18">
        <f t="shared" si="5"/>
        <v>7929.0860000000011</v>
      </c>
      <c r="J86" s="216">
        <f t="shared" si="8"/>
        <v>135.45061973475936</v>
      </c>
      <c r="K86" s="197"/>
      <c r="L86" s="173"/>
    </row>
    <row r="87" spans="1:13" s="17" customFormat="1" ht="12.95" customHeight="1">
      <c r="A87" s="540" t="s">
        <v>98</v>
      </c>
      <c r="B87" s="541"/>
      <c r="C87" s="542"/>
      <c r="D87" s="211">
        <f t="shared" si="6"/>
        <v>310</v>
      </c>
      <c r="E87" s="347">
        <v>33.68</v>
      </c>
      <c r="F87" s="18">
        <f t="shared" ref="F87:F150" si="9">E87-($E$9)</f>
        <v>33.281999999999996</v>
      </c>
      <c r="G87" s="18" t="s">
        <v>9</v>
      </c>
      <c r="H87" s="18">
        <f t="shared" si="7"/>
        <v>2257.056</v>
      </c>
      <c r="I87" s="18">
        <f t="shared" ref="I87:I150" si="10">IF(H87="","",$K$6-H87)</f>
        <v>7895.8040000000001</v>
      </c>
      <c r="J87" s="216">
        <f t="shared" si="8"/>
        <v>136.20568635844154</v>
      </c>
      <c r="K87" s="197"/>
      <c r="L87" s="173"/>
    </row>
    <row r="88" spans="1:13" s="17" customFormat="1" ht="12.95" customHeight="1">
      <c r="A88" s="540" t="s">
        <v>98</v>
      </c>
      <c r="B88" s="541"/>
      <c r="C88" s="542"/>
      <c r="D88" s="211">
        <f t="shared" ref="D88:D151" si="11">D87-1</f>
        <v>309</v>
      </c>
      <c r="E88" s="347">
        <v>33.479999999999997</v>
      </c>
      <c r="F88" s="18">
        <f t="shared" si="9"/>
        <v>33.081999999999994</v>
      </c>
      <c r="G88" s="18" t="s">
        <v>9</v>
      </c>
      <c r="H88" s="18">
        <f t="shared" si="7"/>
        <v>2290.1379999999999</v>
      </c>
      <c r="I88" s="18">
        <f t="shared" si="10"/>
        <v>7862.7220000000007</v>
      </c>
      <c r="J88" s="216">
        <f t="shared" si="8"/>
        <v>136.9562155948052</v>
      </c>
      <c r="K88" s="197"/>
      <c r="L88" s="173"/>
    </row>
    <row r="89" spans="1:13" s="17" customFormat="1" ht="12.95" customHeight="1">
      <c r="A89" s="540" t="s">
        <v>98</v>
      </c>
      <c r="B89" s="541"/>
      <c r="C89" s="542"/>
      <c r="D89" s="211">
        <f t="shared" si="11"/>
        <v>308</v>
      </c>
      <c r="E89" s="347">
        <v>33.75</v>
      </c>
      <c r="F89" s="18">
        <f t="shared" si="9"/>
        <v>33.351999999999997</v>
      </c>
      <c r="G89" s="18" t="s">
        <v>9</v>
      </c>
      <c r="H89" s="18">
        <f t="shared" si="7"/>
        <v>2323.4899999999998</v>
      </c>
      <c r="I89" s="18">
        <f t="shared" si="10"/>
        <v>7829.3700000000008</v>
      </c>
      <c r="J89" s="216">
        <f t="shared" si="8"/>
        <v>137.71287030404889</v>
      </c>
      <c r="K89" s="197"/>
      <c r="L89" s="173"/>
    </row>
    <row r="90" spans="1:13" s="17" customFormat="1" ht="12.95" customHeight="1">
      <c r="A90" s="540" t="s">
        <v>98</v>
      </c>
      <c r="B90" s="541"/>
      <c r="C90" s="542"/>
      <c r="D90" s="211">
        <f t="shared" si="11"/>
        <v>307</v>
      </c>
      <c r="E90" s="347">
        <v>33.479999999999997</v>
      </c>
      <c r="F90" s="18">
        <f t="shared" si="9"/>
        <v>33.081999999999994</v>
      </c>
      <c r="G90" s="18" t="s">
        <v>9</v>
      </c>
      <c r="H90" s="18">
        <f t="shared" si="7"/>
        <v>2356.5719999999997</v>
      </c>
      <c r="I90" s="18">
        <f t="shared" si="10"/>
        <v>7796.2880000000005</v>
      </c>
      <c r="J90" s="216">
        <f t="shared" si="8"/>
        <v>138.46339954041252</v>
      </c>
      <c r="K90" s="196"/>
      <c r="L90" s="173"/>
    </row>
    <row r="91" spans="1:13" s="17" customFormat="1" ht="12.95" customHeight="1">
      <c r="A91" s="540" t="s">
        <v>98</v>
      </c>
      <c r="B91" s="541"/>
      <c r="C91" s="542"/>
      <c r="D91" s="211">
        <f t="shared" si="11"/>
        <v>306</v>
      </c>
      <c r="E91" s="347">
        <v>33.21</v>
      </c>
      <c r="F91" s="18">
        <f t="shared" si="9"/>
        <v>32.811999999999998</v>
      </c>
      <c r="G91" s="18" t="s">
        <v>9</v>
      </c>
      <c r="H91" s="18">
        <f t="shared" si="7"/>
        <v>2389.3839999999996</v>
      </c>
      <c r="I91" s="18">
        <f t="shared" si="10"/>
        <v>7763.4760000000006</v>
      </c>
      <c r="J91" s="216">
        <f t="shared" si="8"/>
        <v>139.2078033038961</v>
      </c>
      <c r="K91" s="197"/>
      <c r="L91" s="173"/>
      <c r="M91" s="24"/>
    </row>
    <row r="92" spans="1:13" s="17" customFormat="1" ht="12.95" customHeight="1">
      <c r="A92" s="540" t="s">
        <v>98</v>
      </c>
      <c r="B92" s="541"/>
      <c r="C92" s="542"/>
      <c r="D92" s="211">
        <f t="shared" si="11"/>
        <v>305</v>
      </c>
      <c r="E92" s="347">
        <v>32.92</v>
      </c>
      <c r="F92" s="18">
        <f t="shared" si="9"/>
        <v>32.521999999999998</v>
      </c>
      <c r="G92" s="18" t="s">
        <v>9</v>
      </c>
      <c r="H92" s="18">
        <f t="shared" si="7"/>
        <v>2421.9059999999995</v>
      </c>
      <c r="I92" s="18">
        <f t="shared" si="10"/>
        <v>7730.9540000000015</v>
      </c>
      <c r="J92" s="216">
        <f t="shared" si="8"/>
        <v>139.94562785576775</v>
      </c>
      <c r="K92" s="196"/>
      <c r="L92" s="173"/>
    </row>
    <row r="93" spans="1:13" s="17" customFormat="1" ht="12.95" customHeight="1">
      <c r="A93" s="540" t="s">
        <v>98</v>
      </c>
      <c r="B93" s="541"/>
      <c r="C93" s="542"/>
      <c r="D93" s="211">
        <f t="shared" si="11"/>
        <v>304</v>
      </c>
      <c r="E93" s="347">
        <v>33.54</v>
      </c>
      <c r="F93" s="18">
        <f t="shared" si="9"/>
        <v>33.141999999999996</v>
      </c>
      <c r="G93" s="18" t="s">
        <v>9</v>
      </c>
      <c r="H93" s="18">
        <f t="shared" si="7"/>
        <v>2455.0479999999993</v>
      </c>
      <c r="I93" s="18">
        <f t="shared" si="10"/>
        <v>7697.8120000000017</v>
      </c>
      <c r="J93" s="216">
        <f t="shared" si="8"/>
        <v>140.69751830832695</v>
      </c>
      <c r="K93" s="360"/>
      <c r="L93" s="200"/>
    </row>
    <row r="94" spans="1:13" s="17" customFormat="1" ht="12.95" customHeight="1">
      <c r="A94" s="540" t="s">
        <v>98</v>
      </c>
      <c r="B94" s="541"/>
      <c r="C94" s="542"/>
      <c r="D94" s="211">
        <f t="shared" si="11"/>
        <v>303</v>
      </c>
      <c r="E94" s="347">
        <v>33.56</v>
      </c>
      <c r="F94" s="18">
        <f t="shared" si="9"/>
        <v>33.161999999999999</v>
      </c>
      <c r="G94" s="18" t="s">
        <v>9</v>
      </c>
      <c r="H94" s="18">
        <f t="shared" si="7"/>
        <v>2488.2099999999991</v>
      </c>
      <c r="I94" s="18">
        <f t="shared" si="10"/>
        <v>7664.6500000000015</v>
      </c>
      <c r="J94" s="216">
        <f t="shared" si="8"/>
        <v>141.44986249961801</v>
      </c>
      <c r="K94" s="360"/>
      <c r="L94" s="200"/>
    </row>
    <row r="95" spans="1:13" s="17" customFormat="1" ht="12.95" customHeight="1">
      <c r="A95" s="540" t="s">
        <v>98</v>
      </c>
      <c r="B95" s="541"/>
      <c r="C95" s="542"/>
      <c r="D95" s="211">
        <f t="shared" si="11"/>
        <v>302</v>
      </c>
      <c r="E95" s="347">
        <v>33.36</v>
      </c>
      <c r="F95" s="18">
        <f t="shared" si="9"/>
        <v>32.961999999999996</v>
      </c>
      <c r="G95" s="18" t="s">
        <v>9</v>
      </c>
      <c r="H95" s="18">
        <f t="shared" si="7"/>
        <v>2521.1719999999991</v>
      </c>
      <c r="I95" s="18">
        <f t="shared" si="10"/>
        <v>7631.6880000000019</v>
      </c>
      <c r="J95" s="216">
        <f t="shared" si="8"/>
        <v>142.19766930359049</v>
      </c>
      <c r="K95" s="360"/>
      <c r="L95" s="200"/>
    </row>
    <row r="96" spans="1:13" s="17" customFormat="1">
      <c r="A96" s="540" t="s">
        <v>98</v>
      </c>
      <c r="B96" s="541"/>
      <c r="C96" s="542"/>
      <c r="D96" s="211">
        <f t="shared" si="11"/>
        <v>301</v>
      </c>
      <c r="E96" s="347">
        <v>33.94</v>
      </c>
      <c r="F96" s="18">
        <f t="shared" si="9"/>
        <v>33.541999999999994</v>
      </c>
      <c r="G96" s="18" t="s">
        <v>9</v>
      </c>
      <c r="H96" s="18">
        <f t="shared" si="7"/>
        <v>2554.713999999999</v>
      </c>
      <c r="I96" s="18">
        <f t="shared" si="10"/>
        <v>7598.1460000000015</v>
      </c>
      <c r="J96" s="216">
        <f t="shared" si="8"/>
        <v>142.95863453078684</v>
      </c>
      <c r="K96" s="360"/>
      <c r="L96" s="200"/>
      <c r="M96" s="24"/>
    </row>
    <row r="97" spans="1:13" s="17" customFormat="1">
      <c r="A97" s="540" t="s">
        <v>98</v>
      </c>
      <c r="B97" s="541"/>
      <c r="C97" s="542"/>
      <c r="D97" s="211">
        <f t="shared" si="11"/>
        <v>300</v>
      </c>
      <c r="E97" s="347">
        <v>33.82</v>
      </c>
      <c r="F97" s="18">
        <f t="shared" si="9"/>
        <v>33.421999999999997</v>
      </c>
      <c r="G97" s="18" t="s">
        <v>9</v>
      </c>
      <c r="H97" s="18">
        <f t="shared" si="7"/>
        <v>2588.1359999999991</v>
      </c>
      <c r="I97" s="18">
        <f t="shared" si="10"/>
        <v>7564.724000000002</v>
      </c>
      <c r="J97" s="216">
        <f t="shared" si="8"/>
        <v>143.71687732559204</v>
      </c>
      <c r="K97" s="360"/>
      <c r="L97" s="200"/>
    </row>
    <row r="98" spans="1:13" s="17" customFormat="1">
      <c r="A98" s="540" t="s">
        <v>98</v>
      </c>
      <c r="B98" s="541"/>
      <c r="C98" s="542"/>
      <c r="D98" s="211">
        <f t="shared" si="11"/>
        <v>299</v>
      </c>
      <c r="E98" s="347">
        <v>33.75</v>
      </c>
      <c r="F98" s="18">
        <f t="shared" si="9"/>
        <v>33.351999999999997</v>
      </c>
      <c r="G98" s="18" t="s">
        <v>9</v>
      </c>
      <c r="H98" s="18">
        <f t="shared" si="7"/>
        <v>2621.4879999999989</v>
      </c>
      <c r="I98" s="18">
        <f t="shared" si="10"/>
        <v>7531.3720000000012</v>
      </c>
      <c r="J98" s="216">
        <f t="shared" si="8"/>
        <v>144.47353203483573</v>
      </c>
      <c r="K98" s="360"/>
      <c r="L98" s="200"/>
    </row>
    <row r="99" spans="1:13" s="17" customFormat="1">
      <c r="A99" s="540" t="s">
        <v>98</v>
      </c>
      <c r="B99" s="541"/>
      <c r="C99" s="542"/>
      <c r="D99" s="211">
        <f t="shared" si="11"/>
        <v>298</v>
      </c>
      <c r="E99" s="347">
        <v>33.28</v>
      </c>
      <c r="F99" s="18">
        <f t="shared" si="9"/>
        <v>32.881999999999998</v>
      </c>
      <c r="G99" s="18" t="s">
        <v>9</v>
      </c>
      <c r="H99" s="18">
        <f t="shared" si="7"/>
        <v>2654.369999999999</v>
      </c>
      <c r="I99" s="18">
        <f t="shared" si="10"/>
        <v>7498.4900000000016</v>
      </c>
      <c r="J99" s="216">
        <f t="shared" si="8"/>
        <v>145.21952388388078</v>
      </c>
      <c r="K99" s="360"/>
      <c r="L99" s="200"/>
    </row>
    <row r="100" spans="1:13" s="17" customFormat="1">
      <c r="A100" s="540" t="s">
        <v>98</v>
      </c>
      <c r="B100" s="541"/>
      <c r="C100" s="542"/>
      <c r="D100" s="211">
        <f t="shared" si="11"/>
        <v>297</v>
      </c>
      <c r="E100" s="347">
        <v>33.74</v>
      </c>
      <c r="F100" s="18">
        <f t="shared" si="9"/>
        <v>33.341999999999999</v>
      </c>
      <c r="G100" s="18" t="s">
        <v>9</v>
      </c>
      <c r="H100" s="18">
        <f t="shared" si="7"/>
        <v>2687.7119999999991</v>
      </c>
      <c r="I100" s="18">
        <f t="shared" si="10"/>
        <v>7465.148000000001</v>
      </c>
      <c r="J100" s="216">
        <f t="shared" si="8"/>
        <v>145.97595172375856</v>
      </c>
      <c r="K100" s="360"/>
      <c r="L100" s="200"/>
    </row>
    <row r="101" spans="1:13" s="17" customFormat="1">
      <c r="A101" s="540" t="s">
        <v>98</v>
      </c>
      <c r="B101" s="541"/>
      <c r="C101" s="542"/>
      <c r="D101" s="211">
        <f t="shared" si="11"/>
        <v>296</v>
      </c>
      <c r="E101" s="347">
        <v>33.200000000000003</v>
      </c>
      <c r="F101" s="18">
        <f t="shared" si="9"/>
        <v>32.802</v>
      </c>
      <c r="G101" s="18" t="s">
        <v>9</v>
      </c>
      <c r="H101" s="18">
        <f t="shared" si="7"/>
        <v>2720.5139999999992</v>
      </c>
      <c r="I101" s="18">
        <f t="shared" si="10"/>
        <v>7432.3460000000014</v>
      </c>
      <c r="J101" s="216">
        <f t="shared" si="8"/>
        <v>146.72012861787621</v>
      </c>
      <c r="K101" s="360"/>
      <c r="L101" s="200"/>
      <c r="M101" s="24"/>
    </row>
    <row r="102" spans="1:13" s="17" customFormat="1">
      <c r="A102" s="540" t="s">
        <v>98</v>
      </c>
      <c r="B102" s="541"/>
      <c r="C102" s="542"/>
      <c r="D102" s="211">
        <f t="shared" si="11"/>
        <v>295</v>
      </c>
      <c r="E102" s="347">
        <v>33.64</v>
      </c>
      <c r="F102" s="18">
        <f t="shared" si="9"/>
        <v>33.241999999999997</v>
      </c>
      <c r="G102" s="18" t="s">
        <v>9</v>
      </c>
      <c r="H102" s="18">
        <f t="shared" si="7"/>
        <v>2753.7559999999994</v>
      </c>
      <c r="I102" s="18">
        <f t="shared" si="10"/>
        <v>7399.1040000000012</v>
      </c>
      <c r="J102" s="216">
        <f t="shared" si="8"/>
        <v>147.4742877640947</v>
      </c>
      <c r="K102" s="360"/>
      <c r="L102" s="200"/>
    </row>
    <row r="103" spans="1:13" s="17" customFormat="1">
      <c r="A103" s="540" t="s">
        <v>98</v>
      </c>
      <c r="B103" s="541"/>
      <c r="C103" s="542"/>
      <c r="D103" s="211">
        <f t="shared" si="11"/>
        <v>294</v>
      </c>
      <c r="E103" s="347">
        <v>33.54</v>
      </c>
      <c r="F103" s="18">
        <f t="shared" si="9"/>
        <v>33.141999999999996</v>
      </c>
      <c r="G103" s="18" t="s">
        <v>9</v>
      </c>
      <c r="H103" s="18">
        <f t="shared" si="7"/>
        <v>2786.8979999999992</v>
      </c>
      <c r="I103" s="18">
        <f t="shared" si="10"/>
        <v>7365.9620000000014</v>
      </c>
      <c r="J103" s="216">
        <f t="shared" si="8"/>
        <v>148.22617821665392</v>
      </c>
      <c r="K103" s="253"/>
      <c r="L103" s="200"/>
    </row>
    <row r="104" spans="1:13" s="17" customFormat="1">
      <c r="A104" s="540" t="s">
        <v>98</v>
      </c>
      <c r="B104" s="541"/>
      <c r="C104" s="542"/>
      <c r="D104" s="211">
        <f t="shared" si="11"/>
        <v>293</v>
      </c>
      <c r="E104" s="347">
        <v>33.630000000000003</v>
      </c>
      <c r="F104" s="18">
        <f t="shared" si="9"/>
        <v>33.231999999999999</v>
      </c>
      <c r="G104" s="18" t="s">
        <v>9</v>
      </c>
      <c r="H104" s="18">
        <f t="shared" si="7"/>
        <v>2820.1299999999992</v>
      </c>
      <c r="I104" s="18">
        <f t="shared" si="10"/>
        <v>7332.7300000000014</v>
      </c>
      <c r="J104" s="216">
        <f t="shared" si="8"/>
        <v>148.98011049350646</v>
      </c>
      <c r="K104" s="253"/>
      <c r="L104" s="200"/>
    </row>
    <row r="105" spans="1:13" s="17" customFormat="1">
      <c r="A105" s="540" t="s">
        <v>98</v>
      </c>
      <c r="B105" s="541"/>
      <c r="C105" s="542"/>
      <c r="D105" s="211">
        <f t="shared" si="11"/>
        <v>292</v>
      </c>
      <c r="E105" s="347">
        <v>33.78</v>
      </c>
      <c r="F105" s="18">
        <f t="shared" si="9"/>
        <v>33.381999999999998</v>
      </c>
      <c r="G105" s="18" t="s">
        <v>9</v>
      </c>
      <c r="H105" s="18">
        <f t="shared" si="7"/>
        <v>2853.5119999999993</v>
      </c>
      <c r="I105" s="18">
        <f t="shared" si="10"/>
        <v>7299.3480000000018</v>
      </c>
      <c r="J105" s="216">
        <f t="shared" si="8"/>
        <v>149.73744581084796</v>
      </c>
      <c r="K105" s="253"/>
      <c r="L105" s="200"/>
    </row>
    <row r="106" spans="1:13" s="17" customFormat="1">
      <c r="A106" s="540" t="s">
        <v>98</v>
      </c>
      <c r="B106" s="541"/>
      <c r="C106" s="542"/>
      <c r="D106" s="211">
        <f t="shared" si="11"/>
        <v>291</v>
      </c>
      <c r="E106" s="347">
        <v>33.83</v>
      </c>
      <c r="F106" s="18">
        <f t="shared" si="9"/>
        <v>33.431999999999995</v>
      </c>
      <c r="G106" s="18" t="s">
        <v>9</v>
      </c>
      <c r="H106" s="18">
        <f t="shared" si="7"/>
        <v>2886.9439999999991</v>
      </c>
      <c r="I106" s="18">
        <f t="shared" si="10"/>
        <v>7265.9160000000011</v>
      </c>
      <c r="J106" s="216">
        <f t="shared" si="8"/>
        <v>150.49591547501907</v>
      </c>
      <c r="K106" s="360"/>
      <c r="L106" s="200"/>
    </row>
    <row r="107" spans="1:13" s="17" customFormat="1">
      <c r="A107" s="540" t="s">
        <v>98</v>
      </c>
      <c r="B107" s="541"/>
      <c r="C107" s="542"/>
      <c r="D107" s="211">
        <f t="shared" si="11"/>
        <v>290</v>
      </c>
      <c r="E107" s="347">
        <v>33.770000000000003</v>
      </c>
      <c r="F107" s="18">
        <f t="shared" si="9"/>
        <v>33.372</v>
      </c>
      <c r="G107" s="18" t="s">
        <v>9</v>
      </c>
      <c r="H107" s="18">
        <f t="shared" si="7"/>
        <v>2920.3159999999989</v>
      </c>
      <c r="I107" s="18">
        <f t="shared" si="10"/>
        <v>7232.5440000000017</v>
      </c>
      <c r="J107" s="216">
        <f t="shared" si="8"/>
        <v>151.2530239229946</v>
      </c>
      <c r="K107" s="360"/>
      <c r="L107" s="200"/>
    </row>
    <row r="108" spans="1:13" s="17" customFormat="1">
      <c r="A108" s="540" t="s">
        <v>98</v>
      </c>
      <c r="B108" s="541"/>
      <c r="C108" s="542"/>
      <c r="D108" s="211">
        <f t="shared" si="11"/>
        <v>289</v>
      </c>
      <c r="E108" s="347">
        <v>33.9</v>
      </c>
      <c r="F108" s="18">
        <f t="shared" si="9"/>
        <v>33.501999999999995</v>
      </c>
      <c r="G108" s="18" t="s">
        <v>9</v>
      </c>
      <c r="H108" s="18">
        <f t="shared" si="7"/>
        <v>2953.8179999999988</v>
      </c>
      <c r="I108" s="18">
        <f t="shared" si="10"/>
        <v>7199.0420000000013</v>
      </c>
      <c r="J108" s="216">
        <f t="shared" si="8"/>
        <v>152.01308167272725</v>
      </c>
      <c r="K108" s="360"/>
      <c r="L108" s="200"/>
    </row>
    <row r="109" spans="1:13" s="17" customFormat="1">
      <c r="A109" s="540" t="s">
        <v>98</v>
      </c>
      <c r="B109" s="541"/>
      <c r="C109" s="542"/>
      <c r="D109" s="211">
        <f t="shared" si="11"/>
        <v>288</v>
      </c>
      <c r="E109" s="347">
        <v>33.409999999999997</v>
      </c>
      <c r="F109" s="18">
        <f t="shared" si="9"/>
        <v>33.011999999999993</v>
      </c>
      <c r="G109" s="18" t="s">
        <v>9</v>
      </c>
      <c r="H109" s="18">
        <f t="shared" si="7"/>
        <v>2986.829999999999</v>
      </c>
      <c r="I109" s="18">
        <f t="shared" si="10"/>
        <v>7166.0300000000016</v>
      </c>
      <c r="J109" s="216">
        <f t="shared" si="8"/>
        <v>152.76202282352938</v>
      </c>
      <c r="K109" s="360"/>
      <c r="L109" s="200"/>
    </row>
    <row r="110" spans="1:13" s="17" customFormat="1" ht="12.95" customHeight="1">
      <c r="A110" s="540" t="s">
        <v>98</v>
      </c>
      <c r="B110" s="541"/>
      <c r="C110" s="542"/>
      <c r="D110" s="211">
        <f t="shared" si="11"/>
        <v>287</v>
      </c>
      <c r="E110" s="347">
        <v>33.9</v>
      </c>
      <c r="F110" s="18">
        <f t="shared" si="9"/>
        <v>33.501999999999995</v>
      </c>
      <c r="G110" s="18" t="s">
        <v>9</v>
      </c>
      <c r="H110" s="18">
        <f t="shared" si="7"/>
        <v>3020.331999999999</v>
      </c>
      <c r="I110" s="18">
        <f t="shared" si="10"/>
        <v>7132.5280000000021</v>
      </c>
      <c r="J110" s="216">
        <f t="shared" si="8"/>
        <v>153.522080573262</v>
      </c>
      <c r="K110" s="197"/>
      <c r="L110" s="173"/>
    </row>
    <row r="111" spans="1:13" s="17" customFormat="1" ht="12.95" customHeight="1">
      <c r="A111" s="540" t="s">
        <v>98</v>
      </c>
      <c r="B111" s="541"/>
      <c r="C111" s="542"/>
      <c r="D111" s="211">
        <f t="shared" si="11"/>
        <v>286</v>
      </c>
      <c r="E111" s="347">
        <v>33.229999999999997</v>
      </c>
      <c r="F111" s="18">
        <f t="shared" si="9"/>
        <v>32.831999999999994</v>
      </c>
      <c r="G111" s="18" t="s">
        <v>9</v>
      </c>
      <c r="H111" s="18">
        <f t="shared" si="7"/>
        <v>3053.1639999999989</v>
      </c>
      <c r="I111" s="18">
        <f t="shared" si="10"/>
        <v>7099.6960000000017</v>
      </c>
      <c r="J111" s="216">
        <f t="shared" si="8"/>
        <v>154.26693807547741</v>
      </c>
      <c r="K111" s="197"/>
      <c r="L111" s="173"/>
    </row>
    <row r="112" spans="1:13" s="17" customFormat="1" ht="12.95" customHeight="1">
      <c r="A112" s="540" t="s">
        <v>98</v>
      </c>
      <c r="B112" s="541"/>
      <c r="C112" s="542"/>
      <c r="D112" s="211">
        <f t="shared" si="11"/>
        <v>285</v>
      </c>
      <c r="E112" s="347">
        <v>33.229999999999997</v>
      </c>
      <c r="F112" s="18">
        <f t="shared" si="9"/>
        <v>32.831999999999994</v>
      </c>
      <c r="G112" s="18" t="s">
        <v>9</v>
      </c>
      <c r="H112" s="18">
        <f t="shared" si="7"/>
        <v>3085.9959999999987</v>
      </c>
      <c r="I112" s="18">
        <f t="shared" si="10"/>
        <v>7066.8640000000014</v>
      </c>
      <c r="J112" s="216">
        <f t="shared" si="8"/>
        <v>155.01179557769285</v>
      </c>
      <c r="K112" s="196"/>
      <c r="L112" s="173"/>
    </row>
    <row r="113" spans="1:13" s="17" customFormat="1" ht="12.95" customHeight="1">
      <c r="A113" s="540" t="s">
        <v>98</v>
      </c>
      <c r="B113" s="541"/>
      <c r="C113" s="542"/>
      <c r="D113" s="211">
        <f t="shared" si="11"/>
        <v>284</v>
      </c>
      <c r="E113" s="347">
        <v>33.58</v>
      </c>
      <c r="F113" s="18">
        <f t="shared" si="9"/>
        <v>33.181999999999995</v>
      </c>
      <c r="G113" s="18" t="s">
        <v>9</v>
      </c>
      <c r="H113" s="18">
        <f t="shared" si="7"/>
        <v>3119.1779999999985</v>
      </c>
      <c r="I113" s="18">
        <f t="shared" si="10"/>
        <v>7033.6820000000025</v>
      </c>
      <c r="J113" s="216">
        <f t="shared" si="8"/>
        <v>155.76459350771577</v>
      </c>
      <c r="K113" s="197"/>
      <c r="L113" s="173"/>
      <c r="M113" s="24"/>
    </row>
    <row r="114" spans="1:13" s="17" customFormat="1" ht="12.95" customHeight="1">
      <c r="A114" s="540" t="s">
        <v>98</v>
      </c>
      <c r="B114" s="541"/>
      <c r="C114" s="542"/>
      <c r="D114" s="211">
        <f t="shared" si="11"/>
        <v>283</v>
      </c>
      <c r="E114" s="347">
        <v>33.090000000000003</v>
      </c>
      <c r="F114" s="18">
        <f t="shared" si="9"/>
        <v>32.692</v>
      </c>
      <c r="G114" s="18" t="s">
        <v>9</v>
      </c>
      <c r="H114" s="18">
        <f t="shared" si="7"/>
        <v>3151.8699999999985</v>
      </c>
      <c r="I114" s="18">
        <f t="shared" si="10"/>
        <v>7000.9900000000016</v>
      </c>
      <c r="J114" s="216">
        <f t="shared" si="8"/>
        <v>156.50627483880822</v>
      </c>
      <c r="K114" s="196"/>
      <c r="L114" s="173"/>
    </row>
    <row r="115" spans="1:13" s="17" customFormat="1" ht="12.95" customHeight="1">
      <c r="A115" s="540" t="s">
        <v>98</v>
      </c>
      <c r="B115" s="541"/>
      <c r="C115" s="542"/>
      <c r="D115" s="211">
        <f t="shared" si="11"/>
        <v>282</v>
      </c>
      <c r="E115" s="347">
        <v>33.340000000000003</v>
      </c>
      <c r="F115" s="18">
        <f t="shared" si="9"/>
        <v>32.942</v>
      </c>
      <c r="G115" s="18" t="s">
        <v>9</v>
      </c>
      <c r="H115" s="18">
        <f t="shared" si="7"/>
        <v>3184.8119999999985</v>
      </c>
      <c r="I115" s="18">
        <f t="shared" si="10"/>
        <v>6968.0480000000025</v>
      </c>
      <c r="J115" s="216">
        <f t="shared" si="8"/>
        <v>157.25362790404887</v>
      </c>
      <c r="K115" s="360"/>
      <c r="L115" s="200"/>
    </row>
    <row r="116" spans="1:13" s="17" customFormat="1" ht="12.95" customHeight="1">
      <c r="A116" s="540" t="s">
        <v>98</v>
      </c>
      <c r="B116" s="541"/>
      <c r="C116" s="542"/>
      <c r="D116" s="211">
        <f t="shared" si="11"/>
        <v>281</v>
      </c>
      <c r="E116" s="347">
        <v>33.22</v>
      </c>
      <c r="F116" s="18">
        <f t="shared" si="9"/>
        <v>32.821999999999996</v>
      </c>
      <c r="G116" s="18" t="s">
        <v>9</v>
      </c>
      <c r="H116" s="18">
        <f t="shared" si="7"/>
        <v>3217.6339999999987</v>
      </c>
      <c r="I116" s="18">
        <f t="shared" si="10"/>
        <v>6935.2260000000024</v>
      </c>
      <c r="J116" s="216">
        <f t="shared" si="8"/>
        <v>157.99825853689836</v>
      </c>
      <c r="K116" s="360"/>
      <c r="L116" s="200"/>
    </row>
    <row r="117" spans="1:13" s="17" customFormat="1" ht="12.95" customHeight="1">
      <c r="A117" s="540" t="s">
        <v>98</v>
      </c>
      <c r="B117" s="541"/>
      <c r="C117" s="542"/>
      <c r="D117" s="211">
        <f t="shared" si="11"/>
        <v>280</v>
      </c>
      <c r="E117" s="347">
        <v>33.92</v>
      </c>
      <c r="F117" s="18">
        <f t="shared" si="9"/>
        <v>33.521999999999998</v>
      </c>
      <c r="G117" s="18" t="s">
        <v>9</v>
      </c>
      <c r="H117" s="18">
        <f t="shared" si="7"/>
        <v>3251.1559999999986</v>
      </c>
      <c r="I117" s="18">
        <f t="shared" si="10"/>
        <v>6901.7040000000015</v>
      </c>
      <c r="J117" s="216">
        <f t="shared" si="8"/>
        <v>158.75877002536285</v>
      </c>
      <c r="K117" s="360"/>
      <c r="L117" s="200"/>
    </row>
    <row r="118" spans="1:13" s="17" customFormat="1">
      <c r="A118" s="540" t="s">
        <v>98</v>
      </c>
      <c r="B118" s="541"/>
      <c r="C118" s="542"/>
      <c r="D118" s="211">
        <f t="shared" si="11"/>
        <v>279</v>
      </c>
      <c r="E118" s="347">
        <v>32.6</v>
      </c>
      <c r="F118" s="18">
        <f t="shared" si="9"/>
        <v>32.201999999999998</v>
      </c>
      <c r="G118" s="18" t="s">
        <v>9</v>
      </c>
      <c r="H118" s="18">
        <f t="shared" si="7"/>
        <v>3283.3579999999984</v>
      </c>
      <c r="I118" s="18">
        <f t="shared" si="10"/>
        <v>6869.5020000000022</v>
      </c>
      <c r="J118" s="216">
        <f t="shared" si="8"/>
        <v>159.48933475752477</v>
      </c>
      <c r="K118" s="360"/>
      <c r="L118" s="200"/>
      <c r="M118" s="24"/>
    </row>
    <row r="119" spans="1:13" s="17" customFormat="1">
      <c r="A119" s="540" t="s">
        <v>98</v>
      </c>
      <c r="B119" s="541"/>
      <c r="C119" s="542"/>
      <c r="D119" s="211">
        <f t="shared" si="11"/>
        <v>278</v>
      </c>
      <c r="E119" s="347">
        <v>33.47</v>
      </c>
      <c r="F119" s="18">
        <f t="shared" si="9"/>
        <v>33.071999999999996</v>
      </c>
      <c r="G119" s="18" t="s">
        <v>9</v>
      </c>
      <c r="H119" s="18">
        <f t="shared" si="7"/>
        <v>3316.4299999999985</v>
      </c>
      <c r="I119" s="18">
        <f t="shared" si="10"/>
        <v>6836.4300000000021</v>
      </c>
      <c r="J119" s="216">
        <f t="shared" si="8"/>
        <v>160.23963712452252</v>
      </c>
      <c r="K119" s="360"/>
      <c r="L119" s="200"/>
    </row>
    <row r="120" spans="1:13" s="17" customFormat="1">
      <c r="A120" s="540" t="s">
        <v>98</v>
      </c>
      <c r="B120" s="541"/>
      <c r="C120" s="542"/>
      <c r="D120" s="211">
        <f t="shared" si="11"/>
        <v>277</v>
      </c>
      <c r="E120" s="347">
        <v>33.76</v>
      </c>
      <c r="F120" s="18">
        <f t="shared" si="9"/>
        <v>33.361999999999995</v>
      </c>
      <c r="G120" s="18" t="s">
        <v>9</v>
      </c>
      <c r="H120" s="18">
        <f t="shared" si="7"/>
        <v>3349.7919999999986</v>
      </c>
      <c r="I120" s="18">
        <f t="shared" si="10"/>
        <v>6803.068000000002</v>
      </c>
      <c r="J120" s="216">
        <f t="shared" si="8"/>
        <v>160.99651870313212</v>
      </c>
      <c r="K120" s="360"/>
      <c r="L120" s="200"/>
    </row>
    <row r="121" spans="1:13" s="17" customFormat="1">
      <c r="A121" s="540" t="s">
        <v>98</v>
      </c>
      <c r="B121" s="541"/>
      <c r="C121" s="542"/>
      <c r="D121" s="211">
        <f t="shared" si="11"/>
        <v>276</v>
      </c>
      <c r="E121" s="347">
        <v>32.9</v>
      </c>
      <c r="F121" s="18">
        <f t="shared" si="9"/>
        <v>32.501999999999995</v>
      </c>
      <c r="G121" s="18" t="s">
        <v>9</v>
      </c>
      <c r="H121" s="18">
        <f t="shared" si="7"/>
        <v>3382.2939999999985</v>
      </c>
      <c r="I121" s="18">
        <f t="shared" si="10"/>
        <v>6770.5660000000025</v>
      </c>
      <c r="J121" s="216">
        <f t="shared" si="8"/>
        <v>161.73388951627192</v>
      </c>
      <c r="K121" s="360"/>
      <c r="L121" s="200"/>
    </row>
    <row r="122" spans="1:13" s="17" customFormat="1">
      <c r="A122" s="540" t="s">
        <v>98</v>
      </c>
      <c r="B122" s="541"/>
      <c r="C122" s="542"/>
      <c r="D122" s="211">
        <f t="shared" si="11"/>
        <v>275</v>
      </c>
      <c r="E122" s="347">
        <v>32.75</v>
      </c>
      <c r="F122" s="18">
        <f t="shared" si="9"/>
        <v>32.351999999999997</v>
      </c>
      <c r="G122" s="18" t="s">
        <v>9</v>
      </c>
      <c r="H122" s="18">
        <f t="shared" si="7"/>
        <v>3414.6459999999984</v>
      </c>
      <c r="I122" s="18">
        <f t="shared" si="10"/>
        <v>6738.2140000000018</v>
      </c>
      <c r="J122" s="216">
        <f t="shared" si="8"/>
        <v>162.4678572889228</v>
      </c>
      <c r="K122" s="360"/>
      <c r="L122" s="200"/>
    </row>
    <row r="123" spans="1:13" s="17" customFormat="1">
      <c r="A123" s="540" t="s">
        <v>98</v>
      </c>
      <c r="B123" s="541"/>
      <c r="C123" s="542"/>
      <c r="D123" s="211">
        <f t="shared" si="11"/>
        <v>274</v>
      </c>
      <c r="E123" s="347">
        <v>32.130000000000003</v>
      </c>
      <c r="F123" s="18">
        <f t="shared" si="9"/>
        <v>31.732000000000003</v>
      </c>
      <c r="G123" s="18" t="s">
        <v>9</v>
      </c>
      <c r="H123" s="18">
        <f t="shared" si="7"/>
        <v>3446.3779999999983</v>
      </c>
      <c r="I123" s="18">
        <f t="shared" si="10"/>
        <v>6706.4820000000018</v>
      </c>
      <c r="J123" s="216">
        <f t="shared" si="8"/>
        <v>163.18775916088612</v>
      </c>
      <c r="K123" s="360"/>
      <c r="L123" s="200"/>
      <c r="M123" s="24"/>
    </row>
    <row r="124" spans="1:13" s="17" customFormat="1">
      <c r="A124" s="540" t="s">
        <v>98</v>
      </c>
      <c r="B124" s="541"/>
      <c r="C124" s="542"/>
      <c r="D124" s="211">
        <f t="shared" si="11"/>
        <v>273</v>
      </c>
      <c r="E124" s="347">
        <v>33.78</v>
      </c>
      <c r="F124" s="18">
        <f t="shared" si="9"/>
        <v>33.381999999999998</v>
      </c>
      <c r="G124" s="18" t="s">
        <v>9</v>
      </c>
      <c r="H124" s="18">
        <f t="shared" si="7"/>
        <v>3479.7599999999984</v>
      </c>
      <c r="I124" s="18">
        <f t="shared" si="10"/>
        <v>6673.1000000000022</v>
      </c>
      <c r="J124" s="216">
        <f t="shared" si="8"/>
        <v>163.94509447822759</v>
      </c>
      <c r="K124" s="360"/>
      <c r="L124" s="200"/>
    </row>
    <row r="125" spans="1:13" s="17" customFormat="1">
      <c r="A125" s="540" t="s">
        <v>98</v>
      </c>
      <c r="B125" s="541"/>
      <c r="C125" s="542"/>
      <c r="D125" s="211">
        <f t="shared" si="11"/>
        <v>272</v>
      </c>
      <c r="E125" s="347">
        <v>33.5</v>
      </c>
      <c r="F125" s="18">
        <f t="shared" si="9"/>
        <v>33.101999999999997</v>
      </c>
      <c r="G125" s="18" t="s">
        <v>9</v>
      </c>
      <c r="H125" s="18">
        <f t="shared" si="7"/>
        <v>3512.8619999999983</v>
      </c>
      <c r="I125" s="18">
        <f t="shared" si="10"/>
        <v>6639.9980000000023</v>
      </c>
      <c r="J125" s="216">
        <f t="shared" si="8"/>
        <v>164.69607745332308</v>
      </c>
      <c r="K125" s="253"/>
      <c r="L125" s="200"/>
    </row>
    <row r="126" spans="1:13" s="17" customFormat="1">
      <c r="A126" s="540" t="s">
        <v>98</v>
      </c>
      <c r="B126" s="541"/>
      <c r="C126" s="542"/>
      <c r="D126" s="211">
        <f t="shared" si="11"/>
        <v>271</v>
      </c>
      <c r="E126" s="347">
        <v>33.880000000000003</v>
      </c>
      <c r="F126" s="18">
        <f t="shared" si="9"/>
        <v>33.481999999999999</v>
      </c>
      <c r="G126" s="18" t="s">
        <v>9</v>
      </c>
      <c r="H126" s="18">
        <f t="shared" si="7"/>
        <v>3546.3439999999982</v>
      </c>
      <c r="I126" s="18">
        <f t="shared" si="10"/>
        <v>6606.5160000000024</v>
      </c>
      <c r="J126" s="216">
        <f t="shared" si="8"/>
        <v>165.45568146432387</v>
      </c>
      <c r="K126" s="253"/>
      <c r="L126" s="200"/>
    </row>
    <row r="127" spans="1:13" s="17" customFormat="1">
      <c r="A127" s="540" t="s">
        <v>98</v>
      </c>
      <c r="B127" s="541"/>
      <c r="C127" s="542"/>
      <c r="D127" s="211">
        <f t="shared" si="11"/>
        <v>270</v>
      </c>
      <c r="E127" s="347">
        <v>31.86</v>
      </c>
      <c r="F127" s="18">
        <f t="shared" si="9"/>
        <v>31.462</v>
      </c>
      <c r="G127" s="18" t="s">
        <v>9</v>
      </c>
      <c r="H127" s="18">
        <f t="shared" si="7"/>
        <v>3577.8059999999982</v>
      </c>
      <c r="I127" s="18">
        <f t="shared" si="10"/>
        <v>6575.0540000000019</v>
      </c>
      <c r="J127" s="216">
        <f t="shared" si="8"/>
        <v>166.1694578634071</v>
      </c>
      <c r="K127" s="253"/>
      <c r="L127" s="200"/>
    </row>
    <row r="128" spans="1:13" s="17" customFormat="1">
      <c r="A128" s="540" t="s">
        <v>98</v>
      </c>
      <c r="B128" s="541"/>
      <c r="C128" s="542"/>
      <c r="D128" s="211">
        <f t="shared" si="11"/>
        <v>269</v>
      </c>
      <c r="E128" s="347">
        <v>31.96</v>
      </c>
      <c r="F128" s="18">
        <f t="shared" si="9"/>
        <v>31.562000000000001</v>
      </c>
      <c r="G128" s="18" t="s">
        <v>9</v>
      </c>
      <c r="H128" s="18">
        <f t="shared" si="7"/>
        <v>3609.3679999999981</v>
      </c>
      <c r="I128" s="18">
        <f t="shared" si="10"/>
        <v>6543.492000000002</v>
      </c>
      <c r="J128" s="216">
        <f t="shared" si="8"/>
        <v>166.88550295614971</v>
      </c>
      <c r="K128" s="360"/>
      <c r="L128" s="200"/>
    </row>
    <row r="129" spans="1:13" s="17" customFormat="1">
      <c r="A129" s="540" t="s">
        <v>98</v>
      </c>
      <c r="B129" s="541"/>
      <c r="C129" s="542"/>
      <c r="D129" s="211">
        <f t="shared" si="11"/>
        <v>268</v>
      </c>
      <c r="E129" s="347">
        <v>33.81</v>
      </c>
      <c r="F129" s="18">
        <f t="shared" si="9"/>
        <v>33.411999999999999</v>
      </c>
      <c r="G129" s="18" t="s">
        <v>9</v>
      </c>
      <c r="H129" s="18">
        <f t="shared" si="7"/>
        <v>3642.7799999999979</v>
      </c>
      <c r="I129" s="18">
        <f t="shared" si="10"/>
        <v>6510.0800000000027</v>
      </c>
      <c r="J129" s="216">
        <f t="shared" si="8"/>
        <v>167.64351888158893</v>
      </c>
      <c r="K129" s="360"/>
      <c r="L129" s="200"/>
    </row>
    <row r="130" spans="1:13" s="17" customFormat="1">
      <c r="A130" s="540" t="s">
        <v>98</v>
      </c>
      <c r="B130" s="541"/>
      <c r="C130" s="542"/>
      <c r="D130" s="211">
        <f t="shared" si="11"/>
        <v>267</v>
      </c>
      <c r="E130" s="347">
        <v>32.92</v>
      </c>
      <c r="F130" s="18">
        <f t="shared" si="9"/>
        <v>32.521999999999998</v>
      </c>
      <c r="G130" s="18" t="s">
        <v>9</v>
      </c>
      <c r="H130" s="18">
        <f t="shared" si="7"/>
        <v>3675.3019999999979</v>
      </c>
      <c r="I130" s="18">
        <f t="shared" si="10"/>
        <v>6477.5580000000027</v>
      </c>
      <c r="J130" s="216">
        <f t="shared" si="8"/>
        <v>168.38134343346059</v>
      </c>
      <c r="K130" s="360"/>
      <c r="L130" s="200"/>
    </row>
    <row r="131" spans="1:13" s="17" customFormat="1" ht="12.95" customHeight="1">
      <c r="A131" s="540" t="s">
        <v>98</v>
      </c>
      <c r="B131" s="541"/>
      <c r="C131" s="542"/>
      <c r="D131" s="211">
        <f t="shared" si="11"/>
        <v>266</v>
      </c>
      <c r="E131" s="347">
        <v>33.590000000000003</v>
      </c>
      <c r="F131" s="18">
        <f t="shared" si="9"/>
        <v>33.192</v>
      </c>
      <c r="G131" s="18" t="s">
        <v>9</v>
      </c>
      <c r="H131" s="18">
        <f t="shared" si="7"/>
        <v>3708.4939999999979</v>
      </c>
      <c r="I131" s="18">
        <f t="shared" si="10"/>
        <v>6444.3660000000027</v>
      </c>
      <c r="J131" s="216">
        <f t="shared" si="8"/>
        <v>169.13436823284945</v>
      </c>
      <c r="K131" s="360"/>
      <c r="L131" s="200"/>
    </row>
    <row r="132" spans="1:13" s="17" customFormat="1" ht="12.95" customHeight="1">
      <c r="A132" s="540" t="s">
        <v>98</v>
      </c>
      <c r="B132" s="541"/>
      <c r="C132" s="542"/>
      <c r="D132" s="211">
        <f t="shared" si="11"/>
        <v>265</v>
      </c>
      <c r="E132" s="347">
        <v>33.770000000000003</v>
      </c>
      <c r="F132" s="18">
        <f t="shared" si="9"/>
        <v>33.372</v>
      </c>
      <c r="G132" s="18" t="s">
        <v>9</v>
      </c>
      <c r="H132" s="18">
        <f t="shared" si="7"/>
        <v>3741.8659999999977</v>
      </c>
      <c r="I132" s="18">
        <f t="shared" si="10"/>
        <v>6410.9940000000024</v>
      </c>
      <c r="J132" s="216">
        <f t="shared" si="8"/>
        <v>169.89147668082501</v>
      </c>
      <c r="K132" s="360"/>
      <c r="L132" s="200"/>
    </row>
    <row r="133" spans="1:13" s="17" customFormat="1">
      <c r="A133" s="540" t="s">
        <v>98</v>
      </c>
      <c r="B133" s="541"/>
      <c r="C133" s="542"/>
      <c r="D133" s="211">
        <f t="shared" si="11"/>
        <v>264</v>
      </c>
      <c r="E133" s="347">
        <v>32.9</v>
      </c>
      <c r="F133" s="18">
        <f t="shared" si="9"/>
        <v>32.501999999999995</v>
      </c>
      <c r="G133" s="18" t="s">
        <v>9</v>
      </c>
      <c r="H133" s="18">
        <f t="shared" si="7"/>
        <v>3774.3679999999977</v>
      </c>
      <c r="I133" s="18">
        <f t="shared" si="10"/>
        <v>6378.4920000000029</v>
      </c>
      <c r="J133" s="216">
        <f t="shared" si="8"/>
        <v>170.6288474939648</v>
      </c>
      <c r="K133" s="360"/>
      <c r="L133" s="200"/>
      <c r="M133" s="24"/>
    </row>
    <row r="134" spans="1:13" s="17" customFormat="1">
      <c r="A134" s="540" t="s">
        <v>98</v>
      </c>
      <c r="B134" s="541"/>
      <c r="C134" s="542"/>
      <c r="D134" s="211">
        <f t="shared" si="11"/>
        <v>263</v>
      </c>
      <c r="E134" s="347">
        <v>32.9</v>
      </c>
      <c r="F134" s="18">
        <f t="shared" si="9"/>
        <v>32.501999999999995</v>
      </c>
      <c r="G134" s="18" t="s">
        <v>9</v>
      </c>
      <c r="H134" s="18">
        <f t="shared" si="7"/>
        <v>3806.8699999999976</v>
      </c>
      <c r="I134" s="18">
        <f t="shared" si="10"/>
        <v>6345.9900000000034</v>
      </c>
      <c r="J134" s="216">
        <f t="shared" si="8"/>
        <v>171.36621830710459</v>
      </c>
      <c r="K134" s="360"/>
      <c r="L134" s="200"/>
    </row>
    <row r="135" spans="1:13" s="17" customFormat="1">
      <c r="A135" s="540" t="s">
        <v>98</v>
      </c>
      <c r="B135" s="541"/>
      <c r="C135" s="542"/>
      <c r="D135" s="211">
        <f t="shared" si="11"/>
        <v>262</v>
      </c>
      <c r="E135" s="347">
        <v>33.83</v>
      </c>
      <c r="F135" s="18">
        <f t="shared" si="9"/>
        <v>33.431999999999995</v>
      </c>
      <c r="G135" s="18" t="s">
        <v>9</v>
      </c>
      <c r="H135" s="18">
        <f t="shared" si="7"/>
        <v>3840.3019999999974</v>
      </c>
      <c r="I135" s="18">
        <f t="shared" si="10"/>
        <v>6312.5580000000027</v>
      </c>
      <c r="J135" s="216">
        <f t="shared" si="8"/>
        <v>172.1246879712757</v>
      </c>
      <c r="K135" s="360"/>
      <c r="L135" s="200"/>
    </row>
    <row r="136" spans="1:13" s="17" customFormat="1">
      <c r="A136" s="540" t="s">
        <v>98</v>
      </c>
      <c r="B136" s="541"/>
      <c r="C136" s="542"/>
      <c r="D136" s="211">
        <f t="shared" si="11"/>
        <v>261</v>
      </c>
      <c r="E136" s="347">
        <v>33.74</v>
      </c>
      <c r="F136" s="18">
        <f t="shared" si="9"/>
        <v>33.341999999999999</v>
      </c>
      <c r="G136" s="18" t="s">
        <v>9</v>
      </c>
      <c r="H136" s="18">
        <f t="shared" si="7"/>
        <v>3873.6439999999975</v>
      </c>
      <c r="I136" s="18">
        <f t="shared" si="10"/>
        <v>6279.2160000000031</v>
      </c>
      <c r="J136" s="216">
        <f t="shared" si="8"/>
        <v>172.88111581115351</v>
      </c>
      <c r="K136" s="360"/>
      <c r="L136" s="200"/>
    </row>
    <row r="137" spans="1:13" s="17" customFormat="1">
      <c r="A137" s="540" t="s">
        <v>98</v>
      </c>
      <c r="B137" s="541"/>
      <c r="C137" s="542"/>
      <c r="D137" s="211">
        <f t="shared" si="11"/>
        <v>260</v>
      </c>
      <c r="E137" s="347">
        <v>33.659999999999997</v>
      </c>
      <c r="F137" s="18">
        <f t="shared" si="9"/>
        <v>33.261999999999993</v>
      </c>
      <c r="G137" s="18" t="s">
        <v>9</v>
      </c>
      <c r="H137" s="18">
        <f t="shared" si="7"/>
        <v>3906.9059999999977</v>
      </c>
      <c r="I137" s="18">
        <f t="shared" si="10"/>
        <v>6245.9540000000034</v>
      </c>
      <c r="J137" s="216">
        <f t="shared" si="8"/>
        <v>173.63572869610385</v>
      </c>
      <c r="K137" s="360"/>
      <c r="L137" s="200"/>
    </row>
    <row r="138" spans="1:13" s="17" customFormat="1">
      <c r="A138" s="540" t="s">
        <v>98</v>
      </c>
      <c r="B138" s="541"/>
      <c r="C138" s="542"/>
      <c r="D138" s="211">
        <f t="shared" si="11"/>
        <v>259</v>
      </c>
      <c r="E138" s="347">
        <v>33.35</v>
      </c>
      <c r="F138" s="18">
        <f t="shared" si="9"/>
        <v>32.951999999999998</v>
      </c>
      <c r="G138" s="18" t="s">
        <v>9</v>
      </c>
      <c r="H138" s="18">
        <f t="shared" si="7"/>
        <v>3939.8579999999974</v>
      </c>
      <c r="I138" s="18">
        <f t="shared" si="10"/>
        <v>6213.0020000000031</v>
      </c>
      <c r="J138" s="216">
        <f t="shared" si="8"/>
        <v>174.38330863071039</v>
      </c>
      <c r="K138" s="360"/>
      <c r="L138" s="200"/>
      <c r="M138" s="24"/>
    </row>
    <row r="139" spans="1:13" s="17" customFormat="1">
      <c r="A139" s="540" t="s">
        <v>98</v>
      </c>
      <c r="B139" s="541"/>
      <c r="C139" s="542"/>
      <c r="D139" s="211">
        <f t="shared" si="11"/>
        <v>258</v>
      </c>
      <c r="E139" s="347">
        <v>32.44</v>
      </c>
      <c r="F139" s="18">
        <f t="shared" si="9"/>
        <v>32.041999999999994</v>
      </c>
      <c r="G139" s="18" t="s">
        <v>9</v>
      </c>
      <c r="H139" s="18">
        <f t="shared" si="7"/>
        <v>3971.8999999999974</v>
      </c>
      <c r="I139" s="18">
        <f t="shared" si="10"/>
        <v>6180.9600000000028</v>
      </c>
      <c r="J139" s="216">
        <f t="shared" si="8"/>
        <v>175.11024345301752</v>
      </c>
      <c r="K139" s="360"/>
      <c r="L139" s="200"/>
    </row>
    <row r="140" spans="1:13" s="17" customFormat="1">
      <c r="A140" s="540" t="s">
        <v>98</v>
      </c>
      <c r="B140" s="541"/>
      <c r="C140" s="542"/>
      <c r="D140" s="211">
        <f t="shared" si="11"/>
        <v>257</v>
      </c>
      <c r="E140" s="347">
        <v>33.479999999999997</v>
      </c>
      <c r="F140" s="18">
        <f t="shared" si="9"/>
        <v>33.081999999999994</v>
      </c>
      <c r="G140" s="18" t="s">
        <v>9</v>
      </c>
      <c r="H140" s="18">
        <f t="shared" si="7"/>
        <v>4004.9819999999972</v>
      </c>
      <c r="I140" s="18">
        <f t="shared" si="10"/>
        <v>6147.8780000000033</v>
      </c>
      <c r="J140" s="216">
        <f t="shared" si="8"/>
        <v>175.86077268938115</v>
      </c>
      <c r="K140" s="253"/>
      <c r="L140" s="200"/>
    </row>
    <row r="141" spans="1:13" s="17" customFormat="1">
      <c r="A141" s="540" t="s">
        <v>98</v>
      </c>
      <c r="B141" s="541"/>
      <c r="C141" s="542"/>
      <c r="D141" s="211">
        <f t="shared" si="11"/>
        <v>256</v>
      </c>
      <c r="E141" s="347">
        <v>33.07</v>
      </c>
      <c r="F141" s="18">
        <f t="shared" si="9"/>
        <v>32.671999999999997</v>
      </c>
      <c r="G141" s="18" t="s">
        <v>9</v>
      </c>
      <c r="H141" s="18">
        <f t="shared" ref="H141:H204" si="12">IF(G141="IN",H140+F141,H140)</f>
        <v>4037.6539999999973</v>
      </c>
      <c r="I141" s="18">
        <f t="shared" si="10"/>
        <v>6115.2060000000038</v>
      </c>
      <c r="J141" s="216">
        <f t="shared" si="8"/>
        <v>176.60200028174171</v>
      </c>
      <c r="K141" s="253"/>
      <c r="L141" s="200"/>
    </row>
    <row r="142" spans="1:13" s="17" customFormat="1">
      <c r="A142" s="540" t="s">
        <v>98</v>
      </c>
      <c r="B142" s="541"/>
      <c r="C142" s="542"/>
      <c r="D142" s="211">
        <f t="shared" si="11"/>
        <v>255</v>
      </c>
      <c r="E142" s="347">
        <v>33.11</v>
      </c>
      <c r="F142" s="18">
        <f t="shared" si="9"/>
        <v>32.711999999999996</v>
      </c>
      <c r="G142" s="18" t="s">
        <v>9</v>
      </c>
      <c r="H142" s="18">
        <f t="shared" si="12"/>
        <v>4070.3659999999973</v>
      </c>
      <c r="I142" s="18">
        <f t="shared" si="10"/>
        <v>6082.4940000000033</v>
      </c>
      <c r="J142" s="216">
        <f t="shared" si="8"/>
        <v>177.34413535156602</v>
      </c>
      <c r="K142" s="253"/>
      <c r="L142" s="200"/>
    </row>
    <row r="143" spans="1:13" s="17" customFormat="1">
      <c r="A143" s="540" t="s">
        <v>98</v>
      </c>
      <c r="B143" s="541"/>
      <c r="C143" s="542"/>
      <c r="D143" s="211">
        <f t="shared" si="11"/>
        <v>254</v>
      </c>
      <c r="E143" s="347">
        <v>33.28</v>
      </c>
      <c r="F143" s="18">
        <f t="shared" si="9"/>
        <v>32.881999999999998</v>
      </c>
      <c r="G143" s="18" t="s">
        <v>9</v>
      </c>
      <c r="H143" s="18">
        <f t="shared" si="12"/>
        <v>4103.2479999999969</v>
      </c>
      <c r="I143" s="18">
        <f t="shared" si="10"/>
        <v>6049.6120000000037</v>
      </c>
      <c r="J143" s="216">
        <f t="shared" si="8"/>
        <v>178.09012720061108</v>
      </c>
      <c r="K143" s="360"/>
      <c r="L143" s="200"/>
    </row>
    <row r="144" spans="1:13" s="17" customFormat="1">
      <c r="A144" s="540" t="s">
        <v>98</v>
      </c>
      <c r="B144" s="541"/>
      <c r="C144" s="542"/>
      <c r="D144" s="211">
        <f t="shared" si="11"/>
        <v>253</v>
      </c>
      <c r="E144" s="347">
        <v>33.44</v>
      </c>
      <c r="F144" s="18">
        <f t="shared" si="9"/>
        <v>33.041999999999994</v>
      </c>
      <c r="G144" s="18" t="s">
        <v>9</v>
      </c>
      <c r="H144" s="18">
        <f t="shared" si="12"/>
        <v>4136.2899999999972</v>
      </c>
      <c r="I144" s="18">
        <f t="shared" si="10"/>
        <v>6016.5700000000033</v>
      </c>
      <c r="J144" s="216">
        <f t="shared" ref="J144:J207" si="13">$G$6+(H144*$E$7*$G$8/1000)</f>
        <v>178.83974895951098</v>
      </c>
      <c r="K144" s="565"/>
      <c r="L144" s="588"/>
    </row>
    <row r="145" spans="1:12">
      <c r="A145" s="540" t="s">
        <v>98</v>
      </c>
      <c r="B145" s="541"/>
      <c r="C145" s="542"/>
      <c r="D145" s="211">
        <f t="shared" si="11"/>
        <v>252</v>
      </c>
      <c r="E145" s="347">
        <v>33.299999999999997</v>
      </c>
      <c r="F145" s="18">
        <f t="shared" si="9"/>
        <v>32.901999999999994</v>
      </c>
      <c r="G145" s="18" t="s">
        <v>9</v>
      </c>
      <c r="H145" s="18">
        <f t="shared" si="12"/>
        <v>4169.1919999999973</v>
      </c>
      <c r="I145" s="18">
        <f t="shared" si="10"/>
        <v>5983.6680000000033</v>
      </c>
      <c r="J145" s="216">
        <f t="shared" si="13"/>
        <v>179.58619454728793</v>
      </c>
      <c r="K145" s="229"/>
      <c r="L145" s="173"/>
    </row>
    <row r="146" spans="1:12">
      <c r="A146" s="540" t="s">
        <v>98</v>
      </c>
      <c r="B146" s="541"/>
      <c r="C146" s="542"/>
      <c r="D146" s="211">
        <f t="shared" si="11"/>
        <v>251</v>
      </c>
      <c r="E146" s="347">
        <v>33.43</v>
      </c>
      <c r="F146" s="18">
        <f t="shared" si="9"/>
        <v>33.031999999999996</v>
      </c>
      <c r="G146" s="18" t="s">
        <v>9</v>
      </c>
      <c r="H146" s="18">
        <f t="shared" si="12"/>
        <v>4202.2239999999974</v>
      </c>
      <c r="I146" s="18">
        <f t="shared" si="10"/>
        <v>5950.6360000000032</v>
      </c>
      <c r="J146" s="216">
        <f t="shared" si="13"/>
        <v>180.33558943682195</v>
      </c>
      <c r="K146" s="229"/>
      <c r="L146" s="173"/>
    </row>
    <row r="147" spans="1:12">
      <c r="A147" s="540" t="s">
        <v>98</v>
      </c>
      <c r="B147" s="541"/>
      <c r="C147" s="542"/>
      <c r="D147" s="211">
        <f t="shared" si="11"/>
        <v>250</v>
      </c>
      <c r="E147" s="347">
        <v>33.5</v>
      </c>
      <c r="F147" s="18">
        <f t="shared" si="9"/>
        <v>33.101999999999997</v>
      </c>
      <c r="G147" s="18" t="s">
        <v>9</v>
      </c>
      <c r="H147" s="18">
        <f t="shared" si="12"/>
        <v>4235.3259999999973</v>
      </c>
      <c r="I147" s="18">
        <f t="shared" si="10"/>
        <v>5917.5340000000033</v>
      </c>
      <c r="J147" s="216">
        <f t="shared" si="13"/>
        <v>181.08657241191742</v>
      </c>
      <c r="K147" s="229"/>
      <c r="L147" s="173"/>
    </row>
    <row r="148" spans="1:12">
      <c r="A148" s="540" t="s">
        <v>98</v>
      </c>
      <c r="B148" s="541"/>
      <c r="C148" s="542"/>
      <c r="D148" s="211">
        <f t="shared" si="11"/>
        <v>249</v>
      </c>
      <c r="E148" s="347">
        <v>32.96</v>
      </c>
      <c r="F148" s="18">
        <f t="shared" si="9"/>
        <v>32.561999999999998</v>
      </c>
      <c r="G148" s="18" t="s">
        <v>9</v>
      </c>
      <c r="H148" s="18">
        <f t="shared" si="12"/>
        <v>4267.8879999999972</v>
      </c>
      <c r="I148" s="18">
        <f t="shared" si="10"/>
        <v>5884.9720000000034</v>
      </c>
      <c r="J148" s="216">
        <f t="shared" si="13"/>
        <v>181.8253044412528</v>
      </c>
      <c r="K148" s="229"/>
      <c r="L148" s="173"/>
    </row>
    <row r="149" spans="1:12">
      <c r="A149" s="540" t="s">
        <v>98</v>
      </c>
      <c r="B149" s="541"/>
      <c r="C149" s="542"/>
      <c r="D149" s="211">
        <f t="shared" si="11"/>
        <v>248</v>
      </c>
      <c r="E149" s="347">
        <v>33.22</v>
      </c>
      <c r="F149" s="18">
        <f t="shared" si="9"/>
        <v>32.821999999999996</v>
      </c>
      <c r="G149" s="18" t="s">
        <v>9</v>
      </c>
      <c r="H149" s="18">
        <f t="shared" si="12"/>
        <v>4300.7099999999973</v>
      </c>
      <c r="I149" s="18">
        <f t="shared" si="10"/>
        <v>5852.1500000000033</v>
      </c>
      <c r="J149" s="216">
        <f t="shared" si="13"/>
        <v>182.56993507410232</v>
      </c>
      <c r="K149" s="229"/>
      <c r="L149" s="173"/>
    </row>
    <row r="150" spans="1:12">
      <c r="A150" s="540" t="s">
        <v>98</v>
      </c>
      <c r="B150" s="541"/>
      <c r="C150" s="542"/>
      <c r="D150" s="211">
        <f t="shared" si="11"/>
        <v>247</v>
      </c>
      <c r="E150" s="347">
        <v>33.479999999999997</v>
      </c>
      <c r="F150" s="18">
        <f t="shared" si="9"/>
        <v>33.081999999999994</v>
      </c>
      <c r="G150" s="18" t="s">
        <v>9</v>
      </c>
      <c r="H150" s="18">
        <f t="shared" si="12"/>
        <v>4333.7919999999976</v>
      </c>
      <c r="I150" s="18">
        <f t="shared" si="10"/>
        <v>5819.0680000000029</v>
      </c>
      <c r="J150" s="216">
        <f t="shared" si="13"/>
        <v>183.32046431046595</v>
      </c>
      <c r="K150" s="229"/>
      <c r="L150" s="173"/>
    </row>
    <row r="151" spans="1:12">
      <c r="A151" s="540" t="s">
        <v>98</v>
      </c>
      <c r="B151" s="541"/>
      <c r="C151" s="542"/>
      <c r="D151" s="211">
        <f t="shared" si="11"/>
        <v>246</v>
      </c>
      <c r="E151" s="347">
        <v>33.020000000000003</v>
      </c>
      <c r="F151" s="18">
        <f t="shared" ref="F151:F214" si="14">E151-($E$9)</f>
        <v>32.622</v>
      </c>
      <c r="G151" s="18" t="s">
        <v>9</v>
      </c>
      <c r="H151" s="18">
        <f t="shared" si="12"/>
        <v>4366.4139999999979</v>
      </c>
      <c r="I151" s="18">
        <f t="shared" ref="I151:I214" si="15">IF(H151="","",$K$6-H151)</f>
        <v>5786.4460000000026</v>
      </c>
      <c r="J151" s="216">
        <f t="shared" si="13"/>
        <v>184.06055755599689</v>
      </c>
      <c r="K151" s="254"/>
      <c r="L151" s="200"/>
    </row>
    <row r="152" spans="1:12">
      <c r="A152" s="540" t="s">
        <v>98</v>
      </c>
      <c r="B152" s="541"/>
      <c r="C152" s="542"/>
      <c r="D152" s="211">
        <f t="shared" ref="D152:D215" si="16">D151-1</f>
        <v>245</v>
      </c>
      <c r="E152" s="347">
        <v>33.200000000000003</v>
      </c>
      <c r="F152" s="18">
        <f t="shared" si="14"/>
        <v>32.802</v>
      </c>
      <c r="G152" s="18" t="s">
        <v>9</v>
      </c>
      <c r="H152" s="18">
        <f t="shared" si="12"/>
        <v>4399.2159999999976</v>
      </c>
      <c r="I152" s="18">
        <f t="shared" si="15"/>
        <v>5753.644000000003</v>
      </c>
      <c r="J152" s="216">
        <f t="shared" si="13"/>
        <v>184.80473445011452</v>
      </c>
      <c r="K152" s="360"/>
      <c r="L152" s="200"/>
    </row>
    <row r="153" spans="1:12">
      <c r="A153" s="540" t="s">
        <v>98</v>
      </c>
      <c r="B153" s="541"/>
      <c r="C153" s="542"/>
      <c r="D153" s="211">
        <f t="shared" si="16"/>
        <v>244</v>
      </c>
      <c r="E153" s="347">
        <v>33.1</v>
      </c>
      <c r="F153" s="18">
        <f t="shared" si="14"/>
        <v>32.701999999999998</v>
      </c>
      <c r="G153" s="18" t="s">
        <v>9</v>
      </c>
      <c r="H153" s="18">
        <f t="shared" si="12"/>
        <v>4431.9179999999978</v>
      </c>
      <c r="I153" s="18">
        <f t="shared" si="15"/>
        <v>5720.9420000000027</v>
      </c>
      <c r="J153" s="216">
        <f t="shared" si="13"/>
        <v>185.54664265057289</v>
      </c>
      <c r="K153" s="229"/>
      <c r="L153" s="173"/>
    </row>
    <row r="154" spans="1:12">
      <c r="A154" s="540" t="s">
        <v>98</v>
      </c>
      <c r="B154" s="541"/>
      <c r="C154" s="542"/>
      <c r="D154" s="211">
        <f t="shared" si="16"/>
        <v>243</v>
      </c>
      <c r="E154" s="347">
        <v>33</v>
      </c>
      <c r="F154" s="18">
        <f t="shared" si="14"/>
        <v>32.601999999999997</v>
      </c>
      <c r="G154" s="18" t="s">
        <v>9</v>
      </c>
      <c r="H154" s="18">
        <f t="shared" si="12"/>
        <v>4464.5199999999977</v>
      </c>
      <c r="I154" s="18">
        <f t="shared" si="15"/>
        <v>5688.3400000000029</v>
      </c>
      <c r="J154" s="216">
        <f t="shared" si="13"/>
        <v>186.286282157372</v>
      </c>
      <c r="K154" s="229"/>
      <c r="L154" s="173"/>
    </row>
    <row r="155" spans="1:12">
      <c r="A155" s="540" t="s">
        <v>98</v>
      </c>
      <c r="B155" s="541"/>
      <c r="C155" s="542"/>
      <c r="D155" s="211">
        <f t="shared" si="16"/>
        <v>242</v>
      </c>
      <c r="E155" s="347">
        <v>33.6</v>
      </c>
      <c r="F155" s="18">
        <f t="shared" si="14"/>
        <v>33.201999999999998</v>
      </c>
      <c r="G155" s="18" t="s">
        <v>9</v>
      </c>
      <c r="H155" s="18">
        <f t="shared" si="12"/>
        <v>4497.7219999999979</v>
      </c>
      <c r="I155" s="18">
        <f t="shared" si="15"/>
        <v>5655.1380000000026</v>
      </c>
      <c r="J155" s="216">
        <f t="shared" si="13"/>
        <v>187.03953382612676</v>
      </c>
      <c r="K155" s="229"/>
      <c r="L155" s="173"/>
    </row>
    <row r="156" spans="1:12">
      <c r="A156" s="540" t="s">
        <v>98</v>
      </c>
      <c r="B156" s="541"/>
      <c r="C156" s="542"/>
      <c r="D156" s="211">
        <f t="shared" si="16"/>
        <v>241</v>
      </c>
      <c r="E156" s="347">
        <v>33.82</v>
      </c>
      <c r="F156" s="18">
        <f t="shared" si="14"/>
        <v>33.421999999999997</v>
      </c>
      <c r="G156" s="18" t="s">
        <v>9</v>
      </c>
      <c r="H156" s="18">
        <f t="shared" si="12"/>
        <v>4531.1439999999975</v>
      </c>
      <c r="I156" s="18">
        <f t="shared" si="15"/>
        <v>5621.7160000000031</v>
      </c>
      <c r="J156" s="216">
        <f t="shared" si="13"/>
        <v>187.79777662093193</v>
      </c>
      <c r="K156" s="229"/>
      <c r="L156" s="173"/>
    </row>
    <row r="157" spans="1:12">
      <c r="A157" s="540" t="s">
        <v>98</v>
      </c>
      <c r="B157" s="541"/>
      <c r="C157" s="542"/>
      <c r="D157" s="211">
        <f t="shared" si="16"/>
        <v>240</v>
      </c>
      <c r="E157" s="347">
        <v>33.49</v>
      </c>
      <c r="F157" s="18">
        <f t="shared" si="14"/>
        <v>33.091999999999999</v>
      </c>
      <c r="G157" s="18" t="s">
        <v>9</v>
      </c>
      <c r="H157" s="18">
        <f t="shared" si="12"/>
        <v>4564.2359999999971</v>
      </c>
      <c r="I157" s="18">
        <f t="shared" si="15"/>
        <v>5588.6240000000034</v>
      </c>
      <c r="J157" s="216">
        <f t="shared" si="13"/>
        <v>188.54853272666151</v>
      </c>
      <c r="K157" s="229"/>
      <c r="L157" s="173"/>
    </row>
    <row r="158" spans="1:12">
      <c r="A158" s="540" t="s">
        <v>98</v>
      </c>
      <c r="B158" s="541"/>
      <c r="C158" s="542"/>
      <c r="D158" s="211">
        <f t="shared" si="16"/>
        <v>239</v>
      </c>
      <c r="E158" s="347">
        <v>33.71</v>
      </c>
      <c r="F158" s="18">
        <f t="shared" si="14"/>
        <v>33.311999999999998</v>
      </c>
      <c r="G158" s="18" t="s">
        <v>9</v>
      </c>
      <c r="H158" s="18">
        <f t="shared" si="12"/>
        <v>4597.547999999997</v>
      </c>
      <c r="I158" s="18">
        <f t="shared" si="15"/>
        <v>5555.3120000000035</v>
      </c>
      <c r="J158" s="216">
        <f t="shared" si="13"/>
        <v>189.30427995844147</v>
      </c>
      <c r="K158" s="229"/>
      <c r="L158" s="173"/>
    </row>
    <row r="159" spans="1:12">
      <c r="A159" s="540" t="s">
        <v>98</v>
      </c>
      <c r="B159" s="541"/>
      <c r="C159" s="542"/>
      <c r="D159" s="211">
        <f t="shared" si="16"/>
        <v>238</v>
      </c>
      <c r="E159" s="347">
        <v>31.2</v>
      </c>
      <c r="F159" s="18">
        <f t="shared" si="14"/>
        <v>30.802</v>
      </c>
      <c r="G159" s="18" t="s">
        <v>9</v>
      </c>
      <c r="H159" s="18">
        <f t="shared" si="12"/>
        <v>4628.3499999999967</v>
      </c>
      <c r="I159" s="18">
        <f t="shared" si="15"/>
        <v>5524.5100000000039</v>
      </c>
      <c r="J159" s="216">
        <f t="shared" si="13"/>
        <v>190.00308297937349</v>
      </c>
      <c r="K159" s="229"/>
      <c r="L159" s="173"/>
    </row>
    <row r="160" spans="1:12">
      <c r="A160" s="540" t="s">
        <v>98</v>
      </c>
      <c r="B160" s="541"/>
      <c r="C160" s="542"/>
      <c r="D160" s="211">
        <f t="shared" si="16"/>
        <v>237</v>
      </c>
      <c r="E160" s="347">
        <v>33.619999999999997</v>
      </c>
      <c r="F160" s="18">
        <f t="shared" si="14"/>
        <v>33.221999999999994</v>
      </c>
      <c r="G160" s="18" t="s">
        <v>9</v>
      </c>
      <c r="H160" s="18">
        <f t="shared" si="12"/>
        <v>4661.5719999999965</v>
      </c>
      <c r="I160" s="18">
        <f t="shared" si="15"/>
        <v>5491.2880000000041</v>
      </c>
      <c r="J160" s="216">
        <f t="shared" si="13"/>
        <v>190.75678838686014</v>
      </c>
      <c r="K160" s="229"/>
      <c r="L160" s="173"/>
    </row>
    <row r="161" spans="1:13">
      <c r="A161" s="540" t="s">
        <v>98</v>
      </c>
      <c r="B161" s="541"/>
      <c r="C161" s="542"/>
      <c r="D161" s="211">
        <f t="shared" si="16"/>
        <v>236</v>
      </c>
      <c r="E161" s="347">
        <v>33.31</v>
      </c>
      <c r="F161" s="18">
        <f t="shared" si="14"/>
        <v>32.911999999999999</v>
      </c>
      <c r="G161" s="18" t="s">
        <v>9</v>
      </c>
      <c r="H161" s="18">
        <f t="shared" si="12"/>
        <v>4694.4839999999967</v>
      </c>
      <c r="I161" s="18">
        <f t="shared" si="15"/>
        <v>5458.3760000000038</v>
      </c>
      <c r="J161" s="216">
        <f t="shared" si="13"/>
        <v>191.50346084400297</v>
      </c>
      <c r="K161" s="229"/>
      <c r="L161" s="173"/>
    </row>
    <row r="162" spans="1:13">
      <c r="A162" s="540" t="s">
        <v>98</v>
      </c>
      <c r="B162" s="541"/>
      <c r="C162" s="542"/>
      <c r="D162" s="211">
        <f t="shared" si="16"/>
        <v>235</v>
      </c>
      <c r="E162" s="347">
        <v>33.6</v>
      </c>
      <c r="F162" s="18">
        <f t="shared" si="14"/>
        <v>33.201999999999998</v>
      </c>
      <c r="G162" s="18" t="s">
        <v>9</v>
      </c>
      <c r="H162" s="18">
        <f t="shared" si="12"/>
        <v>4727.685999999997</v>
      </c>
      <c r="I162" s="18">
        <f t="shared" si="15"/>
        <v>5425.1740000000036</v>
      </c>
      <c r="J162" s="216">
        <f t="shared" si="13"/>
        <v>192.25671251275776</v>
      </c>
      <c r="K162" s="229"/>
      <c r="L162" s="173"/>
    </row>
    <row r="163" spans="1:13">
      <c r="A163" s="540" t="s">
        <v>98</v>
      </c>
      <c r="B163" s="541"/>
      <c r="C163" s="542"/>
      <c r="D163" s="211">
        <f t="shared" si="16"/>
        <v>234</v>
      </c>
      <c r="E163" s="347">
        <v>33.65</v>
      </c>
      <c r="F163" s="18">
        <f t="shared" si="14"/>
        <v>33.251999999999995</v>
      </c>
      <c r="G163" s="18" t="s">
        <v>9</v>
      </c>
      <c r="H163" s="18">
        <f t="shared" si="12"/>
        <v>4760.9379999999974</v>
      </c>
      <c r="I163" s="18">
        <f t="shared" si="15"/>
        <v>5391.9220000000032</v>
      </c>
      <c r="J163" s="216">
        <f t="shared" si="13"/>
        <v>193.01109852834219</v>
      </c>
      <c r="K163" s="229"/>
      <c r="L163" s="173"/>
      <c r="M163" s="19"/>
    </row>
    <row r="164" spans="1:13">
      <c r="A164" s="540" t="s">
        <v>98</v>
      </c>
      <c r="B164" s="541"/>
      <c r="C164" s="542"/>
      <c r="D164" s="211">
        <f t="shared" si="16"/>
        <v>233</v>
      </c>
      <c r="E164" s="347">
        <v>33.6</v>
      </c>
      <c r="F164" s="18">
        <f t="shared" si="14"/>
        <v>33.201999999999998</v>
      </c>
      <c r="G164" s="18" t="s">
        <v>9</v>
      </c>
      <c r="H164" s="18">
        <f t="shared" si="12"/>
        <v>4794.1399999999976</v>
      </c>
      <c r="I164" s="18">
        <f t="shared" si="15"/>
        <v>5358.720000000003</v>
      </c>
      <c r="J164" s="216">
        <f t="shared" si="13"/>
        <v>193.76435019709697</v>
      </c>
      <c r="K164" s="229"/>
      <c r="L164" s="173"/>
    </row>
    <row r="165" spans="1:13">
      <c r="A165" s="540" t="s">
        <v>98</v>
      </c>
      <c r="B165" s="541"/>
      <c r="C165" s="542"/>
      <c r="D165" s="211">
        <f t="shared" si="16"/>
        <v>232</v>
      </c>
      <c r="E165" s="347">
        <v>33.68</v>
      </c>
      <c r="F165" s="18">
        <f t="shared" si="14"/>
        <v>33.281999999999996</v>
      </c>
      <c r="G165" s="18" t="s">
        <v>9</v>
      </c>
      <c r="H165" s="18">
        <f t="shared" si="12"/>
        <v>4827.4219999999978</v>
      </c>
      <c r="I165" s="18">
        <f t="shared" si="15"/>
        <v>5325.4380000000028</v>
      </c>
      <c r="J165" s="216">
        <f t="shared" si="13"/>
        <v>194.51941682077916</v>
      </c>
      <c r="K165" s="229"/>
      <c r="L165" s="173"/>
    </row>
    <row r="166" spans="1:13">
      <c r="A166" s="540" t="s">
        <v>98</v>
      </c>
      <c r="B166" s="541"/>
      <c r="C166" s="542"/>
      <c r="D166" s="211">
        <f t="shared" si="16"/>
        <v>231</v>
      </c>
      <c r="E166" s="347">
        <v>33.049999999999997</v>
      </c>
      <c r="F166" s="18">
        <f t="shared" si="14"/>
        <v>32.651999999999994</v>
      </c>
      <c r="G166" s="18" t="s">
        <v>9</v>
      </c>
      <c r="H166" s="18">
        <f t="shared" si="12"/>
        <v>4860.0739999999978</v>
      </c>
      <c r="I166" s="18">
        <f t="shared" si="15"/>
        <v>5292.7860000000028</v>
      </c>
      <c r="J166" s="216">
        <f t="shared" si="13"/>
        <v>195.26019067440791</v>
      </c>
      <c r="K166" s="229"/>
      <c r="L166" s="173"/>
    </row>
    <row r="167" spans="1:13">
      <c r="A167" s="540" t="s">
        <v>98</v>
      </c>
      <c r="B167" s="541"/>
      <c r="C167" s="542"/>
      <c r="D167" s="211">
        <f t="shared" si="16"/>
        <v>230</v>
      </c>
      <c r="E167" s="347">
        <v>33.32</v>
      </c>
      <c r="F167" s="18">
        <f t="shared" si="14"/>
        <v>32.921999999999997</v>
      </c>
      <c r="G167" s="18" t="s">
        <v>9</v>
      </c>
      <c r="H167" s="18">
        <f t="shared" si="12"/>
        <v>4892.9959999999974</v>
      </c>
      <c r="I167" s="18">
        <f t="shared" si="15"/>
        <v>5259.8640000000032</v>
      </c>
      <c r="J167" s="216">
        <f t="shared" si="13"/>
        <v>196.00709000091666</v>
      </c>
      <c r="K167" s="229"/>
      <c r="L167" s="173"/>
    </row>
    <row r="168" spans="1:13">
      <c r="A168" s="540" t="s">
        <v>98</v>
      </c>
      <c r="B168" s="541"/>
      <c r="C168" s="542"/>
      <c r="D168" s="211">
        <f t="shared" si="16"/>
        <v>229</v>
      </c>
      <c r="E168" s="347">
        <v>33.01</v>
      </c>
      <c r="F168" s="18">
        <f t="shared" si="14"/>
        <v>32.611999999999995</v>
      </c>
      <c r="G168" s="18" t="s">
        <v>9</v>
      </c>
      <c r="H168" s="18">
        <f t="shared" si="12"/>
        <v>4925.6079999999974</v>
      </c>
      <c r="I168" s="18">
        <f t="shared" si="15"/>
        <v>5227.2520000000031</v>
      </c>
      <c r="J168" s="216">
        <f t="shared" si="13"/>
        <v>196.74695637708169</v>
      </c>
      <c r="K168" s="229"/>
      <c r="L168" s="173"/>
    </row>
    <row r="169" spans="1:13">
      <c r="A169" s="540" t="s">
        <v>98</v>
      </c>
      <c r="B169" s="541"/>
      <c r="C169" s="542"/>
      <c r="D169" s="211">
        <f t="shared" si="16"/>
        <v>228</v>
      </c>
      <c r="E169" s="347">
        <v>33.36</v>
      </c>
      <c r="F169" s="18">
        <f t="shared" si="14"/>
        <v>32.961999999999996</v>
      </c>
      <c r="G169" s="18" t="s">
        <v>9</v>
      </c>
      <c r="H169" s="18">
        <f t="shared" si="12"/>
        <v>4958.5699999999979</v>
      </c>
      <c r="I169" s="18">
        <f t="shared" si="15"/>
        <v>5194.2900000000027</v>
      </c>
      <c r="J169" s="216">
        <f t="shared" si="13"/>
        <v>197.4947631810542</v>
      </c>
      <c r="K169" s="229"/>
      <c r="L169" s="173"/>
    </row>
    <row r="170" spans="1:13">
      <c r="A170" s="540" t="s">
        <v>98</v>
      </c>
      <c r="B170" s="541"/>
      <c r="C170" s="542"/>
      <c r="D170" s="211">
        <f t="shared" si="16"/>
        <v>227</v>
      </c>
      <c r="E170" s="347">
        <v>33.229999999999997</v>
      </c>
      <c r="F170" s="18">
        <f t="shared" si="14"/>
        <v>32.831999999999994</v>
      </c>
      <c r="G170" s="18" t="s">
        <v>9</v>
      </c>
      <c r="H170" s="18">
        <f t="shared" si="12"/>
        <v>4991.4019999999982</v>
      </c>
      <c r="I170" s="18">
        <f t="shared" si="15"/>
        <v>5161.4580000000024</v>
      </c>
      <c r="J170" s="216">
        <f t="shared" si="13"/>
        <v>198.23962068326964</v>
      </c>
      <c r="K170" s="229"/>
      <c r="L170" s="173"/>
    </row>
    <row r="171" spans="1:13">
      <c r="A171" s="540" t="s">
        <v>98</v>
      </c>
      <c r="B171" s="541"/>
      <c r="C171" s="542"/>
      <c r="D171" s="211">
        <f t="shared" si="16"/>
        <v>226</v>
      </c>
      <c r="E171" s="347">
        <v>33.39</v>
      </c>
      <c r="F171" s="18">
        <f t="shared" si="14"/>
        <v>32.991999999999997</v>
      </c>
      <c r="G171" s="18" t="s">
        <v>9</v>
      </c>
      <c r="H171" s="18">
        <f t="shared" si="12"/>
        <v>5024.3939999999984</v>
      </c>
      <c r="I171" s="18">
        <f t="shared" si="15"/>
        <v>5128.4660000000022</v>
      </c>
      <c r="J171" s="216">
        <f t="shared" si="13"/>
        <v>198.9881080953399</v>
      </c>
      <c r="K171" s="229"/>
      <c r="L171" s="173"/>
    </row>
    <row r="172" spans="1:13">
      <c r="A172" s="540" t="s">
        <v>98</v>
      </c>
      <c r="B172" s="541"/>
      <c r="C172" s="542"/>
      <c r="D172" s="211">
        <f t="shared" si="16"/>
        <v>225</v>
      </c>
      <c r="E172" s="347">
        <v>31.69</v>
      </c>
      <c r="F172" s="18">
        <f t="shared" si="14"/>
        <v>31.292000000000002</v>
      </c>
      <c r="G172" s="18" t="s">
        <v>9</v>
      </c>
      <c r="H172" s="18">
        <f t="shared" si="12"/>
        <v>5055.6859999999988</v>
      </c>
      <c r="I172" s="18">
        <f t="shared" si="15"/>
        <v>5097.1740000000018</v>
      </c>
      <c r="J172" s="216">
        <f t="shared" si="13"/>
        <v>199.69802771520241</v>
      </c>
      <c r="K172" s="229"/>
      <c r="L172" s="173"/>
    </row>
    <row r="173" spans="1:13">
      <c r="A173" s="540" t="s">
        <v>98</v>
      </c>
      <c r="B173" s="541"/>
      <c r="C173" s="542"/>
      <c r="D173" s="211">
        <f t="shared" si="16"/>
        <v>224</v>
      </c>
      <c r="E173" s="347">
        <v>33.700000000000003</v>
      </c>
      <c r="F173" s="18">
        <f t="shared" si="14"/>
        <v>33.302</v>
      </c>
      <c r="G173" s="18" t="s">
        <v>9</v>
      </c>
      <c r="H173" s="18">
        <f t="shared" si="12"/>
        <v>5088.9879999999985</v>
      </c>
      <c r="I173" s="18">
        <f t="shared" si="15"/>
        <v>5063.8720000000021</v>
      </c>
      <c r="J173" s="216">
        <f t="shared" si="13"/>
        <v>200.45354807761646</v>
      </c>
      <c r="K173" s="229"/>
      <c r="L173" s="173"/>
    </row>
    <row r="174" spans="1:13">
      <c r="A174" s="540" t="s">
        <v>98</v>
      </c>
      <c r="B174" s="541"/>
      <c r="C174" s="542"/>
      <c r="D174" s="211">
        <f t="shared" si="16"/>
        <v>223</v>
      </c>
      <c r="E174" s="347">
        <v>33.94</v>
      </c>
      <c r="F174" s="18">
        <f t="shared" si="14"/>
        <v>33.541999999999994</v>
      </c>
      <c r="G174" s="18" t="s">
        <v>9</v>
      </c>
      <c r="H174" s="18">
        <f t="shared" si="12"/>
        <v>5122.5299999999988</v>
      </c>
      <c r="I174" s="18">
        <f t="shared" si="15"/>
        <v>5030.3300000000017</v>
      </c>
      <c r="J174" s="216">
        <f t="shared" si="13"/>
        <v>201.21451330481281</v>
      </c>
      <c r="K174" s="229"/>
      <c r="L174" s="173"/>
    </row>
    <row r="175" spans="1:13">
      <c r="A175" s="540" t="s">
        <v>98</v>
      </c>
      <c r="B175" s="541"/>
      <c r="C175" s="542"/>
      <c r="D175" s="211">
        <f t="shared" si="16"/>
        <v>222</v>
      </c>
      <c r="E175" s="347">
        <v>33.630000000000003</v>
      </c>
      <c r="F175" s="18">
        <f t="shared" si="14"/>
        <v>33.231999999999999</v>
      </c>
      <c r="G175" s="18" t="s">
        <v>9</v>
      </c>
      <c r="H175" s="18">
        <f t="shared" si="12"/>
        <v>5155.7619999999988</v>
      </c>
      <c r="I175" s="18">
        <f t="shared" si="15"/>
        <v>4997.0980000000018</v>
      </c>
      <c r="J175" s="216">
        <f t="shared" si="13"/>
        <v>201.96844558166538</v>
      </c>
      <c r="K175" s="229"/>
      <c r="L175" s="173"/>
    </row>
    <row r="176" spans="1:13">
      <c r="A176" s="540" t="s">
        <v>98</v>
      </c>
      <c r="B176" s="541"/>
      <c r="C176" s="542"/>
      <c r="D176" s="211">
        <f t="shared" si="16"/>
        <v>221</v>
      </c>
      <c r="E176" s="347">
        <v>33.729999999999997</v>
      </c>
      <c r="F176" s="18">
        <f t="shared" si="14"/>
        <v>33.331999999999994</v>
      </c>
      <c r="G176" s="18" t="s">
        <v>9</v>
      </c>
      <c r="H176" s="18">
        <f t="shared" si="12"/>
        <v>5189.0939999999991</v>
      </c>
      <c r="I176" s="18">
        <f t="shared" si="15"/>
        <v>4963.7660000000014</v>
      </c>
      <c r="J176" s="216">
        <f t="shared" si="13"/>
        <v>202.72464655217721</v>
      </c>
      <c r="K176" s="229"/>
      <c r="L176" s="173"/>
    </row>
    <row r="177" spans="1:12">
      <c r="A177" s="540" t="s">
        <v>98</v>
      </c>
      <c r="B177" s="541"/>
      <c r="C177" s="542"/>
      <c r="D177" s="211">
        <f t="shared" si="16"/>
        <v>220</v>
      </c>
      <c r="E177" s="347">
        <v>33.65</v>
      </c>
      <c r="F177" s="18">
        <f t="shared" si="14"/>
        <v>33.251999999999995</v>
      </c>
      <c r="G177" s="18" t="s">
        <v>9</v>
      </c>
      <c r="H177" s="18">
        <f t="shared" si="12"/>
        <v>5222.3459999999995</v>
      </c>
      <c r="I177" s="18">
        <f t="shared" si="15"/>
        <v>4930.514000000001</v>
      </c>
      <c r="J177" s="216">
        <f t="shared" si="13"/>
        <v>203.47903256776164</v>
      </c>
      <c r="K177" s="229"/>
      <c r="L177" s="173"/>
    </row>
    <row r="178" spans="1:12">
      <c r="A178" s="540" t="s">
        <v>98</v>
      </c>
      <c r="B178" s="541"/>
      <c r="C178" s="542"/>
      <c r="D178" s="211">
        <f t="shared" si="16"/>
        <v>219</v>
      </c>
      <c r="E178" s="347">
        <v>33.94</v>
      </c>
      <c r="F178" s="18">
        <f t="shared" si="14"/>
        <v>33.541999999999994</v>
      </c>
      <c r="G178" s="18" t="s">
        <v>9</v>
      </c>
      <c r="H178" s="18">
        <f t="shared" si="12"/>
        <v>5255.8879999999999</v>
      </c>
      <c r="I178" s="18">
        <f t="shared" si="15"/>
        <v>4896.9720000000007</v>
      </c>
      <c r="J178" s="216">
        <f t="shared" si="13"/>
        <v>204.23999779495796</v>
      </c>
      <c r="K178" s="229"/>
      <c r="L178" s="173"/>
    </row>
    <row r="179" spans="1:12">
      <c r="A179" s="540" t="s">
        <v>98</v>
      </c>
      <c r="B179" s="541"/>
      <c r="C179" s="542"/>
      <c r="D179" s="211">
        <f t="shared" si="16"/>
        <v>218</v>
      </c>
      <c r="E179" s="347">
        <v>32.32</v>
      </c>
      <c r="F179" s="18">
        <f t="shared" si="14"/>
        <v>31.922000000000001</v>
      </c>
      <c r="G179" s="18" t="s">
        <v>9</v>
      </c>
      <c r="H179" s="18">
        <f t="shared" si="12"/>
        <v>5287.8099999999995</v>
      </c>
      <c r="I179" s="18">
        <f t="shared" si="15"/>
        <v>4865.0500000000011</v>
      </c>
      <c r="J179" s="216">
        <f t="shared" si="13"/>
        <v>204.96421018487393</v>
      </c>
      <c r="K179" s="229"/>
      <c r="L179" s="173"/>
    </row>
    <row r="180" spans="1:12">
      <c r="A180" s="540" t="s">
        <v>98</v>
      </c>
      <c r="B180" s="541"/>
      <c r="C180" s="542"/>
      <c r="D180" s="211">
        <f t="shared" si="16"/>
        <v>217</v>
      </c>
      <c r="E180" s="347">
        <v>33.840000000000003</v>
      </c>
      <c r="F180" s="18">
        <f t="shared" si="14"/>
        <v>33.442</v>
      </c>
      <c r="G180" s="18" t="s">
        <v>9</v>
      </c>
      <c r="H180" s="18">
        <f t="shared" si="12"/>
        <v>5321.2519999999995</v>
      </c>
      <c r="I180" s="18">
        <f t="shared" si="15"/>
        <v>4831.6080000000011</v>
      </c>
      <c r="J180" s="216">
        <f t="shared" si="13"/>
        <v>205.72290671841097</v>
      </c>
      <c r="K180" s="229"/>
      <c r="L180" s="173"/>
    </row>
    <row r="181" spans="1:12">
      <c r="A181" s="540" t="s">
        <v>98</v>
      </c>
      <c r="B181" s="541"/>
      <c r="C181" s="542"/>
      <c r="D181" s="211">
        <f t="shared" si="16"/>
        <v>216</v>
      </c>
      <c r="E181" s="347">
        <v>33.94</v>
      </c>
      <c r="F181" s="18">
        <f t="shared" si="14"/>
        <v>33.541999999999994</v>
      </c>
      <c r="G181" s="18" t="s">
        <v>9</v>
      </c>
      <c r="H181" s="18">
        <f t="shared" si="12"/>
        <v>5354.7939999999999</v>
      </c>
      <c r="I181" s="18">
        <f t="shared" si="15"/>
        <v>4798.0660000000007</v>
      </c>
      <c r="J181" s="216">
        <f t="shared" si="13"/>
        <v>206.48387194560735</v>
      </c>
      <c r="K181" s="229"/>
      <c r="L181" s="173"/>
    </row>
    <row r="182" spans="1:12">
      <c r="A182" s="540" t="s">
        <v>98</v>
      </c>
      <c r="B182" s="541"/>
      <c r="C182" s="542"/>
      <c r="D182" s="211">
        <f t="shared" si="16"/>
        <v>215</v>
      </c>
      <c r="E182" s="347">
        <v>33.26</v>
      </c>
      <c r="F182" s="18">
        <f t="shared" si="14"/>
        <v>32.861999999999995</v>
      </c>
      <c r="G182" s="18" t="s">
        <v>9</v>
      </c>
      <c r="H182" s="18">
        <f t="shared" si="12"/>
        <v>5387.6559999999999</v>
      </c>
      <c r="I182" s="18">
        <f t="shared" si="15"/>
        <v>4765.2040000000006</v>
      </c>
      <c r="J182" s="216">
        <f t="shared" si="13"/>
        <v>207.22941005592054</v>
      </c>
      <c r="K182" s="229"/>
      <c r="L182" s="173"/>
    </row>
    <row r="183" spans="1:12">
      <c r="A183" s="540" t="s">
        <v>98</v>
      </c>
      <c r="B183" s="541"/>
      <c r="C183" s="542"/>
      <c r="D183" s="211">
        <f t="shared" si="16"/>
        <v>214</v>
      </c>
      <c r="E183" s="347">
        <v>33.479999999999997</v>
      </c>
      <c r="F183" s="18">
        <f t="shared" si="14"/>
        <v>33.081999999999994</v>
      </c>
      <c r="G183" s="18" t="s">
        <v>9</v>
      </c>
      <c r="H183" s="18">
        <f t="shared" si="12"/>
        <v>5420.7380000000003</v>
      </c>
      <c r="I183" s="18">
        <f t="shared" si="15"/>
        <v>4732.1220000000003</v>
      </c>
      <c r="J183" s="216">
        <f t="shared" si="13"/>
        <v>207.9799392922842</v>
      </c>
      <c r="K183" s="229"/>
      <c r="L183" s="173"/>
    </row>
    <row r="184" spans="1:12">
      <c r="A184" s="540" t="s">
        <v>98</v>
      </c>
      <c r="B184" s="541"/>
      <c r="C184" s="542"/>
      <c r="D184" s="211">
        <f t="shared" si="16"/>
        <v>213</v>
      </c>
      <c r="E184" s="347">
        <v>34.19</v>
      </c>
      <c r="F184" s="18">
        <f t="shared" si="14"/>
        <v>33.791999999999994</v>
      </c>
      <c r="G184" s="18" t="s">
        <v>9</v>
      </c>
      <c r="H184" s="18">
        <f t="shared" si="12"/>
        <v>5454.5300000000007</v>
      </c>
      <c r="I184" s="18">
        <f t="shared" si="15"/>
        <v>4698.33</v>
      </c>
      <c r="J184" s="216">
        <f t="shared" si="13"/>
        <v>208.74657625362875</v>
      </c>
      <c r="K184" s="229"/>
      <c r="L184" s="173"/>
    </row>
    <row r="185" spans="1:12">
      <c r="A185" s="540" t="s">
        <v>98</v>
      </c>
      <c r="B185" s="541"/>
      <c r="C185" s="542"/>
      <c r="D185" s="211">
        <f t="shared" si="16"/>
        <v>212</v>
      </c>
      <c r="E185" s="347">
        <v>33.56</v>
      </c>
      <c r="F185" s="18">
        <f t="shared" si="14"/>
        <v>33.161999999999999</v>
      </c>
      <c r="G185" s="18" t="s">
        <v>9</v>
      </c>
      <c r="H185" s="18">
        <f t="shared" si="12"/>
        <v>5487.6920000000009</v>
      </c>
      <c r="I185" s="18">
        <f t="shared" si="15"/>
        <v>4665.1679999999997</v>
      </c>
      <c r="J185" s="216">
        <f t="shared" si="13"/>
        <v>209.4989204449198</v>
      </c>
      <c r="K185" s="229"/>
      <c r="L185" s="173"/>
    </row>
    <row r="186" spans="1:12">
      <c r="A186" s="540" t="s">
        <v>98</v>
      </c>
      <c r="B186" s="541"/>
      <c r="C186" s="542"/>
      <c r="D186" s="211">
        <f t="shared" si="16"/>
        <v>211</v>
      </c>
      <c r="E186" s="347">
        <v>33.86</v>
      </c>
      <c r="F186" s="18">
        <f t="shared" si="14"/>
        <v>33.461999999999996</v>
      </c>
      <c r="G186" s="18" t="s">
        <v>9</v>
      </c>
      <c r="H186" s="18">
        <f t="shared" si="12"/>
        <v>5521.1540000000014</v>
      </c>
      <c r="I186" s="18">
        <f t="shared" si="15"/>
        <v>4631.7059999999992</v>
      </c>
      <c r="J186" s="216">
        <f t="shared" si="13"/>
        <v>210.25807071718873</v>
      </c>
      <c r="K186" s="229"/>
      <c r="L186" s="173"/>
    </row>
    <row r="187" spans="1:12">
      <c r="A187" s="540" t="s">
        <v>98</v>
      </c>
      <c r="B187" s="541"/>
      <c r="C187" s="542"/>
      <c r="D187" s="211">
        <f t="shared" si="16"/>
        <v>210</v>
      </c>
      <c r="E187" s="347">
        <v>33.78</v>
      </c>
      <c r="F187" s="18">
        <f t="shared" si="14"/>
        <v>33.381999999999998</v>
      </c>
      <c r="G187" s="18" t="s">
        <v>9</v>
      </c>
      <c r="H187" s="18">
        <f t="shared" si="12"/>
        <v>5554.536000000001</v>
      </c>
      <c r="I187" s="18">
        <f t="shared" si="15"/>
        <v>4598.3239999999996</v>
      </c>
      <c r="J187" s="216">
        <f t="shared" si="13"/>
        <v>211.0154060345302</v>
      </c>
      <c r="K187" s="229"/>
      <c r="L187" s="173"/>
    </row>
    <row r="188" spans="1:12">
      <c r="A188" s="540" t="s">
        <v>98</v>
      </c>
      <c r="B188" s="541"/>
      <c r="C188" s="542"/>
      <c r="D188" s="211">
        <f t="shared" si="16"/>
        <v>209</v>
      </c>
      <c r="E188" s="347">
        <v>33.090000000000003</v>
      </c>
      <c r="F188" s="18">
        <f t="shared" si="14"/>
        <v>32.692</v>
      </c>
      <c r="G188" s="18" t="s">
        <v>9</v>
      </c>
      <c r="H188" s="18">
        <f t="shared" si="12"/>
        <v>5587.228000000001</v>
      </c>
      <c r="I188" s="18">
        <f t="shared" si="15"/>
        <v>4565.6319999999996</v>
      </c>
      <c r="J188" s="216">
        <f t="shared" si="13"/>
        <v>211.75708736562262</v>
      </c>
      <c r="K188" s="229"/>
      <c r="L188" s="173"/>
    </row>
    <row r="189" spans="1:12">
      <c r="A189" s="540" t="s">
        <v>98</v>
      </c>
      <c r="B189" s="541"/>
      <c r="C189" s="542"/>
      <c r="D189" s="211">
        <f t="shared" si="16"/>
        <v>208</v>
      </c>
      <c r="E189" s="347">
        <v>33.71</v>
      </c>
      <c r="F189" s="18">
        <f t="shared" si="14"/>
        <v>33.311999999999998</v>
      </c>
      <c r="G189" s="18" t="s">
        <v>9</v>
      </c>
      <c r="H189" s="18">
        <f t="shared" si="12"/>
        <v>5620.5400000000009</v>
      </c>
      <c r="I189" s="18">
        <f t="shared" si="15"/>
        <v>4532.32</v>
      </c>
      <c r="J189" s="216">
        <f t="shared" si="13"/>
        <v>212.51283459740262</v>
      </c>
      <c r="K189" s="229"/>
      <c r="L189" s="173"/>
    </row>
    <row r="190" spans="1:12">
      <c r="A190" s="540" t="s">
        <v>98</v>
      </c>
      <c r="B190" s="541"/>
      <c r="C190" s="542"/>
      <c r="D190" s="211">
        <f t="shared" si="16"/>
        <v>207</v>
      </c>
      <c r="E190" s="347">
        <v>33.979999999999997</v>
      </c>
      <c r="F190" s="18">
        <f t="shared" si="14"/>
        <v>33.581999999999994</v>
      </c>
      <c r="G190" s="18" t="s">
        <v>9</v>
      </c>
      <c r="H190" s="18">
        <f t="shared" si="12"/>
        <v>5654.1220000000012</v>
      </c>
      <c r="I190" s="18">
        <f t="shared" si="15"/>
        <v>4498.7379999999994</v>
      </c>
      <c r="J190" s="216">
        <f t="shared" si="13"/>
        <v>213.27470730206267</v>
      </c>
      <c r="K190" s="229"/>
      <c r="L190" s="173"/>
    </row>
    <row r="191" spans="1:12">
      <c r="A191" s="540" t="s">
        <v>98</v>
      </c>
      <c r="B191" s="541"/>
      <c r="C191" s="542"/>
      <c r="D191" s="211">
        <f t="shared" si="16"/>
        <v>206</v>
      </c>
      <c r="E191" s="347">
        <v>33.86</v>
      </c>
      <c r="F191" s="18">
        <f t="shared" si="14"/>
        <v>33.461999999999996</v>
      </c>
      <c r="G191" s="18" t="s">
        <v>9</v>
      </c>
      <c r="H191" s="18">
        <f t="shared" si="12"/>
        <v>5687.5840000000017</v>
      </c>
      <c r="I191" s="18">
        <f t="shared" si="15"/>
        <v>4465.2759999999989</v>
      </c>
      <c r="J191" s="216">
        <f t="shared" si="13"/>
        <v>214.03385757433156</v>
      </c>
      <c r="K191" s="229"/>
      <c r="L191" s="173"/>
    </row>
    <row r="192" spans="1:12">
      <c r="A192" s="540" t="s">
        <v>98</v>
      </c>
      <c r="B192" s="541"/>
      <c r="C192" s="542"/>
      <c r="D192" s="211">
        <f t="shared" si="16"/>
        <v>205</v>
      </c>
      <c r="E192" s="347">
        <v>33.93</v>
      </c>
      <c r="F192" s="18">
        <f t="shared" si="14"/>
        <v>33.531999999999996</v>
      </c>
      <c r="G192" s="18" t="s">
        <v>9</v>
      </c>
      <c r="H192" s="18">
        <f t="shared" si="12"/>
        <v>5721.1160000000018</v>
      </c>
      <c r="I192" s="18">
        <f t="shared" si="15"/>
        <v>4431.7439999999988</v>
      </c>
      <c r="J192" s="216">
        <f t="shared" si="13"/>
        <v>214.794595932162</v>
      </c>
      <c r="K192" s="229"/>
      <c r="L192" s="173"/>
    </row>
    <row r="193" spans="1:12">
      <c r="A193" s="540" t="s">
        <v>98</v>
      </c>
      <c r="B193" s="541"/>
      <c r="C193" s="542"/>
      <c r="D193" s="211">
        <f t="shared" si="16"/>
        <v>204</v>
      </c>
      <c r="E193" s="347">
        <v>33.82</v>
      </c>
      <c r="F193" s="18">
        <f t="shared" si="14"/>
        <v>33.421999999999997</v>
      </c>
      <c r="G193" s="18" t="s">
        <v>9</v>
      </c>
      <c r="H193" s="18">
        <f t="shared" si="12"/>
        <v>5754.5380000000014</v>
      </c>
      <c r="I193" s="18">
        <f t="shared" si="15"/>
        <v>4398.3219999999992</v>
      </c>
      <c r="J193" s="216">
        <f t="shared" si="13"/>
        <v>215.55283872696717</v>
      </c>
      <c r="K193" s="229"/>
      <c r="L193" s="173"/>
    </row>
    <row r="194" spans="1:12">
      <c r="A194" s="540" t="s">
        <v>98</v>
      </c>
      <c r="B194" s="541"/>
      <c r="C194" s="542"/>
      <c r="D194" s="211">
        <f t="shared" si="16"/>
        <v>203</v>
      </c>
      <c r="E194" s="347">
        <v>33.950000000000003</v>
      </c>
      <c r="F194" s="18">
        <f t="shared" si="14"/>
        <v>33.552</v>
      </c>
      <c r="G194" s="18" t="s">
        <v>9</v>
      </c>
      <c r="H194" s="18">
        <f t="shared" si="12"/>
        <v>5788.0900000000011</v>
      </c>
      <c r="I194" s="18">
        <f t="shared" si="15"/>
        <v>4364.7699999999995</v>
      </c>
      <c r="J194" s="216">
        <f t="shared" si="13"/>
        <v>216.31403082352944</v>
      </c>
      <c r="K194" s="229"/>
      <c r="L194" s="173"/>
    </row>
    <row r="195" spans="1:12">
      <c r="A195" s="540" t="s">
        <v>98</v>
      </c>
      <c r="B195" s="541"/>
      <c r="C195" s="542"/>
      <c r="D195" s="211">
        <f t="shared" si="16"/>
        <v>202</v>
      </c>
      <c r="E195" s="347">
        <v>33.94</v>
      </c>
      <c r="F195" s="18">
        <f t="shared" si="14"/>
        <v>33.541999999999994</v>
      </c>
      <c r="G195" s="18" t="s">
        <v>9</v>
      </c>
      <c r="H195" s="18">
        <f t="shared" si="12"/>
        <v>5821.6320000000014</v>
      </c>
      <c r="I195" s="18">
        <f t="shared" si="15"/>
        <v>4331.2279999999992</v>
      </c>
      <c r="J195" s="216">
        <f t="shared" si="13"/>
        <v>217.07499605072576</v>
      </c>
      <c r="K195" s="229"/>
      <c r="L195" s="173"/>
    </row>
    <row r="196" spans="1:12">
      <c r="A196" s="540" t="s">
        <v>98</v>
      </c>
      <c r="B196" s="541"/>
      <c r="C196" s="542"/>
      <c r="D196" s="211">
        <f t="shared" si="16"/>
        <v>201</v>
      </c>
      <c r="E196" s="347">
        <v>32.24</v>
      </c>
      <c r="F196" s="18">
        <f t="shared" si="14"/>
        <v>31.842000000000002</v>
      </c>
      <c r="G196" s="18" t="s">
        <v>9</v>
      </c>
      <c r="H196" s="18">
        <f t="shared" si="12"/>
        <v>5853.4740000000011</v>
      </c>
      <c r="I196" s="18">
        <f t="shared" si="15"/>
        <v>4299.3859999999995</v>
      </c>
      <c r="J196" s="216">
        <f t="shared" si="13"/>
        <v>217.79739348571431</v>
      </c>
      <c r="K196" s="229"/>
      <c r="L196" s="173"/>
    </row>
    <row r="197" spans="1:12">
      <c r="A197" s="540" t="s">
        <v>98</v>
      </c>
      <c r="B197" s="541"/>
      <c r="C197" s="542"/>
      <c r="D197" s="211">
        <f t="shared" si="16"/>
        <v>200</v>
      </c>
      <c r="E197" s="347">
        <v>33.53</v>
      </c>
      <c r="F197" s="18">
        <f t="shared" si="14"/>
        <v>33.131999999999998</v>
      </c>
      <c r="G197" s="18" t="s">
        <v>9</v>
      </c>
      <c r="H197" s="18">
        <f t="shared" si="12"/>
        <v>5886.6060000000007</v>
      </c>
      <c r="I197" s="18">
        <f t="shared" si="15"/>
        <v>4266.2539999999999</v>
      </c>
      <c r="J197" s="216">
        <f t="shared" si="13"/>
        <v>218.54905706890756</v>
      </c>
      <c r="K197" s="229"/>
      <c r="L197" s="173"/>
    </row>
    <row r="198" spans="1:12">
      <c r="A198" s="540" t="s">
        <v>98</v>
      </c>
      <c r="B198" s="541"/>
      <c r="C198" s="542"/>
      <c r="D198" s="211">
        <f t="shared" si="16"/>
        <v>199</v>
      </c>
      <c r="E198" s="347">
        <v>32.72</v>
      </c>
      <c r="F198" s="18">
        <f t="shared" si="14"/>
        <v>32.321999999999996</v>
      </c>
      <c r="G198" s="18" t="s">
        <v>9</v>
      </c>
      <c r="H198" s="18">
        <f t="shared" si="12"/>
        <v>5918.9280000000008</v>
      </c>
      <c r="I198" s="18">
        <f t="shared" si="15"/>
        <v>4233.9319999999998</v>
      </c>
      <c r="J198" s="216">
        <f t="shared" si="13"/>
        <v>219.28234423346066</v>
      </c>
      <c r="K198" s="229"/>
      <c r="L198" s="173"/>
    </row>
    <row r="199" spans="1:12">
      <c r="A199" s="540" t="s">
        <v>98</v>
      </c>
      <c r="B199" s="541"/>
      <c r="C199" s="542"/>
      <c r="D199" s="211">
        <f t="shared" si="16"/>
        <v>198</v>
      </c>
      <c r="E199" s="347">
        <v>33.79</v>
      </c>
      <c r="F199" s="18">
        <f t="shared" si="14"/>
        <v>33.391999999999996</v>
      </c>
      <c r="G199" s="18" t="s">
        <v>9</v>
      </c>
      <c r="H199" s="18">
        <f t="shared" si="12"/>
        <v>5952.3200000000006</v>
      </c>
      <c r="I199" s="18">
        <f t="shared" si="15"/>
        <v>4200.54</v>
      </c>
      <c r="J199" s="216">
        <f t="shared" si="13"/>
        <v>220.03990642016805</v>
      </c>
      <c r="K199" s="229"/>
      <c r="L199" s="173"/>
    </row>
    <row r="200" spans="1:12">
      <c r="A200" s="540" t="s">
        <v>98</v>
      </c>
      <c r="B200" s="541"/>
      <c r="C200" s="542"/>
      <c r="D200" s="211">
        <f t="shared" si="16"/>
        <v>197</v>
      </c>
      <c r="E200" s="347">
        <v>33.79</v>
      </c>
      <c r="F200" s="18">
        <f t="shared" si="14"/>
        <v>33.391999999999996</v>
      </c>
      <c r="G200" s="18" t="s">
        <v>9</v>
      </c>
      <c r="H200" s="18">
        <f t="shared" si="12"/>
        <v>5985.7120000000004</v>
      </c>
      <c r="I200" s="18">
        <f t="shared" si="15"/>
        <v>4167.1480000000001</v>
      </c>
      <c r="J200" s="216">
        <f t="shared" si="13"/>
        <v>220.79746860687547</v>
      </c>
      <c r="K200" s="229"/>
      <c r="L200" s="173"/>
    </row>
    <row r="201" spans="1:12">
      <c r="A201" s="540" t="s">
        <v>98</v>
      </c>
      <c r="B201" s="541"/>
      <c r="C201" s="542"/>
      <c r="D201" s="211">
        <f t="shared" si="16"/>
        <v>196</v>
      </c>
      <c r="E201" s="347">
        <v>32.94</v>
      </c>
      <c r="F201" s="18">
        <f t="shared" si="14"/>
        <v>32.541999999999994</v>
      </c>
      <c r="G201" s="18" t="s">
        <v>9</v>
      </c>
      <c r="H201" s="18">
        <f t="shared" si="12"/>
        <v>6018.2540000000008</v>
      </c>
      <c r="I201" s="18">
        <f t="shared" si="15"/>
        <v>4134.6059999999998</v>
      </c>
      <c r="J201" s="216">
        <f t="shared" si="13"/>
        <v>221.53574689747899</v>
      </c>
      <c r="K201" s="229"/>
      <c r="L201" s="173"/>
    </row>
    <row r="202" spans="1:12">
      <c r="A202" s="540" t="s">
        <v>98</v>
      </c>
      <c r="B202" s="541"/>
      <c r="C202" s="542"/>
      <c r="D202" s="211">
        <f t="shared" si="16"/>
        <v>195</v>
      </c>
      <c r="E202" s="347">
        <v>32.909999999999997</v>
      </c>
      <c r="F202" s="18">
        <f t="shared" si="14"/>
        <v>32.511999999999993</v>
      </c>
      <c r="G202" s="18" t="s">
        <v>9</v>
      </c>
      <c r="H202" s="18">
        <f t="shared" si="12"/>
        <v>6050.7660000000005</v>
      </c>
      <c r="I202" s="18">
        <f t="shared" si="15"/>
        <v>4102.0940000000001</v>
      </c>
      <c r="J202" s="216">
        <f t="shared" si="13"/>
        <v>222.27334457998472</v>
      </c>
      <c r="K202" s="229"/>
      <c r="L202" s="173"/>
    </row>
    <row r="203" spans="1:12">
      <c r="A203" s="540" t="s">
        <v>98</v>
      </c>
      <c r="B203" s="541"/>
      <c r="C203" s="542"/>
      <c r="D203" s="211">
        <f t="shared" si="16"/>
        <v>194</v>
      </c>
      <c r="E203" s="347">
        <v>33.229999999999997</v>
      </c>
      <c r="F203" s="18">
        <f t="shared" si="14"/>
        <v>32.831999999999994</v>
      </c>
      <c r="G203" s="18" t="s">
        <v>9</v>
      </c>
      <c r="H203" s="18">
        <f t="shared" si="12"/>
        <v>6083.5980000000009</v>
      </c>
      <c r="I203" s="18">
        <f t="shared" si="15"/>
        <v>4069.2619999999997</v>
      </c>
      <c r="J203" s="216">
        <f t="shared" si="13"/>
        <v>223.01820208220016</v>
      </c>
      <c r="K203" s="229"/>
      <c r="L203" s="173"/>
    </row>
    <row r="204" spans="1:12">
      <c r="A204" s="540" t="s">
        <v>98</v>
      </c>
      <c r="B204" s="541"/>
      <c r="C204" s="542"/>
      <c r="D204" s="211">
        <f t="shared" si="16"/>
        <v>193</v>
      </c>
      <c r="E204" s="347">
        <v>33.369999999999997</v>
      </c>
      <c r="F204" s="18">
        <f t="shared" si="14"/>
        <v>32.971999999999994</v>
      </c>
      <c r="G204" s="18" t="s">
        <v>9</v>
      </c>
      <c r="H204" s="18">
        <f t="shared" si="12"/>
        <v>6116.5700000000006</v>
      </c>
      <c r="I204" s="18">
        <f t="shared" si="15"/>
        <v>4036.29</v>
      </c>
      <c r="J204" s="216">
        <f t="shared" si="13"/>
        <v>223.76623575553856</v>
      </c>
      <c r="K204" s="229"/>
      <c r="L204" s="173"/>
    </row>
    <row r="205" spans="1:12">
      <c r="A205" s="540" t="s">
        <v>98</v>
      </c>
      <c r="B205" s="541"/>
      <c r="C205" s="542"/>
      <c r="D205" s="211">
        <f t="shared" si="16"/>
        <v>192</v>
      </c>
      <c r="E205" s="347">
        <v>33.04</v>
      </c>
      <c r="F205" s="18">
        <f t="shared" si="14"/>
        <v>32.641999999999996</v>
      </c>
      <c r="G205" s="18" t="s">
        <v>9</v>
      </c>
      <c r="H205" s="18">
        <f t="shared" ref="H205:H268" si="17">IF(G205="IN",H204+F205,H204)</f>
        <v>6149.2120000000004</v>
      </c>
      <c r="I205" s="18">
        <f t="shared" si="15"/>
        <v>4003.6480000000001</v>
      </c>
      <c r="J205" s="216">
        <f t="shared" si="13"/>
        <v>224.50678273980139</v>
      </c>
      <c r="K205" s="229"/>
      <c r="L205" s="173"/>
    </row>
    <row r="206" spans="1:12">
      <c r="A206" s="540" t="s">
        <v>98</v>
      </c>
      <c r="B206" s="541"/>
      <c r="C206" s="542"/>
      <c r="D206" s="211">
        <f t="shared" si="16"/>
        <v>191</v>
      </c>
      <c r="E206" s="347">
        <v>33.24</v>
      </c>
      <c r="F206" s="18">
        <f t="shared" si="14"/>
        <v>32.841999999999999</v>
      </c>
      <c r="G206" s="18" t="s">
        <v>9</v>
      </c>
      <c r="H206" s="18">
        <f t="shared" si="17"/>
        <v>6182.0540000000001</v>
      </c>
      <c r="I206" s="18">
        <f t="shared" si="15"/>
        <v>3970.8060000000005</v>
      </c>
      <c r="J206" s="216">
        <f t="shared" si="13"/>
        <v>225.25186711138275</v>
      </c>
      <c r="K206" s="229"/>
      <c r="L206" s="173"/>
    </row>
    <row r="207" spans="1:12">
      <c r="A207" s="540" t="s">
        <v>98</v>
      </c>
      <c r="B207" s="541"/>
      <c r="C207" s="542"/>
      <c r="D207" s="211">
        <f t="shared" si="16"/>
        <v>190</v>
      </c>
      <c r="E207" s="347">
        <v>33.700000000000003</v>
      </c>
      <c r="F207" s="18">
        <f t="shared" si="14"/>
        <v>33.302</v>
      </c>
      <c r="G207" s="18" t="s">
        <v>9</v>
      </c>
      <c r="H207" s="18">
        <f t="shared" si="17"/>
        <v>6215.3559999999998</v>
      </c>
      <c r="I207" s="18">
        <f t="shared" si="15"/>
        <v>3937.5040000000008</v>
      </c>
      <c r="J207" s="216">
        <f t="shared" si="13"/>
        <v>226.0073874737968</v>
      </c>
      <c r="K207" s="229"/>
      <c r="L207" s="173"/>
    </row>
    <row r="208" spans="1:12">
      <c r="A208" s="540" t="s">
        <v>98</v>
      </c>
      <c r="B208" s="541"/>
      <c r="C208" s="542"/>
      <c r="D208" s="211">
        <f t="shared" si="16"/>
        <v>189</v>
      </c>
      <c r="E208" s="347">
        <v>33.369999999999997</v>
      </c>
      <c r="F208" s="18">
        <f t="shared" si="14"/>
        <v>32.971999999999994</v>
      </c>
      <c r="G208" s="18" t="s">
        <v>9</v>
      </c>
      <c r="H208" s="18">
        <f t="shared" si="17"/>
        <v>6248.3279999999995</v>
      </c>
      <c r="I208" s="18">
        <f t="shared" si="15"/>
        <v>3904.5320000000011</v>
      </c>
      <c r="J208" s="216">
        <f t="shared" ref="J208:J271" si="18">$G$6+(H208*$E$7*$G$8/1000)</f>
        <v>226.75542114713519</v>
      </c>
      <c r="K208" s="229"/>
      <c r="L208" s="173"/>
    </row>
    <row r="209" spans="1:12">
      <c r="A209" s="540" t="s">
        <v>98</v>
      </c>
      <c r="B209" s="541"/>
      <c r="C209" s="542"/>
      <c r="D209" s="211">
        <f t="shared" si="16"/>
        <v>188</v>
      </c>
      <c r="E209" s="347">
        <v>32.81</v>
      </c>
      <c r="F209" s="18">
        <f t="shared" si="14"/>
        <v>32.411999999999999</v>
      </c>
      <c r="G209" s="18" t="s">
        <v>9</v>
      </c>
      <c r="H209" s="18">
        <f t="shared" si="17"/>
        <v>6280.74</v>
      </c>
      <c r="I209" s="18">
        <f t="shared" si="15"/>
        <v>3872.1200000000008</v>
      </c>
      <c r="J209" s="216">
        <f t="shared" si="18"/>
        <v>227.49075013598164</v>
      </c>
      <c r="K209" s="229"/>
      <c r="L209" s="173"/>
    </row>
    <row r="210" spans="1:12">
      <c r="A210" s="540" t="s">
        <v>98</v>
      </c>
      <c r="B210" s="541"/>
      <c r="C210" s="542"/>
      <c r="D210" s="211">
        <f t="shared" si="16"/>
        <v>187</v>
      </c>
      <c r="E210" s="347">
        <v>33.450000000000003</v>
      </c>
      <c r="F210" s="18">
        <f t="shared" si="14"/>
        <v>33.052</v>
      </c>
      <c r="G210" s="18" t="s">
        <v>9</v>
      </c>
      <c r="H210" s="18">
        <f t="shared" si="17"/>
        <v>6313.7919999999995</v>
      </c>
      <c r="I210" s="18">
        <f t="shared" si="15"/>
        <v>3839.0680000000011</v>
      </c>
      <c r="J210" s="216">
        <f t="shared" si="18"/>
        <v>228.24059876424749</v>
      </c>
      <c r="K210" s="229"/>
      <c r="L210" s="173"/>
    </row>
    <row r="211" spans="1:12">
      <c r="A211" s="540" t="s">
        <v>98</v>
      </c>
      <c r="B211" s="541"/>
      <c r="C211" s="542"/>
      <c r="D211" s="211">
        <f t="shared" si="16"/>
        <v>186</v>
      </c>
      <c r="E211" s="347">
        <v>31.8</v>
      </c>
      <c r="F211" s="18">
        <f t="shared" si="14"/>
        <v>31.402000000000001</v>
      </c>
      <c r="G211" s="18" t="s">
        <v>9</v>
      </c>
      <c r="H211" s="18">
        <f t="shared" si="17"/>
        <v>6345.1939999999995</v>
      </c>
      <c r="I211" s="18">
        <f t="shared" si="15"/>
        <v>3807.6660000000011</v>
      </c>
      <c r="J211" s="216">
        <f t="shared" si="18"/>
        <v>228.95301394713522</v>
      </c>
      <c r="K211" s="229"/>
      <c r="L211" s="173"/>
    </row>
    <row r="212" spans="1:12">
      <c r="A212" s="540" t="s">
        <v>98</v>
      </c>
      <c r="B212" s="541"/>
      <c r="C212" s="542"/>
      <c r="D212" s="211">
        <f t="shared" si="16"/>
        <v>185</v>
      </c>
      <c r="E212" s="347">
        <v>32.950000000000003</v>
      </c>
      <c r="F212" s="18">
        <f t="shared" si="14"/>
        <v>32.552</v>
      </c>
      <c r="G212" s="18" t="s">
        <v>9</v>
      </c>
      <c r="H212" s="18">
        <f t="shared" si="17"/>
        <v>6377.7459999999992</v>
      </c>
      <c r="I212" s="18">
        <f t="shared" si="15"/>
        <v>3775.1140000000014</v>
      </c>
      <c r="J212" s="216">
        <f t="shared" si="18"/>
        <v>229.69151910710463</v>
      </c>
      <c r="K212" s="229"/>
      <c r="L212" s="173"/>
    </row>
    <row r="213" spans="1:12">
      <c r="A213" s="540" t="s">
        <v>98</v>
      </c>
      <c r="B213" s="541"/>
      <c r="C213" s="542"/>
      <c r="D213" s="211">
        <f t="shared" si="16"/>
        <v>184</v>
      </c>
      <c r="E213" s="347">
        <v>33.44</v>
      </c>
      <c r="F213" s="18">
        <f t="shared" si="14"/>
        <v>33.041999999999994</v>
      </c>
      <c r="G213" s="18" t="s">
        <v>9</v>
      </c>
      <c r="H213" s="18">
        <f t="shared" si="17"/>
        <v>6410.7879999999996</v>
      </c>
      <c r="I213" s="18">
        <f t="shared" si="15"/>
        <v>3742.072000000001</v>
      </c>
      <c r="J213" s="216">
        <f t="shared" si="18"/>
        <v>230.44114086600456</v>
      </c>
      <c r="K213" s="229"/>
      <c r="L213" s="173"/>
    </row>
    <row r="214" spans="1:12">
      <c r="A214" s="540" t="s">
        <v>98</v>
      </c>
      <c r="B214" s="541"/>
      <c r="C214" s="542"/>
      <c r="D214" s="211">
        <f t="shared" si="16"/>
        <v>183</v>
      </c>
      <c r="E214" s="347">
        <v>32.89</v>
      </c>
      <c r="F214" s="18">
        <f t="shared" si="14"/>
        <v>32.491999999999997</v>
      </c>
      <c r="G214" s="18" t="s">
        <v>9</v>
      </c>
      <c r="H214" s="18">
        <f t="shared" si="17"/>
        <v>6443.28</v>
      </c>
      <c r="I214" s="18">
        <f t="shared" si="15"/>
        <v>3709.5800000000008</v>
      </c>
      <c r="J214" s="216">
        <f t="shared" si="18"/>
        <v>231.17828480977843</v>
      </c>
      <c r="K214" s="229"/>
      <c r="L214" s="173"/>
    </row>
    <row r="215" spans="1:12">
      <c r="A215" s="540" t="s">
        <v>98</v>
      </c>
      <c r="B215" s="541"/>
      <c r="C215" s="542"/>
      <c r="D215" s="211">
        <f t="shared" si="16"/>
        <v>182</v>
      </c>
      <c r="E215" s="347">
        <v>32.979999999999997</v>
      </c>
      <c r="F215" s="18">
        <f t="shared" ref="F215:F278" si="19">E215-($E$9)</f>
        <v>32.581999999999994</v>
      </c>
      <c r="G215" s="18" t="s">
        <v>9</v>
      </c>
      <c r="H215" s="18">
        <f t="shared" si="17"/>
        <v>6475.8620000000001</v>
      </c>
      <c r="I215" s="18">
        <f t="shared" ref="I215:I278" si="20">IF(H215="","",$K$6-H215)</f>
        <v>3676.9980000000005</v>
      </c>
      <c r="J215" s="216">
        <f t="shared" si="18"/>
        <v>231.91747057784568</v>
      </c>
      <c r="K215" s="229"/>
      <c r="L215" s="173"/>
    </row>
    <row r="216" spans="1:12">
      <c r="A216" s="540" t="s">
        <v>98</v>
      </c>
      <c r="B216" s="541"/>
      <c r="C216" s="542"/>
      <c r="D216" s="211">
        <f t="shared" ref="D216:D279" si="21">D215-1</f>
        <v>181</v>
      </c>
      <c r="E216" s="347">
        <v>33.44</v>
      </c>
      <c r="F216" s="18">
        <f t="shared" si="19"/>
        <v>33.041999999999994</v>
      </c>
      <c r="G216" s="18" t="s">
        <v>9</v>
      </c>
      <c r="H216" s="18">
        <f t="shared" si="17"/>
        <v>6508.9040000000005</v>
      </c>
      <c r="I216" s="18">
        <f t="shared" si="20"/>
        <v>3643.9560000000001</v>
      </c>
      <c r="J216" s="216">
        <f t="shared" si="18"/>
        <v>232.66709233674561</v>
      </c>
      <c r="K216" s="229"/>
      <c r="L216" s="173"/>
    </row>
    <row r="217" spans="1:12">
      <c r="A217" s="540" t="s">
        <v>98</v>
      </c>
      <c r="B217" s="541"/>
      <c r="C217" s="542"/>
      <c r="D217" s="211">
        <f t="shared" si="21"/>
        <v>180</v>
      </c>
      <c r="E217" s="347">
        <v>33.68</v>
      </c>
      <c r="F217" s="18">
        <f t="shared" si="19"/>
        <v>33.281999999999996</v>
      </c>
      <c r="G217" s="18" t="s">
        <v>9</v>
      </c>
      <c r="H217" s="18">
        <f t="shared" si="17"/>
        <v>6542.1860000000006</v>
      </c>
      <c r="I217" s="18">
        <f t="shared" si="20"/>
        <v>3610.674</v>
      </c>
      <c r="J217" s="216">
        <f t="shared" si="18"/>
        <v>233.42215896042779</v>
      </c>
      <c r="K217" s="229"/>
      <c r="L217" s="173"/>
    </row>
    <row r="218" spans="1:12">
      <c r="A218" s="540" t="s">
        <v>98</v>
      </c>
      <c r="B218" s="541"/>
      <c r="C218" s="542"/>
      <c r="D218" s="211">
        <f t="shared" si="21"/>
        <v>179</v>
      </c>
      <c r="E218" s="347">
        <v>33.43</v>
      </c>
      <c r="F218" s="18">
        <f t="shared" si="19"/>
        <v>33.031999999999996</v>
      </c>
      <c r="G218" s="18" t="s">
        <v>9</v>
      </c>
      <c r="H218" s="18">
        <f t="shared" si="17"/>
        <v>6575.2180000000008</v>
      </c>
      <c r="I218" s="18">
        <f t="shared" si="20"/>
        <v>3577.6419999999998</v>
      </c>
      <c r="J218" s="216">
        <f t="shared" si="18"/>
        <v>234.17155384996178</v>
      </c>
      <c r="K218" s="229"/>
      <c r="L218" s="173"/>
    </row>
    <row r="219" spans="1:12">
      <c r="A219" s="540" t="s">
        <v>98</v>
      </c>
      <c r="B219" s="541"/>
      <c r="C219" s="542"/>
      <c r="D219" s="211">
        <f t="shared" si="21"/>
        <v>178</v>
      </c>
      <c r="E219" s="347">
        <v>33.6</v>
      </c>
      <c r="F219" s="18">
        <f t="shared" si="19"/>
        <v>33.201999999999998</v>
      </c>
      <c r="G219" s="18" t="s">
        <v>9</v>
      </c>
      <c r="H219" s="18">
        <f t="shared" si="17"/>
        <v>6608.420000000001</v>
      </c>
      <c r="I219" s="18">
        <f t="shared" si="20"/>
        <v>3544.4399999999996</v>
      </c>
      <c r="J219" s="216">
        <f t="shared" si="18"/>
        <v>234.92480551871657</v>
      </c>
      <c r="K219" s="229"/>
      <c r="L219" s="173"/>
    </row>
    <row r="220" spans="1:12">
      <c r="A220" s="540" t="s">
        <v>98</v>
      </c>
      <c r="B220" s="541"/>
      <c r="C220" s="542"/>
      <c r="D220" s="211">
        <f t="shared" si="21"/>
        <v>177</v>
      </c>
      <c r="E220" s="347">
        <v>33.6</v>
      </c>
      <c r="F220" s="18">
        <f t="shared" si="19"/>
        <v>33.201999999999998</v>
      </c>
      <c r="G220" s="18" t="s">
        <v>9</v>
      </c>
      <c r="H220" s="18">
        <f t="shared" si="17"/>
        <v>6641.6220000000012</v>
      </c>
      <c r="I220" s="18">
        <f t="shared" si="20"/>
        <v>3511.2379999999994</v>
      </c>
      <c r="J220" s="216">
        <f t="shared" si="18"/>
        <v>235.67805718747135</v>
      </c>
      <c r="K220" s="229"/>
      <c r="L220" s="173"/>
    </row>
    <row r="221" spans="1:12">
      <c r="A221" s="540" t="s">
        <v>98</v>
      </c>
      <c r="B221" s="541"/>
      <c r="C221" s="542"/>
      <c r="D221" s="211">
        <f t="shared" si="21"/>
        <v>176</v>
      </c>
      <c r="E221" s="347">
        <v>33.71</v>
      </c>
      <c r="F221" s="18">
        <f t="shared" si="19"/>
        <v>33.311999999999998</v>
      </c>
      <c r="G221" s="18" t="s">
        <v>9</v>
      </c>
      <c r="H221" s="18">
        <f t="shared" si="17"/>
        <v>6674.9340000000011</v>
      </c>
      <c r="I221" s="18">
        <f t="shared" si="20"/>
        <v>3477.9259999999995</v>
      </c>
      <c r="J221" s="216">
        <f t="shared" si="18"/>
        <v>236.43380441925137</v>
      </c>
      <c r="K221" s="229"/>
      <c r="L221" s="173"/>
    </row>
    <row r="222" spans="1:12">
      <c r="A222" s="540" t="s">
        <v>98</v>
      </c>
      <c r="B222" s="541"/>
      <c r="C222" s="542"/>
      <c r="D222" s="211">
        <f t="shared" si="21"/>
        <v>175</v>
      </c>
      <c r="E222" s="347">
        <v>33.6</v>
      </c>
      <c r="F222" s="18">
        <f t="shared" si="19"/>
        <v>33.201999999999998</v>
      </c>
      <c r="G222" s="18" t="s">
        <v>9</v>
      </c>
      <c r="H222" s="18">
        <f t="shared" si="17"/>
        <v>6708.1360000000013</v>
      </c>
      <c r="I222" s="18">
        <f t="shared" si="20"/>
        <v>3444.7239999999993</v>
      </c>
      <c r="J222" s="216">
        <f t="shared" si="18"/>
        <v>237.18705608800613</v>
      </c>
      <c r="K222" s="229"/>
      <c r="L222" s="173"/>
    </row>
    <row r="223" spans="1:12">
      <c r="A223" s="540" t="s">
        <v>98</v>
      </c>
      <c r="B223" s="541"/>
      <c r="C223" s="542"/>
      <c r="D223" s="211">
        <f t="shared" si="21"/>
        <v>174</v>
      </c>
      <c r="E223" s="347">
        <v>33.93</v>
      </c>
      <c r="F223" s="18">
        <f t="shared" si="19"/>
        <v>33.531999999999996</v>
      </c>
      <c r="G223" s="18" t="s">
        <v>9</v>
      </c>
      <c r="H223" s="18">
        <f t="shared" si="17"/>
        <v>6741.6680000000015</v>
      </c>
      <c r="I223" s="18">
        <f t="shared" si="20"/>
        <v>3411.1919999999991</v>
      </c>
      <c r="J223" s="216">
        <f t="shared" si="18"/>
        <v>237.94779444583654</v>
      </c>
      <c r="K223" s="229"/>
      <c r="L223" s="173"/>
    </row>
    <row r="224" spans="1:12">
      <c r="A224" s="540" t="s">
        <v>98</v>
      </c>
      <c r="B224" s="541"/>
      <c r="C224" s="542"/>
      <c r="D224" s="211">
        <f t="shared" si="21"/>
        <v>173</v>
      </c>
      <c r="E224" s="347">
        <v>33.76</v>
      </c>
      <c r="F224" s="18">
        <f t="shared" si="19"/>
        <v>33.361999999999995</v>
      </c>
      <c r="G224" s="18" t="s">
        <v>9</v>
      </c>
      <c r="H224" s="18">
        <f t="shared" si="17"/>
        <v>6775.0300000000016</v>
      </c>
      <c r="I224" s="18">
        <f t="shared" si="20"/>
        <v>3377.829999999999</v>
      </c>
      <c r="J224" s="216">
        <f t="shared" si="18"/>
        <v>238.70467602444614</v>
      </c>
      <c r="K224" s="229"/>
      <c r="L224" s="173"/>
    </row>
    <row r="225" spans="1:12">
      <c r="A225" s="540" t="s">
        <v>98</v>
      </c>
      <c r="B225" s="541"/>
      <c r="C225" s="542"/>
      <c r="D225" s="211">
        <f t="shared" si="21"/>
        <v>172</v>
      </c>
      <c r="E225" s="347">
        <v>33.86</v>
      </c>
      <c r="F225" s="18">
        <f t="shared" si="19"/>
        <v>33.461999999999996</v>
      </c>
      <c r="G225" s="18" t="s">
        <v>9</v>
      </c>
      <c r="H225" s="18">
        <f t="shared" si="17"/>
        <v>6808.492000000002</v>
      </c>
      <c r="I225" s="18">
        <f t="shared" si="20"/>
        <v>3344.3679999999986</v>
      </c>
      <c r="J225" s="216">
        <f t="shared" si="18"/>
        <v>239.46382629671507</v>
      </c>
      <c r="K225" s="229"/>
      <c r="L225" s="173"/>
    </row>
    <row r="226" spans="1:12">
      <c r="A226" s="540" t="s">
        <v>98</v>
      </c>
      <c r="B226" s="541"/>
      <c r="C226" s="542"/>
      <c r="D226" s="211">
        <f t="shared" si="21"/>
        <v>171</v>
      </c>
      <c r="E226" s="347">
        <v>33.72</v>
      </c>
      <c r="F226" s="18">
        <f t="shared" si="19"/>
        <v>33.321999999999996</v>
      </c>
      <c r="G226" s="18" t="s">
        <v>9</v>
      </c>
      <c r="H226" s="18">
        <f t="shared" si="17"/>
        <v>6841.8140000000021</v>
      </c>
      <c r="I226" s="18">
        <f t="shared" si="20"/>
        <v>3311.0459999999985</v>
      </c>
      <c r="J226" s="216">
        <f t="shared" si="18"/>
        <v>240.21980039786098</v>
      </c>
      <c r="K226" s="229"/>
      <c r="L226" s="173"/>
    </row>
    <row r="227" spans="1:12">
      <c r="A227" s="540" t="s">
        <v>98</v>
      </c>
      <c r="B227" s="541"/>
      <c r="C227" s="542"/>
      <c r="D227" s="211">
        <f t="shared" si="21"/>
        <v>170</v>
      </c>
      <c r="E227" s="347">
        <v>33.94</v>
      </c>
      <c r="F227" s="18">
        <f t="shared" si="19"/>
        <v>33.541999999999994</v>
      </c>
      <c r="G227" s="18" t="s">
        <v>9</v>
      </c>
      <c r="H227" s="18">
        <f t="shared" si="17"/>
        <v>6875.3560000000025</v>
      </c>
      <c r="I227" s="18">
        <f t="shared" si="20"/>
        <v>3277.5039999999981</v>
      </c>
      <c r="J227" s="216">
        <f t="shared" si="18"/>
        <v>240.98076562505733</v>
      </c>
      <c r="K227" s="229"/>
      <c r="L227" s="173"/>
    </row>
    <row r="228" spans="1:12">
      <c r="A228" s="540" t="s">
        <v>98</v>
      </c>
      <c r="B228" s="541"/>
      <c r="C228" s="542"/>
      <c r="D228" s="211">
        <f t="shared" si="21"/>
        <v>169</v>
      </c>
      <c r="E228" s="347">
        <v>33.94</v>
      </c>
      <c r="F228" s="18">
        <f t="shared" si="19"/>
        <v>33.541999999999994</v>
      </c>
      <c r="G228" s="18" t="s">
        <v>9</v>
      </c>
      <c r="H228" s="18">
        <f t="shared" si="17"/>
        <v>6908.8980000000029</v>
      </c>
      <c r="I228" s="18">
        <f t="shared" si="20"/>
        <v>3243.9619999999977</v>
      </c>
      <c r="J228" s="216">
        <f t="shared" si="18"/>
        <v>241.74173085225371</v>
      </c>
      <c r="K228" s="229"/>
      <c r="L228" s="173"/>
    </row>
    <row r="229" spans="1:12">
      <c r="A229" s="540" t="s">
        <v>98</v>
      </c>
      <c r="B229" s="541"/>
      <c r="C229" s="542"/>
      <c r="D229" s="211">
        <f t="shared" si="21"/>
        <v>168</v>
      </c>
      <c r="E229" s="347">
        <v>33.32</v>
      </c>
      <c r="F229" s="18">
        <f t="shared" si="19"/>
        <v>32.921999999999997</v>
      </c>
      <c r="G229" s="18" t="s">
        <v>9</v>
      </c>
      <c r="H229" s="18">
        <f t="shared" si="17"/>
        <v>6941.8200000000024</v>
      </c>
      <c r="I229" s="18">
        <f t="shared" si="20"/>
        <v>3211.0399999999981</v>
      </c>
      <c r="J229" s="216">
        <f t="shared" si="18"/>
        <v>242.48863017876246</v>
      </c>
      <c r="K229" s="229"/>
      <c r="L229" s="173"/>
    </row>
    <row r="230" spans="1:12">
      <c r="A230" s="540" t="s">
        <v>98</v>
      </c>
      <c r="B230" s="541"/>
      <c r="C230" s="542"/>
      <c r="D230" s="211">
        <f t="shared" si="21"/>
        <v>167</v>
      </c>
      <c r="E230" s="347">
        <v>33.82</v>
      </c>
      <c r="F230" s="18">
        <f t="shared" si="19"/>
        <v>33.421999999999997</v>
      </c>
      <c r="G230" s="18" t="s">
        <v>9</v>
      </c>
      <c r="H230" s="18">
        <f t="shared" si="17"/>
        <v>6975.242000000002</v>
      </c>
      <c r="I230" s="18">
        <f t="shared" si="20"/>
        <v>3177.6179999999986</v>
      </c>
      <c r="J230" s="216">
        <f t="shared" si="18"/>
        <v>243.24687297356763</v>
      </c>
      <c r="K230" s="229"/>
      <c r="L230" s="173"/>
    </row>
    <row r="231" spans="1:12">
      <c r="A231" s="540" t="s">
        <v>98</v>
      </c>
      <c r="B231" s="541"/>
      <c r="C231" s="542"/>
      <c r="D231" s="211">
        <f t="shared" si="21"/>
        <v>166</v>
      </c>
      <c r="E231" s="347">
        <v>33.409999999999997</v>
      </c>
      <c r="F231" s="18">
        <f t="shared" si="19"/>
        <v>33.011999999999993</v>
      </c>
      <c r="G231" s="18" t="s">
        <v>9</v>
      </c>
      <c r="H231" s="18">
        <f t="shared" si="17"/>
        <v>7008.2540000000017</v>
      </c>
      <c r="I231" s="18">
        <f t="shared" si="20"/>
        <v>3144.6059999999989</v>
      </c>
      <c r="J231" s="216">
        <f t="shared" si="18"/>
        <v>243.99581412436979</v>
      </c>
      <c r="K231" s="229"/>
      <c r="L231" s="173"/>
    </row>
    <row r="232" spans="1:12">
      <c r="A232" s="540" t="s">
        <v>98</v>
      </c>
      <c r="B232" s="541"/>
      <c r="C232" s="542"/>
      <c r="D232" s="211">
        <f t="shared" si="21"/>
        <v>165</v>
      </c>
      <c r="E232" s="347">
        <v>31.97</v>
      </c>
      <c r="F232" s="18">
        <f t="shared" si="19"/>
        <v>31.571999999999999</v>
      </c>
      <c r="G232" s="18" t="s">
        <v>9</v>
      </c>
      <c r="H232" s="18">
        <f t="shared" si="17"/>
        <v>7039.8260000000018</v>
      </c>
      <c r="I232" s="18">
        <f t="shared" si="20"/>
        <v>3113.0339999999987</v>
      </c>
      <c r="J232" s="216">
        <f t="shared" si="18"/>
        <v>244.71208608647825</v>
      </c>
      <c r="K232" s="229"/>
      <c r="L232" s="173"/>
    </row>
    <row r="233" spans="1:12">
      <c r="A233" s="540" t="s">
        <v>98</v>
      </c>
      <c r="B233" s="541"/>
      <c r="C233" s="542"/>
      <c r="D233" s="211">
        <f t="shared" si="21"/>
        <v>164</v>
      </c>
      <c r="E233" s="347">
        <v>33.42</v>
      </c>
      <c r="F233" s="18">
        <f t="shared" si="19"/>
        <v>33.021999999999998</v>
      </c>
      <c r="G233" s="18" t="s">
        <v>9</v>
      </c>
      <c r="H233" s="18">
        <f t="shared" si="17"/>
        <v>7072.8480000000018</v>
      </c>
      <c r="I233" s="18">
        <f t="shared" si="20"/>
        <v>3080.0119999999988</v>
      </c>
      <c r="J233" s="216">
        <f t="shared" si="18"/>
        <v>245.46125410664632</v>
      </c>
      <c r="K233" s="229"/>
      <c r="L233" s="173"/>
    </row>
    <row r="234" spans="1:12">
      <c r="A234" s="540" t="s">
        <v>98</v>
      </c>
      <c r="B234" s="541"/>
      <c r="C234" s="542"/>
      <c r="D234" s="211">
        <f t="shared" si="21"/>
        <v>163</v>
      </c>
      <c r="E234" s="347">
        <v>33.590000000000003</v>
      </c>
      <c r="F234" s="18">
        <f t="shared" si="19"/>
        <v>33.192</v>
      </c>
      <c r="G234" s="18" t="s">
        <v>9</v>
      </c>
      <c r="H234" s="18">
        <f t="shared" si="17"/>
        <v>7106.0400000000018</v>
      </c>
      <c r="I234" s="18">
        <f t="shared" si="20"/>
        <v>3046.8199999999988</v>
      </c>
      <c r="J234" s="216">
        <f t="shared" si="18"/>
        <v>246.21427890603516</v>
      </c>
      <c r="K234" s="229"/>
      <c r="L234" s="173"/>
    </row>
    <row r="235" spans="1:12">
      <c r="A235" s="540" t="s">
        <v>98</v>
      </c>
      <c r="B235" s="541"/>
      <c r="C235" s="542"/>
      <c r="D235" s="211">
        <f t="shared" si="21"/>
        <v>162</v>
      </c>
      <c r="E235" s="347">
        <v>32.32</v>
      </c>
      <c r="F235" s="18">
        <f t="shared" si="19"/>
        <v>31.922000000000001</v>
      </c>
      <c r="G235" s="18" t="s">
        <v>9</v>
      </c>
      <c r="H235" s="18">
        <f t="shared" si="17"/>
        <v>7137.9620000000014</v>
      </c>
      <c r="I235" s="18">
        <f t="shared" si="20"/>
        <v>3014.8979999999992</v>
      </c>
      <c r="J235" s="216">
        <f t="shared" si="18"/>
        <v>246.93849129595114</v>
      </c>
      <c r="K235" s="229"/>
      <c r="L235" s="173"/>
    </row>
    <row r="236" spans="1:12">
      <c r="A236" s="540" t="s">
        <v>98</v>
      </c>
      <c r="B236" s="541"/>
      <c r="C236" s="542"/>
      <c r="D236" s="211">
        <f t="shared" si="21"/>
        <v>161</v>
      </c>
      <c r="E236" s="347">
        <v>33.229999999999997</v>
      </c>
      <c r="F236" s="18">
        <f t="shared" si="19"/>
        <v>32.831999999999994</v>
      </c>
      <c r="G236" s="18" t="s">
        <v>9</v>
      </c>
      <c r="H236" s="18">
        <f t="shared" si="17"/>
        <v>7170.7940000000017</v>
      </c>
      <c r="I236" s="18">
        <f t="shared" si="20"/>
        <v>2982.0659999999989</v>
      </c>
      <c r="J236" s="216">
        <f t="shared" si="18"/>
        <v>247.68334879816655</v>
      </c>
      <c r="K236" s="229"/>
      <c r="L236" s="173"/>
    </row>
    <row r="237" spans="1:12">
      <c r="A237" s="540" t="s">
        <v>98</v>
      </c>
      <c r="B237" s="541"/>
      <c r="C237" s="542"/>
      <c r="D237" s="211">
        <f t="shared" si="21"/>
        <v>160</v>
      </c>
      <c r="E237" s="347">
        <v>33.630000000000003</v>
      </c>
      <c r="F237" s="18">
        <f t="shared" si="19"/>
        <v>33.231999999999999</v>
      </c>
      <c r="G237" s="18" t="s">
        <v>9</v>
      </c>
      <c r="H237" s="18">
        <f t="shared" si="17"/>
        <v>7204.0260000000017</v>
      </c>
      <c r="I237" s="18">
        <f t="shared" si="20"/>
        <v>2948.8339999999989</v>
      </c>
      <c r="J237" s="216">
        <f t="shared" si="18"/>
        <v>248.43728107501911</v>
      </c>
      <c r="K237" s="229"/>
      <c r="L237" s="173"/>
    </row>
    <row r="238" spans="1:12">
      <c r="A238" s="540" t="s">
        <v>98</v>
      </c>
      <c r="B238" s="541"/>
      <c r="C238" s="542"/>
      <c r="D238" s="211">
        <f t="shared" si="21"/>
        <v>159</v>
      </c>
      <c r="E238" s="347">
        <v>33.49</v>
      </c>
      <c r="F238" s="18">
        <f t="shared" si="19"/>
        <v>33.091999999999999</v>
      </c>
      <c r="G238" s="18" t="s">
        <v>9</v>
      </c>
      <c r="H238" s="18">
        <f t="shared" si="17"/>
        <v>7237.1180000000013</v>
      </c>
      <c r="I238" s="18">
        <f t="shared" si="20"/>
        <v>2915.7419999999993</v>
      </c>
      <c r="J238" s="216">
        <f t="shared" si="18"/>
        <v>249.18803718074869</v>
      </c>
      <c r="K238" s="229"/>
      <c r="L238" s="173"/>
    </row>
    <row r="239" spans="1:12">
      <c r="A239" s="540" t="s">
        <v>98</v>
      </c>
      <c r="B239" s="541"/>
      <c r="C239" s="542"/>
      <c r="D239" s="211">
        <f t="shared" si="21"/>
        <v>158</v>
      </c>
      <c r="E239" s="347">
        <v>33.81</v>
      </c>
      <c r="F239" s="18">
        <f t="shared" si="19"/>
        <v>33.411999999999999</v>
      </c>
      <c r="G239" s="18" t="s">
        <v>9</v>
      </c>
      <c r="H239" s="18">
        <f t="shared" si="17"/>
        <v>7270.5300000000016</v>
      </c>
      <c r="I239" s="18">
        <f t="shared" si="20"/>
        <v>2882.329999999999</v>
      </c>
      <c r="J239" s="216">
        <f t="shared" si="18"/>
        <v>249.94605310618792</v>
      </c>
      <c r="K239" s="229"/>
      <c r="L239" s="173"/>
    </row>
    <row r="240" spans="1:12">
      <c r="A240" s="540" t="s">
        <v>98</v>
      </c>
      <c r="B240" s="541"/>
      <c r="C240" s="542"/>
      <c r="D240" s="211">
        <f t="shared" si="21"/>
        <v>157</v>
      </c>
      <c r="E240" s="347">
        <v>33.93</v>
      </c>
      <c r="F240" s="18">
        <f t="shared" si="19"/>
        <v>33.531999999999996</v>
      </c>
      <c r="G240" s="18" t="s">
        <v>9</v>
      </c>
      <c r="H240" s="18">
        <f t="shared" si="17"/>
        <v>7304.0620000000017</v>
      </c>
      <c r="I240" s="18">
        <f t="shared" si="20"/>
        <v>2848.7979999999989</v>
      </c>
      <c r="J240" s="216">
        <f t="shared" si="18"/>
        <v>250.70679146401838</v>
      </c>
      <c r="K240" s="229"/>
      <c r="L240" s="173"/>
    </row>
    <row r="241" spans="1:12">
      <c r="A241" s="540" t="s">
        <v>98</v>
      </c>
      <c r="B241" s="541"/>
      <c r="C241" s="542"/>
      <c r="D241" s="211">
        <f t="shared" si="21"/>
        <v>156</v>
      </c>
      <c r="E241" s="347">
        <v>33.68</v>
      </c>
      <c r="F241" s="18">
        <f t="shared" si="19"/>
        <v>33.281999999999996</v>
      </c>
      <c r="G241" s="18" t="s">
        <v>9</v>
      </c>
      <c r="H241" s="18">
        <f t="shared" si="17"/>
        <v>7337.3440000000019</v>
      </c>
      <c r="I241" s="18">
        <f t="shared" si="20"/>
        <v>2815.5159999999987</v>
      </c>
      <c r="J241" s="216">
        <f t="shared" si="18"/>
        <v>251.46185808770056</v>
      </c>
      <c r="K241" s="229"/>
      <c r="L241" s="173"/>
    </row>
    <row r="242" spans="1:12">
      <c r="A242" s="540" t="s">
        <v>98</v>
      </c>
      <c r="B242" s="541"/>
      <c r="C242" s="542"/>
      <c r="D242" s="211">
        <f t="shared" si="21"/>
        <v>155</v>
      </c>
      <c r="E242" s="347">
        <v>33.94</v>
      </c>
      <c r="F242" s="18">
        <f t="shared" si="19"/>
        <v>33.541999999999994</v>
      </c>
      <c r="G242" s="18" t="s">
        <v>9</v>
      </c>
      <c r="H242" s="18">
        <f t="shared" si="17"/>
        <v>7370.8860000000022</v>
      </c>
      <c r="I242" s="18">
        <f t="shared" si="20"/>
        <v>2781.9739999999983</v>
      </c>
      <c r="J242" s="216">
        <f t="shared" si="18"/>
        <v>252.22282331489691</v>
      </c>
      <c r="K242" s="229"/>
      <c r="L242" s="173"/>
    </row>
    <row r="243" spans="1:12">
      <c r="A243" s="540" t="s">
        <v>98</v>
      </c>
      <c r="B243" s="541"/>
      <c r="C243" s="542"/>
      <c r="D243" s="211">
        <f t="shared" si="21"/>
        <v>154</v>
      </c>
      <c r="E243" s="347">
        <v>33.94</v>
      </c>
      <c r="F243" s="18">
        <f t="shared" si="19"/>
        <v>33.541999999999994</v>
      </c>
      <c r="G243" s="18" t="s">
        <v>9</v>
      </c>
      <c r="H243" s="18">
        <f t="shared" si="17"/>
        <v>7404.4280000000026</v>
      </c>
      <c r="I243" s="18">
        <f t="shared" si="20"/>
        <v>2748.431999999998</v>
      </c>
      <c r="J243" s="216">
        <f t="shared" si="18"/>
        <v>252.98378854209324</v>
      </c>
      <c r="K243" s="229"/>
      <c r="L243" s="173"/>
    </row>
    <row r="244" spans="1:12">
      <c r="A244" s="540" t="s">
        <v>98</v>
      </c>
      <c r="B244" s="541"/>
      <c r="C244" s="542"/>
      <c r="D244" s="211">
        <f t="shared" si="21"/>
        <v>153</v>
      </c>
      <c r="E244" s="347">
        <v>33.94</v>
      </c>
      <c r="F244" s="18">
        <f t="shared" si="19"/>
        <v>33.541999999999994</v>
      </c>
      <c r="G244" s="18" t="s">
        <v>9</v>
      </c>
      <c r="H244" s="18">
        <f t="shared" si="17"/>
        <v>7437.970000000003</v>
      </c>
      <c r="I244" s="18">
        <f t="shared" si="20"/>
        <v>2714.8899999999976</v>
      </c>
      <c r="J244" s="216">
        <f t="shared" si="18"/>
        <v>253.74475376928959</v>
      </c>
      <c r="K244" s="229"/>
      <c r="L244" s="173"/>
    </row>
    <row r="245" spans="1:12">
      <c r="A245" s="540" t="s">
        <v>98</v>
      </c>
      <c r="B245" s="541"/>
      <c r="C245" s="542"/>
      <c r="D245" s="211">
        <f t="shared" si="21"/>
        <v>152</v>
      </c>
      <c r="E245" s="347">
        <v>33.590000000000003</v>
      </c>
      <c r="F245" s="18">
        <f t="shared" si="19"/>
        <v>33.192</v>
      </c>
      <c r="G245" s="18" t="s">
        <v>9</v>
      </c>
      <c r="H245" s="18">
        <f t="shared" si="17"/>
        <v>7471.162000000003</v>
      </c>
      <c r="I245" s="18">
        <f t="shared" si="20"/>
        <v>2681.6979999999976</v>
      </c>
      <c r="J245" s="216">
        <f t="shared" si="18"/>
        <v>254.49777856867846</v>
      </c>
      <c r="K245" s="229"/>
      <c r="L245" s="173"/>
    </row>
    <row r="246" spans="1:12">
      <c r="A246" s="540" t="s">
        <v>98</v>
      </c>
      <c r="B246" s="541"/>
      <c r="C246" s="542"/>
      <c r="D246" s="211">
        <f t="shared" si="21"/>
        <v>151</v>
      </c>
      <c r="E246" s="347">
        <v>32.880000000000003</v>
      </c>
      <c r="F246" s="18">
        <f t="shared" si="19"/>
        <v>32.481999999999999</v>
      </c>
      <c r="G246" s="18" t="s">
        <v>9</v>
      </c>
      <c r="H246" s="18">
        <f t="shared" si="17"/>
        <v>7503.644000000003</v>
      </c>
      <c r="I246" s="18">
        <f t="shared" si="20"/>
        <v>2649.2159999999976</v>
      </c>
      <c r="J246" s="216">
        <f t="shared" si="18"/>
        <v>255.23469564308635</v>
      </c>
      <c r="K246" s="229"/>
      <c r="L246" s="173"/>
    </row>
    <row r="247" spans="1:12">
      <c r="A247" s="540" t="s">
        <v>98</v>
      </c>
      <c r="B247" s="541"/>
      <c r="C247" s="542"/>
      <c r="D247" s="211">
        <f t="shared" si="21"/>
        <v>150</v>
      </c>
      <c r="E247" s="347">
        <v>32.49</v>
      </c>
      <c r="F247" s="18">
        <f t="shared" si="19"/>
        <v>32.091999999999999</v>
      </c>
      <c r="G247" s="18" t="s">
        <v>9</v>
      </c>
      <c r="H247" s="18">
        <f t="shared" si="17"/>
        <v>7535.7360000000026</v>
      </c>
      <c r="I247" s="18">
        <f t="shared" si="20"/>
        <v>2617.123999999998</v>
      </c>
      <c r="J247" s="216">
        <f t="shared" si="18"/>
        <v>255.96276481222313</v>
      </c>
      <c r="K247" s="229"/>
      <c r="L247" s="173"/>
    </row>
    <row r="248" spans="1:12">
      <c r="A248" s="540" t="s">
        <v>98</v>
      </c>
      <c r="B248" s="541"/>
      <c r="C248" s="542"/>
      <c r="D248" s="211">
        <f t="shared" si="21"/>
        <v>149</v>
      </c>
      <c r="E248" s="347">
        <v>32.82</v>
      </c>
      <c r="F248" s="18">
        <f t="shared" si="19"/>
        <v>32.421999999999997</v>
      </c>
      <c r="G248" s="18" t="s">
        <v>9</v>
      </c>
      <c r="H248" s="18">
        <f t="shared" si="17"/>
        <v>7568.1580000000022</v>
      </c>
      <c r="I248" s="18">
        <f t="shared" si="20"/>
        <v>2584.7019999999984</v>
      </c>
      <c r="J248" s="216">
        <f t="shared" si="18"/>
        <v>256.69832067043546</v>
      </c>
      <c r="K248" s="229"/>
      <c r="L248" s="173"/>
    </row>
    <row r="249" spans="1:12">
      <c r="A249" s="540" t="s">
        <v>98</v>
      </c>
      <c r="B249" s="541"/>
      <c r="C249" s="542"/>
      <c r="D249" s="211">
        <f t="shared" si="21"/>
        <v>148</v>
      </c>
      <c r="E249" s="347">
        <v>33.35</v>
      </c>
      <c r="F249" s="18">
        <f t="shared" si="19"/>
        <v>32.951999999999998</v>
      </c>
      <c r="G249" s="18" t="s">
        <v>9</v>
      </c>
      <c r="H249" s="18">
        <f t="shared" si="17"/>
        <v>7601.1100000000024</v>
      </c>
      <c r="I249" s="18">
        <f t="shared" si="20"/>
        <v>2551.7499999999982</v>
      </c>
      <c r="J249" s="216">
        <f t="shared" si="18"/>
        <v>257.44590060504208</v>
      </c>
      <c r="K249" s="229"/>
      <c r="L249" s="173"/>
    </row>
    <row r="250" spans="1:12">
      <c r="A250" s="540" t="s">
        <v>98</v>
      </c>
      <c r="B250" s="541"/>
      <c r="C250" s="542"/>
      <c r="D250" s="211">
        <f t="shared" si="21"/>
        <v>147</v>
      </c>
      <c r="E250" s="347">
        <v>33.17</v>
      </c>
      <c r="F250" s="18">
        <f t="shared" si="19"/>
        <v>32.771999999999998</v>
      </c>
      <c r="G250" s="18" t="s">
        <v>9</v>
      </c>
      <c r="H250" s="18">
        <f t="shared" si="17"/>
        <v>7633.8820000000023</v>
      </c>
      <c r="I250" s="18">
        <f t="shared" si="20"/>
        <v>2518.9779999999982</v>
      </c>
      <c r="J250" s="216">
        <f t="shared" si="18"/>
        <v>258.1893968910619</v>
      </c>
      <c r="K250" s="229"/>
      <c r="L250" s="173"/>
    </row>
    <row r="251" spans="1:12">
      <c r="A251" s="540" t="s">
        <v>98</v>
      </c>
      <c r="B251" s="541"/>
      <c r="C251" s="542"/>
      <c r="D251" s="211">
        <f t="shared" si="21"/>
        <v>146</v>
      </c>
      <c r="E251" s="347">
        <v>33.25</v>
      </c>
      <c r="F251" s="18">
        <f t="shared" si="19"/>
        <v>32.851999999999997</v>
      </c>
      <c r="G251" s="18" t="s">
        <v>9</v>
      </c>
      <c r="H251" s="18">
        <f t="shared" si="17"/>
        <v>7666.7340000000022</v>
      </c>
      <c r="I251" s="18">
        <f t="shared" si="20"/>
        <v>2486.1259999999984</v>
      </c>
      <c r="J251" s="216">
        <f t="shared" si="18"/>
        <v>258.93470813200918</v>
      </c>
      <c r="K251" s="229"/>
      <c r="L251" s="173"/>
    </row>
    <row r="252" spans="1:12">
      <c r="A252" s="540" t="s">
        <v>98</v>
      </c>
      <c r="B252" s="541"/>
      <c r="C252" s="542"/>
      <c r="D252" s="211">
        <f t="shared" si="21"/>
        <v>145</v>
      </c>
      <c r="E252" s="347">
        <v>32.68</v>
      </c>
      <c r="F252" s="18">
        <f t="shared" si="19"/>
        <v>32.281999999999996</v>
      </c>
      <c r="G252" s="18" t="s">
        <v>9</v>
      </c>
      <c r="H252" s="18">
        <f t="shared" si="17"/>
        <v>7699.0160000000024</v>
      </c>
      <c r="I252" s="18">
        <f t="shared" si="20"/>
        <v>2453.8439999999982</v>
      </c>
      <c r="J252" s="216">
        <f t="shared" si="18"/>
        <v>259.66708781909858</v>
      </c>
      <c r="K252" s="229"/>
      <c r="L252" s="173"/>
    </row>
    <row r="253" spans="1:12">
      <c r="A253" s="540" t="s">
        <v>98</v>
      </c>
      <c r="B253" s="541"/>
      <c r="C253" s="542"/>
      <c r="D253" s="211">
        <f t="shared" si="21"/>
        <v>144</v>
      </c>
      <c r="E253" s="347">
        <v>33.54</v>
      </c>
      <c r="F253" s="18">
        <f t="shared" si="19"/>
        <v>33.141999999999996</v>
      </c>
      <c r="G253" s="18" t="s">
        <v>9</v>
      </c>
      <c r="H253" s="18">
        <f t="shared" si="17"/>
        <v>7732.1580000000022</v>
      </c>
      <c r="I253" s="18">
        <f t="shared" si="20"/>
        <v>2420.7019999999984</v>
      </c>
      <c r="J253" s="216">
        <f t="shared" si="18"/>
        <v>260.41897827165781</v>
      </c>
      <c r="K253" s="229"/>
      <c r="L253" s="173"/>
    </row>
    <row r="254" spans="1:12">
      <c r="A254" s="540" t="s">
        <v>98</v>
      </c>
      <c r="B254" s="541"/>
      <c r="C254" s="542"/>
      <c r="D254" s="211">
        <f t="shared" si="21"/>
        <v>143</v>
      </c>
      <c r="E254" s="347">
        <v>33.56</v>
      </c>
      <c r="F254" s="18">
        <f t="shared" si="19"/>
        <v>33.161999999999999</v>
      </c>
      <c r="G254" s="18" t="s">
        <v>9</v>
      </c>
      <c r="H254" s="18">
        <f t="shared" si="17"/>
        <v>7765.3200000000024</v>
      </c>
      <c r="I254" s="18">
        <f t="shared" si="20"/>
        <v>2387.5399999999981</v>
      </c>
      <c r="J254" s="216">
        <f t="shared" si="18"/>
        <v>261.17132246294886</v>
      </c>
      <c r="K254" s="229"/>
      <c r="L254" s="173"/>
    </row>
    <row r="255" spans="1:12">
      <c r="A255" s="540" t="s">
        <v>98</v>
      </c>
      <c r="B255" s="541"/>
      <c r="C255" s="542"/>
      <c r="D255" s="211">
        <f t="shared" si="21"/>
        <v>142</v>
      </c>
      <c r="E255" s="347">
        <v>33.549999999999997</v>
      </c>
      <c r="F255" s="18">
        <f t="shared" si="19"/>
        <v>33.151999999999994</v>
      </c>
      <c r="G255" s="18" t="s">
        <v>9</v>
      </c>
      <c r="H255" s="18">
        <f t="shared" si="17"/>
        <v>7798.4720000000025</v>
      </c>
      <c r="I255" s="18">
        <f t="shared" si="20"/>
        <v>2354.3879999999981</v>
      </c>
      <c r="J255" s="216">
        <f t="shared" si="18"/>
        <v>261.92343978487395</v>
      </c>
      <c r="K255" s="229"/>
      <c r="L255" s="173"/>
    </row>
    <row r="256" spans="1:12">
      <c r="A256" s="540" t="s">
        <v>98</v>
      </c>
      <c r="B256" s="541"/>
      <c r="C256" s="542"/>
      <c r="D256" s="211">
        <f t="shared" si="21"/>
        <v>141</v>
      </c>
      <c r="E256" s="347">
        <v>33.26</v>
      </c>
      <c r="F256" s="18">
        <f t="shared" si="19"/>
        <v>32.861999999999995</v>
      </c>
      <c r="G256" s="18" t="s">
        <v>9</v>
      </c>
      <c r="H256" s="18">
        <f t="shared" si="17"/>
        <v>7831.3340000000026</v>
      </c>
      <c r="I256" s="18">
        <f t="shared" si="20"/>
        <v>2321.525999999998</v>
      </c>
      <c r="J256" s="216">
        <f t="shared" si="18"/>
        <v>262.66897789518725</v>
      </c>
      <c r="K256" s="229"/>
      <c r="L256" s="173"/>
    </row>
    <row r="257" spans="1:12">
      <c r="A257" s="540" t="s">
        <v>98</v>
      </c>
      <c r="B257" s="541"/>
      <c r="C257" s="542"/>
      <c r="D257" s="211">
        <f t="shared" si="21"/>
        <v>140</v>
      </c>
      <c r="E257" s="347">
        <v>33.33</v>
      </c>
      <c r="F257" s="18">
        <f t="shared" si="19"/>
        <v>32.931999999999995</v>
      </c>
      <c r="G257" s="18" t="s">
        <v>9</v>
      </c>
      <c r="H257" s="18">
        <f t="shared" si="17"/>
        <v>7864.2660000000024</v>
      </c>
      <c r="I257" s="18">
        <f t="shared" si="20"/>
        <v>2288.5939999999982</v>
      </c>
      <c r="J257" s="216">
        <f t="shared" si="18"/>
        <v>263.41610409106192</v>
      </c>
      <c r="K257" s="229"/>
      <c r="L257" s="173"/>
    </row>
    <row r="258" spans="1:12">
      <c r="A258" s="540" t="s">
        <v>98</v>
      </c>
      <c r="B258" s="541"/>
      <c r="C258" s="542"/>
      <c r="D258" s="211">
        <f t="shared" si="21"/>
        <v>139</v>
      </c>
      <c r="E258" s="347">
        <v>33.35</v>
      </c>
      <c r="F258" s="18">
        <f t="shared" si="19"/>
        <v>32.951999999999998</v>
      </c>
      <c r="G258" s="18" t="s">
        <v>9</v>
      </c>
      <c r="H258" s="18">
        <f t="shared" si="17"/>
        <v>7897.2180000000026</v>
      </c>
      <c r="I258" s="18">
        <f t="shared" si="20"/>
        <v>2255.641999999998</v>
      </c>
      <c r="J258" s="216">
        <f t="shared" si="18"/>
        <v>264.16368402566849</v>
      </c>
      <c r="K258" s="229"/>
      <c r="L258" s="173"/>
    </row>
    <row r="259" spans="1:12">
      <c r="A259" s="540" t="s">
        <v>98</v>
      </c>
      <c r="B259" s="541"/>
      <c r="C259" s="542"/>
      <c r="D259" s="211">
        <f t="shared" si="21"/>
        <v>138</v>
      </c>
      <c r="E259" s="347">
        <v>33.5</v>
      </c>
      <c r="F259" s="18">
        <f t="shared" si="19"/>
        <v>33.101999999999997</v>
      </c>
      <c r="G259" s="18" t="s">
        <v>9</v>
      </c>
      <c r="H259" s="18">
        <f t="shared" si="17"/>
        <v>7930.3200000000024</v>
      </c>
      <c r="I259" s="18">
        <f t="shared" si="20"/>
        <v>2222.5399999999981</v>
      </c>
      <c r="J259" s="216">
        <f t="shared" si="18"/>
        <v>264.91466700076398</v>
      </c>
      <c r="K259" s="229"/>
      <c r="L259" s="173"/>
    </row>
    <row r="260" spans="1:12">
      <c r="A260" s="540" t="s">
        <v>98</v>
      </c>
      <c r="B260" s="541"/>
      <c r="C260" s="542"/>
      <c r="D260" s="211">
        <f t="shared" si="21"/>
        <v>137</v>
      </c>
      <c r="E260" s="347">
        <v>33.28</v>
      </c>
      <c r="F260" s="18">
        <f t="shared" si="19"/>
        <v>32.881999999999998</v>
      </c>
      <c r="G260" s="18" t="s">
        <v>9</v>
      </c>
      <c r="H260" s="18">
        <f t="shared" si="17"/>
        <v>7963.202000000002</v>
      </c>
      <c r="I260" s="18">
        <f t="shared" si="20"/>
        <v>2189.6579999999985</v>
      </c>
      <c r="J260" s="216">
        <f t="shared" si="18"/>
        <v>265.66065884980907</v>
      </c>
      <c r="K260" s="229"/>
      <c r="L260" s="173"/>
    </row>
    <row r="261" spans="1:12">
      <c r="A261" s="540" t="s">
        <v>98</v>
      </c>
      <c r="B261" s="541"/>
      <c r="C261" s="542"/>
      <c r="D261" s="211">
        <f t="shared" si="21"/>
        <v>136</v>
      </c>
      <c r="E261" s="347">
        <v>33.76</v>
      </c>
      <c r="F261" s="18">
        <f t="shared" si="19"/>
        <v>33.361999999999995</v>
      </c>
      <c r="G261" s="18" t="s">
        <v>9</v>
      </c>
      <c r="H261" s="18">
        <f t="shared" si="17"/>
        <v>7996.5640000000021</v>
      </c>
      <c r="I261" s="18">
        <f t="shared" si="20"/>
        <v>2156.2959999999985</v>
      </c>
      <c r="J261" s="216">
        <f t="shared" si="18"/>
        <v>266.41754042841865</v>
      </c>
      <c r="K261" s="229"/>
      <c r="L261" s="173"/>
    </row>
    <row r="262" spans="1:12">
      <c r="A262" s="540" t="s">
        <v>98</v>
      </c>
      <c r="B262" s="541"/>
      <c r="C262" s="542"/>
      <c r="D262" s="211">
        <f t="shared" si="21"/>
        <v>135</v>
      </c>
      <c r="E262" s="347">
        <v>33.880000000000003</v>
      </c>
      <c r="F262" s="18">
        <f t="shared" si="19"/>
        <v>33.481999999999999</v>
      </c>
      <c r="G262" s="18" t="s">
        <v>9</v>
      </c>
      <c r="H262" s="18">
        <f t="shared" si="17"/>
        <v>8030.0460000000021</v>
      </c>
      <c r="I262" s="18">
        <f t="shared" si="20"/>
        <v>2122.8139999999985</v>
      </c>
      <c r="J262" s="216">
        <f t="shared" si="18"/>
        <v>267.17714443941941</v>
      </c>
      <c r="K262" s="229"/>
      <c r="L262" s="173"/>
    </row>
    <row r="263" spans="1:12">
      <c r="A263" s="540" t="s">
        <v>98</v>
      </c>
      <c r="B263" s="541"/>
      <c r="C263" s="542"/>
      <c r="D263" s="211">
        <f t="shared" si="21"/>
        <v>134</v>
      </c>
      <c r="E263" s="347">
        <v>34</v>
      </c>
      <c r="F263" s="18">
        <f t="shared" si="19"/>
        <v>33.601999999999997</v>
      </c>
      <c r="G263" s="18" t="s">
        <v>9</v>
      </c>
      <c r="H263" s="18">
        <f t="shared" si="17"/>
        <v>8063.648000000002</v>
      </c>
      <c r="I263" s="18">
        <f t="shared" si="20"/>
        <v>2089.2119999999986</v>
      </c>
      <c r="J263" s="216">
        <f t="shared" si="18"/>
        <v>267.93947088281135</v>
      </c>
      <c r="K263" s="229"/>
      <c r="L263" s="173"/>
    </row>
    <row r="264" spans="1:12">
      <c r="A264" s="540" t="s">
        <v>98</v>
      </c>
      <c r="B264" s="541"/>
      <c r="C264" s="542"/>
      <c r="D264" s="211">
        <f t="shared" si="21"/>
        <v>133</v>
      </c>
      <c r="E264" s="347">
        <v>33.630000000000003</v>
      </c>
      <c r="F264" s="18">
        <f t="shared" si="19"/>
        <v>33.231999999999999</v>
      </c>
      <c r="G264" s="18" t="s">
        <v>9</v>
      </c>
      <c r="H264" s="18">
        <f t="shared" si="17"/>
        <v>8096.8800000000019</v>
      </c>
      <c r="I264" s="18">
        <f t="shared" si="20"/>
        <v>2055.9799999999987</v>
      </c>
      <c r="J264" s="216">
        <f t="shared" si="18"/>
        <v>268.69340315966389</v>
      </c>
      <c r="K264" s="229"/>
      <c r="L264" s="173"/>
    </row>
    <row r="265" spans="1:12">
      <c r="A265" s="540" t="s">
        <v>98</v>
      </c>
      <c r="B265" s="541"/>
      <c r="C265" s="542"/>
      <c r="D265" s="211">
        <f t="shared" si="21"/>
        <v>132</v>
      </c>
      <c r="E265" s="347">
        <v>33.76</v>
      </c>
      <c r="F265" s="18">
        <f t="shared" si="19"/>
        <v>33.361999999999995</v>
      </c>
      <c r="G265" s="18" t="s">
        <v>9</v>
      </c>
      <c r="H265" s="18">
        <f t="shared" si="17"/>
        <v>8130.242000000002</v>
      </c>
      <c r="I265" s="18">
        <f t="shared" si="20"/>
        <v>2022.6179999999986</v>
      </c>
      <c r="J265" s="216">
        <f t="shared" si="18"/>
        <v>269.45028473827347</v>
      </c>
      <c r="K265" s="229"/>
      <c r="L265" s="173"/>
    </row>
    <row r="266" spans="1:12">
      <c r="A266" s="540" t="s">
        <v>98</v>
      </c>
      <c r="B266" s="541"/>
      <c r="C266" s="542"/>
      <c r="D266" s="211">
        <f t="shared" si="21"/>
        <v>131</v>
      </c>
      <c r="E266" s="347">
        <v>32.549999999999997</v>
      </c>
      <c r="F266" s="18">
        <f t="shared" si="19"/>
        <v>32.151999999999994</v>
      </c>
      <c r="G266" s="18" t="s">
        <v>9</v>
      </c>
      <c r="H266" s="18">
        <f t="shared" si="17"/>
        <v>8162.3940000000021</v>
      </c>
      <c r="I266" s="18">
        <f t="shared" si="20"/>
        <v>1990.4659999999985</v>
      </c>
      <c r="J266" s="216">
        <f t="shared" si="18"/>
        <v>270.17971512360589</v>
      </c>
      <c r="K266" s="229"/>
      <c r="L266" s="173"/>
    </row>
    <row r="267" spans="1:12">
      <c r="A267" s="540" t="s">
        <v>98</v>
      </c>
      <c r="B267" s="541"/>
      <c r="C267" s="542"/>
      <c r="D267" s="211">
        <f t="shared" si="21"/>
        <v>130</v>
      </c>
      <c r="E267" s="347">
        <v>33.770000000000003</v>
      </c>
      <c r="F267" s="18">
        <f t="shared" si="19"/>
        <v>33.372</v>
      </c>
      <c r="G267" s="18" t="s">
        <v>9</v>
      </c>
      <c r="H267" s="18">
        <f t="shared" si="17"/>
        <v>8195.7660000000014</v>
      </c>
      <c r="I267" s="18">
        <f t="shared" si="20"/>
        <v>1957.0939999999991</v>
      </c>
      <c r="J267" s="216">
        <f t="shared" si="18"/>
        <v>270.93682357158139</v>
      </c>
      <c r="K267" s="229"/>
      <c r="L267" s="173"/>
    </row>
    <row r="268" spans="1:12">
      <c r="A268" s="540" t="s">
        <v>98</v>
      </c>
      <c r="B268" s="541"/>
      <c r="C268" s="542"/>
      <c r="D268" s="211">
        <f t="shared" si="21"/>
        <v>129</v>
      </c>
      <c r="E268" s="347">
        <v>34.03</v>
      </c>
      <c r="F268" s="18">
        <f t="shared" si="19"/>
        <v>33.631999999999998</v>
      </c>
      <c r="G268" s="18" t="s">
        <v>9</v>
      </c>
      <c r="H268" s="18">
        <f t="shared" si="17"/>
        <v>8229.398000000001</v>
      </c>
      <c r="I268" s="18">
        <f t="shared" si="20"/>
        <v>1923.4619999999995</v>
      </c>
      <c r="J268" s="216">
        <f t="shared" si="18"/>
        <v>271.69983062307108</v>
      </c>
      <c r="K268" s="229"/>
      <c r="L268" s="173"/>
    </row>
    <row r="269" spans="1:12">
      <c r="A269" s="540" t="s">
        <v>98</v>
      </c>
      <c r="B269" s="541"/>
      <c r="C269" s="542"/>
      <c r="D269" s="211">
        <f t="shared" si="21"/>
        <v>128</v>
      </c>
      <c r="E269" s="347">
        <v>33.590000000000003</v>
      </c>
      <c r="F269" s="18">
        <f t="shared" si="19"/>
        <v>33.192</v>
      </c>
      <c r="G269" s="18" t="s">
        <v>9</v>
      </c>
      <c r="H269" s="18">
        <f t="shared" ref="H269:H331" si="22">IF(G269="IN",H268+F269,H268)</f>
        <v>8262.59</v>
      </c>
      <c r="I269" s="18">
        <f t="shared" si="20"/>
        <v>1890.2700000000004</v>
      </c>
      <c r="J269" s="216">
        <f t="shared" si="18"/>
        <v>272.45285542245983</v>
      </c>
      <c r="K269" s="229"/>
      <c r="L269" s="173"/>
    </row>
    <row r="270" spans="1:12">
      <c r="A270" s="540" t="s">
        <v>98</v>
      </c>
      <c r="B270" s="541"/>
      <c r="C270" s="542"/>
      <c r="D270" s="211">
        <f t="shared" si="21"/>
        <v>127</v>
      </c>
      <c r="E270" s="347">
        <v>32.29</v>
      </c>
      <c r="F270" s="18">
        <f t="shared" si="19"/>
        <v>31.891999999999999</v>
      </c>
      <c r="G270" s="18" t="s">
        <v>9</v>
      </c>
      <c r="H270" s="18">
        <f t="shared" si="22"/>
        <v>8294.482</v>
      </c>
      <c r="I270" s="18">
        <f t="shared" si="20"/>
        <v>1858.3780000000006</v>
      </c>
      <c r="J270" s="216">
        <f t="shared" si="18"/>
        <v>273.17638720427806</v>
      </c>
      <c r="K270" s="229"/>
      <c r="L270" s="173"/>
    </row>
    <row r="271" spans="1:12">
      <c r="A271" s="540" t="s">
        <v>98</v>
      </c>
      <c r="B271" s="541"/>
      <c r="C271" s="542"/>
      <c r="D271" s="211">
        <f t="shared" si="21"/>
        <v>126</v>
      </c>
      <c r="E271" s="347">
        <v>33.950000000000003</v>
      </c>
      <c r="F271" s="18">
        <f t="shared" si="19"/>
        <v>33.552</v>
      </c>
      <c r="G271" s="18" t="s">
        <v>9</v>
      </c>
      <c r="H271" s="18">
        <f t="shared" si="22"/>
        <v>8328.0339999999997</v>
      </c>
      <c r="I271" s="18">
        <f t="shared" si="20"/>
        <v>1824.8260000000009</v>
      </c>
      <c r="J271" s="216">
        <f t="shared" si="18"/>
        <v>273.9375793008403</v>
      </c>
      <c r="K271" s="229"/>
      <c r="L271" s="173"/>
    </row>
    <row r="272" spans="1:12">
      <c r="A272" s="540" t="s">
        <v>98</v>
      </c>
      <c r="B272" s="541"/>
      <c r="C272" s="542"/>
      <c r="D272" s="211">
        <f t="shared" si="21"/>
        <v>125</v>
      </c>
      <c r="E272" s="347">
        <v>33.729999999999997</v>
      </c>
      <c r="F272" s="18">
        <f t="shared" si="19"/>
        <v>33.331999999999994</v>
      </c>
      <c r="G272" s="18" t="s">
        <v>9</v>
      </c>
      <c r="H272" s="18">
        <f t="shared" si="22"/>
        <v>8361.366</v>
      </c>
      <c r="I272" s="18">
        <f t="shared" si="20"/>
        <v>1791.4940000000006</v>
      </c>
      <c r="J272" s="216">
        <f t="shared" ref="J272:J296" si="23">$G$6+(H272*$E$7*$G$8/1000)</f>
        <v>274.69378027135213</v>
      </c>
      <c r="K272" s="229"/>
      <c r="L272" s="173"/>
    </row>
    <row r="273" spans="1:12">
      <c r="A273" s="540" t="s">
        <v>98</v>
      </c>
      <c r="B273" s="541"/>
      <c r="C273" s="542"/>
      <c r="D273" s="211">
        <f t="shared" si="21"/>
        <v>124</v>
      </c>
      <c r="E273" s="347">
        <v>33.909999999999997</v>
      </c>
      <c r="F273" s="18">
        <f t="shared" si="19"/>
        <v>33.511999999999993</v>
      </c>
      <c r="G273" s="18" t="s">
        <v>9</v>
      </c>
      <c r="H273" s="18">
        <f t="shared" si="22"/>
        <v>8394.8780000000006</v>
      </c>
      <c r="I273" s="18">
        <f t="shared" si="20"/>
        <v>1757.982</v>
      </c>
      <c r="J273" s="216">
        <f t="shared" si="23"/>
        <v>275.4540648904507</v>
      </c>
      <c r="K273" s="229"/>
      <c r="L273" s="173"/>
    </row>
    <row r="274" spans="1:12">
      <c r="A274" s="540" t="s">
        <v>98</v>
      </c>
      <c r="B274" s="541"/>
      <c r="C274" s="542"/>
      <c r="D274" s="211">
        <f t="shared" si="21"/>
        <v>123</v>
      </c>
      <c r="E274" s="347">
        <v>33.64</v>
      </c>
      <c r="F274" s="18">
        <f t="shared" si="19"/>
        <v>33.241999999999997</v>
      </c>
      <c r="G274" s="18" t="s">
        <v>9</v>
      </c>
      <c r="H274" s="18">
        <f t="shared" si="22"/>
        <v>8428.1200000000008</v>
      </c>
      <c r="I274" s="18">
        <f t="shared" si="20"/>
        <v>1724.7399999999998</v>
      </c>
      <c r="J274" s="216">
        <f t="shared" si="23"/>
        <v>276.20822403666921</v>
      </c>
      <c r="K274" s="229"/>
      <c r="L274" s="173"/>
    </row>
    <row r="275" spans="1:12">
      <c r="A275" s="540" t="s">
        <v>98</v>
      </c>
      <c r="B275" s="541"/>
      <c r="C275" s="542"/>
      <c r="D275" s="211">
        <f t="shared" si="21"/>
        <v>122</v>
      </c>
      <c r="E275" s="347">
        <v>33.94</v>
      </c>
      <c r="F275" s="18">
        <f t="shared" si="19"/>
        <v>33.541999999999994</v>
      </c>
      <c r="G275" s="18" t="s">
        <v>9</v>
      </c>
      <c r="H275" s="18">
        <f t="shared" si="22"/>
        <v>8461.6620000000003</v>
      </c>
      <c r="I275" s="18">
        <f t="shared" si="20"/>
        <v>1691.1980000000003</v>
      </c>
      <c r="J275" s="216">
        <f t="shared" si="23"/>
        <v>276.96918926386553</v>
      </c>
      <c r="K275" s="229"/>
      <c r="L275" s="173"/>
    </row>
    <row r="276" spans="1:12">
      <c r="A276" s="540" t="s">
        <v>98</v>
      </c>
      <c r="B276" s="541"/>
      <c r="C276" s="542"/>
      <c r="D276" s="211">
        <f t="shared" si="21"/>
        <v>121</v>
      </c>
      <c r="E276" s="347">
        <v>33.65</v>
      </c>
      <c r="F276" s="18">
        <f t="shared" si="19"/>
        <v>33.251999999999995</v>
      </c>
      <c r="G276" s="18" t="s">
        <v>9</v>
      </c>
      <c r="H276" s="18">
        <f t="shared" si="22"/>
        <v>8494.9140000000007</v>
      </c>
      <c r="I276" s="18">
        <f t="shared" si="20"/>
        <v>1657.9459999999999</v>
      </c>
      <c r="J276" s="216">
        <f t="shared" si="23"/>
        <v>277.72357527944996</v>
      </c>
      <c r="K276" s="229"/>
      <c r="L276" s="173"/>
    </row>
    <row r="277" spans="1:12">
      <c r="A277" s="540" t="s">
        <v>98</v>
      </c>
      <c r="B277" s="541"/>
      <c r="C277" s="542"/>
      <c r="D277" s="211">
        <f t="shared" si="21"/>
        <v>120</v>
      </c>
      <c r="E277" s="347">
        <v>33.94</v>
      </c>
      <c r="F277" s="18">
        <f t="shared" si="19"/>
        <v>33.541999999999994</v>
      </c>
      <c r="G277" s="18" t="s">
        <v>9</v>
      </c>
      <c r="H277" s="18">
        <f t="shared" si="22"/>
        <v>8528.4560000000001</v>
      </c>
      <c r="I277" s="18">
        <f t="shared" si="20"/>
        <v>1624.4040000000005</v>
      </c>
      <c r="J277" s="216">
        <f t="shared" si="23"/>
        <v>278.48454050664628</v>
      </c>
      <c r="K277" s="229"/>
      <c r="L277" s="173"/>
    </row>
    <row r="278" spans="1:12">
      <c r="A278" s="540" t="s">
        <v>98</v>
      </c>
      <c r="B278" s="541"/>
      <c r="C278" s="542"/>
      <c r="D278" s="211">
        <f t="shared" si="21"/>
        <v>119</v>
      </c>
      <c r="E278" s="347">
        <v>33.619999999999997</v>
      </c>
      <c r="F278" s="18">
        <f t="shared" si="19"/>
        <v>33.221999999999994</v>
      </c>
      <c r="G278" s="18" t="s">
        <v>9</v>
      </c>
      <c r="H278" s="18">
        <f t="shared" si="22"/>
        <v>8561.6779999999999</v>
      </c>
      <c r="I278" s="18">
        <f t="shared" si="20"/>
        <v>1591.1820000000007</v>
      </c>
      <c r="J278" s="216">
        <f t="shared" si="23"/>
        <v>279.2382459141329</v>
      </c>
      <c r="K278" s="229"/>
      <c r="L278" s="173"/>
    </row>
    <row r="279" spans="1:12">
      <c r="A279" s="540" t="s">
        <v>98</v>
      </c>
      <c r="B279" s="541"/>
      <c r="C279" s="542"/>
      <c r="D279" s="211">
        <f t="shared" si="21"/>
        <v>118</v>
      </c>
      <c r="E279" s="347">
        <v>33.97</v>
      </c>
      <c r="F279" s="18">
        <f t="shared" ref="F279:F296" si="24">E279-($E$9)</f>
        <v>33.571999999999996</v>
      </c>
      <c r="G279" s="18" t="s">
        <v>9</v>
      </c>
      <c r="H279" s="18">
        <f t="shared" si="22"/>
        <v>8595.25</v>
      </c>
      <c r="I279" s="18">
        <f t="shared" ref="I279:I331" si="25">IF(H279="","",$K$6-H279)</f>
        <v>1557.6100000000006</v>
      </c>
      <c r="J279" s="216">
        <f t="shared" si="23"/>
        <v>279.99989174942704</v>
      </c>
      <c r="K279" s="229"/>
      <c r="L279" s="173"/>
    </row>
    <row r="280" spans="1:12">
      <c r="A280" s="540" t="s">
        <v>98</v>
      </c>
      <c r="B280" s="541"/>
      <c r="C280" s="542"/>
      <c r="D280" s="211">
        <f t="shared" ref="D280:D295" si="26">D279-1</f>
        <v>117</v>
      </c>
      <c r="E280" s="347">
        <v>33.479999999999997</v>
      </c>
      <c r="F280" s="18">
        <f t="shared" si="24"/>
        <v>33.081999999999994</v>
      </c>
      <c r="G280" s="18" t="s">
        <v>9</v>
      </c>
      <c r="H280" s="18">
        <f t="shared" si="22"/>
        <v>8628.3320000000003</v>
      </c>
      <c r="I280" s="18">
        <f t="shared" si="25"/>
        <v>1524.5280000000002</v>
      </c>
      <c r="J280" s="216">
        <f t="shared" si="23"/>
        <v>280.7504209857907</v>
      </c>
      <c r="K280" s="229"/>
      <c r="L280" s="173"/>
    </row>
    <row r="281" spans="1:12">
      <c r="A281" s="540" t="s">
        <v>98</v>
      </c>
      <c r="B281" s="541"/>
      <c r="C281" s="542"/>
      <c r="D281" s="211">
        <f t="shared" si="26"/>
        <v>116</v>
      </c>
      <c r="E281" s="347">
        <v>32.729999999999997</v>
      </c>
      <c r="F281" s="18">
        <f t="shared" si="24"/>
        <v>32.331999999999994</v>
      </c>
      <c r="G281" s="18" t="s">
        <v>9</v>
      </c>
      <c r="H281" s="18">
        <f t="shared" si="22"/>
        <v>8660.6640000000007</v>
      </c>
      <c r="I281" s="18">
        <f t="shared" si="25"/>
        <v>1492.1959999999999</v>
      </c>
      <c r="J281" s="216">
        <f t="shared" si="23"/>
        <v>281.48393501970975</v>
      </c>
      <c r="K281" s="229"/>
      <c r="L281" s="173"/>
    </row>
    <row r="282" spans="1:12">
      <c r="A282" s="540" t="s">
        <v>98</v>
      </c>
      <c r="B282" s="541"/>
      <c r="C282" s="542"/>
      <c r="D282" s="211">
        <f t="shared" si="26"/>
        <v>115</v>
      </c>
      <c r="E282" s="347">
        <v>33.54</v>
      </c>
      <c r="F282" s="18">
        <f t="shared" si="24"/>
        <v>33.141999999999996</v>
      </c>
      <c r="G282" s="18" t="s">
        <v>9</v>
      </c>
      <c r="H282" s="18">
        <f t="shared" si="22"/>
        <v>8693.8060000000005</v>
      </c>
      <c r="I282" s="18">
        <f t="shared" si="25"/>
        <v>1459.0540000000001</v>
      </c>
      <c r="J282" s="216">
        <f t="shared" si="23"/>
        <v>282.23582547226886</v>
      </c>
      <c r="K282" s="229"/>
      <c r="L282" s="173"/>
    </row>
    <row r="283" spans="1:12">
      <c r="A283" s="540" t="s">
        <v>98</v>
      </c>
      <c r="B283" s="541"/>
      <c r="C283" s="542"/>
      <c r="D283" s="211">
        <f t="shared" si="26"/>
        <v>114</v>
      </c>
      <c r="E283" s="347">
        <v>33.57</v>
      </c>
      <c r="F283" s="18">
        <f t="shared" si="24"/>
        <v>33.171999999999997</v>
      </c>
      <c r="G283" s="18" t="s">
        <v>9</v>
      </c>
      <c r="H283" s="18">
        <f t="shared" si="22"/>
        <v>8726.978000000001</v>
      </c>
      <c r="I283" s="18">
        <f t="shared" si="25"/>
        <v>1425.8819999999996</v>
      </c>
      <c r="J283" s="216">
        <f t="shared" si="23"/>
        <v>282.98839653292589</v>
      </c>
      <c r="K283" s="229"/>
      <c r="L283" s="173"/>
    </row>
    <row r="284" spans="1:12">
      <c r="A284" s="540" t="s">
        <v>98</v>
      </c>
      <c r="B284" s="541"/>
      <c r="C284" s="542"/>
      <c r="D284" s="211">
        <f t="shared" si="26"/>
        <v>113</v>
      </c>
      <c r="E284" s="347">
        <v>33.35</v>
      </c>
      <c r="F284" s="18">
        <f t="shared" si="24"/>
        <v>32.951999999999998</v>
      </c>
      <c r="G284" s="18" t="s">
        <v>9</v>
      </c>
      <c r="H284" s="18">
        <f t="shared" si="22"/>
        <v>8759.93</v>
      </c>
      <c r="I284" s="18">
        <f t="shared" si="25"/>
        <v>1392.9300000000003</v>
      </c>
      <c r="J284" s="216">
        <f t="shared" si="23"/>
        <v>283.73597646753245</v>
      </c>
      <c r="K284" s="229"/>
      <c r="L284" s="173"/>
    </row>
    <row r="285" spans="1:12">
      <c r="A285" s="540" t="s">
        <v>98</v>
      </c>
      <c r="B285" s="541"/>
      <c r="C285" s="542"/>
      <c r="D285" s="211">
        <f t="shared" si="26"/>
        <v>112</v>
      </c>
      <c r="E285" s="347">
        <v>32.97</v>
      </c>
      <c r="F285" s="18">
        <f t="shared" si="24"/>
        <v>32.571999999999996</v>
      </c>
      <c r="G285" s="18" t="s">
        <v>9</v>
      </c>
      <c r="H285" s="18">
        <f t="shared" si="22"/>
        <v>8792.5020000000004</v>
      </c>
      <c r="I285" s="18">
        <f t="shared" si="25"/>
        <v>1360.3580000000002</v>
      </c>
      <c r="J285" s="216">
        <f t="shared" si="23"/>
        <v>284.47493536623381</v>
      </c>
      <c r="K285" s="229"/>
      <c r="L285" s="173"/>
    </row>
    <row r="286" spans="1:12">
      <c r="A286" s="540" t="s">
        <v>98</v>
      </c>
      <c r="B286" s="541"/>
      <c r="C286" s="542"/>
      <c r="D286" s="211">
        <f t="shared" si="26"/>
        <v>111</v>
      </c>
      <c r="E286" s="347">
        <v>33.32</v>
      </c>
      <c r="F286" s="18">
        <f t="shared" si="24"/>
        <v>32.921999999999997</v>
      </c>
      <c r="G286" s="18" t="s">
        <v>9</v>
      </c>
      <c r="H286" s="18">
        <f t="shared" si="22"/>
        <v>8825.4240000000009</v>
      </c>
      <c r="I286" s="18">
        <f t="shared" si="25"/>
        <v>1327.4359999999997</v>
      </c>
      <c r="J286" s="216">
        <f t="shared" si="23"/>
        <v>285.22183469274256</v>
      </c>
      <c r="K286" s="229"/>
      <c r="L286" s="173"/>
    </row>
    <row r="287" spans="1:12">
      <c r="A287" s="540" t="s">
        <v>98</v>
      </c>
      <c r="B287" s="541"/>
      <c r="C287" s="542"/>
      <c r="D287" s="211">
        <f t="shared" si="26"/>
        <v>110</v>
      </c>
      <c r="E287" s="347">
        <v>32.51</v>
      </c>
      <c r="F287" s="18">
        <f t="shared" si="24"/>
        <v>32.111999999999995</v>
      </c>
      <c r="G287" s="18" t="s">
        <v>9</v>
      </c>
      <c r="H287" s="18">
        <f t="shared" si="22"/>
        <v>8857.5360000000001</v>
      </c>
      <c r="I287" s="18">
        <f t="shared" si="25"/>
        <v>1295.3240000000005</v>
      </c>
      <c r="J287" s="216">
        <f t="shared" si="23"/>
        <v>285.95035760061114</v>
      </c>
      <c r="K287" s="229"/>
      <c r="L287" s="173"/>
    </row>
    <row r="288" spans="1:12" ht="13.5" thickBot="1">
      <c r="A288" s="540" t="s">
        <v>98</v>
      </c>
      <c r="B288" s="541"/>
      <c r="C288" s="542"/>
      <c r="D288" s="211">
        <f t="shared" si="26"/>
        <v>109</v>
      </c>
      <c r="E288" s="347">
        <v>33.409999999999997</v>
      </c>
      <c r="F288" s="18">
        <f t="shared" si="24"/>
        <v>33.011999999999993</v>
      </c>
      <c r="G288" s="18" t="s">
        <v>9</v>
      </c>
      <c r="H288" s="18">
        <f t="shared" si="22"/>
        <v>8890.5480000000007</v>
      </c>
      <c r="I288" s="18">
        <f t="shared" si="25"/>
        <v>1262.3119999999999</v>
      </c>
      <c r="J288" s="216">
        <f t="shared" si="23"/>
        <v>286.69929875141327</v>
      </c>
      <c r="K288" s="229"/>
      <c r="L288" s="173"/>
    </row>
    <row r="289" spans="1:12" ht="13.5" thickBot="1">
      <c r="A289" s="540" t="s">
        <v>98</v>
      </c>
      <c r="B289" s="541"/>
      <c r="C289" s="542"/>
      <c r="D289" s="211">
        <f t="shared" si="26"/>
        <v>108</v>
      </c>
      <c r="E289" s="347">
        <v>33.19</v>
      </c>
      <c r="F289" s="18">
        <f t="shared" si="24"/>
        <v>32.791999999999994</v>
      </c>
      <c r="G289" s="18" t="s">
        <v>9</v>
      </c>
      <c r="H289" s="18">
        <f t="shared" si="22"/>
        <v>8923.34</v>
      </c>
      <c r="I289" s="18">
        <f t="shared" si="25"/>
        <v>1229.5200000000004</v>
      </c>
      <c r="J289" s="216">
        <f t="shared" si="23"/>
        <v>287.44324877616498</v>
      </c>
      <c r="K289" s="787" t="s">
        <v>134</v>
      </c>
      <c r="L289" s="788"/>
    </row>
    <row r="290" spans="1:12">
      <c r="A290" s="540" t="s">
        <v>98</v>
      </c>
      <c r="B290" s="541"/>
      <c r="C290" s="542"/>
      <c r="D290" s="211">
        <f t="shared" si="26"/>
        <v>107</v>
      </c>
      <c r="E290" s="347">
        <v>33.56</v>
      </c>
      <c r="F290" s="18">
        <f t="shared" si="24"/>
        <v>33.161999999999999</v>
      </c>
      <c r="G290" s="18" t="s">
        <v>9</v>
      </c>
      <c r="H290" s="18">
        <f t="shared" si="22"/>
        <v>8956.5020000000004</v>
      </c>
      <c r="I290" s="18">
        <f t="shared" si="25"/>
        <v>1196.3580000000002</v>
      </c>
      <c r="J290" s="216">
        <f t="shared" si="23"/>
        <v>288.19559296745609</v>
      </c>
      <c r="K290" s="229"/>
      <c r="L290" s="173"/>
    </row>
    <row r="291" spans="1:12">
      <c r="A291" s="540" t="s">
        <v>98</v>
      </c>
      <c r="B291" s="541"/>
      <c r="C291" s="542"/>
      <c r="D291" s="211">
        <f t="shared" si="26"/>
        <v>106</v>
      </c>
      <c r="E291" s="347">
        <v>33.21</v>
      </c>
      <c r="F291" s="18">
        <f t="shared" si="24"/>
        <v>32.811999999999998</v>
      </c>
      <c r="G291" s="18" t="s">
        <v>9</v>
      </c>
      <c r="H291" s="18">
        <f t="shared" si="22"/>
        <v>8989.3140000000003</v>
      </c>
      <c r="I291" s="18">
        <f t="shared" si="25"/>
        <v>1163.5460000000003</v>
      </c>
      <c r="J291" s="216">
        <f t="shared" si="23"/>
        <v>288.9399967309397</v>
      </c>
      <c r="K291" s="229"/>
      <c r="L291" s="173"/>
    </row>
    <row r="292" spans="1:12">
      <c r="A292" s="540" t="s">
        <v>98</v>
      </c>
      <c r="B292" s="541"/>
      <c r="C292" s="542"/>
      <c r="D292" s="211">
        <f t="shared" si="26"/>
        <v>105</v>
      </c>
      <c r="E292" s="347">
        <v>32.619999999999997</v>
      </c>
      <c r="F292" s="18">
        <f t="shared" si="24"/>
        <v>32.221999999999994</v>
      </c>
      <c r="G292" s="18" t="s">
        <v>9</v>
      </c>
      <c r="H292" s="18">
        <f t="shared" si="22"/>
        <v>9021.5360000000001</v>
      </c>
      <c r="I292" s="18">
        <f t="shared" si="25"/>
        <v>1131.3240000000005</v>
      </c>
      <c r="J292" s="216">
        <f t="shared" si="23"/>
        <v>289.67101520183348</v>
      </c>
      <c r="K292" s="229"/>
      <c r="L292" s="173"/>
    </row>
    <row r="293" spans="1:12" ht="13.5" thickBot="1">
      <c r="A293" s="540" t="s">
        <v>98</v>
      </c>
      <c r="B293" s="541"/>
      <c r="C293" s="542"/>
      <c r="D293" s="211">
        <f t="shared" si="26"/>
        <v>104</v>
      </c>
      <c r="E293" s="347">
        <v>33.56</v>
      </c>
      <c r="F293" s="18">
        <f t="shared" si="24"/>
        <v>33.161999999999999</v>
      </c>
      <c r="G293" s="18" t="s">
        <v>9</v>
      </c>
      <c r="H293" s="18">
        <f t="shared" si="22"/>
        <v>9054.6980000000003</v>
      </c>
      <c r="I293" s="18">
        <f t="shared" si="25"/>
        <v>1098.1620000000003</v>
      </c>
      <c r="J293" s="216">
        <f t="shared" si="23"/>
        <v>290.42335939312454</v>
      </c>
      <c r="K293" s="229"/>
      <c r="L293" s="173"/>
    </row>
    <row r="294" spans="1:12" ht="13.5" thickBot="1">
      <c r="A294" s="540" t="s">
        <v>98</v>
      </c>
      <c r="B294" s="541"/>
      <c r="C294" s="542"/>
      <c r="D294" s="211">
        <f t="shared" si="26"/>
        <v>103</v>
      </c>
      <c r="E294" s="347">
        <v>32.090000000000003</v>
      </c>
      <c r="F294" s="18">
        <f t="shared" si="24"/>
        <v>31.692000000000004</v>
      </c>
      <c r="G294" s="18" t="s">
        <v>9</v>
      </c>
      <c r="H294" s="18">
        <f t="shared" si="22"/>
        <v>9086.39</v>
      </c>
      <c r="I294" s="18">
        <f t="shared" si="25"/>
        <v>1066.4700000000012</v>
      </c>
      <c r="J294" s="216">
        <f t="shared" si="23"/>
        <v>291.14235378762407</v>
      </c>
      <c r="K294" s="291" t="s">
        <v>113</v>
      </c>
      <c r="L294" s="292">
        <f>I298</f>
        <v>1014.9060000000027</v>
      </c>
    </row>
    <row r="295" spans="1:12" ht="12.6" customHeight="1" thickBot="1">
      <c r="A295" s="540" t="s">
        <v>98</v>
      </c>
      <c r="B295" s="541"/>
      <c r="C295" s="542"/>
      <c r="D295" s="211">
        <f t="shared" si="26"/>
        <v>102</v>
      </c>
      <c r="E295" s="347">
        <v>31.84</v>
      </c>
      <c r="F295" s="18">
        <f t="shared" si="24"/>
        <v>31.442</v>
      </c>
      <c r="G295" s="18" t="s">
        <v>9</v>
      </c>
      <c r="H295" s="18">
        <f t="shared" si="22"/>
        <v>9117.8319999999985</v>
      </c>
      <c r="I295" s="18">
        <f t="shared" si="25"/>
        <v>1035.0280000000021</v>
      </c>
      <c r="J295" s="216">
        <f t="shared" si="23"/>
        <v>291.8556764479755</v>
      </c>
      <c r="K295" s="282"/>
      <c r="L295" s="283"/>
    </row>
    <row r="296" spans="1:12">
      <c r="A296" s="790" t="s">
        <v>114</v>
      </c>
      <c r="B296" s="793" t="s">
        <v>164</v>
      </c>
      <c r="C296" s="812" t="s">
        <v>84</v>
      </c>
      <c r="D296" s="813"/>
      <c r="E296" s="293">
        <v>6.22</v>
      </c>
      <c r="F296" s="293">
        <f t="shared" si="24"/>
        <v>5.8220000000000001</v>
      </c>
      <c r="G296" s="310" t="s">
        <v>9</v>
      </c>
      <c r="H296" s="310">
        <f t="shared" si="22"/>
        <v>9123.6539999999986</v>
      </c>
      <c r="I296" s="310">
        <f t="shared" si="25"/>
        <v>1029.2060000000019</v>
      </c>
      <c r="J296" s="311">
        <f t="shared" si="23"/>
        <v>291.98775979281891</v>
      </c>
      <c r="K296" s="282"/>
      <c r="L296" s="283"/>
    </row>
    <row r="297" spans="1:12">
      <c r="A297" s="791"/>
      <c r="B297" s="555"/>
      <c r="C297" s="559" t="s">
        <v>85</v>
      </c>
      <c r="D297" s="560"/>
      <c r="E297" s="294">
        <v>5.83</v>
      </c>
      <c r="F297" s="294">
        <f>E297</f>
        <v>5.83</v>
      </c>
      <c r="G297" s="294" t="s">
        <v>9</v>
      </c>
      <c r="H297" s="295">
        <f t="shared" si="22"/>
        <v>9129.4839999999986</v>
      </c>
      <c r="I297" s="295">
        <f t="shared" si="25"/>
        <v>1023.376000000002</v>
      </c>
      <c r="J297" s="296">
        <f>$G$6+(H297*$E$7*$G$8/1000)</f>
        <v>292.12002463315503</v>
      </c>
      <c r="K297" s="282"/>
      <c r="L297" s="283"/>
    </row>
    <row r="298" spans="1:12" ht="12.6" customHeight="1" thickBot="1">
      <c r="A298" s="791"/>
      <c r="B298" s="555"/>
      <c r="C298" s="561" t="s">
        <v>27</v>
      </c>
      <c r="D298" s="562"/>
      <c r="E298" s="300">
        <v>8.4700000000000006</v>
      </c>
      <c r="F298" s="300">
        <f>E298</f>
        <v>8.4700000000000006</v>
      </c>
      <c r="G298" s="300" t="s">
        <v>9</v>
      </c>
      <c r="H298" s="301">
        <f t="shared" si="22"/>
        <v>9137.9539999999979</v>
      </c>
      <c r="I298" s="301">
        <f t="shared" si="25"/>
        <v>1014.9060000000027</v>
      </c>
      <c r="J298" s="302">
        <f>$G$6+(H298*$E$7*$G$8/1000)</f>
        <v>292.31218298609622</v>
      </c>
      <c r="K298" s="282"/>
      <c r="L298" s="283"/>
    </row>
    <row r="299" spans="1:12" ht="12.95" customHeight="1">
      <c r="A299" s="791"/>
      <c r="B299" s="555"/>
      <c r="C299" s="559" t="s">
        <v>85</v>
      </c>
      <c r="D299" s="560"/>
      <c r="E299" s="294">
        <v>11.66</v>
      </c>
      <c r="F299" s="294">
        <f>E299</f>
        <v>11.66</v>
      </c>
      <c r="G299" s="294" t="s">
        <v>9</v>
      </c>
      <c r="H299" s="295">
        <f t="shared" si="22"/>
        <v>9149.6139999999978</v>
      </c>
      <c r="I299" s="295">
        <f t="shared" si="25"/>
        <v>1003.2460000000028</v>
      </c>
      <c r="J299" s="296">
        <f>$G$6+(H299*$E$7*$G$8/1000)</f>
        <v>292.57671266676846</v>
      </c>
      <c r="K299" s="789" t="s">
        <v>163</v>
      </c>
      <c r="L299" s="526"/>
    </row>
    <row r="300" spans="1:12" ht="13.5" thickBot="1">
      <c r="A300" s="792"/>
      <c r="B300" s="794"/>
      <c r="C300" s="795" t="s">
        <v>84</v>
      </c>
      <c r="D300" s="796"/>
      <c r="E300" s="297">
        <v>5.83</v>
      </c>
      <c r="F300" s="297">
        <f>E300</f>
        <v>5.83</v>
      </c>
      <c r="G300" s="297" t="s">
        <v>9</v>
      </c>
      <c r="H300" s="298">
        <f t="shared" si="22"/>
        <v>9155.4439999999977</v>
      </c>
      <c r="I300" s="298">
        <f t="shared" si="25"/>
        <v>997.4160000000029</v>
      </c>
      <c r="J300" s="299">
        <f>$G$6+(H300*$E$7*$G$8/1000)</f>
        <v>292.70897750710458</v>
      </c>
      <c r="K300" s="797" t="s">
        <v>181</v>
      </c>
      <c r="L300" s="530"/>
    </row>
    <row r="301" spans="1:12" ht="12.6" customHeight="1">
      <c r="A301" s="540" t="s">
        <v>98</v>
      </c>
      <c r="B301" s="541"/>
      <c r="C301" s="542"/>
      <c r="D301" s="211">
        <v>101</v>
      </c>
      <c r="E301" s="347">
        <v>33.47</v>
      </c>
      <c r="F301" s="18">
        <f t="shared" ref="F301:F331" si="27">E301-($E$9)</f>
        <v>33.071999999999996</v>
      </c>
      <c r="G301" s="18" t="s">
        <v>9</v>
      </c>
      <c r="H301" s="18">
        <f t="shared" si="22"/>
        <v>9188.5159999999978</v>
      </c>
      <c r="I301" s="18">
        <f t="shared" si="25"/>
        <v>964.34400000000278</v>
      </c>
      <c r="J301" s="216">
        <f t="shared" ref="J301" si="28">$G$6+(H301*$E$7*$G$8/1000)</f>
        <v>293.45927987410232</v>
      </c>
      <c r="K301" s="229"/>
      <c r="L301" s="173"/>
    </row>
    <row r="302" spans="1:12" ht="12.95" customHeight="1">
      <c r="A302" s="540" t="s">
        <v>98</v>
      </c>
      <c r="B302" s="541"/>
      <c r="C302" s="542"/>
      <c r="D302" s="211">
        <f t="shared" ref="D302:D331" si="29">D301-1</f>
        <v>100</v>
      </c>
      <c r="E302" s="347">
        <v>33.6</v>
      </c>
      <c r="F302" s="18">
        <f t="shared" si="27"/>
        <v>33.201999999999998</v>
      </c>
      <c r="G302" s="18" t="s">
        <v>9</v>
      </c>
      <c r="H302" s="18">
        <f t="shared" si="22"/>
        <v>9221.7179999999971</v>
      </c>
      <c r="I302" s="18">
        <f t="shared" si="25"/>
        <v>931.14200000000346</v>
      </c>
      <c r="J302" s="216">
        <f>$G$6+(H302*$E$7*$G$8/1000)</f>
        <v>294.21253154285705</v>
      </c>
      <c r="K302" s="229"/>
      <c r="L302" s="173"/>
    </row>
    <row r="303" spans="1:12">
      <c r="A303" s="540" t="s">
        <v>98</v>
      </c>
      <c r="B303" s="541"/>
      <c r="C303" s="542"/>
      <c r="D303" s="211">
        <f t="shared" si="29"/>
        <v>99</v>
      </c>
      <c r="E303" s="347">
        <v>32.99</v>
      </c>
      <c r="F303" s="18">
        <f t="shared" si="27"/>
        <v>32.591999999999999</v>
      </c>
      <c r="G303" s="18" t="s">
        <v>9</v>
      </c>
      <c r="H303" s="18">
        <f t="shared" si="22"/>
        <v>9254.3099999999977</v>
      </c>
      <c r="I303" s="18">
        <f t="shared" si="25"/>
        <v>898.55000000000291</v>
      </c>
      <c r="J303" s="216">
        <f t="shared" ref="J303:J331" si="30">$G$6+(H303*$E$7*$G$8/1000)</f>
        <v>294.95194418029024</v>
      </c>
      <c r="K303" s="229"/>
      <c r="L303" s="173"/>
    </row>
    <row r="304" spans="1:12">
      <c r="A304" s="540" t="s">
        <v>98</v>
      </c>
      <c r="B304" s="541"/>
      <c r="C304" s="542"/>
      <c r="D304" s="211">
        <f t="shared" si="29"/>
        <v>98</v>
      </c>
      <c r="E304" s="347">
        <v>33.67</v>
      </c>
      <c r="F304" s="18">
        <f t="shared" si="27"/>
        <v>33.271999999999998</v>
      </c>
      <c r="G304" s="18" t="s">
        <v>9</v>
      </c>
      <c r="H304" s="18">
        <f t="shared" si="22"/>
        <v>9287.5819999999985</v>
      </c>
      <c r="I304" s="18">
        <f t="shared" si="25"/>
        <v>865.27800000000207</v>
      </c>
      <c r="J304" s="216">
        <f t="shared" si="30"/>
        <v>295.70678393460651</v>
      </c>
      <c r="K304" s="229"/>
      <c r="L304" s="173"/>
    </row>
    <row r="305" spans="1:12">
      <c r="A305" s="540" t="s">
        <v>98</v>
      </c>
      <c r="B305" s="541"/>
      <c r="C305" s="542"/>
      <c r="D305" s="211">
        <f t="shared" si="29"/>
        <v>97</v>
      </c>
      <c r="E305" s="347">
        <v>33.24</v>
      </c>
      <c r="F305" s="18">
        <f t="shared" si="27"/>
        <v>32.841999999999999</v>
      </c>
      <c r="G305" s="18" t="s">
        <v>9</v>
      </c>
      <c r="H305" s="18">
        <f t="shared" si="22"/>
        <v>9320.4239999999991</v>
      </c>
      <c r="I305" s="18">
        <f t="shared" si="25"/>
        <v>832.43600000000151</v>
      </c>
      <c r="J305" s="216">
        <f t="shared" si="30"/>
        <v>296.45186830618786</v>
      </c>
      <c r="K305" s="229"/>
      <c r="L305" s="173"/>
    </row>
    <row r="306" spans="1:12">
      <c r="A306" s="540" t="s">
        <v>98</v>
      </c>
      <c r="B306" s="541"/>
      <c r="C306" s="542"/>
      <c r="D306" s="211">
        <f t="shared" si="29"/>
        <v>96</v>
      </c>
      <c r="E306" s="347">
        <v>33.18</v>
      </c>
      <c r="F306" s="18">
        <f t="shared" si="27"/>
        <v>32.781999999999996</v>
      </c>
      <c r="G306" s="18" t="s">
        <v>9</v>
      </c>
      <c r="H306" s="18">
        <f t="shared" si="22"/>
        <v>9353.2059999999983</v>
      </c>
      <c r="I306" s="18">
        <f t="shared" si="25"/>
        <v>799.65400000000227</v>
      </c>
      <c r="J306" s="216">
        <f t="shared" si="30"/>
        <v>297.19559146157366</v>
      </c>
      <c r="K306" s="229"/>
      <c r="L306" s="173"/>
    </row>
    <row r="307" spans="1:12">
      <c r="A307" s="540" t="s">
        <v>98</v>
      </c>
      <c r="B307" s="541"/>
      <c r="C307" s="542"/>
      <c r="D307" s="211">
        <f t="shared" si="29"/>
        <v>95</v>
      </c>
      <c r="E307" s="347">
        <v>32.909999999999997</v>
      </c>
      <c r="F307" s="18">
        <f t="shared" si="27"/>
        <v>32.511999999999993</v>
      </c>
      <c r="G307" s="18" t="s">
        <v>9</v>
      </c>
      <c r="H307" s="18">
        <f t="shared" si="22"/>
        <v>9385.7179999999989</v>
      </c>
      <c r="I307" s="18">
        <f t="shared" si="25"/>
        <v>767.14200000000164</v>
      </c>
      <c r="J307" s="216">
        <f t="shared" si="30"/>
        <v>297.93318914407939</v>
      </c>
      <c r="K307" s="229"/>
      <c r="L307" s="173"/>
    </row>
    <row r="308" spans="1:12">
      <c r="A308" s="540" t="s">
        <v>98</v>
      </c>
      <c r="B308" s="541"/>
      <c r="C308" s="542"/>
      <c r="D308" s="211">
        <f t="shared" si="29"/>
        <v>94</v>
      </c>
      <c r="E308" s="347">
        <v>33.28</v>
      </c>
      <c r="F308" s="18">
        <f t="shared" si="27"/>
        <v>32.881999999999998</v>
      </c>
      <c r="G308" s="18" t="s">
        <v>9</v>
      </c>
      <c r="H308" s="18">
        <f t="shared" si="22"/>
        <v>9418.5999999999985</v>
      </c>
      <c r="I308" s="18">
        <f t="shared" si="25"/>
        <v>734.26000000000204</v>
      </c>
      <c r="J308" s="216">
        <f t="shared" si="30"/>
        <v>298.67918099312453</v>
      </c>
      <c r="K308" s="229"/>
      <c r="L308" s="173"/>
    </row>
    <row r="309" spans="1:12">
      <c r="A309" s="540" t="s">
        <v>98</v>
      </c>
      <c r="B309" s="541"/>
      <c r="C309" s="542"/>
      <c r="D309" s="211">
        <f t="shared" si="29"/>
        <v>93</v>
      </c>
      <c r="E309" s="347">
        <v>33.409999999999997</v>
      </c>
      <c r="F309" s="18">
        <f t="shared" si="27"/>
        <v>33.011999999999993</v>
      </c>
      <c r="G309" s="18" t="s">
        <v>9</v>
      </c>
      <c r="H309" s="18">
        <f t="shared" si="22"/>
        <v>9451.6119999999992</v>
      </c>
      <c r="I309" s="18">
        <f t="shared" si="25"/>
        <v>701.24800000000141</v>
      </c>
      <c r="J309" s="216">
        <f t="shared" si="30"/>
        <v>299.42812214392666</v>
      </c>
      <c r="K309" s="229"/>
      <c r="L309" s="173"/>
    </row>
    <row r="310" spans="1:12">
      <c r="A310" s="540" t="s">
        <v>98</v>
      </c>
      <c r="B310" s="541"/>
      <c r="C310" s="542"/>
      <c r="D310" s="211">
        <f t="shared" si="29"/>
        <v>92</v>
      </c>
      <c r="E310" s="347">
        <v>33.69</v>
      </c>
      <c r="F310" s="18">
        <f t="shared" si="27"/>
        <v>33.291999999999994</v>
      </c>
      <c r="G310" s="18" t="s">
        <v>9</v>
      </c>
      <c r="H310" s="18">
        <f t="shared" si="22"/>
        <v>9484.9039999999986</v>
      </c>
      <c r="I310" s="18">
        <f t="shared" si="25"/>
        <v>667.95600000000195</v>
      </c>
      <c r="J310" s="216">
        <f t="shared" si="30"/>
        <v>300.1834156369747</v>
      </c>
      <c r="K310" s="229"/>
      <c r="L310" s="173"/>
    </row>
    <row r="311" spans="1:12">
      <c r="A311" s="540" t="s">
        <v>98</v>
      </c>
      <c r="B311" s="541"/>
      <c r="C311" s="542"/>
      <c r="D311" s="211">
        <f t="shared" si="29"/>
        <v>91</v>
      </c>
      <c r="E311" s="347">
        <v>33.479999999999997</v>
      </c>
      <c r="F311" s="18">
        <f t="shared" si="27"/>
        <v>33.081999999999994</v>
      </c>
      <c r="G311" s="18" t="s">
        <v>9</v>
      </c>
      <c r="H311" s="18">
        <f t="shared" si="22"/>
        <v>9517.985999999999</v>
      </c>
      <c r="I311" s="18">
        <f t="shared" si="25"/>
        <v>634.87400000000162</v>
      </c>
      <c r="J311" s="216">
        <f t="shared" si="30"/>
        <v>300.93394487333842</v>
      </c>
      <c r="K311" s="229"/>
      <c r="L311" s="173"/>
    </row>
    <row r="312" spans="1:12">
      <c r="A312" s="540" t="s">
        <v>98</v>
      </c>
      <c r="B312" s="541"/>
      <c r="C312" s="542"/>
      <c r="D312" s="211">
        <f t="shared" si="29"/>
        <v>90</v>
      </c>
      <c r="E312" s="347">
        <v>32.69</v>
      </c>
      <c r="F312" s="18">
        <f t="shared" si="27"/>
        <v>32.291999999999994</v>
      </c>
      <c r="G312" s="18" t="s">
        <v>9</v>
      </c>
      <c r="H312" s="18">
        <f t="shared" si="22"/>
        <v>9550.2779999999984</v>
      </c>
      <c r="I312" s="18">
        <f t="shared" si="25"/>
        <v>602.58200000000215</v>
      </c>
      <c r="J312" s="216">
        <f t="shared" si="30"/>
        <v>301.66655142979369</v>
      </c>
      <c r="K312" s="229"/>
      <c r="L312" s="173"/>
    </row>
    <row r="313" spans="1:12">
      <c r="A313" s="540" t="s">
        <v>98</v>
      </c>
      <c r="B313" s="541"/>
      <c r="C313" s="542"/>
      <c r="D313" s="211">
        <f t="shared" si="29"/>
        <v>89</v>
      </c>
      <c r="E313" s="347">
        <v>32.869999999999997</v>
      </c>
      <c r="F313" s="18">
        <f t="shared" si="27"/>
        <v>32.471999999999994</v>
      </c>
      <c r="G313" s="18" t="s">
        <v>9</v>
      </c>
      <c r="H313" s="18">
        <f t="shared" si="22"/>
        <v>9582.7499999999982</v>
      </c>
      <c r="I313" s="18">
        <f t="shared" si="25"/>
        <v>570.1100000000024</v>
      </c>
      <c r="J313" s="216">
        <f t="shared" si="30"/>
        <v>302.40324163483569</v>
      </c>
      <c r="K313" s="229"/>
      <c r="L313" s="173"/>
    </row>
    <row r="314" spans="1:12">
      <c r="A314" s="540" t="s">
        <v>98</v>
      </c>
      <c r="B314" s="541"/>
      <c r="C314" s="542"/>
      <c r="D314" s="211">
        <f t="shared" si="29"/>
        <v>88</v>
      </c>
      <c r="E314" s="347">
        <v>33.53</v>
      </c>
      <c r="F314" s="18">
        <f t="shared" si="27"/>
        <v>33.131999999999998</v>
      </c>
      <c r="G314" s="18" t="s">
        <v>9</v>
      </c>
      <c r="H314" s="18">
        <f t="shared" si="22"/>
        <v>9615.8819999999978</v>
      </c>
      <c r="I314" s="18">
        <f t="shared" si="25"/>
        <v>536.97800000000279</v>
      </c>
      <c r="J314" s="216">
        <f t="shared" si="30"/>
        <v>303.15490521802894</v>
      </c>
      <c r="K314" s="229"/>
      <c r="L314" s="173"/>
    </row>
    <row r="315" spans="1:12">
      <c r="A315" s="540" t="s">
        <v>98</v>
      </c>
      <c r="B315" s="541"/>
      <c r="C315" s="542"/>
      <c r="D315" s="211">
        <f t="shared" si="29"/>
        <v>87</v>
      </c>
      <c r="E315" s="347">
        <v>31.26</v>
      </c>
      <c r="F315" s="18">
        <f t="shared" si="27"/>
        <v>30.862000000000002</v>
      </c>
      <c r="G315" s="18" t="s">
        <v>9</v>
      </c>
      <c r="H315" s="18">
        <f t="shared" si="22"/>
        <v>9646.743999999997</v>
      </c>
      <c r="I315" s="18">
        <f t="shared" si="25"/>
        <v>506.11600000000362</v>
      </c>
      <c r="J315" s="216">
        <f t="shared" si="30"/>
        <v>303.85506945515658</v>
      </c>
      <c r="K315" s="229"/>
      <c r="L315" s="173"/>
    </row>
    <row r="316" spans="1:12">
      <c r="A316" s="540" t="s">
        <v>98</v>
      </c>
      <c r="B316" s="541"/>
      <c r="C316" s="542"/>
      <c r="D316" s="211">
        <f t="shared" si="29"/>
        <v>86</v>
      </c>
      <c r="E316" s="347">
        <v>33.06</v>
      </c>
      <c r="F316" s="18">
        <f t="shared" si="27"/>
        <v>32.661999999999999</v>
      </c>
      <c r="G316" s="18" t="s">
        <v>9</v>
      </c>
      <c r="H316" s="18">
        <f t="shared" si="22"/>
        <v>9679.4059999999972</v>
      </c>
      <c r="I316" s="18">
        <f t="shared" si="25"/>
        <v>473.45400000000336</v>
      </c>
      <c r="J316" s="216">
        <f t="shared" si="30"/>
        <v>304.59607017815119</v>
      </c>
      <c r="K316" s="229"/>
      <c r="L316" s="173"/>
    </row>
    <row r="317" spans="1:12">
      <c r="A317" s="540" t="s">
        <v>98</v>
      </c>
      <c r="B317" s="541"/>
      <c r="C317" s="542"/>
      <c r="D317" s="211">
        <f t="shared" si="29"/>
        <v>85</v>
      </c>
      <c r="E317" s="347">
        <v>32.549999999999997</v>
      </c>
      <c r="F317" s="18">
        <f t="shared" si="27"/>
        <v>32.151999999999994</v>
      </c>
      <c r="G317" s="18" t="s">
        <v>9</v>
      </c>
      <c r="H317" s="18">
        <f t="shared" si="22"/>
        <v>9711.5579999999973</v>
      </c>
      <c r="I317" s="18">
        <f t="shared" si="25"/>
        <v>441.30200000000332</v>
      </c>
      <c r="J317" s="216">
        <f t="shared" si="30"/>
        <v>305.3255005634835</v>
      </c>
      <c r="K317" s="229"/>
      <c r="L317" s="173"/>
    </row>
    <row r="318" spans="1:12">
      <c r="A318" s="540" t="s">
        <v>98</v>
      </c>
      <c r="B318" s="541"/>
      <c r="C318" s="542"/>
      <c r="D318" s="211">
        <f t="shared" si="29"/>
        <v>84</v>
      </c>
      <c r="E318" s="347">
        <v>32.92</v>
      </c>
      <c r="F318" s="18">
        <f t="shared" si="27"/>
        <v>32.521999999999998</v>
      </c>
      <c r="G318" s="18" t="s">
        <v>9</v>
      </c>
      <c r="H318" s="18">
        <f t="shared" si="22"/>
        <v>9744.0799999999981</v>
      </c>
      <c r="I318" s="18">
        <f t="shared" si="25"/>
        <v>408.78000000000247</v>
      </c>
      <c r="J318" s="216">
        <f t="shared" si="30"/>
        <v>306.06332511535516</v>
      </c>
      <c r="K318" s="229"/>
      <c r="L318" s="173"/>
    </row>
    <row r="319" spans="1:12" ht="13.5" thickBot="1">
      <c r="A319" s="540" t="s">
        <v>98</v>
      </c>
      <c r="B319" s="541"/>
      <c r="C319" s="542"/>
      <c r="D319" s="211">
        <f t="shared" si="29"/>
        <v>83</v>
      </c>
      <c r="E319" s="347">
        <v>33.93</v>
      </c>
      <c r="F319" s="18">
        <f t="shared" si="27"/>
        <v>33.531999999999996</v>
      </c>
      <c r="G319" s="18" t="s">
        <v>9</v>
      </c>
      <c r="H319" s="18">
        <f t="shared" si="22"/>
        <v>9777.6119999999974</v>
      </c>
      <c r="I319" s="18">
        <f t="shared" si="25"/>
        <v>375.24800000000323</v>
      </c>
      <c r="J319" s="216">
        <f t="shared" si="30"/>
        <v>306.82406347318556</v>
      </c>
      <c r="K319" s="229"/>
      <c r="L319" s="173"/>
    </row>
    <row r="320" spans="1:12" ht="13.5" thickBot="1">
      <c r="A320" s="540" t="s">
        <v>98</v>
      </c>
      <c r="B320" s="541"/>
      <c r="C320" s="542"/>
      <c r="D320" s="211">
        <f t="shared" si="29"/>
        <v>82</v>
      </c>
      <c r="E320" s="347">
        <v>33.4</v>
      </c>
      <c r="F320" s="18">
        <f t="shared" si="27"/>
        <v>33.001999999999995</v>
      </c>
      <c r="G320" s="18" t="s">
        <v>9</v>
      </c>
      <c r="H320" s="18">
        <f t="shared" si="22"/>
        <v>9810.6139999999978</v>
      </c>
      <c r="I320" s="18">
        <f t="shared" si="25"/>
        <v>342.24600000000282</v>
      </c>
      <c r="J320" s="216">
        <f t="shared" si="30"/>
        <v>307.57277775462182</v>
      </c>
      <c r="K320" s="308" t="s">
        <v>171</v>
      </c>
      <c r="L320" s="324"/>
    </row>
    <row r="321" spans="1:12" ht="13.5" thickBot="1">
      <c r="A321" s="540" t="s">
        <v>98</v>
      </c>
      <c r="B321" s="541"/>
      <c r="C321" s="542"/>
      <c r="D321" s="211">
        <f t="shared" si="29"/>
        <v>81</v>
      </c>
      <c r="E321" s="347">
        <v>32.47</v>
      </c>
      <c r="F321" s="18">
        <f t="shared" si="27"/>
        <v>32.071999999999996</v>
      </c>
      <c r="G321" s="18" t="s">
        <v>9</v>
      </c>
      <c r="H321" s="18">
        <f t="shared" si="22"/>
        <v>9842.6859999999979</v>
      </c>
      <c r="I321" s="18">
        <f t="shared" si="25"/>
        <v>310.17400000000271</v>
      </c>
      <c r="J321" s="216">
        <f t="shared" si="30"/>
        <v>308.30039318502668</v>
      </c>
      <c r="K321" s="308" t="s">
        <v>172</v>
      </c>
      <c r="L321" s="324"/>
    </row>
    <row r="322" spans="1:12" ht="13.5" thickBot="1">
      <c r="A322" s="540" t="s">
        <v>98</v>
      </c>
      <c r="B322" s="541"/>
      <c r="C322" s="542"/>
      <c r="D322" s="211">
        <f t="shared" si="29"/>
        <v>80</v>
      </c>
      <c r="E322" s="347">
        <v>32.979999999999997</v>
      </c>
      <c r="F322" s="18">
        <f t="shared" si="27"/>
        <v>32.581999999999994</v>
      </c>
      <c r="G322" s="18" t="s">
        <v>9</v>
      </c>
      <c r="H322" s="18">
        <f t="shared" si="22"/>
        <v>9875.2679999999982</v>
      </c>
      <c r="I322" s="18">
        <f t="shared" si="25"/>
        <v>277.59200000000237</v>
      </c>
      <c r="J322" s="216">
        <f t="shared" si="30"/>
        <v>309.03957895309389</v>
      </c>
      <c r="K322" s="308" t="s">
        <v>173</v>
      </c>
      <c r="L322" s="309"/>
    </row>
    <row r="323" spans="1:12">
      <c r="A323" s="540" t="s">
        <v>98</v>
      </c>
      <c r="B323" s="541"/>
      <c r="C323" s="542"/>
      <c r="D323" s="211">
        <f t="shared" si="29"/>
        <v>79</v>
      </c>
      <c r="E323" s="347">
        <v>33.92</v>
      </c>
      <c r="F323" s="18">
        <f t="shared" si="27"/>
        <v>33.521999999999998</v>
      </c>
      <c r="G323" s="18" t="s">
        <v>9</v>
      </c>
      <c r="H323" s="18">
        <f t="shared" si="22"/>
        <v>9908.7899999999991</v>
      </c>
      <c r="I323" s="18">
        <f t="shared" si="25"/>
        <v>244.07000000000153</v>
      </c>
      <c r="J323" s="216">
        <f t="shared" si="30"/>
        <v>309.80009044155838</v>
      </c>
      <c r="K323" s="229"/>
      <c r="L323" s="323"/>
    </row>
    <row r="324" spans="1:12">
      <c r="A324" s="540" t="s">
        <v>98</v>
      </c>
      <c r="B324" s="541"/>
      <c r="C324" s="542"/>
      <c r="D324" s="211">
        <f t="shared" si="29"/>
        <v>78</v>
      </c>
      <c r="E324" s="347">
        <v>33.590000000000003</v>
      </c>
      <c r="F324" s="18">
        <f t="shared" si="27"/>
        <v>33.192</v>
      </c>
      <c r="G324" s="18" t="s">
        <v>9</v>
      </c>
      <c r="H324" s="18">
        <f t="shared" si="22"/>
        <v>9941.9819999999982</v>
      </c>
      <c r="I324" s="18">
        <f t="shared" si="25"/>
        <v>210.87800000000243</v>
      </c>
      <c r="J324" s="216">
        <f t="shared" si="30"/>
        <v>310.55311524094725</v>
      </c>
      <c r="K324" s="229"/>
      <c r="L324" s="173"/>
    </row>
    <row r="325" spans="1:12" ht="13.5" thickBot="1">
      <c r="A325" s="540" t="s">
        <v>98</v>
      </c>
      <c r="B325" s="541"/>
      <c r="C325" s="542"/>
      <c r="D325" s="211">
        <f t="shared" si="29"/>
        <v>77</v>
      </c>
      <c r="E325" s="347">
        <v>31.97</v>
      </c>
      <c r="F325" s="18">
        <f t="shared" si="27"/>
        <v>31.571999999999999</v>
      </c>
      <c r="G325" s="18" t="s">
        <v>9</v>
      </c>
      <c r="H325" s="18">
        <f t="shared" si="22"/>
        <v>9973.5539999999983</v>
      </c>
      <c r="I325" s="18">
        <f t="shared" si="25"/>
        <v>179.30600000000231</v>
      </c>
      <c r="J325" s="216">
        <f t="shared" si="30"/>
        <v>311.26938720305566</v>
      </c>
      <c r="K325" s="229"/>
      <c r="L325" s="173"/>
    </row>
    <row r="326" spans="1:12" ht="13.5" thickBot="1">
      <c r="A326" s="540" t="s">
        <v>98</v>
      </c>
      <c r="B326" s="541"/>
      <c r="C326" s="542"/>
      <c r="D326" s="211">
        <f t="shared" si="29"/>
        <v>76</v>
      </c>
      <c r="E326" s="347">
        <v>33.18</v>
      </c>
      <c r="F326" s="18">
        <f t="shared" si="27"/>
        <v>32.781999999999996</v>
      </c>
      <c r="G326" s="18" t="s">
        <v>9</v>
      </c>
      <c r="H326" s="18">
        <f t="shared" si="22"/>
        <v>10006.335999999998</v>
      </c>
      <c r="I326" s="18">
        <f t="shared" si="25"/>
        <v>146.52400000000307</v>
      </c>
      <c r="J326" s="216">
        <f t="shared" si="30"/>
        <v>312.01311035844151</v>
      </c>
      <c r="K326" s="798" t="s">
        <v>186</v>
      </c>
      <c r="L326" s="799"/>
    </row>
    <row r="327" spans="1:12" ht="13.5" thickBot="1">
      <c r="A327" s="540" t="s">
        <v>98</v>
      </c>
      <c r="B327" s="541"/>
      <c r="C327" s="542"/>
      <c r="D327" s="211">
        <v>75</v>
      </c>
      <c r="E327" s="347">
        <v>33.08</v>
      </c>
      <c r="F327" s="18">
        <f t="shared" si="27"/>
        <v>32.681999999999995</v>
      </c>
      <c r="G327" s="18" t="s">
        <v>9</v>
      </c>
      <c r="H327" s="18">
        <f t="shared" si="22"/>
        <v>10039.017999999998</v>
      </c>
      <c r="I327" s="18">
        <f t="shared" si="25"/>
        <v>113.84200000000237</v>
      </c>
      <c r="J327" s="216">
        <f t="shared" si="30"/>
        <v>312.75456482016801</v>
      </c>
      <c r="K327" s="800" t="s">
        <v>185</v>
      </c>
      <c r="L327" s="801"/>
    </row>
    <row r="328" spans="1:12">
      <c r="A328" s="540" t="s">
        <v>98</v>
      </c>
      <c r="B328" s="541"/>
      <c r="C328" s="542"/>
      <c r="D328" s="211">
        <v>74</v>
      </c>
      <c r="E328" s="347">
        <v>33.82</v>
      </c>
      <c r="F328" s="18">
        <f t="shared" si="27"/>
        <v>33.421999999999997</v>
      </c>
      <c r="G328" s="18" t="s">
        <v>9</v>
      </c>
      <c r="H328" s="18">
        <f t="shared" si="22"/>
        <v>10072.439999999999</v>
      </c>
      <c r="I328" s="18">
        <f t="shared" si="25"/>
        <v>80.420000000001892</v>
      </c>
      <c r="J328" s="216">
        <f t="shared" si="30"/>
        <v>313.51280761497321</v>
      </c>
      <c r="K328" s="229"/>
      <c r="L328" s="173"/>
    </row>
    <row r="329" spans="1:12">
      <c r="A329" s="540" t="s">
        <v>98</v>
      </c>
      <c r="B329" s="541"/>
      <c r="C329" s="542"/>
      <c r="D329" s="211">
        <v>73</v>
      </c>
      <c r="E329" s="347">
        <v>33.14</v>
      </c>
      <c r="F329" s="18">
        <f t="shared" si="27"/>
        <v>32.741999999999997</v>
      </c>
      <c r="G329" s="18" t="s">
        <v>9</v>
      </c>
      <c r="H329" s="18">
        <f t="shared" si="22"/>
        <v>10105.181999999999</v>
      </c>
      <c r="I329" s="18">
        <f t="shared" si="25"/>
        <v>47.678000000001703</v>
      </c>
      <c r="J329" s="216">
        <f t="shared" si="30"/>
        <v>314.25562329289528</v>
      </c>
      <c r="K329" s="229"/>
      <c r="L329" s="173"/>
    </row>
    <row r="330" spans="1:12">
      <c r="A330" s="809" t="s">
        <v>98</v>
      </c>
      <c r="B330" s="810"/>
      <c r="C330" s="811"/>
      <c r="D330" s="361">
        <f t="shared" si="29"/>
        <v>72</v>
      </c>
      <c r="E330" s="362">
        <v>33.68</v>
      </c>
      <c r="F330" s="363">
        <f t="shared" si="27"/>
        <v>33.281999999999996</v>
      </c>
      <c r="G330" s="363" t="s">
        <v>11</v>
      </c>
      <c r="H330" s="363">
        <f t="shared" si="22"/>
        <v>10105.181999999999</v>
      </c>
      <c r="I330" s="363">
        <f t="shared" si="25"/>
        <v>47.678000000001703</v>
      </c>
      <c r="J330" s="364">
        <f t="shared" si="30"/>
        <v>314.25562329289528</v>
      </c>
      <c r="K330" s="229"/>
      <c r="L330" s="173"/>
    </row>
    <row r="331" spans="1:12" ht="13.5" thickBot="1">
      <c r="A331" s="540" t="s">
        <v>98</v>
      </c>
      <c r="B331" s="541"/>
      <c r="C331" s="542"/>
      <c r="D331" s="211">
        <f t="shared" si="29"/>
        <v>71</v>
      </c>
      <c r="E331" s="347">
        <v>32.299999999999997</v>
      </c>
      <c r="F331" s="18">
        <f t="shared" si="27"/>
        <v>31.901999999999997</v>
      </c>
      <c r="G331" s="18" t="s">
        <v>9</v>
      </c>
      <c r="H331" s="18">
        <f t="shared" si="22"/>
        <v>10137.083999999999</v>
      </c>
      <c r="I331" s="18">
        <f t="shared" si="25"/>
        <v>15.776000000001659</v>
      </c>
      <c r="J331" s="216">
        <f t="shared" si="30"/>
        <v>314.97938194407936</v>
      </c>
      <c r="K331" s="229"/>
      <c r="L331" s="173"/>
    </row>
    <row r="332" spans="1:12" hidden="1">
      <c r="A332" s="540" t="s">
        <v>98</v>
      </c>
      <c r="B332" s="541"/>
      <c r="C332" s="542"/>
      <c r="D332" s="211">
        <f t="shared" ref="D332:D349" si="31">D331-1</f>
        <v>70</v>
      </c>
      <c r="E332" s="347">
        <v>33.71</v>
      </c>
      <c r="F332" s="18">
        <f t="shared" ref="F332" si="32">E332-($E$9)</f>
        <v>33.311999999999998</v>
      </c>
      <c r="G332" s="225" t="s">
        <v>11</v>
      </c>
      <c r="H332" s="18">
        <f t="shared" ref="H332" si="33">IF(G332="IN",H331+F332,H331)</f>
        <v>10137.083999999999</v>
      </c>
      <c r="I332" s="18">
        <f t="shared" ref="I332:I342" si="34">IF(H332="","",$K$6-H332)</f>
        <v>15.776000000001659</v>
      </c>
      <c r="J332" s="216">
        <f t="shared" ref="J332:J358" si="35">$G$6+(H332*$E$7*$G$8/1000)</f>
        <v>314.97938194407936</v>
      </c>
      <c r="K332" s="229"/>
      <c r="L332" s="173"/>
    </row>
    <row r="333" spans="1:12" hidden="1">
      <c r="A333" s="540" t="s">
        <v>98</v>
      </c>
      <c r="B333" s="541"/>
      <c r="C333" s="542"/>
      <c r="D333" s="211">
        <f t="shared" si="31"/>
        <v>69</v>
      </c>
      <c r="E333" s="347">
        <v>33.94</v>
      </c>
      <c r="F333" s="18">
        <f t="shared" ref="F333:F334" si="36">E333-($E$9)</f>
        <v>33.541999999999994</v>
      </c>
      <c r="G333" s="225" t="s">
        <v>11</v>
      </c>
      <c r="H333" s="18">
        <f t="shared" ref="H333:H366" si="37">IF(G333="IN",H332+F333,H332)</f>
        <v>10137.083999999999</v>
      </c>
      <c r="I333" s="18">
        <f t="shared" si="34"/>
        <v>15.776000000001659</v>
      </c>
      <c r="J333" s="216">
        <f t="shared" si="35"/>
        <v>314.97938194407936</v>
      </c>
      <c r="K333" s="229"/>
      <c r="L333" s="173"/>
    </row>
    <row r="334" spans="1:12" hidden="1">
      <c r="A334" s="540" t="s">
        <v>98</v>
      </c>
      <c r="B334" s="541"/>
      <c r="C334" s="542"/>
      <c r="D334" s="211">
        <f t="shared" si="31"/>
        <v>68</v>
      </c>
      <c r="E334" s="347">
        <v>33.729999999999997</v>
      </c>
      <c r="F334" s="18">
        <f t="shared" si="36"/>
        <v>33.331999999999994</v>
      </c>
      <c r="G334" s="225" t="s">
        <v>11</v>
      </c>
      <c r="H334" s="18">
        <f t="shared" si="37"/>
        <v>10137.083999999999</v>
      </c>
      <c r="I334" s="18">
        <f t="shared" si="34"/>
        <v>15.776000000001659</v>
      </c>
      <c r="J334" s="216">
        <f t="shared" si="35"/>
        <v>314.97938194407936</v>
      </c>
      <c r="K334" s="229"/>
      <c r="L334" s="173"/>
    </row>
    <row r="335" spans="1:12" hidden="1">
      <c r="A335" s="540" t="s">
        <v>98</v>
      </c>
      <c r="B335" s="541"/>
      <c r="C335" s="542"/>
      <c r="D335" s="211">
        <f t="shared" si="31"/>
        <v>67</v>
      </c>
      <c r="E335" s="347">
        <v>33.94</v>
      </c>
      <c r="F335" s="18">
        <f t="shared" ref="F335:F349" si="38">E335-($E$9)</f>
        <v>33.541999999999994</v>
      </c>
      <c r="G335" s="225" t="s">
        <v>11</v>
      </c>
      <c r="H335" s="18">
        <f t="shared" si="37"/>
        <v>10137.083999999999</v>
      </c>
      <c r="I335" s="18">
        <f t="shared" si="34"/>
        <v>15.776000000001659</v>
      </c>
      <c r="J335" s="216">
        <f t="shared" si="35"/>
        <v>314.97938194407936</v>
      </c>
      <c r="K335" s="229"/>
      <c r="L335" s="173"/>
    </row>
    <row r="336" spans="1:12" hidden="1">
      <c r="A336" s="540" t="s">
        <v>98</v>
      </c>
      <c r="B336" s="541"/>
      <c r="C336" s="542"/>
      <c r="D336" s="250">
        <f t="shared" si="31"/>
        <v>66</v>
      </c>
      <c r="E336" s="347">
        <v>33.39</v>
      </c>
      <c r="F336" s="18">
        <f t="shared" si="38"/>
        <v>32.991999999999997</v>
      </c>
      <c r="G336" s="225" t="s">
        <v>11</v>
      </c>
      <c r="H336" s="18">
        <f t="shared" si="37"/>
        <v>10137.083999999999</v>
      </c>
      <c r="I336" s="18">
        <f t="shared" si="34"/>
        <v>15.776000000001659</v>
      </c>
      <c r="J336" s="216">
        <f t="shared" si="35"/>
        <v>314.97938194407936</v>
      </c>
      <c r="K336" s="229"/>
      <c r="L336" s="173"/>
    </row>
    <row r="337" spans="1:12" hidden="1">
      <c r="A337" s="540" t="s">
        <v>98</v>
      </c>
      <c r="B337" s="541"/>
      <c r="C337" s="542"/>
      <c r="D337" s="211">
        <f t="shared" si="31"/>
        <v>65</v>
      </c>
      <c r="E337" s="347">
        <v>33.770000000000003</v>
      </c>
      <c r="F337" s="18">
        <f t="shared" si="38"/>
        <v>33.372</v>
      </c>
      <c r="G337" s="225" t="s">
        <v>11</v>
      </c>
      <c r="H337" s="18">
        <f t="shared" si="37"/>
        <v>10137.083999999999</v>
      </c>
      <c r="I337" s="18">
        <f t="shared" si="34"/>
        <v>15.776000000001659</v>
      </c>
      <c r="J337" s="216">
        <f t="shared" si="35"/>
        <v>314.97938194407936</v>
      </c>
      <c r="K337" s="229"/>
      <c r="L337" s="173"/>
    </row>
    <row r="338" spans="1:12" hidden="1">
      <c r="A338" s="540" t="s">
        <v>98</v>
      </c>
      <c r="B338" s="541"/>
      <c r="C338" s="542"/>
      <c r="D338" s="211">
        <f t="shared" si="31"/>
        <v>64</v>
      </c>
      <c r="E338" s="347">
        <v>33.94</v>
      </c>
      <c r="F338" s="18">
        <f t="shared" si="38"/>
        <v>33.541999999999994</v>
      </c>
      <c r="G338" s="225" t="s">
        <v>11</v>
      </c>
      <c r="H338" s="18">
        <f t="shared" si="37"/>
        <v>10137.083999999999</v>
      </c>
      <c r="I338" s="18">
        <f t="shared" si="34"/>
        <v>15.776000000001659</v>
      </c>
      <c r="J338" s="216">
        <f t="shared" si="35"/>
        <v>314.97938194407936</v>
      </c>
      <c r="K338" s="229"/>
      <c r="L338" s="173"/>
    </row>
    <row r="339" spans="1:12" hidden="1">
      <c r="A339" s="540" t="s">
        <v>98</v>
      </c>
      <c r="B339" s="541"/>
      <c r="C339" s="542"/>
      <c r="D339" s="250">
        <f t="shared" si="31"/>
        <v>63</v>
      </c>
      <c r="E339" s="347">
        <v>33.86</v>
      </c>
      <c r="F339" s="18">
        <f t="shared" si="38"/>
        <v>33.461999999999996</v>
      </c>
      <c r="G339" s="225" t="s">
        <v>11</v>
      </c>
      <c r="H339" s="18">
        <f t="shared" si="37"/>
        <v>10137.083999999999</v>
      </c>
      <c r="I339" s="18">
        <f t="shared" si="34"/>
        <v>15.776000000001659</v>
      </c>
      <c r="J339" s="216">
        <f t="shared" si="35"/>
        <v>314.97938194407936</v>
      </c>
      <c r="K339" s="229"/>
      <c r="L339" s="173"/>
    </row>
    <row r="340" spans="1:12" hidden="1">
      <c r="A340" s="540" t="s">
        <v>98</v>
      </c>
      <c r="B340" s="541"/>
      <c r="C340" s="542"/>
      <c r="D340" s="211">
        <f t="shared" si="31"/>
        <v>62</v>
      </c>
      <c r="E340" s="347">
        <v>33.44</v>
      </c>
      <c r="F340" s="18">
        <f t="shared" si="38"/>
        <v>33.041999999999994</v>
      </c>
      <c r="G340" s="225" t="s">
        <v>11</v>
      </c>
      <c r="H340" s="18">
        <f t="shared" si="37"/>
        <v>10137.083999999999</v>
      </c>
      <c r="I340" s="18">
        <f t="shared" si="34"/>
        <v>15.776000000001659</v>
      </c>
      <c r="J340" s="216">
        <f t="shared" si="35"/>
        <v>314.97938194407936</v>
      </c>
      <c r="K340" s="229"/>
      <c r="L340" s="173"/>
    </row>
    <row r="341" spans="1:12" hidden="1">
      <c r="A341" s="540" t="s">
        <v>98</v>
      </c>
      <c r="B341" s="541"/>
      <c r="C341" s="542"/>
      <c r="D341" s="211">
        <f t="shared" si="31"/>
        <v>61</v>
      </c>
      <c r="E341" s="347">
        <v>34.409999999999997</v>
      </c>
      <c r="F341" s="18">
        <f t="shared" si="38"/>
        <v>34.011999999999993</v>
      </c>
      <c r="G341" s="225" t="s">
        <v>11</v>
      </c>
      <c r="H341" s="18">
        <f t="shared" si="37"/>
        <v>10137.083999999999</v>
      </c>
      <c r="I341" s="18">
        <f t="shared" si="34"/>
        <v>15.776000000001659</v>
      </c>
      <c r="J341" s="216">
        <f t="shared" si="35"/>
        <v>314.97938194407936</v>
      </c>
      <c r="K341" s="229"/>
      <c r="L341" s="173"/>
    </row>
    <row r="342" spans="1:12" hidden="1">
      <c r="A342" s="540" t="s">
        <v>98</v>
      </c>
      <c r="B342" s="541"/>
      <c r="C342" s="542"/>
      <c r="D342" s="250">
        <f t="shared" si="31"/>
        <v>60</v>
      </c>
      <c r="E342" s="347">
        <v>33.909999999999997</v>
      </c>
      <c r="F342" s="18">
        <f t="shared" si="38"/>
        <v>33.511999999999993</v>
      </c>
      <c r="G342" s="225" t="s">
        <v>11</v>
      </c>
      <c r="H342" s="18">
        <f t="shared" si="37"/>
        <v>10137.083999999999</v>
      </c>
      <c r="I342" s="18">
        <f t="shared" si="34"/>
        <v>15.776000000001659</v>
      </c>
      <c r="J342" s="216">
        <f t="shared" si="35"/>
        <v>314.97938194407936</v>
      </c>
      <c r="K342" s="229"/>
      <c r="L342" s="173"/>
    </row>
    <row r="343" spans="1:12" hidden="1">
      <c r="A343" s="540" t="s">
        <v>98</v>
      </c>
      <c r="B343" s="541"/>
      <c r="C343" s="542"/>
      <c r="D343" s="211">
        <f t="shared" si="31"/>
        <v>59</v>
      </c>
      <c r="E343" s="347">
        <v>34.32</v>
      </c>
      <c r="F343" s="18">
        <f t="shared" si="38"/>
        <v>33.921999999999997</v>
      </c>
      <c r="G343" s="225" t="s">
        <v>11</v>
      </c>
      <c r="H343" s="18">
        <f t="shared" si="37"/>
        <v>10137.083999999999</v>
      </c>
      <c r="I343" s="18">
        <f t="shared" ref="I343:I366" si="39">IF(H343="","",$K$6-H343)</f>
        <v>15.776000000001659</v>
      </c>
      <c r="J343" s="216">
        <f t="shared" si="35"/>
        <v>314.97938194407936</v>
      </c>
      <c r="K343" s="229"/>
      <c r="L343" s="173"/>
    </row>
    <row r="344" spans="1:12" hidden="1">
      <c r="A344" s="540" t="s">
        <v>98</v>
      </c>
      <c r="B344" s="541"/>
      <c r="C344" s="542"/>
      <c r="D344" s="211">
        <f t="shared" si="31"/>
        <v>58</v>
      </c>
      <c r="E344" s="347">
        <v>32.75</v>
      </c>
      <c r="F344" s="18">
        <f t="shared" si="38"/>
        <v>32.351999999999997</v>
      </c>
      <c r="G344" s="225" t="s">
        <v>11</v>
      </c>
      <c r="H344" s="18">
        <f t="shared" si="37"/>
        <v>10137.083999999999</v>
      </c>
      <c r="I344" s="18">
        <f t="shared" si="39"/>
        <v>15.776000000001659</v>
      </c>
      <c r="J344" s="216">
        <f t="shared" si="35"/>
        <v>314.97938194407936</v>
      </c>
      <c r="K344" s="229"/>
      <c r="L344" s="173"/>
    </row>
    <row r="345" spans="1:12" hidden="1">
      <c r="A345" s="540" t="s">
        <v>98</v>
      </c>
      <c r="B345" s="541"/>
      <c r="C345" s="542"/>
      <c r="D345" s="250">
        <f t="shared" si="31"/>
        <v>57</v>
      </c>
      <c r="E345" s="347">
        <v>33.659999999999997</v>
      </c>
      <c r="F345" s="18">
        <f t="shared" si="38"/>
        <v>33.261999999999993</v>
      </c>
      <c r="G345" s="225" t="s">
        <v>11</v>
      </c>
      <c r="H345" s="18">
        <f t="shared" si="37"/>
        <v>10137.083999999999</v>
      </c>
      <c r="I345" s="18">
        <f t="shared" si="39"/>
        <v>15.776000000001659</v>
      </c>
      <c r="J345" s="216">
        <f t="shared" si="35"/>
        <v>314.97938194407936</v>
      </c>
      <c r="K345" s="229"/>
      <c r="L345" s="173"/>
    </row>
    <row r="346" spans="1:12" hidden="1">
      <c r="A346" s="540" t="s">
        <v>98</v>
      </c>
      <c r="B346" s="541"/>
      <c r="C346" s="542"/>
      <c r="D346" s="211">
        <f t="shared" si="31"/>
        <v>56</v>
      </c>
      <c r="E346" s="347">
        <v>33.31</v>
      </c>
      <c r="F346" s="18">
        <f t="shared" si="38"/>
        <v>32.911999999999999</v>
      </c>
      <c r="G346" s="225" t="s">
        <v>11</v>
      </c>
      <c r="H346" s="18">
        <f t="shared" si="37"/>
        <v>10137.083999999999</v>
      </c>
      <c r="I346" s="18">
        <f t="shared" si="39"/>
        <v>15.776000000001659</v>
      </c>
      <c r="J346" s="216">
        <f t="shared" si="35"/>
        <v>314.97938194407936</v>
      </c>
      <c r="K346" s="229"/>
      <c r="L346" s="173"/>
    </row>
    <row r="347" spans="1:12" hidden="1">
      <c r="A347" s="540" t="s">
        <v>98</v>
      </c>
      <c r="B347" s="541"/>
      <c r="C347" s="542"/>
      <c r="D347" s="211">
        <f t="shared" si="31"/>
        <v>55</v>
      </c>
      <c r="E347" s="347">
        <v>33.659999999999997</v>
      </c>
      <c r="F347" s="18">
        <f t="shared" si="38"/>
        <v>33.261999999999993</v>
      </c>
      <c r="G347" s="225" t="s">
        <v>11</v>
      </c>
      <c r="H347" s="18">
        <f t="shared" si="37"/>
        <v>10137.083999999999</v>
      </c>
      <c r="I347" s="18">
        <f t="shared" si="39"/>
        <v>15.776000000001659</v>
      </c>
      <c r="J347" s="216">
        <f t="shared" si="35"/>
        <v>314.97938194407936</v>
      </c>
      <c r="K347" s="229"/>
      <c r="L347" s="173"/>
    </row>
    <row r="348" spans="1:12" hidden="1">
      <c r="A348" s="540" t="s">
        <v>98</v>
      </c>
      <c r="B348" s="541"/>
      <c r="C348" s="542"/>
      <c r="D348" s="250">
        <f t="shared" si="31"/>
        <v>54</v>
      </c>
      <c r="E348" s="18">
        <v>33.409999999999997</v>
      </c>
      <c r="F348" s="18">
        <f t="shared" si="38"/>
        <v>33.011999999999993</v>
      </c>
      <c r="G348" s="225" t="s">
        <v>11</v>
      </c>
      <c r="H348" s="18">
        <f t="shared" si="37"/>
        <v>10137.083999999999</v>
      </c>
      <c r="I348" s="18">
        <f t="shared" si="39"/>
        <v>15.776000000001659</v>
      </c>
      <c r="J348" s="216">
        <f t="shared" si="35"/>
        <v>314.97938194407936</v>
      </c>
      <c r="K348" s="229"/>
      <c r="L348" s="173"/>
    </row>
    <row r="349" spans="1:12" ht="13.5" hidden="1" thickBot="1">
      <c r="A349" s="540" t="s">
        <v>98</v>
      </c>
      <c r="B349" s="541"/>
      <c r="C349" s="542"/>
      <c r="D349" s="211">
        <f t="shared" si="31"/>
        <v>53</v>
      </c>
      <c r="E349" s="205">
        <v>33.69</v>
      </c>
      <c r="F349" s="18">
        <f t="shared" si="38"/>
        <v>33.291999999999994</v>
      </c>
      <c r="G349" s="225" t="s">
        <v>11</v>
      </c>
      <c r="H349" s="18">
        <f t="shared" si="37"/>
        <v>10137.083999999999</v>
      </c>
      <c r="I349" s="18">
        <f t="shared" si="39"/>
        <v>15.776000000001659</v>
      </c>
      <c r="J349" s="216">
        <f t="shared" si="35"/>
        <v>314.97938194407936</v>
      </c>
      <c r="K349" s="229"/>
      <c r="L349" s="173"/>
    </row>
    <row r="350" spans="1:12" ht="13.5" thickBot="1">
      <c r="A350" s="814" t="s">
        <v>150</v>
      </c>
      <c r="B350" s="815"/>
      <c r="C350" s="815"/>
      <c r="D350" s="816"/>
      <c r="E350" s="303">
        <v>10.199999999999999</v>
      </c>
      <c r="F350" s="303">
        <f>E350-($E$9)</f>
        <v>9.8019999999999996</v>
      </c>
      <c r="G350" s="303" t="s">
        <v>11</v>
      </c>
      <c r="H350" s="305">
        <f t="shared" si="37"/>
        <v>10137.083999999999</v>
      </c>
      <c r="I350" s="305">
        <f t="shared" si="39"/>
        <v>15.776000000001659</v>
      </c>
      <c r="J350" s="348">
        <f t="shared" si="35"/>
        <v>314.97938194407936</v>
      </c>
      <c r="K350" s="818" t="s">
        <v>137</v>
      </c>
      <c r="L350" s="819"/>
    </row>
    <row r="351" spans="1:12" ht="13.5" thickBot="1">
      <c r="A351" s="814" t="s">
        <v>151</v>
      </c>
      <c r="B351" s="815"/>
      <c r="C351" s="815"/>
      <c r="D351" s="816"/>
      <c r="E351" s="303">
        <v>6.21</v>
      </c>
      <c r="F351" s="303">
        <f t="shared" ref="F351:F366" si="40">E351-($E$9)</f>
        <v>5.8120000000000003</v>
      </c>
      <c r="G351" s="303" t="s">
        <v>11</v>
      </c>
      <c r="H351" s="305">
        <f t="shared" si="37"/>
        <v>10137.083999999999</v>
      </c>
      <c r="I351" s="305">
        <f t="shared" si="39"/>
        <v>15.776000000001659</v>
      </c>
      <c r="J351" s="348">
        <f t="shared" si="35"/>
        <v>314.97938194407936</v>
      </c>
      <c r="K351" s="818" t="s">
        <v>138</v>
      </c>
      <c r="L351" s="819"/>
    </row>
    <row r="352" spans="1:12" ht="13.5" thickBot="1">
      <c r="A352" s="814" t="s">
        <v>152</v>
      </c>
      <c r="B352" s="815"/>
      <c r="C352" s="815"/>
      <c r="D352" s="816"/>
      <c r="E352" s="303">
        <v>6.22</v>
      </c>
      <c r="F352" s="305">
        <f>E352-($E$9)</f>
        <v>5.8220000000000001</v>
      </c>
      <c r="G352" s="305" t="s">
        <v>11</v>
      </c>
      <c r="H352" s="305">
        <f t="shared" si="37"/>
        <v>10137.083999999999</v>
      </c>
      <c r="I352" s="305">
        <f t="shared" si="39"/>
        <v>15.776000000001659</v>
      </c>
      <c r="J352" s="348">
        <f t="shared" si="35"/>
        <v>314.97938194407936</v>
      </c>
      <c r="K352" s="818" t="s">
        <v>139</v>
      </c>
      <c r="L352" s="819"/>
    </row>
    <row r="353" spans="1:12" ht="13.5" thickBot="1">
      <c r="A353" s="814" t="s">
        <v>153</v>
      </c>
      <c r="B353" s="815"/>
      <c r="C353" s="815"/>
      <c r="D353" s="816"/>
      <c r="E353" s="303">
        <v>6.21</v>
      </c>
      <c r="F353" s="303">
        <f>E353-($E$9)</f>
        <v>5.8120000000000003</v>
      </c>
      <c r="G353" s="305" t="s">
        <v>11</v>
      </c>
      <c r="H353" s="305">
        <f t="shared" si="37"/>
        <v>10137.083999999999</v>
      </c>
      <c r="I353" s="305">
        <f t="shared" si="39"/>
        <v>15.776000000001659</v>
      </c>
      <c r="J353" s="348">
        <f t="shared" si="35"/>
        <v>314.97938194407936</v>
      </c>
      <c r="K353" s="818" t="s">
        <v>140</v>
      </c>
      <c r="L353" s="819"/>
    </row>
    <row r="354" spans="1:12" ht="13.5" thickBot="1">
      <c r="A354" s="814" t="s">
        <v>154</v>
      </c>
      <c r="B354" s="815"/>
      <c r="C354" s="815"/>
      <c r="D354" s="816"/>
      <c r="E354" s="303">
        <v>10.210000000000001</v>
      </c>
      <c r="F354" s="305">
        <f>E354-($E$9)</f>
        <v>9.8120000000000012</v>
      </c>
      <c r="G354" s="305" t="s">
        <v>11</v>
      </c>
      <c r="H354" s="305">
        <f t="shared" si="37"/>
        <v>10137.083999999999</v>
      </c>
      <c r="I354" s="305">
        <f t="shared" si="39"/>
        <v>15.776000000001659</v>
      </c>
      <c r="J354" s="348">
        <f t="shared" si="35"/>
        <v>314.97938194407936</v>
      </c>
      <c r="K354" s="818" t="s">
        <v>141</v>
      </c>
      <c r="L354" s="819"/>
    </row>
    <row r="355" spans="1:12" ht="13.5" thickBot="1">
      <c r="A355" s="814" t="s">
        <v>155</v>
      </c>
      <c r="B355" s="815"/>
      <c r="C355" s="815"/>
      <c r="D355" s="816"/>
      <c r="E355" s="303">
        <v>10.220000000000001</v>
      </c>
      <c r="F355" s="305">
        <f t="shared" si="40"/>
        <v>9.822000000000001</v>
      </c>
      <c r="G355" s="305" t="s">
        <v>11</v>
      </c>
      <c r="H355" s="305">
        <f t="shared" si="37"/>
        <v>10137.083999999999</v>
      </c>
      <c r="I355" s="305">
        <f t="shared" si="39"/>
        <v>15.776000000001659</v>
      </c>
      <c r="J355" s="348">
        <f t="shared" si="35"/>
        <v>314.97938194407936</v>
      </c>
      <c r="K355" s="818" t="s">
        <v>142</v>
      </c>
      <c r="L355" s="819"/>
    </row>
    <row r="356" spans="1:12" ht="13.5" thickBot="1">
      <c r="A356" s="814" t="s">
        <v>156</v>
      </c>
      <c r="B356" s="815"/>
      <c r="C356" s="815"/>
      <c r="D356" s="816"/>
      <c r="E356" s="303">
        <v>15.21</v>
      </c>
      <c r="F356" s="303">
        <f t="shared" si="40"/>
        <v>14.812000000000001</v>
      </c>
      <c r="G356" s="305" t="s">
        <v>11</v>
      </c>
      <c r="H356" s="305">
        <f t="shared" si="37"/>
        <v>10137.083999999999</v>
      </c>
      <c r="I356" s="305">
        <f t="shared" si="39"/>
        <v>15.776000000001659</v>
      </c>
      <c r="J356" s="348">
        <f t="shared" si="35"/>
        <v>314.97938194407936</v>
      </c>
      <c r="K356" s="818" t="s">
        <v>143</v>
      </c>
      <c r="L356" s="819"/>
    </row>
    <row r="357" spans="1:12" ht="13.5" thickBot="1">
      <c r="A357" s="814" t="s">
        <v>157</v>
      </c>
      <c r="B357" s="815"/>
      <c r="C357" s="815"/>
      <c r="D357" s="816"/>
      <c r="E357" s="303">
        <v>15.2</v>
      </c>
      <c r="F357" s="305">
        <f t="shared" si="40"/>
        <v>14.802</v>
      </c>
      <c r="G357" s="305" t="s">
        <v>11</v>
      </c>
      <c r="H357" s="305">
        <f t="shared" si="37"/>
        <v>10137.083999999999</v>
      </c>
      <c r="I357" s="305">
        <f t="shared" si="39"/>
        <v>15.776000000001659</v>
      </c>
      <c r="J357" s="348">
        <f t="shared" si="35"/>
        <v>314.97938194407936</v>
      </c>
      <c r="K357" s="818" t="s">
        <v>144</v>
      </c>
      <c r="L357" s="819"/>
    </row>
    <row r="358" spans="1:12" ht="13.5" thickBot="1">
      <c r="A358" s="814" t="s">
        <v>121</v>
      </c>
      <c r="B358" s="815"/>
      <c r="C358" s="815"/>
      <c r="D358" s="816"/>
      <c r="E358" s="303">
        <v>3.22</v>
      </c>
      <c r="F358" s="305">
        <f t="shared" si="40"/>
        <v>2.8220000000000001</v>
      </c>
      <c r="G358" s="305" t="s">
        <v>11</v>
      </c>
      <c r="H358" s="305">
        <f t="shared" si="37"/>
        <v>10137.083999999999</v>
      </c>
      <c r="I358" s="305">
        <f t="shared" si="39"/>
        <v>15.776000000001659</v>
      </c>
      <c r="J358" s="348">
        <f t="shared" si="35"/>
        <v>314.97938194407936</v>
      </c>
      <c r="K358" s="818" t="s">
        <v>103</v>
      </c>
      <c r="L358" s="819"/>
    </row>
    <row r="359" spans="1:12" ht="13.5" thickBot="1">
      <c r="A359" s="814" t="s">
        <v>122</v>
      </c>
      <c r="B359" s="815"/>
      <c r="C359" s="815"/>
      <c r="D359" s="816"/>
      <c r="E359" s="303">
        <v>20.21</v>
      </c>
      <c r="F359" s="305">
        <f t="shared" si="40"/>
        <v>19.812000000000001</v>
      </c>
      <c r="G359" s="305" t="s">
        <v>11</v>
      </c>
      <c r="H359" s="305">
        <f t="shared" si="37"/>
        <v>10137.083999999999</v>
      </c>
      <c r="I359" s="305">
        <f t="shared" si="39"/>
        <v>15.776000000001659</v>
      </c>
      <c r="J359" s="304">
        <f t="shared" ref="J359:J366" si="41">$G$6+(H359*$E$7*$G$8/1000)</f>
        <v>314.97938194407936</v>
      </c>
      <c r="K359" s="818" t="s">
        <v>94</v>
      </c>
      <c r="L359" s="819"/>
    </row>
    <row r="360" spans="1:12" ht="13.5" thickBot="1">
      <c r="A360" s="814" t="s">
        <v>158</v>
      </c>
      <c r="B360" s="815"/>
      <c r="C360" s="815"/>
      <c r="D360" s="816"/>
      <c r="E360" s="303">
        <v>20.22</v>
      </c>
      <c r="F360" s="305">
        <f t="shared" si="40"/>
        <v>19.821999999999999</v>
      </c>
      <c r="G360" s="305" t="s">
        <v>11</v>
      </c>
      <c r="H360" s="305">
        <f t="shared" si="37"/>
        <v>10137.083999999999</v>
      </c>
      <c r="I360" s="305">
        <f t="shared" si="39"/>
        <v>15.776000000001659</v>
      </c>
      <c r="J360" s="304">
        <f t="shared" si="41"/>
        <v>314.97938194407936</v>
      </c>
      <c r="K360" s="818" t="s">
        <v>145</v>
      </c>
      <c r="L360" s="819"/>
    </row>
    <row r="361" spans="1:12" ht="13.5" thickBot="1">
      <c r="A361" s="814" t="s">
        <v>159</v>
      </c>
      <c r="B361" s="815"/>
      <c r="C361" s="815"/>
      <c r="D361" s="816"/>
      <c r="E361" s="303">
        <v>10.220000000000001</v>
      </c>
      <c r="F361" s="303">
        <f t="shared" si="40"/>
        <v>9.822000000000001</v>
      </c>
      <c r="G361" s="305" t="s">
        <v>11</v>
      </c>
      <c r="H361" s="305">
        <f t="shared" si="37"/>
        <v>10137.083999999999</v>
      </c>
      <c r="I361" s="305">
        <f t="shared" si="39"/>
        <v>15.776000000001659</v>
      </c>
      <c r="J361" s="304">
        <f t="shared" si="41"/>
        <v>314.97938194407936</v>
      </c>
      <c r="K361" s="818" t="s">
        <v>146</v>
      </c>
      <c r="L361" s="819"/>
    </row>
    <row r="362" spans="1:12" ht="13.5" thickBot="1">
      <c r="A362" s="814" t="s">
        <v>123</v>
      </c>
      <c r="B362" s="815"/>
      <c r="C362" s="815"/>
      <c r="D362" s="816"/>
      <c r="E362" s="303">
        <v>15.22</v>
      </c>
      <c r="F362" s="305">
        <f t="shared" si="40"/>
        <v>14.822000000000001</v>
      </c>
      <c r="G362" s="305" t="s">
        <v>11</v>
      </c>
      <c r="H362" s="305">
        <f t="shared" si="37"/>
        <v>10137.083999999999</v>
      </c>
      <c r="I362" s="305">
        <f t="shared" si="39"/>
        <v>15.776000000001659</v>
      </c>
      <c r="J362" s="304">
        <f t="shared" si="41"/>
        <v>314.97938194407936</v>
      </c>
      <c r="K362" s="818" t="s">
        <v>100</v>
      </c>
      <c r="L362" s="819"/>
    </row>
    <row r="363" spans="1:12" ht="13.5" thickBot="1">
      <c r="A363" s="814" t="s">
        <v>124</v>
      </c>
      <c r="B363" s="815"/>
      <c r="C363" s="815"/>
      <c r="D363" s="816"/>
      <c r="E363" s="303">
        <v>15.21</v>
      </c>
      <c r="F363" s="305">
        <f t="shared" si="40"/>
        <v>14.812000000000001</v>
      </c>
      <c r="G363" s="305" t="s">
        <v>11</v>
      </c>
      <c r="H363" s="305">
        <f t="shared" si="37"/>
        <v>10137.083999999999</v>
      </c>
      <c r="I363" s="305">
        <f t="shared" si="39"/>
        <v>15.776000000001659</v>
      </c>
      <c r="J363" s="304">
        <f t="shared" si="41"/>
        <v>314.97938194407936</v>
      </c>
      <c r="K363" s="818" t="s">
        <v>101</v>
      </c>
      <c r="L363" s="819"/>
    </row>
    <row r="364" spans="1:12" ht="13.5" thickBot="1">
      <c r="A364" s="814" t="s">
        <v>125</v>
      </c>
      <c r="B364" s="815"/>
      <c r="C364" s="815"/>
      <c r="D364" s="816"/>
      <c r="E364" s="303">
        <v>3.21</v>
      </c>
      <c r="F364" s="303">
        <f t="shared" si="40"/>
        <v>2.8119999999999998</v>
      </c>
      <c r="G364" s="305" t="s">
        <v>11</v>
      </c>
      <c r="H364" s="305">
        <f t="shared" si="37"/>
        <v>10137.083999999999</v>
      </c>
      <c r="I364" s="305">
        <f t="shared" si="39"/>
        <v>15.776000000001659</v>
      </c>
      <c r="J364" s="304">
        <f t="shared" si="41"/>
        <v>314.97938194407936</v>
      </c>
      <c r="K364" s="818" t="s">
        <v>95</v>
      </c>
      <c r="L364" s="819"/>
    </row>
    <row r="365" spans="1:12" ht="13.5" thickBot="1">
      <c r="A365" s="814" t="s">
        <v>160</v>
      </c>
      <c r="B365" s="815"/>
      <c r="C365" s="815"/>
      <c r="D365" s="816"/>
      <c r="E365" s="303">
        <v>10.210000000000001</v>
      </c>
      <c r="F365" s="305">
        <f t="shared" si="40"/>
        <v>9.8120000000000012</v>
      </c>
      <c r="G365" s="305" t="s">
        <v>11</v>
      </c>
      <c r="H365" s="305">
        <f t="shared" si="37"/>
        <v>10137.083999999999</v>
      </c>
      <c r="I365" s="305">
        <f t="shared" si="39"/>
        <v>15.776000000001659</v>
      </c>
      <c r="J365" s="304">
        <f t="shared" si="41"/>
        <v>314.97938194407936</v>
      </c>
      <c r="K365" s="818" t="s">
        <v>147</v>
      </c>
      <c r="L365" s="819"/>
    </row>
    <row r="366" spans="1:12" ht="13.5" thickBot="1">
      <c r="A366" s="814" t="s">
        <v>126</v>
      </c>
      <c r="B366" s="815"/>
      <c r="C366" s="815"/>
      <c r="D366" s="816"/>
      <c r="E366" s="303">
        <v>6.21</v>
      </c>
      <c r="F366" s="303">
        <f t="shared" si="40"/>
        <v>5.8120000000000003</v>
      </c>
      <c r="G366" s="303" t="s">
        <v>11</v>
      </c>
      <c r="H366" s="305">
        <f t="shared" si="37"/>
        <v>10137.083999999999</v>
      </c>
      <c r="I366" s="305">
        <f t="shared" si="39"/>
        <v>15.776000000001659</v>
      </c>
      <c r="J366" s="304">
        <f t="shared" si="41"/>
        <v>314.97938194407936</v>
      </c>
      <c r="K366" s="818" t="s">
        <v>102</v>
      </c>
      <c r="L366" s="819"/>
    </row>
    <row r="367" spans="1:12" ht="13.5" customHeight="1" thickBot="1">
      <c r="A367" s="572" t="s">
        <v>86</v>
      </c>
      <c r="B367" s="575" t="s">
        <v>68</v>
      </c>
      <c r="C367" s="576"/>
      <c r="D367" s="577"/>
      <c r="E367" s="182">
        <v>7.166666666666667</v>
      </c>
      <c r="F367" s="183">
        <f>E367-($E$9)</f>
        <v>6.7686666666666673</v>
      </c>
      <c r="G367" s="183" t="s">
        <v>9</v>
      </c>
      <c r="H367" s="183">
        <f t="shared" ref="H367:H369" si="42">IF(G367="IN",H366+F367,H366)</f>
        <v>10143.852666666666</v>
      </c>
      <c r="I367" s="312">
        <f t="shared" ref="I367:I368" si="43">IF(H367="","",$K$6-H367)</f>
        <v>9.0073333333348273</v>
      </c>
      <c r="J367" s="825" t="s">
        <v>120</v>
      </c>
      <c r="K367" s="826"/>
      <c r="L367" s="827"/>
    </row>
    <row r="368" spans="1:12" ht="13.5" thickBot="1">
      <c r="A368" s="573"/>
      <c r="B368" s="828" t="s">
        <v>110</v>
      </c>
      <c r="C368" s="829"/>
      <c r="D368" s="830"/>
      <c r="E368" s="313">
        <v>85.9</v>
      </c>
      <c r="F368" s="312">
        <f>E368</f>
        <v>85.9</v>
      </c>
      <c r="G368" s="312" t="s">
        <v>9</v>
      </c>
      <c r="H368" s="312">
        <f t="shared" si="42"/>
        <v>10229.752666666665</v>
      </c>
      <c r="I368" s="306">
        <f t="shared" si="43"/>
        <v>-76.892666666664809</v>
      </c>
      <c r="J368" s="825" t="s">
        <v>174</v>
      </c>
      <c r="K368" s="826"/>
      <c r="L368" s="827"/>
    </row>
    <row r="369" spans="1:15" ht="12.95" customHeight="1" thickBot="1">
      <c r="A369" s="574"/>
      <c r="B369" s="581" t="s">
        <v>69</v>
      </c>
      <c r="C369" s="582"/>
      <c r="D369" s="582"/>
      <c r="E369" s="583"/>
      <c r="F369" s="217">
        <f>I368</f>
        <v>-76.892666666664809</v>
      </c>
      <c r="G369" s="181" t="s">
        <v>9</v>
      </c>
      <c r="H369" s="181">
        <f t="shared" si="42"/>
        <v>10152.86</v>
      </c>
      <c r="I369" s="181">
        <f t="shared" ref="I369" si="44">IF(H369="","",$K$6-H369)</f>
        <v>0</v>
      </c>
      <c r="J369" s="822"/>
      <c r="K369" s="823"/>
      <c r="L369" s="824"/>
    </row>
    <row r="370" spans="1:15">
      <c r="A370" s="11"/>
      <c r="B370" s="11"/>
      <c r="C370" s="12"/>
      <c r="D370" s="175"/>
      <c r="E370" s="8"/>
      <c r="F370" s="8"/>
      <c r="G370" s="8"/>
      <c r="H370" s="8"/>
      <c r="I370" s="8"/>
      <c r="J370" s="176"/>
      <c r="K370" s="30"/>
      <c r="L370" s="10"/>
    </row>
    <row r="371" spans="1:15">
      <c r="A371" s="11"/>
      <c r="B371" s="11"/>
      <c r="C371" s="12"/>
      <c r="D371" s="175"/>
      <c r="E371" s="8"/>
      <c r="F371" s="8"/>
      <c r="G371" s="8"/>
      <c r="H371" s="8"/>
      <c r="I371" s="8"/>
      <c r="J371" s="176"/>
      <c r="L371" s="10"/>
    </row>
    <row r="372" spans="1:15">
      <c r="A372" s="11"/>
      <c r="B372" s="11"/>
      <c r="C372" s="12"/>
      <c r="D372" s="175"/>
      <c r="E372" s="8"/>
      <c r="F372" s="8"/>
      <c r="G372" s="8"/>
      <c r="H372" s="8"/>
      <c r="I372" s="8"/>
      <c r="J372" s="176"/>
      <c r="L372" s="10"/>
      <c r="M372" s="19"/>
      <c r="O372" s="19"/>
    </row>
    <row r="373" spans="1:15">
      <c r="A373" s="11"/>
      <c r="B373" s="11"/>
      <c r="C373" s="820"/>
      <c r="D373" s="820"/>
      <c r="E373" s="174"/>
      <c r="F373" s="174"/>
      <c r="G373" s="174"/>
      <c r="H373" s="35"/>
      <c r="I373" s="35"/>
      <c r="J373" s="177"/>
      <c r="K373" s="32"/>
      <c r="L373" s="33"/>
    </row>
    <row r="374" spans="1:15">
      <c r="A374" s="11"/>
      <c r="B374" s="11"/>
      <c r="C374" s="821"/>
      <c r="D374" s="821"/>
      <c r="E374" s="172"/>
      <c r="F374" s="172"/>
      <c r="G374" s="172"/>
      <c r="H374" s="35"/>
      <c r="I374" s="35"/>
      <c r="J374" s="177"/>
      <c r="K374"/>
    </row>
    <row r="375" spans="1:15">
      <c r="A375" s="11"/>
      <c r="B375" s="11"/>
      <c r="C375" s="178"/>
      <c r="D375" s="179"/>
      <c r="E375" s="11"/>
      <c r="F375" s="35"/>
      <c r="G375" s="8"/>
      <c r="H375" s="35"/>
      <c r="I375" s="35"/>
      <c r="J375" s="177"/>
      <c r="K375" s="817"/>
      <c r="L375" s="817"/>
    </row>
    <row r="376" spans="1:15">
      <c r="A376" s="11"/>
      <c r="B376" s="11"/>
      <c r="C376" s="178"/>
      <c r="D376" s="175"/>
      <c r="E376" s="11"/>
      <c r="F376" s="35"/>
      <c r="G376" s="8"/>
      <c r="H376" s="35"/>
      <c r="I376" s="35"/>
      <c r="J376" s="176"/>
      <c r="K376" s="32"/>
      <c r="L376" s="33"/>
    </row>
    <row r="377" spans="1:15">
      <c r="A377" s="11"/>
      <c r="B377" s="11"/>
      <c r="C377" s="178"/>
      <c r="D377" s="175"/>
      <c r="E377" s="11"/>
      <c r="F377" s="35"/>
      <c r="G377" s="8"/>
      <c r="H377" s="180"/>
      <c r="I377" s="35"/>
      <c r="J377" s="176"/>
      <c r="L377" s="10"/>
    </row>
    <row r="378" spans="1:15">
      <c r="A378" s="11"/>
      <c r="B378" s="11"/>
      <c r="C378" s="12"/>
      <c r="D378" s="175"/>
      <c r="E378" s="8"/>
      <c r="F378" s="8"/>
      <c r="G378" s="8"/>
      <c r="H378" s="8"/>
      <c r="I378" s="8"/>
      <c r="J378" s="176"/>
      <c r="L378" s="10"/>
    </row>
    <row r="379" spans="1:15">
      <c r="A379" s="11"/>
      <c r="B379" s="11"/>
      <c r="C379" s="12"/>
      <c r="D379" s="175"/>
      <c r="E379" s="8"/>
      <c r="F379" s="8"/>
      <c r="G379" s="8"/>
      <c r="H379" s="8"/>
      <c r="I379" s="8"/>
      <c r="J379" s="176"/>
      <c r="L379" s="10"/>
    </row>
    <row r="380" spans="1:15">
      <c r="A380" s="11"/>
      <c r="B380" s="11"/>
      <c r="C380" s="12"/>
      <c r="D380" s="175"/>
      <c r="E380" s="8"/>
      <c r="F380" s="8"/>
      <c r="G380" s="8"/>
      <c r="H380" s="8"/>
      <c r="I380" s="8"/>
      <c r="J380" s="176"/>
      <c r="L380" s="10"/>
    </row>
    <row r="381" spans="1:15">
      <c r="A381"/>
      <c r="B381"/>
      <c r="C381" s="26"/>
      <c r="D381"/>
      <c r="E381"/>
      <c r="F381" s="28"/>
      <c r="G381"/>
      <c r="H381"/>
      <c r="I381"/>
      <c r="J381"/>
      <c r="L381" s="10"/>
    </row>
    <row r="382" spans="1:15">
      <c r="A382"/>
      <c r="B382"/>
      <c r="C382" s="26"/>
      <c r="D382"/>
      <c r="E382"/>
      <c r="F382" s="28"/>
      <c r="G382"/>
      <c r="H382"/>
      <c r="I382"/>
      <c r="J382"/>
      <c r="L382" s="10"/>
    </row>
    <row r="383" spans="1:15">
      <c r="A383"/>
      <c r="B383"/>
      <c r="C383" s="26"/>
      <c r="D383"/>
      <c r="E383"/>
      <c r="F383" s="28"/>
      <c r="G383"/>
      <c r="H383"/>
      <c r="I383"/>
      <c r="J383"/>
      <c r="L383" s="10"/>
    </row>
    <row r="384" spans="1:15">
      <c r="A384"/>
      <c r="B384"/>
      <c r="C384" s="26"/>
      <c r="D384"/>
      <c r="E384"/>
      <c r="F384" s="28"/>
      <c r="G384"/>
      <c r="H384"/>
      <c r="I384"/>
      <c r="J384"/>
      <c r="L384" s="10"/>
    </row>
    <row r="385" spans="1:12">
      <c r="A385"/>
      <c r="B385"/>
      <c r="C385" s="26"/>
      <c r="D385"/>
      <c r="E385"/>
      <c r="F385" s="28"/>
      <c r="G385"/>
      <c r="H385"/>
      <c r="I385"/>
      <c r="J385"/>
      <c r="L385" s="10"/>
    </row>
    <row r="386" spans="1:12">
      <c r="A386"/>
      <c r="B386"/>
      <c r="C386" s="26"/>
      <c r="D386"/>
      <c r="E386"/>
      <c r="F386" s="28"/>
      <c r="G386"/>
      <c r="H386"/>
      <c r="I386"/>
      <c r="J386"/>
      <c r="L386" s="10"/>
    </row>
    <row r="387" spans="1:12">
      <c r="A387"/>
      <c r="B387"/>
      <c r="C387" s="26"/>
      <c r="D387"/>
      <c r="E387"/>
      <c r="F387" s="28"/>
      <c r="G387"/>
      <c r="H387"/>
      <c r="I387"/>
      <c r="J387"/>
      <c r="L387" s="10"/>
    </row>
    <row r="388" spans="1:12">
      <c r="A388"/>
      <c r="B388"/>
      <c r="C388" s="26"/>
      <c r="D388"/>
      <c r="E388"/>
      <c r="F388" s="28"/>
      <c r="G388"/>
      <c r="H388"/>
      <c r="I388"/>
      <c r="J388"/>
      <c r="L388" s="10"/>
    </row>
    <row r="389" spans="1:12">
      <c r="A389"/>
      <c r="B389"/>
      <c r="C389" s="26"/>
      <c r="D389"/>
      <c r="E389"/>
      <c r="F389" s="28"/>
      <c r="G389"/>
      <c r="H389"/>
      <c r="I389"/>
      <c r="J389"/>
      <c r="L389" s="10"/>
    </row>
    <row r="390" spans="1:12">
      <c r="A390"/>
      <c r="B390"/>
      <c r="C390" s="26"/>
      <c r="D390"/>
      <c r="E390"/>
      <c r="F390" s="28"/>
      <c r="G390"/>
      <c r="H390"/>
      <c r="I390"/>
      <c r="J390"/>
      <c r="L390" s="10"/>
    </row>
    <row r="391" spans="1:12">
      <c r="A391"/>
      <c r="B391"/>
      <c r="C391" s="26"/>
      <c r="D391"/>
      <c r="E391"/>
      <c r="F391" s="28"/>
      <c r="G391"/>
      <c r="H391"/>
      <c r="I391"/>
      <c r="J391"/>
      <c r="L391" s="10"/>
    </row>
    <row r="392" spans="1:12">
      <c r="L392" s="10"/>
    </row>
    <row r="393" spans="1:12">
      <c r="L393" s="10"/>
    </row>
    <row r="394" spans="1:12">
      <c r="L394" s="10"/>
    </row>
    <row r="395" spans="1:12">
      <c r="K395"/>
    </row>
    <row r="396" spans="1:12">
      <c r="K396"/>
    </row>
    <row r="397" spans="1:12">
      <c r="K397"/>
    </row>
    <row r="398" spans="1:12">
      <c r="K398"/>
    </row>
    <row r="399" spans="1:12">
      <c r="K399"/>
    </row>
    <row r="400" spans="1:12">
      <c r="K400"/>
    </row>
    <row r="401" spans="11:11">
      <c r="K401"/>
    </row>
    <row r="402" spans="11:11">
      <c r="K402"/>
    </row>
    <row r="403" spans="11:11">
      <c r="K403"/>
    </row>
    <row r="404" spans="11:11">
      <c r="K404"/>
    </row>
    <row r="405" spans="11:11">
      <c r="K405"/>
    </row>
  </sheetData>
  <mergeCells count="418">
    <mergeCell ref="A304:C304"/>
    <mergeCell ref="K359:L359"/>
    <mergeCell ref="B369:E369"/>
    <mergeCell ref="J369:L369"/>
    <mergeCell ref="K364:L364"/>
    <mergeCell ref="A365:D365"/>
    <mergeCell ref="K365:L365"/>
    <mergeCell ref="A366:D366"/>
    <mergeCell ref="K366:L366"/>
    <mergeCell ref="A367:A369"/>
    <mergeCell ref="B367:D367"/>
    <mergeCell ref="J367:L367"/>
    <mergeCell ref="B368:D368"/>
    <mergeCell ref="J368:L368"/>
    <mergeCell ref="A364:D364"/>
    <mergeCell ref="A360:D360"/>
    <mergeCell ref="A333:C333"/>
    <mergeCell ref="A334:C334"/>
    <mergeCell ref="A335:C335"/>
    <mergeCell ref="A336:C336"/>
    <mergeCell ref="A314:C314"/>
    <mergeCell ref="A315:C315"/>
    <mergeCell ref="A316:C316"/>
    <mergeCell ref="A317:C317"/>
    <mergeCell ref="K375:L375"/>
    <mergeCell ref="A350:D350"/>
    <mergeCell ref="K350:L350"/>
    <mergeCell ref="A351:D351"/>
    <mergeCell ref="K351:L351"/>
    <mergeCell ref="A352:D352"/>
    <mergeCell ref="K352:L352"/>
    <mergeCell ref="K353:L353"/>
    <mergeCell ref="K354:L354"/>
    <mergeCell ref="K355:L355"/>
    <mergeCell ref="K356:L356"/>
    <mergeCell ref="C373:D373"/>
    <mergeCell ref="C374:D374"/>
    <mergeCell ref="K360:L360"/>
    <mergeCell ref="A361:D361"/>
    <mergeCell ref="K361:L361"/>
    <mergeCell ref="A362:D362"/>
    <mergeCell ref="K362:L362"/>
    <mergeCell ref="A363:D363"/>
    <mergeCell ref="K363:L363"/>
    <mergeCell ref="K357:L357"/>
    <mergeCell ref="A358:D358"/>
    <mergeCell ref="K358:L358"/>
    <mergeCell ref="A359:D359"/>
    <mergeCell ref="A337:C337"/>
    <mergeCell ref="A338:C338"/>
    <mergeCell ref="A349:C349"/>
    <mergeCell ref="A353:D353"/>
    <mergeCell ref="A357:D357"/>
    <mergeCell ref="A354:D354"/>
    <mergeCell ref="A355:D355"/>
    <mergeCell ref="A356:D356"/>
    <mergeCell ref="A339:C339"/>
    <mergeCell ref="A340:C340"/>
    <mergeCell ref="A341:C341"/>
    <mergeCell ref="A342:C342"/>
    <mergeCell ref="A343:C343"/>
    <mergeCell ref="A344:C344"/>
    <mergeCell ref="A345:C345"/>
    <mergeCell ref="A346:C346"/>
    <mergeCell ref="A347:C347"/>
    <mergeCell ref="A348:C348"/>
    <mergeCell ref="A283:C283"/>
    <mergeCell ref="A284:C284"/>
    <mergeCell ref="A285:C285"/>
    <mergeCell ref="A286:C286"/>
    <mergeCell ref="A287:C287"/>
    <mergeCell ref="A288:C288"/>
    <mergeCell ref="A331:C331"/>
    <mergeCell ref="A332:C332"/>
    <mergeCell ref="A325:C325"/>
    <mergeCell ref="A326:C326"/>
    <mergeCell ref="A327:C327"/>
    <mergeCell ref="A328:C328"/>
    <mergeCell ref="A329:C329"/>
    <mergeCell ref="A330:C330"/>
    <mergeCell ref="C296:D296"/>
    <mergeCell ref="C297:D297"/>
    <mergeCell ref="A301:C301"/>
    <mergeCell ref="A302:C302"/>
    <mergeCell ref="A322:C322"/>
    <mergeCell ref="A323:C323"/>
    <mergeCell ref="A318:C318"/>
    <mergeCell ref="A311:C311"/>
    <mergeCell ref="A312:C312"/>
    <mergeCell ref="A303:C303"/>
    <mergeCell ref="A277:C277"/>
    <mergeCell ref="A278:C278"/>
    <mergeCell ref="A279:C279"/>
    <mergeCell ref="A280:C280"/>
    <mergeCell ref="A281:C281"/>
    <mergeCell ref="A282:C282"/>
    <mergeCell ref="A271:C271"/>
    <mergeCell ref="A272:C272"/>
    <mergeCell ref="A273:C273"/>
    <mergeCell ref="A274:C274"/>
    <mergeCell ref="A275:C275"/>
    <mergeCell ref="A276:C276"/>
    <mergeCell ref="A265:C265"/>
    <mergeCell ref="A266:C266"/>
    <mergeCell ref="A267:C267"/>
    <mergeCell ref="A268:C268"/>
    <mergeCell ref="A269:C269"/>
    <mergeCell ref="A270:C270"/>
    <mergeCell ref="A259:C259"/>
    <mergeCell ref="A260:C260"/>
    <mergeCell ref="A261:C261"/>
    <mergeCell ref="A262:C262"/>
    <mergeCell ref="A263:C263"/>
    <mergeCell ref="A264:C264"/>
    <mergeCell ref="A253:C253"/>
    <mergeCell ref="A254:C254"/>
    <mergeCell ref="A255:C255"/>
    <mergeCell ref="A256:C256"/>
    <mergeCell ref="A257:C257"/>
    <mergeCell ref="A258:C258"/>
    <mergeCell ref="A247:C247"/>
    <mergeCell ref="A248:C248"/>
    <mergeCell ref="A249:C249"/>
    <mergeCell ref="A250:C250"/>
    <mergeCell ref="A251:C251"/>
    <mergeCell ref="A252:C252"/>
    <mergeCell ref="A241:C241"/>
    <mergeCell ref="A242:C242"/>
    <mergeCell ref="A243:C243"/>
    <mergeCell ref="A244:C244"/>
    <mergeCell ref="A245:C245"/>
    <mergeCell ref="A246:C246"/>
    <mergeCell ref="A235:C235"/>
    <mergeCell ref="A236:C236"/>
    <mergeCell ref="A237:C237"/>
    <mergeCell ref="A238:C238"/>
    <mergeCell ref="A239:C239"/>
    <mergeCell ref="A240:C240"/>
    <mergeCell ref="A229:C229"/>
    <mergeCell ref="A230:C230"/>
    <mergeCell ref="A231:C231"/>
    <mergeCell ref="A232:C232"/>
    <mergeCell ref="A233:C233"/>
    <mergeCell ref="A234:C234"/>
    <mergeCell ref="A223:C223"/>
    <mergeCell ref="A224:C224"/>
    <mergeCell ref="A225:C225"/>
    <mergeCell ref="A226:C226"/>
    <mergeCell ref="A227:C227"/>
    <mergeCell ref="A228:C228"/>
    <mergeCell ref="A217:C217"/>
    <mergeCell ref="A218:C218"/>
    <mergeCell ref="A219:C219"/>
    <mergeCell ref="A220:C220"/>
    <mergeCell ref="A221:C221"/>
    <mergeCell ref="A222:C222"/>
    <mergeCell ref="A211:C211"/>
    <mergeCell ref="A212:C212"/>
    <mergeCell ref="A213:C213"/>
    <mergeCell ref="A214:C214"/>
    <mergeCell ref="A215:C215"/>
    <mergeCell ref="A216:C216"/>
    <mergeCell ref="A205:C205"/>
    <mergeCell ref="A206:C206"/>
    <mergeCell ref="A207:C207"/>
    <mergeCell ref="A208:C208"/>
    <mergeCell ref="A209:C209"/>
    <mergeCell ref="A210:C210"/>
    <mergeCell ref="A199:C199"/>
    <mergeCell ref="A200:C200"/>
    <mergeCell ref="A201:C201"/>
    <mergeCell ref="A202:C202"/>
    <mergeCell ref="A203:C203"/>
    <mergeCell ref="A204:C204"/>
    <mergeCell ref="A193:C193"/>
    <mergeCell ref="A194:C194"/>
    <mergeCell ref="A195:C195"/>
    <mergeCell ref="A196:C196"/>
    <mergeCell ref="A197:C197"/>
    <mergeCell ref="A198:C198"/>
    <mergeCell ref="A187:C187"/>
    <mergeCell ref="A188:C188"/>
    <mergeCell ref="A189:C189"/>
    <mergeCell ref="A190:C190"/>
    <mergeCell ref="A191:C191"/>
    <mergeCell ref="A192:C192"/>
    <mergeCell ref="A181:C181"/>
    <mergeCell ref="A182:C182"/>
    <mergeCell ref="A183:C183"/>
    <mergeCell ref="A184:C184"/>
    <mergeCell ref="A185:C185"/>
    <mergeCell ref="A186:C186"/>
    <mergeCell ref="A175:C175"/>
    <mergeCell ref="A176:C176"/>
    <mergeCell ref="A177:C177"/>
    <mergeCell ref="A178:C178"/>
    <mergeCell ref="A179:C179"/>
    <mergeCell ref="A180:C180"/>
    <mergeCell ref="A169:C169"/>
    <mergeCell ref="A170:C170"/>
    <mergeCell ref="A171:C171"/>
    <mergeCell ref="A172:C172"/>
    <mergeCell ref="A173:C173"/>
    <mergeCell ref="A174:C174"/>
    <mergeCell ref="A163:C163"/>
    <mergeCell ref="A164:C164"/>
    <mergeCell ref="A165:C165"/>
    <mergeCell ref="A166:C166"/>
    <mergeCell ref="A167:C167"/>
    <mergeCell ref="A168:C168"/>
    <mergeCell ref="A157:C157"/>
    <mergeCell ref="A158:C158"/>
    <mergeCell ref="A159:C159"/>
    <mergeCell ref="A160:C160"/>
    <mergeCell ref="A161:C161"/>
    <mergeCell ref="A162:C162"/>
    <mergeCell ref="A151:C151"/>
    <mergeCell ref="A152:C152"/>
    <mergeCell ref="A153:C153"/>
    <mergeCell ref="A154:C154"/>
    <mergeCell ref="A155:C155"/>
    <mergeCell ref="A156:C156"/>
    <mergeCell ref="A145:C145"/>
    <mergeCell ref="A146:C146"/>
    <mergeCell ref="A147:C147"/>
    <mergeCell ref="A148:C148"/>
    <mergeCell ref="A149:C149"/>
    <mergeCell ref="A150:C150"/>
    <mergeCell ref="A140:C140"/>
    <mergeCell ref="A141:C141"/>
    <mergeCell ref="A142:C142"/>
    <mergeCell ref="A143:C143"/>
    <mergeCell ref="A144:C144"/>
    <mergeCell ref="K144:L144"/>
    <mergeCell ref="A134:C134"/>
    <mergeCell ref="A135:C135"/>
    <mergeCell ref="A136:C136"/>
    <mergeCell ref="A137:C137"/>
    <mergeCell ref="A138:C138"/>
    <mergeCell ref="A139:C139"/>
    <mergeCell ref="A128:C128"/>
    <mergeCell ref="A129:C129"/>
    <mergeCell ref="A130:C130"/>
    <mergeCell ref="A131:C131"/>
    <mergeCell ref="A132:C132"/>
    <mergeCell ref="A133:C133"/>
    <mergeCell ref="A122:C122"/>
    <mergeCell ref="A123:C123"/>
    <mergeCell ref="A124:C124"/>
    <mergeCell ref="A125:C125"/>
    <mergeCell ref="A126:C126"/>
    <mergeCell ref="A127:C127"/>
    <mergeCell ref="A116:C116"/>
    <mergeCell ref="A117:C117"/>
    <mergeCell ref="A118:C118"/>
    <mergeCell ref="A119:C119"/>
    <mergeCell ref="A120:C120"/>
    <mergeCell ref="A121:C121"/>
    <mergeCell ref="A110:C110"/>
    <mergeCell ref="A111:C111"/>
    <mergeCell ref="A112:C112"/>
    <mergeCell ref="A113:C113"/>
    <mergeCell ref="A114:C114"/>
    <mergeCell ref="A115:C115"/>
    <mergeCell ref="A104:C104"/>
    <mergeCell ref="A105:C105"/>
    <mergeCell ref="A106:C106"/>
    <mergeCell ref="A107:C107"/>
    <mergeCell ref="A108:C108"/>
    <mergeCell ref="A109:C109"/>
    <mergeCell ref="A98:C98"/>
    <mergeCell ref="A99:C99"/>
    <mergeCell ref="A100:C100"/>
    <mergeCell ref="A101:C101"/>
    <mergeCell ref="A102:C102"/>
    <mergeCell ref="A103:C103"/>
    <mergeCell ref="A92:C92"/>
    <mergeCell ref="A93:C93"/>
    <mergeCell ref="A94:C94"/>
    <mergeCell ref="A95:C95"/>
    <mergeCell ref="A96:C96"/>
    <mergeCell ref="A97:C97"/>
    <mergeCell ref="A86:C86"/>
    <mergeCell ref="A87:C87"/>
    <mergeCell ref="A88:C88"/>
    <mergeCell ref="A89:C89"/>
    <mergeCell ref="A90:C90"/>
    <mergeCell ref="A91:C91"/>
    <mergeCell ref="A80:C80"/>
    <mergeCell ref="A81:C81"/>
    <mergeCell ref="A82:C82"/>
    <mergeCell ref="A83:C83"/>
    <mergeCell ref="A84:C84"/>
    <mergeCell ref="A85:C85"/>
    <mergeCell ref="A74:C74"/>
    <mergeCell ref="A75:C75"/>
    <mergeCell ref="A76:C76"/>
    <mergeCell ref="A77:C77"/>
    <mergeCell ref="A78:C78"/>
    <mergeCell ref="A79:C79"/>
    <mergeCell ref="A68:C68"/>
    <mergeCell ref="A69:C69"/>
    <mergeCell ref="A70:C70"/>
    <mergeCell ref="A71:C71"/>
    <mergeCell ref="A72:C72"/>
    <mergeCell ref="A73:C73"/>
    <mergeCell ref="A62:C62"/>
    <mergeCell ref="A63:C63"/>
    <mergeCell ref="A64:C64"/>
    <mergeCell ref="A65:C65"/>
    <mergeCell ref="A66:C66"/>
    <mergeCell ref="A67:C67"/>
    <mergeCell ref="A56:C56"/>
    <mergeCell ref="A57:C57"/>
    <mergeCell ref="A58:C58"/>
    <mergeCell ref="A59:C59"/>
    <mergeCell ref="A60:C60"/>
    <mergeCell ref="A61:C61"/>
    <mergeCell ref="A50:C50"/>
    <mergeCell ref="A51:C51"/>
    <mergeCell ref="A52:C52"/>
    <mergeCell ref="A53:C53"/>
    <mergeCell ref="A54:C54"/>
    <mergeCell ref="A55:C55"/>
    <mergeCell ref="A44:C44"/>
    <mergeCell ref="A45:C45"/>
    <mergeCell ref="A46:C46"/>
    <mergeCell ref="A47:C47"/>
    <mergeCell ref="A48:C48"/>
    <mergeCell ref="A49:C49"/>
    <mergeCell ref="A38:C38"/>
    <mergeCell ref="A39:C39"/>
    <mergeCell ref="A40:C40"/>
    <mergeCell ref="A41:C41"/>
    <mergeCell ref="A42:C42"/>
    <mergeCell ref="A43:C43"/>
    <mergeCell ref="A32:C32"/>
    <mergeCell ref="A33:C33"/>
    <mergeCell ref="A34:C34"/>
    <mergeCell ref="A35:C35"/>
    <mergeCell ref="A36:C36"/>
    <mergeCell ref="A37:C37"/>
    <mergeCell ref="A28:C28"/>
    <mergeCell ref="K28:L28"/>
    <mergeCell ref="A29:C29"/>
    <mergeCell ref="A30:C30"/>
    <mergeCell ref="K30:L30"/>
    <mergeCell ref="A31:C31"/>
    <mergeCell ref="K31:L31"/>
    <mergeCell ref="A24:C24"/>
    <mergeCell ref="K24:L24"/>
    <mergeCell ref="A25:C25"/>
    <mergeCell ref="A26:C26"/>
    <mergeCell ref="A27:C27"/>
    <mergeCell ref="K27:L27"/>
    <mergeCell ref="C21:D21"/>
    <mergeCell ref="K21:L21"/>
    <mergeCell ref="A22:C22"/>
    <mergeCell ref="A23:C23"/>
    <mergeCell ref="K23:L23"/>
    <mergeCell ref="A16:C16"/>
    <mergeCell ref="K16:L16"/>
    <mergeCell ref="A17:C17"/>
    <mergeCell ref="K17:L17"/>
    <mergeCell ref="A18:A21"/>
    <mergeCell ref="B18:B21"/>
    <mergeCell ref="C18:D18"/>
    <mergeCell ref="K18:L18"/>
    <mergeCell ref="C19:D19"/>
    <mergeCell ref="K19:L19"/>
    <mergeCell ref="A324:C324"/>
    <mergeCell ref="A313:C313"/>
    <mergeCell ref="K326:L326"/>
    <mergeCell ref="K327:L327"/>
    <mergeCell ref="B9:C9"/>
    <mergeCell ref="A10:C11"/>
    <mergeCell ref="D10:D11"/>
    <mergeCell ref="E10:E11"/>
    <mergeCell ref="F10:F11"/>
    <mergeCell ref="G10:G11"/>
    <mergeCell ref="A13:A15"/>
    <mergeCell ref="B13:B15"/>
    <mergeCell ref="C13:D13"/>
    <mergeCell ref="K13:L15"/>
    <mergeCell ref="C14:D14"/>
    <mergeCell ref="C15:D15"/>
    <mergeCell ref="H10:H11"/>
    <mergeCell ref="I10:I11"/>
    <mergeCell ref="J10:J11"/>
    <mergeCell ref="K10:L11"/>
    <mergeCell ref="A12:D12"/>
    <mergeCell ref="K12:L12"/>
    <mergeCell ref="C20:D20"/>
    <mergeCell ref="K20:L20"/>
    <mergeCell ref="A307:C307"/>
    <mergeCell ref="A308:C308"/>
    <mergeCell ref="A309:C309"/>
    <mergeCell ref="A310:C310"/>
    <mergeCell ref="A305:C305"/>
    <mergeCell ref="A306:C306"/>
    <mergeCell ref="A319:C319"/>
    <mergeCell ref="A320:C320"/>
    <mergeCell ref="A321:C321"/>
    <mergeCell ref="K289:L289"/>
    <mergeCell ref="C298:D298"/>
    <mergeCell ref="C299:D299"/>
    <mergeCell ref="A289:C289"/>
    <mergeCell ref="A290:C290"/>
    <mergeCell ref="A291:C291"/>
    <mergeCell ref="A292:C292"/>
    <mergeCell ref="A293:C293"/>
    <mergeCell ref="A294:C294"/>
    <mergeCell ref="K299:L299"/>
    <mergeCell ref="A295:C295"/>
    <mergeCell ref="A296:A300"/>
    <mergeCell ref="B296:B300"/>
    <mergeCell ref="C300:D300"/>
    <mergeCell ref="K300:L300"/>
  </mergeCells>
  <printOptions horizontalCentered="1"/>
  <pageMargins left="0.15" right="0" top="0.5" bottom="0.75" header="0" footer="0"/>
  <pageSetup scale="85" fitToHeight="8" orientation="portrait" horizontalDpi="300" verticalDpi="300" r:id="rId1"/>
  <headerFooter alignWithMargins="0">
    <oddFooter>Page &amp;p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3bfd3c9f-55b4-4322-bb50-41a89459c9a3" xsi:nil="true"/>
    <lcf76f155ced4ddcb4097134ff3c332f xmlns="8b8b0891-e9cf-4888-9849-19f80339b8b4">
      <Terms xmlns="http://schemas.microsoft.com/office/infopath/2007/PartnerControls"/>
    </lcf76f155ced4ddcb4097134ff3c332f>
    <SharedWithUsers xmlns="f04f4f56-a7b0-49c0-a5de-e0e9dc271958">
      <UserInfo>
        <DisplayName/>
        <AccountId xsi:nil="true"/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549F686AA6CB44FA4ED28860C156A6C" ma:contentTypeVersion="18" ma:contentTypeDescription="Create a new document." ma:contentTypeScope="" ma:versionID="de577447ac1a07aee63fd559f636f17e">
  <xsd:schema xmlns:xsd="http://www.w3.org/2001/XMLSchema" xmlns:xs="http://www.w3.org/2001/XMLSchema" xmlns:p="http://schemas.microsoft.com/office/2006/metadata/properties" xmlns:ns2="8b8b0891-e9cf-4888-9849-19f80339b8b4" xmlns:ns3="f04f4f56-a7b0-49c0-a5de-e0e9dc271958" xmlns:ns4="3bfd3c9f-55b4-4322-bb50-41a89459c9a3" targetNamespace="http://schemas.microsoft.com/office/2006/metadata/properties" ma:root="true" ma:fieldsID="88e4fa7529c9a9c96fc03267490632a3" ns2:_="" ns3:_="" ns4:_="">
    <xsd:import namespace="8b8b0891-e9cf-4888-9849-19f80339b8b4"/>
    <xsd:import namespace="f04f4f56-a7b0-49c0-a5de-e0e9dc271958"/>
    <xsd:import namespace="3bfd3c9f-55b4-4322-bb50-41a89459c9a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4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b8b0891-e9cf-4888-9849-19f80339b8b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bb6ec6bc-766d-4884-930b-9717138bd8c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04f4f56-a7b0-49c0-a5de-e0e9dc271958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bfd3c9f-55b4-4322-bb50-41a89459c9a3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589ed474-11cc-45e6-a2c8-e981412a7aaf}" ma:internalName="TaxCatchAll" ma:showField="CatchAllData" ma:web="f04f4f56-a7b0-49c0-a5de-e0e9dc27195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32B91B8-C436-4C47-97B6-4B612BBB9BB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F1F1615-D1DF-40F3-B2BE-038D733070D8}">
  <ds:schemaRefs>
    <ds:schemaRef ds:uri="http://schemas.microsoft.com/office/2006/metadata/properties"/>
    <ds:schemaRef ds:uri="http://schemas.microsoft.com/office/infopath/2007/PartnerControls"/>
    <ds:schemaRef ds:uri="3bfd3c9f-55b4-4322-bb50-41a89459c9a3"/>
    <ds:schemaRef ds:uri="8b8b0891-e9cf-4888-9849-19f80339b8b4"/>
    <ds:schemaRef ds:uri="f04f4f56-a7b0-49c0-a5de-e0e9dc271958"/>
  </ds:schemaRefs>
</ds:datastoreItem>
</file>

<file path=customXml/itemProps3.xml><?xml version="1.0" encoding="utf-8"?>
<ds:datastoreItem xmlns:ds="http://schemas.openxmlformats.org/officeDocument/2006/customXml" ds:itemID="{61D6601A-FA7D-4873-A036-95DBB363695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b8b0891-e9cf-4888-9849-19f80339b8b4"/>
    <ds:schemaRef ds:uri="f04f4f56-a7b0-49c0-a5de-e0e9dc271958"/>
    <ds:schemaRef ds:uri="3bfd3c9f-55b4-4322-bb50-41a89459c9a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PRO TBG FINAL - TALLY</vt:lpstr>
      <vt:lpstr>PRO TBG AS RUN - TALLY</vt:lpstr>
      <vt:lpstr>SPACE OUT Calculation</vt:lpstr>
      <vt:lpstr>7" 26# Deck Tally</vt:lpstr>
      <vt:lpstr>QG - TALLY (DRAFT As-Run)</vt:lpstr>
      <vt:lpstr>'PRO TBG AS RUN - TALLY'!EKIKO2</vt:lpstr>
      <vt:lpstr>'PRO TBG FINAL - TALLY'!EKIKO2</vt:lpstr>
      <vt:lpstr>'QG - TALLY (DRAFT As-Run)'!EKIKO2</vt:lpstr>
      <vt:lpstr>'PRO TBG AS RUN - TALLY'!Print_Area</vt:lpstr>
      <vt:lpstr>'PRO TBG FINAL - TALLY'!Print_Area</vt:lpstr>
      <vt:lpstr>'QG - TALLY (DRAFT As-Run)'!Print_Area</vt:lpstr>
      <vt:lpstr>'SPACE OUT Calculation'!Print_Area</vt:lpstr>
      <vt:lpstr>'PRO TBG AS RUN - TALLY'!Print_Titles</vt:lpstr>
      <vt:lpstr>'PRO TBG FINAL - TALLY'!Print_Titles</vt:lpstr>
      <vt:lpstr>'QG - TALLY (DRAFT As-Run)'!Print_Titles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DTF (Rig - Hak 8) - Ras Laffan</dc:creator>
  <cp:lastModifiedBy>Operation PC25</cp:lastModifiedBy>
  <cp:lastPrinted>2022-03-31T11:48:48Z</cp:lastPrinted>
  <dcterms:created xsi:type="dcterms:W3CDTF">1998-08-22T05:18:06Z</dcterms:created>
  <dcterms:modified xsi:type="dcterms:W3CDTF">2024-11-27T13:08:29Z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0x0101000549F686AA6CB44FA4ED28860C156A6C</vt:lpwstr>
  </property>
  <property fmtid="{D5CDD505-2E9C-101B-9397-08002B2CF9AE}" pid="3" name="Order">
    <vt:r8>20334400</vt:r8>
  </property>
  <property fmtid="{D5CDD505-2E9C-101B-9397-08002B2CF9AE}" pid="4" name="xd_Signature">
    <vt:bool>false</vt:bool>
  </property>
  <property fmtid="{D5CDD505-2E9C-101B-9397-08002B2CF9AE}" pid="5" name="xd_ProgID">
    <vt:lpwstr/>
  </property>
  <property fmtid="{D5CDD505-2E9C-101B-9397-08002B2CF9AE}" pid="6" name="ComplianceAssetId">
    <vt:lpwstr/>
  </property>
  <property fmtid="{D5CDD505-2E9C-101B-9397-08002B2CF9AE}" pid="7" name="TemplateUrl">
    <vt:lpwstr/>
  </property>
  <property fmtid="{D5CDD505-2E9C-101B-9397-08002B2CF9AE}" pid="8" name="_ExtendedDescription">
    <vt:lpwstr/>
  </property>
  <property fmtid="{D5CDD505-2E9C-101B-9397-08002B2CF9AE}" pid="9" name="TriggerFlowInfo">
    <vt:lpwstr/>
  </property>
  <property fmtid="{D5CDD505-2E9C-101B-9397-08002B2CF9AE}" pid="10" name="MediaServiceImageTags">
    <vt:lpwstr/>
  </property>
</Properties>
</file>