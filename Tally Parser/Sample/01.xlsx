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5A301173-4DCA-4D4F-8A0E-4DD853C6DE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7&quot; Liner Tally NFQ17-8A" sheetId="1" r:id="rId1"/>
    <sheet name="DECK TALLY" sheetId="4" r:id="rId2"/>
  </sheets>
  <definedNames>
    <definedName name="_xlnm.Print_Titles" localSheetId="0">'7" Liner Tally NFQ17-8A'!$16:$17</definedName>
    <definedName name="_xlnm.Print_Area" localSheetId="0">'7" Liner Tally NFQ17-8A'!$A$1:$N$790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1" l="1"/>
  <c r="O75" i="1" s="1"/>
  <c r="L76" i="1"/>
  <c r="O76" i="1" s="1"/>
  <c r="L77" i="1"/>
  <c r="L78" i="1"/>
  <c r="O78" i="1" s="1"/>
  <c r="L79" i="1"/>
  <c r="O79" i="1" s="1"/>
  <c r="L80" i="1"/>
  <c r="O80" i="1" s="1"/>
  <c r="L81" i="1"/>
  <c r="O81" i="1" s="1"/>
  <c r="L82" i="1"/>
  <c r="O82" i="1" s="1"/>
  <c r="L83" i="1"/>
  <c r="O83" i="1" s="1"/>
  <c r="L84" i="1"/>
  <c r="O84" i="1" s="1"/>
  <c r="L85" i="1"/>
  <c r="O85" i="1" s="1"/>
  <c r="L86" i="1"/>
  <c r="O86" i="1" s="1"/>
  <c r="O252" i="1"/>
  <c r="O277" i="1"/>
  <c r="V282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7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8" i="1"/>
  <c r="R11" i="1"/>
  <c r="M9" i="1"/>
  <c r="N771" i="1"/>
  <c r="N438" i="1" l="1"/>
  <c r="H15" i="1"/>
  <c r="G759" i="1"/>
  <c r="G758" i="1"/>
  <c r="G434" i="1"/>
  <c r="G435" i="1"/>
  <c r="A370" i="1"/>
  <c r="A373" i="1" s="1"/>
  <c r="A376" i="1" s="1"/>
  <c r="A379" i="1" s="1"/>
  <c r="A382" i="1" s="1"/>
  <c r="A386" i="1" s="1"/>
  <c r="A389" i="1" s="1"/>
  <c r="A392" i="1" s="1"/>
  <c r="A395" i="1" s="1"/>
  <c r="A398" i="1" s="1"/>
  <c r="A402" i="1" s="1"/>
  <c r="A405" i="1" s="1"/>
  <c r="A408" i="1" s="1"/>
  <c r="A411" i="1" s="1"/>
  <c r="A414" i="1" s="1"/>
  <c r="A417" i="1" s="1"/>
  <c r="A420" i="1" s="1"/>
  <c r="A423" i="1" s="1"/>
  <c r="A426" i="1" s="1"/>
  <c r="A429" i="1" s="1"/>
  <c r="A432" i="1" s="1"/>
  <c r="A435" i="1" s="1"/>
  <c r="A438" i="1" s="1"/>
  <c r="A441" i="1" s="1"/>
  <c r="A444" i="1" s="1"/>
  <c r="A447" i="1" s="1"/>
  <c r="A450" i="1" s="1"/>
  <c r="A453" i="1" s="1"/>
  <c r="A456" i="1" s="1"/>
  <c r="A459" i="1" s="1"/>
  <c r="A462" i="1" s="1"/>
  <c r="A465" i="1" s="1"/>
  <c r="A468" i="1" s="1"/>
  <c r="A471" i="1" s="1"/>
  <c r="A474" i="1" s="1"/>
  <c r="A477" i="1" s="1"/>
  <c r="A480" i="1" s="1"/>
  <c r="A483" i="1" s="1"/>
  <c r="A486" i="1" s="1"/>
  <c r="A489" i="1" s="1"/>
  <c r="A492" i="1" s="1"/>
  <c r="A495" i="1" s="1"/>
  <c r="A498" i="1" s="1"/>
  <c r="A501" i="1" s="1"/>
  <c r="A505" i="1" s="1"/>
  <c r="A336" i="1"/>
  <c r="A339" i="1" s="1"/>
  <c r="A342" i="1" s="1"/>
  <c r="A508" i="1" l="1"/>
  <c r="A511" i="1" s="1"/>
  <c r="A514" i="1" s="1"/>
  <c r="A517" i="1" s="1"/>
  <c r="A520" i="1" s="1"/>
  <c r="A523" i="1" s="1"/>
  <c r="A526" i="1" s="1"/>
  <c r="A529" i="1" s="1"/>
  <c r="A532" i="1" s="1"/>
  <c r="A535" i="1" s="1"/>
  <c r="A538" i="1" s="1"/>
  <c r="A541" i="1" s="1"/>
  <c r="A544" i="1" s="1"/>
  <c r="A547" i="1" s="1"/>
  <c r="A550" i="1" s="1"/>
  <c r="A553" i="1" s="1"/>
  <c r="A556" i="1" s="1"/>
  <c r="A559" i="1" s="1"/>
  <c r="A562" i="1" s="1"/>
  <c r="A565" i="1" s="1"/>
  <c r="A568" i="1" s="1"/>
  <c r="A571" i="1" s="1"/>
  <c r="A574" i="1" s="1"/>
  <c r="A577" i="1" s="1"/>
  <c r="A580" i="1" s="1"/>
  <c r="A583" i="1" s="1"/>
  <c r="A586" i="1" s="1"/>
  <c r="A589" i="1" s="1"/>
  <c r="A592" i="1" s="1"/>
  <c r="A595" i="1" s="1"/>
  <c r="A598" i="1" s="1"/>
  <c r="A601" i="1" s="1"/>
  <c r="A604" i="1" s="1"/>
  <c r="A607" i="1" s="1"/>
  <c r="A610" i="1" s="1"/>
  <c r="A613" i="1" s="1"/>
  <c r="A616" i="1" s="1"/>
  <c r="A619" i="1" s="1"/>
  <c r="A622" i="1" s="1"/>
  <c r="A625" i="1" s="1"/>
  <c r="A628" i="1" s="1"/>
  <c r="A631" i="1" s="1"/>
  <c r="A634" i="1" s="1"/>
  <c r="A637" i="1" s="1"/>
  <c r="A640" i="1" s="1"/>
  <c r="A643" i="1" s="1"/>
  <c r="A646" i="1" s="1"/>
  <c r="A649" i="1" s="1"/>
  <c r="A652" i="1" s="1"/>
  <c r="A655" i="1" s="1"/>
  <c r="A658" i="1" s="1"/>
  <c r="A661" i="1" s="1"/>
  <c r="A664" i="1" s="1"/>
  <c r="A667" i="1" s="1"/>
  <c r="A670" i="1" s="1"/>
  <c r="A673" i="1" s="1"/>
  <c r="A676" i="1" s="1"/>
  <c r="A679" i="1" s="1"/>
  <c r="A682" i="1" s="1"/>
  <c r="A685" i="1" s="1"/>
  <c r="A688" i="1" s="1"/>
  <c r="A691" i="1" s="1"/>
  <c r="A694" i="1" s="1"/>
  <c r="A697" i="1" s="1"/>
  <c r="A700" i="1" s="1"/>
  <c r="A734" i="1" s="1"/>
  <c r="A737" i="1" s="1"/>
  <c r="A740" i="1" s="1"/>
  <c r="A743" i="1" s="1"/>
  <c r="A746" i="1" s="1"/>
  <c r="A749" i="1" s="1"/>
  <c r="A752" i="1" s="1"/>
  <c r="A755" i="1" s="1"/>
  <c r="G503" i="1" l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F769" i="1" l="1"/>
  <c r="G757" i="1"/>
  <c r="G756" i="1"/>
  <c r="G755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N275" i="1"/>
  <c r="G211" i="1"/>
  <c r="G174" i="1"/>
  <c r="G175" i="1"/>
  <c r="G142" i="1"/>
  <c r="G116" i="1"/>
  <c r="G91" i="1"/>
  <c r="G30" i="1"/>
  <c r="G392" i="1" l="1"/>
  <c r="G393" i="1"/>
  <c r="G394" i="1"/>
  <c r="G395" i="1"/>
  <c r="G396" i="1"/>
  <c r="G397" i="1"/>
  <c r="G398" i="1"/>
  <c r="G399" i="1"/>
  <c r="G400" i="1"/>
  <c r="N761" i="1" l="1"/>
  <c r="G479" i="1" l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6" i="1"/>
  <c r="G437" i="1"/>
  <c r="G438" i="1"/>
  <c r="G439" i="1"/>
  <c r="G440" i="1"/>
  <c r="G441" i="1"/>
  <c r="G442" i="1"/>
  <c r="G443" i="1"/>
  <c r="G444" i="1"/>
  <c r="G445" i="1"/>
  <c r="G446" i="1"/>
  <c r="G736" i="1"/>
  <c r="G735" i="1"/>
  <c r="G734" i="1"/>
  <c r="F38" i="1" l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R318" i="1" s="1"/>
  <c r="F316" i="1"/>
  <c r="R319" i="1" s="1"/>
  <c r="F317" i="1"/>
  <c r="R320" i="1" s="1"/>
  <c r="F318" i="1"/>
  <c r="R321" i="1" s="1"/>
  <c r="F319" i="1"/>
  <c r="R322" i="1" s="1"/>
  <c r="F320" i="1"/>
  <c r="F321" i="1"/>
  <c r="F322" i="1"/>
  <c r="F323" i="1"/>
  <c r="F328" i="1"/>
  <c r="F327" i="1" s="1"/>
  <c r="F326" i="1" s="1"/>
  <c r="F325" i="1" s="1"/>
  <c r="F324" i="1" s="1"/>
  <c r="E322" i="1"/>
  <c r="E323" i="1"/>
  <c r="G173" i="1" l="1"/>
  <c r="G90" i="1"/>
  <c r="G89" i="1"/>
  <c r="G278" i="1"/>
  <c r="G277" i="1"/>
  <c r="G276" i="1"/>
  <c r="G212" i="1"/>
  <c r="G210" i="1"/>
  <c r="G176" i="1"/>
  <c r="G92" i="1"/>
  <c r="E139" i="1"/>
  <c r="E140" i="1"/>
  <c r="E141" i="1"/>
  <c r="N141" i="1" s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6" i="1"/>
  <c r="N176" i="1" s="1"/>
  <c r="E177" i="1"/>
  <c r="E178" i="1"/>
  <c r="E179" i="1"/>
  <c r="E180" i="1"/>
  <c r="E181" i="1"/>
  <c r="E182" i="1"/>
  <c r="E183" i="1"/>
  <c r="E184" i="1"/>
  <c r="N184" i="1" s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N210" i="1" s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N231" i="1" s="1"/>
  <c r="E236" i="1"/>
  <c r="E237" i="1"/>
  <c r="E238" i="1"/>
  <c r="E239" i="1"/>
  <c r="N239" i="1" s="1"/>
  <c r="E240" i="1"/>
  <c r="E241" i="1"/>
  <c r="E242" i="1"/>
  <c r="E243" i="1"/>
  <c r="E244" i="1"/>
  <c r="E245" i="1"/>
  <c r="E246" i="1"/>
  <c r="E247" i="1"/>
  <c r="E248" i="1"/>
  <c r="E249" i="1"/>
  <c r="E250" i="1"/>
  <c r="N250" i="1" s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N277" i="1" s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138" i="1"/>
  <c r="E130" i="1"/>
  <c r="E131" i="1"/>
  <c r="E132" i="1"/>
  <c r="E133" i="1"/>
  <c r="E134" i="1"/>
  <c r="E135" i="1"/>
  <c r="E136" i="1"/>
  <c r="E137" i="1"/>
  <c r="E129" i="1"/>
  <c r="E123" i="1"/>
  <c r="E124" i="1"/>
  <c r="E125" i="1"/>
  <c r="E126" i="1"/>
  <c r="E127" i="1"/>
  <c r="E128" i="1"/>
  <c r="E121" i="1"/>
  <c r="E122" i="1"/>
  <c r="E111" i="1"/>
  <c r="E112" i="1"/>
  <c r="E113" i="1"/>
  <c r="E114" i="1"/>
  <c r="E115" i="1"/>
  <c r="E117" i="1"/>
  <c r="E118" i="1"/>
  <c r="E119" i="1"/>
  <c r="E120" i="1"/>
  <c r="G385" i="1" l="1"/>
  <c r="G401" i="1"/>
  <c r="R772" i="1" l="1"/>
  <c r="R774" i="1" s="1"/>
  <c r="I7" i="4" l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G322" i="1"/>
  <c r="G303" i="1"/>
  <c r="G304" i="1"/>
  <c r="G306" i="1"/>
  <c r="G307" i="1"/>
  <c r="G310" i="1"/>
  <c r="G250" i="1"/>
  <c r="G251" i="1"/>
  <c r="G252" i="1"/>
  <c r="G253" i="1"/>
  <c r="G254" i="1"/>
  <c r="G255" i="1"/>
  <c r="G256" i="1"/>
  <c r="G258" i="1"/>
  <c r="G259" i="1"/>
  <c r="G260" i="1"/>
  <c r="G199" i="1"/>
  <c r="G200" i="1"/>
  <c r="G202" i="1"/>
  <c r="G203" i="1"/>
  <c r="G204" i="1"/>
  <c r="G205" i="1"/>
  <c r="G206" i="1"/>
  <c r="G207" i="1"/>
  <c r="G208" i="1"/>
  <c r="G213" i="1"/>
  <c r="G181" i="1"/>
  <c r="G182" i="1"/>
  <c r="G19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G113" i="1"/>
  <c r="E34" i="1"/>
  <c r="F34" i="1"/>
  <c r="E35" i="1"/>
  <c r="F35" i="1"/>
  <c r="E36" i="1"/>
  <c r="F36" i="1"/>
  <c r="E37" i="1"/>
  <c r="F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G323" i="1"/>
  <c r="G314" i="1"/>
  <c r="G313" i="1"/>
  <c r="G305" i="1"/>
  <c r="G308" i="1"/>
  <c r="G309" i="1"/>
  <c r="G311" i="1"/>
  <c r="G312" i="1"/>
  <c r="G249" i="1"/>
  <c r="G257" i="1"/>
  <c r="G201" i="1"/>
  <c r="G209" i="1"/>
  <c r="G180" i="1"/>
  <c r="G192" i="1"/>
  <c r="G193" i="1"/>
  <c r="G194" i="1"/>
  <c r="G195" i="1"/>
  <c r="G196" i="1"/>
  <c r="G197" i="1"/>
  <c r="G172" i="1"/>
  <c r="G119" i="1"/>
  <c r="G114" i="1"/>
  <c r="G115" i="1"/>
  <c r="G117" i="1"/>
  <c r="G118" i="1"/>
  <c r="G120" i="1"/>
  <c r="G121" i="1"/>
  <c r="G179" i="1" l="1"/>
  <c r="R323" i="1"/>
  <c r="G177" i="1" l="1"/>
  <c r="G178" i="1"/>
  <c r="G262" i="1"/>
  <c r="G263" i="1"/>
  <c r="G264" i="1"/>
  <c r="G265" i="1"/>
  <c r="G266" i="1" l="1"/>
  <c r="G267" i="1"/>
  <c r="G752" i="1"/>
  <c r="G753" i="1"/>
  <c r="G754" i="1"/>
  <c r="G747" i="1" l="1"/>
  <c r="G748" i="1"/>
  <c r="G749" i="1"/>
  <c r="G750" i="1"/>
  <c r="G751" i="1"/>
  <c r="G315" i="1"/>
  <c r="G316" i="1"/>
  <c r="G317" i="1"/>
  <c r="G318" i="1"/>
  <c r="G319" i="1"/>
  <c r="G320" i="1"/>
  <c r="G321" i="1"/>
  <c r="G300" i="1"/>
  <c r="G301" i="1"/>
  <c r="G302" i="1"/>
  <c r="G269" i="1"/>
  <c r="G270" i="1"/>
  <c r="G271" i="1"/>
  <c r="G272" i="1"/>
  <c r="G273" i="1"/>
  <c r="G274" i="1"/>
  <c r="G275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268" i="1"/>
  <c r="G643" i="1" l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7" i="1"/>
  <c r="G738" i="1"/>
  <c r="G739" i="1"/>
  <c r="G740" i="1"/>
  <c r="G741" i="1"/>
  <c r="G742" i="1"/>
  <c r="G743" i="1"/>
  <c r="G744" i="1"/>
  <c r="G745" i="1"/>
  <c r="G746" i="1"/>
  <c r="G324" i="1" l="1"/>
  <c r="F18" i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l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G261" i="1"/>
  <c r="G132" i="1"/>
  <c r="G133" i="1"/>
  <c r="G134" i="1"/>
  <c r="G135" i="1"/>
  <c r="G136" i="1"/>
  <c r="G137" i="1"/>
  <c r="G138" i="1"/>
  <c r="G139" i="1"/>
  <c r="G140" i="1"/>
  <c r="G141" i="1"/>
  <c r="G143" i="1"/>
  <c r="G144" i="1"/>
  <c r="G145" i="1"/>
  <c r="G146" i="1"/>
  <c r="G147" i="1"/>
  <c r="G148" i="1"/>
  <c r="G149" i="1"/>
  <c r="G150" i="1"/>
  <c r="G151" i="1"/>
  <c r="G88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E72" i="1"/>
  <c r="E73" i="1"/>
  <c r="E74" i="1"/>
  <c r="F32" i="1"/>
  <c r="G32" i="1" l="1"/>
  <c r="G129" i="1"/>
  <c r="G122" i="1"/>
  <c r="G131" i="1"/>
  <c r="G130" i="1"/>
  <c r="G87" i="1"/>
  <c r="G79" i="1"/>
  <c r="G67" i="1"/>
  <c r="G83" i="1"/>
  <c r="G77" i="1"/>
  <c r="G69" i="1"/>
  <c r="G86" i="1"/>
  <c r="G82" i="1"/>
  <c r="G66" i="1"/>
  <c r="G78" i="1"/>
  <c r="G85" i="1"/>
  <c r="G70" i="1"/>
  <c r="G68" i="1"/>
  <c r="G81" i="1"/>
  <c r="G84" i="1"/>
  <c r="G80" i="1"/>
  <c r="G246" i="1"/>
  <c r="G247" i="1"/>
  <c r="G248" i="1"/>
  <c r="G183" i="1"/>
  <c r="G184" i="1"/>
  <c r="G185" i="1"/>
  <c r="G186" i="1"/>
  <c r="G187" i="1"/>
  <c r="G188" i="1"/>
  <c r="G189" i="1"/>
  <c r="G190" i="1"/>
  <c r="G198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123" i="1"/>
  <c r="G124" i="1"/>
  <c r="G73" i="1"/>
  <c r="G74" i="1"/>
  <c r="G75" i="1"/>
  <c r="G76" i="1"/>
  <c r="G71" i="1"/>
  <c r="G72" i="1"/>
  <c r="F31" i="1"/>
  <c r="F27" i="1"/>
  <c r="G27" i="1" s="1"/>
  <c r="F28" i="1"/>
  <c r="F29" i="1"/>
  <c r="F33" i="1"/>
  <c r="G34" i="1"/>
  <c r="G35" i="1"/>
  <c r="E33" i="1"/>
  <c r="E32" i="1"/>
  <c r="E31" i="1"/>
  <c r="N31" i="1" s="1"/>
  <c r="E29" i="1"/>
  <c r="G33" i="1" l="1"/>
  <c r="G31" i="1"/>
  <c r="G29" i="1"/>
  <c r="G126" i="1"/>
  <c r="G125" i="1"/>
  <c r="G128" i="1"/>
  <c r="G127" i="1"/>
  <c r="G26" i="1"/>
  <c r="A28" i="1" l="1"/>
  <c r="G764" i="1"/>
  <c r="G765" i="1"/>
  <c r="G766" i="1"/>
  <c r="G767" i="1"/>
  <c r="G768" i="1"/>
  <c r="G763" i="1"/>
  <c r="A29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E28" i="1" l="1"/>
  <c r="E27" i="1"/>
  <c r="G28" i="1" l="1"/>
  <c r="G777" i="1" s="1"/>
  <c r="K776" i="1"/>
  <c r="F25" i="1" l="1"/>
  <c r="F24" i="1"/>
  <c r="F23" i="1"/>
  <c r="G23" i="1" s="1"/>
  <c r="F22" i="1"/>
  <c r="F21" i="1"/>
  <c r="F20" i="1"/>
  <c r="G20" i="1" s="1"/>
  <c r="F19" i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l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l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l="1"/>
  <c r="A295" i="4" s="1"/>
  <c r="A296" i="4" s="1"/>
  <c r="A297" i="4" s="1"/>
  <c r="A298" i="4" s="1"/>
  <c r="A299" i="4" s="1"/>
  <c r="A300" i="4" s="1"/>
  <c r="A301" i="4" s="1"/>
  <c r="A302" i="4" s="1"/>
  <c r="G235" i="4"/>
  <c r="G237" i="4" s="1"/>
  <c r="G634" i="1"/>
  <c r="G575" i="1" l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5" i="1"/>
  <c r="G636" i="1"/>
  <c r="G637" i="1"/>
  <c r="G638" i="1"/>
  <c r="G639" i="1"/>
  <c r="G640" i="1"/>
  <c r="G641" i="1"/>
  <c r="G642" i="1"/>
  <c r="G573" i="1"/>
  <c r="G574" i="1"/>
  <c r="G572" i="1"/>
  <c r="H777" i="1" l="1"/>
  <c r="G402" i="1" l="1"/>
  <c r="G403" i="1"/>
  <c r="G404" i="1"/>
  <c r="G405" i="1"/>
  <c r="G406" i="1"/>
  <c r="G407" i="1"/>
  <c r="G408" i="1"/>
  <c r="G409" i="1"/>
  <c r="G410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773" i="1" l="1"/>
  <c r="G331" i="1"/>
  <c r="H778" i="1" l="1"/>
  <c r="G328" i="1" l="1"/>
  <c r="G326" i="1" l="1"/>
  <c r="G325" i="1" l="1"/>
  <c r="G391" i="1" l="1"/>
  <c r="G390" i="1"/>
  <c r="G389" i="1"/>
  <c r="G388" i="1"/>
  <c r="G387" i="1"/>
  <c r="G386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34" i="1"/>
  <c r="G333" i="1"/>
  <c r="G332" i="1"/>
  <c r="G330" i="1"/>
  <c r="G329" i="1"/>
  <c r="G327" i="1"/>
  <c r="G25" i="1"/>
  <c r="G24" i="1"/>
  <c r="G22" i="1"/>
  <c r="G21" i="1"/>
  <c r="G19" i="1"/>
  <c r="G18" i="1"/>
  <c r="M11" i="1"/>
  <c r="E15" i="1"/>
  <c r="G774" i="1" l="1"/>
  <c r="G775" i="1"/>
  <c r="J775" i="1" s="1"/>
  <c r="K775" i="1" s="1"/>
  <c r="I18" i="1"/>
  <c r="K18" i="1" s="1"/>
  <c r="J18" i="1"/>
  <c r="I19" i="1" l="1"/>
  <c r="J19" i="1" s="1"/>
  <c r="I20" i="1" l="1"/>
  <c r="K19" i="1"/>
  <c r="J20" i="1" l="1"/>
  <c r="I21" i="1"/>
  <c r="I22" i="1" s="1"/>
  <c r="K20" i="1"/>
  <c r="I23" i="1" l="1"/>
  <c r="J22" i="1"/>
  <c r="K22" i="1"/>
  <c r="J21" i="1"/>
  <c r="K21" i="1"/>
  <c r="K23" i="1" l="1"/>
  <c r="I24" i="1"/>
  <c r="G778" i="1" s="1"/>
  <c r="J778" i="1" s="1"/>
  <c r="J23" i="1"/>
  <c r="K24" i="1" l="1"/>
  <c r="J24" i="1"/>
  <c r="I25" i="1"/>
  <c r="K778" i="1"/>
  <c r="J783" i="1"/>
  <c r="M783" i="1" s="1"/>
  <c r="J25" i="1" l="1"/>
  <c r="I26" i="1"/>
  <c r="K25" i="1"/>
  <c r="J26" i="1" l="1"/>
  <c r="I27" i="1"/>
  <c r="K26" i="1"/>
  <c r="J27" i="1" l="1"/>
  <c r="I28" i="1"/>
  <c r="K27" i="1"/>
  <c r="J28" i="1" l="1"/>
  <c r="K28" i="1"/>
  <c r="I29" i="1"/>
  <c r="I30" i="1" l="1"/>
  <c r="J29" i="1"/>
  <c r="R29" i="1" s="1"/>
  <c r="K29" i="1"/>
  <c r="K30" i="1" l="1"/>
  <c r="I31" i="1"/>
  <c r="J30" i="1"/>
  <c r="N35" i="1" l="1"/>
  <c r="R30" i="1"/>
  <c r="J31" i="1"/>
  <c r="R31" i="1" s="1"/>
  <c r="I32" i="1"/>
  <c r="K31" i="1"/>
  <c r="K32" i="1" l="1"/>
  <c r="J32" i="1"/>
  <c r="R32" i="1" s="1"/>
  <c r="I33" i="1"/>
  <c r="J33" i="1" l="1"/>
  <c r="R33" i="1" s="1"/>
  <c r="K33" i="1"/>
  <c r="I34" i="1"/>
  <c r="J34" i="1" l="1"/>
  <c r="R34" i="1" s="1"/>
  <c r="K34" i="1"/>
  <c r="I35" i="1"/>
  <c r="J35" i="1" l="1"/>
  <c r="R35" i="1" s="1"/>
  <c r="K35" i="1"/>
  <c r="I36" i="1"/>
  <c r="J36" i="1" l="1"/>
  <c r="R36" i="1" s="1"/>
  <c r="K36" i="1"/>
  <c r="I37" i="1"/>
  <c r="J37" i="1" l="1"/>
  <c r="R37" i="1" s="1"/>
  <c r="K37" i="1"/>
  <c r="I38" i="1"/>
  <c r="J38" i="1" l="1"/>
  <c r="R38" i="1" s="1"/>
  <c r="I39" i="1"/>
  <c r="K38" i="1"/>
  <c r="J39" i="1" l="1"/>
  <c r="R39" i="1" s="1"/>
  <c r="K39" i="1"/>
  <c r="I40" i="1"/>
  <c r="K40" i="1" l="1"/>
  <c r="I41" i="1"/>
  <c r="J40" i="1"/>
  <c r="R40" i="1" s="1"/>
  <c r="J41" i="1" l="1"/>
  <c r="R41" i="1" s="1"/>
  <c r="K41" i="1"/>
  <c r="I42" i="1"/>
  <c r="J42" i="1" l="1"/>
  <c r="R42" i="1" s="1"/>
  <c r="K42" i="1"/>
  <c r="I43" i="1"/>
  <c r="J777" i="1"/>
  <c r="Q431" i="1" l="1"/>
  <c r="J788" i="1" s="1"/>
  <c r="M788" i="1" s="1"/>
  <c r="J43" i="1"/>
  <c r="R43" i="1" s="1"/>
  <c r="K43" i="1"/>
  <c r="I44" i="1"/>
  <c r="K777" i="1"/>
  <c r="R431" i="1" l="1"/>
  <c r="J44" i="1"/>
  <c r="R44" i="1" s="1"/>
  <c r="K44" i="1"/>
  <c r="I45" i="1"/>
  <c r="I46" i="1" l="1"/>
  <c r="K45" i="1"/>
  <c r="J45" i="1"/>
  <c r="R45" i="1" s="1"/>
  <c r="K46" i="1" l="1"/>
  <c r="I47" i="1"/>
  <c r="J46" i="1"/>
  <c r="R46" i="1" s="1"/>
  <c r="J774" i="1"/>
  <c r="K774" i="1" s="1"/>
  <c r="J47" i="1" l="1"/>
  <c r="R47" i="1" s="1"/>
  <c r="K47" i="1"/>
  <c r="I48" i="1"/>
  <c r="J773" i="1"/>
  <c r="K48" i="1" l="1"/>
  <c r="I49" i="1"/>
  <c r="J48" i="1"/>
  <c r="R48" i="1" s="1"/>
  <c r="J779" i="1"/>
  <c r="M779" i="1" s="1"/>
  <c r="J782" i="1"/>
  <c r="J784" i="1" s="1"/>
  <c r="J781" i="1"/>
  <c r="M781" i="1" s="1"/>
  <c r="J780" i="1"/>
  <c r="M780" i="1" s="1"/>
  <c r="K773" i="1"/>
  <c r="M773" i="1" s="1"/>
  <c r="M774" i="1" s="1"/>
  <c r="J789" i="1" l="1"/>
  <c r="M789" i="1" s="1"/>
  <c r="J49" i="1"/>
  <c r="R49" i="1" s="1"/>
  <c r="I50" i="1"/>
  <c r="K49" i="1"/>
  <c r="M775" i="1"/>
  <c r="M776" i="1" s="1"/>
  <c r="M777" i="1" s="1"/>
  <c r="M778" i="1" s="1"/>
  <c r="M782" i="1"/>
  <c r="M784" i="1"/>
  <c r="K50" i="1" l="1"/>
  <c r="I51" i="1"/>
  <c r="J50" i="1"/>
  <c r="R50" i="1" s="1"/>
  <c r="J785" i="1"/>
  <c r="M785" i="1" s="1"/>
  <c r="J51" i="1" l="1"/>
  <c r="R51" i="1" s="1"/>
  <c r="K51" i="1"/>
  <c r="I52" i="1"/>
  <c r="J786" i="1"/>
  <c r="M786" i="1" s="1"/>
  <c r="J52" i="1" l="1"/>
  <c r="R52" i="1" s="1"/>
  <c r="K52" i="1"/>
  <c r="I53" i="1"/>
  <c r="I54" i="1" l="1"/>
  <c r="J53" i="1"/>
  <c r="R53" i="1" s="1"/>
  <c r="K53" i="1"/>
  <c r="J54" i="1" l="1"/>
  <c r="R54" i="1" s="1"/>
  <c r="K54" i="1"/>
  <c r="I55" i="1"/>
  <c r="K55" i="1" l="1"/>
  <c r="J55" i="1"/>
  <c r="R55" i="1" s="1"/>
  <c r="I56" i="1"/>
  <c r="I57" i="1" l="1"/>
  <c r="J56" i="1"/>
  <c r="R56" i="1" s="1"/>
  <c r="K56" i="1"/>
  <c r="I58" i="1" l="1"/>
  <c r="K57" i="1"/>
  <c r="J57" i="1"/>
  <c r="R57" i="1" s="1"/>
  <c r="K58" i="1" l="1"/>
  <c r="J58" i="1"/>
  <c r="R58" i="1" s="1"/>
  <c r="I59" i="1"/>
  <c r="J59" i="1" l="1"/>
  <c r="R59" i="1" s="1"/>
  <c r="K59" i="1"/>
  <c r="I60" i="1"/>
  <c r="K60" i="1" l="1"/>
  <c r="J60" i="1"/>
  <c r="R60" i="1" s="1"/>
  <c r="I61" i="1"/>
  <c r="J61" i="1" l="1"/>
  <c r="R61" i="1" s="1"/>
  <c r="I62" i="1"/>
  <c r="K61" i="1"/>
  <c r="K62" i="1" l="1"/>
  <c r="J62" i="1"/>
  <c r="R62" i="1" s="1"/>
  <c r="I63" i="1"/>
  <c r="K63" i="1" l="1"/>
  <c r="I64" i="1"/>
  <c r="J63" i="1"/>
  <c r="R63" i="1" s="1"/>
  <c r="J64" i="1" l="1"/>
  <c r="R64" i="1" s="1"/>
  <c r="I65" i="1"/>
  <c r="K64" i="1"/>
  <c r="J65" i="1" l="1"/>
  <c r="R65" i="1" s="1"/>
  <c r="K65" i="1"/>
  <c r="I66" i="1"/>
  <c r="K66" i="1" l="1"/>
  <c r="I67" i="1"/>
  <c r="J66" i="1"/>
  <c r="R66" i="1" s="1"/>
  <c r="K67" i="1" l="1"/>
  <c r="J67" i="1"/>
  <c r="R67" i="1" s="1"/>
  <c r="I68" i="1"/>
  <c r="I69" i="1" l="1"/>
  <c r="J68" i="1"/>
  <c r="R68" i="1" s="1"/>
  <c r="K68" i="1"/>
  <c r="J69" i="1" l="1"/>
  <c r="R69" i="1" s="1"/>
  <c r="K69" i="1"/>
  <c r="I70" i="1"/>
  <c r="K70" i="1" l="1"/>
  <c r="J70" i="1"/>
  <c r="R70" i="1" s="1"/>
  <c r="I71" i="1"/>
  <c r="K71" i="1" l="1"/>
  <c r="I72" i="1"/>
  <c r="J71" i="1"/>
  <c r="R71" i="1" s="1"/>
  <c r="K72" i="1" l="1"/>
  <c r="I73" i="1"/>
  <c r="J72" i="1"/>
  <c r="R72" i="1" s="1"/>
  <c r="J73" i="1" l="1"/>
  <c r="R73" i="1" s="1"/>
  <c r="I74" i="1"/>
  <c r="K73" i="1"/>
  <c r="J74" i="1" l="1"/>
  <c r="R74" i="1" s="1"/>
  <c r="I75" i="1"/>
  <c r="K74" i="1"/>
  <c r="J75" i="1" l="1"/>
  <c r="R75" i="1" s="1"/>
  <c r="K75" i="1"/>
  <c r="I76" i="1"/>
  <c r="J76" i="1" l="1"/>
  <c r="R76" i="1" s="1"/>
  <c r="K76" i="1"/>
  <c r="I77" i="1"/>
  <c r="I78" i="1" l="1"/>
  <c r="J77" i="1"/>
  <c r="R77" i="1" s="1"/>
  <c r="K77" i="1"/>
  <c r="J78" i="1" l="1"/>
  <c r="R78" i="1" s="1"/>
  <c r="K78" i="1"/>
  <c r="I79" i="1"/>
  <c r="J79" i="1" l="1"/>
  <c r="R79" i="1" s="1"/>
  <c r="I80" i="1"/>
  <c r="K79" i="1"/>
  <c r="I81" i="1" l="1"/>
  <c r="J80" i="1"/>
  <c r="R80" i="1" s="1"/>
  <c r="K80" i="1"/>
  <c r="K81" i="1" l="1"/>
  <c r="I82" i="1"/>
  <c r="J81" i="1"/>
  <c r="R81" i="1" s="1"/>
  <c r="J82" i="1" l="1"/>
  <c r="R82" i="1" s="1"/>
  <c r="I83" i="1"/>
  <c r="K82" i="1"/>
  <c r="J83" i="1" l="1"/>
  <c r="R83" i="1" s="1"/>
  <c r="I84" i="1"/>
  <c r="K83" i="1"/>
  <c r="K84" i="1" l="1"/>
  <c r="I85" i="1"/>
  <c r="J84" i="1"/>
  <c r="R84" i="1" s="1"/>
  <c r="I86" i="1" l="1"/>
  <c r="J85" i="1"/>
  <c r="K85" i="1"/>
  <c r="R85" i="1" l="1"/>
  <c r="P85" i="1"/>
  <c r="K86" i="1"/>
  <c r="J86" i="1"/>
  <c r="R86" i="1" s="1"/>
  <c r="I87" i="1"/>
  <c r="K87" i="1" l="1"/>
  <c r="J87" i="1"/>
  <c r="R87" i="1" s="1"/>
  <c r="I88" i="1"/>
  <c r="I89" i="1" l="1"/>
  <c r="J88" i="1"/>
  <c r="K88" i="1"/>
  <c r="R88" i="1" l="1"/>
  <c r="P88" i="1"/>
  <c r="K89" i="1"/>
  <c r="I90" i="1"/>
  <c r="J89" i="1"/>
  <c r="R89" i="1" s="1"/>
  <c r="K90" i="1" l="1"/>
  <c r="J90" i="1"/>
  <c r="R90" i="1" s="1"/>
  <c r="I91" i="1"/>
  <c r="J91" i="1" l="1"/>
  <c r="I92" i="1"/>
  <c r="K91" i="1"/>
  <c r="R91" i="1" l="1"/>
  <c r="P91" i="1"/>
  <c r="J92" i="1"/>
  <c r="R92" i="1" s="1"/>
  <c r="K92" i="1"/>
  <c r="I93" i="1"/>
  <c r="I94" i="1" l="1"/>
  <c r="J93" i="1"/>
  <c r="R93" i="1" s="1"/>
  <c r="K93" i="1"/>
  <c r="J94" i="1" l="1"/>
  <c r="R94" i="1" s="1"/>
  <c r="K94" i="1"/>
  <c r="I95" i="1"/>
  <c r="J95" i="1" l="1"/>
  <c r="R95" i="1" s="1"/>
  <c r="K95" i="1"/>
  <c r="I96" i="1"/>
  <c r="K96" i="1" l="1"/>
  <c r="J96" i="1"/>
  <c r="R96" i="1" s="1"/>
  <c r="I97" i="1"/>
  <c r="J97" i="1" l="1"/>
  <c r="R97" i="1" s="1"/>
  <c r="K97" i="1"/>
  <c r="I98" i="1"/>
  <c r="J98" i="1" l="1"/>
  <c r="R98" i="1" s="1"/>
  <c r="K98" i="1"/>
  <c r="I99" i="1"/>
  <c r="J99" i="1" l="1"/>
  <c r="R99" i="1" s="1"/>
  <c r="I100" i="1"/>
  <c r="K99" i="1"/>
  <c r="J100" i="1" l="1"/>
  <c r="R100" i="1" s="1"/>
  <c r="K100" i="1"/>
  <c r="I101" i="1"/>
  <c r="J101" i="1" l="1"/>
  <c r="R101" i="1" s="1"/>
  <c r="I102" i="1"/>
  <c r="K101" i="1"/>
  <c r="K102" i="1" l="1"/>
  <c r="I103" i="1"/>
  <c r="J102" i="1"/>
  <c r="R102" i="1" s="1"/>
  <c r="K103" i="1" l="1"/>
  <c r="I104" i="1"/>
  <c r="J103" i="1"/>
  <c r="R103" i="1" s="1"/>
  <c r="I105" i="1" l="1"/>
  <c r="J104" i="1"/>
  <c r="R104" i="1" s="1"/>
  <c r="K104" i="1"/>
  <c r="K105" i="1" l="1"/>
  <c r="I106" i="1"/>
  <c r="J105" i="1"/>
  <c r="R105" i="1" s="1"/>
  <c r="J106" i="1" l="1"/>
  <c r="R106" i="1" s="1"/>
  <c r="K106" i="1"/>
  <c r="I107" i="1"/>
  <c r="J107" i="1" l="1"/>
  <c r="R107" i="1" s="1"/>
  <c r="K107" i="1"/>
  <c r="I108" i="1"/>
  <c r="J108" i="1" l="1"/>
  <c r="R108" i="1" s="1"/>
  <c r="I109" i="1"/>
  <c r="K108" i="1"/>
  <c r="J109" i="1" l="1"/>
  <c r="R109" i="1" s="1"/>
  <c r="K109" i="1"/>
  <c r="I110" i="1"/>
  <c r="K110" i="1" l="1"/>
  <c r="J110" i="1"/>
  <c r="R110" i="1" s="1"/>
  <c r="I111" i="1"/>
  <c r="K111" i="1" l="1"/>
  <c r="I112" i="1"/>
  <c r="J111" i="1"/>
  <c r="R111" i="1" s="1"/>
  <c r="I113" i="1" l="1"/>
  <c r="J112" i="1"/>
  <c r="R112" i="1" s="1"/>
  <c r="K112" i="1"/>
  <c r="K113" i="1" l="1"/>
  <c r="I114" i="1"/>
  <c r="J113" i="1"/>
  <c r="R113" i="1" s="1"/>
  <c r="K114" i="1" l="1"/>
  <c r="J114" i="1"/>
  <c r="R114" i="1" s="1"/>
  <c r="I115" i="1"/>
  <c r="K115" i="1" l="1"/>
  <c r="I116" i="1"/>
  <c r="J115" i="1"/>
  <c r="R115" i="1" s="1"/>
  <c r="J116" i="1" l="1"/>
  <c r="R116" i="1" s="1"/>
  <c r="K116" i="1"/>
  <c r="I117" i="1"/>
  <c r="I118" i="1" l="1"/>
  <c r="J117" i="1"/>
  <c r="R117" i="1" s="1"/>
  <c r="K117" i="1"/>
  <c r="J118" i="1" l="1"/>
  <c r="R118" i="1" s="1"/>
  <c r="K118" i="1"/>
  <c r="I119" i="1"/>
  <c r="J119" i="1" l="1"/>
  <c r="R119" i="1" s="1"/>
  <c r="I120" i="1"/>
  <c r="K119" i="1"/>
  <c r="I121" i="1" l="1"/>
  <c r="J120" i="1"/>
  <c r="R120" i="1" s="1"/>
  <c r="K120" i="1"/>
  <c r="J121" i="1" l="1"/>
  <c r="R121" i="1" s="1"/>
  <c r="I122" i="1"/>
  <c r="K121" i="1"/>
  <c r="K122" i="1" l="1"/>
  <c r="J122" i="1"/>
  <c r="R122" i="1" s="1"/>
  <c r="I123" i="1"/>
  <c r="K123" i="1" l="1"/>
  <c r="I124" i="1"/>
  <c r="J123" i="1"/>
  <c r="R123" i="1" s="1"/>
  <c r="K124" i="1" l="1"/>
  <c r="J124" i="1"/>
  <c r="R124" i="1" s="1"/>
  <c r="I125" i="1"/>
  <c r="J125" i="1" l="1"/>
  <c r="R125" i="1" s="1"/>
  <c r="K125" i="1"/>
  <c r="I126" i="1"/>
  <c r="K126" i="1" l="1"/>
  <c r="J126" i="1"/>
  <c r="I127" i="1"/>
  <c r="R126" i="1" l="1"/>
  <c r="P126" i="1"/>
  <c r="K127" i="1"/>
  <c r="J127" i="1"/>
  <c r="R127" i="1" s="1"/>
  <c r="I128" i="1"/>
  <c r="I129" i="1" l="1"/>
  <c r="J128" i="1"/>
  <c r="R128" i="1" s="1"/>
  <c r="K128" i="1"/>
  <c r="J129" i="1" l="1"/>
  <c r="R129" i="1" s="1"/>
  <c r="K129" i="1"/>
  <c r="I130" i="1"/>
  <c r="J130" i="1" l="1"/>
  <c r="R130" i="1" s="1"/>
  <c r="K130" i="1"/>
  <c r="I131" i="1"/>
  <c r="J131" i="1" l="1"/>
  <c r="R131" i="1" s="1"/>
  <c r="K131" i="1"/>
  <c r="I132" i="1"/>
  <c r="J132" i="1" l="1"/>
  <c r="R132" i="1" s="1"/>
  <c r="K132" i="1"/>
  <c r="I133" i="1"/>
  <c r="I134" i="1" l="1"/>
  <c r="K133" i="1"/>
  <c r="J133" i="1"/>
  <c r="R133" i="1" s="1"/>
  <c r="K134" i="1" l="1"/>
  <c r="J134" i="1"/>
  <c r="R134" i="1" s="1"/>
  <c r="I135" i="1"/>
  <c r="J135" i="1" l="1"/>
  <c r="R135" i="1" s="1"/>
  <c r="K135" i="1"/>
  <c r="I136" i="1"/>
  <c r="K136" i="1" l="1"/>
  <c r="I137" i="1"/>
  <c r="J136" i="1"/>
  <c r="R136" i="1" s="1"/>
  <c r="K137" i="1" l="1"/>
  <c r="J137" i="1"/>
  <c r="R137" i="1" s="1"/>
  <c r="I138" i="1"/>
  <c r="J138" i="1" l="1"/>
  <c r="R138" i="1" s="1"/>
  <c r="K138" i="1"/>
  <c r="I139" i="1"/>
  <c r="J139" i="1" l="1"/>
  <c r="K139" i="1"/>
  <c r="I140" i="1"/>
  <c r="R139" i="1" l="1"/>
  <c r="P139" i="1"/>
  <c r="K140" i="1"/>
  <c r="I141" i="1"/>
  <c r="J140" i="1"/>
  <c r="N145" i="1" l="1"/>
  <c r="R140" i="1"/>
  <c r="J141" i="1"/>
  <c r="R141" i="1" s="1"/>
  <c r="I142" i="1"/>
  <c r="K141" i="1"/>
  <c r="K142" i="1" l="1"/>
  <c r="J142" i="1"/>
  <c r="R142" i="1" s="1"/>
  <c r="I143" i="1"/>
  <c r="J143" i="1" l="1"/>
  <c r="R143" i="1" s="1"/>
  <c r="K143" i="1"/>
  <c r="I144" i="1"/>
  <c r="I145" i="1" l="1"/>
  <c r="J144" i="1"/>
  <c r="R144" i="1" s="1"/>
  <c r="K144" i="1"/>
  <c r="K145" i="1" l="1"/>
  <c r="J145" i="1"/>
  <c r="R145" i="1" s="1"/>
  <c r="I146" i="1"/>
  <c r="K146" i="1" l="1"/>
  <c r="J146" i="1"/>
  <c r="R146" i="1" s="1"/>
  <c r="I147" i="1"/>
  <c r="K147" i="1" l="1"/>
  <c r="J147" i="1"/>
  <c r="R147" i="1" s="1"/>
  <c r="I148" i="1"/>
  <c r="J148" i="1" l="1"/>
  <c r="R148" i="1" s="1"/>
  <c r="K148" i="1"/>
  <c r="I149" i="1"/>
  <c r="J149" i="1" l="1"/>
  <c r="R149" i="1" s="1"/>
  <c r="K149" i="1"/>
  <c r="I150" i="1"/>
  <c r="K150" i="1" l="1"/>
  <c r="I151" i="1"/>
  <c r="J150" i="1"/>
  <c r="R150" i="1" s="1"/>
  <c r="K151" i="1" l="1"/>
  <c r="I152" i="1"/>
  <c r="J151" i="1"/>
  <c r="R151" i="1" s="1"/>
  <c r="I153" i="1" l="1"/>
  <c r="J152" i="1"/>
  <c r="R152" i="1" s="1"/>
  <c r="K152" i="1"/>
  <c r="K153" i="1" l="1"/>
  <c r="I154" i="1"/>
  <c r="J153" i="1"/>
  <c r="R153" i="1" s="1"/>
  <c r="K154" i="1" l="1"/>
  <c r="J154" i="1"/>
  <c r="R154" i="1" s="1"/>
  <c r="I155" i="1"/>
  <c r="K155" i="1" l="1"/>
  <c r="I156" i="1"/>
  <c r="J155" i="1"/>
  <c r="R155" i="1" s="1"/>
  <c r="J156" i="1" l="1"/>
  <c r="R156" i="1" s="1"/>
  <c r="I157" i="1"/>
  <c r="K156" i="1"/>
  <c r="I158" i="1" l="1"/>
  <c r="J157" i="1"/>
  <c r="R157" i="1" s="1"/>
  <c r="K157" i="1"/>
  <c r="K158" i="1" l="1"/>
  <c r="J158" i="1"/>
  <c r="R158" i="1" s="1"/>
  <c r="I159" i="1"/>
  <c r="K159" i="1" l="1"/>
  <c r="J159" i="1"/>
  <c r="R159" i="1" s="1"/>
  <c r="I160" i="1"/>
  <c r="K160" i="1" l="1"/>
  <c r="I161" i="1"/>
  <c r="J160" i="1"/>
  <c r="R160" i="1" s="1"/>
  <c r="K161" i="1" l="1"/>
  <c r="I162" i="1"/>
  <c r="J161" i="1"/>
  <c r="R161" i="1" s="1"/>
  <c r="K162" i="1" l="1"/>
  <c r="I163" i="1"/>
  <c r="J162" i="1"/>
  <c r="R162" i="1" s="1"/>
  <c r="J163" i="1" l="1"/>
  <c r="R163" i="1" s="1"/>
  <c r="K163" i="1"/>
  <c r="I164" i="1"/>
  <c r="K164" i="1" l="1"/>
  <c r="J164" i="1"/>
  <c r="R164" i="1" s="1"/>
  <c r="I165" i="1"/>
  <c r="K165" i="1" l="1"/>
  <c r="J165" i="1"/>
  <c r="R165" i="1" s="1"/>
  <c r="I166" i="1"/>
  <c r="J166" i="1" l="1"/>
  <c r="R166" i="1" s="1"/>
  <c r="K166" i="1"/>
  <c r="I167" i="1"/>
  <c r="K167" i="1" l="1"/>
  <c r="J167" i="1"/>
  <c r="R167" i="1" s="1"/>
  <c r="I168" i="1"/>
  <c r="K168" i="1" l="1"/>
  <c r="I169" i="1"/>
  <c r="J168" i="1"/>
  <c r="R168" i="1" s="1"/>
  <c r="I170" i="1" l="1"/>
  <c r="J169" i="1"/>
  <c r="R169" i="1" s="1"/>
  <c r="K169" i="1"/>
  <c r="J170" i="1" l="1"/>
  <c r="R170" i="1" s="1"/>
  <c r="K170" i="1"/>
  <c r="I171" i="1"/>
  <c r="J171" i="1" l="1"/>
  <c r="K171" i="1"/>
  <c r="I172" i="1"/>
  <c r="R171" i="1" l="1"/>
  <c r="P171" i="1"/>
  <c r="I173" i="1"/>
  <c r="J172" i="1"/>
  <c r="R172" i="1" s="1"/>
  <c r="K172" i="1"/>
  <c r="K173" i="1" l="1"/>
  <c r="J173" i="1"/>
  <c r="R173" i="1" s="1"/>
  <c r="I174" i="1"/>
  <c r="I175" i="1" l="1"/>
  <c r="K174" i="1"/>
  <c r="J174" i="1"/>
  <c r="R174" i="1" s="1"/>
  <c r="J175" i="1" l="1"/>
  <c r="K175" i="1"/>
  <c r="I176" i="1"/>
  <c r="N180" i="1" l="1"/>
  <c r="R175" i="1"/>
  <c r="K176" i="1"/>
  <c r="J176" i="1"/>
  <c r="R176" i="1" s="1"/>
  <c r="I177" i="1"/>
  <c r="K177" i="1" l="1"/>
  <c r="I178" i="1"/>
  <c r="J177" i="1"/>
  <c r="R177" i="1" s="1"/>
  <c r="J178" i="1" l="1"/>
  <c r="R178" i="1" s="1"/>
  <c r="K178" i="1"/>
  <c r="I179" i="1"/>
  <c r="J179" i="1" l="1"/>
  <c r="R179" i="1" s="1"/>
  <c r="K179" i="1"/>
  <c r="I180" i="1"/>
  <c r="J180" i="1" l="1"/>
  <c r="R180" i="1" s="1"/>
  <c r="I181" i="1"/>
  <c r="K180" i="1"/>
  <c r="I182" i="1" l="1"/>
  <c r="J181" i="1"/>
  <c r="R181" i="1" s="1"/>
  <c r="K181" i="1"/>
  <c r="I183" i="1" l="1"/>
  <c r="J182" i="1"/>
  <c r="R182" i="1" s="1"/>
  <c r="K182" i="1"/>
  <c r="J183" i="1" l="1"/>
  <c r="K183" i="1"/>
  <c r="I184" i="1"/>
  <c r="N188" i="1" l="1"/>
  <c r="R183" i="1"/>
  <c r="K184" i="1"/>
  <c r="J184" i="1"/>
  <c r="R184" i="1" s="1"/>
  <c r="I185" i="1"/>
  <c r="K185" i="1" l="1"/>
  <c r="J185" i="1"/>
  <c r="R185" i="1" s="1"/>
  <c r="I186" i="1"/>
  <c r="J186" i="1" l="1"/>
  <c r="R186" i="1" s="1"/>
  <c r="K186" i="1"/>
  <c r="I187" i="1"/>
  <c r="J187" i="1" l="1"/>
  <c r="R187" i="1" s="1"/>
  <c r="I188" i="1"/>
  <c r="K187" i="1"/>
  <c r="K188" i="1" l="1"/>
  <c r="I189" i="1"/>
  <c r="J188" i="1"/>
  <c r="R188" i="1" s="1"/>
  <c r="I190" i="1" l="1"/>
  <c r="J189" i="1"/>
  <c r="R189" i="1" s="1"/>
  <c r="K189" i="1"/>
  <c r="I191" i="1" l="1"/>
  <c r="J190" i="1"/>
  <c r="R190" i="1" s="1"/>
  <c r="K190" i="1"/>
  <c r="J191" i="1" l="1"/>
  <c r="K191" i="1"/>
  <c r="I192" i="1"/>
  <c r="R191" i="1" l="1"/>
  <c r="P191" i="1"/>
  <c r="K192" i="1"/>
  <c r="J192" i="1"/>
  <c r="R192" i="1" s="1"/>
  <c r="I193" i="1"/>
  <c r="K193" i="1" l="1"/>
  <c r="J193" i="1"/>
  <c r="R193" i="1" s="1"/>
  <c r="I194" i="1"/>
  <c r="J194" i="1" l="1"/>
  <c r="R194" i="1" s="1"/>
  <c r="K194" i="1"/>
  <c r="I195" i="1"/>
  <c r="J195" i="1" l="1"/>
  <c r="R195" i="1" s="1"/>
  <c r="K195" i="1"/>
  <c r="I196" i="1"/>
  <c r="J196" i="1" l="1"/>
  <c r="R196" i="1" s="1"/>
  <c r="I197" i="1"/>
  <c r="K196" i="1"/>
  <c r="I198" i="1" l="1"/>
  <c r="J197" i="1"/>
  <c r="R197" i="1" s="1"/>
  <c r="K197" i="1"/>
  <c r="J198" i="1" l="1"/>
  <c r="R198" i="1" s="1"/>
  <c r="I199" i="1"/>
  <c r="K198" i="1"/>
  <c r="J199" i="1" l="1"/>
  <c r="R199" i="1" s="1"/>
  <c r="K199" i="1"/>
  <c r="I200" i="1"/>
  <c r="K200" i="1" l="1"/>
  <c r="J200" i="1"/>
  <c r="R200" i="1" s="1"/>
  <c r="I201" i="1"/>
  <c r="K201" i="1" l="1"/>
  <c r="I202" i="1"/>
  <c r="J201" i="1"/>
  <c r="R201" i="1" s="1"/>
  <c r="K202" i="1" l="1"/>
  <c r="I203" i="1"/>
  <c r="J202" i="1"/>
  <c r="R202" i="1" s="1"/>
  <c r="J203" i="1" l="1"/>
  <c r="R203" i="1" s="1"/>
  <c r="K203" i="1"/>
  <c r="I204" i="1"/>
  <c r="K204" i="1" l="1"/>
  <c r="I205" i="1"/>
  <c r="J204" i="1"/>
  <c r="R204" i="1" s="1"/>
  <c r="I206" i="1" l="1"/>
  <c r="K205" i="1"/>
  <c r="J205" i="1"/>
  <c r="R205" i="1" s="1"/>
  <c r="J206" i="1" l="1"/>
  <c r="R206" i="1" s="1"/>
  <c r="K206" i="1"/>
  <c r="I207" i="1"/>
  <c r="K207" i="1" l="1"/>
  <c r="I208" i="1"/>
  <c r="J207" i="1"/>
  <c r="R207" i="1" s="1"/>
  <c r="K208" i="1" l="1"/>
  <c r="J208" i="1"/>
  <c r="R208" i="1" s="1"/>
  <c r="I209" i="1"/>
  <c r="K209" i="1" l="1"/>
  <c r="I210" i="1"/>
  <c r="J209" i="1"/>
  <c r="N214" i="1" l="1"/>
  <c r="R209" i="1"/>
  <c r="K210" i="1"/>
  <c r="I211" i="1"/>
  <c r="J210" i="1"/>
  <c r="R210" i="1" l="1"/>
  <c r="P210" i="1"/>
  <c r="K211" i="1"/>
  <c r="I212" i="1"/>
  <c r="J211" i="1"/>
  <c r="R211" i="1" s="1"/>
  <c r="K212" i="1" l="1"/>
  <c r="I213" i="1"/>
  <c r="J212" i="1"/>
  <c r="R212" i="1" s="1"/>
  <c r="I214" i="1" l="1"/>
  <c r="K213" i="1"/>
  <c r="J213" i="1"/>
  <c r="R213" i="1" s="1"/>
  <c r="J214" i="1" l="1"/>
  <c r="R214" i="1" s="1"/>
  <c r="K214" i="1"/>
  <c r="I215" i="1"/>
  <c r="J215" i="1" l="1"/>
  <c r="R215" i="1" s="1"/>
  <c r="K215" i="1"/>
  <c r="I216" i="1"/>
  <c r="K216" i="1" l="1"/>
  <c r="J216" i="1"/>
  <c r="R216" i="1" s="1"/>
  <c r="I217" i="1"/>
  <c r="K217" i="1" l="1"/>
  <c r="J217" i="1"/>
  <c r="R217" i="1" s="1"/>
  <c r="I218" i="1"/>
  <c r="J218" i="1" l="1"/>
  <c r="R218" i="1" s="1"/>
  <c r="K218" i="1"/>
  <c r="I219" i="1"/>
  <c r="J219" i="1" l="1"/>
  <c r="R219" i="1" s="1"/>
  <c r="K219" i="1"/>
  <c r="I220" i="1"/>
  <c r="J220" i="1" l="1"/>
  <c r="R220" i="1" s="1"/>
  <c r="K220" i="1"/>
  <c r="I221" i="1"/>
  <c r="J221" i="1" l="1"/>
  <c r="R221" i="1" s="1"/>
  <c r="K221" i="1"/>
  <c r="I222" i="1"/>
  <c r="J222" i="1" l="1"/>
  <c r="R222" i="1" s="1"/>
  <c r="K222" i="1"/>
  <c r="I223" i="1"/>
  <c r="J223" i="1" l="1"/>
  <c r="R223" i="1" s="1"/>
  <c r="K223" i="1"/>
  <c r="I224" i="1"/>
  <c r="K224" i="1" l="1"/>
  <c r="J224" i="1"/>
  <c r="R224" i="1" s="1"/>
  <c r="I225" i="1"/>
  <c r="K225" i="1" l="1"/>
  <c r="I226" i="1"/>
  <c r="J225" i="1"/>
  <c r="R225" i="1" s="1"/>
  <c r="J226" i="1" l="1"/>
  <c r="R226" i="1" s="1"/>
  <c r="I227" i="1"/>
  <c r="K226" i="1"/>
  <c r="K227" i="1" l="1"/>
  <c r="I228" i="1"/>
  <c r="J227" i="1"/>
  <c r="R227" i="1" s="1"/>
  <c r="J228" i="1" l="1"/>
  <c r="R228" i="1" s="1"/>
  <c r="K228" i="1"/>
  <c r="I229" i="1"/>
  <c r="J229" i="1" l="1"/>
  <c r="R229" i="1" s="1"/>
  <c r="K229" i="1"/>
  <c r="I230" i="1"/>
  <c r="I231" i="1" l="1"/>
  <c r="J230" i="1"/>
  <c r="R230" i="1" s="1"/>
  <c r="K230" i="1"/>
  <c r="K231" i="1" l="1"/>
  <c r="J231" i="1"/>
  <c r="R231" i="1" s="1"/>
  <c r="I232" i="1"/>
  <c r="I233" i="1" l="1"/>
  <c r="J232" i="1"/>
  <c r="R232" i="1" s="1"/>
  <c r="K232" i="1"/>
  <c r="I234" i="1" l="1"/>
  <c r="J233" i="1"/>
  <c r="R233" i="1" s="1"/>
  <c r="K233" i="1"/>
  <c r="K234" i="1" l="1"/>
  <c r="I235" i="1"/>
  <c r="J234" i="1"/>
  <c r="N235" i="1" l="1"/>
  <c r="R234" i="1"/>
  <c r="K235" i="1"/>
  <c r="J235" i="1"/>
  <c r="R235" i="1" s="1"/>
  <c r="I236" i="1"/>
  <c r="K236" i="1" l="1"/>
  <c r="J236" i="1"/>
  <c r="R236" i="1" s="1"/>
  <c r="I237" i="1"/>
  <c r="I238" i="1" l="1"/>
  <c r="J237" i="1"/>
  <c r="R237" i="1" s="1"/>
  <c r="K237" i="1"/>
  <c r="K238" i="1" l="1"/>
  <c r="I239" i="1"/>
  <c r="J238" i="1"/>
  <c r="N243" i="1" l="1"/>
  <c r="R238" i="1"/>
  <c r="K239" i="1"/>
  <c r="I240" i="1"/>
  <c r="J239" i="1"/>
  <c r="R239" i="1" s="1"/>
  <c r="K240" i="1" l="1"/>
  <c r="I241" i="1"/>
  <c r="J240" i="1"/>
  <c r="R240" i="1" s="1"/>
  <c r="I242" i="1" l="1"/>
  <c r="J241" i="1"/>
  <c r="R241" i="1" s="1"/>
  <c r="K241" i="1"/>
  <c r="J242" i="1" l="1"/>
  <c r="R242" i="1" s="1"/>
  <c r="I243" i="1"/>
  <c r="K242" i="1"/>
  <c r="J243" i="1" l="1"/>
  <c r="R243" i="1" s="1"/>
  <c r="K243" i="1"/>
  <c r="I244" i="1"/>
  <c r="J244" i="1" l="1"/>
  <c r="R244" i="1" s="1"/>
  <c r="I245" i="1"/>
  <c r="K244" i="1"/>
  <c r="K245" i="1" l="1"/>
  <c r="I246" i="1"/>
  <c r="J245" i="1"/>
  <c r="R245" i="1" s="1"/>
  <c r="I247" i="1" l="1"/>
  <c r="J246" i="1"/>
  <c r="R246" i="1" s="1"/>
  <c r="K246" i="1"/>
  <c r="K247" i="1" l="1"/>
  <c r="I248" i="1"/>
  <c r="J247" i="1"/>
  <c r="R247" i="1" s="1"/>
  <c r="J248" i="1" l="1"/>
  <c r="R248" i="1" s="1"/>
  <c r="I249" i="1"/>
  <c r="K248" i="1"/>
  <c r="J249" i="1" l="1"/>
  <c r="I250" i="1"/>
  <c r="K249" i="1"/>
  <c r="N254" i="1" l="1"/>
  <c r="R249" i="1"/>
  <c r="I251" i="1"/>
  <c r="K250" i="1"/>
  <c r="J250" i="1"/>
  <c r="R250" i="1" s="1"/>
  <c r="K251" i="1" l="1"/>
  <c r="I252" i="1"/>
  <c r="J251" i="1"/>
  <c r="R251" i="1" s="1"/>
  <c r="J252" i="1" l="1"/>
  <c r="R252" i="1" s="1"/>
  <c r="K252" i="1"/>
  <c r="I253" i="1"/>
  <c r="K253" i="1" l="1"/>
  <c r="I254" i="1"/>
  <c r="J253" i="1"/>
  <c r="R253" i="1" s="1"/>
  <c r="I255" i="1" l="1"/>
  <c r="J254" i="1"/>
  <c r="R254" i="1" s="1"/>
  <c r="K254" i="1"/>
  <c r="J255" i="1" l="1"/>
  <c r="R255" i="1" s="1"/>
  <c r="K255" i="1"/>
  <c r="I256" i="1"/>
  <c r="J256" i="1" l="1"/>
  <c r="R256" i="1" s="1"/>
  <c r="K256" i="1"/>
  <c r="I257" i="1"/>
  <c r="J257" i="1" l="1"/>
  <c r="R257" i="1" s="1"/>
  <c r="K257" i="1"/>
  <c r="I258" i="1"/>
  <c r="I259" i="1" l="1"/>
  <c r="J258" i="1"/>
  <c r="R258" i="1" s="1"/>
  <c r="K258" i="1"/>
  <c r="J259" i="1" l="1"/>
  <c r="R259" i="1" s="1"/>
  <c r="I260" i="1"/>
  <c r="K259" i="1"/>
  <c r="I261" i="1" l="1"/>
  <c r="J260" i="1"/>
  <c r="R260" i="1" s="1"/>
  <c r="K260" i="1"/>
  <c r="I262" i="1" l="1"/>
  <c r="K261" i="1"/>
  <c r="J261" i="1"/>
  <c r="R261" i="1" s="1"/>
  <c r="K262" i="1" l="1"/>
  <c r="J262" i="1"/>
  <c r="R262" i="1" s="1"/>
  <c r="I263" i="1"/>
  <c r="I264" i="1" l="1"/>
  <c r="K263" i="1"/>
  <c r="J263" i="1"/>
  <c r="R263" i="1" s="1"/>
  <c r="I265" i="1" l="1"/>
  <c r="J264" i="1"/>
  <c r="R264" i="1" s="1"/>
  <c r="K264" i="1"/>
  <c r="K265" i="1" l="1"/>
  <c r="J265" i="1"/>
  <c r="R265" i="1" s="1"/>
  <c r="I266" i="1"/>
  <c r="K266" i="1" l="1"/>
  <c r="J266" i="1"/>
  <c r="R266" i="1" s="1"/>
  <c r="I267" i="1"/>
  <c r="J267" i="1" l="1"/>
  <c r="R267" i="1" s="1"/>
  <c r="K267" i="1"/>
  <c r="I268" i="1"/>
  <c r="J268" i="1" l="1"/>
  <c r="R268" i="1" s="1"/>
  <c r="I269" i="1"/>
  <c r="K268" i="1"/>
  <c r="J269" i="1" l="1"/>
  <c r="R269" i="1" s="1"/>
  <c r="K269" i="1"/>
  <c r="I270" i="1"/>
  <c r="J270" i="1" l="1"/>
  <c r="R270" i="1" s="1"/>
  <c r="K270" i="1"/>
  <c r="I271" i="1"/>
  <c r="K271" i="1" l="1"/>
  <c r="I272" i="1"/>
  <c r="J271" i="1"/>
  <c r="R271" i="1" s="1"/>
  <c r="I273" i="1" l="1"/>
  <c r="J272" i="1"/>
  <c r="R272" i="1" s="1"/>
  <c r="K272" i="1"/>
  <c r="I274" i="1" l="1"/>
  <c r="J273" i="1"/>
  <c r="R273" i="1" s="1"/>
  <c r="K273" i="1"/>
  <c r="K274" i="1" l="1"/>
  <c r="J274" i="1"/>
  <c r="R274" i="1" s="1"/>
  <c r="I275" i="1"/>
  <c r="I276" i="1" l="1"/>
  <c r="J275" i="1"/>
  <c r="R275" i="1" s="1"/>
  <c r="K275" i="1"/>
  <c r="K276" i="1" l="1"/>
  <c r="J276" i="1"/>
  <c r="I277" i="1"/>
  <c r="I278" i="1" s="1"/>
  <c r="N281" i="1" l="1"/>
  <c r="R276" i="1"/>
  <c r="J278" i="1"/>
  <c r="K278" i="1"/>
  <c r="J277" i="1"/>
  <c r="R277" i="1" s="1"/>
  <c r="K277" i="1"/>
  <c r="S278" i="1" l="1"/>
  <c r="R278" i="1"/>
  <c r="I279" i="1"/>
  <c r="K279" i="1" l="1"/>
  <c r="I280" i="1"/>
  <c r="J279" i="1"/>
  <c r="I281" i="1" l="1"/>
  <c r="K280" i="1"/>
  <c r="J280" i="1"/>
  <c r="J281" i="1" l="1"/>
  <c r="I282" i="1"/>
  <c r="K281" i="1"/>
  <c r="J282" i="1" l="1"/>
  <c r="I283" i="1"/>
  <c r="K282" i="1"/>
  <c r="J283" i="1" l="1"/>
  <c r="I284" i="1"/>
  <c r="K283" i="1"/>
  <c r="I285" i="1" l="1"/>
  <c r="J284" i="1"/>
  <c r="K284" i="1"/>
  <c r="J285" i="1" l="1"/>
  <c r="I286" i="1"/>
  <c r="K285" i="1"/>
  <c r="J286" i="1" l="1"/>
  <c r="K286" i="1"/>
  <c r="I287" i="1"/>
  <c r="K287" i="1" l="1"/>
  <c r="J287" i="1"/>
  <c r="I288" i="1"/>
  <c r="J288" i="1" l="1"/>
  <c r="I289" i="1"/>
  <c r="K288" i="1"/>
  <c r="J289" i="1" l="1"/>
  <c r="I290" i="1"/>
  <c r="K289" i="1"/>
  <c r="J290" i="1" l="1"/>
  <c r="I291" i="1"/>
  <c r="K290" i="1"/>
  <c r="J291" i="1" l="1"/>
  <c r="I292" i="1"/>
  <c r="K291" i="1"/>
  <c r="I293" i="1" l="1"/>
  <c r="J292" i="1"/>
  <c r="K292" i="1"/>
  <c r="K293" i="1" l="1"/>
  <c r="I294" i="1"/>
  <c r="J293" i="1"/>
  <c r="J294" i="1" l="1"/>
  <c r="I295" i="1"/>
  <c r="K294" i="1"/>
  <c r="K295" i="1" l="1"/>
  <c r="J295" i="1"/>
  <c r="I296" i="1"/>
  <c r="J296" i="1" l="1"/>
  <c r="I297" i="1"/>
  <c r="K296" i="1"/>
  <c r="J297" i="1" l="1"/>
  <c r="K297" i="1"/>
  <c r="I298" i="1"/>
  <c r="J298" i="1" l="1"/>
  <c r="K298" i="1"/>
  <c r="I299" i="1"/>
  <c r="J299" i="1" l="1"/>
  <c r="I300" i="1"/>
  <c r="K299" i="1"/>
  <c r="J300" i="1" l="1"/>
  <c r="K300" i="1"/>
  <c r="I301" i="1"/>
  <c r="J301" i="1" l="1"/>
  <c r="I302" i="1"/>
  <c r="K301" i="1"/>
  <c r="J302" i="1" l="1"/>
  <c r="K302" i="1"/>
  <c r="I303" i="1"/>
  <c r="I304" i="1" l="1"/>
  <c r="J303" i="1"/>
  <c r="K303" i="1"/>
  <c r="J304" i="1" l="1"/>
  <c r="I305" i="1"/>
  <c r="K304" i="1"/>
  <c r="K305" i="1" l="1"/>
  <c r="J305" i="1"/>
  <c r="I306" i="1"/>
  <c r="I307" i="1" l="1"/>
  <c r="K306" i="1"/>
  <c r="J306" i="1"/>
  <c r="K307" i="1" l="1"/>
  <c r="J307" i="1"/>
  <c r="I308" i="1"/>
  <c r="J308" i="1" l="1"/>
  <c r="K308" i="1"/>
  <c r="I309" i="1"/>
  <c r="I310" i="1" l="1"/>
  <c r="K309" i="1"/>
  <c r="J309" i="1"/>
  <c r="J310" i="1" l="1"/>
  <c r="K310" i="1"/>
  <c r="I311" i="1"/>
  <c r="I312" i="1" l="1"/>
  <c r="J311" i="1"/>
  <c r="K311" i="1"/>
  <c r="I313" i="1" l="1"/>
  <c r="K312" i="1"/>
  <c r="J312" i="1"/>
  <c r="K313" i="1" l="1"/>
  <c r="J313" i="1"/>
  <c r="I314" i="1"/>
  <c r="J314" i="1" l="1"/>
  <c r="K314" i="1"/>
  <c r="I315" i="1"/>
  <c r="K315" i="1" l="1"/>
  <c r="I316" i="1"/>
  <c r="J315" i="1"/>
  <c r="J316" i="1" l="1"/>
  <c r="K316" i="1"/>
  <c r="I317" i="1"/>
  <c r="K317" i="1" l="1"/>
  <c r="I318" i="1"/>
  <c r="J317" i="1"/>
  <c r="J318" i="1" l="1"/>
  <c r="K318" i="1"/>
  <c r="I319" i="1"/>
  <c r="J319" i="1" l="1"/>
  <c r="K319" i="1"/>
  <c r="I320" i="1"/>
  <c r="J320" i="1" l="1"/>
  <c r="I321" i="1"/>
  <c r="K320" i="1"/>
  <c r="K321" i="1" l="1"/>
  <c r="J321" i="1"/>
  <c r="I322" i="1"/>
  <c r="I323" i="1" l="1"/>
  <c r="K322" i="1"/>
  <c r="J322" i="1"/>
  <c r="J323" i="1" l="1"/>
  <c r="K323" i="1"/>
  <c r="I324" i="1"/>
  <c r="K324" i="1" l="1"/>
  <c r="J324" i="1"/>
  <c r="I325" i="1"/>
  <c r="K325" i="1" l="1"/>
  <c r="I326" i="1"/>
  <c r="J325" i="1"/>
  <c r="N333" i="1" s="1"/>
  <c r="Q333" i="1" l="1"/>
  <c r="R333" i="1"/>
  <c r="I327" i="1"/>
  <c r="J326" i="1"/>
  <c r="K326" i="1"/>
  <c r="J327" i="1" l="1"/>
  <c r="N334" i="1" s="1"/>
  <c r="K327" i="1"/>
  <c r="I328" i="1"/>
  <c r="J328" i="1" l="1"/>
  <c r="K328" i="1"/>
  <c r="I329" i="1"/>
  <c r="Q334" i="1"/>
  <c r="R334" i="1"/>
  <c r="K329" i="1" l="1"/>
  <c r="N327" i="1"/>
  <c r="I330" i="1"/>
  <c r="J329" i="1"/>
  <c r="N337" i="1" l="1"/>
  <c r="N336" i="1"/>
  <c r="M12" i="1"/>
  <c r="N328" i="1"/>
  <c r="N329" i="1"/>
  <c r="I331" i="1"/>
  <c r="K330" i="1"/>
  <c r="J330" i="1"/>
  <c r="R336" i="1" l="1"/>
  <c r="Q336" i="1"/>
  <c r="I332" i="1"/>
  <c r="K331" i="1"/>
  <c r="J331" i="1"/>
  <c r="R337" i="1"/>
  <c r="Q337" i="1"/>
  <c r="K332" i="1" l="1"/>
  <c r="I333" i="1"/>
  <c r="J332" i="1"/>
  <c r="K333" i="1" l="1"/>
  <c r="I334" i="1"/>
  <c r="J333" i="1"/>
  <c r="J334" i="1" l="1"/>
  <c r="I335" i="1"/>
  <c r="K334" i="1"/>
  <c r="I336" i="1" l="1"/>
  <c r="K335" i="1"/>
  <c r="J335" i="1"/>
  <c r="J336" i="1" l="1"/>
  <c r="K336" i="1"/>
  <c r="I337" i="1"/>
  <c r="K337" i="1" l="1"/>
  <c r="I338" i="1"/>
  <c r="J337" i="1"/>
  <c r="I339" i="1" l="1"/>
  <c r="J338" i="1"/>
  <c r="K338" i="1"/>
  <c r="K339" i="1" l="1"/>
  <c r="I340" i="1"/>
  <c r="J339" i="1"/>
  <c r="J340" i="1" l="1"/>
  <c r="K340" i="1"/>
  <c r="I341" i="1"/>
  <c r="K341" i="1" l="1"/>
  <c r="J341" i="1"/>
  <c r="I342" i="1"/>
  <c r="J342" i="1" l="1"/>
  <c r="I343" i="1"/>
  <c r="K342" i="1"/>
  <c r="I344" i="1" l="1"/>
  <c r="K343" i="1"/>
  <c r="J343" i="1"/>
  <c r="J344" i="1" l="1"/>
  <c r="K344" i="1"/>
  <c r="I345" i="1"/>
  <c r="K345" i="1" l="1"/>
  <c r="I346" i="1"/>
  <c r="J345" i="1"/>
  <c r="I347" i="1" l="1"/>
  <c r="K346" i="1"/>
  <c r="J346" i="1"/>
  <c r="I348" i="1" l="1"/>
  <c r="J347" i="1"/>
  <c r="K347" i="1"/>
  <c r="K348" i="1" l="1"/>
  <c r="I349" i="1"/>
  <c r="J348" i="1"/>
  <c r="I350" i="1" l="1"/>
  <c r="J349" i="1"/>
  <c r="K349" i="1"/>
  <c r="J350" i="1" l="1"/>
  <c r="K350" i="1"/>
  <c r="I351" i="1"/>
  <c r="K351" i="1" l="1"/>
  <c r="I352" i="1"/>
  <c r="J351" i="1"/>
  <c r="J352" i="1" l="1"/>
  <c r="I353" i="1"/>
  <c r="K352" i="1"/>
  <c r="K353" i="1" l="1"/>
  <c r="J353" i="1"/>
  <c r="I354" i="1"/>
  <c r="I355" i="1" l="1"/>
  <c r="J354" i="1"/>
  <c r="K354" i="1"/>
  <c r="K355" i="1" l="1"/>
  <c r="I356" i="1"/>
  <c r="J355" i="1"/>
  <c r="J356" i="1" l="1"/>
  <c r="K356" i="1"/>
  <c r="I357" i="1"/>
  <c r="K357" i="1" l="1"/>
  <c r="J357" i="1"/>
  <c r="I358" i="1"/>
  <c r="J358" i="1" l="1"/>
  <c r="I359" i="1"/>
  <c r="K358" i="1"/>
  <c r="J359" i="1" l="1"/>
  <c r="K359" i="1"/>
  <c r="I360" i="1"/>
  <c r="J360" i="1" l="1"/>
  <c r="K360" i="1"/>
  <c r="I361" i="1"/>
  <c r="K361" i="1" l="1"/>
  <c r="J361" i="1"/>
  <c r="I362" i="1"/>
  <c r="I363" i="1" l="1"/>
  <c r="J362" i="1"/>
  <c r="K362" i="1"/>
  <c r="J363" i="1" l="1"/>
  <c r="I364" i="1"/>
  <c r="K363" i="1"/>
  <c r="J364" i="1" l="1"/>
  <c r="K364" i="1"/>
  <c r="I365" i="1"/>
  <c r="J365" i="1" l="1"/>
  <c r="K365" i="1"/>
  <c r="I366" i="1"/>
  <c r="I367" i="1" l="1"/>
  <c r="J366" i="1"/>
  <c r="K366" i="1"/>
  <c r="J367" i="1" l="1"/>
  <c r="I368" i="1"/>
  <c r="K367" i="1"/>
  <c r="I369" i="1" l="1"/>
  <c r="K368" i="1"/>
  <c r="J368" i="1"/>
  <c r="J369" i="1" l="1"/>
  <c r="I370" i="1"/>
  <c r="K369" i="1"/>
  <c r="K370" i="1" l="1"/>
  <c r="J370" i="1"/>
  <c r="I371" i="1"/>
  <c r="K371" i="1" l="1"/>
  <c r="I372" i="1"/>
  <c r="J371" i="1"/>
  <c r="J372" i="1" l="1"/>
  <c r="K372" i="1"/>
  <c r="I373" i="1"/>
  <c r="K373" i="1" l="1"/>
  <c r="I374" i="1"/>
  <c r="J373" i="1"/>
  <c r="J374" i="1" l="1"/>
  <c r="K374" i="1"/>
  <c r="I375" i="1"/>
  <c r="J375" i="1" l="1"/>
  <c r="I376" i="1"/>
  <c r="K375" i="1"/>
  <c r="J376" i="1" l="1"/>
  <c r="I377" i="1"/>
  <c r="K376" i="1"/>
  <c r="K377" i="1" l="1"/>
  <c r="I378" i="1"/>
  <c r="J377" i="1"/>
  <c r="J378" i="1" l="1"/>
  <c r="K378" i="1"/>
  <c r="I379" i="1"/>
  <c r="K379" i="1" l="1"/>
  <c r="I380" i="1"/>
  <c r="J379" i="1"/>
  <c r="J380" i="1" l="1"/>
  <c r="I381" i="1"/>
  <c r="K380" i="1"/>
  <c r="J381" i="1" l="1"/>
  <c r="K381" i="1"/>
  <c r="I382" i="1"/>
  <c r="J382" i="1" l="1"/>
  <c r="K382" i="1"/>
  <c r="I383" i="1"/>
  <c r="J383" i="1" l="1"/>
  <c r="K383" i="1"/>
  <c r="I384" i="1"/>
  <c r="J384" i="1" l="1"/>
  <c r="I385" i="1"/>
  <c r="K384" i="1"/>
  <c r="K385" i="1" l="1"/>
  <c r="J385" i="1"/>
  <c r="I386" i="1"/>
  <c r="I387" i="1" l="1"/>
  <c r="J386" i="1"/>
  <c r="K386" i="1"/>
  <c r="K387" i="1" l="1"/>
  <c r="I388" i="1"/>
  <c r="J387" i="1"/>
  <c r="J388" i="1" l="1"/>
  <c r="I389" i="1"/>
  <c r="K388" i="1"/>
  <c r="J389" i="1" l="1"/>
  <c r="I390" i="1"/>
  <c r="K389" i="1"/>
  <c r="J390" i="1" l="1"/>
  <c r="K390" i="1"/>
  <c r="I391" i="1"/>
  <c r="J391" i="1" l="1"/>
  <c r="I392" i="1"/>
  <c r="K391" i="1"/>
  <c r="J392" i="1" l="1"/>
  <c r="K392" i="1"/>
  <c r="I393" i="1"/>
  <c r="K393" i="1" l="1"/>
  <c r="J393" i="1"/>
  <c r="I394" i="1"/>
  <c r="I395" i="1" l="1"/>
  <c r="K394" i="1"/>
  <c r="J394" i="1"/>
  <c r="K395" i="1" l="1"/>
  <c r="I396" i="1"/>
  <c r="J395" i="1"/>
  <c r="J396" i="1" l="1"/>
  <c r="K396" i="1"/>
  <c r="I397" i="1"/>
  <c r="K397" i="1" l="1"/>
  <c r="I398" i="1"/>
  <c r="J397" i="1"/>
  <c r="K398" i="1" l="1"/>
  <c r="I399" i="1"/>
  <c r="J398" i="1"/>
  <c r="K399" i="1" l="1"/>
  <c r="J399" i="1"/>
  <c r="I400" i="1"/>
  <c r="J400" i="1" l="1"/>
  <c r="K400" i="1"/>
  <c r="I401" i="1"/>
  <c r="K401" i="1" l="1"/>
  <c r="J401" i="1"/>
  <c r="I402" i="1"/>
  <c r="I403" i="1" l="1"/>
  <c r="K402" i="1"/>
  <c r="J402" i="1"/>
  <c r="I404" i="1" l="1"/>
  <c r="K403" i="1"/>
  <c r="J403" i="1"/>
  <c r="K404" i="1" l="1"/>
  <c r="I405" i="1"/>
  <c r="J404" i="1"/>
  <c r="I406" i="1" l="1"/>
  <c r="K405" i="1"/>
  <c r="J405" i="1"/>
  <c r="J406" i="1" l="1"/>
  <c r="K406" i="1"/>
  <c r="I407" i="1"/>
  <c r="I408" i="1" l="1"/>
  <c r="J407" i="1"/>
  <c r="K407" i="1"/>
  <c r="K408" i="1" l="1"/>
  <c r="I409" i="1"/>
  <c r="J408" i="1"/>
  <c r="I410" i="1" l="1"/>
  <c r="J409" i="1"/>
  <c r="K409" i="1"/>
  <c r="J410" i="1" l="1"/>
  <c r="I411" i="1"/>
  <c r="K410" i="1"/>
  <c r="I412" i="1" l="1"/>
  <c r="K411" i="1"/>
  <c r="J411" i="1"/>
  <c r="K412" i="1" l="1"/>
  <c r="J412" i="1"/>
  <c r="I413" i="1"/>
  <c r="K413" i="1" l="1"/>
  <c r="J413" i="1"/>
  <c r="I414" i="1"/>
  <c r="K414" i="1" l="1"/>
  <c r="J414" i="1"/>
  <c r="I415" i="1"/>
  <c r="J415" i="1" l="1"/>
  <c r="I416" i="1"/>
  <c r="K415" i="1"/>
  <c r="I417" i="1" l="1"/>
  <c r="J416" i="1"/>
  <c r="K416" i="1"/>
  <c r="J417" i="1" l="1"/>
  <c r="K417" i="1"/>
  <c r="I418" i="1"/>
  <c r="J418" i="1" l="1"/>
  <c r="I419" i="1"/>
  <c r="K418" i="1"/>
  <c r="K419" i="1" l="1"/>
  <c r="I420" i="1"/>
  <c r="J419" i="1"/>
  <c r="J420" i="1" l="1"/>
  <c r="I421" i="1"/>
  <c r="K420" i="1"/>
  <c r="J421" i="1" l="1"/>
  <c r="I422" i="1"/>
  <c r="K421" i="1"/>
  <c r="K422" i="1" l="1"/>
  <c r="I423" i="1"/>
  <c r="J422" i="1"/>
  <c r="J423" i="1" l="1"/>
  <c r="I424" i="1"/>
  <c r="K423" i="1"/>
  <c r="I425" i="1" l="1"/>
  <c r="K424" i="1"/>
  <c r="J424" i="1"/>
  <c r="K425" i="1" l="1"/>
  <c r="I426" i="1"/>
  <c r="J425" i="1"/>
  <c r="K426" i="1" l="1"/>
  <c r="J426" i="1"/>
  <c r="I427" i="1"/>
  <c r="J427" i="1" l="1"/>
  <c r="K427" i="1"/>
  <c r="I428" i="1"/>
  <c r="I429" i="1" l="1"/>
  <c r="J428" i="1"/>
  <c r="K428" i="1"/>
  <c r="J429" i="1" l="1"/>
  <c r="K429" i="1"/>
  <c r="I430" i="1"/>
  <c r="J430" i="1" l="1"/>
  <c r="K430" i="1"/>
  <c r="I431" i="1"/>
  <c r="J431" i="1" l="1"/>
  <c r="I432" i="1"/>
  <c r="K431" i="1"/>
  <c r="J432" i="1" l="1"/>
  <c r="K432" i="1"/>
  <c r="I433" i="1"/>
  <c r="J433" i="1" l="1"/>
  <c r="K433" i="1"/>
  <c r="I434" i="1"/>
  <c r="I435" i="1" s="1"/>
  <c r="J435" i="1" l="1"/>
  <c r="K435" i="1"/>
  <c r="K434" i="1"/>
  <c r="J434" i="1"/>
  <c r="I436" i="1" l="1"/>
  <c r="J436" i="1" l="1"/>
  <c r="I437" i="1"/>
  <c r="K436" i="1"/>
  <c r="J437" i="1" l="1"/>
  <c r="I438" i="1"/>
  <c r="K437" i="1"/>
  <c r="I439" i="1" l="1"/>
  <c r="K438" i="1"/>
  <c r="J438" i="1"/>
  <c r="J439" i="1" l="1"/>
  <c r="I440" i="1"/>
  <c r="K439" i="1"/>
  <c r="J440" i="1" l="1"/>
  <c r="I441" i="1"/>
  <c r="K440" i="1"/>
  <c r="I442" i="1" l="1"/>
  <c r="J441" i="1"/>
  <c r="K441" i="1"/>
  <c r="K442" i="1" l="1"/>
  <c r="J442" i="1"/>
  <c r="I443" i="1"/>
  <c r="K443" i="1" l="1"/>
  <c r="I444" i="1"/>
  <c r="J443" i="1"/>
  <c r="J444" i="1" l="1"/>
  <c r="I445" i="1"/>
  <c r="K444" i="1"/>
  <c r="J445" i="1" l="1"/>
  <c r="I446" i="1"/>
  <c r="K445" i="1"/>
  <c r="I447" i="1" l="1"/>
  <c r="K446" i="1"/>
  <c r="J446" i="1"/>
  <c r="I448" i="1" l="1"/>
  <c r="J447" i="1"/>
  <c r="K447" i="1"/>
  <c r="K448" i="1" l="1"/>
  <c r="I449" i="1"/>
  <c r="J448" i="1"/>
  <c r="K449" i="1" l="1"/>
  <c r="J449" i="1"/>
  <c r="I450" i="1"/>
  <c r="K450" i="1" l="1"/>
  <c r="J450" i="1"/>
  <c r="I451" i="1"/>
  <c r="K451" i="1" l="1"/>
  <c r="I452" i="1"/>
  <c r="J451" i="1"/>
  <c r="K452" i="1" l="1"/>
  <c r="J452" i="1"/>
  <c r="I453" i="1"/>
  <c r="I454" i="1" l="1"/>
  <c r="K453" i="1"/>
  <c r="J453" i="1"/>
  <c r="I455" i="1" l="1"/>
  <c r="K454" i="1"/>
  <c r="J454" i="1"/>
  <c r="K455" i="1" l="1"/>
  <c r="J455" i="1"/>
  <c r="I456" i="1"/>
  <c r="J456" i="1" l="1"/>
  <c r="I457" i="1"/>
  <c r="K456" i="1"/>
  <c r="K457" i="1" l="1"/>
  <c r="I458" i="1"/>
  <c r="J457" i="1"/>
  <c r="K458" i="1" l="1"/>
  <c r="I459" i="1"/>
  <c r="J458" i="1"/>
  <c r="K459" i="1" l="1"/>
  <c r="J459" i="1"/>
  <c r="I460" i="1"/>
  <c r="J460" i="1" l="1"/>
  <c r="I461" i="1"/>
  <c r="K460" i="1"/>
  <c r="J461" i="1" l="1"/>
  <c r="I462" i="1"/>
  <c r="K461" i="1"/>
  <c r="I463" i="1" l="1"/>
  <c r="K462" i="1"/>
  <c r="J462" i="1"/>
  <c r="K463" i="1" l="1"/>
  <c r="J463" i="1"/>
  <c r="I464" i="1"/>
  <c r="J464" i="1" l="1"/>
  <c r="I465" i="1"/>
  <c r="K464" i="1"/>
  <c r="I466" i="1" l="1"/>
  <c r="K465" i="1"/>
  <c r="J465" i="1"/>
  <c r="J466" i="1" l="1"/>
  <c r="I467" i="1"/>
  <c r="K466" i="1"/>
  <c r="J467" i="1" l="1"/>
  <c r="I468" i="1"/>
  <c r="K467" i="1"/>
  <c r="J468" i="1" l="1"/>
  <c r="K468" i="1"/>
  <c r="I469" i="1"/>
  <c r="K469" i="1" l="1"/>
  <c r="I470" i="1"/>
  <c r="J469" i="1"/>
  <c r="I471" i="1" l="1"/>
  <c r="J470" i="1"/>
  <c r="K470" i="1"/>
  <c r="K471" i="1" l="1"/>
  <c r="I472" i="1"/>
  <c r="J471" i="1"/>
  <c r="J472" i="1" l="1"/>
  <c r="I473" i="1"/>
  <c r="K472" i="1"/>
  <c r="I474" i="1" l="1"/>
  <c r="J473" i="1"/>
  <c r="K473" i="1"/>
  <c r="K474" i="1" l="1"/>
  <c r="I475" i="1"/>
  <c r="J474" i="1"/>
  <c r="J475" i="1" l="1"/>
  <c r="I476" i="1"/>
  <c r="K475" i="1"/>
  <c r="I477" i="1" l="1"/>
  <c r="J476" i="1"/>
  <c r="K476" i="1"/>
  <c r="K477" i="1" l="1"/>
  <c r="I478" i="1"/>
  <c r="J477" i="1"/>
  <c r="I479" i="1" l="1"/>
  <c r="J478" i="1"/>
  <c r="K478" i="1"/>
  <c r="J479" i="1" l="1"/>
  <c r="I480" i="1"/>
  <c r="K479" i="1"/>
  <c r="J480" i="1" l="1"/>
  <c r="I481" i="1"/>
  <c r="K480" i="1"/>
  <c r="J481" i="1" l="1"/>
  <c r="I482" i="1"/>
  <c r="K481" i="1"/>
  <c r="I483" i="1" l="1"/>
  <c r="K482" i="1"/>
  <c r="J482" i="1"/>
  <c r="J483" i="1" l="1"/>
  <c r="I484" i="1"/>
  <c r="K483" i="1"/>
  <c r="K484" i="1" l="1"/>
  <c r="I485" i="1"/>
  <c r="J484" i="1"/>
  <c r="J485" i="1" l="1"/>
  <c r="I486" i="1"/>
  <c r="K485" i="1"/>
  <c r="J486" i="1" l="1"/>
  <c r="K486" i="1"/>
  <c r="I487" i="1"/>
  <c r="K487" i="1" l="1"/>
  <c r="I488" i="1"/>
  <c r="J487" i="1"/>
  <c r="K488" i="1" l="1"/>
  <c r="I489" i="1"/>
  <c r="J488" i="1"/>
  <c r="I490" i="1" l="1"/>
  <c r="J489" i="1"/>
  <c r="K489" i="1"/>
  <c r="K490" i="1" l="1"/>
  <c r="I491" i="1"/>
  <c r="J490" i="1"/>
  <c r="K491" i="1" l="1"/>
  <c r="I492" i="1"/>
  <c r="J491" i="1"/>
  <c r="K492" i="1" l="1"/>
  <c r="J492" i="1"/>
  <c r="I493" i="1"/>
  <c r="K493" i="1" l="1"/>
  <c r="I494" i="1"/>
  <c r="J493" i="1"/>
  <c r="J494" i="1" l="1"/>
  <c r="I495" i="1"/>
  <c r="K494" i="1"/>
  <c r="J495" i="1" l="1"/>
  <c r="K495" i="1"/>
  <c r="I496" i="1"/>
  <c r="J496" i="1" l="1"/>
  <c r="I497" i="1"/>
  <c r="K496" i="1"/>
  <c r="I498" i="1" l="1"/>
  <c r="K497" i="1"/>
  <c r="J497" i="1"/>
  <c r="J498" i="1" l="1"/>
  <c r="I499" i="1"/>
  <c r="K498" i="1"/>
  <c r="I500" i="1" l="1"/>
  <c r="J499" i="1"/>
  <c r="K499" i="1"/>
  <c r="K500" i="1" l="1"/>
  <c r="I501" i="1"/>
  <c r="J500" i="1"/>
  <c r="J501" i="1" l="1"/>
  <c r="I502" i="1"/>
  <c r="K501" i="1"/>
  <c r="J502" i="1" l="1"/>
  <c r="K502" i="1"/>
  <c r="I503" i="1"/>
  <c r="I504" i="1" l="1"/>
  <c r="K503" i="1"/>
  <c r="J503" i="1"/>
  <c r="J504" i="1" l="1"/>
  <c r="I505" i="1"/>
  <c r="K504" i="1"/>
  <c r="K505" i="1" l="1"/>
  <c r="I506" i="1"/>
  <c r="J505" i="1"/>
  <c r="K506" i="1" l="1"/>
  <c r="I507" i="1"/>
  <c r="J506" i="1"/>
  <c r="K507" i="1" l="1"/>
  <c r="J507" i="1"/>
  <c r="I508" i="1"/>
  <c r="J508" i="1" l="1"/>
  <c r="I509" i="1"/>
  <c r="K508" i="1"/>
  <c r="J509" i="1" l="1"/>
  <c r="I510" i="1"/>
  <c r="K509" i="1"/>
  <c r="I511" i="1" l="1"/>
  <c r="K510" i="1"/>
  <c r="J510" i="1"/>
  <c r="J511" i="1" l="1"/>
  <c r="I512" i="1"/>
  <c r="K511" i="1"/>
  <c r="I513" i="1" l="1"/>
  <c r="J512" i="1"/>
  <c r="K512" i="1"/>
  <c r="K513" i="1" l="1"/>
  <c r="J513" i="1"/>
  <c r="I514" i="1"/>
  <c r="J514" i="1" l="1"/>
  <c r="K514" i="1"/>
  <c r="I515" i="1"/>
  <c r="J515" i="1" l="1"/>
  <c r="I516" i="1"/>
  <c r="K515" i="1"/>
  <c r="J516" i="1" l="1"/>
  <c r="K516" i="1"/>
  <c r="I517" i="1"/>
  <c r="J517" i="1" l="1"/>
  <c r="K517" i="1"/>
  <c r="I518" i="1"/>
  <c r="I519" i="1" l="1"/>
  <c r="K518" i="1"/>
  <c r="J518" i="1"/>
  <c r="J519" i="1" l="1"/>
  <c r="I520" i="1"/>
  <c r="K519" i="1"/>
  <c r="I521" i="1" l="1"/>
  <c r="J520" i="1"/>
  <c r="K520" i="1"/>
  <c r="K521" i="1" l="1"/>
  <c r="I522" i="1"/>
  <c r="J521" i="1"/>
  <c r="J522" i="1" l="1"/>
  <c r="I523" i="1"/>
  <c r="K522" i="1"/>
  <c r="I524" i="1" l="1"/>
  <c r="J523" i="1"/>
  <c r="K523" i="1"/>
  <c r="J524" i="1" l="1"/>
  <c r="I525" i="1"/>
  <c r="K524" i="1"/>
  <c r="K525" i="1" l="1"/>
  <c r="I526" i="1"/>
  <c r="J525" i="1"/>
  <c r="I527" i="1" l="1"/>
  <c r="K526" i="1"/>
  <c r="J526" i="1"/>
  <c r="K527" i="1" l="1"/>
  <c r="J527" i="1"/>
  <c r="I528" i="1"/>
  <c r="J528" i="1" l="1"/>
  <c r="I529" i="1"/>
  <c r="K528" i="1"/>
  <c r="I530" i="1" l="1"/>
  <c r="J529" i="1"/>
  <c r="K529" i="1"/>
  <c r="I531" i="1" l="1"/>
  <c r="K530" i="1"/>
  <c r="J530" i="1"/>
  <c r="J531" i="1" l="1"/>
  <c r="I532" i="1"/>
  <c r="K531" i="1"/>
  <c r="K532" i="1" l="1"/>
  <c r="I533" i="1"/>
  <c r="J532" i="1"/>
  <c r="J533" i="1" l="1"/>
  <c r="I534" i="1"/>
  <c r="K533" i="1"/>
  <c r="J534" i="1" l="1"/>
  <c r="K534" i="1"/>
  <c r="I535" i="1"/>
  <c r="J535" i="1" l="1"/>
  <c r="I536" i="1"/>
  <c r="K535" i="1"/>
  <c r="K536" i="1" l="1"/>
  <c r="I537" i="1"/>
  <c r="J536" i="1"/>
  <c r="J537" i="1" l="1"/>
  <c r="K537" i="1"/>
  <c r="I538" i="1"/>
  <c r="J538" i="1" l="1"/>
  <c r="K538" i="1"/>
  <c r="I539" i="1"/>
  <c r="J539" i="1" l="1"/>
  <c r="K539" i="1"/>
  <c r="I540" i="1"/>
  <c r="J540" i="1" l="1"/>
  <c r="I541" i="1"/>
  <c r="K540" i="1"/>
  <c r="K541" i="1" l="1"/>
  <c r="I542" i="1"/>
  <c r="J541" i="1"/>
  <c r="I543" i="1" l="1"/>
  <c r="K542" i="1"/>
  <c r="J542" i="1"/>
  <c r="K543" i="1" l="1"/>
  <c r="I544" i="1"/>
  <c r="J543" i="1"/>
  <c r="K544" i="1" l="1"/>
  <c r="I545" i="1"/>
  <c r="J544" i="1"/>
  <c r="K545" i="1" l="1"/>
  <c r="J545" i="1"/>
  <c r="I546" i="1"/>
  <c r="J546" i="1" l="1"/>
  <c r="K546" i="1"/>
  <c r="I547" i="1"/>
  <c r="J547" i="1" l="1"/>
  <c r="K547" i="1"/>
  <c r="I548" i="1"/>
  <c r="K548" i="1" l="1"/>
  <c r="J548" i="1"/>
  <c r="I549" i="1"/>
  <c r="J549" i="1" l="1"/>
  <c r="I550" i="1"/>
  <c r="K549" i="1"/>
  <c r="K550" i="1" l="1"/>
  <c r="J550" i="1"/>
  <c r="I551" i="1"/>
  <c r="K551" i="1" l="1"/>
  <c r="I552" i="1"/>
  <c r="J551" i="1"/>
  <c r="J552" i="1" l="1"/>
  <c r="K552" i="1"/>
  <c r="I553" i="1"/>
  <c r="J553" i="1" l="1"/>
  <c r="I554" i="1"/>
  <c r="K553" i="1"/>
  <c r="J554" i="1" l="1"/>
  <c r="I555" i="1"/>
  <c r="K554" i="1"/>
  <c r="I556" i="1" l="1"/>
  <c r="K555" i="1"/>
  <c r="J555" i="1"/>
  <c r="I557" i="1" l="1"/>
  <c r="J556" i="1"/>
  <c r="K556" i="1"/>
  <c r="J557" i="1" l="1"/>
  <c r="K557" i="1"/>
  <c r="I558" i="1"/>
  <c r="I559" i="1" l="1"/>
  <c r="K558" i="1"/>
  <c r="J558" i="1"/>
  <c r="K559" i="1" l="1"/>
  <c r="I560" i="1"/>
  <c r="J559" i="1"/>
  <c r="K560" i="1" l="1"/>
  <c r="I561" i="1"/>
  <c r="J560" i="1"/>
  <c r="J561" i="1" l="1"/>
  <c r="I562" i="1"/>
  <c r="K561" i="1"/>
  <c r="J562" i="1" l="1"/>
  <c r="I563" i="1"/>
  <c r="K562" i="1"/>
  <c r="K563" i="1" l="1"/>
  <c r="I564" i="1"/>
  <c r="J563" i="1"/>
  <c r="J564" i="1" l="1"/>
  <c r="K564" i="1"/>
  <c r="I565" i="1"/>
  <c r="J565" i="1" l="1"/>
  <c r="K565" i="1"/>
  <c r="I566" i="1"/>
  <c r="K566" i="1" l="1"/>
  <c r="I567" i="1"/>
  <c r="J566" i="1"/>
  <c r="I568" i="1" l="1"/>
  <c r="K567" i="1"/>
  <c r="J567" i="1"/>
  <c r="J568" i="1" l="1"/>
  <c r="I569" i="1"/>
  <c r="K568" i="1"/>
  <c r="K569" i="1" l="1"/>
  <c r="J569" i="1"/>
  <c r="I570" i="1"/>
  <c r="K570" i="1" l="1"/>
  <c r="J570" i="1"/>
  <c r="I571" i="1"/>
  <c r="K571" i="1" l="1"/>
  <c r="I572" i="1"/>
  <c r="J571" i="1"/>
  <c r="K572" i="1" l="1"/>
  <c r="I573" i="1"/>
  <c r="J572" i="1"/>
  <c r="J573" i="1" l="1"/>
  <c r="I574" i="1"/>
  <c r="K573" i="1"/>
  <c r="J574" i="1" l="1"/>
  <c r="K574" i="1"/>
  <c r="I575" i="1"/>
  <c r="J575" i="1" l="1"/>
  <c r="K575" i="1"/>
  <c r="I576" i="1"/>
  <c r="J576" i="1" l="1"/>
  <c r="K576" i="1"/>
  <c r="I577" i="1"/>
  <c r="K577" i="1" l="1"/>
  <c r="I578" i="1"/>
  <c r="J577" i="1"/>
  <c r="K578" i="1" l="1"/>
  <c r="I579" i="1"/>
  <c r="J578" i="1"/>
  <c r="K579" i="1" l="1"/>
  <c r="I580" i="1"/>
  <c r="J579" i="1"/>
  <c r="K580" i="1" l="1"/>
  <c r="I581" i="1"/>
  <c r="J580" i="1"/>
  <c r="K581" i="1" l="1"/>
  <c r="I582" i="1"/>
  <c r="J581" i="1"/>
  <c r="J582" i="1" l="1"/>
  <c r="I583" i="1"/>
  <c r="K582" i="1"/>
  <c r="I584" i="1" l="1"/>
  <c r="J583" i="1"/>
  <c r="K583" i="1"/>
  <c r="J584" i="1" l="1"/>
  <c r="I585" i="1"/>
  <c r="K584" i="1"/>
  <c r="K585" i="1" l="1"/>
  <c r="J585" i="1"/>
  <c r="I586" i="1"/>
  <c r="J586" i="1" l="1"/>
  <c r="K586" i="1"/>
  <c r="I587" i="1"/>
  <c r="J587" i="1" l="1"/>
  <c r="I588" i="1"/>
  <c r="K587" i="1"/>
  <c r="J588" i="1" l="1"/>
  <c r="K588" i="1"/>
  <c r="I589" i="1"/>
  <c r="J589" i="1" l="1"/>
  <c r="I590" i="1"/>
  <c r="K589" i="1"/>
  <c r="I591" i="1" l="1"/>
  <c r="J590" i="1"/>
  <c r="K590" i="1"/>
  <c r="I592" i="1" l="1"/>
  <c r="K591" i="1"/>
  <c r="J591" i="1"/>
  <c r="J592" i="1" l="1"/>
  <c r="I593" i="1"/>
  <c r="K592" i="1"/>
  <c r="I594" i="1" l="1"/>
  <c r="J593" i="1"/>
  <c r="K593" i="1"/>
  <c r="J594" i="1" l="1"/>
  <c r="K594" i="1"/>
  <c r="I595" i="1"/>
  <c r="J595" i="1" l="1"/>
  <c r="K595" i="1"/>
  <c r="I596" i="1"/>
  <c r="J596" i="1" l="1"/>
  <c r="I597" i="1"/>
  <c r="K596" i="1"/>
  <c r="I598" i="1" l="1"/>
  <c r="J597" i="1"/>
  <c r="K597" i="1"/>
  <c r="I599" i="1" l="1"/>
  <c r="K598" i="1"/>
  <c r="J598" i="1"/>
  <c r="K599" i="1" l="1"/>
  <c r="J599" i="1"/>
  <c r="I600" i="1"/>
  <c r="J600" i="1" l="1"/>
  <c r="I601" i="1"/>
  <c r="K600" i="1"/>
  <c r="K601" i="1" l="1"/>
  <c r="J601" i="1"/>
  <c r="I602" i="1"/>
  <c r="I603" i="1" l="1"/>
  <c r="J602" i="1"/>
  <c r="K602" i="1"/>
  <c r="J603" i="1" l="1"/>
  <c r="I604" i="1"/>
  <c r="K603" i="1"/>
  <c r="J604" i="1" l="1"/>
  <c r="I605" i="1"/>
  <c r="K604" i="1"/>
  <c r="I606" i="1" l="1"/>
  <c r="K605" i="1"/>
  <c r="J605" i="1"/>
  <c r="K606" i="1" l="1"/>
  <c r="J606" i="1"/>
  <c r="I607" i="1"/>
  <c r="I608" i="1" l="1"/>
  <c r="K607" i="1"/>
  <c r="J607" i="1"/>
  <c r="J608" i="1" l="1"/>
  <c r="I609" i="1"/>
  <c r="K608" i="1"/>
  <c r="K609" i="1" l="1"/>
  <c r="I610" i="1"/>
  <c r="J609" i="1"/>
  <c r="I611" i="1" l="1"/>
  <c r="J610" i="1"/>
  <c r="K610" i="1"/>
  <c r="J611" i="1" l="1"/>
  <c r="I612" i="1"/>
  <c r="K611" i="1"/>
  <c r="J612" i="1" l="1"/>
  <c r="I613" i="1"/>
  <c r="K612" i="1"/>
  <c r="I614" i="1" l="1"/>
  <c r="J613" i="1"/>
  <c r="K613" i="1"/>
  <c r="I615" i="1" l="1"/>
  <c r="J614" i="1"/>
  <c r="K614" i="1"/>
  <c r="I616" i="1" l="1"/>
  <c r="K615" i="1"/>
  <c r="J615" i="1"/>
  <c r="K616" i="1" l="1"/>
  <c r="I617" i="1"/>
  <c r="J616" i="1"/>
  <c r="K617" i="1" l="1"/>
  <c r="J617" i="1"/>
  <c r="I618" i="1"/>
  <c r="I619" i="1" l="1"/>
  <c r="J618" i="1"/>
  <c r="K618" i="1"/>
  <c r="J619" i="1" l="1"/>
  <c r="I620" i="1"/>
  <c r="K619" i="1"/>
  <c r="J620" i="1" l="1"/>
  <c r="I621" i="1"/>
  <c r="K620" i="1"/>
  <c r="K621" i="1" l="1"/>
  <c r="I622" i="1"/>
  <c r="J621" i="1"/>
  <c r="J622" i="1" l="1"/>
  <c r="K622" i="1"/>
  <c r="I623" i="1"/>
  <c r="I624" i="1" l="1"/>
  <c r="J623" i="1"/>
  <c r="K623" i="1"/>
  <c r="J624" i="1" l="1"/>
  <c r="K624" i="1"/>
  <c r="I625" i="1"/>
  <c r="K625" i="1" l="1"/>
  <c r="I626" i="1"/>
  <c r="J625" i="1"/>
  <c r="K626" i="1" l="1"/>
  <c r="J626" i="1"/>
  <c r="I627" i="1"/>
  <c r="J627" i="1" l="1"/>
  <c r="I628" i="1"/>
  <c r="K627" i="1"/>
  <c r="J628" i="1" l="1"/>
  <c r="K628" i="1"/>
  <c r="I629" i="1"/>
  <c r="J629" i="1" l="1"/>
  <c r="I630" i="1"/>
  <c r="K629" i="1"/>
  <c r="I631" i="1" l="1"/>
  <c r="J630" i="1"/>
  <c r="K630" i="1"/>
  <c r="I632" i="1" l="1"/>
  <c r="K631" i="1"/>
  <c r="J631" i="1"/>
  <c r="J632" i="1" l="1"/>
  <c r="K632" i="1"/>
  <c r="I633" i="1"/>
  <c r="K633" i="1" l="1"/>
  <c r="I634" i="1"/>
  <c r="J633" i="1"/>
  <c r="K634" i="1" l="1"/>
  <c r="J634" i="1"/>
  <c r="I635" i="1"/>
  <c r="K635" i="1" l="1"/>
  <c r="J635" i="1"/>
  <c r="I636" i="1"/>
  <c r="K636" i="1" l="1"/>
  <c r="I637" i="1"/>
  <c r="J636" i="1"/>
  <c r="J637" i="1" l="1"/>
  <c r="I638" i="1"/>
  <c r="K637" i="1"/>
  <c r="I639" i="1" l="1"/>
  <c r="K638" i="1"/>
  <c r="J638" i="1"/>
  <c r="I640" i="1" l="1"/>
  <c r="J639" i="1"/>
  <c r="K639" i="1"/>
  <c r="J640" i="1" l="1"/>
  <c r="K640" i="1"/>
  <c r="I641" i="1"/>
  <c r="K641" i="1" l="1"/>
  <c r="J641" i="1"/>
  <c r="I642" i="1"/>
  <c r="I643" i="1" l="1"/>
  <c r="K642" i="1"/>
  <c r="J642" i="1"/>
  <c r="J643" i="1" l="1"/>
  <c r="I644" i="1"/>
  <c r="K643" i="1"/>
  <c r="J644" i="1" l="1"/>
  <c r="I645" i="1"/>
  <c r="K644" i="1"/>
  <c r="J645" i="1" l="1"/>
  <c r="I646" i="1"/>
  <c r="K645" i="1"/>
  <c r="I647" i="1" l="1"/>
  <c r="J646" i="1"/>
  <c r="K646" i="1"/>
  <c r="I648" i="1" l="1"/>
  <c r="K647" i="1"/>
  <c r="J647" i="1"/>
  <c r="J648" i="1" l="1"/>
  <c r="I649" i="1"/>
  <c r="K648" i="1"/>
  <c r="K649" i="1" l="1"/>
  <c r="J649" i="1"/>
  <c r="I650" i="1"/>
  <c r="K650" i="1" l="1"/>
  <c r="J650" i="1"/>
  <c r="I651" i="1"/>
  <c r="J651" i="1" l="1"/>
  <c r="I652" i="1"/>
  <c r="K651" i="1"/>
  <c r="J652" i="1" l="1"/>
  <c r="K652" i="1"/>
  <c r="I653" i="1"/>
  <c r="J653" i="1" l="1"/>
  <c r="I654" i="1"/>
  <c r="K653" i="1"/>
  <c r="J654" i="1" l="1"/>
  <c r="K654" i="1"/>
  <c r="I655" i="1"/>
  <c r="J655" i="1" l="1"/>
  <c r="I656" i="1"/>
  <c r="K655" i="1"/>
  <c r="J656" i="1" l="1"/>
  <c r="K656" i="1"/>
  <c r="I657" i="1"/>
  <c r="K657" i="1" l="1"/>
  <c r="I658" i="1"/>
  <c r="J657" i="1"/>
  <c r="K658" i="1" l="1"/>
  <c r="J658" i="1"/>
  <c r="I659" i="1"/>
  <c r="K659" i="1" l="1"/>
  <c r="I660" i="1"/>
  <c r="J659" i="1"/>
  <c r="J660" i="1" l="1"/>
  <c r="K660" i="1"/>
  <c r="I661" i="1"/>
  <c r="J661" i="1" l="1"/>
  <c r="I662" i="1"/>
  <c r="K661" i="1"/>
  <c r="I663" i="1" l="1"/>
  <c r="J662" i="1"/>
  <c r="K662" i="1"/>
  <c r="I664" i="1" l="1"/>
  <c r="J663" i="1"/>
  <c r="K663" i="1"/>
  <c r="J664" i="1" l="1"/>
  <c r="K664" i="1"/>
  <c r="I665" i="1"/>
  <c r="K665" i="1" l="1"/>
  <c r="I666" i="1"/>
  <c r="J665" i="1"/>
  <c r="K666" i="1" l="1"/>
  <c r="J666" i="1"/>
  <c r="I667" i="1"/>
  <c r="J667" i="1" l="1"/>
  <c r="K667" i="1"/>
  <c r="I668" i="1"/>
  <c r="J668" i="1" l="1"/>
  <c r="I669" i="1"/>
  <c r="K668" i="1"/>
  <c r="J669" i="1" l="1"/>
  <c r="I670" i="1"/>
  <c r="K669" i="1"/>
  <c r="I671" i="1" l="1"/>
  <c r="K670" i="1"/>
  <c r="J670" i="1"/>
  <c r="K671" i="1" l="1"/>
  <c r="I672" i="1"/>
  <c r="J671" i="1"/>
  <c r="J672" i="1" l="1"/>
  <c r="I673" i="1"/>
  <c r="K672" i="1"/>
  <c r="J673" i="1" l="1"/>
  <c r="I674" i="1"/>
  <c r="K673" i="1"/>
  <c r="K674" i="1" l="1"/>
  <c r="I675" i="1"/>
  <c r="J674" i="1"/>
  <c r="K675" i="1" l="1"/>
  <c r="I676" i="1"/>
  <c r="J675" i="1"/>
  <c r="I677" i="1" l="1"/>
  <c r="K676" i="1"/>
  <c r="J676" i="1"/>
  <c r="J677" i="1" l="1"/>
  <c r="K677" i="1"/>
  <c r="I678" i="1"/>
  <c r="I679" i="1" l="1"/>
  <c r="K678" i="1"/>
  <c r="J678" i="1"/>
  <c r="I680" i="1" l="1"/>
  <c r="K679" i="1"/>
  <c r="J679" i="1"/>
  <c r="I681" i="1" l="1"/>
  <c r="K680" i="1"/>
  <c r="J680" i="1"/>
  <c r="I682" i="1" l="1"/>
  <c r="J681" i="1"/>
  <c r="K681" i="1"/>
  <c r="K682" i="1" l="1"/>
  <c r="J682" i="1"/>
  <c r="I683" i="1"/>
  <c r="I684" i="1" l="1"/>
  <c r="K683" i="1"/>
  <c r="J683" i="1"/>
  <c r="J684" i="1" l="1"/>
  <c r="K684" i="1"/>
  <c r="I685" i="1"/>
  <c r="I686" i="1" l="1"/>
  <c r="K685" i="1"/>
  <c r="J685" i="1"/>
  <c r="J686" i="1" l="1"/>
  <c r="I687" i="1"/>
  <c r="K686" i="1"/>
  <c r="J687" i="1" l="1"/>
  <c r="K687" i="1"/>
  <c r="I688" i="1"/>
  <c r="K688" i="1" l="1"/>
  <c r="J688" i="1"/>
  <c r="I689" i="1"/>
  <c r="I690" i="1" l="1"/>
  <c r="J689" i="1"/>
  <c r="K689" i="1"/>
  <c r="K690" i="1" l="1"/>
  <c r="I691" i="1"/>
  <c r="J690" i="1"/>
  <c r="J691" i="1" l="1"/>
  <c r="K691" i="1"/>
  <c r="I692" i="1"/>
  <c r="J692" i="1" l="1"/>
  <c r="K692" i="1"/>
  <c r="I693" i="1"/>
  <c r="J693" i="1" l="1"/>
  <c r="K693" i="1"/>
  <c r="I694" i="1"/>
  <c r="J694" i="1" l="1"/>
  <c r="K694" i="1"/>
  <c r="I695" i="1"/>
  <c r="I696" i="1" l="1"/>
  <c r="K695" i="1"/>
  <c r="J695" i="1"/>
  <c r="K696" i="1" l="1"/>
  <c r="J696" i="1"/>
  <c r="I697" i="1"/>
  <c r="J697" i="1" l="1"/>
  <c r="I698" i="1"/>
  <c r="K697" i="1"/>
  <c r="K698" i="1" l="1"/>
  <c r="I699" i="1"/>
  <c r="J698" i="1"/>
  <c r="J699" i="1" l="1"/>
  <c r="I700" i="1"/>
  <c r="K699" i="1"/>
  <c r="K700" i="1" l="1"/>
  <c r="I701" i="1"/>
  <c r="J700" i="1"/>
  <c r="J701" i="1" l="1"/>
  <c r="K701" i="1"/>
  <c r="I702" i="1"/>
  <c r="I703" i="1" l="1"/>
  <c r="K702" i="1"/>
  <c r="J702" i="1"/>
  <c r="K703" i="1" l="1"/>
  <c r="I704" i="1"/>
  <c r="J703" i="1"/>
  <c r="I705" i="1" l="1"/>
  <c r="K704" i="1"/>
  <c r="J704" i="1"/>
  <c r="I706" i="1" l="1"/>
  <c r="J705" i="1"/>
  <c r="K705" i="1"/>
  <c r="K706" i="1" l="1"/>
  <c r="J706" i="1"/>
  <c r="I707" i="1"/>
  <c r="I708" i="1" l="1"/>
  <c r="K707" i="1"/>
  <c r="J707" i="1"/>
  <c r="J708" i="1" l="1"/>
  <c r="K708" i="1"/>
  <c r="I709" i="1"/>
  <c r="J709" i="1" l="1"/>
  <c r="K709" i="1"/>
  <c r="I710" i="1"/>
  <c r="K710" i="1" l="1"/>
  <c r="I711" i="1"/>
  <c r="J710" i="1"/>
  <c r="I712" i="1" l="1"/>
  <c r="J711" i="1"/>
  <c r="K711" i="1"/>
  <c r="I713" i="1" l="1"/>
  <c r="K712" i="1"/>
  <c r="J712" i="1"/>
  <c r="I714" i="1" l="1"/>
  <c r="K713" i="1"/>
  <c r="J713" i="1"/>
  <c r="K714" i="1" l="1"/>
  <c r="I715" i="1"/>
  <c r="J714" i="1"/>
  <c r="K715" i="1" l="1"/>
  <c r="J715" i="1"/>
  <c r="I716" i="1"/>
  <c r="I717" i="1" l="1"/>
  <c r="K716" i="1"/>
  <c r="J716" i="1"/>
  <c r="I718" i="1" l="1"/>
  <c r="K717" i="1"/>
  <c r="J717" i="1"/>
  <c r="K718" i="1" l="1"/>
  <c r="J718" i="1"/>
  <c r="I719" i="1"/>
  <c r="I720" i="1" l="1"/>
  <c r="K719" i="1"/>
  <c r="J719" i="1"/>
  <c r="I721" i="1" l="1"/>
  <c r="K720" i="1"/>
  <c r="J720" i="1"/>
  <c r="K721" i="1" l="1"/>
  <c r="J721" i="1"/>
  <c r="I722" i="1"/>
  <c r="J722" i="1" l="1"/>
  <c r="I723" i="1"/>
  <c r="K722" i="1"/>
  <c r="I724" i="1" l="1"/>
  <c r="J723" i="1"/>
  <c r="K723" i="1"/>
  <c r="K724" i="1" l="1"/>
  <c r="I725" i="1"/>
  <c r="J724" i="1"/>
  <c r="J725" i="1" l="1"/>
  <c r="I726" i="1"/>
  <c r="K725" i="1"/>
  <c r="I727" i="1" l="1"/>
  <c r="J726" i="1"/>
  <c r="K726" i="1"/>
  <c r="I728" i="1" l="1"/>
  <c r="J727" i="1"/>
  <c r="K727" i="1"/>
  <c r="J728" i="1" l="1"/>
  <c r="I729" i="1"/>
  <c r="K728" i="1"/>
  <c r="I730" i="1" l="1"/>
  <c r="J729" i="1"/>
  <c r="K729" i="1"/>
  <c r="K730" i="1" l="1"/>
  <c r="J730" i="1"/>
  <c r="I731" i="1"/>
  <c r="J731" i="1" l="1"/>
  <c r="I732" i="1"/>
  <c r="K731" i="1"/>
  <c r="I733" i="1" l="1"/>
  <c r="J732" i="1"/>
  <c r="K732" i="1"/>
  <c r="J733" i="1" l="1"/>
  <c r="I734" i="1"/>
  <c r="K733" i="1"/>
  <c r="J734" i="1" l="1"/>
  <c r="I735" i="1"/>
  <c r="K734" i="1"/>
  <c r="J735" i="1" l="1"/>
  <c r="I736" i="1"/>
  <c r="K735" i="1"/>
  <c r="J736" i="1" l="1"/>
  <c r="I737" i="1"/>
  <c r="K736" i="1"/>
  <c r="J737" i="1" l="1"/>
  <c r="K737" i="1"/>
  <c r="I738" i="1"/>
  <c r="J738" i="1" l="1"/>
  <c r="K738" i="1"/>
  <c r="I739" i="1"/>
  <c r="J739" i="1" l="1"/>
  <c r="I740" i="1"/>
  <c r="K739" i="1"/>
  <c r="I741" i="1" l="1"/>
  <c r="K740" i="1"/>
  <c r="J740" i="1"/>
  <c r="J741" i="1" l="1"/>
  <c r="I742" i="1"/>
  <c r="K741" i="1"/>
  <c r="K742" i="1" l="1"/>
  <c r="J742" i="1"/>
  <c r="I743" i="1"/>
  <c r="K743" i="1" l="1"/>
  <c r="J743" i="1"/>
  <c r="I744" i="1"/>
  <c r="J744" i="1" l="1"/>
  <c r="I745" i="1"/>
  <c r="K744" i="1"/>
  <c r="J745" i="1" l="1"/>
  <c r="I746" i="1"/>
  <c r="K745" i="1"/>
  <c r="J746" i="1" l="1"/>
  <c r="I747" i="1"/>
  <c r="K746" i="1"/>
  <c r="J747" i="1" l="1"/>
  <c r="K747" i="1"/>
  <c r="I748" i="1"/>
  <c r="I749" i="1" l="1"/>
  <c r="J748" i="1"/>
  <c r="K748" i="1"/>
  <c r="I750" i="1" l="1"/>
  <c r="J749" i="1"/>
  <c r="K749" i="1"/>
  <c r="J750" i="1" l="1"/>
  <c r="K750" i="1"/>
  <c r="I751" i="1"/>
  <c r="K751" i="1" l="1"/>
  <c r="J751" i="1"/>
  <c r="I752" i="1"/>
  <c r="K752" i="1" l="1"/>
  <c r="J752" i="1"/>
  <c r="I753" i="1"/>
  <c r="K753" i="1" l="1"/>
  <c r="I754" i="1"/>
  <c r="J753" i="1"/>
  <c r="K754" i="1" l="1"/>
  <c r="J754" i="1"/>
  <c r="I755" i="1"/>
  <c r="K755" i="1" l="1"/>
  <c r="I756" i="1"/>
  <c r="J755" i="1"/>
  <c r="J756" i="1" l="1"/>
  <c r="K756" i="1"/>
  <c r="I757" i="1"/>
  <c r="I758" i="1" s="1"/>
  <c r="J758" i="1" l="1"/>
  <c r="K758" i="1"/>
  <c r="J757" i="1"/>
  <c r="K757" i="1"/>
  <c r="I759" i="1" l="1"/>
  <c r="K759" i="1" l="1"/>
  <c r="J759" i="1"/>
  <c r="I760" i="1"/>
  <c r="K760" i="1" l="1"/>
  <c r="I761" i="1"/>
  <c r="J760" i="1"/>
  <c r="I762" i="1" l="1"/>
  <c r="J761" i="1"/>
  <c r="K761" i="1"/>
  <c r="J762" i="1" l="1"/>
  <c r="I763" i="1"/>
  <c r="K762" i="1"/>
  <c r="I764" i="1" l="1"/>
  <c r="J763" i="1"/>
  <c r="I765" i="1" l="1"/>
  <c r="J764" i="1"/>
  <c r="I766" i="1" l="1"/>
  <c r="J765" i="1"/>
  <c r="I767" i="1" l="1"/>
  <c r="J766" i="1"/>
  <c r="I768" i="1" l="1"/>
  <c r="J768" i="1" s="1"/>
  <c r="J7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Das, Himangshu</author>
  </authors>
  <commentList>
    <comment ref="M12" authorId="0" shapeId="0" xr:uid="{00000000-0006-0000-0000-000001000000}">
      <text>
        <r>
          <rPr>
            <sz val="9"/>
            <color indexed="81"/>
            <rFont val="Tahoma"/>
            <family val="2"/>
          </rPr>
          <t>Automaticall takes from Tally</t>
        </r>
      </text>
    </comment>
  </commentList>
</comments>
</file>

<file path=xl/sharedStrings.xml><?xml version="1.0" encoding="utf-8"?>
<sst xmlns="http://schemas.openxmlformats.org/spreadsheetml/2006/main" count="2481" uniqueCount="657">
  <si>
    <t>Tension:</t>
  </si>
  <si>
    <t>Well:</t>
  </si>
  <si>
    <t>Date:</t>
  </si>
  <si>
    <t>Burst:</t>
  </si>
  <si>
    <t>Rig:</t>
  </si>
  <si>
    <t>Collapse:</t>
  </si>
  <si>
    <t>Liner Run #:</t>
  </si>
  <si>
    <t>Casing Size:</t>
  </si>
  <si>
    <t>Block Weight:</t>
  </si>
  <si>
    <t>Shoe Depth:</t>
  </si>
  <si>
    <t>Weight:</t>
  </si>
  <si>
    <t>Mud Weight:</t>
  </si>
  <si>
    <t>Total Depth:</t>
  </si>
  <si>
    <t>Grade:</t>
  </si>
  <si>
    <t>BF:</t>
  </si>
  <si>
    <t>Rat Hole:</t>
  </si>
  <si>
    <t>Make Up Loss:</t>
  </si>
  <si>
    <t>Drift:</t>
  </si>
  <si>
    <t>CENTRALIZERS</t>
  </si>
  <si>
    <t>JOINT</t>
  </si>
  <si>
    <t>EFFECTIVE</t>
  </si>
  <si>
    <t>TOTAL</t>
  </si>
  <si>
    <t>DEPTH OF</t>
  </si>
  <si>
    <t xml:space="preserve">EST STRG </t>
  </si>
  <si>
    <t>No.</t>
  </si>
  <si>
    <t>Type</t>
  </si>
  <si>
    <t>NUM.</t>
  </si>
  <si>
    <t>LENGTH</t>
  </si>
  <si>
    <t>IN/OUT</t>
  </si>
  <si>
    <t>TOP OF JT</t>
  </si>
  <si>
    <t>WEIGHT</t>
  </si>
  <si>
    <t xml:space="preserve">        COMMENTS</t>
  </si>
  <si>
    <t>IN</t>
  </si>
  <si>
    <t>Shoe Joint</t>
  </si>
  <si>
    <t>Bow Spring</t>
  </si>
  <si>
    <t>OUT</t>
  </si>
  <si>
    <t>Mid Packer</t>
  </si>
  <si>
    <t>Mid Packer Slips</t>
  </si>
  <si>
    <t>Mid Hanger Slips</t>
  </si>
  <si>
    <t>VOLUME</t>
  </si>
  <si>
    <t>Capacity Factor</t>
  </si>
  <si>
    <t>STKS</t>
  </si>
  <si>
    <t>TOTAL DISPLACEMENT</t>
  </si>
  <si>
    <t>Total Centralizers:</t>
  </si>
  <si>
    <t>-</t>
  </si>
  <si>
    <t>VOLUME (bbls)</t>
  </si>
  <si>
    <t xml:space="preserve">Float Collar - DV </t>
  </si>
  <si>
    <t xml:space="preserve">Float Shoe, DV Eccentric </t>
  </si>
  <si>
    <t>LFC Landing Collar</t>
  </si>
  <si>
    <t>9-5/8" CASING COLLARS @</t>
  </si>
  <si>
    <t>9-5/8" Shoe:</t>
  </si>
  <si>
    <t>Top of 7" Liner:</t>
  </si>
  <si>
    <t>Red - X Bow Spring</t>
  </si>
  <si>
    <t>7" 29# - LFC to LC VOLUME (Bbls):</t>
  </si>
  <si>
    <t>7" 29# - SHOE TRACK VOLUME (Bbls):</t>
  </si>
  <si>
    <t>TOTAL CEMENT HEAD LENGTH:</t>
  </si>
  <si>
    <t xml:space="preserve">7" UNIFLEX-PRO Hanger </t>
  </si>
  <si>
    <t xml:space="preserve"> TOTAL STRING VOLUME:</t>
  </si>
  <si>
    <t>Length (ft)</t>
  </si>
  <si>
    <t>ID (in)</t>
  </si>
  <si>
    <t>TOTAL VOLUME TO BUMP THE PLUG:</t>
  </si>
  <si>
    <t>10-3/4" X-Over:</t>
  </si>
  <si>
    <t>HALF SHOE TRACK VOLUME:</t>
  </si>
  <si>
    <t>COMPRESSIBILTY FACTOR:</t>
  </si>
  <si>
    <t xml:space="preserve"> TOTAL VOLUME TO LATCH &amp; SHEAR THE LINER WIPER PLUG:</t>
  </si>
  <si>
    <t>TOTAL DISPLACMENT TO BUMP + 1/2 SHOE TRACK + COMPRESSIBILTY FACTOR:</t>
  </si>
  <si>
    <t>LINER Running Tool:</t>
  </si>
  <si>
    <t>Bottom Collar</t>
  </si>
  <si>
    <t>Top Collar</t>
  </si>
  <si>
    <t>UNIFLEX-Pro CS HANGER PUP JOINT</t>
  </si>
  <si>
    <t>Centralizers Type:</t>
  </si>
  <si>
    <t>8530 Psi</t>
  </si>
  <si>
    <t>6.059 in</t>
  </si>
  <si>
    <t>7" ZXP Tieback PKR</t>
  </si>
  <si>
    <t>5-1/2" DP - DELTA 576</t>
  </si>
  <si>
    <t>11540 Psi</t>
  </si>
  <si>
    <t>+/- 8600 LBS.</t>
  </si>
  <si>
    <t>Pump Output</t>
  </si>
  <si>
    <t>Joint Number</t>
  </si>
  <si>
    <t>Note</t>
  </si>
  <si>
    <t>Items</t>
  </si>
  <si>
    <t xml:space="preserve">Bttm FC Pup Joint </t>
  </si>
  <si>
    <t>Top FC Pup Joint</t>
  </si>
  <si>
    <t>Bttm Pup Joint</t>
  </si>
  <si>
    <t>Top Pup Joint</t>
  </si>
  <si>
    <t>Rig's Crossover</t>
  </si>
  <si>
    <t>PN: H293690016GRG1</t>
  </si>
  <si>
    <t>* 1st ball - 1.500” - Set liner hanger</t>
  </si>
  <si>
    <t xml:space="preserve">Back up Shoe Track Assemblies </t>
  </si>
  <si>
    <t>UNIFLEX-Pro ZXP CS (BTTM OF PBR)</t>
  </si>
  <si>
    <t>DECK</t>
  </si>
  <si>
    <t>West Tucana</t>
  </si>
  <si>
    <t>UNIFLEX-Pro CS PACKER (MID-SLIPS)</t>
  </si>
  <si>
    <t xml:space="preserve">Running Tool Stick Up </t>
  </si>
  <si>
    <t>BAKER HUGHES CROSSOVER</t>
  </si>
  <si>
    <t>Liner Length :</t>
  </si>
  <si>
    <t>Liner Lap :</t>
  </si>
  <si>
    <t>Top Of Liner :</t>
  </si>
  <si>
    <t>RUN</t>
  </si>
  <si>
    <t>DESCRIPTION</t>
  </si>
  <si>
    <t>BAKER HUGHES 7" LINER TALLY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</si>
  <si>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</si>
  <si>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</si>
  <si>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</si>
  <si>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</si>
  <si>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</si>
  <si>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</si>
  <si>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</si>
  <si>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</si>
  <si>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</si>
  <si>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</si>
  <si>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</si>
  <si>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</si>
  <si>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</si>
  <si>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</si>
  <si>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</si>
  <si>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</si>
  <si>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</si>
  <si>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</si>
  <si>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</si>
  <si>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</si>
  <si>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</si>
  <si>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</si>
  <si>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</si>
  <si>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</si>
  <si>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</si>
  <si>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</si>
  <si>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</si>
  <si>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</si>
  <si>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</si>
  <si>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</si>
  <si>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</si>
  <si>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</si>
  <si>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</si>
  <si>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</si>
  <si>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</si>
  <si>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</si>
  <si>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</si>
  <si>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</si>
  <si>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</si>
  <si>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</si>
  <si>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</si>
  <si>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</si>
  <si>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</si>
  <si>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</si>
  <si>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</si>
  <si>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</si>
  <si>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</si>
  <si>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</si>
  <si>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</si>
  <si>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</si>
  <si>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</si>
  <si>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</si>
  <si>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</si>
  <si>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</si>
  <si>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</si>
  <si>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</si>
  <si>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</si>
  <si>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</si>
  <si>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</si>
  <si>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</si>
  <si>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</si>
  <si>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</si>
  <si>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</si>
  <si>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</si>
  <si>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</si>
  <si>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</si>
  <si>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</si>
  <si>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</si>
  <si>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</si>
  <si>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</si>
  <si>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</si>
  <si>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</si>
  <si>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</si>
  <si>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</si>
  <si>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</si>
  <si>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</si>
  <si>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</si>
  <si>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</si>
  <si>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</si>
  <si>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</si>
  <si>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</si>
  <si>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</si>
  <si>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</si>
  <si>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</si>
  <si>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</si>
  <si>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</si>
  <si>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</si>
  <si>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</si>
  <si>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</si>
  <si>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</si>
  <si>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</si>
  <si>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</si>
  <si>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</si>
  <si>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</si>
  <si>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</si>
  <si>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</si>
  <si>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</si>
  <si>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</si>
  <si>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</si>
  <si>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</si>
  <si>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</si>
  <si>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</si>
  <si>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</si>
  <si>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</si>
  <si>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</si>
  <si>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</si>
  <si>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</si>
  <si>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</si>
  <si>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</si>
  <si>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</si>
  <si>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</si>
  <si>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</si>
  <si>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</si>
  <si>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</si>
  <si>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</si>
  <si>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</si>
  <si>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</si>
  <si>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</si>
  <si>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</si>
  <si>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</si>
  <si>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</si>
  <si>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</si>
  <si>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</si>
  <si>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</si>
  <si>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</si>
  <si>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</si>
  <si>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</si>
  <si>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</si>
  <si>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</si>
  <si>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</si>
  <si>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</si>
  <si>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</si>
  <si>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</si>
  <si>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</si>
  <si>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</si>
  <si>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</si>
  <si>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</si>
  <si>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</si>
  <si>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</si>
  <si>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</si>
  <si>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</si>
  <si>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</si>
  <si>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</si>
  <si>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</si>
  <si>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</si>
  <si>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</si>
  <si>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</si>
  <si>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</si>
  <si>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</si>
  <si>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</si>
  <si>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</si>
  <si>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</si>
  <si>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</si>
  <si>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</si>
  <si>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</si>
  <si>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</si>
  <si>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</si>
  <si>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</si>
  <si>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</si>
  <si>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</si>
  <si>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</si>
  <si>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</si>
  <si>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</si>
  <si>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</si>
  <si>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</si>
  <si>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</si>
  <si>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</si>
  <si>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</si>
  <si>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</si>
  <si>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</si>
  <si>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</si>
  <si>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</si>
  <si>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</si>
  <si>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</si>
  <si>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</si>
  <si>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</si>
  <si>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</si>
  <si>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</si>
  <si>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</si>
  <si>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</si>
  <si>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</si>
  <si>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</si>
  <si>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</si>
  <si>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</si>
  <si>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</si>
  <si>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</si>
  <si>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</si>
  <si>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</si>
  <si>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</si>
  <si>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</si>
  <si>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</si>
  <si>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</si>
  <si>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</si>
  <si>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</si>
  <si>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</si>
  <si>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</si>
  <si>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</si>
  <si>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</si>
  <si>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</si>
  <si>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</si>
  <si>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</si>
  <si>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</si>
  <si>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</si>
  <si>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</si>
  <si>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</si>
  <si>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</si>
  <si>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</si>
  <si>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</si>
  <si>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</si>
  <si>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</si>
  <si>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</si>
  <si>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</si>
  <si>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</si>
  <si>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</si>
  <si>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</si>
  <si>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</si>
  <si>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</si>
  <si>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</si>
  <si>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</si>
  <si>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</si>
  <si>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</si>
  <si>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</si>
  <si>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</si>
  <si>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</si>
  <si>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</si>
  <si>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</si>
  <si>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</si>
  <si>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</si>
  <si>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</si>
  <si>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</si>
  <si>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</si>
  <si>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</si>
  <si>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</si>
  <si>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</si>
  <si>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</si>
  <si>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</si>
  <si>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</si>
  <si>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</si>
  <si>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</si>
  <si>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</si>
  <si>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</si>
  <si>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</si>
  <si>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</si>
  <si>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</si>
  <si>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</si>
  <si>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</si>
  <si>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</si>
  <si>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</si>
  <si>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</si>
  <si>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</si>
  <si>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</si>
  <si>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</si>
  <si>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DD1</t>
  </si>
  <si>
    <t>DD2</t>
  </si>
  <si>
    <t>DD3</t>
  </si>
  <si>
    <t>DD4</t>
  </si>
  <si>
    <t>DD5</t>
  </si>
  <si>
    <t>DD6</t>
  </si>
  <si>
    <t>DD7</t>
  </si>
  <si>
    <t>DD8</t>
  </si>
  <si>
    <t>DD9</t>
  </si>
  <si>
    <t>EE1</t>
  </si>
  <si>
    <t>EE2</t>
  </si>
  <si>
    <t>EE3</t>
  </si>
  <si>
    <t>EE4</t>
  </si>
  <si>
    <t>EE5</t>
  </si>
  <si>
    <t>EE6</t>
  </si>
  <si>
    <t>EE7</t>
  </si>
  <si>
    <t>EE8</t>
  </si>
  <si>
    <t>EE9</t>
  </si>
  <si>
    <t>FF1</t>
  </si>
  <si>
    <t>FF2</t>
  </si>
  <si>
    <t>FF3</t>
  </si>
  <si>
    <t>FF4</t>
  </si>
  <si>
    <t>FF5</t>
  </si>
  <si>
    <t>FF6</t>
  </si>
  <si>
    <t>FF7</t>
  </si>
  <si>
    <t>FF8</t>
  </si>
  <si>
    <t>FF9</t>
  </si>
  <si>
    <t>Connection Type 1:</t>
  </si>
  <si>
    <t>Qatar Gas Reps:</t>
  </si>
  <si>
    <t>Baker Hughes Reps:</t>
  </si>
  <si>
    <t>SANICRO 28-110</t>
  </si>
  <si>
    <t>TSH WEGDE 563</t>
  </si>
  <si>
    <r>
      <t xml:space="preserve">UNIFLEX-Pro CS HANGER </t>
    </r>
    <r>
      <rPr>
        <b/>
        <sz val="8.5"/>
        <color theme="0"/>
        <rFont val="Geneva"/>
      </rPr>
      <t>(MID-SLIPS)</t>
    </r>
  </si>
  <si>
    <t>XT-57 Box Up</t>
  </si>
  <si>
    <t>Joint Num.</t>
  </si>
  <si>
    <t>On Cantilever deck</t>
  </si>
  <si>
    <t>Primary Shoe Track Assemblies</t>
  </si>
  <si>
    <r>
      <t xml:space="preserve">TOTAL DISPLACMENT FROM RIG PUMPS </t>
    </r>
    <r>
      <rPr>
        <b/>
        <i/>
        <sz val="10"/>
        <color rgb="FF016B45"/>
        <rFont val="Geneva"/>
      </rPr>
      <t>(Excluding 10 bbls from CU):</t>
    </r>
  </si>
  <si>
    <t>Connection Type 2:</t>
  </si>
  <si>
    <t xml:space="preserve"> TOC tagged inside 9-5/8" (ft)</t>
  </si>
  <si>
    <t xml:space="preserve">Float Collar - Double Valve </t>
  </si>
  <si>
    <t xml:space="preserve">Float Shoe - Double Valve, Eccentric </t>
  </si>
  <si>
    <t xml:space="preserve">HALLIBURTON COMMANDER CEMENT HEAD ASSY </t>
  </si>
  <si>
    <t>(1.5 x Liner) + Drill String volume</t>
  </si>
  <si>
    <t>60% Running String Volume (Chasing Ball @ 5 BPM)</t>
  </si>
  <si>
    <t xml:space="preserve"> Pup VP-1</t>
  </si>
  <si>
    <t xml:space="preserve"> Pup VP-2</t>
  </si>
  <si>
    <t xml:space="preserve"> Pup VP-3</t>
  </si>
  <si>
    <t xml:space="preserve"> Pup VP-4</t>
  </si>
  <si>
    <t xml:space="preserve"> Pup VP-5</t>
  </si>
  <si>
    <t xml:space="preserve"> Pup VP-6</t>
  </si>
  <si>
    <t xml:space="preserve"> Pup VP-7</t>
  </si>
  <si>
    <t xml:space="preserve"> Pup VP-8</t>
  </si>
  <si>
    <t xml:space="preserve"> Pup VP-9</t>
  </si>
  <si>
    <t xml:space="preserve"> Pup VP-10</t>
  </si>
  <si>
    <t xml:space="preserve"> Pup VP-11</t>
  </si>
  <si>
    <t xml:space="preserve"> Pup VP-12</t>
  </si>
  <si>
    <t>Seshu Chapala / Arthur Jones Johnston</t>
  </si>
  <si>
    <t>Top of Whipstock Window:</t>
  </si>
  <si>
    <r>
      <t>TSH Wedge 563</t>
    </r>
    <r>
      <rPr>
        <sz val="7"/>
        <color rgb="FF017362"/>
        <rFont val="Geneva"/>
      </rPr>
      <t>®</t>
    </r>
    <r>
      <rPr>
        <sz val="9"/>
        <color rgb="FF017362"/>
        <rFont val="Geneva"/>
      </rPr>
      <t xml:space="preserve"> </t>
    </r>
  </si>
  <si>
    <t>Csg Nom ID:</t>
  </si>
  <si>
    <t>QELNG-7in-FS-136-NFE</t>
  </si>
  <si>
    <t>7" 29# TSH WEDGE 563  PUP JOINTS</t>
  </si>
  <si>
    <t>DECK TALLY NFQ17-8</t>
  </si>
  <si>
    <t>QELNG-7in-FC-136-NFE</t>
  </si>
  <si>
    <t>QELNG-7in-LC-156-NFE</t>
  </si>
  <si>
    <t>PN: H100950451GRG1,                                            SN: 110774-110778-1,                                            Max OD: 7.661", 29#, L80</t>
  </si>
  <si>
    <t>PN: H101890295GRG1,                                           SN: 110696-110679-1,                                           Max OD: 7.671", 29#, L80</t>
  </si>
  <si>
    <t>LFC Landing Collar (Ball Seat Sheared): 
PN: H274120450GRG1,                                              SN: 108421653-01, Max OD: 7.654"</t>
  </si>
  <si>
    <r>
      <rPr>
        <b/>
        <sz val="10"/>
        <color theme="0" tint="-0.14999847407452621"/>
        <rFont val="Geneva"/>
      </rPr>
      <t xml:space="preserve">Baker Hughes Uniflex PRO Control Set Liner Hanger Packer Assy </t>
    </r>
    <r>
      <rPr>
        <b/>
        <sz val="12"/>
        <color theme="0" tint="-0.14999847407452621"/>
        <rFont val="Geneva"/>
      </rPr>
      <t xml:space="preserve">            </t>
    </r>
    <r>
      <rPr>
        <b/>
        <sz val="12"/>
        <color theme="0"/>
        <rFont val="Geneva"/>
      </rPr>
      <t xml:space="preserve"> </t>
    </r>
    <r>
      <rPr>
        <b/>
        <sz val="10"/>
        <color theme="0"/>
        <rFont val="Geneva"/>
      </rPr>
      <t xml:space="preserve">           </t>
    </r>
    <r>
      <rPr>
        <b/>
        <sz val="10"/>
        <color rgb="FF00B050"/>
        <rFont val="Geneva"/>
      </rPr>
      <t xml:space="preserve">  </t>
    </r>
    <r>
      <rPr>
        <b/>
        <sz val="8.5"/>
        <color rgb="FF00B050"/>
        <rFont val="Geneva"/>
      </rPr>
      <t>QELNG-7in-CSLH-92-NFE</t>
    </r>
  </si>
  <si>
    <t>5-1/2" HWDP - DELTA 576</t>
  </si>
  <si>
    <t>7" 29# TSH WEDGE 563 CSG JOINTS ( 2 x Centralizers)</t>
  </si>
  <si>
    <t>DP                                                    STD # 10</t>
  </si>
  <si>
    <t>DP                                                    STD # 11</t>
  </si>
  <si>
    <t>DP                                                    STD # 12</t>
  </si>
  <si>
    <t>DP                                                    STD # 13</t>
  </si>
  <si>
    <t>DP                                                    STD # 14</t>
  </si>
  <si>
    <t>NRDP                                                    STD # 04</t>
  </si>
  <si>
    <t>NRDP                                                    STD # 05</t>
  </si>
  <si>
    <t>NRDP                                                    STD # 06</t>
  </si>
  <si>
    <t>NRDP                                                    STD # 07</t>
  </si>
  <si>
    <t>NRDP                                                    STD # 08</t>
  </si>
  <si>
    <t>NRDP                                                    STD # 09</t>
  </si>
  <si>
    <t>NRDP                                                    STD # 10</t>
  </si>
  <si>
    <t>NRDP                                                    STD # 11</t>
  </si>
  <si>
    <t>NRDP                                                    STD # 12</t>
  </si>
  <si>
    <t>NRDP                                                    STD # 13</t>
  </si>
  <si>
    <t>NRDP                                                    STD # 14</t>
  </si>
  <si>
    <t>NRDP                                                    STD # 15</t>
  </si>
  <si>
    <t>NRDP                                                    STD # 16</t>
  </si>
  <si>
    <t>NRDP                                                    STD # 17</t>
  </si>
  <si>
    <t>NRDP                                                    STD # 18</t>
  </si>
  <si>
    <t>NRDP                                                    STD # 19</t>
  </si>
  <si>
    <t>NRDP                                                    STD # 20</t>
  </si>
  <si>
    <t>NRDP                                                    STD # 21</t>
  </si>
  <si>
    <t>NRDP                                                    STD # 22</t>
  </si>
  <si>
    <t>NRDP                                                    STD # 23</t>
  </si>
  <si>
    <t>NRDP                                                    STD # 24</t>
  </si>
  <si>
    <t>NRDP                                                    STD # 25</t>
  </si>
  <si>
    <t>NRDP                                                    STD # 26</t>
  </si>
  <si>
    <t>NRDP                                                    STD # 27</t>
  </si>
  <si>
    <t>NRDP                                                    STD # 28</t>
  </si>
  <si>
    <t>NRDP                                                    STD # 29</t>
  </si>
  <si>
    <t>NRDP                                                    STD # 30</t>
  </si>
  <si>
    <t>NRDP                                                    STD # 31</t>
  </si>
  <si>
    <t>NRDP                                                    STD # 32</t>
  </si>
  <si>
    <t>NRDP                                                    STD # 33</t>
  </si>
  <si>
    <t>NRDP                                                    STD # 34</t>
  </si>
  <si>
    <t>NRDP                                                    STD # 35</t>
  </si>
  <si>
    <t>NRDP                                                    STD # 36</t>
  </si>
  <si>
    <t>NRDP                                                    STD # 37</t>
  </si>
  <si>
    <t>NRDP                                                    STD # 38</t>
  </si>
  <si>
    <t>NRDP                                                    STD # 39</t>
  </si>
  <si>
    <t>NRDP                                                    STD # 40</t>
  </si>
  <si>
    <t>NRDP                                                    STD # 41</t>
  </si>
  <si>
    <t>NRDP                                                    STD # 42</t>
  </si>
  <si>
    <t>NRDP                                                    STD # 43</t>
  </si>
  <si>
    <t>NRDP                                                    STD # 44</t>
  </si>
  <si>
    <t>NRDP                                                    STD # 45</t>
  </si>
  <si>
    <t>NRDP                                                    STD # 46</t>
  </si>
  <si>
    <t>NRDP                                                    STD # 47</t>
  </si>
  <si>
    <t>NRDP                                                    STD # 48</t>
  </si>
  <si>
    <t>NRDP                                                    STD # 49</t>
  </si>
  <si>
    <t>NRDP                                                    STD # 50</t>
  </si>
  <si>
    <t>NRDP                                                    STD # 51</t>
  </si>
  <si>
    <t>NRDP                                                    STD # 52</t>
  </si>
  <si>
    <t>NRDP                                                    STD # 53</t>
  </si>
  <si>
    <t>NRDP                                                    STD # 54</t>
  </si>
  <si>
    <t>NRDP                                                    STD # 55</t>
  </si>
  <si>
    <t>NRDP                                                    STD # 56</t>
  </si>
  <si>
    <t>NRDP                                                    STD # 57</t>
  </si>
  <si>
    <t>NRDP                                                    STD # 58</t>
  </si>
  <si>
    <t>NRDP                                                    STD # 59</t>
  </si>
  <si>
    <t>NRDP                                                    STD # 60</t>
  </si>
  <si>
    <t>NRDP                                                    STD # 61</t>
  </si>
  <si>
    <t>NRDP                                                    STD # 62</t>
  </si>
  <si>
    <t>NRDP                                                    STD # 63</t>
  </si>
  <si>
    <t>NRDP                                                    STD # 64</t>
  </si>
  <si>
    <t>NRDP                                                    STD # 65</t>
  </si>
  <si>
    <t>NRDP                                                    STD # 66</t>
  </si>
  <si>
    <t>NRDP                                                    STD # 67</t>
  </si>
  <si>
    <t>NRDP                                                    STD # 68</t>
  </si>
  <si>
    <t>NRDP                                                    STD # 69</t>
  </si>
  <si>
    <t>NRDP                                                    STD # 70</t>
  </si>
  <si>
    <t>NRDP                                                    STD # 71</t>
  </si>
  <si>
    <t>NRDP                                                    STD # 72</t>
  </si>
  <si>
    <t>NRDP                                                    STD # 73</t>
  </si>
  <si>
    <t>NRDP                                                    STD # 74</t>
  </si>
  <si>
    <t>NRDP                                                    STD # 75</t>
  </si>
  <si>
    <t>NRDP                                                    STD # 76</t>
  </si>
  <si>
    <t xml:space="preserve">HWDP                                                    STD # 2             </t>
  </si>
  <si>
    <t xml:space="preserve">HWDP                                                    STD # 3       </t>
  </si>
  <si>
    <t xml:space="preserve"> 5-1/2"  XT57 Pin  Dwn x DELTA 576 Box Up</t>
  </si>
  <si>
    <t xml:space="preserve">HWDP                                                    STD # 3  </t>
  </si>
  <si>
    <t xml:space="preserve">HWDP                                                    STD # 4 </t>
  </si>
  <si>
    <t xml:space="preserve">HWDP                                                    STD # 5       </t>
  </si>
  <si>
    <t xml:space="preserve">HWDP                                                    STD # 6 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</si>
  <si>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</si>
  <si>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</si>
  <si>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</si>
  <si>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</si>
  <si>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</si>
  <si>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</si>
  <si>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</si>
  <si>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</si>
  <si>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</si>
  <si>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QELNG-7in-FS-150-NFE</t>
  </si>
  <si>
    <t>QELNG-7in-FC-150-NFE</t>
  </si>
  <si>
    <t>QELNG-7in-LC-159-NFE</t>
  </si>
  <si>
    <t xml:space="preserve"> Pup VP-13</t>
  </si>
  <si>
    <t xml:space="preserve"> Pup VP-14</t>
  </si>
  <si>
    <t>Scott Jones / Stephen Bungay</t>
  </si>
  <si>
    <r>
      <t>TSH Wedge 563</t>
    </r>
    <r>
      <rPr>
        <sz val="7"/>
        <color rgb="FF017362"/>
        <rFont val="Geneva"/>
      </rPr>
      <t>®</t>
    </r>
  </si>
  <si>
    <t>6.220 in</t>
  </si>
  <si>
    <t>Casing Avg Calipered ID:</t>
  </si>
  <si>
    <t xml:space="preserve">DP                                                    STD # 01 </t>
  </si>
  <si>
    <t xml:space="preserve">DP                                                    STD # 02 </t>
  </si>
  <si>
    <t xml:space="preserve">DP                                                    STD # 03 </t>
  </si>
  <si>
    <t xml:space="preserve">DP                                                    STD # 04 </t>
  </si>
  <si>
    <t>DP                                                    STD # 05</t>
  </si>
  <si>
    <t>DP                                                    STD # 06</t>
  </si>
  <si>
    <t>NO BAKER LOCK APPLIED ON ST</t>
  </si>
  <si>
    <t>DP                                                    STD # 15</t>
  </si>
  <si>
    <t>DP                                                    STD # 16</t>
  </si>
  <si>
    <t>DP                                                    STD # 17</t>
  </si>
  <si>
    <t>DP                                                    STD # 18</t>
  </si>
  <si>
    <t>DP                                                    STD # 19</t>
  </si>
  <si>
    <t>DP                                                    STD # 20</t>
  </si>
  <si>
    <t>DP                                                    STD # 21</t>
  </si>
  <si>
    <t>DP                                                    STD # 22</t>
  </si>
  <si>
    <t>DP                                                    STD # 23</t>
  </si>
  <si>
    <t>DP                                                    STD # 24</t>
  </si>
  <si>
    <t>DP                                                    STD # 25</t>
  </si>
  <si>
    <t>DP                                                    STD # 26</t>
  </si>
  <si>
    <t>DP                                                    STD # 27</t>
  </si>
  <si>
    <t>DP                                                    STD # 28</t>
  </si>
  <si>
    <t>DP                                                    STD # 29</t>
  </si>
  <si>
    <t>DP                                                    STD # 30</t>
  </si>
  <si>
    <t>DP                                                    STD # 31</t>
  </si>
  <si>
    <t>DP                                                    STD # 32</t>
  </si>
  <si>
    <t>DP                                                    STD # 33</t>
  </si>
  <si>
    <t>DP                                                    STD # 34</t>
  </si>
  <si>
    <t>DP                                                    STD # 07</t>
  </si>
  <si>
    <t>DP                                                    STD # 08</t>
  </si>
  <si>
    <t>DP                                                    STD # 09</t>
  </si>
  <si>
    <t>DP                                                    STD # 35</t>
  </si>
  <si>
    <t>DP                                                    STD # 36</t>
  </si>
  <si>
    <t>DP                                                    STD # 37</t>
  </si>
  <si>
    <t>NFQ17-8A</t>
  </si>
  <si>
    <t>5-1/2" DP - DELTA 576 - PUP JOINT</t>
  </si>
  <si>
    <r>
      <rPr>
        <b/>
        <sz val="9"/>
        <rFont val="Geneva"/>
      </rPr>
      <t>CrossOver</t>
    </r>
    <r>
      <rPr>
        <b/>
        <sz val="8"/>
        <rFont val="Geneva"/>
      </rPr>
      <t>,</t>
    </r>
    <r>
      <rPr>
        <b/>
        <sz val="6"/>
        <rFont val="Geneva"/>
      </rPr>
      <t xml:space="preserve"> 5-1/2" DELTA 576 B x P</t>
    </r>
  </si>
  <si>
    <r>
      <rPr>
        <b/>
        <sz val="9"/>
        <rFont val="Geneva"/>
      </rPr>
      <t>Lower FOSV</t>
    </r>
    <r>
      <rPr>
        <b/>
        <sz val="8"/>
        <rFont val="Geneva"/>
      </rPr>
      <t xml:space="preserve"> -  </t>
    </r>
    <r>
      <rPr>
        <b/>
        <sz val="6"/>
        <rFont val="Geneva"/>
      </rPr>
      <t>6-5/8" FH B x  5-1/2" DELTA 576 P</t>
    </r>
  </si>
  <si>
    <r>
      <rPr>
        <b/>
        <sz val="9"/>
        <rFont val="Geneva"/>
      </rPr>
      <t xml:space="preserve">Cement Head - </t>
    </r>
    <r>
      <rPr>
        <b/>
        <sz val="6"/>
        <rFont val="Geneva"/>
      </rPr>
      <t>6-5/8" FH B x P</t>
    </r>
  </si>
  <si>
    <r>
      <rPr>
        <b/>
        <sz val="9"/>
        <rFont val="Geneva"/>
      </rPr>
      <t>Upper FOSV</t>
    </r>
    <r>
      <rPr>
        <b/>
        <sz val="8"/>
        <rFont val="Geneva"/>
      </rPr>
      <t xml:space="preserve"> -</t>
    </r>
    <r>
      <rPr>
        <b/>
        <sz val="6"/>
        <rFont val="Geneva"/>
      </rPr>
      <t xml:space="preserve"> 5-1/2" DELTA 576 B x 6-5/8" FH P</t>
    </r>
    <r>
      <rPr>
        <b/>
        <sz val="8"/>
        <rFont val="Geneva"/>
      </rPr>
      <t xml:space="preserve"> </t>
    </r>
  </si>
  <si>
    <r>
      <rPr>
        <b/>
        <sz val="9"/>
        <rFont val="Geneva"/>
      </rPr>
      <t>10 ft - PUP JT</t>
    </r>
    <r>
      <rPr>
        <b/>
        <sz val="8"/>
        <rFont val="Geneva"/>
      </rPr>
      <t xml:space="preserve">, </t>
    </r>
    <r>
      <rPr>
        <b/>
        <sz val="6"/>
        <rFont val="Geneva"/>
      </rPr>
      <t xml:space="preserve">DELTA 576 B x P </t>
    </r>
  </si>
  <si>
    <t>Well TD at:</t>
  </si>
  <si>
    <t xml:space="preserve">PLANNED PIPTAG @ </t>
  </si>
  <si>
    <t>PIP TAG # 8 ON JT  #</t>
  </si>
  <si>
    <t xml:space="preserve">HWDP                                                    STD # 4             </t>
  </si>
  <si>
    <t>5-1/2" HWDP - GPDS55</t>
  </si>
  <si>
    <t>Delta 576 Pin x  5.5" GPDS55 Box up</t>
  </si>
  <si>
    <t>5.5" GPDS55 Pin x Delta 576 Box Up</t>
  </si>
  <si>
    <t>Sl No: VGE 1243/23-4-2</t>
  </si>
  <si>
    <t>Sl No: VGE 1243/23-8-1</t>
  </si>
  <si>
    <t>PIP TAG # 1 ON JT  #</t>
  </si>
  <si>
    <t>Cont. EZSV correlation</t>
  </si>
  <si>
    <t>PJ</t>
  </si>
  <si>
    <t>TSH W563 PUP JNT</t>
  </si>
  <si>
    <r>
      <t xml:space="preserve">Shoe Jt - </t>
    </r>
    <r>
      <rPr>
        <b/>
        <sz val="9"/>
        <rFont val="Geneva"/>
      </rPr>
      <t>TSH Wedge 563</t>
    </r>
  </si>
  <si>
    <t>Bttm Pup Jt. -  TSH Wedge 563</t>
  </si>
  <si>
    <t>Top Pup Jt. -  TSH Wedge 563</t>
  </si>
  <si>
    <r>
      <t xml:space="preserve">Bttm Pup Jt. -  </t>
    </r>
    <r>
      <rPr>
        <b/>
        <sz val="9"/>
        <rFont val="Geneva"/>
      </rPr>
      <t>TSH Wedge 563</t>
    </r>
  </si>
  <si>
    <r>
      <t xml:space="preserve">Top Pup Jt. -  </t>
    </r>
    <r>
      <rPr>
        <b/>
        <sz val="9"/>
        <rFont val="Geneva"/>
      </rPr>
      <t>TSH Wedge 563</t>
    </r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</si>
  <si>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A4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</si>
  <si>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CIRP perf correlations</t>
  </si>
  <si>
    <t>ACTUAL PIP TAG DEPTH @</t>
  </si>
  <si>
    <t>PIP TAG # 4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</si>
  <si>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M4                                               </t>
    </r>
    <r>
      <rPr>
        <sz val="9.5"/>
        <color theme="5" tint="-0.249977111117893"/>
        <rFont val="Geneva"/>
      </rPr>
      <t xml:space="preserve">                   </t>
    </r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</si>
  <si>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P9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</si>
  <si>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Torcplug correlations</t>
  </si>
  <si>
    <t>PIP TAG # 5 ON JT  #</t>
  </si>
  <si>
    <t>PIP TAG # 6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</si>
  <si>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Q8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</si>
  <si>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Contingency split zone</t>
  </si>
  <si>
    <t>PIP TAG # 7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</si>
  <si>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T7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</si>
  <si>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W4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</si>
  <si>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LT Contingency</t>
  </si>
  <si>
    <t>PIP TAG # 9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</si>
  <si>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W8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</si>
  <si>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PIP TAG # 10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</si>
  <si>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Y1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</si>
  <si>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PIP TAG # 11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</si>
  <si>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BB1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</si>
  <si>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Torcplug correlations
Below avalanche zone</t>
  </si>
  <si>
    <t>DP                                                    STD # 38</t>
  </si>
  <si>
    <t>DP                                                    STD # 39</t>
  </si>
  <si>
    <t>DP                                                    STD # 40</t>
  </si>
  <si>
    <t>DP                                                    STD # 41</t>
  </si>
  <si>
    <t>DP                                                    STD # 42</t>
  </si>
  <si>
    <t>DP                                                    STD # 43</t>
  </si>
  <si>
    <t>DP                                                    STD # 44</t>
  </si>
  <si>
    <t>DP                                                    STD # 45</t>
  </si>
  <si>
    <t>DP                                                    STD # 46</t>
  </si>
  <si>
    <t>DP                                                    STD # 47</t>
  </si>
  <si>
    <t>DP                                                    STD # 48</t>
  </si>
  <si>
    <t>DP                                                    STD # 49</t>
  </si>
  <si>
    <t>DP                                                    STD # 50</t>
  </si>
  <si>
    <t>DP                                                    STD # 51</t>
  </si>
  <si>
    <t>DP                                                    STD # 52</t>
  </si>
  <si>
    <t>DP                                                    STD # 53</t>
  </si>
  <si>
    <t xml:space="preserve">NRDP                                                    STD # 01 </t>
  </si>
  <si>
    <t>NRDP                                                    STD # 02</t>
  </si>
  <si>
    <t>NRDP                                                    STD # 03</t>
  </si>
  <si>
    <t xml:space="preserve">HWDP                                                    STD # 1                                      </t>
  </si>
  <si>
    <t>RIG</t>
  </si>
  <si>
    <t>SN: 108289372-01</t>
  </si>
  <si>
    <t>TOP OF
WINDOW:@</t>
  </si>
  <si>
    <t>TOP OF
WINDOW: @</t>
  </si>
  <si>
    <t>At 9-5/8" shoe 1.5 LNR Vol + String Vol to circ</t>
  </si>
  <si>
    <t>At TD 1.5 LNR Vol + String Vol to circ</t>
  </si>
  <si>
    <t>Lay Down Top Single</t>
  </si>
  <si>
    <t>ENTERING OPEN HOLE WITH STD # 24</t>
  </si>
  <si>
    <r>
      <t xml:space="preserve">5-1/2" HWDP - </t>
    </r>
    <r>
      <rPr>
        <b/>
        <sz val="10"/>
        <rFont val="Geneva"/>
      </rPr>
      <t>DELTA 576</t>
    </r>
  </si>
  <si>
    <r>
      <t xml:space="preserve">5-1/2" HWDP - </t>
    </r>
    <r>
      <rPr>
        <b/>
        <sz val="10"/>
        <rFont val="Geneva"/>
      </rPr>
      <t>GPDS55</t>
    </r>
  </si>
  <si>
    <r>
      <t>5-1/2" HWDP -</t>
    </r>
    <r>
      <rPr>
        <b/>
        <sz val="10"/>
        <rFont val="Geneva"/>
      </rPr>
      <t xml:space="preserve"> GPDS55</t>
    </r>
  </si>
  <si>
    <t xml:space="preserve">HWDP                                                    STD # 1                            </t>
  </si>
  <si>
    <r>
      <t xml:space="preserve">UNIFLEX-Pro CS LINER </t>
    </r>
    <r>
      <rPr>
        <b/>
        <sz val="9.5"/>
        <color theme="0"/>
        <rFont val="Geneva"/>
      </rPr>
      <t>(TOP OF PBR)</t>
    </r>
  </si>
  <si>
    <r>
      <t xml:space="preserve">UNIFLEX-Pro ZXP CS </t>
    </r>
    <r>
      <rPr>
        <b/>
        <sz val="9.5"/>
        <color theme="0"/>
        <rFont val="Geneva"/>
      </rPr>
      <t>(MID-ELEMENT)</t>
    </r>
  </si>
  <si>
    <r>
      <rPr>
        <b/>
        <sz val="9"/>
        <color theme="0"/>
        <rFont val="Geneva"/>
      </rPr>
      <t>FLOAT SHOE ASSY</t>
    </r>
    <r>
      <rPr>
        <b/>
        <sz val="8.5"/>
        <color theme="0"/>
        <rFont val="Geneva"/>
      </rPr>
      <t xml:space="preserve">                </t>
    </r>
    <r>
      <rPr>
        <b/>
        <sz val="9"/>
        <color theme="0"/>
        <rFont val="Geneva"/>
      </rPr>
      <t>QELNG-7in-FS-136-NFE</t>
    </r>
  </si>
  <si>
    <r>
      <rPr>
        <b/>
        <sz val="9"/>
        <color theme="0"/>
        <rFont val="Geneva"/>
      </rPr>
      <t xml:space="preserve">FLOAT COLLAR ASSY  </t>
    </r>
    <r>
      <rPr>
        <b/>
        <sz val="8.5"/>
        <color theme="0"/>
        <rFont val="Geneva"/>
      </rPr>
      <t xml:space="preserve">                        </t>
    </r>
    <r>
      <rPr>
        <b/>
        <sz val="9"/>
        <color theme="0"/>
        <rFont val="Geneva"/>
      </rPr>
      <t>QELNG-7in-FC-136-NFE</t>
    </r>
  </si>
  <si>
    <r>
      <rPr>
        <b/>
        <sz val="9"/>
        <color theme="0"/>
        <rFont val="Geneva"/>
      </rPr>
      <t>LANDING COLLAR ASSY</t>
    </r>
    <r>
      <rPr>
        <b/>
        <sz val="8"/>
        <color theme="0"/>
        <rFont val="Geneva"/>
      </rPr>
      <t xml:space="preserve">  </t>
    </r>
    <r>
      <rPr>
        <b/>
        <sz val="8.5"/>
        <color theme="0"/>
        <rFont val="Geneva"/>
      </rPr>
      <t xml:space="preserve">            </t>
    </r>
    <r>
      <rPr>
        <b/>
        <sz val="7"/>
        <color theme="0"/>
        <rFont val="Geneva"/>
      </rPr>
      <t xml:space="preserve">               </t>
    </r>
    <r>
      <rPr>
        <b/>
        <sz val="9"/>
        <color theme="0"/>
        <rFont val="Geneva"/>
      </rPr>
      <t>QELNG-7in-LC-156-NFE</t>
    </r>
  </si>
  <si>
    <t>Pump Eff</t>
  </si>
  <si>
    <t>AS RUN TALLY</t>
  </si>
  <si>
    <t>SN: 15315376</t>
  </si>
  <si>
    <t>top of jt seen at (ft)</t>
  </si>
  <si>
    <t>distance from ccl to bottom</t>
  </si>
  <si>
    <t>distance from ccl to mid element</t>
  </si>
  <si>
    <t>distance from bottom to mid element</t>
  </si>
  <si>
    <t>top of jt seen at CT depth (ft)</t>
  </si>
  <si>
    <t>Calc CCL depth</t>
  </si>
  <si>
    <t>CCL diff</t>
  </si>
  <si>
    <t>expected top joint ( CT depth)</t>
  </si>
  <si>
    <t>final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</si>
</sst>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  <numFmt numFmtId="167" formatCode="0\ &quot;K&quot;"/>
    <numFmt numFmtId="168" formatCode="0.00\ &quot;ft&quot;"/>
    <numFmt numFmtId="169" formatCode="0.00\ &quot;ppf&quot;"/>
    <numFmt numFmtId="170" formatCode="0.00\ &quot;ppg&quot;"/>
    <numFmt numFmtId="171" formatCode="0.00000"/>
    <numFmt numFmtId="172" formatCode="0.00\ &quot;bbls&quot;"/>
    <numFmt numFmtId="173" formatCode="0.000\ &quot;in&quot;"/>
    <numFmt numFmtId="174" formatCode="0\ &quot;psi&quot;"/>
    <numFmt numFmtId="175" formatCode="0\ &quot;Strokes&quot;"/>
    <numFmt numFmtId="176" formatCode="0\ &quot;klbs&quot;"/>
    <numFmt numFmtId="177" formatCode="0.0000"/>
    <numFmt numFmtId="178" formatCode="0.0000\ &quot;bbls/stk&quot;"/>
    <numFmt numFmtId="179" formatCode="0.0000\ &quot;bbls/ft&quot;"/>
    <numFmt numFmtId="180" formatCode="0.00\ &quot;lbs/ft&quot;"/>
    <numFmt numFmtId="181" formatCode="0\ &quot;Stks&quot;"/>
    <numFmt numFmtId="182" formatCode="0\ &quot;ft depth&quot;"/>
    <numFmt numFmtId="183" formatCode="00000\ \f\t"/>
    <numFmt numFmtId="184" formatCode="0\ \f\t"/>
    <numFmt numFmtId="185" formatCode="0.0\ &quot;ft depth&quot;"/>
    <numFmt numFmtId="186" formatCode="0.0"/>
  </numFmts>
  <fonts count="126">
    <font>
      <sz val="11"/>
      <color theme="1"/>
      <name val="Calibri"/>
      <family val="2"/>
      <scheme val="minor"/>
    </font>
    <font>
      <b/>
      <sz val="9"/>
      <name val="Geneva"/>
    </font>
    <font>
      <b/>
      <sz val="12"/>
      <name val="Geneva"/>
    </font>
    <font>
      <b/>
      <sz val="14"/>
      <name val="Geneva"/>
    </font>
    <font>
      <sz val="9"/>
      <name val="Geneva"/>
    </font>
    <font>
      <b/>
      <shadow/>
      <sz val="14"/>
      <color indexed="12"/>
      <name val="Geneva"/>
    </font>
    <font>
      <b/>
      <sz val="9"/>
      <color theme="0"/>
      <name val="Geneva"/>
    </font>
    <font>
      <sz val="9"/>
      <color rgb="FFFF0000"/>
      <name val="Geneva"/>
    </font>
    <font>
      <sz val="10"/>
      <name val="Geneva"/>
    </font>
    <font>
      <b/>
      <sz val="8"/>
      <name val="Geneva"/>
    </font>
    <font>
      <sz val="9"/>
      <color theme="1"/>
      <name val="Geneva"/>
    </font>
    <font>
      <b/>
      <sz val="9"/>
      <color rgb="FFFF0000"/>
      <name val="Geneva"/>
    </font>
    <font>
      <sz val="10"/>
      <color rgb="FFFF0000"/>
      <name val="Geneva"/>
    </font>
    <font>
      <b/>
      <sz val="9"/>
      <color theme="1"/>
      <name val="Geneva"/>
    </font>
    <font>
      <b/>
      <sz val="9"/>
      <color indexed="10"/>
      <name val="Geneva"/>
    </font>
    <font>
      <i/>
      <sz val="10"/>
      <color indexed="8"/>
      <name val="Geneva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name val="Tms Rmn"/>
      <family val="1"/>
    </font>
    <font>
      <sz val="12"/>
      <name val="Osaka"/>
      <family val="1"/>
    </font>
    <font>
      <u/>
      <sz val="7"/>
      <color indexed="12"/>
      <name val="Tms Rmn"/>
      <family val="1"/>
    </font>
    <font>
      <b/>
      <i/>
      <sz val="10"/>
      <color indexed="8"/>
      <name val="Geneva"/>
    </font>
    <font>
      <b/>
      <sz val="8.5"/>
      <color theme="0"/>
      <name val="Geneva"/>
    </font>
    <font>
      <sz val="8"/>
      <name val="Calibri"/>
      <family val="2"/>
      <scheme val="minor"/>
    </font>
    <font>
      <b/>
      <sz val="12"/>
      <color theme="0"/>
      <name val="Geneva"/>
    </font>
    <font>
      <b/>
      <sz val="10"/>
      <color theme="0"/>
      <name val="Geneva"/>
    </font>
    <font>
      <i/>
      <sz val="8"/>
      <name val="Geneva"/>
    </font>
    <font>
      <b/>
      <sz val="9.5"/>
      <color rgb="FFFF0000"/>
      <name val="Geneva"/>
    </font>
    <font>
      <b/>
      <sz val="8.5"/>
      <name val="Geneva"/>
    </font>
    <font>
      <b/>
      <sz val="10"/>
      <name val="Geneva"/>
    </font>
    <font>
      <sz val="10"/>
      <name val="Arial"/>
      <family val="2"/>
    </font>
    <font>
      <sz val="12"/>
      <name val="Osaka"/>
      <family val="3"/>
      <charset val="128"/>
    </font>
    <font>
      <sz val="10"/>
      <name val="Times New Roman"/>
      <family val="1"/>
    </font>
    <font>
      <b/>
      <sz val="10"/>
      <color rgb="FFFF0000"/>
      <name val="Geneva"/>
    </font>
    <font>
      <b/>
      <sz val="10"/>
      <color theme="4"/>
      <name val="Geneva"/>
    </font>
    <font>
      <b/>
      <sz val="7"/>
      <color theme="1"/>
      <name val="Geneva"/>
    </font>
    <font>
      <b/>
      <sz val="11"/>
      <color theme="0"/>
      <name val="Geneva"/>
    </font>
    <font>
      <b/>
      <sz val="7.5"/>
      <name val="Geneva"/>
    </font>
    <font>
      <sz val="10"/>
      <name val="MS Sans Serif"/>
    </font>
    <font>
      <sz val="11"/>
      <color theme="1"/>
      <name val="Geneva"/>
    </font>
    <font>
      <sz val="20"/>
      <color theme="1"/>
      <name val="Geneva"/>
    </font>
    <font>
      <b/>
      <sz val="20"/>
      <color theme="0"/>
      <name val="Geneva"/>
    </font>
    <font>
      <b/>
      <sz val="11"/>
      <color theme="1"/>
      <name val="Geneva"/>
    </font>
    <font>
      <sz val="12"/>
      <color theme="1"/>
      <name val="Geneva"/>
    </font>
    <font>
      <b/>
      <sz val="6"/>
      <color rgb="FFC00000"/>
      <name val="Geneva"/>
    </font>
    <font>
      <b/>
      <sz val="12"/>
      <color theme="1"/>
      <name val="Geneva"/>
    </font>
    <font>
      <b/>
      <sz val="12"/>
      <color rgb="FFA40000"/>
      <name val="Geneva"/>
    </font>
    <font>
      <b/>
      <sz val="8"/>
      <color theme="0"/>
      <name val="Geneva"/>
    </font>
    <font>
      <b/>
      <sz val="12"/>
      <color theme="1"/>
      <name val="Calibri"/>
      <family val="2"/>
      <scheme val="minor"/>
    </font>
    <font>
      <sz val="12"/>
      <name val="Geneva"/>
    </font>
    <font>
      <b/>
      <sz val="9"/>
      <color rgb="FF017362"/>
      <name val="Geneva"/>
    </font>
    <font>
      <b/>
      <sz val="8"/>
      <color theme="1"/>
      <name val="Geneva"/>
    </font>
    <font>
      <b/>
      <sz val="10"/>
      <color theme="0" tint="-0.14999847407452621"/>
      <name val="Geneva"/>
    </font>
    <font>
      <b/>
      <sz val="12"/>
      <color theme="0" tint="-0.14999847407452621"/>
      <name val="Geneva"/>
    </font>
    <font>
      <sz val="9"/>
      <color theme="0"/>
      <name val="Geneva"/>
    </font>
    <font>
      <b/>
      <sz val="8.5"/>
      <color theme="1"/>
      <name val="Geneva"/>
    </font>
    <font>
      <b/>
      <sz val="9"/>
      <color rgb="FF017357"/>
      <name val="Geneva"/>
    </font>
    <font>
      <b/>
      <sz val="14"/>
      <color rgb="FF017357"/>
      <name val="Geneva"/>
    </font>
    <font>
      <b/>
      <sz val="9"/>
      <color rgb="FF1E3270"/>
      <name val="Geneva"/>
    </font>
    <font>
      <b/>
      <sz val="9"/>
      <color theme="1" tint="0.249977111117893"/>
      <name val="Geneva"/>
    </font>
    <font>
      <sz val="9"/>
      <color theme="1" tint="0.249977111117893"/>
      <name val="Geneva"/>
    </font>
    <font>
      <sz val="9"/>
      <color theme="1" tint="0.249977111117893"/>
      <name val="Calibri"/>
      <family val="2"/>
      <scheme val="minor"/>
    </font>
    <font>
      <b/>
      <sz val="9"/>
      <color theme="0" tint="-4.9989318521683403E-2"/>
      <name val="Geneva"/>
    </font>
    <font>
      <b/>
      <sz val="7"/>
      <color theme="0"/>
      <name val="Geneva"/>
    </font>
    <font>
      <b/>
      <sz val="10"/>
      <color rgb="FF00B050"/>
      <name val="Geneva"/>
    </font>
    <font>
      <b/>
      <sz val="8.5"/>
      <color rgb="FF00B050"/>
      <name val="Geneva"/>
    </font>
    <font>
      <sz val="12"/>
      <color theme="0"/>
      <name val="Geneva"/>
    </font>
    <font>
      <b/>
      <sz val="12"/>
      <color theme="0"/>
      <name val="Calibri"/>
      <family val="2"/>
      <scheme val="minor"/>
    </font>
    <font>
      <b/>
      <sz val="12"/>
      <color rgb="FF017362"/>
      <name val="Geneva"/>
    </font>
    <font>
      <b/>
      <sz val="11"/>
      <name val="Geneva"/>
    </font>
    <font>
      <sz val="8"/>
      <name val="Geneva"/>
    </font>
    <font>
      <b/>
      <i/>
      <sz val="10"/>
      <color rgb="FF016B45"/>
      <name val="Geneva"/>
    </font>
    <font>
      <sz val="9"/>
      <color theme="0" tint="-4.9989318521683403E-2"/>
      <name val="Geneva"/>
    </font>
    <font>
      <b/>
      <sz val="8.5"/>
      <color theme="1" tint="0.249977111117893"/>
      <name val="Geneva"/>
    </font>
    <font>
      <b/>
      <sz val="9.5"/>
      <color rgb="FFFFFF00"/>
      <name val="Geneva"/>
    </font>
    <font>
      <b/>
      <sz val="10"/>
      <color theme="0" tint="-4.9989318521683403E-2"/>
      <name val="Geneva"/>
    </font>
    <font>
      <sz val="9"/>
      <color rgb="FF017362"/>
      <name val="Geneva"/>
    </font>
    <font>
      <sz val="7"/>
      <color rgb="FF017362"/>
      <name val="Geneva"/>
    </font>
    <font>
      <sz val="11"/>
      <color rgb="FF0173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.5"/>
      <name val="Geneva"/>
    </font>
    <font>
      <i/>
      <sz val="7.5"/>
      <name val="Geneva"/>
    </font>
    <font>
      <b/>
      <sz val="7.5"/>
      <color rgb="FFFF0000"/>
      <name val="Geneva"/>
    </font>
    <font>
      <b/>
      <sz val="7"/>
      <color theme="5" tint="-0.249977111117893"/>
      <name val="Geneva"/>
    </font>
    <font>
      <b/>
      <sz val="7.5"/>
      <color theme="5" tint="-0.249977111117893"/>
      <name val="Geneva"/>
    </font>
    <font>
      <b/>
      <sz val="10"/>
      <color theme="5" tint="-0.249977111117893"/>
      <name val="Geneva"/>
    </font>
    <font>
      <sz val="10"/>
      <color theme="1"/>
      <name val="Geneva"/>
    </font>
    <font>
      <b/>
      <sz val="14"/>
      <color rgb="FFC00000"/>
      <name val="Geneva"/>
    </font>
    <font>
      <sz val="9"/>
      <color rgb="FF017362"/>
      <name val="Calibri"/>
      <family val="2"/>
      <scheme val="minor"/>
    </font>
    <font>
      <b/>
      <sz val="10"/>
      <name val="Arial Nova"/>
      <family val="2"/>
    </font>
    <font>
      <b/>
      <sz val="12"/>
      <name val="Calibri"/>
      <family val="2"/>
      <scheme val="minor"/>
    </font>
    <font>
      <b/>
      <sz val="9"/>
      <color rgb="FFC00000"/>
      <name val="Geneva"/>
    </font>
    <font>
      <sz val="12"/>
      <color rgb="FFFF0000"/>
      <name val="Geneva"/>
    </font>
    <font>
      <b/>
      <sz val="11"/>
      <color rgb="FFFF0000"/>
      <name val="Geneva"/>
    </font>
    <font>
      <b/>
      <sz val="12"/>
      <color rgb="FFFF0000"/>
      <name val="Geneva"/>
    </font>
    <font>
      <b/>
      <sz val="6"/>
      <name val="Geneva"/>
    </font>
    <font>
      <b/>
      <sz val="9"/>
      <color theme="5" tint="-0.249977111117893"/>
      <name val="Geneva"/>
    </font>
    <font>
      <sz val="9"/>
      <color theme="5" tint="-0.249977111117893"/>
      <name val="Arial Nova"/>
      <family val="2"/>
    </font>
    <font>
      <b/>
      <sz val="10"/>
      <color theme="5" tint="-0.249977111117893"/>
      <name val="Arial Nova"/>
      <family val="2"/>
    </font>
    <font>
      <b/>
      <sz val="14"/>
      <color theme="5" tint="-0.249977111117893"/>
      <name val="Geneva"/>
    </font>
    <font>
      <sz val="9.5"/>
      <color theme="5" tint="-0.249977111117893"/>
      <name val="Geneva"/>
    </font>
    <font>
      <b/>
      <sz val="9.5"/>
      <color theme="5" tint="-0.249977111117893"/>
      <name val="Geneva"/>
    </font>
    <font>
      <b/>
      <sz val="11"/>
      <color rgb="FFFFFF00"/>
      <name val="Geneva"/>
    </font>
    <font>
      <b/>
      <sz val="9"/>
      <color theme="1" tint="4.9989318521683403E-2"/>
      <name val="Geneva"/>
    </font>
    <font>
      <b/>
      <sz val="9.5"/>
      <name val="Geneva"/>
    </font>
    <font>
      <b/>
      <sz val="16"/>
      <name val="Geneva"/>
    </font>
    <font>
      <sz val="9"/>
      <name val="Arial Nova"/>
      <family val="2"/>
    </font>
    <font>
      <sz val="9.5"/>
      <color theme="0"/>
      <name val="Geneva"/>
    </font>
    <font>
      <sz val="10"/>
      <color theme="0"/>
      <name val="Geneva"/>
    </font>
    <font>
      <b/>
      <sz val="12"/>
      <color theme="1" tint="4.9989318521683403E-2"/>
      <name val="Geneva"/>
    </font>
    <font>
      <sz val="16"/>
      <color theme="1"/>
      <name val="Geneva"/>
    </font>
    <font>
      <sz val="16"/>
      <name val="Geneva"/>
    </font>
    <font>
      <b/>
      <sz val="14"/>
      <color theme="1"/>
      <name val="Geneva"/>
    </font>
    <font>
      <b/>
      <sz val="14"/>
      <color rgb="FFFF0000"/>
      <name val="Geneva"/>
    </font>
    <font>
      <sz val="14"/>
      <name val="Geneva"/>
    </font>
    <font>
      <b/>
      <sz val="12"/>
      <color theme="5" tint="-0.249977111117893"/>
      <name val="Geneva"/>
    </font>
    <font>
      <sz val="16"/>
      <color theme="0"/>
      <name val="Geneva"/>
    </font>
    <font>
      <b/>
      <sz val="14"/>
      <color theme="0"/>
      <name val="Geneva"/>
    </font>
    <font>
      <b/>
      <sz val="12"/>
      <color rgb="FFFFFF00"/>
      <name val="Geneva"/>
    </font>
    <font>
      <b/>
      <sz val="9.5"/>
      <color theme="1"/>
      <name val="Geneva"/>
    </font>
    <font>
      <b/>
      <sz val="9.5"/>
      <color theme="0"/>
      <name val="Geneva"/>
    </font>
    <font>
      <sz val="10"/>
      <color theme="7" tint="0.39997558519241921"/>
      <name val="Geneva"/>
    </font>
    <font>
      <sz val="11"/>
      <name val="Calibri"/>
      <family val="2"/>
      <scheme val="minor"/>
    </font>
    <font>
      <sz val="7"/>
      <name val="Geneva"/>
    </font>
    <font>
      <i/>
      <sz val="9"/>
      <name val="Geneva"/>
    </font>
    <font>
      <b/>
      <sz val="7"/>
      <name val="Geneva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lightGray"/>
    </fill>
    <fill>
      <patternFill patternType="solid">
        <fgColor theme="4" tint="0.79998168889431442"/>
        <bgColor indexed="64"/>
      </patternFill>
    </fill>
    <fill>
      <patternFill patternType="solid">
        <fgColor rgb="FF017362"/>
        <bgColor indexed="64"/>
      </patternFill>
    </fill>
    <fill>
      <patternFill patternType="solid">
        <fgColor rgb="FF01C198"/>
        <bgColor indexed="64"/>
      </patternFill>
    </fill>
    <fill>
      <patternFill patternType="solid">
        <fgColor rgb="FF0199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FE7"/>
        <bgColor indexed="64"/>
      </patternFill>
    </fill>
    <fill>
      <patternFill patternType="darkGrid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1EDBA"/>
        <bgColor indexed="64"/>
      </patternFill>
    </fill>
    <fill>
      <patternFill patternType="solid">
        <fgColor rgb="FFAC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FED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1F1B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FF0000"/>
      </right>
      <top style="medium">
        <color indexed="64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19962"/>
      </left>
      <right style="thin">
        <color rgb="FF019962"/>
      </right>
      <top style="thin">
        <color rgb="FF019962"/>
      </top>
      <bottom style="thin">
        <color rgb="FF019962"/>
      </bottom>
      <diagonal/>
    </border>
    <border>
      <left style="thin">
        <color rgb="FF019962"/>
      </left>
      <right style="thin">
        <color rgb="FF019962"/>
      </right>
      <top/>
      <bottom style="thin">
        <color rgb="FF019962"/>
      </bottom>
      <diagonal/>
    </border>
    <border>
      <left/>
      <right style="thin">
        <color rgb="FF019962"/>
      </right>
      <top/>
      <bottom style="thin">
        <color rgb="FF019962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/>
      <diagonal/>
    </border>
    <border>
      <left style="thin">
        <color rgb="FF019962"/>
      </left>
      <right style="thin">
        <color rgb="FF019962"/>
      </right>
      <top/>
      <bottom/>
      <diagonal/>
    </border>
    <border>
      <left style="medium">
        <color auto="1"/>
      </left>
      <right/>
      <top style="thin">
        <color rgb="FF019962"/>
      </top>
      <bottom style="thin">
        <color rgb="FF019962"/>
      </bottom>
      <diagonal/>
    </border>
    <border>
      <left/>
      <right style="thin">
        <color rgb="FF019962"/>
      </right>
      <top style="thin">
        <color rgb="FF019962"/>
      </top>
      <bottom/>
      <diagonal/>
    </border>
    <border>
      <left style="thin">
        <color rgb="FF01AC7C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n">
        <color rgb="FF01AC7C"/>
      </left>
      <right style="medium">
        <color indexed="64"/>
      </right>
      <top style="medium">
        <color indexed="64"/>
      </top>
      <bottom style="thin">
        <color rgb="FF01AC7C"/>
      </bottom>
      <diagonal/>
    </border>
    <border>
      <left/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19962"/>
      </left>
      <right style="medium">
        <color auto="1"/>
      </right>
      <top style="thin">
        <color rgb="FF01996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rgb="FFFF0000"/>
      </top>
      <bottom style="thin">
        <color rgb="FFFF0000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rgb="FF01AC7C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theme="0"/>
      </top>
      <bottom style="medium">
        <color theme="0"/>
      </bottom>
      <diagonal/>
    </border>
    <border>
      <left style="thick">
        <color indexed="64"/>
      </left>
      <right/>
      <top style="medium">
        <color theme="0"/>
      </top>
      <bottom style="medium">
        <color indexed="64"/>
      </bottom>
      <diagonal/>
    </border>
    <border>
      <left style="thin">
        <color rgb="FF019962"/>
      </left>
      <right style="thick">
        <color indexed="64"/>
      </right>
      <top/>
      <bottom style="thin">
        <color rgb="FF019962"/>
      </bottom>
      <diagonal/>
    </border>
    <border>
      <left/>
      <right style="thick">
        <color indexed="64"/>
      </right>
      <top style="thin">
        <color rgb="FF019962"/>
      </top>
      <bottom style="thin">
        <color rgb="FF019962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/>
      <top/>
      <bottom/>
      <diagonal/>
    </border>
    <border>
      <left style="thick">
        <color indexed="64"/>
      </left>
      <right/>
      <top style="medium">
        <color theme="0"/>
      </top>
      <bottom/>
      <diagonal/>
    </border>
    <border>
      <left style="thick">
        <color indexed="64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medium">
        <color theme="0"/>
      </top>
      <bottom/>
      <diagonal/>
    </border>
    <border>
      <left style="thick">
        <color indexed="64"/>
      </left>
      <right/>
      <top style="thin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theme="0"/>
      </top>
      <bottom style="medium">
        <color theme="0"/>
      </bottom>
      <diagonal/>
    </border>
    <border>
      <left style="thick">
        <color indexed="64"/>
      </left>
      <right/>
      <top style="medium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rgb="FF019962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ck">
        <color indexed="64"/>
      </left>
      <right/>
      <top style="thin">
        <color rgb="FF01AC7C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n">
        <color rgb="FF01AC7C"/>
      </left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n">
        <color rgb="FF01AC7C"/>
      </left>
      <right style="medium">
        <color indexed="64"/>
      </right>
      <top style="thin">
        <color rgb="FF01AC7C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19962"/>
      </top>
      <bottom style="thin">
        <color rgb="FF019962"/>
      </bottom>
      <diagonal/>
    </border>
    <border>
      <left/>
      <right/>
      <top/>
      <bottom style="thin">
        <color rgb="FF019962"/>
      </bottom>
      <diagonal/>
    </border>
    <border>
      <left/>
      <right style="thin">
        <color rgb="FF019962"/>
      </right>
      <top style="medium">
        <color indexed="64"/>
      </top>
      <bottom/>
      <diagonal/>
    </border>
    <border>
      <left style="thin">
        <color rgb="FF019962"/>
      </left>
      <right style="thin">
        <color rgb="FF019962"/>
      </right>
      <top style="medium">
        <color indexed="64"/>
      </top>
      <bottom/>
      <diagonal/>
    </border>
    <border>
      <left style="thin">
        <color rgb="FF019962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19962"/>
      </right>
      <top style="thin">
        <color rgb="FF019962"/>
      </top>
      <bottom style="medium">
        <color indexed="64"/>
      </bottom>
      <diagonal/>
    </border>
    <border>
      <left style="thin">
        <color rgb="FF019962"/>
      </left>
      <right style="medium">
        <color indexed="64"/>
      </right>
      <top style="thin">
        <color rgb="FF019962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ashed">
        <color rgb="FF00B050"/>
      </right>
      <top style="double">
        <color indexed="64"/>
      </top>
      <bottom style="dashed">
        <color rgb="FF00B050"/>
      </bottom>
      <diagonal/>
    </border>
    <border>
      <left style="dashed">
        <color rgb="FF00B050"/>
      </left>
      <right style="thick">
        <color indexed="64"/>
      </right>
      <top style="double">
        <color indexed="64"/>
      </top>
      <bottom style="dashed">
        <color rgb="FF00B05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rgb="FF00B050"/>
      </right>
      <top style="dashed">
        <color rgb="FF00B050"/>
      </top>
      <bottom style="double">
        <color indexed="64"/>
      </bottom>
      <diagonal/>
    </border>
    <border>
      <left style="dashed">
        <color rgb="FF00B050"/>
      </left>
      <right style="thick">
        <color indexed="64"/>
      </right>
      <top style="dashed">
        <color rgb="FF00B050"/>
      </top>
      <bottom style="double">
        <color indexed="64"/>
      </bottom>
      <diagonal/>
    </border>
    <border>
      <left style="double">
        <color indexed="64"/>
      </left>
      <right/>
      <top style="dashed">
        <color rgb="FF00B050"/>
      </top>
      <bottom style="dashed">
        <color rgb="FF00B050"/>
      </bottom>
      <diagonal/>
    </border>
    <border>
      <left/>
      <right style="thick">
        <color indexed="64"/>
      </right>
      <top style="dashed">
        <color rgb="FF00B050"/>
      </top>
      <bottom style="dashed">
        <color rgb="FF00B050"/>
      </bottom>
      <diagonal/>
    </border>
    <border>
      <left style="medium">
        <color indexed="64"/>
      </left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medium">
        <color rgb="FF019962"/>
      </left>
      <right style="medium">
        <color rgb="FF019962"/>
      </right>
      <top style="medium">
        <color rgb="FF019962"/>
      </top>
      <bottom style="medium">
        <color rgb="FF019962"/>
      </bottom>
      <diagonal/>
    </border>
    <border>
      <left style="double">
        <color indexed="64"/>
      </left>
      <right/>
      <top/>
      <bottom style="dashed">
        <color rgb="FF00B050"/>
      </bottom>
      <diagonal/>
    </border>
    <border>
      <left/>
      <right style="thick">
        <color indexed="64"/>
      </right>
      <top/>
      <bottom style="dashed">
        <color rgb="FF00B05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019962"/>
      </right>
      <top/>
      <bottom style="thin">
        <color rgb="FF019962"/>
      </bottom>
      <diagonal/>
    </border>
    <border>
      <left style="thick">
        <color indexed="64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ck">
        <color indexed="64"/>
      </left>
      <right style="thin">
        <color rgb="FF01AC7C"/>
      </right>
      <top style="thin">
        <color rgb="FF01AC7C"/>
      </top>
      <bottom style="thin">
        <color rgb="FF01AC7C"/>
      </bottom>
      <diagonal/>
    </border>
    <border>
      <left style="thick">
        <color indexed="64"/>
      </left>
      <right style="thin">
        <color rgb="FF01AC7C"/>
      </right>
      <top/>
      <bottom style="thin">
        <color rgb="FF01AC7C"/>
      </bottom>
      <diagonal/>
    </border>
    <border>
      <left style="thick">
        <color indexed="64"/>
      </left>
      <right style="thin">
        <color rgb="FF01AC7C"/>
      </right>
      <top style="thin">
        <color rgb="FF01AC7C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19962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ashed">
        <color rgb="FF00B050"/>
      </left>
      <right/>
      <top style="double">
        <color indexed="64"/>
      </top>
      <bottom style="dashed">
        <color rgb="FF00B050"/>
      </bottom>
      <diagonal/>
    </border>
    <border>
      <left/>
      <right/>
      <top style="dashed">
        <color rgb="FF00B050"/>
      </top>
      <bottom style="dashed">
        <color rgb="FF00B050"/>
      </bottom>
      <diagonal/>
    </border>
    <border>
      <left style="dashed">
        <color rgb="FF00B050"/>
      </left>
      <right/>
      <top style="dashed">
        <color rgb="FF00B050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 style="medium">
        <color indexed="64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indexed="64"/>
      </bottom>
      <diagonal/>
    </border>
    <border>
      <left style="thin">
        <color rgb="FF019962"/>
      </left>
      <right/>
      <top/>
      <bottom style="thin">
        <color rgb="FF019962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9">
    <xf numFmtId="0" fontId="0" fillId="0" borderId="0"/>
    <xf numFmtId="0" fontId="8" fillId="0" borderId="0"/>
    <xf numFmtId="165" fontId="17" fillId="0" borderId="0" applyFont="0" applyFill="0" applyBorder="0" applyAlignment="0" applyProtection="0"/>
    <xf numFmtId="0" fontId="18" fillId="0" borderId="0"/>
    <xf numFmtId="38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1" fillId="0" borderId="0"/>
    <xf numFmtId="0" fontId="17" fillId="0" borderId="0"/>
    <xf numFmtId="0" fontId="32" fillId="0" borderId="0"/>
    <xf numFmtId="0" fontId="32" fillId="0" borderId="0"/>
    <xf numFmtId="0" fontId="30" fillId="0" borderId="0"/>
    <xf numFmtId="0" fontId="17" fillId="0" borderId="0"/>
    <xf numFmtId="0" fontId="30" fillId="0" borderId="0"/>
    <xf numFmtId="0" fontId="38" fillId="0" borderId="0"/>
    <xf numFmtId="0" fontId="30" fillId="0" borderId="0"/>
    <xf numFmtId="0" fontId="17" fillId="0" borderId="0"/>
    <xf numFmtId="164" fontId="30" fillId="0" borderId="0" applyFont="0" applyFill="0" applyBorder="0" applyAlignment="0" applyProtection="0"/>
    <xf numFmtId="0" fontId="30" fillId="0" borderId="0"/>
  </cellStyleXfs>
  <cellXfs count="847">
    <xf numFmtId="0" fontId="0" fillId="0" borderId="0" xfId="0"/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right" vertical="center"/>
    </xf>
    <xf numFmtId="2" fontId="2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2" fontId="4" fillId="2" borderId="17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8" fillId="0" borderId="0" xfId="0" applyNumberFormat="1" applyFont="1" applyAlignment="1">
      <alignment vertical="center"/>
    </xf>
    <xf numFmtId="0" fontId="35" fillId="0" borderId="0" xfId="0" applyFont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8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2" fontId="29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28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5" fontId="25" fillId="0" borderId="0" xfId="0" applyNumberFormat="1" applyFont="1" applyAlignment="1">
      <alignment horizontal="center" vertical="center"/>
    </xf>
    <xf numFmtId="175" fontId="34" fillId="0" borderId="0" xfId="0" applyNumberFormat="1" applyFont="1" applyAlignment="1">
      <alignment horizontal="center" vertical="center"/>
    </xf>
    <xf numFmtId="168" fontId="6" fillId="7" borderId="27" xfId="0" applyNumberFormat="1" applyFont="1" applyFill="1" applyBorder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0" fontId="39" fillId="0" borderId="0" xfId="0" applyFont="1"/>
    <xf numFmtId="0" fontId="40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right" vertical="center"/>
    </xf>
    <xf numFmtId="0" fontId="45" fillId="0" borderId="13" xfId="0" applyFont="1" applyBorder="1" applyAlignment="1">
      <alignment horizontal="center" vertical="center"/>
    </xf>
    <xf numFmtId="2" fontId="43" fillId="0" borderId="7" xfId="0" applyNumberFormat="1" applyFont="1" applyBorder="1" applyAlignment="1">
      <alignment horizontal="center"/>
    </xf>
    <xf numFmtId="0" fontId="45" fillId="0" borderId="10" xfId="0" applyFont="1" applyBorder="1" applyAlignment="1">
      <alignment horizontal="center" vertical="center"/>
    </xf>
    <xf numFmtId="2" fontId="43" fillId="0" borderId="9" xfId="0" applyNumberFormat="1" applyFont="1" applyBorder="1" applyAlignment="1">
      <alignment horizontal="center"/>
    </xf>
    <xf numFmtId="2" fontId="43" fillId="0" borderId="21" xfId="0" applyNumberFormat="1" applyFont="1" applyBorder="1" applyAlignment="1">
      <alignment horizontal="center"/>
    </xf>
    <xf numFmtId="0" fontId="43" fillId="11" borderId="11" xfId="0" applyFont="1" applyFill="1" applyBorder="1" applyAlignment="1">
      <alignment horizontal="center"/>
    </xf>
    <xf numFmtId="0" fontId="43" fillId="11" borderId="15" xfId="0" applyFont="1" applyFill="1" applyBorder="1" applyAlignment="1">
      <alignment horizontal="center"/>
    </xf>
    <xf numFmtId="0" fontId="45" fillId="0" borderId="32" xfId="0" applyFont="1" applyBorder="1"/>
    <xf numFmtId="0" fontId="43" fillId="0" borderId="10" xfId="0" applyFont="1" applyBorder="1"/>
    <xf numFmtId="2" fontId="43" fillId="0" borderId="26" xfId="0" applyNumberFormat="1" applyFont="1" applyBorder="1" applyAlignment="1">
      <alignment horizontal="center" vertical="center"/>
    </xf>
    <xf numFmtId="0" fontId="46" fillId="0" borderId="0" xfId="0" applyFont="1"/>
    <xf numFmtId="0" fontId="43" fillId="10" borderId="10" xfId="0" applyFont="1" applyFill="1" applyBorder="1" applyAlignment="1">
      <alignment horizontal="center"/>
    </xf>
    <xf numFmtId="2" fontId="43" fillId="10" borderId="26" xfId="0" applyNumberFormat="1" applyFont="1" applyFill="1" applyBorder="1" applyAlignment="1">
      <alignment horizontal="center" vertical="center"/>
    </xf>
    <xf numFmtId="0" fontId="43" fillId="10" borderId="46" xfId="0" applyFont="1" applyFill="1" applyBorder="1" applyAlignment="1">
      <alignment horizontal="center" vertical="center"/>
    </xf>
    <xf numFmtId="0" fontId="45" fillId="0" borderId="10" xfId="0" applyFont="1" applyBorder="1"/>
    <xf numFmtId="0" fontId="43" fillId="0" borderId="11" xfId="0" applyFont="1" applyBorder="1"/>
    <xf numFmtId="2" fontId="43" fillId="0" borderId="34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5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5" fillId="0" borderId="13" xfId="0" applyFont="1" applyBorder="1"/>
    <xf numFmtId="2" fontId="43" fillId="0" borderId="33" xfId="0" applyNumberFormat="1" applyFont="1" applyBorder="1" applyAlignment="1">
      <alignment horizontal="center" vertical="center"/>
    </xf>
    <xf numFmtId="2" fontId="49" fillId="0" borderId="7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2" fontId="49" fillId="0" borderId="9" xfId="0" applyNumberFormat="1" applyFont="1" applyBorder="1" applyAlignment="1">
      <alignment horizontal="center"/>
    </xf>
    <xf numFmtId="168" fontId="6" fillId="12" borderId="27" xfId="0" applyNumberFormat="1" applyFont="1" applyFill="1" applyBorder="1" applyAlignment="1">
      <alignment horizontal="center" vertical="center"/>
    </xf>
    <xf numFmtId="168" fontId="1" fillId="2" borderId="27" xfId="0" applyNumberFormat="1" applyFont="1" applyFill="1" applyBorder="1" applyAlignment="1">
      <alignment horizontal="center" vertical="center"/>
    </xf>
    <xf numFmtId="168" fontId="1" fillId="13" borderId="27" xfId="0" applyNumberFormat="1" applyFont="1" applyFill="1" applyBorder="1" applyAlignment="1">
      <alignment horizontal="center" vertical="center"/>
    </xf>
    <xf numFmtId="1" fontId="4" fillId="0" borderId="56" xfId="0" applyNumberFormat="1" applyFont="1" applyBorder="1" applyAlignment="1">
      <alignment horizontal="center" vertical="center"/>
    </xf>
    <xf numFmtId="2" fontId="4" fillId="0" borderId="56" xfId="0" applyNumberFormat="1" applyFont="1" applyBorder="1" applyAlignment="1">
      <alignment horizontal="center" vertical="center"/>
    </xf>
    <xf numFmtId="2" fontId="4" fillId="0" borderId="57" xfId="0" applyNumberFormat="1" applyFont="1" applyBorder="1" applyAlignment="1">
      <alignment horizontal="center" vertical="center"/>
    </xf>
    <xf numFmtId="1" fontId="4" fillId="0" borderId="59" xfId="0" applyNumberFormat="1" applyFont="1" applyBorder="1" applyAlignment="1">
      <alignment horizontal="center" vertical="center"/>
    </xf>
    <xf numFmtId="2" fontId="4" fillId="0" borderId="59" xfId="0" applyNumberFormat="1" applyFont="1" applyBorder="1" applyAlignment="1">
      <alignment horizontal="center" vertical="center"/>
    </xf>
    <xf numFmtId="2" fontId="28" fillId="0" borderId="63" xfId="0" applyNumberFormat="1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2" fontId="48" fillId="0" borderId="3" xfId="0" applyNumberFormat="1" applyFont="1" applyBorder="1"/>
    <xf numFmtId="2" fontId="48" fillId="0" borderId="49" xfId="0" applyNumberFormat="1" applyFont="1" applyBorder="1"/>
    <xf numFmtId="2" fontId="48" fillId="0" borderId="21" xfId="0" applyNumberFormat="1" applyFont="1" applyBorder="1"/>
    <xf numFmtId="2" fontId="48" fillId="0" borderId="66" xfId="0" applyNumberFormat="1" applyFont="1" applyBorder="1"/>
    <xf numFmtId="2" fontId="48" fillId="0" borderId="50" xfId="0" applyNumberFormat="1" applyFont="1" applyBorder="1"/>
    <xf numFmtId="2" fontId="10" fillId="2" borderId="56" xfId="0" applyNumberFormat="1" applyFont="1" applyFill="1" applyBorder="1" applyAlignment="1">
      <alignment horizontal="center" vertical="center"/>
    </xf>
    <xf numFmtId="2" fontId="10" fillId="2" borderId="5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17" xfId="0" applyBorder="1" applyAlignment="1">
      <alignment horizontal="left" vertical="center"/>
    </xf>
    <xf numFmtId="1" fontId="59" fillId="2" borderId="0" xfId="0" applyNumberFormat="1" applyFont="1" applyFill="1" applyAlignment="1">
      <alignment horizontal="right" vertical="center"/>
    </xf>
    <xf numFmtId="173" fontId="60" fillId="2" borderId="0" xfId="0" applyNumberFormat="1" applyFont="1" applyFill="1" applyAlignment="1">
      <alignment horizontal="left" vertical="center"/>
    </xf>
    <xf numFmtId="2" fontId="59" fillId="2" borderId="0" xfId="0" applyNumberFormat="1" applyFont="1" applyFill="1" applyAlignment="1">
      <alignment horizontal="right" vertical="center"/>
    </xf>
    <xf numFmtId="1" fontId="60" fillId="2" borderId="0" xfId="0" applyNumberFormat="1" applyFont="1" applyFill="1" applyAlignment="1">
      <alignment horizontal="left" vertical="center"/>
    </xf>
    <xf numFmtId="2" fontId="60" fillId="2" borderId="0" xfId="0" applyNumberFormat="1" applyFont="1" applyFill="1" applyAlignment="1">
      <alignment horizontal="right" vertical="center"/>
    </xf>
    <xf numFmtId="170" fontId="60" fillId="2" borderId="0" xfId="0" applyNumberFormat="1" applyFont="1" applyFill="1" applyAlignment="1">
      <alignment vertical="center"/>
    </xf>
    <xf numFmtId="1" fontId="59" fillId="2" borderId="17" xfId="0" applyNumberFormat="1" applyFont="1" applyFill="1" applyBorder="1" applyAlignment="1">
      <alignment horizontal="right" vertical="center"/>
    </xf>
    <xf numFmtId="1" fontId="60" fillId="0" borderId="17" xfId="0" applyNumberFormat="1" applyFont="1" applyBorder="1" applyAlignment="1">
      <alignment horizontal="left" vertical="center"/>
    </xf>
    <xf numFmtId="0" fontId="59" fillId="2" borderId="0" xfId="0" applyFont="1" applyFill="1" applyAlignment="1">
      <alignment horizontal="right" vertical="center"/>
    </xf>
    <xf numFmtId="15" fontId="60" fillId="2" borderId="0" xfId="0" applyNumberFormat="1" applyFont="1" applyFill="1" applyAlignment="1">
      <alignment horizontal="left" vertical="center"/>
    </xf>
    <xf numFmtId="167" fontId="4" fillId="0" borderId="67" xfId="0" applyNumberFormat="1" applyFont="1" applyBorder="1" applyAlignment="1">
      <alignment horizontal="center" vertical="center"/>
    </xf>
    <xf numFmtId="2" fontId="48" fillId="0" borderId="14" xfId="0" applyNumberFormat="1" applyFont="1" applyBorder="1"/>
    <xf numFmtId="2" fontId="49" fillId="0" borderId="6" xfId="0" applyNumberFormat="1" applyFont="1" applyBorder="1" applyAlignment="1">
      <alignment horizontal="center"/>
    </xf>
    <xf numFmtId="2" fontId="43" fillId="0" borderId="15" xfId="0" applyNumberFormat="1" applyFont="1" applyBorder="1" applyAlignment="1">
      <alignment horizontal="center"/>
    </xf>
    <xf numFmtId="0" fontId="43" fillId="10" borderId="71" xfId="0" applyFont="1" applyFill="1" applyBorder="1" applyAlignment="1">
      <alignment horizontal="center"/>
    </xf>
    <xf numFmtId="2" fontId="43" fillId="10" borderId="73" xfId="0" applyNumberFormat="1" applyFont="1" applyFill="1" applyBorder="1" applyAlignment="1">
      <alignment horizontal="center" vertical="center"/>
    </xf>
    <xf numFmtId="0" fontId="43" fillId="10" borderId="55" xfId="0" applyFont="1" applyFill="1" applyBorder="1" applyAlignment="1">
      <alignment horizontal="center" vertical="center"/>
    </xf>
    <xf numFmtId="0" fontId="43" fillId="0" borderId="13" xfId="0" applyFont="1" applyBorder="1"/>
    <xf numFmtId="0" fontId="43" fillId="10" borderId="66" xfId="0" applyFont="1" applyFill="1" applyBorder="1" applyAlignment="1">
      <alignment horizontal="center" vertical="center"/>
    </xf>
    <xf numFmtId="2" fontId="43" fillId="0" borderId="6" xfId="0" applyNumberFormat="1" applyFont="1" applyBorder="1" applyAlignment="1">
      <alignment horizontal="center" vertical="center"/>
    </xf>
    <xf numFmtId="0" fontId="42" fillId="0" borderId="13" xfId="0" applyFont="1" applyBorder="1"/>
    <xf numFmtId="0" fontId="43" fillId="0" borderId="7" xfId="0" applyFont="1" applyBorder="1" applyAlignment="1">
      <alignment horizontal="center" vertical="center"/>
    </xf>
    <xf numFmtId="0" fontId="43" fillId="0" borderId="72" xfId="0" applyFont="1" applyBorder="1" applyAlignment="1">
      <alignment vertical="center"/>
    </xf>
    <xf numFmtId="0" fontId="43" fillId="2" borderId="54" xfId="0" applyFont="1" applyFill="1" applyBorder="1" applyAlignment="1">
      <alignment horizontal="center" vertical="center"/>
    </xf>
    <xf numFmtId="0" fontId="43" fillId="0" borderId="54" xfId="0" applyFont="1" applyBorder="1" applyAlignment="1">
      <alignment vertical="center"/>
    </xf>
    <xf numFmtId="0" fontId="39" fillId="19" borderId="43" xfId="0" applyFont="1" applyFill="1" applyBorder="1"/>
    <xf numFmtId="0" fontId="39" fillId="19" borderId="44" xfId="0" applyFont="1" applyFill="1" applyBorder="1"/>
    <xf numFmtId="0" fontId="39" fillId="19" borderId="37" xfId="0" applyFont="1" applyFill="1" applyBorder="1"/>
    <xf numFmtId="0" fontId="43" fillId="0" borderId="77" xfId="0" applyFont="1" applyBorder="1" applyAlignment="1">
      <alignment vertical="center"/>
    </xf>
    <xf numFmtId="0" fontId="24" fillId="12" borderId="11" xfId="0" applyFont="1" applyFill="1" applyBorder="1" applyAlignment="1">
      <alignment horizontal="center"/>
    </xf>
    <xf numFmtId="0" fontId="24" fillId="12" borderId="15" xfId="0" applyFont="1" applyFill="1" applyBorder="1" applyAlignment="1">
      <alignment horizontal="center"/>
    </xf>
    <xf numFmtId="0" fontId="69" fillId="21" borderId="20" xfId="0" applyFont="1" applyFill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69" fillId="21" borderId="27" xfId="0" applyFont="1" applyFill="1" applyBorder="1" applyAlignment="1">
      <alignment horizontal="center" vertical="center"/>
    </xf>
    <xf numFmtId="2" fontId="43" fillId="0" borderId="8" xfId="0" applyNumberFormat="1" applyFont="1" applyBorder="1" applyAlignment="1">
      <alignment horizontal="center"/>
    </xf>
    <xf numFmtId="1" fontId="70" fillId="0" borderId="62" xfId="0" applyNumberFormat="1" applyFont="1" applyBorder="1" applyAlignment="1">
      <alignment horizontal="center" vertical="center"/>
    </xf>
    <xf numFmtId="0" fontId="0" fillId="2" borderId="85" xfId="0" applyFill="1" applyBorder="1" applyAlignment="1">
      <alignment vertical="center"/>
    </xf>
    <xf numFmtId="0" fontId="0" fillId="2" borderId="86" xfId="0" applyFill="1" applyBorder="1" applyAlignment="1">
      <alignment horizontal="center" vertical="center"/>
    </xf>
    <xf numFmtId="1" fontId="0" fillId="2" borderId="86" xfId="0" applyNumberFormat="1" applyFill="1" applyBorder="1" applyAlignment="1">
      <alignment horizontal="center" vertical="center"/>
    </xf>
    <xf numFmtId="2" fontId="1" fillId="2" borderId="86" xfId="0" applyNumberFormat="1" applyFont="1" applyFill="1" applyBorder="1" applyAlignment="1">
      <alignment horizontal="right" vertical="center"/>
    </xf>
    <xf numFmtId="2" fontId="2" fillId="2" borderId="86" xfId="0" applyNumberFormat="1" applyFont="1" applyFill="1" applyBorder="1" applyAlignment="1">
      <alignment horizontal="center" vertical="center"/>
    </xf>
    <xf numFmtId="0" fontId="3" fillId="2" borderId="86" xfId="0" applyFont="1" applyFill="1" applyBorder="1" applyAlignment="1">
      <alignment horizontal="left" vertical="center"/>
    </xf>
    <xf numFmtId="0" fontId="0" fillId="2" borderId="87" xfId="0" applyFill="1" applyBorder="1" applyAlignment="1">
      <alignment vertical="center"/>
    </xf>
    <xf numFmtId="0" fontId="0" fillId="2" borderId="88" xfId="0" applyFill="1" applyBorder="1" applyAlignment="1">
      <alignment vertical="center"/>
    </xf>
    <xf numFmtId="0" fontId="4" fillId="2" borderId="81" xfId="0" applyFont="1" applyFill="1" applyBorder="1" applyAlignment="1">
      <alignment vertical="center"/>
    </xf>
    <xf numFmtId="0" fontId="60" fillId="2" borderId="81" xfId="0" applyFont="1" applyFill="1" applyBorder="1" applyAlignment="1">
      <alignment vertical="center"/>
    </xf>
    <xf numFmtId="0" fontId="1" fillId="2" borderId="81" xfId="0" applyFont="1" applyFill="1" applyBorder="1" applyAlignment="1">
      <alignment vertical="center"/>
    </xf>
    <xf numFmtId="0" fontId="6" fillId="2" borderId="81" xfId="0" applyFont="1" applyFill="1" applyBorder="1" applyAlignment="1">
      <alignment vertical="center"/>
    </xf>
    <xf numFmtId="0" fontId="6" fillId="0" borderId="81" xfId="0" applyFont="1" applyBorder="1" applyAlignment="1">
      <alignment vertical="center"/>
    </xf>
    <xf numFmtId="178" fontId="60" fillId="8" borderId="89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0" fillId="2" borderId="81" xfId="0" applyFill="1" applyBorder="1" applyAlignment="1">
      <alignment vertical="center"/>
    </xf>
    <xf numFmtId="1" fontId="28" fillId="0" borderId="90" xfId="0" applyNumberFormat="1" applyFont="1" applyBorder="1" applyAlignment="1">
      <alignment horizontal="left" vertical="center"/>
    </xf>
    <xf numFmtId="166" fontId="4" fillId="21" borderId="25" xfId="0" applyNumberFormat="1" applyFont="1" applyFill="1" applyBorder="1" applyAlignment="1">
      <alignment horizontal="center" vertical="center"/>
    </xf>
    <xf numFmtId="166" fontId="4" fillId="21" borderId="74" xfId="0" applyNumberFormat="1" applyFont="1" applyFill="1" applyBorder="1" applyAlignment="1">
      <alignment horizontal="center" vertical="center"/>
    </xf>
    <xf numFmtId="2" fontId="62" fillId="20" borderId="2" xfId="0" applyNumberFormat="1" applyFont="1" applyFill="1" applyBorder="1" applyAlignment="1">
      <alignment horizontal="center" vertical="center"/>
    </xf>
    <xf numFmtId="2" fontId="62" fillId="20" borderId="2" xfId="0" applyNumberFormat="1" applyFont="1" applyFill="1" applyBorder="1" applyAlignment="1">
      <alignment horizontal="center" vertical="center" wrapText="1"/>
    </xf>
    <xf numFmtId="167" fontId="62" fillId="20" borderId="5" xfId="0" applyNumberFormat="1" applyFont="1" applyFill="1" applyBorder="1" applyAlignment="1">
      <alignment horizontal="center" vertical="center"/>
    </xf>
    <xf numFmtId="0" fontId="73" fillId="2" borderId="0" xfId="0" applyFont="1" applyFill="1" applyAlignment="1">
      <alignment horizontal="left" vertical="center"/>
    </xf>
    <xf numFmtId="0" fontId="73" fillId="2" borderId="81" xfId="0" applyFont="1" applyFill="1" applyBorder="1" applyAlignment="1">
      <alignment vertical="center"/>
    </xf>
    <xf numFmtId="0" fontId="73" fillId="2" borderId="0" xfId="0" applyFont="1" applyFill="1" applyAlignment="1">
      <alignment vertical="center"/>
    </xf>
    <xf numFmtId="2" fontId="74" fillId="3" borderId="27" xfId="0" applyNumberFormat="1" applyFont="1" applyFill="1" applyBorder="1" applyAlignment="1">
      <alignment horizontal="center" vertical="center"/>
    </xf>
    <xf numFmtId="0" fontId="69" fillId="4" borderId="14" xfId="0" applyFont="1" applyFill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1" fontId="50" fillId="2" borderId="0" xfId="0" applyNumberFormat="1" applyFont="1" applyFill="1" applyAlignment="1">
      <alignment horizontal="right" vertical="center"/>
    </xf>
    <xf numFmtId="1" fontId="76" fillId="2" borderId="0" xfId="0" applyNumberFormat="1" applyFont="1" applyFill="1" applyAlignment="1">
      <alignment horizontal="left" vertical="center"/>
    </xf>
    <xf numFmtId="0" fontId="78" fillId="2" borderId="0" xfId="0" applyFont="1" applyFill="1" applyAlignment="1">
      <alignment horizontal="center" vertical="center"/>
    </xf>
    <xf numFmtId="2" fontId="78" fillId="2" borderId="0" xfId="0" applyNumberFormat="1" applyFont="1" applyFill="1" applyAlignment="1">
      <alignment horizontal="center" vertical="center"/>
    </xf>
    <xf numFmtId="2" fontId="50" fillId="2" borderId="0" xfId="0" applyNumberFormat="1" applyFont="1" applyFill="1" applyAlignment="1">
      <alignment horizontal="right" vertical="center"/>
    </xf>
    <xf numFmtId="172" fontId="79" fillId="0" borderId="11" xfId="0" applyNumberFormat="1" applyFont="1" applyBorder="1" applyAlignment="1">
      <alignment horizontal="center" vertical="center"/>
    </xf>
    <xf numFmtId="181" fontId="79" fillId="0" borderId="15" xfId="0" applyNumberFormat="1" applyFont="1" applyBorder="1" applyAlignment="1">
      <alignment horizontal="center" vertical="center"/>
    </xf>
    <xf numFmtId="0" fontId="59" fillId="8" borderId="132" xfId="0" applyFont="1" applyFill="1" applyBorder="1" applyAlignment="1">
      <alignment horizontal="center" vertical="center"/>
    </xf>
    <xf numFmtId="0" fontId="80" fillId="2" borderId="39" xfId="0" applyFont="1" applyFill="1" applyBorder="1" applyAlignment="1">
      <alignment horizontal="center" vertical="center"/>
    </xf>
    <xf numFmtId="0" fontId="80" fillId="2" borderId="103" xfId="0" applyFont="1" applyFill="1" applyBorder="1" applyAlignment="1">
      <alignment horizontal="center" vertical="center"/>
    </xf>
    <xf numFmtId="0" fontId="80" fillId="2" borderId="41" xfId="0" applyFont="1" applyFill="1" applyBorder="1" applyAlignment="1">
      <alignment horizontal="center" vertical="center"/>
    </xf>
    <xf numFmtId="0" fontId="80" fillId="2" borderId="104" xfId="0" applyFont="1" applyFill="1" applyBorder="1" applyAlignment="1">
      <alignment horizontal="center" vertical="center"/>
    </xf>
    <xf numFmtId="1" fontId="28" fillId="0" borderId="134" xfId="0" applyNumberFormat="1" applyFont="1" applyBorder="1" applyAlignment="1">
      <alignment horizontal="center" vertical="center"/>
    </xf>
    <xf numFmtId="0" fontId="28" fillId="0" borderId="136" xfId="0" applyFont="1" applyBorder="1" applyAlignment="1">
      <alignment horizontal="center" vertical="center"/>
    </xf>
    <xf numFmtId="1" fontId="28" fillId="0" borderId="137" xfId="0" applyNumberFormat="1" applyFont="1" applyBorder="1" applyAlignment="1">
      <alignment horizontal="center" vertical="center"/>
    </xf>
    <xf numFmtId="2" fontId="28" fillId="0" borderId="137" xfId="0" applyNumberFormat="1" applyFont="1" applyBorder="1" applyAlignment="1">
      <alignment horizontal="center" vertical="center"/>
    </xf>
    <xf numFmtId="0" fontId="28" fillId="0" borderId="138" xfId="0" applyFont="1" applyBorder="1" applyAlignment="1">
      <alignment horizontal="center" vertical="center"/>
    </xf>
    <xf numFmtId="0" fontId="81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173" fontId="37" fillId="0" borderId="0" xfId="0" applyNumberFormat="1" applyFont="1" applyAlignment="1">
      <alignment horizontal="left" vertical="center"/>
    </xf>
    <xf numFmtId="179" fontId="37" fillId="0" borderId="0" xfId="0" applyNumberFormat="1" applyFont="1" applyAlignment="1">
      <alignment horizontal="left" vertical="center"/>
    </xf>
    <xf numFmtId="180" fontId="37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175" fontId="29" fillId="0" borderId="0" xfId="0" applyNumberFormat="1" applyFont="1" applyAlignment="1">
      <alignment horizontal="center" vertical="center"/>
    </xf>
    <xf numFmtId="0" fontId="69" fillId="21" borderId="5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2" fontId="85" fillId="0" borderId="14" xfId="0" applyNumberFormat="1" applyFont="1" applyBorder="1" applyAlignment="1">
      <alignment horizontal="center"/>
    </xf>
    <xf numFmtId="2" fontId="85" fillId="0" borderId="21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 vertical="center"/>
    </xf>
    <xf numFmtId="2" fontId="86" fillId="0" borderId="7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6" fillId="0" borderId="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2" fontId="8" fillId="0" borderId="72" xfId="0" applyNumberFormat="1" applyFont="1" applyBorder="1" applyAlignment="1">
      <alignment horizontal="center" vertical="center"/>
    </xf>
    <xf numFmtId="2" fontId="86" fillId="0" borderId="72" xfId="0" applyNumberFormat="1" applyFont="1" applyBorder="1" applyAlignment="1">
      <alignment horizontal="center" vertical="center"/>
    </xf>
    <xf numFmtId="2" fontId="8" fillId="4" borderId="9" xfId="0" applyNumberFormat="1" applyFont="1" applyFill="1" applyBorder="1" applyAlignment="1">
      <alignment horizontal="center" vertical="center"/>
    </xf>
    <xf numFmtId="2" fontId="86" fillId="4" borderId="9" xfId="0" applyNumberFormat="1" applyFont="1" applyFill="1" applyBorder="1" applyAlignment="1">
      <alignment horizontal="center" vertical="center"/>
    </xf>
    <xf numFmtId="167" fontId="8" fillId="4" borderId="21" xfId="0" applyNumberFormat="1" applyFont="1" applyFill="1" applyBorder="1" applyAlignment="1">
      <alignment horizontal="center" vertical="center"/>
    </xf>
    <xf numFmtId="2" fontId="8" fillId="26" borderId="9" xfId="0" applyNumberFormat="1" applyFont="1" applyFill="1" applyBorder="1" applyAlignment="1">
      <alignment horizontal="center" vertical="center"/>
    </xf>
    <xf numFmtId="2" fontId="86" fillId="26" borderId="9" xfId="0" applyNumberFormat="1" applyFont="1" applyFill="1" applyBorder="1" applyAlignment="1">
      <alignment horizontal="center" vertical="center"/>
    </xf>
    <xf numFmtId="167" fontId="8" fillId="26" borderId="21" xfId="0" applyNumberFormat="1" applyFont="1" applyFill="1" applyBorder="1" applyAlignment="1">
      <alignment horizontal="center" vertical="center"/>
    </xf>
    <xf numFmtId="0" fontId="50" fillId="2" borderId="25" xfId="0" applyFont="1" applyFill="1" applyBorder="1" applyAlignment="1">
      <alignment horizontal="right" vertical="center"/>
    </xf>
    <xf numFmtId="168" fontId="50" fillId="2" borderId="69" xfId="0" applyNumberFormat="1" applyFont="1" applyFill="1" applyBorder="1" applyAlignment="1">
      <alignment horizontal="center" vertical="center"/>
    </xf>
    <xf numFmtId="0" fontId="50" fillId="2" borderId="42" xfId="0" applyFont="1" applyFill="1" applyBorder="1" applyAlignment="1">
      <alignment horizontal="right" vertical="center"/>
    </xf>
    <xf numFmtId="168" fontId="50" fillId="2" borderId="102" xfId="0" applyNumberFormat="1" applyFont="1" applyFill="1" applyBorder="1" applyAlignment="1">
      <alignment horizontal="center" vertical="center"/>
    </xf>
    <xf numFmtId="0" fontId="50" fillId="2" borderId="40" xfId="0" applyFont="1" applyFill="1" applyBorder="1" applyAlignment="1">
      <alignment horizontal="right" vertical="center"/>
    </xf>
    <xf numFmtId="168" fontId="50" fillId="2" borderId="101" xfId="0" applyNumberFormat="1" applyFont="1" applyFill="1" applyBorder="1" applyAlignment="1">
      <alignment horizontal="center" vertical="center"/>
    </xf>
    <xf numFmtId="0" fontId="88" fillId="2" borderId="0" xfId="0" applyFont="1" applyFill="1" applyAlignment="1">
      <alignment horizontal="center" vertical="center"/>
    </xf>
    <xf numFmtId="0" fontId="76" fillId="2" borderId="0" xfId="0" applyFont="1" applyFill="1" applyAlignment="1">
      <alignment vertical="center"/>
    </xf>
    <xf numFmtId="0" fontId="88" fillId="2" borderId="0" xfId="0" applyFont="1" applyFill="1" applyAlignment="1">
      <alignment vertical="center"/>
    </xf>
    <xf numFmtId="1" fontId="70" fillId="2" borderId="62" xfId="0" applyNumberFormat="1" applyFont="1" applyFill="1" applyBorder="1" applyAlignment="1">
      <alignment horizontal="center" vertical="center"/>
    </xf>
    <xf numFmtId="1" fontId="4" fillId="2" borderId="56" xfId="0" applyNumberFormat="1" applyFont="1" applyFill="1" applyBorder="1" applyAlignment="1">
      <alignment horizontal="center" vertical="center"/>
    </xf>
    <xf numFmtId="1" fontId="4" fillId="2" borderId="59" xfId="0" applyNumberFormat="1" applyFont="1" applyFill="1" applyBorder="1" applyAlignment="1">
      <alignment horizontal="center" vertical="center"/>
    </xf>
    <xf numFmtId="2" fontId="86" fillId="2" borderId="57" xfId="0" applyNumberFormat="1" applyFont="1" applyFill="1" applyBorder="1" applyAlignment="1">
      <alignment horizontal="center" vertical="center"/>
    </xf>
    <xf numFmtId="2" fontId="8" fillId="2" borderId="56" xfId="0" applyNumberFormat="1" applyFont="1" applyFill="1" applyBorder="1" applyAlignment="1">
      <alignment horizontal="center" vertical="center"/>
    </xf>
    <xf numFmtId="2" fontId="4" fillId="2" borderId="56" xfId="0" applyNumberFormat="1" applyFont="1" applyFill="1" applyBorder="1" applyAlignment="1">
      <alignment horizontal="center" vertical="center"/>
    </xf>
    <xf numFmtId="2" fontId="13" fillId="21" borderId="7" xfId="0" applyNumberFormat="1" applyFont="1" applyFill="1" applyBorder="1" applyAlignment="1">
      <alignment horizontal="center" vertical="center"/>
    </xf>
    <xf numFmtId="2" fontId="13" fillId="21" borderId="9" xfId="0" applyNumberFormat="1" applyFont="1" applyFill="1" applyBorder="1" applyAlignment="1">
      <alignment horizontal="center" vertical="center"/>
    </xf>
    <xf numFmtId="2" fontId="13" fillId="21" borderId="6" xfId="0" applyNumberFormat="1" applyFont="1" applyFill="1" applyBorder="1" applyAlignment="1">
      <alignment horizontal="center" vertical="center"/>
    </xf>
    <xf numFmtId="0" fontId="62" fillId="21" borderId="39" xfId="0" applyFont="1" applyFill="1" applyBorder="1" applyAlignment="1">
      <alignment horizontal="right" vertical="center"/>
    </xf>
    <xf numFmtId="168" fontId="29" fillId="21" borderId="97" xfId="0" applyNumberFormat="1" applyFont="1" applyFill="1" applyBorder="1" applyAlignment="1">
      <alignment horizontal="center" vertical="center"/>
    </xf>
    <xf numFmtId="0" fontId="62" fillId="21" borderId="36" xfId="0" applyFont="1" applyFill="1" applyBorder="1" applyAlignment="1">
      <alignment horizontal="right" vertical="center"/>
    </xf>
    <xf numFmtId="168" fontId="29" fillId="21" borderId="98" xfId="0" applyNumberFormat="1" applyFont="1" applyFill="1" applyBorder="1" applyAlignment="1">
      <alignment horizontal="center" vertical="center"/>
    </xf>
    <xf numFmtId="0" fontId="62" fillId="21" borderId="41" xfId="0" applyFont="1" applyFill="1" applyBorder="1" applyAlignment="1">
      <alignment horizontal="right" vertical="center"/>
    </xf>
    <xf numFmtId="168" fontId="29" fillId="21" borderId="99" xfId="0" applyNumberFormat="1" applyFont="1" applyFill="1" applyBorder="1" applyAlignment="1">
      <alignment horizontal="center" vertical="center"/>
    </xf>
    <xf numFmtId="2" fontId="13" fillId="21" borderId="54" xfId="0" applyNumberFormat="1" applyFont="1" applyFill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6" fillId="0" borderId="8" xfId="0" applyNumberFormat="1" applyFont="1" applyBorder="1" applyAlignment="1">
      <alignment horizontal="center" vertical="center"/>
    </xf>
    <xf numFmtId="167" fontId="8" fillId="0" borderId="49" xfId="0" applyNumberFormat="1" applyFont="1" applyBorder="1" applyAlignment="1">
      <alignment horizontal="center" vertical="center"/>
    </xf>
    <xf numFmtId="2" fontId="8" fillId="2" borderId="9" xfId="0" applyNumberFormat="1" applyFont="1" applyFill="1" applyBorder="1" applyAlignment="1">
      <alignment horizontal="center" vertical="center"/>
    </xf>
    <xf numFmtId="2" fontId="86" fillId="2" borderId="9" xfId="0" applyNumberFormat="1" applyFont="1" applyFill="1" applyBorder="1" applyAlignment="1">
      <alignment horizontal="center" vertical="center"/>
    </xf>
    <xf numFmtId="167" fontId="8" fillId="2" borderId="21" xfId="0" applyNumberFormat="1" applyFont="1" applyFill="1" applyBorder="1" applyAlignment="1">
      <alignment horizontal="center" vertical="center"/>
    </xf>
    <xf numFmtId="2" fontId="8" fillId="28" borderId="9" xfId="0" applyNumberFormat="1" applyFont="1" applyFill="1" applyBorder="1" applyAlignment="1">
      <alignment horizontal="center" vertical="center"/>
    </xf>
    <xf numFmtId="2" fontId="86" fillId="28" borderId="9" xfId="0" applyNumberFormat="1" applyFont="1" applyFill="1" applyBorder="1" applyAlignment="1">
      <alignment horizontal="center" vertical="center"/>
    </xf>
    <xf numFmtId="167" fontId="8" fillId="28" borderId="2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2" fontId="49" fillId="2" borderId="9" xfId="0" applyNumberFormat="1" applyFont="1" applyFill="1" applyBorder="1" applyAlignment="1">
      <alignment horizontal="center"/>
    </xf>
    <xf numFmtId="2" fontId="90" fillId="2" borderId="50" xfId="0" applyNumberFormat="1" applyFont="1" applyFill="1" applyBorder="1"/>
    <xf numFmtId="0" fontId="2" fillId="2" borderId="11" xfId="0" applyFont="1" applyFill="1" applyBorder="1" applyAlignment="1">
      <alignment horizontal="center" vertical="center"/>
    </xf>
    <xf numFmtId="2" fontId="49" fillId="2" borderId="6" xfId="0" applyNumberFormat="1" applyFont="1" applyFill="1" applyBorder="1" applyAlignment="1">
      <alignment horizontal="center"/>
    </xf>
    <xf numFmtId="2" fontId="90" fillId="2" borderId="51" xfId="0" applyNumberFormat="1" applyFont="1" applyFill="1" applyBorder="1"/>
    <xf numFmtId="0" fontId="24" fillId="2" borderId="10" xfId="0" applyFont="1" applyFill="1" applyBorder="1" applyAlignment="1">
      <alignment horizontal="center" vertical="center"/>
    </xf>
    <xf numFmtId="2" fontId="66" fillId="2" borderId="9" xfId="0" applyNumberFormat="1" applyFont="1" applyFill="1" applyBorder="1" applyAlignment="1">
      <alignment horizontal="center"/>
    </xf>
    <xf numFmtId="2" fontId="67" fillId="2" borderId="50" xfId="0" applyNumberFormat="1" applyFont="1" applyFill="1" applyBorder="1"/>
    <xf numFmtId="2" fontId="4" fillId="2" borderId="109" xfId="0" applyNumberFormat="1" applyFont="1" applyFill="1" applyBorder="1" applyAlignment="1">
      <alignment horizontal="center" vertical="center"/>
    </xf>
    <xf numFmtId="2" fontId="4" fillId="2" borderId="57" xfId="0" applyNumberFormat="1" applyFont="1" applyFill="1" applyBorder="1" applyAlignment="1">
      <alignment horizontal="center" vertical="center"/>
    </xf>
    <xf numFmtId="2" fontId="4" fillId="2" borderId="123" xfId="0" applyNumberFormat="1" applyFont="1" applyFill="1" applyBorder="1" applyAlignment="1">
      <alignment horizontal="center" vertical="center"/>
    </xf>
    <xf numFmtId="2" fontId="4" fillId="2" borderId="124" xfId="0" applyNumberFormat="1" applyFont="1" applyFill="1" applyBorder="1" applyAlignment="1">
      <alignment horizontal="center" vertical="center"/>
    </xf>
    <xf numFmtId="0" fontId="29" fillId="4" borderId="25" xfId="0" applyFont="1" applyFill="1" applyBorder="1" applyAlignment="1">
      <alignment horizontal="center" vertical="center" wrapText="1"/>
    </xf>
    <xf numFmtId="1" fontId="70" fillId="0" borderId="145" xfId="0" applyNumberFormat="1" applyFont="1" applyBorder="1" applyAlignment="1">
      <alignment horizontal="center" vertical="center"/>
    </xf>
    <xf numFmtId="1" fontId="4" fillId="0" borderId="146" xfId="0" applyNumberFormat="1" applyFont="1" applyBorder="1" applyAlignment="1">
      <alignment horizontal="center" vertical="center"/>
    </xf>
    <xf numFmtId="2" fontId="10" fillId="2" borderId="146" xfId="0" applyNumberFormat="1" applyFont="1" applyFill="1" applyBorder="1" applyAlignment="1">
      <alignment horizontal="center" vertical="center"/>
    </xf>
    <xf numFmtId="2" fontId="4" fillId="0" borderId="146" xfId="0" applyNumberFormat="1" applyFont="1" applyBorder="1" applyAlignment="1">
      <alignment horizontal="center" vertical="center"/>
    </xf>
    <xf numFmtId="167" fontId="4" fillId="0" borderId="147" xfId="0" applyNumberFormat="1" applyFont="1" applyBorder="1" applyAlignment="1">
      <alignment horizontal="center" vertical="center"/>
    </xf>
    <xf numFmtId="1" fontId="70" fillId="2" borderId="148" xfId="0" applyNumberFormat="1" applyFont="1" applyFill="1" applyBorder="1" applyAlignment="1">
      <alignment horizontal="center" vertical="center"/>
    </xf>
    <xf numFmtId="2" fontId="8" fillId="2" borderId="57" xfId="0" applyNumberFormat="1" applyFont="1" applyFill="1" applyBorder="1" applyAlignment="1">
      <alignment horizontal="center" vertical="center"/>
    </xf>
    <xf numFmtId="2" fontId="8" fillId="2" borderId="124" xfId="0" applyNumberFormat="1" applyFont="1" applyFill="1" applyBorder="1" applyAlignment="1">
      <alignment horizontal="center" vertical="center"/>
    </xf>
    <xf numFmtId="2" fontId="8" fillId="2" borderId="123" xfId="0" applyNumberFormat="1" applyFont="1" applyFill="1" applyBorder="1" applyAlignment="1">
      <alignment horizontal="center" vertical="center"/>
    </xf>
    <xf numFmtId="2" fontId="8" fillId="2" borderId="72" xfId="0" applyNumberFormat="1" applyFont="1" applyFill="1" applyBorder="1" applyAlignment="1">
      <alignment horizontal="center" vertical="center"/>
    </xf>
    <xf numFmtId="2" fontId="86" fillId="2" borderId="72" xfId="0" applyNumberFormat="1" applyFont="1" applyFill="1" applyBorder="1" applyAlignment="1">
      <alignment horizontal="center" vertical="center"/>
    </xf>
    <xf numFmtId="0" fontId="10" fillId="0" borderId="0" xfId="0" applyFont="1"/>
    <xf numFmtId="0" fontId="91" fillId="0" borderId="0" xfId="0" applyFont="1" applyAlignment="1">
      <alignment horizontal="right" vertical="center"/>
    </xf>
    <xf numFmtId="0" fontId="92" fillId="10" borderId="21" xfId="0" applyFont="1" applyFill="1" applyBorder="1" applyAlignment="1">
      <alignment horizontal="center" vertical="center"/>
    </xf>
    <xf numFmtId="0" fontId="92" fillId="10" borderId="66" xfId="0" applyFont="1" applyFill="1" applyBorder="1" applyAlignment="1">
      <alignment horizontal="center" vertical="center"/>
    </xf>
    <xf numFmtId="2" fontId="49" fillId="0" borderId="7" xfId="0" applyNumberFormat="1" applyFont="1" applyBorder="1" applyAlignment="1">
      <alignment horizontal="center" vertical="center"/>
    </xf>
    <xf numFmtId="2" fontId="49" fillId="0" borderId="9" xfId="0" applyNumberFormat="1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2" fontId="49" fillId="0" borderId="21" xfId="0" applyNumberFormat="1" applyFont="1" applyBorder="1" applyAlignment="1">
      <alignment horizontal="center" vertical="center"/>
    </xf>
    <xf numFmtId="2" fontId="49" fillId="0" borderId="49" xfId="0" applyNumberFormat="1" applyFont="1" applyBorder="1" applyAlignment="1">
      <alignment horizontal="center" vertical="center"/>
    </xf>
    <xf numFmtId="0" fontId="93" fillId="4" borderId="21" xfId="0" applyFont="1" applyFill="1" applyBorder="1" applyAlignment="1">
      <alignment horizontal="center"/>
    </xf>
    <xf numFmtId="170" fontId="10" fillId="2" borderId="0" xfId="0" applyNumberFormat="1" applyFont="1" applyFill="1" applyAlignment="1">
      <alignment horizontal="left" vertical="center"/>
    </xf>
    <xf numFmtId="176" fontId="76" fillId="2" borderId="0" xfId="0" applyNumberFormat="1" applyFont="1" applyFill="1" applyAlignment="1">
      <alignment horizontal="left" vertical="center"/>
    </xf>
    <xf numFmtId="174" fontId="76" fillId="2" borderId="0" xfId="0" applyNumberFormat="1" applyFont="1" applyFill="1" applyAlignment="1">
      <alignment horizontal="left" vertical="center"/>
    </xf>
    <xf numFmtId="169" fontId="76" fillId="2" borderId="0" xfId="0" applyNumberFormat="1" applyFont="1" applyFill="1" applyAlignment="1">
      <alignment horizontal="left" vertical="center"/>
    </xf>
    <xf numFmtId="2" fontId="88" fillId="2" borderId="0" xfId="0" applyNumberFormat="1" applyFont="1" applyFill="1" applyAlignment="1">
      <alignment horizontal="center" vertical="center"/>
    </xf>
    <xf numFmtId="166" fontId="76" fillId="2" borderId="0" xfId="0" applyNumberFormat="1" applyFont="1" applyFill="1" applyAlignment="1">
      <alignment vertical="center"/>
    </xf>
    <xf numFmtId="0" fontId="4" fillId="2" borderId="36" xfId="0" applyFont="1" applyFill="1" applyBorder="1" applyAlignment="1">
      <alignment horizontal="center" vertical="center"/>
    </xf>
    <xf numFmtId="167" fontId="4" fillId="21" borderId="67" xfId="0" applyNumberFormat="1" applyFont="1" applyFill="1" applyBorder="1" applyAlignment="1">
      <alignment horizontal="center" vertical="center"/>
    </xf>
    <xf numFmtId="167" fontId="4" fillId="21" borderId="147" xfId="0" applyNumberFormat="1" applyFont="1" applyFill="1" applyBorder="1" applyAlignment="1">
      <alignment horizontal="center" vertical="center"/>
    </xf>
    <xf numFmtId="167" fontId="4" fillId="21" borderId="149" xfId="0" applyNumberFormat="1" applyFont="1" applyFill="1" applyBorder="1" applyAlignment="1">
      <alignment horizontal="center" vertical="center"/>
    </xf>
    <xf numFmtId="2" fontId="94" fillId="0" borderId="9" xfId="0" applyNumberFormat="1" applyFont="1" applyBorder="1" applyAlignment="1">
      <alignment horizontal="center" vertical="center"/>
    </xf>
    <xf numFmtId="2" fontId="6" fillId="3" borderId="28" xfId="0" applyNumberFormat="1" applyFont="1" applyFill="1" applyBorder="1" applyAlignment="1">
      <alignment horizontal="right" vertical="center"/>
    </xf>
    <xf numFmtId="183" fontId="6" fillId="3" borderId="81" xfId="0" applyNumberFormat="1" applyFont="1" applyFill="1" applyBorder="1" applyAlignment="1">
      <alignment horizontal="left" vertical="center"/>
    </xf>
    <xf numFmtId="2" fontId="8" fillId="29" borderId="9" xfId="0" applyNumberFormat="1" applyFont="1" applyFill="1" applyBorder="1" applyAlignment="1">
      <alignment horizontal="center" vertical="center"/>
    </xf>
    <xf numFmtId="2" fontId="86" fillId="29" borderId="9" xfId="0" applyNumberFormat="1" applyFont="1" applyFill="1" applyBorder="1" applyAlignment="1">
      <alignment horizontal="center" vertical="center"/>
    </xf>
    <xf numFmtId="167" fontId="8" fillId="29" borderId="21" xfId="0" applyNumberFormat="1" applyFont="1" applyFill="1" applyBorder="1" applyAlignment="1">
      <alignment horizontal="center" vertical="center"/>
    </xf>
    <xf numFmtId="2" fontId="29" fillId="29" borderId="9" xfId="0" applyNumberFormat="1" applyFont="1" applyFill="1" applyBorder="1" applyAlignment="1">
      <alignment horizontal="center" vertical="center"/>
    </xf>
    <xf numFmtId="2" fontId="29" fillId="29" borderId="26" xfId="0" applyNumberFormat="1" applyFont="1" applyFill="1" applyBorder="1" applyAlignment="1">
      <alignment horizontal="center" vertical="center"/>
    </xf>
    <xf numFmtId="2" fontId="8" fillId="29" borderId="26" xfId="0" applyNumberFormat="1" applyFont="1" applyFill="1" applyBorder="1" applyAlignment="1">
      <alignment horizontal="center" vertical="center"/>
    </xf>
    <xf numFmtId="2" fontId="8" fillId="29" borderId="6" xfId="0" applyNumberFormat="1" applyFont="1" applyFill="1" applyBorder="1" applyAlignment="1">
      <alignment horizontal="center" vertical="center"/>
    </xf>
    <xf numFmtId="2" fontId="29" fillId="29" borderId="6" xfId="0" applyNumberFormat="1" applyFont="1" applyFill="1" applyBorder="1" applyAlignment="1">
      <alignment horizontal="center" vertical="center"/>
    </xf>
    <xf numFmtId="2" fontId="8" fillId="29" borderId="34" xfId="0" applyNumberFormat="1" applyFont="1" applyFill="1" applyBorder="1" applyAlignment="1">
      <alignment horizontal="center" vertical="center"/>
    </xf>
    <xf numFmtId="2" fontId="8" fillId="29" borderId="72" xfId="0" applyNumberFormat="1" applyFont="1" applyFill="1" applyBorder="1" applyAlignment="1">
      <alignment horizontal="center" vertical="center"/>
    </xf>
    <xf numFmtId="2" fontId="86" fillId="29" borderId="72" xfId="0" applyNumberFormat="1" applyFont="1" applyFill="1" applyBorder="1" applyAlignment="1">
      <alignment horizontal="center" vertical="center"/>
    </xf>
    <xf numFmtId="2" fontId="8" fillId="16" borderId="44" xfId="0" applyNumberFormat="1" applyFont="1" applyFill="1" applyBorder="1" applyAlignment="1">
      <alignment horizontal="center" vertical="center"/>
    </xf>
    <xf numFmtId="2" fontId="86" fillId="16" borderId="44" xfId="0" applyNumberFormat="1" applyFont="1" applyFill="1" applyBorder="1" applyAlignment="1">
      <alignment horizontal="center" vertical="center"/>
    </xf>
    <xf numFmtId="167" fontId="8" fillId="16" borderId="37" xfId="0" applyNumberFormat="1" applyFont="1" applyFill="1" applyBorder="1" applyAlignment="1">
      <alignment horizontal="center" vertical="center"/>
    </xf>
    <xf numFmtId="2" fontId="86" fillId="28" borderId="72" xfId="0" applyNumberFormat="1" applyFont="1" applyFill="1" applyBorder="1" applyAlignment="1">
      <alignment horizontal="center" vertical="center"/>
    </xf>
    <xf numFmtId="0" fontId="97" fillId="30" borderId="151" xfId="0" applyFont="1" applyFill="1" applyBorder="1" applyAlignment="1">
      <alignment horizontal="left" vertical="center" wrapText="1"/>
    </xf>
    <xf numFmtId="182" fontId="98" fillId="30" borderId="152" xfId="0" applyNumberFormat="1" applyFont="1" applyFill="1" applyBorder="1" applyAlignment="1">
      <alignment horizontal="left" vertical="center" wrapText="1"/>
    </xf>
    <xf numFmtId="0" fontId="96" fillId="23" borderId="153" xfId="0" applyFont="1" applyFill="1" applyBorder="1" applyAlignment="1">
      <alignment vertical="center" wrapText="1"/>
    </xf>
    <xf numFmtId="1" fontId="99" fillId="23" borderId="70" xfId="0" applyNumberFormat="1" applyFont="1" applyFill="1" applyBorder="1" applyAlignment="1">
      <alignment horizontal="left" vertical="center" wrapText="1"/>
    </xf>
    <xf numFmtId="182" fontId="98" fillId="30" borderId="157" xfId="0" applyNumberFormat="1" applyFont="1" applyFill="1" applyBorder="1" applyAlignment="1">
      <alignment horizontal="left" vertical="center" wrapText="1"/>
    </xf>
    <xf numFmtId="2" fontId="9" fillId="16" borderId="28" xfId="0" applyNumberFormat="1" applyFont="1" applyFill="1" applyBorder="1" applyAlignment="1">
      <alignment horizontal="left" vertical="center"/>
    </xf>
    <xf numFmtId="2" fontId="9" fillId="16" borderId="81" xfId="0" applyNumberFormat="1" applyFont="1" applyFill="1" applyBorder="1" applyAlignment="1">
      <alignment horizontal="left" vertical="center"/>
    </xf>
    <xf numFmtId="2" fontId="57" fillId="2" borderId="0" xfId="0" applyNumberFormat="1" applyFont="1" applyFill="1" applyAlignment="1">
      <alignment horizontal="center" vertical="center"/>
    </xf>
    <xf numFmtId="173" fontId="76" fillId="2" borderId="0" xfId="0" applyNumberFormat="1" applyFont="1" applyFill="1" applyAlignment="1">
      <alignment horizontal="left" vertical="center"/>
    </xf>
    <xf numFmtId="166" fontId="60" fillId="2" borderId="0" xfId="0" applyNumberFormat="1" applyFont="1" applyFill="1" applyAlignment="1">
      <alignment horizontal="left" vertical="center"/>
    </xf>
    <xf numFmtId="1" fontId="28" fillId="0" borderId="63" xfId="0" applyNumberFormat="1" applyFont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168" fontId="102" fillId="14" borderId="27" xfId="0" applyNumberFormat="1" applyFont="1" applyFill="1" applyBorder="1" applyAlignment="1">
      <alignment horizontal="center" vertical="center"/>
    </xf>
    <xf numFmtId="2" fontId="70" fillId="33" borderId="0" xfId="0" applyNumberFormat="1" applyFont="1" applyFill="1" applyAlignment="1">
      <alignment horizontal="center" vertical="center"/>
    </xf>
    <xf numFmtId="0" fontId="73" fillId="33" borderId="0" xfId="0" applyFont="1" applyFill="1" applyAlignment="1">
      <alignment horizontal="right" vertical="center"/>
    </xf>
    <xf numFmtId="0" fontId="103" fillId="21" borderId="8" xfId="0" applyFont="1" applyFill="1" applyBorder="1" applyAlignment="1" applyProtection="1">
      <alignment horizontal="center" vertical="center"/>
      <protection locked="0"/>
    </xf>
    <xf numFmtId="0" fontId="1" fillId="34" borderId="7" xfId="0" applyFont="1" applyFill="1" applyBorder="1" applyAlignment="1">
      <alignment horizontal="center" vertical="center"/>
    </xf>
    <xf numFmtId="0" fontId="1" fillId="34" borderId="9" xfId="0" applyFont="1" applyFill="1" applyBorder="1" applyAlignment="1">
      <alignment horizontal="center" vertical="center"/>
    </xf>
    <xf numFmtId="0" fontId="1" fillId="34" borderId="6" xfId="0" applyFont="1" applyFill="1" applyBorder="1" applyAlignment="1">
      <alignment horizontal="center" vertical="center"/>
    </xf>
    <xf numFmtId="1" fontId="103" fillId="35" borderId="7" xfId="0" applyNumberFormat="1" applyFont="1" applyFill="1" applyBorder="1" applyAlignment="1">
      <alignment horizontal="center" vertical="center"/>
    </xf>
    <xf numFmtId="1" fontId="103" fillId="35" borderId="26" xfId="0" applyNumberFormat="1" applyFont="1" applyFill="1" applyBorder="1" applyAlignment="1">
      <alignment horizontal="center" vertical="center"/>
    </xf>
    <xf numFmtId="1" fontId="103" fillId="35" borderId="72" xfId="0" applyNumberFormat="1" applyFont="1" applyFill="1" applyBorder="1" applyAlignment="1">
      <alignment horizontal="center" vertical="center"/>
    </xf>
    <xf numFmtId="1" fontId="103" fillId="35" borderId="6" xfId="0" applyNumberFormat="1" applyFont="1" applyFill="1" applyBorder="1" applyAlignment="1">
      <alignment horizontal="center" vertical="center"/>
    </xf>
    <xf numFmtId="2" fontId="103" fillId="21" borderId="8" xfId="0" applyNumberFormat="1" applyFont="1" applyFill="1" applyBorder="1" applyAlignment="1">
      <alignment horizontal="center" vertical="center"/>
    </xf>
    <xf numFmtId="167" fontId="103" fillId="21" borderId="75" xfId="0" applyNumberFormat="1" applyFont="1" applyFill="1" applyBorder="1" applyAlignment="1">
      <alignment horizontal="center" vertical="center"/>
    </xf>
    <xf numFmtId="0" fontId="103" fillId="21" borderId="72" xfId="0" applyFont="1" applyFill="1" applyBorder="1" applyAlignment="1" applyProtection="1">
      <alignment horizontal="center" vertical="center"/>
      <protection locked="0"/>
    </xf>
    <xf numFmtId="2" fontId="103" fillId="21" borderId="72" xfId="0" applyNumberFormat="1" applyFont="1" applyFill="1" applyBorder="1" applyAlignment="1">
      <alignment horizontal="center" vertical="center"/>
    </xf>
    <xf numFmtId="167" fontId="103" fillId="21" borderId="73" xfId="0" applyNumberFormat="1" applyFont="1" applyFill="1" applyBorder="1" applyAlignment="1">
      <alignment horizontal="center" vertical="center"/>
    </xf>
    <xf numFmtId="2" fontId="1" fillId="34" borderId="7" xfId="0" applyNumberFormat="1" applyFont="1" applyFill="1" applyBorder="1" applyAlignment="1">
      <alignment horizontal="center" vertical="center"/>
    </xf>
    <xf numFmtId="167" fontId="1" fillId="34" borderId="33" xfId="0" applyNumberFormat="1" applyFont="1" applyFill="1" applyBorder="1" applyAlignment="1">
      <alignment horizontal="center" vertical="center"/>
    </xf>
    <xf numFmtId="2" fontId="1" fillId="34" borderId="9" xfId="0" applyNumberFormat="1" applyFont="1" applyFill="1" applyBorder="1" applyAlignment="1">
      <alignment horizontal="center" vertical="center"/>
    </xf>
    <xf numFmtId="167" fontId="1" fillId="34" borderId="26" xfId="0" applyNumberFormat="1" applyFont="1" applyFill="1" applyBorder="1" applyAlignment="1">
      <alignment horizontal="center" vertical="center"/>
    </xf>
    <xf numFmtId="2" fontId="1" fillId="34" borderId="6" xfId="0" applyNumberFormat="1" applyFont="1" applyFill="1" applyBorder="1" applyAlignment="1">
      <alignment horizontal="center" vertical="center"/>
    </xf>
    <xf numFmtId="167" fontId="1" fillId="34" borderId="34" xfId="0" applyNumberFormat="1" applyFont="1" applyFill="1" applyBorder="1" applyAlignment="1">
      <alignment horizontal="center" vertical="center"/>
    </xf>
    <xf numFmtId="2" fontId="103" fillId="35" borderId="7" xfId="0" applyNumberFormat="1" applyFont="1" applyFill="1" applyBorder="1" applyAlignment="1">
      <alignment horizontal="center" vertical="center"/>
    </xf>
    <xf numFmtId="167" fontId="103" fillId="35" borderId="33" xfId="0" applyNumberFormat="1" applyFont="1" applyFill="1" applyBorder="1" applyAlignment="1">
      <alignment horizontal="center" vertical="center"/>
    </xf>
    <xf numFmtId="2" fontId="103" fillId="35" borderId="25" xfId="0" applyNumberFormat="1" applyFont="1" applyFill="1" applyBorder="1" applyAlignment="1">
      <alignment horizontal="center" vertical="center"/>
    </xf>
    <xf numFmtId="2" fontId="103" fillId="35" borderId="9" xfId="0" applyNumberFormat="1" applyFont="1" applyFill="1" applyBorder="1" applyAlignment="1">
      <alignment horizontal="center" vertical="center"/>
    </xf>
    <xf numFmtId="2" fontId="103" fillId="35" borderId="26" xfId="0" applyNumberFormat="1" applyFont="1" applyFill="1" applyBorder="1" applyAlignment="1">
      <alignment horizontal="center" vertical="center"/>
    </xf>
    <xf numFmtId="167" fontId="103" fillId="35" borderId="26" xfId="0" applyNumberFormat="1" applyFont="1" applyFill="1" applyBorder="1" applyAlignment="1">
      <alignment horizontal="center" vertical="center"/>
    </xf>
    <xf numFmtId="2" fontId="103" fillId="35" borderId="72" xfId="0" applyNumberFormat="1" applyFont="1" applyFill="1" applyBorder="1" applyAlignment="1">
      <alignment horizontal="center" vertical="center"/>
    </xf>
    <xf numFmtId="167" fontId="103" fillId="35" borderId="73" xfId="0" applyNumberFormat="1" applyFont="1" applyFill="1" applyBorder="1" applyAlignment="1">
      <alignment horizontal="center" vertical="center"/>
    </xf>
    <xf numFmtId="2" fontId="103" fillId="35" borderId="41" xfId="0" applyNumberFormat="1" applyFont="1" applyFill="1" applyBorder="1" applyAlignment="1">
      <alignment horizontal="center" vertical="center"/>
    </xf>
    <xf numFmtId="2" fontId="103" fillId="35" borderId="6" xfId="0" applyNumberFormat="1" applyFont="1" applyFill="1" applyBorder="1" applyAlignment="1">
      <alignment horizontal="center" vertical="center"/>
    </xf>
    <xf numFmtId="167" fontId="103" fillId="35" borderId="34" xfId="0" applyNumberFormat="1" applyFont="1" applyFill="1" applyBorder="1" applyAlignment="1">
      <alignment horizontal="center" vertical="center"/>
    </xf>
    <xf numFmtId="2" fontId="24" fillId="3" borderId="120" xfId="0" applyNumberFormat="1" applyFont="1" applyFill="1" applyBorder="1" applyAlignment="1">
      <alignment horizontal="center" vertical="center"/>
    </xf>
    <xf numFmtId="1" fontId="2" fillId="23" borderId="165" xfId="0" applyNumberFormat="1" applyFont="1" applyFill="1" applyBorder="1" applyAlignment="1">
      <alignment horizontal="center" vertical="center"/>
    </xf>
    <xf numFmtId="1" fontId="105" fillId="23" borderId="165" xfId="0" applyNumberFormat="1" applyFont="1" applyFill="1" applyBorder="1" applyAlignment="1">
      <alignment horizontal="center" vertical="center"/>
    </xf>
    <xf numFmtId="2" fontId="29" fillId="23" borderId="165" xfId="0" applyNumberFormat="1" applyFont="1" applyFill="1" applyBorder="1" applyAlignment="1">
      <alignment horizontal="center" vertical="center"/>
    </xf>
    <xf numFmtId="1" fontId="9" fillId="32" borderId="62" xfId="0" applyNumberFormat="1" applyFont="1" applyFill="1" applyBorder="1" applyAlignment="1">
      <alignment horizontal="center" vertical="center"/>
    </xf>
    <xf numFmtId="0" fontId="2" fillId="32" borderId="10" xfId="0" applyFont="1" applyFill="1" applyBorder="1" applyAlignment="1">
      <alignment horizontal="center" vertical="center"/>
    </xf>
    <xf numFmtId="0" fontId="97" fillId="30" borderId="156" xfId="0" applyFont="1" applyFill="1" applyBorder="1" applyAlignment="1">
      <alignment horizontal="center" vertical="center" wrapText="1"/>
    </xf>
    <xf numFmtId="2" fontId="13" fillId="36" borderId="57" xfId="0" applyNumberFormat="1" applyFont="1" applyFill="1" applyBorder="1" applyAlignment="1">
      <alignment horizontal="center" vertical="center"/>
    </xf>
    <xf numFmtId="0" fontId="2" fillId="32" borderId="13" xfId="0" applyFont="1" applyFill="1" applyBorder="1" applyAlignment="1">
      <alignment horizontal="center" vertical="center"/>
    </xf>
    <xf numFmtId="0" fontId="2" fillId="32" borderId="11" xfId="0" applyFont="1" applyFill="1" applyBorder="1" applyAlignment="1">
      <alignment horizontal="center" vertical="center"/>
    </xf>
    <xf numFmtId="2" fontId="8" fillId="4" borderId="56" xfId="0" applyNumberFormat="1" applyFont="1" applyFill="1" applyBorder="1" applyAlignment="1">
      <alignment horizontal="center" vertical="center"/>
    </xf>
    <xf numFmtId="2" fontId="8" fillId="29" borderId="8" xfId="0" applyNumberFormat="1" applyFont="1" applyFill="1" applyBorder="1" applyAlignment="1">
      <alignment horizontal="center" vertical="center"/>
    </xf>
    <xf numFmtId="2" fontId="86" fillId="29" borderId="8" xfId="0" applyNumberFormat="1" applyFont="1" applyFill="1" applyBorder="1" applyAlignment="1">
      <alignment horizontal="center" vertical="center"/>
    </xf>
    <xf numFmtId="2" fontId="94" fillId="26" borderId="9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0" xfId="0" applyFont="1" applyFill="1" applyBorder="1" applyAlignment="1">
      <alignment horizontal="center" vertical="center"/>
    </xf>
    <xf numFmtId="0" fontId="79" fillId="27" borderId="71" xfId="0" applyFont="1" applyFill="1" applyBorder="1" applyAlignment="1">
      <alignment horizontal="center" vertical="center" wrapText="1"/>
    </xf>
    <xf numFmtId="0" fontId="79" fillId="27" borderId="66" xfId="0" applyFont="1" applyFill="1" applyBorder="1" applyAlignment="1">
      <alignment horizontal="center" vertical="center" wrapText="1"/>
    </xf>
    <xf numFmtId="2" fontId="72" fillId="24" borderId="68" xfId="0" applyNumberFormat="1" applyFont="1" applyFill="1" applyBorder="1" applyAlignment="1">
      <alignment horizontal="center" vertical="center"/>
    </xf>
    <xf numFmtId="2" fontId="14" fillId="5" borderId="28" xfId="0" applyNumberFormat="1" applyFont="1" applyFill="1" applyBorder="1" applyAlignment="1">
      <alignment horizontal="left" vertical="center"/>
    </xf>
    <xf numFmtId="2" fontId="14" fillId="5" borderId="0" xfId="0" applyNumberFormat="1" applyFont="1" applyFill="1" applyAlignment="1">
      <alignment horizontal="center" vertical="center"/>
    </xf>
    <xf numFmtId="0" fontId="0" fillId="0" borderId="22" xfId="0" applyBorder="1" applyAlignment="1">
      <alignment vertical="center"/>
    </xf>
    <xf numFmtId="1" fontId="15" fillId="0" borderId="17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right" vertical="center"/>
    </xf>
    <xf numFmtId="2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2" fontId="12" fillId="28" borderId="9" xfId="0" applyNumberFormat="1" applyFont="1" applyFill="1" applyBorder="1" applyAlignment="1">
      <alignment horizontal="center" vertical="center"/>
    </xf>
    <xf numFmtId="0" fontId="29" fillId="2" borderId="125" xfId="0" applyFont="1" applyFill="1" applyBorder="1" applyAlignment="1">
      <alignment vertical="center" wrapText="1"/>
    </xf>
    <xf numFmtId="2" fontId="109" fillId="21" borderId="8" xfId="0" applyNumberFormat="1" applyFont="1" applyFill="1" applyBorder="1" applyAlignment="1">
      <alignment horizontal="center" vertical="center"/>
    </xf>
    <xf numFmtId="2" fontId="109" fillId="21" borderId="72" xfId="0" applyNumberFormat="1" applyFont="1" applyFill="1" applyBorder="1" applyAlignment="1">
      <alignment horizontal="center" vertical="center"/>
    </xf>
    <xf numFmtId="2" fontId="2" fillId="34" borderId="7" xfId="0" applyNumberFormat="1" applyFont="1" applyFill="1" applyBorder="1" applyAlignment="1">
      <alignment horizontal="center" vertical="center"/>
    </xf>
    <xf numFmtId="2" fontId="2" fillId="34" borderId="9" xfId="0" applyNumberFormat="1" applyFont="1" applyFill="1" applyBorder="1" applyAlignment="1">
      <alignment horizontal="center" vertical="center"/>
    </xf>
    <xf numFmtId="2" fontId="2" fillId="34" borderId="6" xfId="0" applyNumberFormat="1" applyFont="1" applyFill="1" applyBorder="1" applyAlignment="1">
      <alignment horizontal="center" vertical="center"/>
    </xf>
    <xf numFmtId="2" fontId="109" fillId="35" borderId="19" xfId="0" applyNumberFormat="1" applyFont="1" applyFill="1" applyBorder="1" applyAlignment="1">
      <alignment horizontal="center" vertical="center"/>
    </xf>
    <xf numFmtId="2" fontId="109" fillId="35" borderId="54" xfId="0" applyNumberFormat="1" applyFont="1" applyFill="1" applyBorder="1" applyAlignment="1">
      <alignment horizontal="center" vertical="center"/>
    </xf>
    <xf numFmtId="2" fontId="109" fillId="35" borderId="6" xfId="0" applyNumberFormat="1" applyFont="1" applyFill="1" applyBorder="1" applyAlignment="1">
      <alignment horizontal="center" vertical="center"/>
    </xf>
    <xf numFmtId="2" fontId="45" fillId="21" borderId="7" xfId="0" applyNumberFormat="1" applyFont="1" applyFill="1" applyBorder="1" applyAlignment="1">
      <alignment horizontal="center" vertical="center"/>
    </xf>
    <xf numFmtId="2" fontId="45" fillId="21" borderId="9" xfId="0" applyNumberFormat="1" applyFont="1" applyFill="1" applyBorder="1" applyAlignment="1">
      <alignment horizontal="center" vertical="center"/>
    </xf>
    <xf numFmtId="2" fontId="45" fillId="21" borderId="26" xfId="0" applyNumberFormat="1" applyFont="1" applyFill="1" applyBorder="1" applyAlignment="1">
      <alignment horizontal="center" vertical="center"/>
    </xf>
    <xf numFmtId="2" fontId="45" fillId="21" borderId="34" xfId="0" applyNumberFormat="1" applyFont="1" applyFill="1" applyBorder="1" applyAlignment="1">
      <alignment horizontal="center" vertical="center"/>
    </xf>
    <xf numFmtId="1" fontId="110" fillId="2" borderId="146" xfId="0" applyNumberFormat="1" applyFont="1" applyFill="1" applyBorder="1" applyAlignment="1">
      <alignment horizontal="center" vertical="center"/>
    </xf>
    <xf numFmtId="1" fontId="110" fillId="2" borderId="56" xfId="0" applyNumberFormat="1" applyFont="1" applyFill="1" applyBorder="1" applyAlignment="1">
      <alignment horizontal="center" vertical="center"/>
    </xf>
    <xf numFmtId="1" fontId="110" fillId="2" borderId="57" xfId="0" applyNumberFormat="1" applyFont="1" applyFill="1" applyBorder="1" applyAlignment="1">
      <alignment horizontal="center" vertical="center"/>
    </xf>
    <xf numFmtId="1" fontId="111" fillId="2" borderId="56" xfId="0" applyNumberFormat="1" applyFont="1" applyFill="1" applyBorder="1" applyAlignment="1">
      <alignment horizontal="center" vertical="center"/>
    </xf>
    <xf numFmtId="1" fontId="112" fillId="2" borderId="57" xfId="0" applyNumberFormat="1" applyFont="1" applyFill="1" applyBorder="1" applyAlignment="1">
      <alignment horizontal="center" vertical="center"/>
    </xf>
    <xf numFmtId="2" fontId="113" fillId="0" borderId="56" xfId="0" applyNumberFormat="1" applyFont="1" applyBorder="1" applyAlignment="1">
      <alignment horizontal="center" vertical="center"/>
    </xf>
    <xf numFmtId="0" fontId="29" fillId="4" borderId="173" xfId="0" applyFont="1" applyFill="1" applyBorder="1" applyAlignment="1">
      <alignment horizontal="right" vertical="center" wrapText="1"/>
    </xf>
    <xf numFmtId="185" fontId="89" fillId="4" borderId="94" xfId="0" applyNumberFormat="1" applyFont="1" applyFill="1" applyBorder="1" applyAlignment="1">
      <alignment horizontal="left" vertical="center" wrapText="1"/>
    </xf>
    <xf numFmtId="2" fontId="12" fillId="2" borderId="9" xfId="0" applyNumberFormat="1" applyFont="1" applyFill="1" applyBorder="1" applyAlignment="1">
      <alignment horizontal="center" vertical="center"/>
    </xf>
    <xf numFmtId="2" fontId="33" fillId="2" borderId="9" xfId="0" applyNumberFormat="1" applyFont="1" applyFill="1" applyBorder="1" applyAlignment="1">
      <alignment horizontal="center" vertical="center"/>
    </xf>
    <xf numFmtId="2" fontId="8" fillId="29" borderId="54" xfId="0" applyNumberFormat="1" applyFont="1" applyFill="1" applyBorder="1" applyAlignment="1">
      <alignment horizontal="center" vertical="center"/>
    </xf>
    <xf numFmtId="167" fontId="8" fillId="2" borderId="66" xfId="0" applyNumberFormat="1" applyFont="1" applyFill="1" applyBorder="1" applyAlignment="1">
      <alignment horizontal="center" vertical="center"/>
    </xf>
    <xf numFmtId="2" fontId="8" fillId="29" borderId="127" xfId="0" applyNumberFormat="1" applyFont="1" applyFill="1" applyBorder="1" applyAlignment="1">
      <alignment horizontal="center" vertical="center"/>
    </xf>
    <xf numFmtId="2" fontId="33" fillId="29" borderId="54" xfId="0" applyNumberFormat="1" applyFont="1" applyFill="1" applyBorder="1" applyAlignment="1">
      <alignment horizontal="center" vertical="center"/>
    </xf>
    <xf numFmtId="2" fontId="8" fillId="4" borderId="72" xfId="0" applyNumberFormat="1" applyFont="1" applyFill="1" applyBorder="1" applyAlignment="1">
      <alignment horizontal="center" vertical="center"/>
    </xf>
    <xf numFmtId="2" fontId="86" fillId="4" borderId="72" xfId="0" applyNumberFormat="1" applyFont="1" applyFill="1" applyBorder="1" applyAlignment="1">
      <alignment horizontal="center" vertical="center"/>
    </xf>
    <xf numFmtId="167" fontId="8" fillId="4" borderId="66" xfId="0" applyNumberFormat="1" applyFont="1" applyFill="1" applyBorder="1" applyAlignment="1">
      <alignment horizontal="center" vertical="center"/>
    </xf>
    <xf numFmtId="2" fontId="49" fillId="29" borderId="9" xfId="0" applyNumberFormat="1" applyFont="1" applyFill="1" applyBorder="1" applyAlignment="1">
      <alignment horizontal="center" vertical="center"/>
    </xf>
    <xf numFmtId="2" fontId="49" fillId="2" borderId="9" xfId="0" applyNumberFormat="1" applyFont="1" applyFill="1" applyBorder="1" applyAlignment="1">
      <alignment horizontal="center" vertical="center"/>
    </xf>
    <xf numFmtId="2" fontId="49" fillId="28" borderId="9" xfId="0" applyNumberFormat="1" applyFont="1" applyFill="1" applyBorder="1" applyAlignment="1">
      <alignment horizontal="center" vertical="center"/>
    </xf>
    <xf numFmtId="2" fontId="49" fillId="26" borderId="9" xfId="0" applyNumberFormat="1" applyFont="1" applyFill="1" applyBorder="1" applyAlignment="1">
      <alignment horizontal="center" vertical="center"/>
    </xf>
    <xf numFmtId="2" fontId="49" fillId="2" borderId="72" xfId="0" applyNumberFormat="1" applyFont="1" applyFill="1" applyBorder="1" applyAlignment="1">
      <alignment horizontal="center" vertical="center"/>
    </xf>
    <xf numFmtId="2" fontId="49" fillId="29" borderId="54" xfId="0" applyNumberFormat="1" applyFont="1" applyFill="1" applyBorder="1" applyAlignment="1">
      <alignment horizontal="center" vertical="center"/>
    </xf>
    <xf numFmtId="2" fontId="49" fillId="29" borderId="6" xfId="0" applyNumberFormat="1" applyFont="1" applyFill="1" applyBorder="1" applyAlignment="1">
      <alignment horizontal="center" vertical="center"/>
    </xf>
    <xf numFmtId="0" fontId="94" fillId="28" borderId="125" xfId="0" applyFont="1" applyFill="1" applyBorder="1" applyAlignment="1">
      <alignment vertical="center" wrapText="1"/>
    </xf>
    <xf numFmtId="0" fontId="94" fillId="28" borderId="9" xfId="0" applyFont="1" applyFill="1" applyBorder="1" applyAlignment="1">
      <alignment vertical="center" wrapText="1"/>
    </xf>
    <xf numFmtId="1" fontId="116" fillId="2" borderId="57" xfId="0" applyNumberFormat="1" applyFont="1" applyFill="1" applyBorder="1" applyAlignment="1">
      <alignment horizontal="center" vertical="center"/>
    </xf>
    <xf numFmtId="2" fontId="54" fillId="2" borderId="57" xfId="0" applyNumberFormat="1" applyFont="1" applyFill="1" applyBorder="1" applyAlignment="1">
      <alignment horizontal="center" vertical="center"/>
    </xf>
    <xf numFmtId="2" fontId="108" fillId="2" borderId="57" xfId="0" applyNumberFormat="1" applyFont="1" applyFill="1" applyBorder="1" applyAlignment="1">
      <alignment horizontal="center" vertical="center"/>
    </xf>
    <xf numFmtId="2" fontId="117" fillId="0" borderId="56" xfId="0" applyNumberFormat="1" applyFont="1" applyBorder="1" applyAlignment="1">
      <alignment horizontal="center" vertical="center"/>
    </xf>
    <xf numFmtId="1" fontId="116" fillId="2" borderId="124" xfId="0" applyNumberFormat="1" applyFont="1" applyFill="1" applyBorder="1" applyAlignment="1">
      <alignment horizontal="center" vertical="center"/>
    </xf>
    <xf numFmtId="2" fontId="108" fillId="2" borderId="60" xfId="0" applyNumberFormat="1" applyFont="1" applyFill="1" applyBorder="1" applyAlignment="1">
      <alignment horizontal="center" vertical="center"/>
    </xf>
    <xf numFmtId="2" fontId="117" fillId="2" borderId="59" xfId="0" applyNumberFormat="1" applyFont="1" applyFill="1" applyBorder="1" applyAlignment="1">
      <alignment horizontal="center" vertical="center"/>
    </xf>
    <xf numFmtId="2" fontId="118" fillId="3" borderId="27" xfId="0" applyNumberFormat="1" applyFont="1" applyFill="1" applyBorder="1" applyAlignment="1">
      <alignment horizontal="center" vertical="center"/>
    </xf>
    <xf numFmtId="0" fontId="69" fillId="25" borderId="15" xfId="0" applyFont="1" applyFill="1" applyBorder="1" applyAlignment="1">
      <alignment horizontal="center"/>
    </xf>
    <xf numFmtId="2" fontId="114" fillId="0" borderId="146" xfId="0" applyNumberFormat="1" applyFont="1" applyBorder="1" applyAlignment="1">
      <alignment horizontal="center" vertical="center"/>
    </xf>
    <xf numFmtId="2" fontId="114" fillId="0" borderId="59" xfId="0" applyNumberFormat="1" applyFont="1" applyBorder="1" applyAlignment="1">
      <alignment horizontal="center" vertical="center"/>
    </xf>
    <xf numFmtId="2" fontId="114" fillId="0" borderId="56" xfId="0" applyNumberFormat="1" applyFont="1" applyBorder="1" applyAlignment="1">
      <alignment horizontal="center" vertical="center"/>
    </xf>
    <xf numFmtId="2" fontId="114" fillId="2" borderId="56" xfId="0" applyNumberFormat="1" applyFont="1" applyFill="1" applyBorder="1" applyAlignment="1">
      <alignment horizontal="center" vertical="center"/>
    </xf>
    <xf numFmtId="2" fontId="114" fillId="2" borderId="123" xfId="0" applyNumberFormat="1" applyFont="1" applyFill="1" applyBorder="1" applyAlignment="1">
      <alignment horizontal="center" vertical="center"/>
    </xf>
    <xf numFmtId="2" fontId="114" fillId="2" borderId="110" xfId="0" applyNumberFormat="1" applyFont="1" applyFill="1" applyBorder="1" applyAlignment="1">
      <alignment horizontal="center" vertical="center"/>
    </xf>
    <xf numFmtId="2" fontId="114" fillId="2" borderId="59" xfId="0" applyNumberFormat="1" applyFont="1" applyFill="1" applyBorder="1" applyAlignment="1">
      <alignment horizontal="center" vertical="center"/>
    </xf>
    <xf numFmtId="1" fontId="10" fillId="2" borderId="174" xfId="0" applyNumberFormat="1" applyFont="1" applyFill="1" applyBorder="1" applyAlignment="1">
      <alignment horizontal="center" vertical="center"/>
    </xf>
    <xf numFmtId="1" fontId="10" fillId="2" borderId="175" xfId="0" applyNumberFormat="1" applyFont="1" applyFill="1" applyBorder="1" applyAlignment="1">
      <alignment horizontal="center" vertical="center"/>
    </xf>
    <xf numFmtId="1" fontId="10" fillId="2" borderId="176" xfId="0" applyNumberFormat="1" applyFont="1" applyFill="1" applyBorder="1" applyAlignment="1">
      <alignment horizontal="center" vertical="center"/>
    </xf>
    <xf numFmtId="1" fontId="13" fillId="32" borderId="176" xfId="0" applyNumberFormat="1" applyFont="1" applyFill="1" applyBorder="1" applyAlignment="1">
      <alignment horizontal="center" vertical="center"/>
    </xf>
    <xf numFmtId="1" fontId="4" fillId="2" borderId="175" xfId="0" applyNumberFormat="1" applyFont="1" applyFill="1" applyBorder="1" applyAlignment="1">
      <alignment horizontal="center" vertical="center"/>
    </xf>
    <xf numFmtId="1" fontId="4" fillId="2" borderId="177" xfId="0" applyNumberFormat="1" applyFont="1" applyFill="1" applyBorder="1" applyAlignment="1">
      <alignment horizontal="center" vertical="center"/>
    </xf>
    <xf numFmtId="0" fontId="4" fillId="0" borderId="81" xfId="0" applyFont="1" applyBorder="1" applyAlignment="1">
      <alignment vertical="center"/>
    </xf>
    <xf numFmtId="0" fontId="0" fillId="0" borderId="178" xfId="0" applyBorder="1" applyAlignment="1">
      <alignment vertical="center"/>
    </xf>
    <xf numFmtId="0" fontId="4" fillId="0" borderId="107" xfId="0" applyFont="1" applyBorder="1" applyAlignment="1">
      <alignment horizontal="center" vertical="center"/>
    </xf>
    <xf numFmtId="1" fontId="4" fillId="0" borderId="107" xfId="0" applyNumberFormat="1" applyFont="1" applyBorder="1" applyAlignment="1">
      <alignment horizontal="center" vertical="center"/>
    </xf>
    <xf numFmtId="2" fontId="4" fillId="0" borderId="107" xfId="0" applyNumberFormat="1" applyFont="1" applyBorder="1" applyAlignment="1">
      <alignment horizontal="center" vertical="center"/>
    </xf>
    <xf numFmtId="0" fontId="4" fillId="0" borderId="107" xfId="0" applyFont="1" applyBorder="1" applyAlignment="1">
      <alignment vertical="center"/>
    </xf>
    <xf numFmtId="0" fontId="4" fillId="0" borderId="108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4" fillId="0" borderId="29" xfId="0" applyFont="1" applyBorder="1" applyAlignment="1">
      <alignment vertical="center"/>
    </xf>
    <xf numFmtId="165" fontId="1" fillId="21" borderId="9" xfId="2" applyFont="1" applyFill="1" applyBorder="1" applyAlignment="1">
      <alignment horizontal="center" vertical="center"/>
    </xf>
    <xf numFmtId="2" fontId="1" fillId="21" borderId="9" xfId="0" applyNumberFormat="1" applyFont="1" applyFill="1" applyBorder="1" applyAlignment="1">
      <alignment horizontal="center" vertical="center"/>
    </xf>
    <xf numFmtId="1" fontId="1" fillId="21" borderId="9" xfId="0" applyNumberFormat="1" applyFont="1" applyFill="1" applyBorder="1" applyAlignment="1">
      <alignment horizontal="center" vertical="center"/>
    </xf>
    <xf numFmtId="165" fontId="1" fillId="21" borderId="72" xfId="2" applyFont="1" applyFill="1" applyBorder="1" applyAlignment="1">
      <alignment horizontal="center" vertical="center"/>
    </xf>
    <xf numFmtId="2" fontId="1" fillId="21" borderId="72" xfId="0" applyNumberFormat="1" applyFont="1" applyFill="1" applyBorder="1" applyAlignment="1">
      <alignment horizontal="center" vertical="center"/>
    </xf>
    <xf numFmtId="1" fontId="1" fillId="21" borderId="72" xfId="0" applyNumberFormat="1" applyFont="1" applyFill="1" applyBorder="1" applyAlignment="1">
      <alignment horizontal="center" vertical="center"/>
    </xf>
    <xf numFmtId="2" fontId="8" fillId="38" borderId="9" xfId="0" applyNumberFormat="1" applyFont="1" applyFill="1" applyBorder="1" applyAlignment="1">
      <alignment horizontal="center" vertical="center"/>
    </xf>
    <xf numFmtId="167" fontId="8" fillId="38" borderId="21" xfId="0" applyNumberFormat="1" applyFont="1" applyFill="1" applyBorder="1" applyAlignment="1">
      <alignment horizontal="center" vertical="center"/>
    </xf>
    <xf numFmtId="2" fontId="117" fillId="38" borderId="9" xfId="0" applyNumberFormat="1" applyFont="1" applyFill="1" applyBorder="1" applyAlignment="1">
      <alignment horizontal="center" vertical="center"/>
    </xf>
    <xf numFmtId="167" fontId="8" fillId="29" borderId="49" xfId="0" applyNumberFormat="1" applyFont="1" applyFill="1" applyBorder="1" applyAlignment="1">
      <alignment horizontal="center" vertical="center"/>
    </xf>
    <xf numFmtId="1" fontId="33" fillId="2" borderId="175" xfId="0" applyNumberFormat="1" applyFont="1" applyFill="1" applyBorder="1" applyAlignment="1">
      <alignment horizontal="center" vertical="center"/>
    </xf>
    <xf numFmtId="0" fontId="51" fillId="18" borderId="19" xfId="0" applyFont="1" applyFill="1" applyBorder="1" applyAlignment="1">
      <alignment horizontal="center" vertical="center"/>
    </xf>
    <xf numFmtId="2" fontId="13" fillId="18" borderId="19" xfId="0" applyNumberFormat="1" applyFont="1" applyFill="1" applyBorder="1" applyAlignment="1">
      <alignment horizontal="center" vertical="center"/>
    </xf>
    <xf numFmtId="2" fontId="45" fillId="18" borderId="19" xfId="0" applyNumberFormat="1" applyFont="1" applyFill="1" applyBorder="1" applyAlignment="1">
      <alignment horizontal="center" vertical="center"/>
    </xf>
    <xf numFmtId="167" fontId="4" fillId="18" borderId="147" xfId="0" applyNumberFormat="1" applyFont="1" applyFill="1" applyBorder="1" applyAlignment="1">
      <alignment horizontal="center" vertical="center"/>
    </xf>
    <xf numFmtId="2" fontId="107" fillId="9" borderId="44" xfId="0" applyNumberFormat="1" applyFont="1" applyFill="1" applyBorder="1" applyAlignment="1">
      <alignment horizontal="center" vertical="center"/>
    </xf>
    <xf numFmtId="2" fontId="54" fillId="9" borderId="44" xfId="0" applyNumberFormat="1" applyFont="1" applyFill="1" applyBorder="1" applyAlignment="1">
      <alignment horizontal="center" vertical="center"/>
    </xf>
    <xf numFmtId="2" fontId="66" fillId="9" borderId="44" xfId="0" applyNumberFormat="1" applyFont="1" applyFill="1" applyBorder="1" applyAlignment="1">
      <alignment horizontal="center" vertical="center"/>
    </xf>
    <xf numFmtId="2" fontId="108" fillId="9" borderId="44" xfId="0" applyNumberFormat="1" applyFont="1" applyFill="1" applyBorder="1" applyAlignment="1">
      <alignment horizontal="center" vertical="center"/>
    </xf>
    <xf numFmtId="167" fontId="8" fillId="9" borderId="180" xfId="0" applyNumberFormat="1" applyFont="1" applyFill="1" applyBorder="1" applyAlignment="1">
      <alignment horizontal="center" vertical="center"/>
    </xf>
    <xf numFmtId="178" fontId="4" fillId="0" borderId="23" xfId="0" applyNumberFormat="1" applyFont="1" applyBorder="1" applyAlignment="1">
      <alignment vertical="center"/>
    </xf>
    <xf numFmtId="2" fontId="121" fillId="28" borderId="9" xfId="0" applyNumberFormat="1" applyFont="1" applyFill="1" applyBorder="1" applyAlignment="1">
      <alignment horizontal="center" vertical="center"/>
    </xf>
    <xf numFmtId="0" fontId="100" fillId="31" borderId="155" xfId="0" applyFont="1" applyFill="1" applyBorder="1" applyAlignment="1">
      <alignment horizontal="center" vertical="center" wrapText="1"/>
    </xf>
    <xf numFmtId="172" fontId="29" fillId="17" borderId="27" xfId="0" applyNumberFormat="1" applyFont="1" applyFill="1" applyBorder="1" applyAlignment="1">
      <alignment horizontal="center" vertical="center"/>
    </xf>
    <xf numFmtId="168" fontId="24" fillId="3" borderId="27" xfId="0" applyNumberFormat="1" applyFont="1" applyFill="1" applyBorder="1" applyAlignment="1">
      <alignment horizontal="center" vertical="center"/>
    </xf>
    <xf numFmtId="182" fontId="98" fillId="30" borderId="182" xfId="0" applyNumberFormat="1" applyFont="1" applyFill="1" applyBorder="1" applyAlignment="1">
      <alignment horizontal="left" vertical="center" wrapText="1"/>
    </xf>
    <xf numFmtId="1" fontId="99" fillId="23" borderId="36" xfId="0" applyNumberFormat="1" applyFont="1" applyFill="1" applyBorder="1" applyAlignment="1">
      <alignment horizontal="left" vertical="center" wrapText="1"/>
    </xf>
    <xf numFmtId="0" fontId="100" fillId="31" borderId="0" xfId="0" applyFont="1" applyFill="1" applyAlignment="1">
      <alignment horizontal="center" vertical="center" wrapText="1"/>
    </xf>
    <xf numFmtId="182" fontId="98" fillId="30" borderId="184" xfId="0" applyNumberFormat="1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167" fontId="103" fillId="21" borderId="0" xfId="0" applyNumberFormat="1" applyFont="1" applyFill="1" applyAlignment="1">
      <alignment horizontal="center" vertical="center"/>
    </xf>
    <xf numFmtId="167" fontId="1" fillId="34" borderId="2" xfId="0" applyNumberFormat="1" applyFont="1" applyFill="1" applyBorder="1" applyAlignment="1">
      <alignment horizontal="center" vertical="center"/>
    </xf>
    <xf numFmtId="167" fontId="1" fillId="34" borderId="0" xfId="0" applyNumberFormat="1" applyFont="1" applyFill="1" applyAlignment="1">
      <alignment horizontal="center" vertical="center"/>
    </xf>
    <xf numFmtId="167" fontId="1" fillId="34" borderId="17" xfId="0" applyNumberFormat="1" applyFont="1" applyFill="1" applyBorder="1" applyAlignment="1">
      <alignment horizontal="center" vertical="center"/>
    </xf>
    <xf numFmtId="167" fontId="103" fillId="35" borderId="2" xfId="0" applyNumberFormat="1" applyFont="1" applyFill="1" applyBorder="1" applyAlignment="1">
      <alignment horizontal="center" vertical="center"/>
    </xf>
    <xf numFmtId="167" fontId="103" fillId="35" borderId="0" xfId="0" applyNumberFormat="1" applyFont="1" applyFill="1" applyAlignment="1">
      <alignment horizontal="center" vertical="center"/>
    </xf>
    <xf numFmtId="167" fontId="103" fillId="35" borderId="17" xfId="0" applyNumberFormat="1" applyFont="1" applyFill="1" applyBorder="1" applyAlignment="1">
      <alignment horizontal="center" vertical="center"/>
    </xf>
    <xf numFmtId="167" fontId="8" fillId="0" borderId="169" xfId="0" applyNumberFormat="1" applyFont="1" applyBorder="1" applyAlignment="1">
      <alignment horizontal="center" vertical="center"/>
    </xf>
    <xf numFmtId="167" fontId="8" fillId="0" borderId="36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8" fillId="29" borderId="36" xfId="0" applyNumberFormat="1" applyFont="1" applyFill="1" applyBorder="1" applyAlignment="1">
      <alignment horizontal="center" vertical="center"/>
    </xf>
    <xf numFmtId="167" fontId="8" fillId="29" borderId="4" xfId="0" applyNumberFormat="1" applyFont="1" applyFill="1" applyBorder="1" applyAlignment="1">
      <alignment horizontal="center" vertical="center"/>
    </xf>
    <xf numFmtId="167" fontId="8" fillId="28" borderId="36" xfId="0" applyNumberFormat="1" applyFont="1" applyFill="1" applyBorder="1" applyAlignment="1">
      <alignment horizontal="center" vertical="center"/>
    </xf>
    <xf numFmtId="167" fontId="8" fillId="4" borderId="36" xfId="0" applyNumberFormat="1" applyFont="1" applyFill="1" applyBorder="1" applyAlignment="1">
      <alignment horizontal="center" vertical="center"/>
    </xf>
    <xf numFmtId="167" fontId="8" fillId="4" borderId="4" xfId="0" applyNumberFormat="1" applyFont="1" applyFill="1" applyBorder="1" applyAlignment="1">
      <alignment horizontal="center" vertical="center"/>
    </xf>
    <xf numFmtId="167" fontId="8" fillId="16" borderId="18" xfId="0" applyNumberFormat="1" applyFont="1" applyFill="1" applyBorder="1" applyAlignment="1">
      <alignment horizontal="center" vertical="center"/>
    </xf>
    <xf numFmtId="167" fontId="8" fillId="38" borderId="36" xfId="0" applyNumberFormat="1" applyFont="1" applyFill="1" applyBorder="1" applyAlignment="1">
      <alignment horizontal="center" vertical="center"/>
    </xf>
    <xf numFmtId="167" fontId="8" fillId="29" borderId="0" xfId="0" applyNumberFormat="1" applyFont="1" applyFill="1" applyAlignment="1">
      <alignment horizontal="center" vertical="center"/>
    </xf>
    <xf numFmtId="167" fontId="8" fillId="26" borderId="36" xfId="0" applyNumberFormat="1" applyFont="1" applyFill="1" applyBorder="1" applyAlignment="1">
      <alignment horizontal="center" vertical="center"/>
    </xf>
    <xf numFmtId="167" fontId="8" fillId="2" borderId="36" xfId="0" applyNumberFormat="1" applyFont="1" applyFill="1" applyBorder="1" applyAlignment="1">
      <alignment horizontal="center" vertical="center"/>
    </xf>
    <xf numFmtId="167" fontId="8" fillId="2" borderId="4" xfId="0" applyNumberFormat="1" applyFont="1" applyFill="1" applyBorder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1" fillId="29" borderId="0" xfId="0" quotePrefix="1" applyNumberFormat="1" applyFont="1" applyFill="1" applyAlignment="1">
      <alignment horizontal="center" vertical="center" textRotation="90"/>
    </xf>
    <xf numFmtId="167" fontId="62" fillId="20" borderId="2" xfId="0" applyNumberFormat="1" applyFont="1" applyFill="1" applyBorder="1" applyAlignment="1">
      <alignment horizontal="center" vertical="center"/>
    </xf>
    <xf numFmtId="172" fontId="29" fillId="17" borderId="18" xfId="0" applyNumberFormat="1" applyFont="1" applyFill="1" applyBorder="1" applyAlignment="1">
      <alignment horizontal="center" vertical="center"/>
    </xf>
    <xf numFmtId="172" fontId="29" fillId="17" borderId="17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2" fontId="4" fillId="39" borderId="56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122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vertical="center" wrapText="1"/>
    </xf>
    <xf numFmtId="0" fontId="124" fillId="0" borderId="9" xfId="0" applyFont="1" applyBorder="1" applyAlignment="1">
      <alignment vertical="center" wrapText="1"/>
    </xf>
    <xf numFmtId="182" fontId="124" fillId="0" borderId="9" xfId="0" applyNumberFormat="1" applyFont="1" applyBorder="1" applyAlignment="1">
      <alignment vertical="center" wrapText="1"/>
    </xf>
    <xf numFmtId="182" fontId="124" fillId="0" borderId="9" xfId="0" applyNumberFormat="1" applyFont="1" applyBorder="1" applyAlignment="1">
      <alignment horizontal="left" vertical="center" wrapText="1"/>
    </xf>
    <xf numFmtId="0" fontId="125" fillId="0" borderId="9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center" vertical="center"/>
    </xf>
    <xf numFmtId="168" fontId="3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186" fontId="4" fillId="0" borderId="0" xfId="0" applyNumberFormat="1" applyFon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86" fontId="0" fillId="2" borderId="0" xfId="0" applyNumberFormat="1" applyFill="1" applyAlignment="1">
      <alignment horizontal="center" vertical="center"/>
    </xf>
    <xf numFmtId="1" fontId="105" fillId="2" borderId="165" xfId="0" applyNumberFormat="1" applyFont="1" applyFill="1" applyBorder="1" applyAlignment="1">
      <alignment horizontal="center" vertical="center"/>
    </xf>
    <xf numFmtId="2" fontId="13" fillId="32" borderId="57" xfId="0" applyNumberFormat="1" applyFont="1" applyFill="1" applyBorder="1" applyAlignment="1">
      <alignment horizontal="center" vertical="center"/>
    </xf>
    <xf numFmtId="2" fontId="10" fillId="32" borderId="56" xfId="0" applyNumberFormat="1" applyFont="1" applyFill="1" applyBorder="1" applyAlignment="1">
      <alignment horizontal="center" vertical="center"/>
    </xf>
    <xf numFmtId="2" fontId="10" fillId="32" borderId="57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2" fontId="4" fillId="40" borderId="56" xfId="0" applyNumberFormat="1" applyFont="1" applyFill="1" applyBorder="1" applyAlignment="1">
      <alignment horizontal="center" vertical="center"/>
    </xf>
    <xf numFmtId="0" fontId="122" fillId="2" borderId="5" xfId="0" applyFont="1" applyFill="1" applyBorder="1" applyAlignment="1">
      <alignment vertical="center" wrapText="1"/>
    </xf>
    <xf numFmtId="0" fontId="0" fillId="2" borderId="31" xfId="0" applyFill="1" applyBorder="1" applyAlignment="1">
      <alignment vertical="center" wrapText="1"/>
    </xf>
    <xf numFmtId="0" fontId="97" fillId="30" borderId="181" xfId="0" applyFont="1" applyFill="1" applyBorder="1" applyAlignment="1">
      <alignment horizontal="left" vertical="center" wrapText="1"/>
    </xf>
    <xf numFmtId="0" fontId="0" fillId="0" borderId="185" xfId="0" applyBorder="1" applyAlignment="1">
      <alignment horizontal="left" vertical="center" wrapText="1"/>
    </xf>
    <xf numFmtId="0" fontId="100" fillId="31" borderId="154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191" xfId="0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93" fillId="2" borderId="35" xfId="0" applyFont="1" applyFill="1" applyBorder="1" applyAlignment="1">
      <alignment horizontal="center" vertical="center"/>
    </xf>
    <xf numFmtId="0" fontId="93" fillId="2" borderId="70" xfId="0" applyFont="1" applyFill="1" applyBorder="1" applyAlignment="1">
      <alignment horizontal="center" vertical="center"/>
    </xf>
    <xf numFmtId="0" fontId="29" fillId="2" borderId="26" xfId="0" applyFont="1" applyFill="1" applyBorder="1" applyAlignment="1">
      <alignment horizontal="center" vertical="center" wrapText="1"/>
    </xf>
    <xf numFmtId="0" fontId="29" fillId="2" borderId="36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70" xfId="0" applyFont="1" applyFill="1" applyBorder="1" applyAlignment="1">
      <alignment horizontal="center" vertical="center"/>
    </xf>
    <xf numFmtId="0" fontId="11" fillId="2" borderId="129" xfId="0" applyFont="1" applyFill="1" applyBorder="1" applyAlignment="1">
      <alignment horizontal="center" vertical="center"/>
    </xf>
    <xf numFmtId="0" fontId="11" fillId="2" borderId="130" xfId="0" applyFont="1" applyFill="1" applyBorder="1" applyAlignment="1">
      <alignment horizontal="center" vertical="center"/>
    </xf>
    <xf numFmtId="0" fontId="2" fillId="2" borderId="125" xfId="0" applyFont="1" applyFill="1" applyBorder="1" applyAlignment="1">
      <alignment horizontal="center" vertical="center" wrapText="1"/>
    </xf>
    <xf numFmtId="0" fontId="2" fillId="29" borderId="74" xfId="0" applyFont="1" applyFill="1" applyBorder="1" applyAlignment="1">
      <alignment horizontal="center" vertical="center" wrapText="1"/>
    </xf>
    <xf numFmtId="0" fontId="2" fillId="29" borderId="127" xfId="0" applyFont="1" applyFill="1" applyBorder="1" applyAlignment="1">
      <alignment horizontal="center" vertical="center" wrapText="1"/>
    </xf>
    <xf numFmtId="0" fontId="2" fillId="29" borderId="150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127" xfId="0" applyFont="1" applyFill="1" applyBorder="1" applyAlignment="1">
      <alignment horizontal="center" vertical="center" wrapText="1"/>
    </xf>
    <xf numFmtId="0" fontId="2" fillId="2" borderId="15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2" fillId="2" borderId="12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29" borderId="72" xfId="0" applyFont="1" applyFill="1" applyBorder="1" applyAlignment="1">
      <alignment horizontal="center" vertical="center"/>
    </xf>
    <xf numFmtId="0" fontId="8" fillId="29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2" borderId="168" xfId="0" applyFont="1" applyFill="1" applyBorder="1" applyAlignment="1">
      <alignment horizontal="center" vertical="center" wrapText="1"/>
    </xf>
    <xf numFmtId="0" fontId="2" fillId="2" borderId="171" xfId="0" applyFont="1" applyFill="1" applyBorder="1" applyAlignment="1">
      <alignment horizontal="center" vertical="center" wrapText="1"/>
    </xf>
    <xf numFmtId="0" fontId="2" fillId="2" borderId="139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72" xfId="0" applyFont="1" applyFill="1" applyBorder="1" applyAlignment="1">
      <alignment horizontal="center" vertical="center" wrapText="1"/>
    </xf>
    <xf numFmtId="0" fontId="2" fillId="4" borderId="5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8" borderId="72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vertical="center" wrapText="1"/>
    </xf>
    <xf numFmtId="0" fontId="2" fillId="28" borderId="8" xfId="0" applyFont="1" applyFill="1" applyBorder="1" applyAlignment="1">
      <alignment horizontal="center" vertical="center" wrapText="1"/>
    </xf>
    <xf numFmtId="0" fontId="94" fillId="28" borderId="142" xfId="0" applyFont="1" applyFill="1" applyBorder="1" applyAlignment="1">
      <alignment horizontal="center" vertical="center" wrapText="1"/>
    </xf>
    <xf numFmtId="0" fontId="94" fillId="28" borderId="25" xfId="0" applyFont="1" applyFill="1" applyBorder="1" applyAlignment="1">
      <alignment horizontal="center" vertical="center" wrapText="1"/>
    </xf>
    <xf numFmtId="0" fontId="8" fillId="28" borderId="26" xfId="0" applyFont="1" applyFill="1" applyBorder="1" applyAlignment="1">
      <alignment horizontal="center" vertical="center"/>
    </xf>
    <xf numFmtId="0" fontId="8" fillId="28" borderId="36" xfId="0" applyFont="1" applyFill="1" applyBorder="1" applyAlignment="1">
      <alignment horizontal="center" vertical="center"/>
    </xf>
    <xf numFmtId="0" fontId="8" fillId="28" borderId="25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 wrapText="1"/>
    </xf>
    <xf numFmtId="0" fontId="4" fillId="2" borderId="126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0" fontId="2" fillId="2" borderId="141" xfId="0" applyFont="1" applyFill="1" applyBorder="1" applyAlignment="1">
      <alignment horizontal="center" vertical="center" wrapText="1"/>
    </xf>
    <xf numFmtId="0" fontId="2" fillId="2" borderId="170" xfId="0" applyFont="1" applyFill="1" applyBorder="1" applyAlignment="1">
      <alignment horizontal="center" vertical="center" wrapText="1"/>
    </xf>
    <xf numFmtId="0" fontId="8" fillId="28" borderId="9" xfId="0" applyFont="1" applyFill="1" applyBorder="1" applyAlignment="1">
      <alignment horizontal="center" vertical="center"/>
    </xf>
    <xf numFmtId="0" fontId="8" fillId="26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184" fontId="106" fillId="30" borderId="158" xfId="0" applyNumberFormat="1" applyFont="1" applyFill="1" applyBorder="1" applyAlignment="1">
      <alignment horizontal="center" vertical="center" wrapText="1"/>
    </xf>
    <xf numFmtId="184" fontId="106" fillId="30" borderId="159" xfId="0" applyNumberFormat="1" applyFont="1" applyFill="1" applyBorder="1" applyAlignment="1">
      <alignment horizontal="center" vertical="center" wrapText="1"/>
    </xf>
    <xf numFmtId="0" fontId="47" fillId="9" borderId="43" xfId="0" applyFont="1" applyFill="1" applyBorder="1" applyAlignment="1">
      <alignment horizontal="center" vertical="center" wrapText="1"/>
    </xf>
    <xf numFmtId="0" fontId="47" fillId="9" borderId="44" xfId="0" applyFont="1" applyFill="1" applyBorder="1" applyAlignment="1">
      <alignment horizontal="center" vertical="center"/>
    </xf>
    <xf numFmtId="173" fontId="76" fillId="2" borderId="0" xfId="0" applyNumberFormat="1" applyFont="1" applyFill="1" applyAlignment="1">
      <alignment horizontal="left" vertical="center"/>
    </xf>
    <xf numFmtId="0" fontId="115" fillId="16" borderId="140" xfId="0" applyFont="1" applyFill="1" applyBorder="1" applyAlignment="1">
      <alignment horizontal="center" vertical="center"/>
    </xf>
    <xf numFmtId="0" fontId="115" fillId="16" borderId="44" xfId="0" applyFont="1" applyFill="1" applyBorder="1" applyAlignment="1">
      <alignment horizontal="center" vertical="center"/>
    </xf>
    <xf numFmtId="0" fontId="70" fillId="16" borderId="44" xfId="0" applyFont="1" applyFill="1" applyBorder="1" applyAlignment="1">
      <alignment horizontal="center" vertical="center"/>
    </xf>
    <xf numFmtId="0" fontId="13" fillId="25" borderId="12" xfId="0" applyFont="1" applyFill="1" applyBorder="1" applyAlignment="1">
      <alignment horizontal="center" vertical="center"/>
    </xf>
    <xf numFmtId="0" fontId="13" fillId="25" borderId="79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center" vertical="center"/>
    </xf>
    <xf numFmtId="184" fontId="106" fillId="30" borderId="183" xfId="0" applyNumberFormat="1" applyFont="1" applyFill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0" fontId="8" fillId="0" borderId="169" xfId="0" applyFont="1" applyBorder="1" applyAlignment="1">
      <alignment horizontal="center" vertical="center"/>
    </xf>
    <xf numFmtId="0" fontId="8" fillId="0" borderId="15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4" borderId="72" xfId="0" applyFont="1" applyFill="1" applyBorder="1" applyAlignment="1">
      <alignment horizontal="center" vertical="center"/>
    </xf>
    <xf numFmtId="2" fontId="6" fillId="3" borderId="35" xfId="0" applyNumberFormat="1" applyFont="1" applyFill="1" applyBorder="1" applyAlignment="1">
      <alignment horizontal="center" vertical="center"/>
    </xf>
    <xf numFmtId="2" fontId="6" fillId="3" borderId="50" xfId="0" applyNumberFormat="1" applyFont="1" applyFill="1" applyBorder="1" applyAlignment="1">
      <alignment horizontal="center" vertical="center"/>
    </xf>
    <xf numFmtId="167" fontId="1" fillId="29" borderId="66" xfId="0" quotePrefix="1" applyNumberFormat="1" applyFont="1" applyFill="1" applyBorder="1" applyAlignment="1">
      <alignment horizontal="center" vertical="center" textRotation="90"/>
    </xf>
    <xf numFmtId="167" fontId="1" fillId="29" borderId="76" xfId="0" quotePrefix="1" applyNumberFormat="1" applyFont="1" applyFill="1" applyBorder="1" applyAlignment="1">
      <alignment horizontal="center" vertical="center" textRotation="90"/>
    </xf>
    <xf numFmtId="167" fontId="1" fillId="29" borderId="78" xfId="0" quotePrefix="1" applyNumberFormat="1" applyFont="1" applyFill="1" applyBorder="1" applyAlignment="1">
      <alignment horizontal="center" vertical="center" textRotation="90"/>
    </xf>
    <xf numFmtId="1" fontId="9" fillId="29" borderId="8" xfId="0" applyNumberFormat="1" applyFont="1" applyFill="1" applyBorder="1" applyAlignment="1">
      <alignment horizontal="center" vertical="center"/>
    </xf>
    <xf numFmtId="1" fontId="9" fillId="29" borderId="9" xfId="0" applyNumberFormat="1" applyFont="1" applyFill="1" applyBorder="1" applyAlignment="1">
      <alignment horizontal="center" vertical="center"/>
    </xf>
    <xf numFmtId="1" fontId="9" fillId="29" borderId="6" xfId="0" applyNumberFormat="1" applyFont="1" applyFill="1" applyBorder="1" applyAlignment="1">
      <alignment horizontal="center" vertical="center"/>
    </xf>
    <xf numFmtId="1" fontId="75" fillId="3" borderId="88" xfId="0" applyNumberFormat="1" applyFont="1" applyFill="1" applyBorder="1" applyAlignment="1">
      <alignment horizontal="center" vertical="center" wrapText="1"/>
    </xf>
    <xf numFmtId="1" fontId="75" fillId="3" borderId="0" xfId="0" applyNumberFormat="1" applyFont="1" applyFill="1" applyAlignment="1">
      <alignment horizontal="center" vertical="center" wrapText="1"/>
    </xf>
    <xf numFmtId="1" fontId="75" fillId="3" borderId="96" xfId="0" applyNumberFormat="1" applyFont="1" applyFill="1" applyBorder="1" applyAlignment="1">
      <alignment horizontal="center" vertical="center" wrapText="1"/>
    </xf>
    <xf numFmtId="1" fontId="75" fillId="3" borderId="17" xfId="0" applyNumberFormat="1" applyFont="1" applyFill="1" applyBorder="1" applyAlignment="1">
      <alignment horizontal="center" vertical="center" wrapText="1"/>
    </xf>
    <xf numFmtId="2" fontId="9" fillId="16" borderId="28" xfId="0" applyNumberFormat="1" applyFont="1" applyFill="1" applyBorder="1" applyAlignment="1">
      <alignment horizontal="left" vertical="center"/>
    </xf>
    <xf numFmtId="2" fontId="9" fillId="16" borderId="81" xfId="0" applyNumberFormat="1" applyFont="1" applyFill="1" applyBorder="1" applyAlignment="1">
      <alignment horizontal="left" vertical="center"/>
    </xf>
    <xf numFmtId="0" fontId="6" fillId="3" borderId="38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79" xfId="0" applyFont="1" applyFill="1" applyBorder="1" applyAlignment="1">
      <alignment horizontal="center" vertical="center"/>
    </xf>
    <xf numFmtId="168" fontId="4" fillId="16" borderId="36" xfId="0" applyNumberFormat="1" applyFont="1" applyFill="1" applyBorder="1" applyAlignment="1">
      <alignment horizontal="center" vertical="center"/>
    </xf>
    <xf numFmtId="168" fontId="4" fillId="16" borderId="70" xfId="0" applyNumberFormat="1" applyFont="1" applyFill="1" applyBorder="1" applyAlignment="1">
      <alignment horizontal="center" vertical="center"/>
    </xf>
    <xf numFmtId="171" fontId="1" fillId="21" borderId="72" xfId="0" applyNumberFormat="1" applyFont="1" applyFill="1" applyBorder="1" applyAlignment="1">
      <alignment horizontal="center" vertical="center"/>
    </xf>
    <xf numFmtId="1" fontId="1" fillId="21" borderId="9" xfId="0" applyNumberFormat="1" applyFont="1" applyFill="1" applyBorder="1" applyAlignment="1">
      <alignment horizontal="center" vertical="center" wrapText="1"/>
    </xf>
    <xf numFmtId="0" fontId="1" fillId="21" borderId="21" xfId="0" applyFont="1" applyFill="1" applyBorder="1" applyAlignment="1">
      <alignment horizontal="center" vertical="center" wrapText="1"/>
    </xf>
    <xf numFmtId="172" fontId="29" fillId="17" borderId="12" xfId="0" applyNumberFormat="1" applyFont="1" applyFill="1" applyBorder="1" applyAlignment="1">
      <alignment horizontal="center" vertical="center"/>
    </xf>
    <xf numFmtId="172" fontId="29" fillId="17" borderId="24" xfId="0" applyNumberFormat="1" applyFont="1" applyFill="1" applyBorder="1" applyAlignment="1">
      <alignment horizontal="center" vertical="center"/>
    </xf>
    <xf numFmtId="175" fontId="29" fillId="17" borderId="12" xfId="0" applyNumberFormat="1" applyFont="1" applyFill="1" applyBorder="1" applyAlignment="1">
      <alignment horizontal="center" vertical="center"/>
    </xf>
    <xf numFmtId="175" fontId="29" fillId="17" borderId="24" xfId="0" applyNumberFormat="1" applyFont="1" applyFill="1" applyBorder="1" applyAlignment="1">
      <alignment horizontal="center" vertical="center"/>
    </xf>
    <xf numFmtId="175" fontId="29" fillId="17" borderId="22" xfId="0" applyNumberFormat="1" applyFont="1" applyFill="1" applyBorder="1" applyAlignment="1">
      <alignment horizontal="center" vertical="center"/>
    </xf>
    <xf numFmtId="175" fontId="29" fillId="17" borderId="23" xfId="0" applyNumberFormat="1" applyFont="1" applyFill="1" applyBorder="1" applyAlignment="1">
      <alignment horizontal="center" vertical="center"/>
    </xf>
    <xf numFmtId="1" fontId="62" fillId="9" borderId="10" xfId="0" applyNumberFormat="1" applyFont="1" applyFill="1" applyBorder="1" applyAlignment="1">
      <alignment horizontal="center" vertical="center"/>
    </xf>
    <xf numFmtId="1" fontId="62" fillId="9" borderId="9" xfId="0" applyNumberFormat="1" applyFont="1" applyFill="1" applyBorder="1" applyAlignment="1">
      <alignment horizontal="center" vertical="center"/>
    </xf>
    <xf numFmtId="1" fontId="62" fillId="9" borderId="71" xfId="0" applyNumberFormat="1" applyFont="1" applyFill="1" applyBorder="1" applyAlignment="1">
      <alignment horizontal="center" vertical="center"/>
    </xf>
    <xf numFmtId="1" fontId="62" fillId="9" borderId="72" xfId="0" applyNumberFormat="1" applyFont="1" applyFill="1" applyBorder="1" applyAlignment="1">
      <alignment horizontal="center" vertical="center"/>
    </xf>
    <xf numFmtId="1" fontId="21" fillId="22" borderId="11" xfId="0" applyNumberFormat="1" applyFont="1" applyFill="1" applyBorder="1" applyAlignment="1">
      <alignment horizontal="right" vertical="center"/>
    </xf>
    <xf numFmtId="1" fontId="21" fillId="22" borderId="6" xfId="0" applyNumberFormat="1" applyFont="1" applyFill="1" applyBorder="1" applyAlignment="1">
      <alignment horizontal="right" vertical="center"/>
    </xf>
    <xf numFmtId="1" fontId="21" fillId="22" borderId="15" xfId="0" applyNumberFormat="1" applyFont="1" applyFill="1" applyBorder="1" applyAlignment="1">
      <alignment horizontal="right" vertical="center"/>
    </xf>
    <xf numFmtId="0" fontId="1" fillId="6" borderId="8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1" fontId="62" fillId="20" borderId="13" xfId="0" applyNumberFormat="1" applyFont="1" applyFill="1" applyBorder="1" applyAlignment="1">
      <alignment horizontal="center" vertical="center"/>
    </xf>
    <xf numFmtId="1" fontId="62" fillId="20" borderId="7" xfId="0" applyNumberFormat="1" applyFont="1" applyFill="1" applyBorder="1" applyAlignment="1">
      <alignment horizontal="center" vertical="center"/>
    </xf>
    <xf numFmtId="172" fontId="29" fillId="17" borderId="22" xfId="0" applyNumberFormat="1" applyFont="1" applyFill="1" applyBorder="1" applyAlignment="1">
      <alignment horizontal="center" vertical="center"/>
    </xf>
    <xf numFmtId="172" fontId="29" fillId="17" borderId="23" xfId="0" applyNumberFormat="1" applyFont="1" applyFill="1" applyBorder="1" applyAlignment="1">
      <alignment horizontal="center" vertical="center"/>
    </xf>
    <xf numFmtId="2" fontId="9" fillId="16" borderId="22" xfId="0" applyNumberFormat="1" applyFont="1" applyFill="1" applyBorder="1" applyAlignment="1">
      <alignment horizontal="center" vertical="center"/>
    </xf>
    <xf numFmtId="2" fontId="9" fillId="16" borderId="82" xfId="0" applyNumberFormat="1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1" fontId="21" fillId="22" borderId="13" xfId="0" applyNumberFormat="1" applyFont="1" applyFill="1" applyBorder="1" applyAlignment="1">
      <alignment horizontal="right" vertical="center"/>
    </xf>
    <xf numFmtId="1" fontId="21" fillId="22" borderId="7" xfId="0" applyNumberFormat="1" applyFont="1" applyFill="1" applyBorder="1" applyAlignment="1">
      <alignment horizontal="right" vertical="center"/>
    </xf>
    <xf numFmtId="1" fontId="21" fillId="22" borderId="14" xfId="0" applyNumberFormat="1" applyFont="1" applyFill="1" applyBorder="1" applyAlignment="1">
      <alignment horizontal="right" vertical="center"/>
    </xf>
    <xf numFmtId="177" fontId="29" fillId="21" borderId="9" xfId="0" applyNumberFormat="1" applyFont="1" applyFill="1" applyBorder="1" applyAlignment="1">
      <alignment horizontal="center" vertical="center"/>
    </xf>
    <xf numFmtId="177" fontId="1" fillId="21" borderId="9" xfId="0" applyNumberFormat="1" applyFont="1" applyFill="1" applyBorder="1" applyAlignment="1">
      <alignment horizontal="center" vertical="center"/>
    </xf>
    <xf numFmtId="171" fontId="1" fillId="21" borderId="9" xfId="0" applyNumberFormat="1" applyFont="1" applyFill="1" applyBorder="1" applyAlignment="1">
      <alignment horizontal="center" vertical="center"/>
    </xf>
    <xf numFmtId="1" fontId="21" fillId="22" borderId="10" xfId="0" applyNumberFormat="1" applyFont="1" applyFill="1" applyBorder="1" applyAlignment="1">
      <alignment horizontal="right" vertical="center"/>
    </xf>
    <xf numFmtId="1" fontId="21" fillId="22" borderId="9" xfId="0" applyNumberFormat="1" applyFont="1" applyFill="1" applyBorder="1" applyAlignment="1">
      <alignment horizontal="right" vertical="center"/>
    </xf>
    <xf numFmtId="1" fontId="21" fillId="22" borderId="21" xfId="0" applyNumberFormat="1" applyFont="1" applyFill="1" applyBorder="1" applyAlignment="1">
      <alignment horizontal="right" vertical="center"/>
    </xf>
    <xf numFmtId="1" fontId="71" fillId="22" borderId="10" xfId="0" applyNumberFormat="1" applyFont="1" applyFill="1" applyBorder="1" applyAlignment="1">
      <alignment horizontal="right" vertical="center"/>
    </xf>
    <xf numFmtId="1" fontId="71" fillId="22" borderId="9" xfId="0" applyNumberFormat="1" applyFont="1" applyFill="1" applyBorder="1" applyAlignment="1">
      <alignment horizontal="right" vertical="center"/>
    </xf>
    <xf numFmtId="1" fontId="71" fillId="22" borderId="21" xfId="0" applyNumberFormat="1" applyFont="1" applyFill="1" applyBorder="1" applyAlignment="1">
      <alignment horizontal="right" vertical="center"/>
    </xf>
    <xf numFmtId="2" fontId="14" fillId="5" borderId="107" xfId="0" applyNumberFormat="1" applyFont="1" applyFill="1" applyBorder="1" applyAlignment="1">
      <alignment horizontal="center" vertical="center" wrapText="1"/>
    </xf>
    <xf numFmtId="2" fontId="14" fillId="5" borderId="108" xfId="0" applyNumberFormat="1" applyFont="1" applyFill="1" applyBorder="1" applyAlignment="1">
      <alignment horizontal="center" vertical="center" wrapText="1"/>
    </xf>
    <xf numFmtId="2" fontId="57" fillId="2" borderId="0" xfId="0" applyNumberFormat="1" applyFont="1" applyFill="1" applyAlignment="1">
      <alignment horizontal="center" vertical="center"/>
    </xf>
    <xf numFmtId="0" fontId="24" fillId="15" borderId="88" xfId="0" applyFont="1" applyFill="1" applyBorder="1" applyAlignment="1">
      <alignment horizontal="center" vertical="center" wrapText="1"/>
    </xf>
    <xf numFmtId="0" fontId="24" fillId="15" borderId="29" xfId="0" applyFont="1" applyFill="1" applyBorder="1" applyAlignment="1">
      <alignment horizontal="center" vertical="center" wrapText="1"/>
    </xf>
    <xf numFmtId="0" fontId="47" fillId="9" borderId="179" xfId="0" applyFont="1" applyFill="1" applyBorder="1" applyAlignment="1">
      <alignment horizontal="center" vertical="center" wrapText="1"/>
    </xf>
    <xf numFmtId="0" fontId="47" fillId="9" borderId="24" xfId="0" applyFont="1" applyFill="1" applyBorder="1" applyAlignment="1">
      <alignment horizontal="center" vertical="center" wrapText="1"/>
    </xf>
    <xf numFmtId="1" fontId="103" fillId="35" borderId="34" xfId="0" applyNumberFormat="1" applyFont="1" applyFill="1" applyBorder="1" applyAlignment="1">
      <alignment horizontal="center" vertical="center" wrapText="1"/>
    </xf>
    <xf numFmtId="1" fontId="103" fillId="35" borderId="42" xfId="0" applyNumberFormat="1" applyFont="1" applyFill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/>
    </xf>
    <xf numFmtId="0" fontId="58" fillId="0" borderId="143" xfId="0" applyFont="1" applyBorder="1" applyAlignment="1">
      <alignment horizontal="center" vertical="center"/>
    </xf>
    <xf numFmtId="0" fontId="58" fillId="0" borderId="95" xfId="0" applyFont="1" applyBorder="1" applyAlignment="1">
      <alignment horizontal="center" vertical="center"/>
    </xf>
    <xf numFmtId="1" fontId="1" fillId="21" borderId="72" xfId="0" applyNumberFormat="1" applyFont="1" applyFill="1" applyBorder="1" applyAlignment="1">
      <alignment horizontal="center" vertical="center" wrapText="1"/>
    </xf>
    <xf numFmtId="0" fontId="1" fillId="21" borderId="66" xfId="0" applyFont="1" applyFill="1" applyBorder="1" applyAlignment="1">
      <alignment horizontal="center" vertical="center" wrapText="1"/>
    </xf>
    <xf numFmtId="2" fontId="62" fillId="20" borderId="1" xfId="0" applyNumberFormat="1" applyFont="1" applyFill="1" applyBorder="1" applyAlignment="1">
      <alignment horizontal="center" vertical="center"/>
    </xf>
    <xf numFmtId="2" fontId="62" fillId="20" borderId="3" xfId="0" applyNumberFormat="1" applyFont="1" applyFill="1" applyBorder="1" applyAlignment="1">
      <alignment horizontal="center" vertical="center"/>
    </xf>
    <xf numFmtId="0" fontId="62" fillId="20" borderId="52" xfId="0" applyFont="1" applyFill="1" applyBorder="1" applyAlignment="1">
      <alignment horizontal="center" vertical="center" wrapText="1"/>
    </xf>
    <xf numFmtId="0" fontId="62" fillId="20" borderId="48" xfId="0" applyFont="1" applyFill="1" applyBorder="1" applyAlignment="1">
      <alignment horizontal="center" vertical="center" wrapText="1"/>
    </xf>
    <xf numFmtId="0" fontId="83" fillId="0" borderId="143" xfId="0" applyFont="1" applyBorder="1" applyAlignment="1">
      <alignment horizontal="center" vertical="center"/>
    </xf>
    <xf numFmtId="0" fontId="83" fillId="0" borderId="95" xfId="0" applyFont="1" applyBorder="1" applyAlignment="1">
      <alignment horizontal="center" vertical="center"/>
    </xf>
    <xf numFmtId="0" fontId="55" fillId="21" borderId="10" xfId="0" applyFont="1" applyFill="1" applyBorder="1" applyAlignment="1">
      <alignment horizontal="left" vertical="center"/>
    </xf>
    <xf numFmtId="0" fontId="55" fillId="21" borderId="9" xfId="0" applyFont="1" applyFill="1" applyBorder="1" applyAlignment="1">
      <alignment horizontal="left" vertical="center"/>
    </xf>
    <xf numFmtId="0" fontId="1" fillId="21" borderId="17" xfId="0" applyFont="1" applyFill="1" applyBorder="1" applyAlignment="1">
      <alignment horizontal="center" vertical="center" wrapText="1"/>
    </xf>
    <xf numFmtId="0" fontId="1" fillId="21" borderId="82" xfId="0" applyFont="1" applyFill="1" applyBorder="1" applyAlignment="1">
      <alignment horizontal="center" vertical="center" wrapText="1"/>
    </xf>
    <xf numFmtId="0" fontId="55" fillId="21" borderId="13" xfId="0" applyFont="1" applyFill="1" applyBorder="1" applyAlignment="1">
      <alignment horizontal="left" vertical="center"/>
    </xf>
    <xf numFmtId="0" fontId="55" fillId="21" borderId="7" xfId="0" applyFont="1" applyFill="1" applyBorder="1" applyAlignment="1">
      <alignment horizontal="left" vertical="center"/>
    </xf>
    <xf numFmtId="2" fontId="82" fillId="8" borderId="5" xfId="0" applyNumberFormat="1" applyFont="1" applyFill="1" applyBorder="1" applyAlignment="1">
      <alignment horizontal="center" vertical="center" wrapText="1"/>
    </xf>
    <xf numFmtId="2" fontId="82" fillId="8" borderId="31" xfId="0" applyNumberFormat="1" applyFont="1" applyFill="1" applyBorder="1" applyAlignment="1">
      <alignment horizontal="center" vertical="center" wrapText="1"/>
    </xf>
    <xf numFmtId="3" fontId="11" fillId="8" borderId="3" xfId="0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19" fillId="21" borderId="11" xfId="0" applyFont="1" applyFill="1" applyBorder="1" applyAlignment="1">
      <alignment horizontal="left" vertical="center"/>
    </xf>
    <xf numFmtId="0" fontId="119" fillId="21" borderId="6" xfId="0" applyFont="1" applyFill="1" applyBorder="1" applyAlignment="1">
      <alignment horizontal="left" vertical="center"/>
    </xf>
    <xf numFmtId="0" fontId="51" fillId="18" borderId="38" xfId="0" applyFont="1" applyFill="1" applyBorder="1" applyAlignment="1">
      <alignment horizontal="center" vertical="center"/>
    </xf>
    <xf numFmtId="0" fontId="51" fillId="18" borderId="19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168" fontId="1" fillId="16" borderId="36" xfId="0" applyNumberFormat="1" applyFont="1" applyFill="1" applyBorder="1" applyAlignment="1">
      <alignment horizontal="center" vertical="center"/>
    </xf>
    <xf numFmtId="168" fontId="1" fillId="16" borderId="70" xfId="0" applyNumberFormat="1" applyFont="1" applyFill="1" applyBorder="1" applyAlignment="1">
      <alignment horizontal="center" vertical="center"/>
    </xf>
    <xf numFmtId="0" fontId="8" fillId="38" borderId="9" xfId="0" applyFont="1" applyFill="1" applyBorder="1" applyAlignment="1">
      <alignment horizontal="center" vertical="center"/>
    </xf>
    <xf numFmtId="0" fontId="119" fillId="21" borderId="10" xfId="0" applyFont="1" applyFill="1" applyBorder="1" applyAlignment="1">
      <alignment horizontal="left" vertical="center"/>
    </xf>
    <xf numFmtId="0" fontId="119" fillId="21" borderId="9" xfId="0" applyFont="1" applyFill="1" applyBorder="1" applyAlignment="1">
      <alignment horizontal="left" vertical="center"/>
    </xf>
    <xf numFmtId="0" fontId="8" fillId="29" borderId="8" xfId="0" applyFont="1" applyFill="1" applyBorder="1" applyAlignment="1">
      <alignment horizontal="center" vertical="center"/>
    </xf>
    <xf numFmtId="1" fontId="28" fillId="0" borderId="65" xfId="0" applyNumberFormat="1" applyFont="1" applyBorder="1" applyAlignment="1">
      <alignment horizontal="center" vertical="center"/>
    </xf>
    <xf numFmtId="1" fontId="28" fillId="0" borderId="63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06" xfId="0" applyFont="1" applyBorder="1" applyAlignment="1">
      <alignment horizontal="center" vertical="center" wrapText="1"/>
    </xf>
    <xf numFmtId="0" fontId="103" fillId="21" borderId="72" xfId="0" applyFont="1" applyFill="1" applyBorder="1" applyAlignment="1" applyProtection="1">
      <alignment horizontal="center" vertical="center"/>
      <protection locked="0"/>
    </xf>
    <xf numFmtId="0" fontId="100" fillId="31" borderId="130" xfId="0" applyFont="1" applyFill="1" applyBorder="1" applyAlignment="1">
      <alignment horizontal="center" vertical="center" wrapText="1"/>
    </xf>
    <xf numFmtId="0" fontId="100" fillId="31" borderId="166" xfId="0" applyFont="1" applyFill="1" applyBorder="1" applyAlignment="1">
      <alignment horizontal="center" vertical="center" wrapText="1"/>
    </xf>
    <xf numFmtId="0" fontId="100" fillId="31" borderId="167" xfId="0" applyFont="1" applyFill="1" applyBorder="1" applyAlignment="1">
      <alignment horizontal="center" vertical="center" wrapText="1"/>
    </xf>
    <xf numFmtId="168" fontId="4" fillId="16" borderId="17" xfId="0" applyNumberFormat="1" applyFont="1" applyFill="1" applyBorder="1" applyAlignment="1">
      <alignment horizontal="center" vertical="center"/>
    </xf>
    <xf numFmtId="168" fontId="4" fillId="16" borderId="82" xfId="0" applyNumberFormat="1" applyFont="1" applyFill="1" applyBorder="1" applyAlignment="1">
      <alignment horizontal="center" vertical="center"/>
    </xf>
    <xf numFmtId="0" fontId="108" fillId="9" borderId="12" xfId="0" applyFont="1" applyFill="1" applyBorder="1" applyAlignment="1">
      <alignment horizontal="center" vertical="center" wrapText="1"/>
    </xf>
    <xf numFmtId="0" fontId="108" fillId="9" borderId="79" xfId="0" applyFont="1" applyFill="1" applyBorder="1" applyAlignment="1">
      <alignment horizontal="center" vertical="center"/>
    </xf>
    <xf numFmtId="0" fontId="84" fillId="0" borderId="144" xfId="0" applyFont="1" applyBorder="1" applyAlignment="1">
      <alignment horizontal="center" vertical="center"/>
    </xf>
    <xf numFmtId="0" fontId="84" fillId="0" borderId="131" xfId="0" applyFont="1" applyBorder="1" applyAlignment="1">
      <alignment horizontal="center" vertical="center"/>
    </xf>
    <xf numFmtId="1" fontId="1" fillId="34" borderId="34" xfId="0" applyNumberFormat="1" applyFont="1" applyFill="1" applyBorder="1" applyAlignment="1">
      <alignment horizontal="center" vertical="center"/>
    </xf>
    <xf numFmtId="1" fontId="1" fillId="34" borderId="42" xfId="0" applyNumberFormat="1" applyFont="1" applyFill="1" applyBorder="1" applyAlignment="1">
      <alignment horizontal="center" vertical="center"/>
    </xf>
    <xf numFmtId="1" fontId="6" fillId="3" borderId="121" xfId="0" applyNumberFormat="1" applyFont="1" applyFill="1" applyBorder="1" applyAlignment="1">
      <alignment horizontal="center" vertical="center" wrapText="1"/>
    </xf>
    <xf numFmtId="1" fontId="6" fillId="3" borderId="122" xfId="0" applyNumberFormat="1" applyFont="1" applyFill="1" applyBorder="1" applyAlignment="1">
      <alignment horizontal="center" vertical="center" wrapText="1"/>
    </xf>
    <xf numFmtId="0" fontId="100" fillId="31" borderId="4" xfId="0" applyFont="1" applyFill="1" applyBorder="1" applyAlignment="1">
      <alignment horizontal="center" vertical="center" wrapText="1"/>
    </xf>
    <xf numFmtId="0" fontId="100" fillId="31" borderId="155" xfId="0" applyFont="1" applyFill="1" applyBorder="1" applyAlignment="1">
      <alignment horizontal="center" vertical="center" wrapText="1"/>
    </xf>
    <xf numFmtId="0" fontId="100" fillId="31" borderId="0" xfId="0" applyFont="1" applyFill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wrapText="1"/>
    </xf>
    <xf numFmtId="0" fontId="1" fillId="21" borderId="91" xfId="0" applyFont="1" applyFill="1" applyBorder="1" applyAlignment="1">
      <alignment horizontal="center" vertical="center" wrapText="1"/>
    </xf>
    <xf numFmtId="15" fontId="87" fillId="2" borderId="86" xfId="0" applyNumberFormat="1" applyFont="1" applyFill="1" applyBorder="1" applyAlignment="1">
      <alignment horizontal="center" vertical="center" wrapText="1"/>
    </xf>
    <xf numFmtId="15" fontId="87" fillId="2" borderId="0" xfId="0" applyNumberFormat="1" applyFont="1" applyFill="1" applyAlignment="1">
      <alignment horizontal="center" vertical="center" wrapText="1"/>
    </xf>
    <xf numFmtId="0" fontId="35" fillId="0" borderId="5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104" fillId="35" borderId="1" xfId="0" applyFont="1" applyFill="1" applyBorder="1" applyAlignment="1">
      <alignment horizontal="center" vertical="center" wrapText="1"/>
    </xf>
    <xf numFmtId="0" fontId="104" fillId="35" borderId="2" xfId="0" applyFont="1" applyFill="1" applyBorder="1" applyAlignment="1">
      <alignment horizontal="center" vertical="center" wrapText="1"/>
    </xf>
    <xf numFmtId="0" fontId="104" fillId="35" borderId="28" xfId="0" applyFont="1" applyFill="1" applyBorder="1" applyAlignment="1">
      <alignment horizontal="center" vertical="center" wrapText="1"/>
    </xf>
    <xf numFmtId="0" fontId="104" fillId="35" borderId="0" xfId="0" applyFont="1" applyFill="1" applyAlignment="1">
      <alignment horizontal="center" vertical="center" wrapText="1"/>
    </xf>
    <xf numFmtId="0" fontId="104" fillId="35" borderId="22" xfId="0" applyFont="1" applyFill="1" applyBorder="1" applyAlignment="1">
      <alignment horizontal="center" vertical="center" wrapText="1"/>
    </xf>
    <xf numFmtId="0" fontId="104" fillId="35" borderId="17" xfId="0" applyFont="1" applyFill="1" applyBorder="1" applyAlignment="1">
      <alignment horizontal="center" vertical="center" wrapText="1"/>
    </xf>
    <xf numFmtId="166" fontId="60" fillId="2" borderId="0" xfId="0" applyNumberFormat="1" applyFont="1" applyFill="1" applyAlignment="1">
      <alignment horizontal="left" vertical="center"/>
    </xf>
    <xf numFmtId="0" fontId="82" fillId="28" borderId="58" xfId="0" applyFont="1" applyFill="1" applyBorder="1" applyAlignment="1">
      <alignment horizontal="center" vertical="center"/>
    </xf>
    <xf numFmtId="0" fontId="82" fillId="28" borderId="190" xfId="0" applyFont="1" applyFill="1" applyBorder="1" applyAlignment="1">
      <alignment horizontal="center" vertical="center"/>
    </xf>
    <xf numFmtId="1" fontId="1" fillId="34" borderId="7" xfId="0" applyNumberFormat="1" applyFont="1" applyFill="1" applyBorder="1" applyAlignment="1">
      <alignment horizontal="center" vertical="center"/>
    </xf>
    <xf numFmtId="0" fontId="104" fillId="34" borderId="162" xfId="0" applyFont="1" applyFill="1" applyBorder="1" applyAlignment="1">
      <alignment horizontal="center" vertical="center" wrapText="1"/>
    </xf>
    <xf numFmtId="0" fontId="104" fillId="34" borderId="188" xfId="0" applyFont="1" applyFill="1" applyBorder="1" applyAlignment="1">
      <alignment horizontal="center" vertical="center"/>
    </xf>
    <xf numFmtId="0" fontId="104" fillId="34" borderId="163" xfId="0" applyFont="1" applyFill="1" applyBorder="1" applyAlignment="1">
      <alignment horizontal="center" vertical="center"/>
    </xf>
    <xf numFmtId="0" fontId="104" fillId="34" borderId="172" xfId="0" applyFont="1" applyFill="1" applyBorder="1" applyAlignment="1">
      <alignment horizontal="center" vertical="center"/>
    </xf>
    <xf numFmtId="0" fontId="104" fillId="34" borderId="164" xfId="0" applyFont="1" applyFill="1" applyBorder="1" applyAlignment="1">
      <alignment horizontal="center" vertical="center"/>
    </xf>
    <xf numFmtId="0" fontId="104" fillId="34" borderId="189" xfId="0" applyFont="1" applyFill="1" applyBorder="1" applyAlignment="1">
      <alignment horizontal="center" vertical="center"/>
    </xf>
    <xf numFmtId="1" fontId="6" fillId="3" borderId="121" xfId="0" applyNumberFormat="1" applyFont="1" applyFill="1" applyBorder="1" applyAlignment="1">
      <alignment horizontal="center" vertical="center"/>
    </xf>
    <xf numFmtId="1" fontId="6" fillId="3" borderId="122" xfId="0" applyNumberFormat="1" applyFont="1" applyFill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35" xfId="0" applyFont="1" applyBorder="1" applyAlignment="1">
      <alignment horizontal="center" vertical="center"/>
    </xf>
    <xf numFmtId="0" fontId="70" fillId="0" borderId="143" xfId="0" applyFont="1" applyBorder="1" applyAlignment="1">
      <alignment horizontal="center" vertical="center"/>
    </xf>
    <xf numFmtId="1" fontId="103" fillId="35" borderId="54" xfId="0" applyNumberFormat="1" applyFont="1" applyFill="1" applyBorder="1" applyAlignment="1">
      <alignment horizontal="center" vertical="center"/>
    </xf>
    <xf numFmtId="1" fontId="103" fillId="35" borderId="19" xfId="0" applyNumberFormat="1" applyFont="1" applyFill="1" applyBorder="1" applyAlignment="1">
      <alignment horizontal="center" vertical="center"/>
    </xf>
    <xf numFmtId="1" fontId="22" fillId="3" borderId="112" xfId="0" applyNumberFormat="1" applyFont="1" applyFill="1" applyBorder="1" applyAlignment="1">
      <alignment horizontal="center" vertical="center" wrapText="1"/>
    </xf>
    <xf numFmtId="1" fontId="22" fillId="3" borderId="133" xfId="0" applyNumberFormat="1" applyFont="1" applyFill="1" applyBorder="1" applyAlignment="1">
      <alignment horizontal="center" vertical="center" wrapText="1"/>
    </xf>
    <xf numFmtId="1" fontId="22" fillId="3" borderId="111" xfId="0" applyNumberFormat="1" applyFont="1" applyFill="1" applyBorder="1" applyAlignment="1">
      <alignment horizontal="center" vertical="center" wrapText="1"/>
    </xf>
    <xf numFmtId="1" fontId="22" fillId="3" borderId="115" xfId="0" applyNumberFormat="1" applyFont="1" applyFill="1" applyBorder="1" applyAlignment="1">
      <alignment horizontal="center" vertical="center" wrapText="1"/>
    </xf>
    <xf numFmtId="1" fontId="22" fillId="3" borderId="116" xfId="0" applyNumberFormat="1" applyFont="1" applyFill="1" applyBorder="1" applyAlignment="1">
      <alignment horizontal="center" vertical="center" wrapText="1"/>
    </xf>
    <xf numFmtId="1" fontId="22" fillId="3" borderId="117" xfId="0" applyNumberFormat="1" applyFont="1" applyFill="1" applyBorder="1" applyAlignment="1">
      <alignment horizontal="center" vertical="center" wrapText="1"/>
    </xf>
    <xf numFmtId="1" fontId="22" fillId="3" borderId="92" xfId="0" applyNumberFormat="1" applyFont="1" applyFill="1" applyBorder="1" applyAlignment="1">
      <alignment horizontal="center" vertical="center" wrapText="1"/>
    </xf>
    <xf numFmtId="1" fontId="22" fillId="3" borderId="114" xfId="0" applyNumberFormat="1" applyFont="1" applyFill="1" applyBorder="1" applyAlignment="1">
      <alignment horizontal="center" vertical="center" wrapText="1"/>
    </xf>
    <xf numFmtId="1" fontId="22" fillId="3" borderId="118" xfId="0" applyNumberFormat="1" applyFont="1" applyFill="1" applyBorder="1" applyAlignment="1">
      <alignment horizontal="center" vertical="center" wrapText="1"/>
    </xf>
    <xf numFmtId="1" fontId="22" fillId="3" borderId="119" xfId="0" applyNumberFormat="1" applyFont="1" applyFill="1" applyBorder="1" applyAlignment="1">
      <alignment horizontal="center" vertical="center" wrapText="1"/>
    </xf>
    <xf numFmtId="1" fontId="22" fillId="3" borderId="113" xfId="0" applyNumberFormat="1" applyFont="1" applyFill="1" applyBorder="1" applyAlignment="1">
      <alignment horizontal="center" vertical="center" wrapText="1"/>
    </xf>
    <xf numFmtId="1" fontId="22" fillId="3" borderId="83" xfId="0" applyNumberFormat="1" applyFont="1" applyFill="1" applyBorder="1" applyAlignment="1">
      <alignment horizontal="center" vertical="center" wrapText="1"/>
    </xf>
    <xf numFmtId="1" fontId="22" fillId="3" borderId="93" xfId="0" applyNumberFormat="1" applyFont="1" applyFill="1" applyBorder="1" applyAlignment="1">
      <alignment horizontal="center" vertical="center" wrapText="1"/>
    </xf>
    <xf numFmtId="1" fontId="22" fillId="3" borderId="84" xfId="0" applyNumberFormat="1" applyFont="1" applyFill="1" applyBorder="1" applyAlignment="1">
      <alignment horizontal="center" vertical="center" wrapText="1"/>
    </xf>
    <xf numFmtId="0" fontId="79" fillId="27" borderId="13" xfId="0" applyFont="1" applyFill="1" applyBorder="1" applyAlignment="1">
      <alignment horizontal="center" vertical="center" wrapText="1"/>
    </xf>
    <xf numFmtId="0" fontId="79" fillId="27" borderId="14" xfId="0" applyFont="1" applyFill="1" applyBorder="1" applyAlignment="1">
      <alignment horizontal="center" vertical="center" wrapText="1"/>
    </xf>
    <xf numFmtId="0" fontId="79" fillId="27" borderId="10" xfId="0" applyFont="1" applyFill="1" applyBorder="1" applyAlignment="1">
      <alignment horizontal="center" vertical="center" wrapText="1"/>
    </xf>
    <xf numFmtId="0" fontId="79" fillId="27" borderId="21" xfId="0" applyFont="1" applyFill="1" applyBorder="1" applyAlignment="1">
      <alignment horizontal="center" vertical="center" wrapText="1"/>
    </xf>
    <xf numFmtId="2" fontId="56" fillId="2" borderId="0" xfId="0" applyNumberFormat="1" applyFont="1" applyFill="1" applyAlignment="1">
      <alignment horizontal="left" vertical="center"/>
    </xf>
    <xf numFmtId="167" fontId="60" fillId="0" borderId="0" xfId="0" applyNumberFormat="1" applyFont="1" applyAlignment="1">
      <alignment horizontal="left" vertical="center"/>
    </xf>
    <xf numFmtId="0" fontId="104" fillId="21" borderId="160" xfId="0" applyFont="1" applyFill="1" applyBorder="1" applyAlignment="1">
      <alignment horizontal="center" vertical="center" wrapText="1"/>
    </xf>
    <xf numFmtId="0" fontId="104" fillId="21" borderId="186" xfId="0" applyFont="1" applyFill="1" applyBorder="1" applyAlignment="1">
      <alignment horizontal="center" vertical="center"/>
    </xf>
    <xf numFmtId="0" fontId="104" fillId="21" borderId="161" xfId="0" applyFont="1" applyFill="1" applyBorder="1" applyAlignment="1">
      <alignment horizontal="center" vertical="center"/>
    </xf>
    <xf numFmtId="0" fontId="104" fillId="21" borderId="187" xfId="0" applyFont="1" applyFill="1" applyBorder="1" applyAlignment="1">
      <alignment horizontal="center" vertical="center"/>
    </xf>
    <xf numFmtId="2" fontId="60" fillId="2" borderId="0" xfId="0" applyNumberFormat="1" applyFont="1" applyFill="1" applyAlignment="1">
      <alignment horizontal="left" vertical="center"/>
    </xf>
    <xf numFmtId="0" fontId="100" fillId="31" borderId="81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/>
    </xf>
    <xf numFmtId="0" fontId="4" fillId="2" borderId="100" xfId="0" applyFont="1" applyFill="1" applyBorder="1" applyAlignment="1">
      <alignment horizontal="center" vertical="center"/>
    </xf>
    <xf numFmtId="1" fontId="21" fillId="22" borderId="27" xfId="0" applyNumberFormat="1" applyFont="1" applyFill="1" applyBorder="1" applyAlignment="1">
      <alignment horizontal="right" vertical="center"/>
    </xf>
    <xf numFmtId="172" fontId="29" fillId="17" borderId="27" xfId="0" applyNumberFormat="1" applyFont="1" applyFill="1" applyBorder="1" applyAlignment="1">
      <alignment horizontal="center" vertical="center"/>
    </xf>
    <xf numFmtId="175" fontId="29" fillId="17" borderId="27" xfId="0" applyNumberFormat="1" applyFont="1" applyFill="1" applyBorder="1" applyAlignment="1">
      <alignment horizontal="center" vertical="center"/>
    </xf>
    <xf numFmtId="0" fontId="6" fillId="37" borderId="172" xfId="0" applyFont="1" applyFill="1" applyBorder="1" applyAlignment="1">
      <alignment horizontal="center" vertical="center" wrapText="1"/>
    </xf>
    <xf numFmtId="0" fontId="6" fillId="37" borderId="80" xfId="0" applyFont="1" applyFill="1" applyBorder="1" applyAlignment="1">
      <alignment horizontal="center" vertical="center" wrapText="1"/>
    </xf>
    <xf numFmtId="0" fontId="68" fillId="0" borderId="45" xfId="0" applyFont="1" applyBorder="1" applyAlignment="1">
      <alignment horizontal="center" vertical="center"/>
    </xf>
    <xf numFmtId="0" fontId="68" fillId="0" borderId="46" xfId="0" applyFont="1" applyBorder="1" applyAlignment="1">
      <alignment horizontal="center" vertical="center"/>
    </xf>
    <xf numFmtId="0" fontId="68" fillId="0" borderId="47" xfId="0" applyFont="1" applyBorder="1" applyAlignment="1">
      <alignment horizontal="center" vertical="center"/>
    </xf>
    <xf numFmtId="0" fontId="43" fillId="11" borderId="13" xfId="0" applyFont="1" applyFill="1" applyBorder="1" applyAlignment="1">
      <alignment horizontal="center"/>
    </xf>
    <xf numFmtId="0" fontId="43" fillId="11" borderId="14" xfId="0" applyFont="1" applyFill="1" applyBorder="1" applyAlignment="1">
      <alignment horizontal="center"/>
    </xf>
    <xf numFmtId="0" fontId="43" fillId="0" borderId="5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43" fillId="0" borderId="78" xfId="0" applyFont="1" applyBorder="1" applyAlignment="1">
      <alignment horizontal="center" vertical="center"/>
    </xf>
    <xf numFmtId="0" fontId="39" fillId="0" borderId="10" xfId="0" applyFont="1" applyBorder="1" applyAlignment="1">
      <alignment horizontal="left" wrapText="1"/>
    </xf>
    <xf numFmtId="0" fontId="39" fillId="0" borderId="11" xfId="0" applyFont="1" applyBorder="1" applyAlignment="1">
      <alignment horizontal="left" wrapText="1"/>
    </xf>
    <xf numFmtId="0" fontId="43" fillId="0" borderId="45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2" fillId="21" borderId="38" xfId="0" applyFont="1" applyFill="1" applyBorder="1" applyAlignment="1">
      <alignment horizontal="center"/>
    </xf>
    <xf numFmtId="0" fontId="2" fillId="21" borderId="19" xfId="0" applyFont="1" applyFill="1" applyBorder="1" applyAlignment="1">
      <alignment horizontal="center"/>
    </xf>
    <xf numFmtId="0" fontId="2" fillId="21" borderId="20" xfId="0" applyFont="1" applyFill="1" applyBorder="1" applyAlignment="1">
      <alignment horizontal="center"/>
    </xf>
    <xf numFmtId="0" fontId="68" fillId="0" borderId="14" xfId="0" applyFont="1" applyBorder="1" applyAlignment="1">
      <alignment horizontal="center" vertical="center"/>
    </xf>
    <xf numFmtId="0" fontId="68" fillId="0" borderId="21" xfId="0" applyFont="1" applyBorder="1" applyAlignment="1">
      <alignment horizontal="center" vertical="center"/>
    </xf>
    <xf numFmtId="0" fontId="68" fillId="0" borderId="66" xfId="0" applyFont="1" applyBorder="1" applyAlignment="1">
      <alignment horizontal="center" vertical="center"/>
    </xf>
    <xf numFmtId="0" fontId="39" fillId="0" borderId="71" xfId="0" applyFont="1" applyBorder="1" applyAlignment="1">
      <alignment horizontal="left" wrapText="1"/>
    </xf>
    <xf numFmtId="0" fontId="41" fillId="12" borderId="28" xfId="0" applyFont="1" applyFill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24" fillId="12" borderId="13" xfId="0" applyFont="1" applyFill="1" applyBorder="1" applyAlignment="1">
      <alignment horizontal="center"/>
    </xf>
    <xf numFmtId="0" fontId="24" fillId="12" borderId="14" xfId="0" applyFont="1" applyFill="1" applyBorder="1" applyAlignment="1">
      <alignment horizontal="center"/>
    </xf>
    <xf numFmtId="0" fontId="69" fillId="21" borderId="1" xfId="0" applyFont="1" applyFill="1" applyBorder="1" applyAlignment="1">
      <alignment horizontal="center"/>
    </xf>
    <xf numFmtId="0" fontId="69" fillId="21" borderId="2" xfId="0" applyFont="1" applyFill="1" applyBorder="1" applyAlignment="1">
      <alignment horizontal="center"/>
    </xf>
    <xf numFmtId="0" fontId="69" fillId="21" borderId="3" xfId="0" applyFont="1" applyFill="1" applyBorder="1" applyAlignment="1">
      <alignment horizontal="center"/>
    </xf>
  </cellXfs>
  <cellStyles count="19">
    <cellStyle name="(Built-in)" xfId="4" xr:uid="{00000000-0005-0000-0000-000000000000}"/>
    <cellStyle name="Currency 2" xfId="17" xr:uid="{3C33E47A-75CC-4EA5-B7BE-38FB08EDCFA5}"/>
    <cellStyle name="Hyperlink 2" xfId="5" xr:uid="{00000000-0005-0000-0000-000002000000}"/>
    <cellStyle name="Normal 2" xfId="3" xr:uid="{00000000-0005-0000-0000-000004000000}"/>
    <cellStyle name="Normal 2 2" xfId="8" xr:uid="{00000000-0005-0000-0000-000005000000}"/>
    <cellStyle name="Normal 2 3" xfId="10" xr:uid="{00000000-0005-0000-0000-000006000000}"/>
    <cellStyle name="Normal 2 4" xfId="15" xr:uid="{00000000-0005-0000-0000-000007000000}"/>
    <cellStyle name="Normal 26" xfId="1" xr:uid="{00000000-0005-0000-0000-000008000000}"/>
    <cellStyle name="Normal 3" xfId="6" xr:uid="{00000000-0005-0000-0000-000009000000}"/>
    <cellStyle name="Normal 3 2" xfId="13" xr:uid="{00000000-0005-0000-0000-00000A000000}"/>
    <cellStyle name="Normal 4" xfId="9" xr:uid="{00000000-0005-0000-0000-00000B000000}"/>
    <cellStyle name="Normal 4 2" xfId="16" xr:uid="{E341E055-DA22-4274-9355-05F8E564A5EA}"/>
    <cellStyle name="Normal 5" xfId="14" xr:uid="{00000000-0005-0000-0000-00000C000000}"/>
    <cellStyle name="Normal 5 2" xfId="18" xr:uid="{EA2387B9-A177-4C09-BE8B-5DEE09D1196A}"/>
    <cellStyle name="Normal 7" xfId="11" xr:uid="{00000000-0005-0000-0000-00000D000000}"/>
    <cellStyle name="Normal 9" xfId="12" xr:uid="{00000000-0005-0000-0000-00000E000000}"/>
    <cellStyle name="Обычный" xfId="0" builtinId="0"/>
    <cellStyle name="Финансовый" xfId="2" builtinId="3"/>
    <cellStyle name="標準_DP&amp;DC Run hrs" xfId="7" xr:uid="{00000000-0005-0000-0000-00000F000000}"/>
  </cellStyles>
  <dxfs count="0"/>
  <tableStyles count="0" defaultTableStyle="TableStyleMedium2" defaultPivotStyle="PivotStyleLight16"/>
  <colors>
    <mruColors>
      <color rgb="FF66FED6"/>
      <color rgb="FFFFFF00"/>
      <color rgb="FF01F1B2"/>
      <color rgb="FFD9DFE7"/>
      <color rgb="FF92B8D2"/>
      <color rgb="FF017362"/>
      <color rgb="FFFFD966"/>
      <color rgb="FF2F75B5"/>
      <color rgb="FF548235"/>
      <color rgb="FFA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98181</xdr:colOff>
      <xdr:row>0</xdr:row>
      <xdr:rowOff>174382</xdr:rowOff>
    </xdr:from>
    <xdr:to>
      <xdr:col>1</xdr:col>
      <xdr:colOff>972235</xdr:colOff>
      <xdr:row>5</xdr:row>
      <xdr:rowOff>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8975EA-17E9-D1A2-C080-5A340B8CB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7751" r="12100" b="17548"/>
        <a:stretch/>
      </xdr:blipFill>
      <xdr:spPr>
        <a:xfrm>
          <a:off x="98181" y="174382"/>
          <a:ext cx="1118089" cy="677011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0</xdr:row>
      <xdr:rowOff>50800</xdr:rowOff>
    </xdr:from>
    <xdr:to>
      <xdr:col>15</xdr:col>
      <xdr:colOff>94224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1C062A-9926-40A6-90A3-E7C9B02C4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621" t="4417" r="6313" b="2982"/>
        <a:stretch/>
      </xdr:blipFill>
      <xdr:spPr>
        <a:xfrm>
          <a:off x="9036050" y="50800"/>
          <a:ext cx="953379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N1841"/>
  <sheetViews>
    <sheetView zoomScale="145" zoomScaleNormal="145" zoomScaleSheetLayoutView="100" workbookViewId="0">
      <pane xSplit="2" ySplit="17" topLeftCell="C75" activePane="bottomRight" state="frozen"/>
      <selection pane="topRight" activeCell="C1" sqref="C1"/>
      <selection pane="bottomLeft" activeCell="A18" sqref="A18"/>
      <selection pane="bottomRight" activeCell="J78" sqref="J78"/>
    </sheetView>
  </sheetViews>
  <sheetFormatPr defaultColWidth="11.42578125" defaultRowHeight="15"/>
  <cols>
    <col min="1" max="1" width="4.42578125" style="32" customWidth="1"/>
    <col min="2" max="2" width="14.7109375" style="11" bestFit="1" customWidth="1"/>
    <col min="3" max="3" width="4.7109375" style="8" customWidth="1"/>
    <col min="4" max="4" width="13.28515625" style="5" customWidth="1"/>
    <col min="5" max="5" width="14.7109375" style="5" customWidth="1"/>
    <col min="6" max="6" width="8" style="9" customWidth="1"/>
    <col min="7" max="7" width="11.7109375" style="9" customWidth="1"/>
    <col min="8" max="8" width="9.28515625" style="9" customWidth="1"/>
    <col min="9" max="9" width="13" style="9" customWidth="1"/>
    <col min="10" max="10" width="10.42578125" style="9" customWidth="1"/>
    <col min="11" max="11" width="10" style="10" customWidth="1"/>
    <col min="12" max="12" width="15.7109375" style="10" customWidth="1"/>
    <col min="13" max="13" width="17.28515625" style="4" hidden="1" customWidth="1"/>
    <col min="14" max="14" width="15.42578125" style="32" hidden="1" customWidth="1"/>
    <col min="15" max="15" width="12.28515625" style="519" bestFit="1" customWidth="1"/>
    <col min="16" max="16" width="9.7109375" style="32" bestFit="1" customWidth="1"/>
    <col min="17" max="17" width="10.7109375" style="32" customWidth="1"/>
    <col min="18" max="18" width="18.7109375" style="32" customWidth="1"/>
    <col min="19" max="19" width="12.7109375" style="32" customWidth="1"/>
    <col min="20" max="27" width="7.7109375" style="32" customWidth="1"/>
    <col min="28" max="264" width="11.42578125" style="32"/>
    <col min="265" max="265" width="0.7109375" style="32" customWidth="1"/>
    <col min="266" max="266" width="10.7109375" style="32" customWidth="1"/>
    <col min="267" max="267" width="5.28515625" style="32" customWidth="1"/>
    <col min="268" max="268" width="10.28515625" style="32" customWidth="1"/>
    <col min="269" max="269" width="7.7109375" style="32" customWidth="1"/>
    <col min="270" max="270" width="8" style="32" customWidth="1"/>
    <col min="271" max="271" width="9.7109375" style="32" customWidth="1"/>
    <col min="272" max="272" width="8.42578125" style="32" customWidth="1"/>
    <col min="273" max="273" width="10.5703125" style="32" customWidth="1"/>
    <col min="274" max="274" width="12.7109375" style="32" customWidth="1"/>
    <col min="275" max="275" width="10" style="32" customWidth="1"/>
    <col min="276" max="276" width="14" style="32" customWidth="1"/>
    <col min="277" max="277" width="11.5703125" style="32" customWidth="1"/>
    <col min="278" max="278" width="8.28515625" style="32" customWidth="1"/>
    <col min="279" max="279" width="7.7109375" style="32" customWidth="1"/>
    <col min="280" max="520" width="11.42578125" style="32"/>
    <col min="521" max="521" width="0.7109375" style="32" customWidth="1"/>
    <col min="522" max="522" width="10.7109375" style="32" customWidth="1"/>
    <col min="523" max="523" width="5.28515625" style="32" customWidth="1"/>
    <col min="524" max="524" width="10.28515625" style="32" customWidth="1"/>
    <col min="525" max="525" width="7.7109375" style="32" customWidth="1"/>
    <col min="526" max="526" width="8" style="32" customWidth="1"/>
    <col min="527" max="527" width="9.7109375" style="32" customWidth="1"/>
    <col min="528" max="528" width="8.42578125" style="32" customWidth="1"/>
    <col min="529" max="529" width="10.5703125" style="32" customWidth="1"/>
    <col min="530" max="530" width="12.7109375" style="32" customWidth="1"/>
    <col min="531" max="531" width="10" style="32" customWidth="1"/>
    <col min="532" max="532" width="14" style="32" customWidth="1"/>
    <col min="533" max="533" width="11.5703125" style="32" customWidth="1"/>
    <col min="534" max="534" width="8.28515625" style="32" customWidth="1"/>
    <col min="535" max="535" width="7.7109375" style="32" customWidth="1"/>
    <col min="536" max="776" width="11.42578125" style="32"/>
    <col min="777" max="777" width="0.7109375" style="32" customWidth="1"/>
    <col min="778" max="778" width="10.7109375" style="32" customWidth="1"/>
    <col min="779" max="779" width="5.28515625" style="32" customWidth="1"/>
    <col min="780" max="780" width="10.28515625" style="32" customWidth="1"/>
    <col min="781" max="781" width="7.7109375" style="32" customWidth="1"/>
    <col min="782" max="782" width="8" style="32" customWidth="1"/>
    <col min="783" max="783" width="9.7109375" style="32" customWidth="1"/>
    <col min="784" max="784" width="8.42578125" style="32" customWidth="1"/>
    <col min="785" max="785" width="10.5703125" style="32" customWidth="1"/>
    <col min="786" max="786" width="12.7109375" style="32" customWidth="1"/>
    <col min="787" max="787" width="10" style="32" customWidth="1"/>
    <col min="788" max="788" width="14" style="32" customWidth="1"/>
    <col min="789" max="789" width="11.5703125" style="32" customWidth="1"/>
    <col min="790" max="790" width="8.28515625" style="32" customWidth="1"/>
    <col min="791" max="791" width="7.7109375" style="32" customWidth="1"/>
    <col min="792" max="1032" width="11.42578125" style="32"/>
    <col min="1033" max="1033" width="0.7109375" style="32" customWidth="1"/>
    <col min="1034" max="1034" width="10.7109375" style="32" customWidth="1"/>
    <col min="1035" max="1035" width="5.28515625" style="32" customWidth="1"/>
    <col min="1036" max="1036" width="10.28515625" style="32" customWidth="1"/>
    <col min="1037" max="1037" width="7.7109375" style="32" customWidth="1"/>
    <col min="1038" max="1038" width="8" style="32" customWidth="1"/>
    <col min="1039" max="1039" width="9.7109375" style="32" customWidth="1"/>
    <col min="1040" max="1040" width="8.42578125" style="32" customWidth="1"/>
    <col min="1041" max="1041" width="10.5703125" style="32" customWidth="1"/>
    <col min="1042" max="1042" width="12.7109375" style="32" customWidth="1"/>
    <col min="1043" max="1043" width="10" style="32" customWidth="1"/>
    <col min="1044" max="1044" width="14" style="32" customWidth="1"/>
    <col min="1045" max="1045" width="11.5703125" style="32" customWidth="1"/>
    <col min="1046" max="1046" width="8.28515625" style="32" customWidth="1"/>
    <col min="1047" max="1047" width="7.7109375" style="32" customWidth="1"/>
    <col min="1048" max="1288" width="11.42578125" style="32"/>
    <col min="1289" max="1289" width="0.7109375" style="32" customWidth="1"/>
    <col min="1290" max="1290" width="10.7109375" style="32" customWidth="1"/>
    <col min="1291" max="1291" width="5.28515625" style="32" customWidth="1"/>
    <col min="1292" max="1292" width="10.28515625" style="32" customWidth="1"/>
    <col min="1293" max="1293" width="7.7109375" style="32" customWidth="1"/>
    <col min="1294" max="1294" width="8" style="32" customWidth="1"/>
    <col min="1295" max="1295" width="9.7109375" style="32" customWidth="1"/>
    <col min="1296" max="1296" width="8.42578125" style="32" customWidth="1"/>
    <col min="1297" max="1297" width="10.5703125" style="32" customWidth="1"/>
    <col min="1298" max="1298" width="12.7109375" style="32" customWidth="1"/>
    <col min="1299" max="1299" width="10" style="32" customWidth="1"/>
    <col min="1300" max="1300" width="14" style="32" customWidth="1"/>
    <col min="1301" max="1301" width="11.5703125" style="32" customWidth="1"/>
    <col min="1302" max="1302" width="8.28515625" style="32" customWidth="1"/>
    <col min="1303" max="1303" width="7.7109375" style="32" customWidth="1"/>
    <col min="1304" max="1544" width="11.42578125" style="32"/>
    <col min="1545" max="1545" width="0.7109375" style="32" customWidth="1"/>
    <col min="1546" max="1546" width="10.7109375" style="32" customWidth="1"/>
    <col min="1547" max="1547" width="5.28515625" style="32" customWidth="1"/>
    <col min="1548" max="1548" width="10.28515625" style="32" customWidth="1"/>
    <col min="1549" max="1549" width="7.7109375" style="32" customWidth="1"/>
    <col min="1550" max="1550" width="8" style="32" customWidth="1"/>
    <col min="1551" max="1551" width="9.7109375" style="32" customWidth="1"/>
    <col min="1552" max="1552" width="8.42578125" style="32" customWidth="1"/>
    <col min="1553" max="1553" width="10.5703125" style="32" customWidth="1"/>
    <col min="1554" max="1554" width="12.7109375" style="32" customWidth="1"/>
    <col min="1555" max="1555" width="10" style="32" customWidth="1"/>
    <col min="1556" max="1556" width="14" style="32" customWidth="1"/>
    <col min="1557" max="1557" width="11.5703125" style="32" customWidth="1"/>
    <col min="1558" max="1558" width="8.28515625" style="32" customWidth="1"/>
    <col min="1559" max="1559" width="7.7109375" style="32" customWidth="1"/>
    <col min="1560" max="1800" width="11.42578125" style="32"/>
    <col min="1801" max="1801" width="0.7109375" style="32" customWidth="1"/>
    <col min="1802" max="1802" width="10.7109375" style="32" customWidth="1"/>
    <col min="1803" max="1803" width="5.28515625" style="32" customWidth="1"/>
    <col min="1804" max="1804" width="10.28515625" style="32" customWidth="1"/>
    <col min="1805" max="1805" width="7.7109375" style="32" customWidth="1"/>
    <col min="1806" max="1806" width="8" style="32" customWidth="1"/>
    <col min="1807" max="1807" width="9.7109375" style="32" customWidth="1"/>
    <col min="1808" max="1808" width="8.42578125" style="32" customWidth="1"/>
    <col min="1809" max="1809" width="10.5703125" style="32" customWidth="1"/>
    <col min="1810" max="1810" width="12.7109375" style="32" customWidth="1"/>
    <col min="1811" max="1811" width="10" style="32" customWidth="1"/>
    <col min="1812" max="1812" width="14" style="32" customWidth="1"/>
    <col min="1813" max="1813" width="11.5703125" style="32" customWidth="1"/>
    <col min="1814" max="1814" width="8.28515625" style="32" customWidth="1"/>
    <col min="1815" max="1815" width="7.7109375" style="32" customWidth="1"/>
    <col min="1816" max="2056" width="11.42578125" style="32"/>
    <col min="2057" max="2057" width="0.7109375" style="32" customWidth="1"/>
    <col min="2058" max="2058" width="10.7109375" style="32" customWidth="1"/>
    <col min="2059" max="2059" width="5.28515625" style="32" customWidth="1"/>
    <col min="2060" max="2060" width="10.28515625" style="32" customWidth="1"/>
    <col min="2061" max="2061" width="7.7109375" style="32" customWidth="1"/>
    <col min="2062" max="2062" width="8" style="32" customWidth="1"/>
    <col min="2063" max="2063" width="9.7109375" style="32" customWidth="1"/>
    <col min="2064" max="2064" width="8.42578125" style="32" customWidth="1"/>
    <col min="2065" max="2065" width="10.5703125" style="32" customWidth="1"/>
    <col min="2066" max="2066" width="12.7109375" style="32" customWidth="1"/>
    <col min="2067" max="2067" width="10" style="32" customWidth="1"/>
    <col min="2068" max="2068" width="14" style="32" customWidth="1"/>
    <col min="2069" max="2069" width="11.5703125" style="32" customWidth="1"/>
    <col min="2070" max="2070" width="8.28515625" style="32" customWidth="1"/>
    <col min="2071" max="2071" width="7.7109375" style="32" customWidth="1"/>
    <col min="2072" max="2312" width="11.42578125" style="32"/>
    <col min="2313" max="2313" width="0.7109375" style="32" customWidth="1"/>
    <col min="2314" max="2314" width="10.7109375" style="32" customWidth="1"/>
    <col min="2315" max="2315" width="5.28515625" style="32" customWidth="1"/>
    <col min="2316" max="2316" width="10.28515625" style="32" customWidth="1"/>
    <col min="2317" max="2317" width="7.7109375" style="32" customWidth="1"/>
    <col min="2318" max="2318" width="8" style="32" customWidth="1"/>
    <col min="2319" max="2319" width="9.7109375" style="32" customWidth="1"/>
    <col min="2320" max="2320" width="8.42578125" style="32" customWidth="1"/>
    <col min="2321" max="2321" width="10.5703125" style="32" customWidth="1"/>
    <col min="2322" max="2322" width="12.7109375" style="32" customWidth="1"/>
    <col min="2323" max="2323" width="10" style="32" customWidth="1"/>
    <col min="2324" max="2324" width="14" style="32" customWidth="1"/>
    <col min="2325" max="2325" width="11.5703125" style="32" customWidth="1"/>
    <col min="2326" max="2326" width="8.28515625" style="32" customWidth="1"/>
    <col min="2327" max="2327" width="7.7109375" style="32" customWidth="1"/>
    <col min="2328" max="2568" width="11.42578125" style="32"/>
    <col min="2569" max="2569" width="0.7109375" style="32" customWidth="1"/>
    <col min="2570" max="2570" width="10.7109375" style="32" customWidth="1"/>
    <col min="2571" max="2571" width="5.28515625" style="32" customWidth="1"/>
    <col min="2572" max="2572" width="10.28515625" style="32" customWidth="1"/>
    <col min="2573" max="2573" width="7.7109375" style="32" customWidth="1"/>
    <col min="2574" max="2574" width="8" style="32" customWidth="1"/>
    <col min="2575" max="2575" width="9.7109375" style="32" customWidth="1"/>
    <col min="2576" max="2576" width="8.42578125" style="32" customWidth="1"/>
    <col min="2577" max="2577" width="10.5703125" style="32" customWidth="1"/>
    <col min="2578" max="2578" width="12.7109375" style="32" customWidth="1"/>
    <col min="2579" max="2579" width="10" style="32" customWidth="1"/>
    <col min="2580" max="2580" width="14" style="32" customWidth="1"/>
    <col min="2581" max="2581" width="11.5703125" style="32" customWidth="1"/>
    <col min="2582" max="2582" width="8.28515625" style="32" customWidth="1"/>
    <col min="2583" max="2583" width="7.7109375" style="32" customWidth="1"/>
    <col min="2584" max="2824" width="11.42578125" style="32"/>
    <col min="2825" max="2825" width="0.7109375" style="32" customWidth="1"/>
    <col min="2826" max="2826" width="10.7109375" style="32" customWidth="1"/>
    <col min="2827" max="2827" width="5.28515625" style="32" customWidth="1"/>
    <col min="2828" max="2828" width="10.28515625" style="32" customWidth="1"/>
    <col min="2829" max="2829" width="7.7109375" style="32" customWidth="1"/>
    <col min="2830" max="2830" width="8" style="32" customWidth="1"/>
    <col min="2831" max="2831" width="9.7109375" style="32" customWidth="1"/>
    <col min="2832" max="2832" width="8.42578125" style="32" customWidth="1"/>
    <col min="2833" max="2833" width="10.5703125" style="32" customWidth="1"/>
    <col min="2834" max="2834" width="12.7109375" style="32" customWidth="1"/>
    <col min="2835" max="2835" width="10" style="32" customWidth="1"/>
    <col min="2836" max="2836" width="14" style="32" customWidth="1"/>
    <col min="2837" max="2837" width="11.5703125" style="32" customWidth="1"/>
    <col min="2838" max="2838" width="8.28515625" style="32" customWidth="1"/>
    <col min="2839" max="2839" width="7.7109375" style="32" customWidth="1"/>
    <col min="2840" max="3080" width="11.42578125" style="32"/>
    <col min="3081" max="3081" width="0.7109375" style="32" customWidth="1"/>
    <col min="3082" max="3082" width="10.7109375" style="32" customWidth="1"/>
    <col min="3083" max="3083" width="5.28515625" style="32" customWidth="1"/>
    <col min="3084" max="3084" width="10.28515625" style="32" customWidth="1"/>
    <col min="3085" max="3085" width="7.7109375" style="32" customWidth="1"/>
    <col min="3086" max="3086" width="8" style="32" customWidth="1"/>
    <col min="3087" max="3087" width="9.7109375" style="32" customWidth="1"/>
    <col min="3088" max="3088" width="8.42578125" style="32" customWidth="1"/>
    <col min="3089" max="3089" width="10.5703125" style="32" customWidth="1"/>
    <col min="3090" max="3090" width="12.7109375" style="32" customWidth="1"/>
    <col min="3091" max="3091" width="10" style="32" customWidth="1"/>
    <col min="3092" max="3092" width="14" style="32" customWidth="1"/>
    <col min="3093" max="3093" width="11.5703125" style="32" customWidth="1"/>
    <col min="3094" max="3094" width="8.28515625" style="32" customWidth="1"/>
    <col min="3095" max="3095" width="7.7109375" style="32" customWidth="1"/>
    <col min="3096" max="3336" width="11.42578125" style="32"/>
    <col min="3337" max="3337" width="0.7109375" style="32" customWidth="1"/>
    <col min="3338" max="3338" width="10.7109375" style="32" customWidth="1"/>
    <col min="3339" max="3339" width="5.28515625" style="32" customWidth="1"/>
    <col min="3340" max="3340" width="10.28515625" style="32" customWidth="1"/>
    <col min="3341" max="3341" width="7.7109375" style="32" customWidth="1"/>
    <col min="3342" max="3342" width="8" style="32" customWidth="1"/>
    <col min="3343" max="3343" width="9.7109375" style="32" customWidth="1"/>
    <col min="3344" max="3344" width="8.42578125" style="32" customWidth="1"/>
    <col min="3345" max="3345" width="10.5703125" style="32" customWidth="1"/>
    <col min="3346" max="3346" width="12.7109375" style="32" customWidth="1"/>
    <col min="3347" max="3347" width="10" style="32" customWidth="1"/>
    <col min="3348" max="3348" width="14" style="32" customWidth="1"/>
    <col min="3349" max="3349" width="11.5703125" style="32" customWidth="1"/>
    <col min="3350" max="3350" width="8.28515625" style="32" customWidth="1"/>
    <col min="3351" max="3351" width="7.7109375" style="32" customWidth="1"/>
    <col min="3352" max="3592" width="11.42578125" style="32"/>
    <col min="3593" max="3593" width="0.7109375" style="32" customWidth="1"/>
    <col min="3594" max="3594" width="10.7109375" style="32" customWidth="1"/>
    <col min="3595" max="3595" width="5.28515625" style="32" customWidth="1"/>
    <col min="3596" max="3596" width="10.28515625" style="32" customWidth="1"/>
    <col min="3597" max="3597" width="7.7109375" style="32" customWidth="1"/>
    <col min="3598" max="3598" width="8" style="32" customWidth="1"/>
    <col min="3599" max="3599" width="9.7109375" style="32" customWidth="1"/>
    <col min="3600" max="3600" width="8.42578125" style="32" customWidth="1"/>
    <col min="3601" max="3601" width="10.5703125" style="32" customWidth="1"/>
    <col min="3602" max="3602" width="12.7109375" style="32" customWidth="1"/>
    <col min="3603" max="3603" width="10" style="32" customWidth="1"/>
    <col min="3604" max="3604" width="14" style="32" customWidth="1"/>
    <col min="3605" max="3605" width="11.5703125" style="32" customWidth="1"/>
    <col min="3606" max="3606" width="8.28515625" style="32" customWidth="1"/>
    <col min="3607" max="3607" width="7.7109375" style="32" customWidth="1"/>
    <col min="3608" max="3848" width="11.42578125" style="32"/>
    <col min="3849" max="3849" width="0.7109375" style="32" customWidth="1"/>
    <col min="3850" max="3850" width="10.7109375" style="32" customWidth="1"/>
    <col min="3851" max="3851" width="5.28515625" style="32" customWidth="1"/>
    <col min="3852" max="3852" width="10.28515625" style="32" customWidth="1"/>
    <col min="3853" max="3853" width="7.7109375" style="32" customWidth="1"/>
    <col min="3854" max="3854" width="8" style="32" customWidth="1"/>
    <col min="3855" max="3855" width="9.7109375" style="32" customWidth="1"/>
    <col min="3856" max="3856" width="8.42578125" style="32" customWidth="1"/>
    <col min="3857" max="3857" width="10.5703125" style="32" customWidth="1"/>
    <col min="3858" max="3858" width="12.7109375" style="32" customWidth="1"/>
    <col min="3859" max="3859" width="10" style="32" customWidth="1"/>
    <col min="3860" max="3860" width="14" style="32" customWidth="1"/>
    <col min="3861" max="3861" width="11.5703125" style="32" customWidth="1"/>
    <col min="3862" max="3862" width="8.28515625" style="32" customWidth="1"/>
    <col min="3863" max="3863" width="7.7109375" style="32" customWidth="1"/>
    <col min="3864" max="4104" width="11.42578125" style="32"/>
    <col min="4105" max="4105" width="0.7109375" style="32" customWidth="1"/>
    <col min="4106" max="4106" width="10.7109375" style="32" customWidth="1"/>
    <col min="4107" max="4107" width="5.28515625" style="32" customWidth="1"/>
    <col min="4108" max="4108" width="10.28515625" style="32" customWidth="1"/>
    <col min="4109" max="4109" width="7.7109375" style="32" customWidth="1"/>
    <col min="4110" max="4110" width="8" style="32" customWidth="1"/>
    <col min="4111" max="4111" width="9.7109375" style="32" customWidth="1"/>
    <col min="4112" max="4112" width="8.42578125" style="32" customWidth="1"/>
    <col min="4113" max="4113" width="10.5703125" style="32" customWidth="1"/>
    <col min="4114" max="4114" width="12.7109375" style="32" customWidth="1"/>
    <col min="4115" max="4115" width="10" style="32" customWidth="1"/>
    <col min="4116" max="4116" width="14" style="32" customWidth="1"/>
    <col min="4117" max="4117" width="11.5703125" style="32" customWidth="1"/>
    <col min="4118" max="4118" width="8.28515625" style="32" customWidth="1"/>
    <col min="4119" max="4119" width="7.7109375" style="32" customWidth="1"/>
    <col min="4120" max="4360" width="11.42578125" style="32"/>
    <col min="4361" max="4361" width="0.7109375" style="32" customWidth="1"/>
    <col min="4362" max="4362" width="10.7109375" style="32" customWidth="1"/>
    <col min="4363" max="4363" width="5.28515625" style="32" customWidth="1"/>
    <col min="4364" max="4364" width="10.28515625" style="32" customWidth="1"/>
    <col min="4365" max="4365" width="7.7109375" style="32" customWidth="1"/>
    <col min="4366" max="4366" width="8" style="32" customWidth="1"/>
    <col min="4367" max="4367" width="9.7109375" style="32" customWidth="1"/>
    <col min="4368" max="4368" width="8.42578125" style="32" customWidth="1"/>
    <col min="4369" max="4369" width="10.5703125" style="32" customWidth="1"/>
    <col min="4370" max="4370" width="12.7109375" style="32" customWidth="1"/>
    <col min="4371" max="4371" width="10" style="32" customWidth="1"/>
    <col min="4372" max="4372" width="14" style="32" customWidth="1"/>
    <col min="4373" max="4373" width="11.5703125" style="32" customWidth="1"/>
    <col min="4374" max="4374" width="8.28515625" style="32" customWidth="1"/>
    <col min="4375" max="4375" width="7.7109375" style="32" customWidth="1"/>
    <col min="4376" max="4616" width="11.42578125" style="32"/>
    <col min="4617" max="4617" width="0.7109375" style="32" customWidth="1"/>
    <col min="4618" max="4618" width="10.7109375" style="32" customWidth="1"/>
    <col min="4619" max="4619" width="5.28515625" style="32" customWidth="1"/>
    <col min="4620" max="4620" width="10.28515625" style="32" customWidth="1"/>
    <col min="4621" max="4621" width="7.7109375" style="32" customWidth="1"/>
    <col min="4622" max="4622" width="8" style="32" customWidth="1"/>
    <col min="4623" max="4623" width="9.7109375" style="32" customWidth="1"/>
    <col min="4624" max="4624" width="8.42578125" style="32" customWidth="1"/>
    <col min="4625" max="4625" width="10.5703125" style="32" customWidth="1"/>
    <col min="4626" max="4626" width="12.7109375" style="32" customWidth="1"/>
    <col min="4627" max="4627" width="10" style="32" customWidth="1"/>
    <col min="4628" max="4628" width="14" style="32" customWidth="1"/>
    <col min="4629" max="4629" width="11.5703125" style="32" customWidth="1"/>
    <col min="4630" max="4630" width="8.28515625" style="32" customWidth="1"/>
    <col min="4631" max="4631" width="7.7109375" style="32" customWidth="1"/>
    <col min="4632" max="4872" width="11.42578125" style="32"/>
    <col min="4873" max="4873" width="0.7109375" style="32" customWidth="1"/>
    <col min="4874" max="4874" width="10.7109375" style="32" customWidth="1"/>
    <col min="4875" max="4875" width="5.28515625" style="32" customWidth="1"/>
    <col min="4876" max="4876" width="10.28515625" style="32" customWidth="1"/>
    <col min="4877" max="4877" width="7.7109375" style="32" customWidth="1"/>
    <col min="4878" max="4878" width="8" style="32" customWidth="1"/>
    <col min="4879" max="4879" width="9.7109375" style="32" customWidth="1"/>
    <col min="4880" max="4880" width="8.42578125" style="32" customWidth="1"/>
    <col min="4881" max="4881" width="10.5703125" style="32" customWidth="1"/>
    <col min="4882" max="4882" width="12.7109375" style="32" customWidth="1"/>
    <col min="4883" max="4883" width="10" style="32" customWidth="1"/>
    <col min="4884" max="4884" width="14" style="32" customWidth="1"/>
    <col min="4885" max="4885" width="11.5703125" style="32" customWidth="1"/>
    <col min="4886" max="4886" width="8.28515625" style="32" customWidth="1"/>
    <col min="4887" max="4887" width="7.7109375" style="32" customWidth="1"/>
    <col min="4888" max="5128" width="11.42578125" style="32"/>
    <col min="5129" max="5129" width="0.7109375" style="32" customWidth="1"/>
    <col min="5130" max="5130" width="10.7109375" style="32" customWidth="1"/>
    <col min="5131" max="5131" width="5.28515625" style="32" customWidth="1"/>
    <col min="5132" max="5132" width="10.28515625" style="32" customWidth="1"/>
    <col min="5133" max="5133" width="7.7109375" style="32" customWidth="1"/>
    <col min="5134" max="5134" width="8" style="32" customWidth="1"/>
    <col min="5135" max="5135" width="9.7109375" style="32" customWidth="1"/>
    <col min="5136" max="5136" width="8.42578125" style="32" customWidth="1"/>
    <col min="5137" max="5137" width="10.5703125" style="32" customWidth="1"/>
    <col min="5138" max="5138" width="12.7109375" style="32" customWidth="1"/>
    <col min="5139" max="5139" width="10" style="32" customWidth="1"/>
    <col min="5140" max="5140" width="14" style="32" customWidth="1"/>
    <col min="5141" max="5141" width="11.5703125" style="32" customWidth="1"/>
    <col min="5142" max="5142" width="8.28515625" style="32" customWidth="1"/>
    <col min="5143" max="5143" width="7.7109375" style="32" customWidth="1"/>
    <col min="5144" max="5384" width="11.42578125" style="32"/>
    <col min="5385" max="5385" width="0.7109375" style="32" customWidth="1"/>
    <col min="5386" max="5386" width="10.7109375" style="32" customWidth="1"/>
    <col min="5387" max="5387" width="5.28515625" style="32" customWidth="1"/>
    <col min="5388" max="5388" width="10.28515625" style="32" customWidth="1"/>
    <col min="5389" max="5389" width="7.7109375" style="32" customWidth="1"/>
    <col min="5390" max="5390" width="8" style="32" customWidth="1"/>
    <col min="5391" max="5391" width="9.7109375" style="32" customWidth="1"/>
    <col min="5392" max="5392" width="8.42578125" style="32" customWidth="1"/>
    <col min="5393" max="5393" width="10.5703125" style="32" customWidth="1"/>
    <col min="5394" max="5394" width="12.7109375" style="32" customWidth="1"/>
    <col min="5395" max="5395" width="10" style="32" customWidth="1"/>
    <col min="5396" max="5396" width="14" style="32" customWidth="1"/>
    <col min="5397" max="5397" width="11.5703125" style="32" customWidth="1"/>
    <col min="5398" max="5398" width="8.28515625" style="32" customWidth="1"/>
    <col min="5399" max="5399" width="7.7109375" style="32" customWidth="1"/>
    <col min="5400" max="5640" width="11.42578125" style="32"/>
    <col min="5641" max="5641" width="0.7109375" style="32" customWidth="1"/>
    <col min="5642" max="5642" width="10.7109375" style="32" customWidth="1"/>
    <col min="5643" max="5643" width="5.28515625" style="32" customWidth="1"/>
    <col min="5644" max="5644" width="10.28515625" style="32" customWidth="1"/>
    <col min="5645" max="5645" width="7.7109375" style="32" customWidth="1"/>
    <col min="5646" max="5646" width="8" style="32" customWidth="1"/>
    <col min="5647" max="5647" width="9.7109375" style="32" customWidth="1"/>
    <col min="5648" max="5648" width="8.42578125" style="32" customWidth="1"/>
    <col min="5649" max="5649" width="10.5703125" style="32" customWidth="1"/>
    <col min="5650" max="5650" width="12.7109375" style="32" customWidth="1"/>
    <col min="5651" max="5651" width="10" style="32" customWidth="1"/>
    <col min="5652" max="5652" width="14" style="32" customWidth="1"/>
    <col min="5653" max="5653" width="11.5703125" style="32" customWidth="1"/>
    <col min="5654" max="5654" width="8.28515625" style="32" customWidth="1"/>
    <col min="5655" max="5655" width="7.7109375" style="32" customWidth="1"/>
    <col min="5656" max="5896" width="11.42578125" style="32"/>
    <col min="5897" max="5897" width="0.7109375" style="32" customWidth="1"/>
    <col min="5898" max="5898" width="10.7109375" style="32" customWidth="1"/>
    <col min="5899" max="5899" width="5.28515625" style="32" customWidth="1"/>
    <col min="5900" max="5900" width="10.28515625" style="32" customWidth="1"/>
    <col min="5901" max="5901" width="7.7109375" style="32" customWidth="1"/>
    <col min="5902" max="5902" width="8" style="32" customWidth="1"/>
    <col min="5903" max="5903" width="9.7109375" style="32" customWidth="1"/>
    <col min="5904" max="5904" width="8.42578125" style="32" customWidth="1"/>
    <col min="5905" max="5905" width="10.5703125" style="32" customWidth="1"/>
    <col min="5906" max="5906" width="12.7109375" style="32" customWidth="1"/>
    <col min="5907" max="5907" width="10" style="32" customWidth="1"/>
    <col min="5908" max="5908" width="14" style="32" customWidth="1"/>
    <col min="5909" max="5909" width="11.5703125" style="32" customWidth="1"/>
    <col min="5910" max="5910" width="8.28515625" style="32" customWidth="1"/>
    <col min="5911" max="5911" width="7.7109375" style="32" customWidth="1"/>
    <col min="5912" max="6152" width="11.42578125" style="32"/>
    <col min="6153" max="6153" width="0.7109375" style="32" customWidth="1"/>
    <col min="6154" max="6154" width="10.7109375" style="32" customWidth="1"/>
    <col min="6155" max="6155" width="5.28515625" style="32" customWidth="1"/>
    <col min="6156" max="6156" width="10.28515625" style="32" customWidth="1"/>
    <col min="6157" max="6157" width="7.7109375" style="32" customWidth="1"/>
    <col min="6158" max="6158" width="8" style="32" customWidth="1"/>
    <col min="6159" max="6159" width="9.7109375" style="32" customWidth="1"/>
    <col min="6160" max="6160" width="8.42578125" style="32" customWidth="1"/>
    <col min="6161" max="6161" width="10.5703125" style="32" customWidth="1"/>
    <col min="6162" max="6162" width="12.7109375" style="32" customWidth="1"/>
    <col min="6163" max="6163" width="10" style="32" customWidth="1"/>
    <col min="6164" max="6164" width="14" style="32" customWidth="1"/>
    <col min="6165" max="6165" width="11.5703125" style="32" customWidth="1"/>
    <col min="6166" max="6166" width="8.28515625" style="32" customWidth="1"/>
    <col min="6167" max="6167" width="7.7109375" style="32" customWidth="1"/>
    <col min="6168" max="6408" width="11.42578125" style="32"/>
    <col min="6409" max="6409" width="0.7109375" style="32" customWidth="1"/>
    <col min="6410" max="6410" width="10.7109375" style="32" customWidth="1"/>
    <col min="6411" max="6411" width="5.28515625" style="32" customWidth="1"/>
    <col min="6412" max="6412" width="10.28515625" style="32" customWidth="1"/>
    <col min="6413" max="6413" width="7.7109375" style="32" customWidth="1"/>
    <col min="6414" max="6414" width="8" style="32" customWidth="1"/>
    <col min="6415" max="6415" width="9.7109375" style="32" customWidth="1"/>
    <col min="6416" max="6416" width="8.42578125" style="32" customWidth="1"/>
    <col min="6417" max="6417" width="10.5703125" style="32" customWidth="1"/>
    <col min="6418" max="6418" width="12.7109375" style="32" customWidth="1"/>
    <col min="6419" max="6419" width="10" style="32" customWidth="1"/>
    <col min="6420" max="6420" width="14" style="32" customWidth="1"/>
    <col min="6421" max="6421" width="11.5703125" style="32" customWidth="1"/>
    <col min="6422" max="6422" width="8.28515625" style="32" customWidth="1"/>
    <col min="6423" max="6423" width="7.7109375" style="32" customWidth="1"/>
    <col min="6424" max="6664" width="11.42578125" style="32"/>
    <col min="6665" max="6665" width="0.7109375" style="32" customWidth="1"/>
    <col min="6666" max="6666" width="10.7109375" style="32" customWidth="1"/>
    <col min="6667" max="6667" width="5.28515625" style="32" customWidth="1"/>
    <col min="6668" max="6668" width="10.28515625" style="32" customWidth="1"/>
    <col min="6669" max="6669" width="7.7109375" style="32" customWidth="1"/>
    <col min="6670" max="6670" width="8" style="32" customWidth="1"/>
    <col min="6671" max="6671" width="9.7109375" style="32" customWidth="1"/>
    <col min="6672" max="6672" width="8.42578125" style="32" customWidth="1"/>
    <col min="6673" max="6673" width="10.5703125" style="32" customWidth="1"/>
    <col min="6674" max="6674" width="12.7109375" style="32" customWidth="1"/>
    <col min="6675" max="6675" width="10" style="32" customWidth="1"/>
    <col min="6676" max="6676" width="14" style="32" customWidth="1"/>
    <col min="6677" max="6677" width="11.5703125" style="32" customWidth="1"/>
    <col min="6678" max="6678" width="8.28515625" style="32" customWidth="1"/>
    <col min="6679" max="6679" width="7.7109375" style="32" customWidth="1"/>
    <col min="6680" max="6920" width="11.42578125" style="32"/>
    <col min="6921" max="6921" width="0.7109375" style="32" customWidth="1"/>
    <col min="6922" max="6922" width="10.7109375" style="32" customWidth="1"/>
    <col min="6923" max="6923" width="5.28515625" style="32" customWidth="1"/>
    <col min="6924" max="6924" width="10.28515625" style="32" customWidth="1"/>
    <col min="6925" max="6925" width="7.7109375" style="32" customWidth="1"/>
    <col min="6926" max="6926" width="8" style="32" customWidth="1"/>
    <col min="6927" max="6927" width="9.7109375" style="32" customWidth="1"/>
    <col min="6928" max="6928" width="8.42578125" style="32" customWidth="1"/>
    <col min="6929" max="6929" width="10.5703125" style="32" customWidth="1"/>
    <col min="6930" max="6930" width="12.7109375" style="32" customWidth="1"/>
    <col min="6931" max="6931" width="10" style="32" customWidth="1"/>
    <col min="6932" max="6932" width="14" style="32" customWidth="1"/>
    <col min="6933" max="6933" width="11.5703125" style="32" customWidth="1"/>
    <col min="6934" max="6934" width="8.28515625" style="32" customWidth="1"/>
    <col min="6935" max="6935" width="7.7109375" style="32" customWidth="1"/>
    <col min="6936" max="7176" width="11.42578125" style="32"/>
    <col min="7177" max="7177" width="0.7109375" style="32" customWidth="1"/>
    <col min="7178" max="7178" width="10.7109375" style="32" customWidth="1"/>
    <col min="7179" max="7179" width="5.28515625" style="32" customWidth="1"/>
    <col min="7180" max="7180" width="10.28515625" style="32" customWidth="1"/>
    <col min="7181" max="7181" width="7.7109375" style="32" customWidth="1"/>
    <col min="7182" max="7182" width="8" style="32" customWidth="1"/>
    <col min="7183" max="7183" width="9.7109375" style="32" customWidth="1"/>
    <col min="7184" max="7184" width="8.42578125" style="32" customWidth="1"/>
    <col min="7185" max="7185" width="10.5703125" style="32" customWidth="1"/>
    <col min="7186" max="7186" width="12.7109375" style="32" customWidth="1"/>
    <col min="7187" max="7187" width="10" style="32" customWidth="1"/>
    <col min="7188" max="7188" width="14" style="32" customWidth="1"/>
    <col min="7189" max="7189" width="11.5703125" style="32" customWidth="1"/>
    <col min="7190" max="7190" width="8.28515625" style="32" customWidth="1"/>
    <col min="7191" max="7191" width="7.7109375" style="32" customWidth="1"/>
    <col min="7192" max="7432" width="11.42578125" style="32"/>
    <col min="7433" max="7433" width="0.7109375" style="32" customWidth="1"/>
    <col min="7434" max="7434" width="10.7109375" style="32" customWidth="1"/>
    <col min="7435" max="7435" width="5.28515625" style="32" customWidth="1"/>
    <col min="7436" max="7436" width="10.28515625" style="32" customWidth="1"/>
    <col min="7437" max="7437" width="7.7109375" style="32" customWidth="1"/>
    <col min="7438" max="7438" width="8" style="32" customWidth="1"/>
    <col min="7439" max="7439" width="9.7109375" style="32" customWidth="1"/>
    <col min="7440" max="7440" width="8.42578125" style="32" customWidth="1"/>
    <col min="7441" max="7441" width="10.5703125" style="32" customWidth="1"/>
    <col min="7442" max="7442" width="12.7109375" style="32" customWidth="1"/>
    <col min="7443" max="7443" width="10" style="32" customWidth="1"/>
    <col min="7444" max="7444" width="14" style="32" customWidth="1"/>
    <col min="7445" max="7445" width="11.5703125" style="32" customWidth="1"/>
    <col min="7446" max="7446" width="8.28515625" style="32" customWidth="1"/>
    <col min="7447" max="7447" width="7.7109375" style="32" customWidth="1"/>
    <col min="7448" max="7688" width="11.42578125" style="32"/>
    <col min="7689" max="7689" width="0.7109375" style="32" customWidth="1"/>
    <col min="7690" max="7690" width="10.7109375" style="32" customWidth="1"/>
    <col min="7691" max="7691" width="5.28515625" style="32" customWidth="1"/>
    <col min="7692" max="7692" width="10.28515625" style="32" customWidth="1"/>
    <col min="7693" max="7693" width="7.7109375" style="32" customWidth="1"/>
    <col min="7694" max="7694" width="8" style="32" customWidth="1"/>
    <col min="7695" max="7695" width="9.7109375" style="32" customWidth="1"/>
    <col min="7696" max="7696" width="8.42578125" style="32" customWidth="1"/>
    <col min="7697" max="7697" width="10.5703125" style="32" customWidth="1"/>
    <col min="7698" max="7698" width="12.7109375" style="32" customWidth="1"/>
    <col min="7699" max="7699" width="10" style="32" customWidth="1"/>
    <col min="7700" max="7700" width="14" style="32" customWidth="1"/>
    <col min="7701" max="7701" width="11.5703125" style="32" customWidth="1"/>
    <col min="7702" max="7702" width="8.28515625" style="32" customWidth="1"/>
    <col min="7703" max="7703" width="7.7109375" style="32" customWidth="1"/>
    <col min="7704" max="7944" width="11.42578125" style="32"/>
    <col min="7945" max="7945" width="0.7109375" style="32" customWidth="1"/>
    <col min="7946" max="7946" width="10.7109375" style="32" customWidth="1"/>
    <col min="7947" max="7947" width="5.28515625" style="32" customWidth="1"/>
    <col min="7948" max="7948" width="10.28515625" style="32" customWidth="1"/>
    <col min="7949" max="7949" width="7.7109375" style="32" customWidth="1"/>
    <col min="7950" max="7950" width="8" style="32" customWidth="1"/>
    <col min="7951" max="7951" width="9.7109375" style="32" customWidth="1"/>
    <col min="7952" max="7952" width="8.42578125" style="32" customWidth="1"/>
    <col min="7953" max="7953" width="10.5703125" style="32" customWidth="1"/>
    <col min="7954" max="7954" width="12.7109375" style="32" customWidth="1"/>
    <col min="7955" max="7955" width="10" style="32" customWidth="1"/>
    <col min="7956" max="7956" width="14" style="32" customWidth="1"/>
    <col min="7957" max="7957" width="11.5703125" style="32" customWidth="1"/>
    <col min="7958" max="7958" width="8.28515625" style="32" customWidth="1"/>
    <col min="7959" max="7959" width="7.7109375" style="32" customWidth="1"/>
    <col min="7960" max="8200" width="11.42578125" style="32"/>
    <col min="8201" max="8201" width="0.7109375" style="32" customWidth="1"/>
    <col min="8202" max="8202" width="10.7109375" style="32" customWidth="1"/>
    <col min="8203" max="8203" width="5.28515625" style="32" customWidth="1"/>
    <col min="8204" max="8204" width="10.28515625" style="32" customWidth="1"/>
    <col min="8205" max="8205" width="7.7109375" style="32" customWidth="1"/>
    <col min="8206" max="8206" width="8" style="32" customWidth="1"/>
    <col min="8207" max="8207" width="9.7109375" style="32" customWidth="1"/>
    <col min="8208" max="8208" width="8.42578125" style="32" customWidth="1"/>
    <col min="8209" max="8209" width="10.5703125" style="32" customWidth="1"/>
    <col min="8210" max="8210" width="12.7109375" style="32" customWidth="1"/>
    <col min="8211" max="8211" width="10" style="32" customWidth="1"/>
    <col min="8212" max="8212" width="14" style="32" customWidth="1"/>
    <col min="8213" max="8213" width="11.5703125" style="32" customWidth="1"/>
    <col min="8214" max="8214" width="8.28515625" style="32" customWidth="1"/>
    <col min="8215" max="8215" width="7.7109375" style="32" customWidth="1"/>
    <col min="8216" max="8456" width="11.42578125" style="32"/>
    <col min="8457" max="8457" width="0.7109375" style="32" customWidth="1"/>
    <col min="8458" max="8458" width="10.7109375" style="32" customWidth="1"/>
    <col min="8459" max="8459" width="5.28515625" style="32" customWidth="1"/>
    <col min="8460" max="8460" width="10.28515625" style="32" customWidth="1"/>
    <col min="8461" max="8461" width="7.7109375" style="32" customWidth="1"/>
    <col min="8462" max="8462" width="8" style="32" customWidth="1"/>
    <col min="8463" max="8463" width="9.7109375" style="32" customWidth="1"/>
    <col min="8464" max="8464" width="8.42578125" style="32" customWidth="1"/>
    <col min="8465" max="8465" width="10.5703125" style="32" customWidth="1"/>
    <col min="8466" max="8466" width="12.7109375" style="32" customWidth="1"/>
    <col min="8467" max="8467" width="10" style="32" customWidth="1"/>
    <col min="8468" max="8468" width="14" style="32" customWidth="1"/>
    <col min="8469" max="8469" width="11.5703125" style="32" customWidth="1"/>
    <col min="8470" max="8470" width="8.28515625" style="32" customWidth="1"/>
    <col min="8471" max="8471" width="7.7109375" style="32" customWidth="1"/>
    <col min="8472" max="8712" width="11.42578125" style="32"/>
    <col min="8713" max="8713" width="0.7109375" style="32" customWidth="1"/>
    <col min="8714" max="8714" width="10.7109375" style="32" customWidth="1"/>
    <col min="8715" max="8715" width="5.28515625" style="32" customWidth="1"/>
    <col min="8716" max="8716" width="10.28515625" style="32" customWidth="1"/>
    <col min="8717" max="8717" width="7.7109375" style="32" customWidth="1"/>
    <col min="8718" max="8718" width="8" style="32" customWidth="1"/>
    <col min="8719" max="8719" width="9.7109375" style="32" customWidth="1"/>
    <col min="8720" max="8720" width="8.42578125" style="32" customWidth="1"/>
    <col min="8721" max="8721" width="10.5703125" style="32" customWidth="1"/>
    <col min="8722" max="8722" width="12.7109375" style="32" customWidth="1"/>
    <col min="8723" max="8723" width="10" style="32" customWidth="1"/>
    <col min="8724" max="8724" width="14" style="32" customWidth="1"/>
    <col min="8725" max="8725" width="11.5703125" style="32" customWidth="1"/>
    <col min="8726" max="8726" width="8.28515625" style="32" customWidth="1"/>
    <col min="8727" max="8727" width="7.7109375" style="32" customWidth="1"/>
    <col min="8728" max="8968" width="11.42578125" style="32"/>
    <col min="8969" max="8969" width="0.7109375" style="32" customWidth="1"/>
    <col min="8970" max="8970" width="10.7109375" style="32" customWidth="1"/>
    <col min="8971" max="8971" width="5.28515625" style="32" customWidth="1"/>
    <col min="8972" max="8972" width="10.28515625" style="32" customWidth="1"/>
    <col min="8973" max="8973" width="7.7109375" style="32" customWidth="1"/>
    <col min="8974" max="8974" width="8" style="32" customWidth="1"/>
    <col min="8975" max="8975" width="9.7109375" style="32" customWidth="1"/>
    <col min="8976" max="8976" width="8.42578125" style="32" customWidth="1"/>
    <col min="8977" max="8977" width="10.5703125" style="32" customWidth="1"/>
    <col min="8978" max="8978" width="12.7109375" style="32" customWidth="1"/>
    <col min="8979" max="8979" width="10" style="32" customWidth="1"/>
    <col min="8980" max="8980" width="14" style="32" customWidth="1"/>
    <col min="8981" max="8981" width="11.5703125" style="32" customWidth="1"/>
    <col min="8982" max="8982" width="8.28515625" style="32" customWidth="1"/>
    <col min="8983" max="8983" width="7.7109375" style="32" customWidth="1"/>
    <col min="8984" max="9224" width="11.42578125" style="32"/>
    <col min="9225" max="9225" width="0.7109375" style="32" customWidth="1"/>
    <col min="9226" max="9226" width="10.7109375" style="32" customWidth="1"/>
    <col min="9227" max="9227" width="5.28515625" style="32" customWidth="1"/>
    <col min="9228" max="9228" width="10.28515625" style="32" customWidth="1"/>
    <col min="9229" max="9229" width="7.7109375" style="32" customWidth="1"/>
    <col min="9230" max="9230" width="8" style="32" customWidth="1"/>
    <col min="9231" max="9231" width="9.7109375" style="32" customWidth="1"/>
    <col min="9232" max="9232" width="8.42578125" style="32" customWidth="1"/>
    <col min="9233" max="9233" width="10.5703125" style="32" customWidth="1"/>
    <col min="9234" max="9234" width="12.7109375" style="32" customWidth="1"/>
    <col min="9235" max="9235" width="10" style="32" customWidth="1"/>
    <col min="9236" max="9236" width="14" style="32" customWidth="1"/>
    <col min="9237" max="9237" width="11.5703125" style="32" customWidth="1"/>
    <col min="9238" max="9238" width="8.28515625" style="32" customWidth="1"/>
    <col min="9239" max="9239" width="7.7109375" style="32" customWidth="1"/>
    <col min="9240" max="9480" width="11.42578125" style="32"/>
    <col min="9481" max="9481" width="0.7109375" style="32" customWidth="1"/>
    <col min="9482" max="9482" width="10.7109375" style="32" customWidth="1"/>
    <col min="9483" max="9483" width="5.28515625" style="32" customWidth="1"/>
    <col min="9484" max="9484" width="10.28515625" style="32" customWidth="1"/>
    <col min="9485" max="9485" width="7.7109375" style="32" customWidth="1"/>
    <col min="9486" max="9486" width="8" style="32" customWidth="1"/>
    <col min="9487" max="9487" width="9.7109375" style="32" customWidth="1"/>
    <col min="9488" max="9488" width="8.42578125" style="32" customWidth="1"/>
    <col min="9489" max="9489" width="10.5703125" style="32" customWidth="1"/>
    <col min="9490" max="9490" width="12.7109375" style="32" customWidth="1"/>
    <col min="9491" max="9491" width="10" style="32" customWidth="1"/>
    <col min="9492" max="9492" width="14" style="32" customWidth="1"/>
    <col min="9493" max="9493" width="11.5703125" style="32" customWidth="1"/>
    <col min="9494" max="9494" width="8.28515625" style="32" customWidth="1"/>
    <col min="9495" max="9495" width="7.7109375" style="32" customWidth="1"/>
    <col min="9496" max="9736" width="11.42578125" style="32"/>
    <col min="9737" max="9737" width="0.7109375" style="32" customWidth="1"/>
    <col min="9738" max="9738" width="10.7109375" style="32" customWidth="1"/>
    <col min="9739" max="9739" width="5.28515625" style="32" customWidth="1"/>
    <col min="9740" max="9740" width="10.28515625" style="32" customWidth="1"/>
    <col min="9741" max="9741" width="7.7109375" style="32" customWidth="1"/>
    <col min="9742" max="9742" width="8" style="32" customWidth="1"/>
    <col min="9743" max="9743" width="9.7109375" style="32" customWidth="1"/>
    <col min="9744" max="9744" width="8.42578125" style="32" customWidth="1"/>
    <col min="9745" max="9745" width="10.5703125" style="32" customWidth="1"/>
    <col min="9746" max="9746" width="12.7109375" style="32" customWidth="1"/>
    <col min="9747" max="9747" width="10" style="32" customWidth="1"/>
    <col min="9748" max="9748" width="14" style="32" customWidth="1"/>
    <col min="9749" max="9749" width="11.5703125" style="32" customWidth="1"/>
    <col min="9750" max="9750" width="8.28515625" style="32" customWidth="1"/>
    <col min="9751" max="9751" width="7.7109375" style="32" customWidth="1"/>
    <col min="9752" max="9992" width="11.42578125" style="32"/>
    <col min="9993" max="9993" width="0.7109375" style="32" customWidth="1"/>
    <col min="9994" max="9994" width="10.7109375" style="32" customWidth="1"/>
    <col min="9995" max="9995" width="5.28515625" style="32" customWidth="1"/>
    <col min="9996" max="9996" width="10.28515625" style="32" customWidth="1"/>
    <col min="9997" max="9997" width="7.7109375" style="32" customWidth="1"/>
    <col min="9998" max="9998" width="8" style="32" customWidth="1"/>
    <col min="9999" max="9999" width="9.7109375" style="32" customWidth="1"/>
    <col min="10000" max="10000" width="8.42578125" style="32" customWidth="1"/>
    <col min="10001" max="10001" width="10.5703125" style="32" customWidth="1"/>
    <col min="10002" max="10002" width="12.7109375" style="32" customWidth="1"/>
    <col min="10003" max="10003" width="10" style="32" customWidth="1"/>
    <col min="10004" max="10004" width="14" style="32" customWidth="1"/>
    <col min="10005" max="10005" width="11.5703125" style="32" customWidth="1"/>
    <col min="10006" max="10006" width="8.28515625" style="32" customWidth="1"/>
    <col min="10007" max="10007" width="7.7109375" style="32" customWidth="1"/>
    <col min="10008" max="10248" width="11.42578125" style="32"/>
    <col min="10249" max="10249" width="0.7109375" style="32" customWidth="1"/>
    <col min="10250" max="10250" width="10.7109375" style="32" customWidth="1"/>
    <col min="10251" max="10251" width="5.28515625" style="32" customWidth="1"/>
    <col min="10252" max="10252" width="10.28515625" style="32" customWidth="1"/>
    <col min="10253" max="10253" width="7.7109375" style="32" customWidth="1"/>
    <col min="10254" max="10254" width="8" style="32" customWidth="1"/>
    <col min="10255" max="10255" width="9.7109375" style="32" customWidth="1"/>
    <col min="10256" max="10256" width="8.42578125" style="32" customWidth="1"/>
    <col min="10257" max="10257" width="10.5703125" style="32" customWidth="1"/>
    <col min="10258" max="10258" width="12.7109375" style="32" customWidth="1"/>
    <col min="10259" max="10259" width="10" style="32" customWidth="1"/>
    <col min="10260" max="10260" width="14" style="32" customWidth="1"/>
    <col min="10261" max="10261" width="11.5703125" style="32" customWidth="1"/>
    <col min="10262" max="10262" width="8.28515625" style="32" customWidth="1"/>
    <col min="10263" max="10263" width="7.7109375" style="32" customWidth="1"/>
    <col min="10264" max="10504" width="11.42578125" style="32"/>
    <col min="10505" max="10505" width="0.7109375" style="32" customWidth="1"/>
    <col min="10506" max="10506" width="10.7109375" style="32" customWidth="1"/>
    <col min="10507" max="10507" width="5.28515625" style="32" customWidth="1"/>
    <col min="10508" max="10508" width="10.28515625" style="32" customWidth="1"/>
    <col min="10509" max="10509" width="7.7109375" style="32" customWidth="1"/>
    <col min="10510" max="10510" width="8" style="32" customWidth="1"/>
    <col min="10511" max="10511" width="9.7109375" style="32" customWidth="1"/>
    <col min="10512" max="10512" width="8.42578125" style="32" customWidth="1"/>
    <col min="10513" max="10513" width="10.5703125" style="32" customWidth="1"/>
    <col min="10514" max="10514" width="12.7109375" style="32" customWidth="1"/>
    <col min="10515" max="10515" width="10" style="32" customWidth="1"/>
    <col min="10516" max="10516" width="14" style="32" customWidth="1"/>
    <col min="10517" max="10517" width="11.5703125" style="32" customWidth="1"/>
    <col min="10518" max="10518" width="8.28515625" style="32" customWidth="1"/>
    <col min="10519" max="10519" width="7.7109375" style="32" customWidth="1"/>
    <col min="10520" max="10760" width="11.42578125" style="32"/>
    <col min="10761" max="10761" width="0.7109375" style="32" customWidth="1"/>
    <col min="10762" max="10762" width="10.7109375" style="32" customWidth="1"/>
    <col min="10763" max="10763" width="5.28515625" style="32" customWidth="1"/>
    <col min="10764" max="10764" width="10.28515625" style="32" customWidth="1"/>
    <col min="10765" max="10765" width="7.7109375" style="32" customWidth="1"/>
    <col min="10766" max="10766" width="8" style="32" customWidth="1"/>
    <col min="10767" max="10767" width="9.7109375" style="32" customWidth="1"/>
    <col min="10768" max="10768" width="8.42578125" style="32" customWidth="1"/>
    <col min="10769" max="10769" width="10.5703125" style="32" customWidth="1"/>
    <col min="10770" max="10770" width="12.7109375" style="32" customWidth="1"/>
    <col min="10771" max="10771" width="10" style="32" customWidth="1"/>
    <col min="10772" max="10772" width="14" style="32" customWidth="1"/>
    <col min="10773" max="10773" width="11.5703125" style="32" customWidth="1"/>
    <col min="10774" max="10774" width="8.28515625" style="32" customWidth="1"/>
    <col min="10775" max="10775" width="7.7109375" style="32" customWidth="1"/>
    <col min="10776" max="11016" width="11.42578125" style="32"/>
    <col min="11017" max="11017" width="0.7109375" style="32" customWidth="1"/>
    <col min="11018" max="11018" width="10.7109375" style="32" customWidth="1"/>
    <col min="11019" max="11019" width="5.28515625" style="32" customWidth="1"/>
    <col min="11020" max="11020" width="10.28515625" style="32" customWidth="1"/>
    <col min="11021" max="11021" width="7.7109375" style="32" customWidth="1"/>
    <col min="11022" max="11022" width="8" style="32" customWidth="1"/>
    <col min="11023" max="11023" width="9.7109375" style="32" customWidth="1"/>
    <col min="11024" max="11024" width="8.42578125" style="32" customWidth="1"/>
    <col min="11025" max="11025" width="10.5703125" style="32" customWidth="1"/>
    <col min="11026" max="11026" width="12.7109375" style="32" customWidth="1"/>
    <col min="11027" max="11027" width="10" style="32" customWidth="1"/>
    <col min="11028" max="11028" width="14" style="32" customWidth="1"/>
    <col min="11029" max="11029" width="11.5703125" style="32" customWidth="1"/>
    <col min="11030" max="11030" width="8.28515625" style="32" customWidth="1"/>
    <col min="11031" max="11031" width="7.7109375" style="32" customWidth="1"/>
    <col min="11032" max="11272" width="11.42578125" style="32"/>
    <col min="11273" max="11273" width="0.7109375" style="32" customWidth="1"/>
    <col min="11274" max="11274" width="10.7109375" style="32" customWidth="1"/>
    <col min="11275" max="11275" width="5.28515625" style="32" customWidth="1"/>
    <col min="11276" max="11276" width="10.28515625" style="32" customWidth="1"/>
    <col min="11277" max="11277" width="7.7109375" style="32" customWidth="1"/>
    <col min="11278" max="11278" width="8" style="32" customWidth="1"/>
    <col min="11279" max="11279" width="9.7109375" style="32" customWidth="1"/>
    <col min="11280" max="11280" width="8.42578125" style="32" customWidth="1"/>
    <col min="11281" max="11281" width="10.5703125" style="32" customWidth="1"/>
    <col min="11282" max="11282" width="12.7109375" style="32" customWidth="1"/>
    <col min="11283" max="11283" width="10" style="32" customWidth="1"/>
    <col min="11284" max="11284" width="14" style="32" customWidth="1"/>
    <col min="11285" max="11285" width="11.5703125" style="32" customWidth="1"/>
    <col min="11286" max="11286" width="8.28515625" style="32" customWidth="1"/>
    <col min="11287" max="11287" width="7.7109375" style="32" customWidth="1"/>
    <col min="11288" max="11528" width="11.42578125" style="32"/>
    <col min="11529" max="11529" width="0.7109375" style="32" customWidth="1"/>
    <col min="11530" max="11530" width="10.7109375" style="32" customWidth="1"/>
    <col min="11531" max="11531" width="5.28515625" style="32" customWidth="1"/>
    <col min="11532" max="11532" width="10.28515625" style="32" customWidth="1"/>
    <col min="11533" max="11533" width="7.7109375" style="32" customWidth="1"/>
    <col min="11534" max="11534" width="8" style="32" customWidth="1"/>
    <col min="11535" max="11535" width="9.7109375" style="32" customWidth="1"/>
    <col min="11536" max="11536" width="8.42578125" style="32" customWidth="1"/>
    <col min="11537" max="11537" width="10.5703125" style="32" customWidth="1"/>
    <col min="11538" max="11538" width="12.7109375" style="32" customWidth="1"/>
    <col min="11539" max="11539" width="10" style="32" customWidth="1"/>
    <col min="11540" max="11540" width="14" style="32" customWidth="1"/>
    <col min="11541" max="11541" width="11.5703125" style="32" customWidth="1"/>
    <col min="11542" max="11542" width="8.28515625" style="32" customWidth="1"/>
    <col min="11543" max="11543" width="7.7109375" style="32" customWidth="1"/>
    <col min="11544" max="11784" width="11.42578125" style="32"/>
    <col min="11785" max="11785" width="0.7109375" style="32" customWidth="1"/>
    <col min="11786" max="11786" width="10.7109375" style="32" customWidth="1"/>
    <col min="11787" max="11787" width="5.28515625" style="32" customWidth="1"/>
    <col min="11788" max="11788" width="10.28515625" style="32" customWidth="1"/>
    <col min="11789" max="11789" width="7.7109375" style="32" customWidth="1"/>
    <col min="11790" max="11790" width="8" style="32" customWidth="1"/>
    <col min="11791" max="11791" width="9.7109375" style="32" customWidth="1"/>
    <col min="11792" max="11792" width="8.42578125" style="32" customWidth="1"/>
    <col min="11793" max="11793" width="10.5703125" style="32" customWidth="1"/>
    <col min="11794" max="11794" width="12.7109375" style="32" customWidth="1"/>
    <col min="11795" max="11795" width="10" style="32" customWidth="1"/>
    <col min="11796" max="11796" width="14" style="32" customWidth="1"/>
    <col min="11797" max="11797" width="11.5703125" style="32" customWidth="1"/>
    <col min="11798" max="11798" width="8.28515625" style="32" customWidth="1"/>
    <col min="11799" max="11799" width="7.7109375" style="32" customWidth="1"/>
    <col min="11800" max="12040" width="11.42578125" style="32"/>
    <col min="12041" max="12041" width="0.7109375" style="32" customWidth="1"/>
    <col min="12042" max="12042" width="10.7109375" style="32" customWidth="1"/>
    <col min="12043" max="12043" width="5.28515625" style="32" customWidth="1"/>
    <col min="12044" max="12044" width="10.28515625" style="32" customWidth="1"/>
    <col min="12045" max="12045" width="7.7109375" style="32" customWidth="1"/>
    <col min="12046" max="12046" width="8" style="32" customWidth="1"/>
    <col min="12047" max="12047" width="9.7109375" style="32" customWidth="1"/>
    <col min="12048" max="12048" width="8.42578125" style="32" customWidth="1"/>
    <col min="12049" max="12049" width="10.5703125" style="32" customWidth="1"/>
    <col min="12050" max="12050" width="12.7109375" style="32" customWidth="1"/>
    <col min="12051" max="12051" width="10" style="32" customWidth="1"/>
    <col min="12052" max="12052" width="14" style="32" customWidth="1"/>
    <col min="12053" max="12053" width="11.5703125" style="32" customWidth="1"/>
    <col min="12054" max="12054" width="8.28515625" style="32" customWidth="1"/>
    <col min="12055" max="12055" width="7.7109375" style="32" customWidth="1"/>
    <col min="12056" max="12296" width="11.42578125" style="32"/>
    <col min="12297" max="12297" width="0.7109375" style="32" customWidth="1"/>
    <col min="12298" max="12298" width="10.7109375" style="32" customWidth="1"/>
    <col min="12299" max="12299" width="5.28515625" style="32" customWidth="1"/>
    <col min="12300" max="12300" width="10.28515625" style="32" customWidth="1"/>
    <col min="12301" max="12301" width="7.7109375" style="32" customWidth="1"/>
    <col min="12302" max="12302" width="8" style="32" customWidth="1"/>
    <col min="12303" max="12303" width="9.7109375" style="32" customWidth="1"/>
    <col min="12304" max="12304" width="8.42578125" style="32" customWidth="1"/>
    <col min="12305" max="12305" width="10.5703125" style="32" customWidth="1"/>
    <col min="12306" max="12306" width="12.7109375" style="32" customWidth="1"/>
    <col min="12307" max="12307" width="10" style="32" customWidth="1"/>
    <col min="12308" max="12308" width="14" style="32" customWidth="1"/>
    <col min="12309" max="12309" width="11.5703125" style="32" customWidth="1"/>
    <col min="12310" max="12310" width="8.28515625" style="32" customWidth="1"/>
    <col min="12311" max="12311" width="7.7109375" style="32" customWidth="1"/>
    <col min="12312" max="12552" width="11.42578125" style="32"/>
    <col min="12553" max="12553" width="0.7109375" style="32" customWidth="1"/>
    <col min="12554" max="12554" width="10.7109375" style="32" customWidth="1"/>
    <col min="12555" max="12555" width="5.28515625" style="32" customWidth="1"/>
    <col min="12556" max="12556" width="10.28515625" style="32" customWidth="1"/>
    <col min="12557" max="12557" width="7.7109375" style="32" customWidth="1"/>
    <col min="12558" max="12558" width="8" style="32" customWidth="1"/>
    <col min="12559" max="12559" width="9.7109375" style="32" customWidth="1"/>
    <col min="12560" max="12560" width="8.42578125" style="32" customWidth="1"/>
    <col min="12561" max="12561" width="10.5703125" style="32" customWidth="1"/>
    <col min="12562" max="12562" width="12.7109375" style="32" customWidth="1"/>
    <col min="12563" max="12563" width="10" style="32" customWidth="1"/>
    <col min="12564" max="12564" width="14" style="32" customWidth="1"/>
    <col min="12565" max="12565" width="11.5703125" style="32" customWidth="1"/>
    <col min="12566" max="12566" width="8.28515625" style="32" customWidth="1"/>
    <col min="12567" max="12567" width="7.7109375" style="32" customWidth="1"/>
    <col min="12568" max="12808" width="11.42578125" style="32"/>
    <col min="12809" max="12809" width="0.7109375" style="32" customWidth="1"/>
    <col min="12810" max="12810" width="10.7109375" style="32" customWidth="1"/>
    <col min="12811" max="12811" width="5.28515625" style="32" customWidth="1"/>
    <col min="12812" max="12812" width="10.28515625" style="32" customWidth="1"/>
    <col min="12813" max="12813" width="7.7109375" style="32" customWidth="1"/>
    <col min="12814" max="12814" width="8" style="32" customWidth="1"/>
    <col min="12815" max="12815" width="9.7109375" style="32" customWidth="1"/>
    <col min="12816" max="12816" width="8.42578125" style="32" customWidth="1"/>
    <col min="12817" max="12817" width="10.5703125" style="32" customWidth="1"/>
    <col min="12818" max="12818" width="12.7109375" style="32" customWidth="1"/>
    <col min="12819" max="12819" width="10" style="32" customWidth="1"/>
    <col min="12820" max="12820" width="14" style="32" customWidth="1"/>
    <col min="12821" max="12821" width="11.5703125" style="32" customWidth="1"/>
    <col min="12822" max="12822" width="8.28515625" style="32" customWidth="1"/>
    <col min="12823" max="12823" width="7.7109375" style="32" customWidth="1"/>
    <col min="12824" max="13064" width="11.42578125" style="32"/>
    <col min="13065" max="13065" width="0.7109375" style="32" customWidth="1"/>
    <col min="13066" max="13066" width="10.7109375" style="32" customWidth="1"/>
    <col min="13067" max="13067" width="5.28515625" style="32" customWidth="1"/>
    <col min="13068" max="13068" width="10.28515625" style="32" customWidth="1"/>
    <col min="13069" max="13069" width="7.7109375" style="32" customWidth="1"/>
    <col min="13070" max="13070" width="8" style="32" customWidth="1"/>
    <col min="13071" max="13071" width="9.7109375" style="32" customWidth="1"/>
    <col min="13072" max="13072" width="8.42578125" style="32" customWidth="1"/>
    <col min="13073" max="13073" width="10.5703125" style="32" customWidth="1"/>
    <col min="13074" max="13074" width="12.7109375" style="32" customWidth="1"/>
    <col min="13075" max="13075" width="10" style="32" customWidth="1"/>
    <col min="13076" max="13076" width="14" style="32" customWidth="1"/>
    <col min="13077" max="13077" width="11.5703125" style="32" customWidth="1"/>
    <col min="13078" max="13078" width="8.28515625" style="32" customWidth="1"/>
    <col min="13079" max="13079" width="7.7109375" style="32" customWidth="1"/>
    <col min="13080" max="13320" width="11.42578125" style="32"/>
    <col min="13321" max="13321" width="0.7109375" style="32" customWidth="1"/>
    <col min="13322" max="13322" width="10.7109375" style="32" customWidth="1"/>
    <col min="13323" max="13323" width="5.28515625" style="32" customWidth="1"/>
    <col min="13324" max="13324" width="10.28515625" style="32" customWidth="1"/>
    <col min="13325" max="13325" width="7.7109375" style="32" customWidth="1"/>
    <col min="13326" max="13326" width="8" style="32" customWidth="1"/>
    <col min="13327" max="13327" width="9.7109375" style="32" customWidth="1"/>
    <col min="13328" max="13328" width="8.42578125" style="32" customWidth="1"/>
    <col min="13329" max="13329" width="10.5703125" style="32" customWidth="1"/>
    <col min="13330" max="13330" width="12.7109375" style="32" customWidth="1"/>
    <col min="13331" max="13331" width="10" style="32" customWidth="1"/>
    <col min="13332" max="13332" width="14" style="32" customWidth="1"/>
    <col min="13333" max="13333" width="11.5703125" style="32" customWidth="1"/>
    <col min="13334" max="13334" width="8.28515625" style="32" customWidth="1"/>
    <col min="13335" max="13335" width="7.7109375" style="32" customWidth="1"/>
    <col min="13336" max="13576" width="11.42578125" style="32"/>
    <col min="13577" max="13577" width="0.7109375" style="32" customWidth="1"/>
    <col min="13578" max="13578" width="10.7109375" style="32" customWidth="1"/>
    <col min="13579" max="13579" width="5.28515625" style="32" customWidth="1"/>
    <col min="13580" max="13580" width="10.28515625" style="32" customWidth="1"/>
    <col min="13581" max="13581" width="7.7109375" style="32" customWidth="1"/>
    <col min="13582" max="13582" width="8" style="32" customWidth="1"/>
    <col min="13583" max="13583" width="9.7109375" style="32" customWidth="1"/>
    <col min="13584" max="13584" width="8.42578125" style="32" customWidth="1"/>
    <col min="13585" max="13585" width="10.5703125" style="32" customWidth="1"/>
    <col min="13586" max="13586" width="12.7109375" style="32" customWidth="1"/>
    <col min="13587" max="13587" width="10" style="32" customWidth="1"/>
    <col min="13588" max="13588" width="14" style="32" customWidth="1"/>
    <col min="13589" max="13589" width="11.5703125" style="32" customWidth="1"/>
    <col min="13590" max="13590" width="8.28515625" style="32" customWidth="1"/>
    <col min="13591" max="13591" width="7.7109375" style="32" customWidth="1"/>
    <col min="13592" max="13832" width="11.42578125" style="32"/>
    <col min="13833" max="13833" width="0.7109375" style="32" customWidth="1"/>
    <col min="13834" max="13834" width="10.7109375" style="32" customWidth="1"/>
    <col min="13835" max="13835" width="5.28515625" style="32" customWidth="1"/>
    <col min="13836" max="13836" width="10.28515625" style="32" customWidth="1"/>
    <col min="13837" max="13837" width="7.7109375" style="32" customWidth="1"/>
    <col min="13838" max="13838" width="8" style="32" customWidth="1"/>
    <col min="13839" max="13839" width="9.7109375" style="32" customWidth="1"/>
    <col min="13840" max="13840" width="8.42578125" style="32" customWidth="1"/>
    <col min="13841" max="13841" width="10.5703125" style="32" customWidth="1"/>
    <col min="13842" max="13842" width="12.7109375" style="32" customWidth="1"/>
    <col min="13843" max="13843" width="10" style="32" customWidth="1"/>
    <col min="13844" max="13844" width="14" style="32" customWidth="1"/>
    <col min="13845" max="13845" width="11.5703125" style="32" customWidth="1"/>
    <col min="13846" max="13846" width="8.28515625" style="32" customWidth="1"/>
    <col min="13847" max="13847" width="7.7109375" style="32" customWidth="1"/>
    <col min="13848" max="14088" width="11.42578125" style="32"/>
    <col min="14089" max="14089" width="0.7109375" style="32" customWidth="1"/>
    <col min="14090" max="14090" width="10.7109375" style="32" customWidth="1"/>
    <col min="14091" max="14091" width="5.28515625" style="32" customWidth="1"/>
    <col min="14092" max="14092" width="10.28515625" style="32" customWidth="1"/>
    <col min="14093" max="14093" width="7.7109375" style="32" customWidth="1"/>
    <col min="14094" max="14094" width="8" style="32" customWidth="1"/>
    <col min="14095" max="14095" width="9.7109375" style="32" customWidth="1"/>
    <col min="14096" max="14096" width="8.42578125" style="32" customWidth="1"/>
    <col min="14097" max="14097" width="10.5703125" style="32" customWidth="1"/>
    <col min="14098" max="14098" width="12.7109375" style="32" customWidth="1"/>
    <col min="14099" max="14099" width="10" style="32" customWidth="1"/>
    <col min="14100" max="14100" width="14" style="32" customWidth="1"/>
    <col min="14101" max="14101" width="11.5703125" style="32" customWidth="1"/>
    <col min="14102" max="14102" width="8.28515625" style="32" customWidth="1"/>
    <col min="14103" max="14103" width="7.7109375" style="32" customWidth="1"/>
    <col min="14104" max="14344" width="11.42578125" style="32"/>
    <col min="14345" max="14345" width="0.7109375" style="32" customWidth="1"/>
    <col min="14346" max="14346" width="10.7109375" style="32" customWidth="1"/>
    <col min="14347" max="14347" width="5.28515625" style="32" customWidth="1"/>
    <col min="14348" max="14348" width="10.28515625" style="32" customWidth="1"/>
    <col min="14349" max="14349" width="7.7109375" style="32" customWidth="1"/>
    <col min="14350" max="14350" width="8" style="32" customWidth="1"/>
    <col min="14351" max="14351" width="9.7109375" style="32" customWidth="1"/>
    <col min="14352" max="14352" width="8.42578125" style="32" customWidth="1"/>
    <col min="14353" max="14353" width="10.5703125" style="32" customWidth="1"/>
    <col min="14354" max="14354" width="12.7109375" style="32" customWidth="1"/>
    <col min="14355" max="14355" width="10" style="32" customWidth="1"/>
    <col min="14356" max="14356" width="14" style="32" customWidth="1"/>
    <col min="14357" max="14357" width="11.5703125" style="32" customWidth="1"/>
    <col min="14358" max="14358" width="8.28515625" style="32" customWidth="1"/>
    <col min="14359" max="14359" width="7.7109375" style="32" customWidth="1"/>
    <col min="14360" max="14600" width="11.42578125" style="32"/>
    <col min="14601" max="14601" width="0.7109375" style="32" customWidth="1"/>
    <col min="14602" max="14602" width="10.7109375" style="32" customWidth="1"/>
    <col min="14603" max="14603" width="5.28515625" style="32" customWidth="1"/>
    <col min="14604" max="14604" width="10.28515625" style="32" customWidth="1"/>
    <col min="14605" max="14605" width="7.7109375" style="32" customWidth="1"/>
    <col min="14606" max="14606" width="8" style="32" customWidth="1"/>
    <col min="14607" max="14607" width="9.7109375" style="32" customWidth="1"/>
    <col min="14608" max="14608" width="8.42578125" style="32" customWidth="1"/>
    <col min="14609" max="14609" width="10.5703125" style="32" customWidth="1"/>
    <col min="14610" max="14610" width="12.7109375" style="32" customWidth="1"/>
    <col min="14611" max="14611" width="10" style="32" customWidth="1"/>
    <col min="14612" max="14612" width="14" style="32" customWidth="1"/>
    <col min="14613" max="14613" width="11.5703125" style="32" customWidth="1"/>
    <col min="14614" max="14614" width="8.28515625" style="32" customWidth="1"/>
    <col min="14615" max="14615" width="7.7109375" style="32" customWidth="1"/>
    <col min="14616" max="14856" width="11.42578125" style="32"/>
    <col min="14857" max="14857" width="0.7109375" style="32" customWidth="1"/>
    <col min="14858" max="14858" width="10.7109375" style="32" customWidth="1"/>
    <col min="14859" max="14859" width="5.28515625" style="32" customWidth="1"/>
    <col min="14860" max="14860" width="10.28515625" style="32" customWidth="1"/>
    <col min="14861" max="14861" width="7.7109375" style="32" customWidth="1"/>
    <col min="14862" max="14862" width="8" style="32" customWidth="1"/>
    <col min="14863" max="14863" width="9.7109375" style="32" customWidth="1"/>
    <col min="14864" max="14864" width="8.42578125" style="32" customWidth="1"/>
    <col min="14865" max="14865" width="10.5703125" style="32" customWidth="1"/>
    <col min="14866" max="14866" width="12.7109375" style="32" customWidth="1"/>
    <col min="14867" max="14867" width="10" style="32" customWidth="1"/>
    <col min="14868" max="14868" width="14" style="32" customWidth="1"/>
    <col min="14869" max="14869" width="11.5703125" style="32" customWidth="1"/>
    <col min="14870" max="14870" width="8.28515625" style="32" customWidth="1"/>
    <col min="14871" max="14871" width="7.7109375" style="32" customWidth="1"/>
    <col min="14872" max="15112" width="11.42578125" style="32"/>
    <col min="15113" max="15113" width="0.7109375" style="32" customWidth="1"/>
    <col min="15114" max="15114" width="10.7109375" style="32" customWidth="1"/>
    <col min="15115" max="15115" width="5.28515625" style="32" customWidth="1"/>
    <col min="15116" max="15116" width="10.28515625" style="32" customWidth="1"/>
    <col min="15117" max="15117" width="7.7109375" style="32" customWidth="1"/>
    <col min="15118" max="15118" width="8" style="32" customWidth="1"/>
    <col min="15119" max="15119" width="9.7109375" style="32" customWidth="1"/>
    <col min="15120" max="15120" width="8.42578125" style="32" customWidth="1"/>
    <col min="15121" max="15121" width="10.5703125" style="32" customWidth="1"/>
    <col min="15122" max="15122" width="12.7109375" style="32" customWidth="1"/>
    <col min="15123" max="15123" width="10" style="32" customWidth="1"/>
    <col min="15124" max="15124" width="14" style="32" customWidth="1"/>
    <col min="15125" max="15125" width="11.5703125" style="32" customWidth="1"/>
    <col min="15126" max="15126" width="8.28515625" style="32" customWidth="1"/>
    <col min="15127" max="15127" width="7.7109375" style="32" customWidth="1"/>
    <col min="15128" max="15368" width="11.42578125" style="32"/>
    <col min="15369" max="15369" width="0.7109375" style="32" customWidth="1"/>
    <col min="15370" max="15370" width="10.7109375" style="32" customWidth="1"/>
    <col min="15371" max="15371" width="5.28515625" style="32" customWidth="1"/>
    <col min="15372" max="15372" width="10.28515625" style="32" customWidth="1"/>
    <col min="15373" max="15373" width="7.7109375" style="32" customWidth="1"/>
    <col min="15374" max="15374" width="8" style="32" customWidth="1"/>
    <col min="15375" max="15375" width="9.7109375" style="32" customWidth="1"/>
    <col min="15376" max="15376" width="8.42578125" style="32" customWidth="1"/>
    <col min="15377" max="15377" width="10.5703125" style="32" customWidth="1"/>
    <col min="15378" max="15378" width="12.7109375" style="32" customWidth="1"/>
    <col min="15379" max="15379" width="10" style="32" customWidth="1"/>
    <col min="15380" max="15380" width="14" style="32" customWidth="1"/>
    <col min="15381" max="15381" width="11.5703125" style="32" customWidth="1"/>
    <col min="15382" max="15382" width="8.28515625" style="32" customWidth="1"/>
    <col min="15383" max="15383" width="7.7109375" style="32" customWidth="1"/>
    <col min="15384" max="15624" width="11.42578125" style="32"/>
    <col min="15625" max="15625" width="0.7109375" style="32" customWidth="1"/>
    <col min="15626" max="15626" width="10.7109375" style="32" customWidth="1"/>
    <col min="15627" max="15627" width="5.28515625" style="32" customWidth="1"/>
    <col min="15628" max="15628" width="10.28515625" style="32" customWidth="1"/>
    <col min="15629" max="15629" width="7.7109375" style="32" customWidth="1"/>
    <col min="15630" max="15630" width="8" style="32" customWidth="1"/>
    <col min="15631" max="15631" width="9.7109375" style="32" customWidth="1"/>
    <col min="15632" max="15632" width="8.42578125" style="32" customWidth="1"/>
    <col min="15633" max="15633" width="10.5703125" style="32" customWidth="1"/>
    <col min="15634" max="15634" width="12.7109375" style="32" customWidth="1"/>
    <col min="15635" max="15635" width="10" style="32" customWidth="1"/>
    <col min="15636" max="15636" width="14" style="32" customWidth="1"/>
    <col min="15637" max="15637" width="11.5703125" style="32" customWidth="1"/>
    <col min="15638" max="15638" width="8.28515625" style="32" customWidth="1"/>
    <col min="15639" max="15639" width="7.7109375" style="32" customWidth="1"/>
    <col min="15640" max="15880" width="11.42578125" style="32"/>
    <col min="15881" max="15881" width="0.7109375" style="32" customWidth="1"/>
    <col min="15882" max="15882" width="10.7109375" style="32" customWidth="1"/>
    <col min="15883" max="15883" width="5.28515625" style="32" customWidth="1"/>
    <col min="15884" max="15884" width="10.28515625" style="32" customWidth="1"/>
    <col min="15885" max="15885" width="7.7109375" style="32" customWidth="1"/>
    <col min="15886" max="15886" width="8" style="32" customWidth="1"/>
    <col min="15887" max="15887" width="9.7109375" style="32" customWidth="1"/>
    <col min="15888" max="15888" width="8.42578125" style="32" customWidth="1"/>
    <col min="15889" max="15889" width="10.5703125" style="32" customWidth="1"/>
    <col min="15890" max="15890" width="12.7109375" style="32" customWidth="1"/>
    <col min="15891" max="15891" width="10" style="32" customWidth="1"/>
    <col min="15892" max="15892" width="14" style="32" customWidth="1"/>
    <col min="15893" max="15893" width="11.5703125" style="32" customWidth="1"/>
    <col min="15894" max="15894" width="8.28515625" style="32" customWidth="1"/>
    <col min="15895" max="15895" width="7.7109375" style="32" customWidth="1"/>
    <col min="15896" max="16136" width="11.42578125" style="32"/>
    <col min="16137" max="16137" width="0.7109375" style="32" customWidth="1"/>
    <col min="16138" max="16138" width="10.7109375" style="32" customWidth="1"/>
    <col min="16139" max="16139" width="5.28515625" style="32" customWidth="1"/>
    <col min="16140" max="16140" width="10.28515625" style="32" customWidth="1"/>
    <col min="16141" max="16141" width="7.7109375" style="32" customWidth="1"/>
    <col min="16142" max="16142" width="8" style="32" customWidth="1"/>
    <col min="16143" max="16143" width="9.7109375" style="32" customWidth="1"/>
    <col min="16144" max="16144" width="8.42578125" style="32" customWidth="1"/>
    <col min="16145" max="16145" width="10.5703125" style="32" customWidth="1"/>
    <col min="16146" max="16146" width="12.7109375" style="32" customWidth="1"/>
    <col min="16147" max="16147" width="10" style="32" customWidth="1"/>
    <col min="16148" max="16148" width="14" style="32" customWidth="1"/>
    <col min="16149" max="16149" width="11.5703125" style="32" customWidth="1"/>
    <col min="16150" max="16150" width="8.28515625" style="32" customWidth="1"/>
    <col min="16151" max="16151" width="7.7109375" style="32" customWidth="1"/>
    <col min="16152" max="16384" width="11.42578125" style="32"/>
  </cols>
  <sheetData>
    <row r="1" spans="1:18" s="1" customFormat="1" ht="18" customHeight="1" thickTop="1">
      <c r="A1" s="143"/>
      <c r="B1" s="144"/>
      <c r="C1" s="144"/>
      <c r="D1" s="145"/>
      <c r="E1" s="146"/>
      <c r="F1" s="146"/>
      <c r="G1" s="146"/>
      <c r="H1" s="146"/>
      <c r="I1" s="147"/>
      <c r="J1" s="148"/>
      <c r="K1" s="753" t="s">
        <v>646</v>
      </c>
      <c r="L1" s="753"/>
      <c r="M1" s="753"/>
      <c r="N1" s="149"/>
      <c r="O1" s="519"/>
      <c r="P1" s="32"/>
    </row>
    <row r="2" spans="1:18" ht="12.6" customHeight="1">
      <c r="A2" s="150"/>
      <c r="B2" s="12"/>
      <c r="C2" s="12"/>
      <c r="D2" s="13"/>
      <c r="E2" s="687" t="s">
        <v>100</v>
      </c>
      <c r="F2" s="687"/>
      <c r="G2" s="687"/>
      <c r="H2" s="687"/>
      <c r="I2" s="687"/>
      <c r="J2" s="687"/>
      <c r="K2" s="754"/>
      <c r="L2" s="754"/>
      <c r="M2" s="754"/>
      <c r="N2" s="151"/>
      <c r="O2" s="4"/>
      <c r="P2" s="4"/>
    </row>
    <row r="3" spans="1:18" ht="12.6" customHeight="1">
      <c r="A3" s="150"/>
      <c r="B3" s="12"/>
      <c r="C3" s="12"/>
      <c r="D3" s="13"/>
      <c r="E3" s="322"/>
      <c r="F3" s="322"/>
      <c r="G3" s="322"/>
      <c r="H3" s="322"/>
      <c r="I3" s="322"/>
      <c r="J3" s="322"/>
      <c r="K3" s="754"/>
      <c r="L3" s="754"/>
      <c r="M3" s="754"/>
      <c r="N3" s="151"/>
      <c r="O3" s="4"/>
      <c r="P3" s="4"/>
    </row>
    <row r="4" spans="1:18" ht="12" customHeight="1">
      <c r="A4" s="150"/>
      <c r="B4" s="12"/>
      <c r="C4" s="12"/>
      <c r="D4" s="13"/>
      <c r="E4" s="14"/>
      <c r="F4" s="15"/>
      <c r="G4" s="15"/>
      <c r="H4" s="15"/>
      <c r="I4" s="16"/>
      <c r="J4" s="17"/>
      <c r="K4" s="754"/>
      <c r="L4" s="754"/>
      <c r="M4" s="754"/>
      <c r="N4" s="151"/>
      <c r="O4" s="4"/>
      <c r="P4" s="4"/>
    </row>
    <row r="5" spans="1:18" ht="13.5" customHeight="1">
      <c r="A5" s="150"/>
      <c r="B5" s="18"/>
      <c r="C5" s="18"/>
      <c r="D5" s="107" t="s">
        <v>0</v>
      </c>
      <c r="E5" s="288">
        <v>929</v>
      </c>
      <c r="F5" s="15"/>
      <c r="G5" s="109" t="s">
        <v>1</v>
      </c>
      <c r="H5" s="803" t="s">
        <v>561</v>
      </c>
      <c r="I5" s="803"/>
      <c r="J5" s="17"/>
      <c r="K5" s="115" t="s">
        <v>2</v>
      </c>
      <c r="L5" s="115"/>
      <c r="M5" s="116">
        <v>45559</v>
      </c>
      <c r="N5" s="152"/>
      <c r="O5" s="4"/>
      <c r="P5" s="4"/>
    </row>
    <row r="6" spans="1:18" ht="13.5" customHeight="1">
      <c r="A6" s="150"/>
      <c r="B6" s="12"/>
      <c r="C6" s="12"/>
      <c r="D6" s="107" t="s">
        <v>3</v>
      </c>
      <c r="E6" s="289" t="s">
        <v>75</v>
      </c>
      <c r="F6" s="15"/>
      <c r="G6" s="109" t="s">
        <v>4</v>
      </c>
      <c r="H6" s="809" t="s">
        <v>91</v>
      </c>
      <c r="I6" s="809"/>
      <c r="J6" s="12"/>
      <c r="K6" s="115" t="s">
        <v>381</v>
      </c>
      <c r="L6" s="115"/>
      <c r="M6" s="165" t="s">
        <v>524</v>
      </c>
      <c r="N6" s="166"/>
      <c r="O6" s="4"/>
      <c r="P6" s="4"/>
    </row>
    <row r="7" spans="1:18" ht="13.5" customHeight="1" thickBot="1">
      <c r="A7" s="150"/>
      <c r="B7" s="12"/>
      <c r="C7" s="12"/>
      <c r="D7" s="107" t="s">
        <v>5</v>
      </c>
      <c r="E7" s="289" t="s">
        <v>71</v>
      </c>
      <c r="F7" s="15"/>
      <c r="G7" s="109" t="s">
        <v>6</v>
      </c>
      <c r="H7" s="110">
        <v>1</v>
      </c>
      <c r="I7" s="111"/>
      <c r="J7" s="17"/>
      <c r="K7" s="115" t="s">
        <v>382</v>
      </c>
      <c r="L7" s="115"/>
      <c r="M7" s="167" t="s">
        <v>410</v>
      </c>
      <c r="N7" s="166"/>
      <c r="O7" s="4"/>
      <c r="P7" s="4"/>
    </row>
    <row r="8" spans="1:18" ht="13.5" customHeight="1" thickBot="1">
      <c r="A8" s="150"/>
      <c r="B8" s="12"/>
      <c r="C8" s="12"/>
      <c r="D8" s="107" t="s">
        <v>7</v>
      </c>
      <c r="E8" s="323">
        <v>7</v>
      </c>
      <c r="F8" s="15"/>
      <c r="G8" s="109" t="s">
        <v>8</v>
      </c>
      <c r="H8" s="804">
        <v>95</v>
      </c>
      <c r="I8" s="804"/>
      <c r="J8" s="19"/>
      <c r="K8" s="115" t="s">
        <v>50</v>
      </c>
      <c r="L8" s="115"/>
      <c r="M8" s="56">
        <v>13182.61</v>
      </c>
      <c r="N8" s="153"/>
      <c r="O8" s="4"/>
      <c r="P8" s="4"/>
    </row>
    <row r="9" spans="1:18" ht="13.5" customHeight="1" thickBot="1">
      <c r="A9" s="150"/>
      <c r="B9" s="12"/>
      <c r="C9" s="12"/>
      <c r="D9" s="107" t="s">
        <v>10</v>
      </c>
      <c r="E9" s="290">
        <v>29</v>
      </c>
      <c r="F9" s="15"/>
      <c r="G9" s="107" t="s">
        <v>17</v>
      </c>
      <c r="H9" s="108" t="s">
        <v>72</v>
      </c>
      <c r="I9" s="112"/>
      <c r="J9" s="17"/>
      <c r="K9" s="115" t="s">
        <v>9</v>
      </c>
      <c r="L9" s="115"/>
      <c r="M9" s="88">
        <f>M10-5</f>
        <v>21381</v>
      </c>
      <c r="N9" s="154">
        <v>49.47</v>
      </c>
      <c r="O9" s="4"/>
      <c r="P9" s="4"/>
    </row>
    <row r="10" spans="1:18" ht="13.5" customHeight="1" thickBot="1">
      <c r="A10" s="150"/>
      <c r="B10" s="12"/>
      <c r="C10" s="171"/>
      <c r="D10" s="172" t="s">
        <v>380</v>
      </c>
      <c r="E10" s="173" t="s">
        <v>525</v>
      </c>
      <c r="F10" s="224"/>
      <c r="G10" s="13" t="s">
        <v>391</v>
      </c>
      <c r="H10" s="173" t="s">
        <v>412</v>
      </c>
      <c r="I10" s="291"/>
      <c r="J10" s="17"/>
      <c r="K10" s="115" t="s">
        <v>12</v>
      </c>
      <c r="L10" s="115"/>
      <c r="M10" s="327">
        <v>21386</v>
      </c>
      <c r="N10" s="154">
        <v>27.58</v>
      </c>
      <c r="O10" s="4"/>
      <c r="P10" s="4"/>
    </row>
    <row r="11" spans="1:18" ht="13.5" customHeight="1" thickBot="1">
      <c r="A11" s="150"/>
      <c r="B11" s="12"/>
      <c r="C11" s="174"/>
      <c r="D11" s="172" t="s">
        <v>13</v>
      </c>
      <c r="E11" s="225" t="s">
        <v>383</v>
      </c>
      <c r="F11" s="224"/>
      <c r="G11" s="13" t="s">
        <v>13</v>
      </c>
      <c r="H11" s="225" t="s">
        <v>383</v>
      </c>
      <c r="I11" s="291"/>
      <c r="J11" s="17"/>
      <c r="K11" s="115" t="s">
        <v>15</v>
      </c>
      <c r="L11" s="115"/>
      <c r="M11" s="90">
        <f>M10-M9</f>
        <v>5</v>
      </c>
      <c r="N11" s="155"/>
      <c r="O11" s="4" t="s">
        <v>649</v>
      </c>
      <c r="P11" s="4"/>
      <c r="R11" s="32">
        <f>R12+R13</f>
        <v>18.919999999999998</v>
      </c>
    </row>
    <row r="12" spans="1:18" ht="13.5" customHeight="1" thickBot="1">
      <c r="A12" s="150"/>
      <c r="B12" s="12"/>
      <c r="C12" s="174"/>
      <c r="D12" s="172" t="s">
        <v>16</v>
      </c>
      <c r="E12" s="323">
        <v>4.05</v>
      </c>
      <c r="F12" s="226"/>
      <c r="G12" s="13" t="s">
        <v>16</v>
      </c>
      <c r="H12" s="323">
        <v>4.05</v>
      </c>
      <c r="I12" s="292"/>
      <c r="J12" s="328"/>
      <c r="K12" s="329" t="s">
        <v>51</v>
      </c>
      <c r="L12" s="329"/>
      <c r="M12" s="482">
        <f>J329</f>
        <v>12116.380000000003</v>
      </c>
      <c r="N12" s="154"/>
      <c r="O12" s="4" t="s">
        <v>650</v>
      </c>
      <c r="P12" s="4"/>
      <c r="R12" s="32">
        <v>16.2</v>
      </c>
    </row>
    <row r="13" spans="1:18" ht="13.5" customHeight="1" thickBot="1">
      <c r="A13" s="150"/>
      <c r="B13" s="12"/>
      <c r="C13" s="175"/>
      <c r="D13" s="176" t="s">
        <v>527</v>
      </c>
      <c r="E13" s="611" t="s">
        <v>526</v>
      </c>
      <c r="F13" s="611"/>
      <c r="G13" s="15" t="s">
        <v>413</v>
      </c>
      <c r="H13" s="611">
        <v>6.1840000000000002</v>
      </c>
      <c r="I13" s="611"/>
      <c r="J13" s="17"/>
      <c r="K13" s="115" t="s">
        <v>411</v>
      </c>
      <c r="L13" s="115"/>
      <c r="M13" s="90">
        <v>12418.71</v>
      </c>
      <c r="N13" s="179" t="s">
        <v>77</v>
      </c>
      <c r="O13" s="4" t="s">
        <v>651</v>
      </c>
      <c r="P13" s="4"/>
      <c r="R13" s="32">
        <v>2.72</v>
      </c>
    </row>
    <row r="14" spans="1:18" ht="13.5" customHeight="1" thickBot="1">
      <c r="A14" s="150"/>
      <c r="B14" s="12"/>
      <c r="C14" s="20"/>
      <c r="D14" s="109" t="s">
        <v>11</v>
      </c>
      <c r="E14" s="287">
        <v>11.8</v>
      </c>
      <c r="F14" s="109"/>
      <c r="G14" s="109" t="s">
        <v>70</v>
      </c>
      <c r="H14" s="767" t="s">
        <v>52</v>
      </c>
      <c r="I14" s="767"/>
      <c r="J14" s="17"/>
      <c r="K14" s="115" t="s">
        <v>61</v>
      </c>
      <c r="L14" s="115"/>
      <c r="M14" s="89">
        <v>1277.56</v>
      </c>
      <c r="N14" s="156">
        <v>0.12</v>
      </c>
      <c r="O14" s="4"/>
      <c r="P14" s="4"/>
    </row>
    <row r="15" spans="1:18" ht="13.5" customHeight="1" thickBot="1">
      <c r="A15" s="150"/>
      <c r="B15" s="21"/>
      <c r="C15" s="32"/>
      <c r="D15" s="109" t="s">
        <v>14</v>
      </c>
      <c r="E15" s="324">
        <f>(65.45-E14)/65.45</f>
        <v>0.81970970206264326</v>
      </c>
      <c r="F15" s="109"/>
      <c r="G15" s="113" t="s">
        <v>43</v>
      </c>
      <c r="H15" s="114">
        <f>SUM(C18:C277,C278:C283)</f>
        <v>500</v>
      </c>
      <c r="I15" s="157"/>
      <c r="J15" s="22"/>
      <c r="K15" s="106"/>
      <c r="M15" s="105"/>
      <c r="N15" s="158"/>
      <c r="O15" s="4"/>
      <c r="P15" s="4"/>
    </row>
    <row r="16" spans="1:18" ht="13.5" customHeight="1">
      <c r="A16" s="159" t="s">
        <v>98</v>
      </c>
      <c r="B16" s="780" t="s">
        <v>99</v>
      </c>
      <c r="C16" s="727" t="s">
        <v>18</v>
      </c>
      <c r="D16" s="728"/>
      <c r="E16" s="325" t="s">
        <v>90</v>
      </c>
      <c r="F16" s="96" t="s">
        <v>19</v>
      </c>
      <c r="G16" s="96" t="s">
        <v>20</v>
      </c>
      <c r="H16" s="96" t="s">
        <v>19</v>
      </c>
      <c r="I16" s="96" t="s">
        <v>21</v>
      </c>
      <c r="J16" s="96" t="s">
        <v>22</v>
      </c>
      <c r="K16" s="97" t="s">
        <v>23</v>
      </c>
      <c r="L16" s="547" t="s">
        <v>652</v>
      </c>
      <c r="M16" s="729" t="s">
        <v>648</v>
      </c>
      <c r="N16" s="729"/>
      <c r="O16" s="541" t="s">
        <v>653</v>
      </c>
      <c r="P16" s="549" t="s">
        <v>654</v>
      </c>
      <c r="Q16" s="551" t="s">
        <v>656</v>
      </c>
      <c r="R16" s="551" t="s">
        <v>655</v>
      </c>
    </row>
    <row r="17" spans="1:27" ht="11.65" customHeight="1" thickBot="1">
      <c r="A17" s="184" t="s">
        <v>26</v>
      </c>
      <c r="B17" s="781"/>
      <c r="C17" s="185" t="s">
        <v>24</v>
      </c>
      <c r="D17" s="186" t="s">
        <v>25</v>
      </c>
      <c r="E17" s="186" t="s">
        <v>26</v>
      </c>
      <c r="F17" s="187" t="s">
        <v>27</v>
      </c>
      <c r="G17" s="187" t="s">
        <v>27</v>
      </c>
      <c r="H17" s="187" t="s">
        <v>28</v>
      </c>
      <c r="I17" s="187" t="s">
        <v>27</v>
      </c>
      <c r="J17" s="187" t="s">
        <v>29</v>
      </c>
      <c r="K17" s="188" t="s">
        <v>30</v>
      </c>
      <c r="L17" s="548"/>
      <c r="M17" s="730" t="s">
        <v>31</v>
      </c>
      <c r="N17" s="730"/>
      <c r="O17" s="542"/>
      <c r="P17" s="550"/>
      <c r="Q17" s="550"/>
      <c r="R17" s="550"/>
    </row>
    <row r="18" spans="1:27" s="2" customFormat="1" ht="33" customHeight="1" thickTop="1" thickBot="1">
      <c r="A18" s="785" t="s">
        <v>642</v>
      </c>
      <c r="B18" s="786"/>
      <c r="C18" s="330" t="s">
        <v>44</v>
      </c>
      <c r="D18" s="743" t="s">
        <v>394</v>
      </c>
      <c r="E18" s="744"/>
      <c r="F18" s="338">
        <f>'DECK TALLY'!O6</f>
        <v>3.39</v>
      </c>
      <c r="G18" s="338">
        <f>F18</f>
        <v>3.39</v>
      </c>
      <c r="H18" s="338" t="s">
        <v>32</v>
      </c>
      <c r="I18" s="389">
        <f>G18</f>
        <v>3.39</v>
      </c>
      <c r="J18" s="338">
        <f>M9-G18</f>
        <v>21377.61</v>
      </c>
      <c r="K18" s="339">
        <f t="shared" ref="K18:K28" si="0">$H$8+(I18*$E$9*$E$15/1000)</f>
        <v>95.080585660809774</v>
      </c>
      <c r="L18" s="488"/>
      <c r="M18" s="805" t="s">
        <v>419</v>
      </c>
      <c r="N18" s="806"/>
      <c r="O18" s="518"/>
      <c r="P18" s="4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s="2" customFormat="1" ht="25.5" customHeight="1" thickBot="1">
      <c r="A19" s="787"/>
      <c r="B19" s="788"/>
      <c r="C19" s="340">
        <v>2</v>
      </c>
      <c r="D19" s="731" t="s">
        <v>581</v>
      </c>
      <c r="E19" s="731"/>
      <c r="F19" s="341">
        <f>'DECK TALLY'!O7</f>
        <v>36.86</v>
      </c>
      <c r="G19" s="341">
        <f>F19</f>
        <v>36.86</v>
      </c>
      <c r="H19" s="341" t="s">
        <v>32</v>
      </c>
      <c r="I19" s="390">
        <f t="shared" ref="I19:I64" si="1">IF(H19="IN",I18+G19,I18)</f>
        <v>40.25</v>
      </c>
      <c r="J19" s="341">
        <f t="shared" ref="J19:J80" si="2">IF(I19="","",$M$9-I19)</f>
        <v>21340.75</v>
      </c>
      <c r="K19" s="342">
        <f t="shared" si="0"/>
        <v>95.956806149732614</v>
      </c>
      <c r="L19" s="488"/>
      <c r="M19" s="807"/>
      <c r="N19" s="808"/>
      <c r="O19" s="520"/>
      <c r="P19" s="5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s="2" customFormat="1" ht="13.5" customHeight="1" thickBot="1">
      <c r="A20" s="789" t="s">
        <v>643</v>
      </c>
      <c r="B20" s="790"/>
      <c r="C20" s="331">
        <v>1</v>
      </c>
      <c r="D20" s="770" t="s">
        <v>582</v>
      </c>
      <c r="E20" s="770"/>
      <c r="F20" s="343">
        <f>'DECK TALLY'!O9</f>
        <v>18.510000000000002</v>
      </c>
      <c r="G20" s="343">
        <f>F20-($H$12/12)</f>
        <v>18.172500000000003</v>
      </c>
      <c r="H20" s="343" t="s">
        <v>32</v>
      </c>
      <c r="I20" s="391">
        <f t="shared" si="1"/>
        <v>58.422499999999999</v>
      </c>
      <c r="J20" s="343">
        <f t="shared" si="2"/>
        <v>21322.577499999999</v>
      </c>
      <c r="K20" s="344">
        <f t="shared" si="0"/>
        <v>96.388795211993894</v>
      </c>
      <c r="L20" s="489"/>
      <c r="M20" s="771" t="s">
        <v>420</v>
      </c>
      <c r="N20" s="772"/>
      <c r="O20" s="520"/>
      <c r="P20" s="5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s="2" customFormat="1" ht="25.5" customHeight="1" thickBot="1">
      <c r="A21" s="791"/>
      <c r="B21" s="792"/>
      <c r="C21" s="332" t="s">
        <v>44</v>
      </c>
      <c r="D21" s="777" t="s">
        <v>393</v>
      </c>
      <c r="E21" s="778"/>
      <c r="F21" s="345">
        <f>'DECK TALLY'!O10</f>
        <v>2.91</v>
      </c>
      <c r="G21" s="345">
        <f>F21</f>
        <v>2.91</v>
      </c>
      <c r="H21" s="345" t="s">
        <v>32</v>
      </c>
      <c r="I21" s="392">
        <f t="shared" si="1"/>
        <v>61.332499999999996</v>
      </c>
      <c r="J21" s="345">
        <f t="shared" si="2"/>
        <v>21319.6675</v>
      </c>
      <c r="K21" s="346">
        <f t="shared" si="0"/>
        <v>96.457970513750951</v>
      </c>
      <c r="L21" s="490"/>
      <c r="M21" s="773"/>
      <c r="N21" s="774"/>
      <c r="O21" s="520"/>
      <c r="P21" s="531"/>
      <c r="Q21" s="23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s="2" customFormat="1" ht="16.149999999999999" customHeight="1" thickBot="1">
      <c r="A22" s="793"/>
      <c r="B22" s="794"/>
      <c r="C22" s="333">
        <v>1</v>
      </c>
      <c r="D22" s="741" t="s">
        <v>583</v>
      </c>
      <c r="E22" s="742"/>
      <c r="F22" s="347">
        <f>'DECK TALLY'!O11</f>
        <v>17.53</v>
      </c>
      <c r="G22" s="347">
        <f>F22</f>
        <v>17.53</v>
      </c>
      <c r="H22" s="347" t="s">
        <v>32</v>
      </c>
      <c r="I22" s="393">
        <f>IF(H22="IN",I21+G22,I21)</f>
        <v>78.862499999999997</v>
      </c>
      <c r="J22" s="347">
        <f t="shared" si="2"/>
        <v>21302.137500000001</v>
      </c>
      <c r="K22" s="348">
        <f t="shared" si="0"/>
        <v>96.874686334988539</v>
      </c>
      <c r="L22" s="491"/>
      <c r="M22" s="775"/>
      <c r="N22" s="776"/>
      <c r="O22" s="520"/>
      <c r="P22" s="5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s="2" customFormat="1" ht="13.5" customHeight="1" thickBot="1">
      <c r="A23" s="785" t="s">
        <v>644</v>
      </c>
      <c r="B23" s="795"/>
      <c r="C23" s="334">
        <v>1</v>
      </c>
      <c r="D23" s="784" t="s">
        <v>584</v>
      </c>
      <c r="E23" s="784"/>
      <c r="F23" s="349">
        <f>'DECK TALLY'!O13</f>
        <v>18.18</v>
      </c>
      <c r="G23" s="349">
        <f>F23-($H$12/12)</f>
        <v>17.842500000000001</v>
      </c>
      <c r="H23" s="349" t="s">
        <v>32</v>
      </c>
      <c r="I23" s="394">
        <f t="shared" si="1"/>
        <v>96.704999999999998</v>
      </c>
      <c r="J23" s="349">
        <f t="shared" si="2"/>
        <v>21284.294999999998</v>
      </c>
      <c r="K23" s="350">
        <f t="shared" si="0"/>
        <v>97.298830775401072</v>
      </c>
      <c r="L23" s="492"/>
      <c r="M23" s="761" t="s">
        <v>421</v>
      </c>
      <c r="N23" s="762"/>
      <c r="O23" s="515"/>
      <c r="P23" s="531"/>
      <c r="S23" s="25"/>
      <c r="T23" s="25"/>
      <c r="U23" s="25"/>
      <c r="V23" s="25"/>
      <c r="W23" s="25"/>
      <c r="X23" s="25"/>
      <c r="Y23" s="25"/>
      <c r="Z23" s="32"/>
      <c r="AA23" s="25"/>
    </row>
    <row r="24" spans="1:27" s="2" customFormat="1" ht="16.5" thickBot="1">
      <c r="A24" s="791"/>
      <c r="B24" s="796"/>
      <c r="C24" s="335" t="s">
        <v>44</v>
      </c>
      <c r="D24" s="777" t="s">
        <v>48</v>
      </c>
      <c r="E24" s="778"/>
      <c r="F24" s="351">
        <f>'DECK TALLY'!O14</f>
        <v>5.16</v>
      </c>
      <c r="G24" s="352">
        <f>F24</f>
        <v>5.16</v>
      </c>
      <c r="H24" s="353" t="s">
        <v>32</v>
      </c>
      <c r="I24" s="360">
        <f t="shared" si="1"/>
        <v>101.86499999999999</v>
      </c>
      <c r="J24" s="351">
        <f t="shared" si="2"/>
        <v>21279.134999999998</v>
      </c>
      <c r="K24" s="354">
        <f t="shared" si="0"/>
        <v>97.421492135217719</v>
      </c>
      <c r="L24" s="493"/>
      <c r="M24" s="763"/>
      <c r="N24" s="764"/>
      <c r="O24" s="515"/>
      <c r="P24" s="531"/>
      <c r="Q24" s="758"/>
      <c r="R24" s="755"/>
      <c r="S24" s="25"/>
      <c r="T24" s="25"/>
      <c r="U24" s="25"/>
      <c r="V24" s="25"/>
      <c r="W24" s="25"/>
      <c r="X24" s="25"/>
      <c r="Y24" s="25"/>
      <c r="Z24" s="32"/>
      <c r="AA24" s="25"/>
    </row>
    <row r="25" spans="1:27" s="2" customFormat="1" ht="16.5" thickBot="1">
      <c r="A25" s="791"/>
      <c r="B25" s="796"/>
      <c r="C25" s="336">
        <v>1</v>
      </c>
      <c r="D25" s="783" t="s">
        <v>585</v>
      </c>
      <c r="E25" s="783"/>
      <c r="F25" s="355">
        <f>'DECK TALLY'!O15</f>
        <v>18.59</v>
      </c>
      <c r="G25" s="355">
        <f>F25</f>
        <v>18.59</v>
      </c>
      <c r="H25" s="355" t="s">
        <v>32</v>
      </c>
      <c r="I25" s="395">
        <f>IF(H25="IN",I24+G25,I24)</f>
        <v>120.455</v>
      </c>
      <c r="J25" s="355">
        <f t="shared" si="2"/>
        <v>21260.544999999998</v>
      </c>
      <c r="K25" s="356">
        <f t="shared" si="0"/>
        <v>97.863405832696714</v>
      </c>
      <c r="L25" s="493"/>
      <c r="M25" s="763"/>
      <c r="N25" s="764"/>
      <c r="O25" s="515"/>
      <c r="P25" s="531"/>
      <c r="Q25" s="759"/>
      <c r="R25" s="756"/>
      <c r="S25" s="25"/>
      <c r="T25" s="25"/>
      <c r="U25" s="25"/>
      <c r="V25" s="25"/>
      <c r="W25" s="25"/>
      <c r="X25" s="25"/>
      <c r="Y25" s="25"/>
      <c r="Z25" s="32"/>
      <c r="AA25" s="25"/>
    </row>
    <row r="26" spans="1:27" s="2" customFormat="1" ht="16.5" thickBot="1">
      <c r="A26" s="797"/>
      <c r="B26" s="798"/>
      <c r="C26" s="337"/>
      <c r="D26" s="692"/>
      <c r="E26" s="693"/>
      <c r="F26" s="357"/>
      <c r="G26" s="358">
        <f>F26</f>
        <v>0</v>
      </c>
      <c r="H26" s="358" t="s">
        <v>35</v>
      </c>
      <c r="I26" s="396">
        <f t="shared" ref="I26:I27" si="3">IF(H26="IN",I25+G26,I25)</f>
        <v>120.455</v>
      </c>
      <c r="J26" s="358">
        <f t="shared" si="2"/>
        <v>21260.544999999998</v>
      </c>
      <c r="K26" s="359">
        <f t="shared" si="0"/>
        <v>97.863405832696714</v>
      </c>
      <c r="L26" s="494"/>
      <c r="M26" s="765"/>
      <c r="N26" s="766"/>
      <c r="O26" s="515"/>
      <c r="P26" s="531"/>
      <c r="Q26" s="760"/>
      <c r="R26" s="757"/>
      <c r="S26" s="25"/>
      <c r="T26" s="25"/>
      <c r="U26" s="25"/>
      <c r="V26" s="25"/>
      <c r="W26" s="25"/>
      <c r="X26" s="25"/>
      <c r="Y26" s="25"/>
      <c r="Z26" s="32"/>
      <c r="AA26" s="25"/>
    </row>
    <row r="27" spans="1:27" s="2" customFormat="1" ht="21" customHeight="1">
      <c r="A27" s="443">
        <v>1</v>
      </c>
      <c r="B27" s="266" t="s">
        <v>384</v>
      </c>
      <c r="C27" s="267">
        <v>2</v>
      </c>
      <c r="D27" s="267" t="s">
        <v>34</v>
      </c>
      <c r="E27" s="401" t="str">
        <f>'DECK TALLY'!B6</f>
        <v>A1</v>
      </c>
      <c r="F27" s="268">
        <f>'DECK TALLY'!C6</f>
        <v>36.57</v>
      </c>
      <c r="G27" s="268">
        <f>F27-($E$12/12)</f>
        <v>36.232500000000002</v>
      </c>
      <c r="H27" s="269" t="s">
        <v>32</v>
      </c>
      <c r="I27" s="436">
        <f t="shared" si="3"/>
        <v>156.6875</v>
      </c>
      <c r="J27" s="269">
        <f t="shared" si="2"/>
        <v>21224.3125</v>
      </c>
      <c r="K27" s="270">
        <f t="shared" si="0"/>
        <v>98.724709654316271</v>
      </c>
      <c r="L27" s="517"/>
      <c r="M27" s="768" t="s">
        <v>534</v>
      </c>
      <c r="N27" s="769"/>
      <c r="O27" s="521"/>
      <c r="P27" s="531"/>
      <c r="Q27" s="200"/>
      <c r="R27" s="201"/>
      <c r="S27" s="37"/>
      <c r="T27" s="37"/>
      <c r="U27" s="37"/>
      <c r="V27" s="37"/>
      <c r="W27" s="37"/>
      <c r="X27" s="37"/>
      <c r="Y27" s="37"/>
      <c r="Z27" s="32"/>
      <c r="AA27" s="37"/>
    </row>
    <row r="28" spans="1:27" s="2" customFormat="1" ht="21" customHeight="1">
      <c r="A28" s="444">
        <f>A27+1</f>
        <v>2</v>
      </c>
      <c r="B28" s="142" t="s">
        <v>384</v>
      </c>
      <c r="C28" s="94">
        <v>2</v>
      </c>
      <c r="D28" s="91" t="s">
        <v>34</v>
      </c>
      <c r="E28" s="402" t="str">
        <f>'DECK TALLY'!B7</f>
        <v>A2</v>
      </c>
      <c r="F28" s="103">
        <f>'DECK TALLY'!C7</f>
        <v>37.229999999999997</v>
      </c>
      <c r="G28" s="92">
        <f t="shared" ref="G28:G91" si="4">F28-($E$12/12)</f>
        <v>36.892499999999998</v>
      </c>
      <c r="H28" s="95" t="s">
        <v>32</v>
      </c>
      <c r="I28" s="437">
        <f>IF(H28="IN",I27+G28,I27)</f>
        <v>193.57999999999998</v>
      </c>
      <c r="J28" s="95">
        <f t="shared" si="2"/>
        <v>21187.42</v>
      </c>
      <c r="K28" s="117">
        <f t="shared" si="0"/>
        <v>99.601702719633309</v>
      </c>
      <c r="L28" s="517"/>
      <c r="M28" s="703"/>
      <c r="N28" s="703"/>
      <c r="O28" s="487"/>
      <c r="P28" s="531"/>
      <c r="Q28" s="28"/>
      <c r="R28" s="170"/>
      <c r="S28" s="37"/>
      <c r="T28" s="37"/>
      <c r="U28" s="37"/>
      <c r="V28" s="37"/>
      <c r="W28" s="37"/>
      <c r="X28" s="37"/>
      <c r="Y28" s="37"/>
      <c r="Z28" s="32"/>
      <c r="AA28" s="37"/>
    </row>
    <row r="29" spans="1:27" s="2" customFormat="1" ht="21" customHeight="1" thickBot="1">
      <c r="A29" s="445">
        <f>A28+1</f>
        <v>3</v>
      </c>
      <c r="B29" s="142" t="s">
        <v>384</v>
      </c>
      <c r="C29" s="91">
        <v>2</v>
      </c>
      <c r="D29" s="91" t="s">
        <v>34</v>
      </c>
      <c r="E29" s="403" t="str">
        <f>'DECK TALLY'!B8</f>
        <v>A3</v>
      </c>
      <c r="F29" s="104">
        <f>'DECK TALLY'!C8</f>
        <v>37</v>
      </c>
      <c r="G29" s="92">
        <f t="shared" ref="G29:G34" si="5">F29-($E$12/12)</f>
        <v>36.662500000000001</v>
      </c>
      <c r="H29" s="95" t="s">
        <v>32</v>
      </c>
      <c r="I29" s="437">
        <f>IF(H29="IN",I28+G29,I28)</f>
        <v>230.24249999999998</v>
      </c>
      <c r="J29" s="95">
        <f t="shared" ref="J29:J30" si="6">IF(I29="","",$M$9-I29)</f>
        <v>21150.7575</v>
      </c>
      <c r="K29" s="117">
        <f t="shared" ref="K29:K30" si="7">$H$8+(I29*$E$9*$E$15/1000)</f>
        <v>100.47322832123758</v>
      </c>
      <c r="L29" s="517"/>
      <c r="M29" s="779"/>
      <c r="N29" s="703"/>
      <c r="O29" s="522"/>
      <c r="P29" s="531"/>
      <c r="Q29" s="28"/>
      <c r="R29" s="532">
        <f t="shared" ref="R29:R92" si="8">J29+89</f>
        <v>21239.7575</v>
      </c>
      <c r="S29" s="37"/>
      <c r="T29" s="37"/>
      <c r="U29" s="37"/>
      <c r="V29" s="37"/>
      <c r="W29" s="37"/>
      <c r="X29" s="37"/>
      <c r="Y29" s="37"/>
      <c r="Z29" s="32"/>
      <c r="AA29" s="37"/>
    </row>
    <row r="30" spans="1:27" s="2" customFormat="1" ht="21" customHeight="1" thickTop="1" thickBot="1">
      <c r="A30" s="446" t="s">
        <v>579</v>
      </c>
      <c r="B30" s="364" t="s">
        <v>580</v>
      </c>
      <c r="C30" s="361">
        <v>1</v>
      </c>
      <c r="D30" s="91" t="s">
        <v>34</v>
      </c>
      <c r="E30" s="405" t="s">
        <v>405</v>
      </c>
      <c r="F30" s="367">
        <v>18.25</v>
      </c>
      <c r="G30" s="92">
        <f t="shared" si="5"/>
        <v>17.912500000000001</v>
      </c>
      <c r="H30" s="95" t="s">
        <v>32</v>
      </c>
      <c r="I30" s="437">
        <f>IF(H30="IN",I29+G30,I29)</f>
        <v>248.15499999999997</v>
      </c>
      <c r="J30" s="95">
        <f t="shared" si="6"/>
        <v>21132.845000000001</v>
      </c>
      <c r="K30" s="117">
        <f t="shared" si="7"/>
        <v>100.8990367723453</v>
      </c>
      <c r="L30" s="517"/>
      <c r="M30" s="315" t="s">
        <v>569</v>
      </c>
      <c r="N30" s="483">
        <v>21136</v>
      </c>
      <c r="O30" s="523"/>
      <c r="P30" s="531"/>
      <c r="Q30" s="28"/>
      <c r="R30" s="532">
        <f t="shared" si="8"/>
        <v>21221.845000000001</v>
      </c>
      <c r="S30" s="37"/>
      <c r="T30" s="37"/>
      <c r="U30" s="37"/>
      <c r="V30" s="37"/>
      <c r="W30" s="37"/>
      <c r="X30" s="37"/>
      <c r="Y30" s="37"/>
      <c r="Z30" s="32"/>
      <c r="AA30" s="37"/>
    </row>
    <row r="31" spans="1:27" s="2" customFormat="1" ht="21" customHeight="1" thickBot="1">
      <c r="A31" s="445">
        <f>A29+1</f>
        <v>4</v>
      </c>
      <c r="B31" s="142" t="s">
        <v>384</v>
      </c>
      <c r="C31" s="91">
        <v>2</v>
      </c>
      <c r="D31" s="91" t="s">
        <v>34</v>
      </c>
      <c r="E31" s="362" t="str">
        <f>'DECK TALLY'!B9</f>
        <v>A4</v>
      </c>
      <c r="F31" s="104">
        <f>'DECK TALLY'!C9</f>
        <v>36.159999999999997</v>
      </c>
      <c r="G31" s="92">
        <f t="shared" si="5"/>
        <v>35.822499999999998</v>
      </c>
      <c r="H31" s="95" t="s">
        <v>32</v>
      </c>
      <c r="I31" s="437">
        <f>IF(H31="IN",I30+G31,I30)</f>
        <v>283.97749999999996</v>
      </c>
      <c r="J31" s="363">
        <f t="shared" ref="J31" si="9">IF(I31="","",$M$9-I31)</f>
        <v>21097.022499999999</v>
      </c>
      <c r="K31" s="117">
        <f t="shared" ref="K31" si="10">$H$8+(I31*$E$9*$E$15/1000)</f>
        <v>101.75059424560733</v>
      </c>
      <c r="L31" s="517"/>
      <c r="M31" s="317" t="s">
        <v>577</v>
      </c>
      <c r="N31" s="484" t="str">
        <f>E31</f>
        <v>A4</v>
      </c>
      <c r="O31" s="524"/>
      <c r="P31" s="531"/>
      <c r="Q31" s="28"/>
      <c r="R31" s="532">
        <f t="shared" si="8"/>
        <v>21186.022499999999</v>
      </c>
      <c r="S31" s="37"/>
      <c r="T31" s="37"/>
      <c r="U31" s="37"/>
      <c r="V31" s="37"/>
      <c r="W31" s="37"/>
      <c r="X31" s="37"/>
      <c r="Y31" s="37"/>
      <c r="Z31" s="37"/>
      <c r="AA31" s="37"/>
    </row>
    <row r="32" spans="1:27" s="2" customFormat="1" ht="21" customHeight="1" thickBot="1">
      <c r="A32" s="444">
        <f t="shared" ref="A32:A96" si="11">A31+1</f>
        <v>5</v>
      </c>
      <c r="B32" s="142" t="s">
        <v>384</v>
      </c>
      <c r="C32" s="361">
        <v>1</v>
      </c>
      <c r="D32" s="91" t="s">
        <v>34</v>
      </c>
      <c r="E32" s="402" t="str">
        <f>'DECK TALLY'!B10</f>
        <v>A5</v>
      </c>
      <c r="F32" s="103">
        <f>'DECK TALLY'!C10</f>
        <v>36.909999999999997</v>
      </c>
      <c r="G32" s="92">
        <f t="shared" si="5"/>
        <v>36.572499999999998</v>
      </c>
      <c r="H32" s="95" t="s">
        <v>32</v>
      </c>
      <c r="I32" s="437">
        <f t="shared" ref="I32:I34" si="12">IF(H32="IN",I31+G32,I31)</f>
        <v>320.54999999999995</v>
      </c>
      <c r="J32" s="95">
        <f t="shared" ref="J32:J34" si="13">IF(I32="","",$M$9-I32)</f>
        <v>21060.45</v>
      </c>
      <c r="K32" s="117">
        <f t="shared" ref="K32:K93" si="14">$H$8+(I32*$E$9*$E$15/1000)</f>
        <v>102.61998040488923</v>
      </c>
      <c r="L32" s="517"/>
      <c r="M32" s="545" t="s">
        <v>586</v>
      </c>
      <c r="N32" s="745"/>
      <c r="O32" s="523"/>
      <c r="P32" s="531"/>
      <c r="Q32" s="28"/>
      <c r="R32" s="532">
        <f t="shared" si="8"/>
        <v>21149.45</v>
      </c>
      <c r="S32" s="37"/>
      <c r="T32" s="37"/>
      <c r="U32" s="37"/>
      <c r="V32" s="37"/>
      <c r="W32" s="37"/>
      <c r="X32" s="37"/>
      <c r="Y32" s="37"/>
      <c r="Z32" s="37"/>
      <c r="AA32" s="37"/>
    </row>
    <row r="33" spans="1:27" s="2" customFormat="1" ht="21" customHeight="1">
      <c r="A33" s="445">
        <f t="shared" si="11"/>
        <v>6</v>
      </c>
      <c r="B33" s="142" t="s">
        <v>384</v>
      </c>
      <c r="C33" s="91">
        <v>2</v>
      </c>
      <c r="D33" s="91" t="s">
        <v>34</v>
      </c>
      <c r="E33" s="403" t="str">
        <f>'DECK TALLY'!B11</f>
        <v>A6</v>
      </c>
      <c r="F33" s="104">
        <f>'DECK TALLY'!C11</f>
        <v>35.36</v>
      </c>
      <c r="G33" s="92">
        <f t="shared" si="5"/>
        <v>35.022500000000001</v>
      </c>
      <c r="H33" s="95" t="s">
        <v>32</v>
      </c>
      <c r="I33" s="437">
        <f t="shared" si="12"/>
        <v>355.57249999999993</v>
      </c>
      <c r="J33" s="95">
        <f t="shared" si="13"/>
        <v>21025.427500000002</v>
      </c>
      <c r="K33" s="117">
        <f t="shared" si="14"/>
        <v>103.4525206130634</v>
      </c>
      <c r="L33" s="517"/>
      <c r="M33" s="746"/>
      <c r="N33" s="747"/>
      <c r="O33" s="523"/>
      <c r="P33" s="531"/>
      <c r="Q33" s="28"/>
      <c r="R33" s="532">
        <f t="shared" si="8"/>
        <v>21114.427500000002</v>
      </c>
      <c r="S33" s="37"/>
      <c r="T33" s="37"/>
      <c r="U33" s="37"/>
      <c r="V33" s="37"/>
      <c r="W33" s="37"/>
      <c r="X33" s="37"/>
      <c r="Y33" s="37"/>
      <c r="Z33" s="37"/>
      <c r="AA33" s="37"/>
    </row>
    <row r="34" spans="1:27" s="2" customFormat="1" ht="21" customHeight="1">
      <c r="A34" s="444">
        <f t="shared" si="11"/>
        <v>7</v>
      </c>
      <c r="B34" s="142" t="s">
        <v>384</v>
      </c>
      <c r="C34" s="91">
        <v>2</v>
      </c>
      <c r="D34" s="91" t="s">
        <v>34</v>
      </c>
      <c r="E34" s="402" t="str">
        <f>'DECK TALLY'!B12</f>
        <v>A7</v>
      </c>
      <c r="F34" s="103">
        <f>'DECK TALLY'!C12</f>
        <v>36.409999999999997</v>
      </c>
      <c r="G34" s="92">
        <f t="shared" si="5"/>
        <v>36.072499999999998</v>
      </c>
      <c r="H34" s="95" t="s">
        <v>32</v>
      </c>
      <c r="I34" s="437">
        <f t="shared" si="12"/>
        <v>391.64499999999992</v>
      </c>
      <c r="J34" s="95">
        <f t="shared" si="13"/>
        <v>20989.355</v>
      </c>
      <c r="K34" s="117">
        <f t="shared" si="14"/>
        <v>104.31002098166539</v>
      </c>
      <c r="L34" s="517"/>
      <c r="M34" s="607" t="s">
        <v>578</v>
      </c>
      <c r="N34" s="618"/>
      <c r="O34" s="525"/>
      <c r="P34" s="531"/>
      <c r="Q34" s="28"/>
      <c r="R34" s="532">
        <f t="shared" si="8"/>
        <v>21078.355</v>
      </c>
      <c r="S34" s="37"/>
      <c r="T34" s="37"/>
      <c r="U34" s="37"/>
      <c r="V34" s="37"/>
      <c r="W34" s="37"/>
      <c r="X34" s="37"/>
      <c r="Y34" s="37"/>
      <c r="Z34" s="37"/>
      <c r="AA34" s="37"/>
    </row>
    <row r="35" spans="1:27" s="2" customFormat="1" ht="21" customHeight="1" thickBot="1">
      <c r="A35" s="444">
        <f t="shared" si="11"/>
        <v>8</v>
      </c>
      <c r="B35" s="142" t="s">
        <v>384</v>
      </c>
      <c r="C35" s="91">
        <v>2</v>
      </c>
      <c r="D35" s="91" t="s">
        <v>34</v>
      </c>
      <c r="E35" s="403" t="str">
        <f>'DECK TALLY'!B13</f>
        <v>A8</v>
      </c>
      <c r="F35" s="104">
        <f>'DECK TALLY'!C13</f>
        <v>36.6</v>
      </c>
      <c r="G35" s="93">
        <f t="shared" si="4"/>
        <v>36.262500000000003</v>
      </c>
      <c r="H35" s="92" t="s">
        <v>32</v>
      </c>
      <c r="I35" s="438">
        <f t="shared" ref="I35:I39" si="15">IF(H35="IN",I34+G35,I34)</f>
        <v>427.90749999999991</v>
      </c>
      <c r="J35" s="92">
        <f t="shared" si="2"/>
        <v>20953.092499999999</v>
      </c>
      <c r="K35" s="117">
        <f t="shared" si="14"/>
        <v>105.17203795072574</v>
      </c>
      <c r="L35" s="517"/>
      <c r="M35" s="366" t="s">
        <v>588</v>
      </c>
      <c r="N35" s="486">
        <f>J30-5</f>
        <v>21127.845000000001</v>
      </c>
      <c r="O35" s="525"/>
      <c r="P35" s="531"/>
      <c r="Q35" s="28"/>
      <c r="R35" s="532">
        <f t="shared" si="8"/>
        <v>21042.092499999999</v>
      </c>
      <c r="S35" s="37"/>
      <c r="T35" s="37"/>
      <c r="U35" s="37"/>
      <c r="V35" s="37"/>
      <c r="W35" s="37"/>
      <c r="X35" s="37"/>
      <c r="Y35" s="37"/>
      <c r="Z35" s="37"/>
      <c r="AA35" s="37"/>
    </row>
    <row r="36" spans="1:27" s="2" customFormat="1" ht="21" customHeight="1" thickTop="1">
      <c r="A36" s="444">
        <f t="shared" si="11"/>
        <v>9</v>
      </c>
      <c r="B36" s="142" t="s">
        <v>384</v>
      </c>
      <c r="C36" s="91">
        <v>2</v>
      </c>
      <c r="D36" s="91" t="s">
        <v>34</v>
      </c>
      <c r="E36" s="402" t="str">
        <f>'DECK TALLY'!B14</f>
        <v>A9</v>
      </c>
      <c r="F36" s="103">
        <f>'DECK TALLY'!C14</f>
        <v>36.479999999999997</v>
      </c>
      <c r="G36" s="93">
        <f t="shared" si="4"/>
        <v>36.142499999999998</v>
      </c>
      <c r="H36" s="92" t="s">
        <v>32</v>
      </c>
      <c r="I36" s="438">
        <f t="shared" si="15"/>
        <v>464.0499999999999</v>
      </c>
      <c r="J36" s="92">
        <f t="shared" si="2"/>
        <v>20916.95</v>
      </c>
      <c r="K36" s="117">
        <f t="shared" si="14"/>
        <v>106.03120233002292</v>
      </c>
      <c r="L36" s="517"/>
      <c r="M36" s="617"/>
      <c r="N36" s="617"/>
      <c r="O36" s="521"/>
      <c r="P36" s="531"/>
      <c r="Q36" s="28"/>
      <c r="R36" s="532">
        <f t="shared" si="8"/>
        <v>21005.95</v>
      </c>
      <c r="S36" s="37"/>
      <c r="T36" s="37"/>
      <c r="U36" s="37"/>
      <c r="V36" s="37"/>
      <c r="W36" s="37"/>
      <c r="X36" s="37"/>
      <c r="Y36" s="37"/>
      <c r="Z36" s="37"/>
      <c r="AA36" s="37"/>
    </row>
    <row r="37" spans="1:27" s="2" customFormat="1" ht="21" customHeight="1">
      <c r="A37" s="444">
        <f t="shared" si="11"/>
        <v>10</v>
      </c>
      <c r="B37" s="142" t="s">
        <v>384</v>
      </c>
      <c r="C37" s="91">
        <v>2</v>
      </c>
      <c r="D37" s="91" t="s">
        <v>34</v>
      </c>
      <c r="E37" s="403" t="str">
        <f>'DECK TALLY'!B15</f>
        <v>B1</v>
      </c>
      <c r="F37" s="104">
        <f>'DECK TALLY'!C15</f>
        <v>36.369999999999997</v>
      </c>
      <c r="G37" s="93">
        <f t="shared" si="4"/>
        <v>36.032499999999999</v>
      </c>
      <c r="H37" s="95" t="s">
        <v>32</v>
      </c>
      <c r="I37" s="438">
        <f t="shared" si="15"/>
        <v>500.08249999999987</v>
      </c>
      <c r="J37" s="92">
        <f t="shared" si="2"/>
        <v>20880.9175</v>
      </c>
      <c r="K37" s="117">
        <f t="shared" si="14"/>
        <v>106.88775183537051</v>
      </c>
      <c r="L37" s="517"/>
      <c r="M37" s="617"/>
      <c r="N37" s="617"/>
      <c r="O37" s="520"/>
      <c r="P37" s="531"/>
      <c r="Q37" s="28"/>
      <c r="R37" s="532">
        <f t="shared" si="8"/>
        <v>20969.9175</v>
      </c>
      <c r="S37" s="37"/>
      <c r="T37" s="37"/>
      <c r="U37" s="37"/>
      <c r="V37" s="37"/>
      <c r="W37" s="37"/>
      <c r="X37" s="37"/>
      <c r="Y37" s="37"/>
      <c r="Z37" s="37"/>
      <c r="AA37" s="37"/>
    </row>
    <row r="38" spans="1:27" s="2" customFormat="1" ht="21" customHeight="1">
      <c r="A38" s="444">
        <f t="shared" si="11"/>
        <v>11</v>
      </c>
      <c r="B38" s="142" t="s">
        <v>384</v>
      </c>
      <c r="C38" s="91">
        <v>2</v>
      </c>
      <c r="D38" s="91" t="s">
        <v>34</v>
      </c>
      <c r="E38" s="402" t="str">
        <f>'DECK TALLY'!B16</f>
        <v>B2</v>
      </c>
      <c r="F38" s="104">
        <f>'DECK TALLY'!C16</f>
        <v>36.15</v>
      </c>
      <c r="G38" s="93">
        <f t="shared" si="4"/>
        <v>35.8125</v>
      </c>
      <c r="H38" s="95" t="s">
        <v>32</v>
      </c>
      <c r="I38" s="438">
        <f t="shared" si="15"/>
        <v>535.89499999999987</v>
      </c>
      <c r="J38" s="92">
        <f t="shared" si="2"/>
        <v>20845.105</v>
      </c>
      <c r="K38" s="117">
        <f t="shared" si="14"/>
        <v>107.73907159281895</v>
      </c>
      <c r="L38" s="517"/>
      <c r="M38" s="617"/>
      <c r="N38" s="617"/>
      <c r="O38" s="520"/>
      <c r="P38" s="531"/>
      <c r="Q38" s="28"/>
      <c r="R38" s="532">
        <f t="shared" si="8"/>
        <v>20934.105</v>
      </c>
      <c r="S38" s="37"/>
      <c r="T38" s="37"/>
      <c r="U38" s="37"/>
      <c r="V38" s="37"/>
      <c r="W38" s="37"/>
      <c r="X38" s="37"/>
      <c r="Y38" s="37"/>
      <c r="Z38" s="37"/>
      <c r="AA38" s="37"/>
    </row>
    <row r="39" spans="1:27" s="2" customFormat="1" ht="21" customHeight="1">
      <c r="A39" s="444">
        <f t="shared" si="11"/>
        <v>12</v>
      </c>
      <c r="B39" s="142" t="s">
        <v>384</v>
      </c>
      <c r="C39" s="91">
        <v>2</v>
      </c>
      <c r="D39" s="91" t="s">
        <v>34</v>
      </c>
      <c r="E39" s="403" t="str">
        <f>'DECK TALLY'!B17</f>
        <v>B3</v>
      </c>
      <c r="F39" s="103">
        <f>'DECK TALLY'!C17</f>
        <v>34.869999999999997</v>
      </c>
      <c r="G39" s="93">
        <f t="shared" si="4"/>
        <v>34.532499999999999</v>
      </c>
      <c r="H39" s="92" t="s">
        <v>32</v>
      </c>
      <c r="I39" s="438">
        <f t="shared" si="15"/>
        <v>570.4274999999999</v>
      </c>
      <c r="J39" s="92">
        <f t="shared" si="2"/>
        <v>20810.572499999998</v>
      </c>
      <c r="K39" s="117">
        <f t="shared" si="14"/>
        <v>108.55996372612681</v>
      </c>
      <c r="L39" s="517"/>
      <c r="M39" s="617"/>
      <c r="N39" s="617"/>
      <c r="O39" s="487"/>
      <c r="P39" s="531"/>
      <c r="Q39" s="28"/>
      <c r="R39" s="532">
        <f t="shared" si="8"/>
        <v>20899.572499999998</v>
      </c>
      <c r="S39" s="37"/>
      <c r="T39" s="37"/>
      <c r="U39" s="37"/>
      <c r="V39" s="37"/>
      <c r="W39" s="37"/>
      <c r="X39" s="37"/>
      <c r="Y39" s="37"/>
      <c r="Z39" s="37"/>
      <c r="AA39" s="37"/>
    </row>
    <row r="40" spans="1:27" s="2" customFormat="1" ht="21" customHeight="1">
      <c r="A40" s="444">
        <f t="shared" si="11"/>
        <v>13</v>
      </c>
      <c r="B40" s="142" t="s">
        <v>384</v>
      </c>
      <c r="C40" s="91">
        <v>2</v>
      </c>
      <c r="D40" s="91" t="s">
        <v>34</v>
      </c>
      <c r="E40" s="402" t="str">
        <f>'DECK TALLY'!B18</f>
        <v>B4</v>
      </c>
      <c r="F40" s="104">
        <f>'DECK TALLY'!C18</f>
        <v>36.68</v>
      </c>
      <c r="G40" s="93">
        <f t="shared" si="4"/>
        <v>36.342500000000001</v>
      </c>
      <c r="H40" s="92" t="s">
        <v>32</v>
      </c>
      <c r="I40" s="438">
        <f t="shared" si="1"/>
        <v>606.76999999999987</v>
      </c>
      <c r="J40" s="92">
        <f t="shared" si="2"/>
        <v>20774.23</v>
      </c>
      <c r="K40" s="117">
        <f t="shared" si="14"/>
        <v>109.42388242169595</v>
      </c>
      <c r="L40" s="517"/>
      <c r="M40" s="617"/>
      <c r="N40" s="617"/>
      <c r="O40" s="521"/>
      <c r="P40" s="531"/>
      <c r="Q40" s="28"/>
      <c r="R40" s="532">
        <f t="shared" si="8"/>
        <v>20863.23</v>
      </c>
      <c r="S40" s="37"/>
      <c r="T40" s="37"/>
      <c r="U40" s="37"/>
      <c r="V40" s="37"/>
      <c r="W40" s="37"/>
      <c r="X40" s="37"/>
      <c r="Y40" s="37"/>
      <c r="Z40" s="37"/>
      <c r="AA40" s="37"/>
    </row>
    <row r="41" spans="1:27" s="2" customFormat="1" ht="21" customHeight="1">
      <c r="A41" s="444">
        <f t="shared" si="11"/>
        <v>14</v>
      </c>
      <c r="B41" s="142" t="s">
        <v>384</v>
      </c>
      <c r="C41" s="91">
        <v>2</v>
      </c>
      <c r="D41" s="91" t="s">
        <v>34</v>
      </c>
      <c r="E41" s="403" t="str">
        <f>'DECK TALLY'!B19</f>
        <v>B5</v>
      </c>
      <c r="F41" s="103">
        <f>'DECK TALLY'!C19</f>
        <v>36.659999999999997</v>
      </c>
      <c r="G41" s="93">
        <f t="shared" si="4"/>
        <v>36.322499999999998</v>
      </c>
      <c r="H41" s="95" t="s">
        <v>32</v>
      </c>
      <c r="I41" s="438">
        <f t="shared" si="1"/>
        <v>643.09249999999986</v>
      </c>
      <c r="J41" s="92">
        <f t="shared" si="2"/>
        <v>20737.907500000001</v>
      </c>
      <c r="K41" s="117">
        <f t="shared" si="14"/>
        <v>110.28732568563788</v>
      </c>
      <c r="L41" s="517"/>
      <c r="M41" s="617"/>
      <c r="N41" s="617"/>
      <c r="O41" s="520"/>
      <c r="P41" s="531"/>
      <c r="Q41" s="28"/>
      <c r="R41" s="532">
        <f t="shared" si="8"/>
        <v>20826.907500000001</v>
      </c>
      <c r="S41" s="37"/>
      <c r="T41" s="37"/>
      <c r="U41" s="37"/>
      <c r="V41" s="37"/>
      <c r="W41" s="37"/>
      <c r="X41" s="37"/>
      <c r="Y41" s="37"/>
      <c r="Z41" s="37"/>
      <c r="AA41" s="37"/>
    </row>
    <row r="42" spans="1:27" s="2" customFormat="1" ht="21" customHeight="1">
      <c r="A42" s="444">
        <f t="shared" si="11"/>
        <v>15</v>
      </c>
      <c r="B42" s="142" t="s">
        <v>384</v>
      </c>
      <c r="C42" s="91">
        <v>2</v>
      </c>
      <c r="D42" s="91" t="s">
        <v>34</v>
      </c>
      <c r="E42" s="402" t="str">
        <f>'DECK TALLY'!B20</f>
        <v>B6</v>
      </c>
      <c r="F42" s="104">
        <f>'DECK TALLY'!C20</f>
        <v>36.049999999999997</v>
      </c>
      <c r="G42" s="93">
        <f t="shared" si="4"/>
        <v>35.712499999999999</v>
      </c>
      <c r="H42" s="95" t="s">
        <v>32</v>
      </c>
      <c r="I42" s="438">
        <f t="shared" si="1"/>
        <v>678.80499999999984</v>
      </c>
      <c r="J42" s="92">
        <f t="shared" si="2"/>
        <v>20702.195</v>
      </c>
      <c r="K42" s="117">
        <f t="shared" si="14"/>
        <v>111.13626828495035</v>
      </c>
      <c r="L42" s="517"/>
      <c r="M42" s="617"/>
      <c r="N42" s="617"/>
      <c r="O42" s="520"/>
      <c r="P42" s="531"/>
      <c r="Q42" s="28"/>
      <c r="R42" s="532">
        <f t="shared" si="8"/>
        <v>20791.195</v>
      </c>
      <c r="S42" s="37"/>
      <c r="T42" s="37"/>
      <c r="U42" s="37"/>
      <c r="V42" s="37"/>
      <c r="W42" s="37"/>
      <c r="X42" s="37"/>
      <c r="Y42" s="37"/>
      <c r="Z42" s="37"/>
      <c r="AA42" s="37"/>
    </row>
    <row r="43" spans="1:27" s="2" customFormat="1" ht="21" customHeight="1">
      <c r="A43" s="444">
        <f t="shared" si="11"/>
        <v>16</v>
      </c>
      <c r="B43" s="142" t="s">
        <v>384</v>
      </c>
      <c r="C43" s="91">
        <v>2</v>
      </c>
      <c r="D43" s="91" t="s">
        <v>34</v>
      </c>
      <c r="E43" s="403" t="str">
        <f>'DECK TALLY'!B21</f>
        <v>B7</v>
      </c>
      <c r="F43" s="104">
        <f>'DECK TALLY'!C21</f>
        <v>36.61</v>
      </c>
      <c r="G43" s="93">
        <f t="shared" si="4"/>
        <v>36.272500000000001</v>
      </c>
      <c r="H43" s="92" t="s">
        <v>32</v>
      </c>
      <c r="I43" s="438">
        <f t="shared" si="1"/>
        <v>715.07749999999987</v>
      </c>
      <c r="J43" s="92">
        <f t="shared" si="2"/>
        <v>20665.922500000001</v>
      </c>
      <c r="K43" s="117">
        <f t="shared" si="14"/>
        <v>111.99852296982429</v>
      </c>
      <c r="L43" s="517"/>
      <c r="M43" s="617"/>
      <c r="N43" s="617"/>
      <c r="O43" s="487"/>
      <c r="P43" s="531"/>
      <c r="Q43" s="28"/>
      <c r="R43" s="532">
        <f t="shared" si="8"/>
        <v>20754.922500000001</v>
      </c>
      <c r="S43" s="37"/>
      <c r="T43" s="37"/>
      <c r="U43" s="37"/>
      <c r="V43" s="37"/>
      <c r="W43" s="37"/>
      <c r="X43" s="37"/>
      <c r="Y43" s="37"/>
      <c r="Z43" s="37"/>
      <c r="AA43" s="37"/>
    </row>
    <row r="44" spans="1:27" s="2" customFormat="1" ht="21" customHeight="1">
      <c r="A44" s="444">
        <f t="shared" si="11"/>
        <v>17</v>
      </c>
      <c r="B44" s="142" t="s">
        <v>384</v>
      </c>
      <c r="C44" s="91">
        <v>2</v>
      </c>
      <c r="D44" s="91" t="s">
        <v>34</v>
      </c>
      <c r="E44" s="402" t="str">
        <f>'DECK TALLY'!B22</f>
        <v>B8</v>
      </c>
      <c r="F44" s="103">
        <f>'DECK TALLY'!C22</f>
        <v>36.42</v>
      </c>
      <c r="G44" s="93">
        <f t="shared" si="4"/>
        <v>36.082500000000003</v>
      </c>
      <c r="H44" s="92" t="s">
        <v>32</v>
      </c>
      <c r="I44" s="438">
        <f t="shared" si="1"/>
        <v>751.15999999999985</v>
      </c>
      <c r="J44" s="92">
        <f t="shared" si="2"/>
        <v>20629.84</v>
      </c>
      <c r="K44" s="117">
        <f t="shared" si="14"/>
        <v>112.85626105423988</v>
      </c>
      <c r="L44" s="517"/>
      <c r="M44" s="617"/>
      <c r="N44" s="617"/>
      <c r="O44" s="487"/>
      <c r="P44" s="531"/>
      <c r="Q44" s="28"/>
      <c r="R44" s="532">
        <f t="shared" si="8"/>
        <v>20718.84</v>
      </c>
      <c r="S44" s="37"/>
      <c r="T44" s="37"/>
      <c r="U44" s="37"/>
      <c r="V44" s="37"/>
      <c r="W44" s="37"/>
      <c r="X44" s="37"/>
      <c r="Y44" s="37"/>
      <c r="Z44" s="37"/>
      <c r="AA44" s="37"/>
    </row>
    <row r="45" spans="1:27" s="2" customFormat="1" ht="21" customHeight="1">
      <c r="A45" s="444">
        <f t="shared" si="11"/>
        <v>18</v>
      </c>
      <c r="B45" s="142" t="s">
        <v>384</v>
      </c>
      <c r="C45" s="91">
        <v>2</v>
      </c>
      <c r="D45" s="91" t="s">
        <v>34</v>
      </c>
      <c r="E45" s="403" t="str">
        <f>'DECK TALLY'!B23</f>
        <v>B9</v>
      </c>
      <c r="F45" s="104">
        <f>'DECK TALLY'!C23</f>
        <v>36.67</v>
      </c>
      <c r="G45" s="93">
        <f t="shared" si="4"/>
        <v>36.332500000000003</v>
      </c>
      <c r="H45" s="95" t="s">
        <v>32</v>
      </c>
      <c r="I45" s="438">
        <f t="shared" si="1"/>
        <v>787.49249999999984</v>
      </c>
      <c r="J45" s="92">
        <f t="shared" si="2"/>
        <v>20593.5075</v>
      </c>
      <c r="K45" s="117">
        <f t="shared" si="14"/>
        <v>113.71994203399541</v>
      </c>
      <c r="L45" s="517"/>
      <c r="M45" s="617"/>
      <c r="N45" s="617"/>
      <c r="O45" s="487"/>
      <c r="P45" s="531"/>
      <c r="Q45" s="28"/>
      <c r="R45" s="532">
        <f t="shared" si="8"/>
        <v>20682.5075</v>
      </c>
      <c r="S45" s="37"/>
      <c r="T45" s="37"/>
      <c r="U45" s="37"/>
      <c r="V45" s="37"/>
      <c r="W45" s="37"/>
      <c r="X45" s="37"/>
      <c r="Y45" s="37"/>
      <c r="Z45" s="37"/>
      <c r="AA45" s="37"/>
    </row>
    <row r="46" spans="1:27" s="2" customFormat="1" ht="21" customHeight="1">
      <c r="A46" s="444">
        <f t="shared" si="11"/>
        <v>19</v>
      </c>
      <c r="B46" s="142" t="s">
        <v>384</v>
      </c>
      <c r="C46" s="91">
        <v>2</v>
      </c>
      <c r="D46" s="91" t="s">
        <v>34</v>
      </c>
      <c r="E46" s="402" t="str">
        <f>'DECK TALLY'!B24</f>
        <v>C1</v>
      </c>
      <c r="F46" s="103">
        <f>'DECK TALLY'!C24</f>
        <v>35.130000000000003</v>
      </c>
      <c r="G46" s="93">
        <f t="shared" si="4"/>
        <v>34.792500000000004</v>
      </c>
      <c r="H46" s="95" t="s">
        <v>32</v>
      </c>
      <c r="I46" s="438">
        <f t="shared" si="1"/>
        <v>822.28499999999985</v>
      </c>
      <c r="J46" s="92">
        <f t="shared" si="2"/>
        <v>20558.715</v>
      </c>
      <c r="K46" s="117">
        <f t="shared" si="14"/>
        <v>114.54701477845684</v>
      </c>
      <c r="L46" s="517"/>
      <c r="M46" s="617"/>
      <c r="N46" s="617"/>
      <c r="O46" s="526"/>
      <c r="P46" s="531"/>
      <c r="Q46" s="28"/>
      <c r="R46" s="532">
        <f t="shared" si="8"/>
        <v>20647.715</v>
      </c>
      <c r="S46" s="37"/>
      <c r="T46" s="37"/>
      <c r="U46" s="37"/>
      <c r="V46" s="37"/>
      <c r="W46" s="37"/>
      <c r="X46" s="37"/>
      <c r="Y46" s="37"/>
      <c r="Z46" s="37"/>
      <c r="AA46" s="37"/>
    </row>
    <row r="47" spans="1:27" s="2" customFormat="1" ht="21" customHeight="1">
      <c r="A47" s="444">
        <f t="shared" si="11"/>
        <v>20</v>
      </c>
      <c r="B47" s="142" t="s">
        <v>384</v>
      </c>
      <c r="C47" s="91">
        <v>2</v>
      </c>
      <c r="D47" s="91" t="s">
        <v>34</v>
      </c>
      <c r="E47" s="403" t="str">
        <f>'DECK TALLY'!B25</f>
        <v>C2</v>
      </c>
      <c r="F47" s="104">
        <f>'DECK TALLY'!C25</f>
        <v>35.21</v>
      </c>
      <c r="G47" s="93">
        <f t="shared" si="4"/>
        <v>34.872500000000002</v>
      </c>
      <c r="H47" s="92" t="s">
        <v>32</v>
      </c>
      <c r="I47" s="438">
        <f t="shared" si="1"/>
        <v>857.1574999999998</v>
      </c>
      <c r="J47" s="92">
        <f t="shared" si="2"/>
        <v>20523.842499999999</v>
      </c>
      <c r="K47" s="117">
        <f t="shared" si="14"/>
        <v>115.37598924942704</v>
      </c>
      <c r="L47" s="517"/>
      <c r="M47" s="617"/>
      <c r="N47" s="617"/>
      <c r="O47" s="526"/>
      <c r="P47" s="531"/>
      <c r="Q47" s="28"/>
      <c r="R47" s="532">
        <f t="shared" si="8"/>
        <v>20612.842499999999</v>
      </c>
      <c r="S47" s="37"/>
      <c r="T47" s="37"/>
      <c r="U47" s="37"/>
      <c r="V47" s="37"/>
      <c r="W47" s="37"/>
      <c r="X47" s="37"/>
      <c r="Y47" s="37"/>
      <c r="Z47" s="37"/>
      <c r="AA47" s="37"/>
    </row>
    <row r="48" spans="1:27" s="2" customFormat="1" ht="21" customHeight="1">
      <c r="A48" s="444">
        <f t="shared" si="11"/>
        <v>21</v>
      </c>
      <c r="B48" s="142" t="s">
        <v>384</v>
      </c>
      <c r="C48" s="91">
        <v>2</v>
      </c>
      <c r="D48" s="91" t="s">
        <v>34</v>
      </c>
      <c r="E48" s="402" t="str">
        <f>'DECK TALLY'!B26</f>
        <v>C3</v>
      </c>
      <c r="F48" s="104">
        <f>'DECK TALLY'!C26</f>
        <v>35.159999999999997</v>
      </c>
      <c r="G48" s="93">
        <f t="shared" si="4"/>
        <v>34.822499999999998</v>
      </c>
      <c r="H48" s="92" t="s">
        <v>32</v>
      </c>
      <c r="I48" s="438">
        <f t="shared" si="1"/>
        <v>891.97999999999979</v>
      </c>
      <c r="J48" s="92">
        <f t="shared" si="2"/>
        <v>20489.02</v>
      </c>
      <c r="K48" s="117">
        <f t="shared" si="14"/>
        <v>116.20377514132926</v>
      </c>
      <c r="L48" s="517"/>
      <c r="M48" s="617"/>
      <c r="N48" s="617"/>
      <c r="O48" s="526"/>
      <c r="P48" s="531"/>
      <c r="Q48" s="28"/>
      <c r="R48" s="532">
        <f t="shared" si="8"/>
        <v>20578.02</v>
      </c>
      <c r="S48" s="37"/>
      <c r="T48" s="37"/>
      <c r="U48" s="37"/>
      <c r="V48" s="37"/>
      <c r="W48" s="37"/>
      <c r="X48" s="37"/>
      <c r="Y48" s="37"/>
      <c r="Z48" s="37"/>
      <c r="AA48" s="37"/>
    </row>
    <row r="49" spans="1:40" s="2" customFormat="1" ht="21" customHeight="1">
      <c r="A49" s="444">
        <f t="shared" si="11"/>
        <v>22</v>
      </c>
      <c r="B49" s="142" t="s">
        <v>384</v>
      </c>
      <c r="C49" s="91">
        <v>2</v>
      </c>
      <c r="D49" s="91" t="s">
        <v>34</v>
      </c>
      <c r="E49" s="403" t="str">
        <f>'DECK TALLY'!B27</f>
        <v>C4</v>
      </c>
      <c r="F49" s="103">
        <f>'DECK TALLY'!C27</f>
        <v>35.17</v>
      </c>
      <c r="G49" s="93">
        <f t="shared" si="4"/>
        <v>34.832500000000003</v>
      </c>
      <c r="H49" s="95" t="s">
        <v>32</v>
      </c>
      <c r="I49" s="438">
        <f>IF(H49="IN",I48+G49,I48)</f>
        <v>926.81249999999977</v>
      </c>
      <c r="J49" s="92">
        <f t="shared" si="2"/>
        <v>20454.1875</v>
      </c>
      <c r="K49" s="117">
        <f t="shared" si="14"/>
        <v>117.03179874904507</v>
      </c>
      <c r="L49" s="517"/>
      <c r="M49" s="617"/>
      <c r="N49" s="617"/>
      <c r="O49" s="526"/>
      <c r="P49" s="531"/>
      <c r="Q49" s="28"/>
      <c r="R49" s="532">
        <f t="shared" si="8"/>
        <v>20543.1875</v>
      </c>
      <c r="S49" s="37"/>
      <c r="T49" s="37"/>
      <c r="U49" s="37"/>
      <c r="V49" s="37"/>
      <c r="W49" s="37"/>
      <c r="X49" s="37"/>
      <c r="Y49" s="37"/>
      <c r="Z49" s="37"/>
      <c r="AA49" s="37"/>
    </row>
    <row r="50" spans="1:40" s="2" customFormat="1" ht="21" customHeight="1">
      <c r="A50" s="444">
        <f t="shared" si="11"/>
        <v>23</v>
      </c>
      <c r="B50" s="142" t="s">
        <v>384</v>
      </c>
      <c r="C50" s="91">
        <v>2</v>
      </c>
      <c r="D50" s="91" t="s">
        <v>34</v>
      </c>
      <c r="E50" s="402" t="str">
        <f>'DECK TALLY'!B28</f>
        <v>C5</v>
      </c>
      <c r="F50" s="104">
        <f>'DECK TALLY'!C28</f>
        <v>35.61</v>
      </c>
      <c r="G50" s="93">
        <f t="shared" si="4"/>
        <v>35.272500000000001</v>
      </c>
      <c r="H50" s="95" t="s">
        <v>32</v>
      </c>
      <c r="I50" s="438">
        <f>IF(H50="IN",I49+G50,I49)</f>
        <v>962.08499999999981</v>
      </c>
      <c r="J50" s="92">
        <f t="shared" si="2"/>
        <v>20418.915000000001</v>
      </c>
      <c r="K50" s="117">
        <f t="shared" si="14"/>
        <v>117.8702818525592</v>
      </c>
      <c r="L50" s="517"/>
      <c r="M50" s="617"/>
      <c r="N50" s="617"/>
      <c r="O50" s="487"/>
      <c r="P50" s="531"/>
      <c r="Q50" s="28"/>
      <c r="R50" s="532">
        <f t="shared" si="8"/>
        <v>20507.915000000001</v>
      </c>
      <c r="S50" s="37"/>
      <c r="T50" s="37"/>
      <c r="U50" s="37"/>
      <c r="V50" s="37"/>
      <c r="W50" s="37"/>
      <c r="X50" s="37"/>
      <c r="Y50" s="37"/>
      <c r="Z50" s="37"/>
      <c r="AA50" s="37"/>
    </row>
    <row r="51" spans="1:40" s="2" customFormat="1" ht="21" customHeight="1">
      <c r="A51" s="444">
        <f t="shared" si="11"/>
        <v>24</v>
      </c>
      <c r="B51" s="142" t="s">
        <v>384</v>
      </c>
      <c r="C51" s="91">
        <v>2</v>
      </c>
      <c r="D51" s="91" t="s">
        <v>34</v>
      </c>
      <c r="E51" s="403" t="str">
        <f>'DECK TALLY'!B29</f>
        <v>C6</v>
      </c>
      <c r="F51" s="103">
        <f>'DECK TALLY'!C29</f>
        <v>35.46</v>
      </c>
      <c r="G51" s="93">
        <f t="shared" si="4"/>
        <v>35.122500000000002</v>
      </c>
      <c r="H51" s="92" t="s">
        <v>32</v>
      </c>
      <c r="I51" s="438">
        <f>IF(H51="IN",I50+G51,I50)</f>
        <v>997.20749999999975</v>
      </c>
      <c r="J51" s="92">
        <f t="shared" si="2"/>
        <v>20383.7925</v>
      </c>
      <c r="K51" s="117">
        <f t="shared" si="14"/>
        <v>118.70519921886935</v>
      </c>
      <c r="L51" s="517"/>
      <c r="M51" s="617"/>
      <c r="N51" s="617"/>
      <c r="O51" s="487"/>
      <c r="P51" s="531"/>
      <c r="Q51" s="28"/>
      <c r="R51" s="532">
        <f t="shared" si="8"/>
        <v>20472.7925</v>
      </c>
      <c r="S51" s="37"/>
      <c r="T51" s="37"/>
      <c r="U51" s="37"/>
      <c r="V51" s="37"/>
      <c r="W51" s="37"/>
      <c r="X51" s="37"/>
      <c r="Y51" s="37"/>
      <c r="Z51" s="37"/>
      <c r="AA51" s="37"/>
      <c r="AB51" s="24"/>
    </row>
    <row r="52" spans="1:40" s="2" customFormat="1" ht="21" customHeight="1">
      <c r="A52" s="444">
        <f t="shared" si="11"/>
        <v>25</v>
      </c>
      <c r="B52" s="142" t="s">
        <v>384</v>
      </c>
      <c r="C52" s="91">
        <v>2</v>
      </c>
      <c r="D52" s="91" t="s">
        <v>34</v>
      </c>
      <c r="E52" s="402" t="str">
        <f>'DECK TALLY'!B30</f>
        <v>C7</v>
      </c>
      <c r="F52" s="104">
        <f>'DECK TALLY'!C30</f>
        <v>34.479999999999997</v>
      </c>
      <c r="G52" s="93">
        <f t="shared" si="4"/>
        <v>34.142499999999998</v>
      </c>
      <c r="H52" s="92" t="s">
        <v>32</v>
      </c>
      <c r="I52" s="438">
        <f t="shared" si="1"/>
        <v>1031.3499999999997</v>
      </c>
      <c r="J52" s="92">
        <f t="shared" si="2"/>
        <v>20349.650000000001</v>
      </c>
      <c r="K52" s="117">
        <f t="shared" si="14"/>
        <v>119.5168204354469</v>
      </c>
      <c r="L52" s="517"/>
      <c r="M52" s="617"/>
      <c r="N52" s="617"/>
      <c r="O52" s="487"/>
      <c r="P52" s="531"/>
      <c r="Q52" s="538"/>
      <c r="R52" s="532">
        <f t="shared" ref="R52:R80" si="16">J52+91</f>
        <v>20440.650000000001</v>
      </c>
      <c r="S52" s="37"/>
      <c r="T52" s="37"/>
      <c r="U52" s="37"/>
      <c r="V52" s="37"/>
      <c r="W52" s="37"/>
      <c r="X52" s="37"/>
      <c r="Y52" s="37"/>
      <c r="Z52" s="37"/>
      <c r="AA52" s="37"/>
      <c r="AB52" s="24"/>
    </row>
    <row r="53" spans="1:40" s="2" customFormat="1" ht="21" customHeight="1">
      <c r="A53" s="444">
        <f t="shared" si="11"/>
        <v>26</v>
      </c>
      <c r="B53" s="142" t="s">
        <v>384</v>
      </c>
      <c r="C53" s="91">
        <v>2</v>
      </c>
      <c r="D53" s="91" t="s">
        <v>34</v>
      </c>
      <c r="E53" s="403" t="str">
        <f>'DECK TALLY'!B31</f>
        <v>C8</v>
      </c>
      <c r="F53" s="104">
        <f>'DECK TALLY'!C31</f>
        <v>34.44</v>
      </c>
      <c r="G53" s="93">
        <f t="shared" si="4"/>
        <v>34.102499999999999</v>
      </c>
      <c r="H53" s="95" t="s">
        <v>32</v>
      </c>
      <c r="I53" s="438">
        <f t="shared" si="1"/>
        <v>1065.4524999999996</v>
      </c>
      <c r="J53" s="92">
        <f t="shared" si="2"/>
        <v>20315.547500000001</v>
      </c>
      <c r="K53" s="117">
        <f t="shared" si="14"/>
        <v>120.32749078877005</v>
      </c>
      <c r="L53" s="517"/>
      <c r="M53" s="617"/>
      <c r="N53" s="617"/>
      <c r="O53" s="487"/>
      <c r="P53" s="531"/>
      <c r="Q53" s="538"/>
      <c r="R53" s="532">
        <f t="shared" si="16"/>
        <v>20406.547500000001</v>
      </c>
      <c r="S53" s="37"/>
      <c r="T53" s="37"/>
      <c r="U53" s="37"/>
      <c r="V53" s="37"/>
      <c r="W53" s="37"/>
      <c r="X53" s="37"/>
      <c r="Y53" s="37"/>
      <c r="Z53" s="37"/>
      <c r="AA53" s="37"/>
    </row>
    <row r="54" spans="1:40" s="3" customFormat="1" ht="21" customHeight="1">
      <c r="A54" s="444">
        <f t="shared" si="11"/>
        <v>27</v>
      </c>
      <c r="B54" s="142" t="s">
        <v>384</v>
      </c>
      <c r="C54" s="91">
        <v>2</v>
      </c>
      <c r="D54" s="91" t="s">
        <v>34</v>
      </c>
      <c r="E54" s="402" t="str">
        <f>'DECK TALLY'!B32</f>
        <v>C9</v>
      </c>
      <c r="F54" s="103">
        <f>'DECK TALLY'!C32</f>
        <v>35.630000000000003</v>
      </c>
      <c r="G54" s="93">
        <f t="shared" si="4"/>
        <v>35.292500000000004</v>
      </c>
      <c r="H54" s="95" t="s">
        <v>32</v>
      </c>
      <c r="I54" s="438">
        <f t="shared" si="1"/>
        <v>1100.7449999999997</v>
      </c>
      <c r="J54" s="92">
        <f t="shared" si="2"/>
        <v>20280.255000000001</v>
      </c>
      <c r="K54" s="117">
        <f t="shared" si="14"/>
        <v>121.16644932391137</v>
      </c>
      <c r="L54" s="517"/>
      <c r="M54" s="617"/>
      <c r="N54" s="617"/>
      <c r="O54" s="487"/>
      <c r="P54" s="531"/>
      <c r="Q54" s="539"/>
      <c r="R54" s="532">
        <f t="shared" si="16"/>
        <v>20371.255000000001</v>
      </c>
      <c r="S54" s="37"/>
      <c r="T54" s="37"/>
      <c r="U54" s="37"/>
      <c r="V54" s="37"/>
      <c r="W54" s="37"/>
      <c r="X54" s="37"/>
      <c r="Y54" s="37"/>
      <c r="Z54" s="37"/>
      <c r="AA54" s="37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s="2" customFormat="1" ht="21" customHeight="1">
      <c r="A55" s="444">
        <f t="shared" si="11"/>
        <v>28</v>
      </c>
      <c r="B55" s="142" t="s">
        <v>384</v>
      </c>
      <c r="C55" s="91">
        <v>2</v>
      </c>
      <c r="D55" s="91" t="s">
        <v>34</v>
      </c>
      <c r="E55" s="403" t="str">
        <f>'DECK TALLY'!B33</f>
        <v>D1</v>
      </c>
      <c r="F55" s="104">
        <f>'DECK TALLY'!C33</f>
        <v>36.479999999999997</v>
      </c>
      <c r="G55" s="93">
        <f t="shared" si="4"/>
        <v>36.142499999999998</v>
      </c>
      <c r="H55" s="92" t="s">
        <v>32</v>
      </c>
      <c r="I55" s="438">
        <f t="shared" si="1"/>
        <v>1136.8874999999996</v>
      </c>
      <c r="J55" s="92">
        <f t="shared" si="2"/>
        <v>20244.112499999999</v>
      </c>
      <c r="K55" s="117">
        <f t="shared" si="14"/>
        <v>122.02561370320855</v>
      </c>
      <c r="L55" s="517"/>
      <c r="M55" s="617"/>
      <c r="N55" s="617"/>
      <c r="O55" s="487"/>
      <c r="P55" s="531"/>
      <c r="Q55" s="538"/>
      <c r="R55" s="532">
        <f t="shared" si="16"/>
        <v>20335.112499999999</v>
      </c>
      <c r="S55" s="37"/>
      <c r="T55" s="37"/>
      <c r="U55" s="37"/>
      <c r="V55" s="37"/>
      <c r="W55" s="37"/>
      <c r="X55" s="37"/>
      <c r="Y55" s="37"/>
      <c r="Z55" s="37"/>
      <c r="AA55" s="37"/>
      <c r="AB55" s="24"/>
    </row>
    <row r="56" spans="1:40" s="2" customFormat="1" ht="21" customHeight="1">
      <c r="A56" s="444">
        <f t="shared" si="11"/>
        <v>29</v>
      </c>
      <c r="B56" s="142" t="s">
        <v>384</v>
      </c>
      <c r="C56" s="91">
        <v>2</v>
      </c>
      <c r="D56" s="91" t="s">
        <v>34</v>
      </c>
      <c r="E56" s="402" t="str">
        <f>'DECK TALLY'!B34</f>
        <v>D2</v>
      </c>
      <c r="F56" s="103">
        <f>'DECK TALLY'!C34</f>
        <v>35.74</v>
      </c>
      <c r="G56" s="93">
        <f t="shared" si="4"/>
        <v>35.402500000000003</v>
      </c>
      <c r="H56" s="92" t="s">
        <v>32</v>
      </c>
      <c r="I56" s="438">
        <f t="shared" si="1"/>
        <v>1172.2899999999995</v>
      </c>
      <c r="J56" s="92">
        <f t="shared" si="2"/>
        <v>20208.71</v>
      </c>
      <c r="K56" s="117">
        <f t="shared" si="14"/>
        <v>122.86718711229946</v>
      </c>
      <c r="L56" s="517"/>
      <c r="M56" s="617"/>
      <c r="N56" s="617"/>
      <c r="O56" s="487"/>
      <c r="P56" s="531"/>
      <c r="Q56" s="538"/>
      <c r="R56" s="532">
        <f t="shared" si="16"/>
        <v>20299.71</v>
      </c>
      <c r="S56" s="37"/>
      <c r="T56" s="37"/>
      <c r="U56" s="37"/>
      <c r="V56" s="37"/>
      <c r="W56" s="37"/>
      <c r="X56" s="37"/>
      <c r="Y56" s="37"/>
      <c r="Z56" s="37"/>
      <c r="AA56" s="37"/>
      <c r="AB56" s="24"/>
    </row>
    <row r="57" spans="1:40" s="2" customFormat="1" ht="21" customHeight="1">
      <c r="A57" s="444">
        <f t="shared" si="11"/>
        <v>30</v>
      </c>
      <c r="B57" s="142" t="s">
        <v>384</v>
      </c>
      <c r="C57" s="91">
        <v>2</v>
      </c>
      <c r="D57" s="91" t="s">
        <v>34</v>
      </c>
      <c r="E57" s="403" t="str">
        <f>'DECK TALLY'!B35</f>
        <v>D3</v>
      </c>
      <c r="F57" s="104">
        <f>'DECK TALLY'!C35</f>
        <v>35.92</v>
      </c>
      <c r="G57" s="93">
        <f t="shared" si="4"/>
        <v>35.582500000000003</v>
      </c>
      <c r="H57" s="95" t="s">
        <v>32</v>
      </c>
      <c r="I57" s="438">
        <f t="shared" si="1"/>
        <v>1207.8724999999995</v>
      </c>
      <c r="J57" s="92">
        <f t="shared" si="2"/>
        <v>20173.127500000002</v>
      </c>
      <c r="K57" s="117">
        <f t="shared" si="14"/>
        <v>123.71303940603514</v>
      </c>
      <c r="L57" s="517"/>
      <c r="M57" s="617"/>
      <c r="N57" s="617"/>
      <c r="O57" s="487"/>
      <c r="P57" s="531"/>
      <c r="Q57" s="538"/>
      <c r="R57" s="532">
        <f t="shared" si="16"/>
        <v>20264.127500000002</v>
      </c>
      <c r="S57" s="37"/>
      <c r="T57" s="37"/>
      <c r="U57" s="37"/>
      <c r="V57" s="37"/>
      <c r="W57" s="37"/>
      <c r="X57" s="37"/>
      <c r="Y57" s="37"/>
      <c r="Z57" s="37"/>
      <c r="AA57" s="37"/>
    </row>
    <row r="58" spans="1:40" s="2" customFormat="1" ht="21" customHeight="1">
      <c r="A58" s="444">
        <f t="shared" si="11"/>
        <v>31</v>
      </c>
      <c r="B58" s="142" t="s">
        <v>384</v>
      </c>
      <c r="C58" s="91">
        <v>2</v>
      </c>
      <c r="D58" s="91" t="s">
        <v>34</v>
      </c>
      <c r="E58" s="402" t="str">
        <f>'DECK TALLY'!B36</f>
        <v>D4</v>
      </c>
      <c r="F58" s="104">
        <f>'DECK TALLY'!C36</f>
        <v>35.65</v>
      </c>
      <c r="G58" s="93">
        <f t="shared" si="4"/>
        <v>35.3125</v>
      </c>
      <c r="H58" s="95" t="s">
        <v>32</v>
      </c>
      <c r="I58" s="438">
        <f t="shared" si="1"/>
        <v>1243.1849999999995</v>
      </c>
      <c r="J58" s="92">
        <f t="shared" si="2"/>
        <v>20137.815000000002</v>
      </c>
      <c r="K58" s="117">
        <f t="shared" si="14"/>
        <v>124.55247337280366</v>
      </c>
      <c r="L58" s="517"/>
      <c r="M58" s="617"/>
      <c r="N58" s="617"/>
      <c r="O58" s="487"/>
      <c r="P58" s="531"/>
      <c r="Q58" s="538"/>
      <c r="R58" s="532">
        <f t="shared" si="16"/>
        <v>20228.815000000002</v>
      </c>
      <c r="S58" s="37"/>
      <c r="T58" s="37"/>
      <c r="U58" s="37"/>
      <c r="V58" s="37"/>
      <c r="W58" s="37"/>
      <c r="X58" s="37"/>
      <c r="Y58" s="37"/>
      <c r="Z58" s="37"/>
      <c r="AA58" s="37"/>
    </row>
    <row r="59" spans="1:40" s="2" customFormat="1" ht="21" customHeight="1">
      <c r="A59" s="444">
        <f t="shared" si="11"/>
        <v>32</v>
      </c>
      <c r="B59" s="142" t="s">
        <v>384</v>
      </c>
      <c r="C59" s="91">
        <v>2</v>
      </c>
      <c r="D59" s="91" t="s">
        <v>34</v>
      </c>
      <c r="E59" s="403" t="str">
        <f>'DECK TALLY'!B37</f>
        <v>D5</v>
      </c>
      <c r="F59" s="103">
        <f>'DECK TALLY'!C37</f>
        <v>36.15</v>
      </c>
      <c r="G59" s="93">
        <f t="shared" si="4"/>
        <v>35.8125</v>
      </c>
      <c r="H59" s="92" t="s">
        <v>32</v>
      </c>
      <c r="I59" s="438">
        <f t="shared" si="1"/>
        <v>1278.9974999999995</v>
      </c>
      <c r="J59" s="92">
        <f t="shared" si="2"/>
        <v>20102.002500000002</v>
      </c>
      <c r="K59" s="117">
        <f t="shared" si="14"/>
        <v>125.40379313025208</v>
      </c>
      <c r="L59" s="517"/>
      <c r="M59" s="617"/>
      <c r="N59" s="617"/>
      <c r="O59" s="487"/>
      <c r="P59" s="531"/>
      <c r="Q59" s="538"/>
      <c r="R59" s="532">
        <f t="shared" si="16"/>
        <v>20193.002500000002</v>
      </c>
      <c r="S59" s="37"/>
      <c r="T59" s="37"/>
      <c r="U59" s="37"/>
      <c r="V59" s="37"/>
      <c r="W59" s="37"/>
      <c r="X59" s="37"/>
      <c r="Y59" s="37"/>
      <c r="Z59" s="37"/>
      <c r="AA59" s="37"/>
      <c r="AB59" s="24"/>
    </row>
    <row r="60" spans="1:40" s="2" customFormat="1" ht="21" customHeight="1">
      <c r="A60" s="444">
        <f t="shared" si="11"/>
        <v>33</v>
      </c>
      <c r="B60" s="142" t="s">
        <v>384</v>
      </c>
      <c r="C60" s="91">
        <v>2</v>
      </c>
      <c r="D60" s="91" t="s">
        <v>34</v>
      </c>
      <c r="E60" s="402" t="str">
        <f>'DECK TALLY'!B38</f>
        <v>D6</v>
      </c>
      <c r="F60" s="104">
        <f>'DECK TALLY'!C38</f>
        <v>35.880000000000003</v>
      </c>
      <c r="G60" s="93">
        <f t="shared" si="4"/>
        <v>35.542500000000004</v>
      </c>
      <c r="H60" s="92" t="s">
        <v>32</v>
      </c>
      <c r="I60" s="438">
        <f t="shared" si="1"/>
        <v>1314.5399999999995</v>
      </c>
      <c r="J60" s="92">
        <f t="shared" si="2"/>
        <v>20066.46</v>
      </c>
      <c r="K60" s="117">
        <f t="shared" si="14"/>
        <v>126.24869456073338</v>
      </c>
      <c r="L60" s="517"/>
      <c r="M60" s="617"/>
      <c r="N60" s="617"/>
      <c r="O60" s="487"/>
      <c r="P60" s="531"/>
      <c r="Q60" s="538"/>
      <c r="R60" s="532">
        <f t="shared" si="16"/>
        <v>20157.46</v>
      </c>
      <c r="S60" s="37"/>
      <c r="T60" s="37"/>
      <c r="U60" s="37"/>
      <c r="V60" s="37"/>
      <c r="W60" s="37"/>
      <c r="X60" s="37"/>
      <c r="Y60" s="37"/>
      <c r="Z60" s="37"/>
      <c r="AA60" s="37"/>
    </row>
    <row r="61" spans="1:40" s="2" customFormat="1" ht="21" customHeight="1">
      <c r="A61" s="444">
        <f t="shared" si="11"/>
        <v>34</v>
      </c>
      <c r="B61" s="142" t="s">
        <v>384</v>
      </c>
      <c r="C61" s="91">
        <v>2</v>
      </c>
      <c r="D61" s="91" t="s">
        <v>34</v>
      </c>
      <c r="E61" s="403" t="str">
        <f>'DECK TALLY'!B39</f>
        <v>D7</v>
      </c>
      <c r="F61" s="103">
        <f>'DECK TALLY'!C39</f>
        <v>36.49</v>
      </c>
      <c r="G61" s="93">
        <f t="shared" si="4"/>
        <v>36.152500000000003</v>
      </c>
      <c r="H61" s="95" t="s">
        <v>32</v>
      </c>
      <c r="I61" s="438">
        <f t="shared" si="1"/>
        <v>1350.6924999999994</v>
      </c>
      <c r="J61" s="92">
        <f t="shared" si="2"/>
        <v>20030.307499999999</v>
      </c>
      <c r="K61" s="117">
        <f t="shared" si="14"/>
        <v>127.10809665584415</v>
      </c>
      <c r="L61" s="517"/>
      <c r="M61" s="617"/>
      <c r="N61" s="617"/>
      <c r="O61" s="527">
        <f t="shared" ref="O61:O124" si="17">L61-18.92</f>
        <v>-18.920000000000002</v>
      </c>
      <c r="P61" s="531"/>
      <c r="Q61" s="538"/>
      <c r="R61" s="532">
        <f t="shared" si="16"/>
        <v>20121.307499999999</v>
      </c>
      <c r="S61" s="37"/>
      <c r="T61" s="37"/>
      <c r="U61" s="37"/>
      <c r="V61" s="37"/>
      <c r="W61" s="37"/>
      <c r="X61" s="37"/>
      <c r="Y61" s="37"/>
      <c r="Z61" s="37"/>
      <c r="AA61" s="37"/>
    </row>
    <row r="62" spans="1:40" s="2" customFormat="1" ht="21" customHeight="1">
      <c r="A62" s="444">
        <f t="shared" si="11"/>
        <v>35</v>
      </c>
      <c r="B62" s="142" t="s">
        <v>384</v>
      </c>
      <c r="C62" s="91">
        <v>2</v>
      </c>
      <c r="D62" s="91" t="s">
        <v>34</v>
      </c>
      <c r="E62" s="402" t="str">
        <f>'DECK TALLY'!B40</f>
        <v>D8</v>
      </c>
      <c r="F62" s="104">
        <f>'DECK TALLY'!C40</f>
        <v>36.39</v>
      </c>
      <c r="G62" s="93">
        <f t="shared" si="4"/>
        <v>36.052500000000002</v>
      </c>
      <c r="H62" s="95" t="s">
        <v>32</v>
      </c>
      <c r="I62" s="438">
        <f t="shared" si="1"/>
        <v>1386.7449999999994</v>
      </c>
      <c r="J62" s="92">
        <f t="shared" si="2"/>
        <v>19994.255000000001</v>
      </c>
      <c r="K62" s="117">
        <f t="shared" si="14"/>
        <v>127.96512159281893</v>
      </c>
      <c r="L62" s="517"/>
      <c r="M62" s="617"/>
      <c r="N62" s="617"/>
      <c r="O62" s="527">
        <f t="shared" si="17"/>
        <v>-18.920000000000002</v>
      </c>
      <c r="P62" s="531"/>
      <c r="Q62" s="538"/>
      <c r="R62" s="532">
        <f t="shared" si="16"/>
        <v>20085.255000000001</v>
      </c>
      <c r="S62" s="37"/>
      <c r="T62" s="37"/>
      <c r="U62" s="37"/>
      <c r="V62" s="37"/>
      <c r="W62" s="37"/>
      <c r="X62" s="37"/>
      <c r="Y62" s="37"/>
      <c r="Z62" s="37"/>
      <c r="AA62" s="37"/>
    </row>
    <row r="63" spans="1:40" s="2" customFormat="1" ht="21" customHeight="1">
      <c r="A63" s="444">
        <f t="shared" si="11"/>
        <v>36</v>
      </c>
      <c r="B63" s="142" t="s">
        <v>384</v>
      </c>
      <c r="C63" s="91">
        <v>2</v>
      </c>
      <c r="D63" s="91" t="s">
        <v>34</v>
      </c>
      <c r="E63" s="403" t="str">
        <f>'DECK TALLY'!B41</f>
        <v>D9</v>
      </c>
      <c r="F63" s="104">
        <f>'DECK TALLY'!C41</f>
        <v>36.03</v>
      </c>
      <c r="G63" s="93">
        <f t="shared" si="4"/>
        <v>35.692500000000003</v>
      </c>
      <c r="H63" s="92" t="s">
        <v>32</v>
      </c>
      <c r="I63" s="438">
        <f t="shared" si="1"/>
        <v>1422.4374999999995</v>
      </c>
      <c r="J63" s="92">
        <f t="shared" si="2"/>
        <v>19958.5625</v>
      </c>
      <c r="K63" s="117">
        <f t="shared" si="14"/>
        <v>128.81358876050419</v>
      </c>
      <c r="L63" s="517"/>
      <c r="M63" s="617"/>
      <c r="N63" s="617"/>
      <c r="O63" s="527">
        <f t="shared" si="17"/>
        <v>-18.920000000000002</v>
      </c>
      <c r="P63" s="531"/>
      <c r="Q63" s="538"/>
      <c r="R63" s="532">
        <f t="shared" si="16"/>
        <v>20049.5625</v>
      </c>
      <c r="S63" s="37"/>
      <c r="T63" s="37"/>
      <c r="U63" s="37"/>
      <c r="V63" s="37"/>
      <c r="W63" s="37"/>
      <c r="X63" s="37"/>
      <c r="Y63" s="37"/>
      <c r="Z63" s="37"/>
      <c r="AA63" s="37"/>
    </row>
    <row r="64" spans="1:40" s="2" customFormat="1" ht="21" customHeight="1">
      <c r="A64" s="444">
        <f t="shared" si="11"/>
        <v>37</v>
      </c>
      <c r="B64" s="142" t="s">
        <v>384</v>
      </c>
      <c r="C64" s="91">
        <v>2</v>
      </c>
      <c r="D64" s="91" t="s">
        <v>34</v>
      </c>
      <c r="E64" s="402" t="str">
        <f>'DECK TALLY'!B42</f>
        <v>E1</v>
      </c>
      <c r="F64" s="103">
        <f>'DECK TALLY'!C42</f>
        <v>37.369999999999997</v>
      </c>
      <c r="G64" s="93">
        <f t="shared" si="4"/>
        <v>37.032499999999999</v>
      </c>
      <c r="H64" s="92" t="s">
        <v>32</v>
      </c>
      <c r="I64" s="438">
        <f t="shared" si="1"/>
        <v>1459.4699999999996</v>
      </c>
      <c r="J64" s="92">
        <f t="shared" si="2"/>
        <v>19921.53</v>
      </c>
      <c r="K64" s="117">
        <f t="shared" si="14"/>
        <v>129.69390984721161</v>
      </c>
      <c r="L64" s="517"/>
      <c r="M64" s="617"/>
      <c r="N64" s="617"/>
      <c r="O64" s="527">
        <f t="shared" si="17"/>
        <v>-18.920000000000002</v>
      </c>
      <c r="P64" s="531"/>
      <c r="Q64" s="538"/>
      <c r="R64" s="532">
        <f t="shared" si="16"/>
        <v>20012.53</v>
      </c>
      <c r="S64" s="37"/>
      <c r="T64" s="37"/>
      <c r="U64" s="37"/>
      <c r="V64" s="37"/>
      <c r="W64" s="37"/>
      <c r="X64" s="37"/>
      <c r="Y64" s="37"/>
      <c r="Z64" s="37"/>
      <c r="AA64" s="37"/>
    </row>
    <row r="65" spans="1:27" s="2" customFormat="1" ht="21" customHeight="1">
      <c r="A65" s="444">
        <f t="shared" si="11"/>
        <v>38</v>
      </c>
      <c r="B65" s="142" t="s">
        <v>384</v>
      </c>
      <c r="C65" s="91">
        <v>2</v>
      </c>
      <c r="D65" s="91" t="s">
        <v>34</v>
      </c>
      <c r="E65" s="403" t="str">
        <f>'DECK TALLY'!B43</f>
        <v>E2</v>
      </c>
      <c r="F65" s="104">
        <f>'DECK TALLY'!C43</f>
        <v>34.42</v>
      </c>
      <c r="G65" s="93">
        <f t="shared" si="4"/>
        <v>34.082500000000003</v>
      </c>
      <c r="H65" s="95" t="s">
        <v>32</v>
      </c>
      <c r="I65" s="438">
        <f t="shared" ref="I65:I72" si="18">IF(H65="IN",I64+G65,I64)</f>
        <v>1493.5524999999996</v>
      </c>
      <c r="J65" s="92">
        <f t="shared" si="2"/>
        <v>19887.447500000002</v>
      </c>
      <c r="K65" s="117">
        <f t="shared" si="14"/>
        <v>130.50410476890755</v>
      </c>
      <c r="L65" s="517"/>
      <c r="M65" s="617"/>
      <c r="N65" s="617"/>
      <c r="O65" s="527">
        <f t="shared" si="17"/>
        <v>-18.920000000000002</v>
      </c>
      <c r="P65" s="531"/>
      <c r="Q65" s="538"/>
      <c r="R65" s="532">
        <f t="shared" si="16"/>
        <v>19978.447500000002</v>
      </c>
      <c r="S65" s="37"/>
      <c r="T65" s="37"/>
      <c r="U65" s="37"/>
      <c r="V65" s="37"/>
      <c r="W65" s="37"/>
      <c r="X65" s="37"/>
      <c r="Y65" s="37"/>
      <c r="Z65" s="37"/>
      <c r="AA65" s="37"/>
    </row>
    <row r="66" spans="1:27" s="2" customFormat="1" ht="21" customHeight="1">
      <c r="A66" s="444">
        <f t="shared" si="11"/>
        <v>39</v>
      </c>
      <c r="B66" s="142" t="s">
        <v>384</v>
      </c>
      <c r="C66" s="91">
        <v>2</v>
      </c>
      <c r="D66" s="91" t="s">
        <v>34</v>
      </c>
      <c r="E66" s="402" t="str">
        <f>'DECK TALLY'!B44</f>
        <v>E3</v>
      </c>
      <c r="F66" s="103">
        <f>'DECK TALLY'!C44</f>
        <v>35.200000000000003</v>
      </c>
      <c r="G66" s="93">
        <f t="shared" si="4"/>
        <v>34.862500000000004</v>
      </c>
      <c r="H66" s="95" t="s">
        <v>32</v>
      </c>
      <c r="I66" s="438">
        <f t="shared" si="18"/>
        <v>1528.4149999999995</v>
      </c>
      <c r="J66" s="92">
        <f t="shared" si="2"/>
        <v>19852.584999999999</v>
      </c>
      <c r="K66" s="117">
        <f t="shared" si="14"/>
        <v>131.33284152406418</v>
      </c>
      <c r="L66" s="517"/>
      <c r="M66" s="617"/>
      <c r="N66" s="617"/>
      <c r="O66" s="527">
        <f t="shared" si="17"/>
        <v>-18.920000000000002</v>
      </c>
      <c r="P66" s="531"/>
      <c r="Q66" s="538"/>
      <c r="R66" s="532">
        <f t="shared" si="16"/>
        <v>19943.584999999999</v>
      </c>
      <c r="S66" s="37"/>
      <c r="T66" s="37"/>
      <c r="U66" s="37"/>
      <c r="V66" s="37"/>
      <c r="W66" s="37"/>
      <c r="X66" s="37"/>
      <c r="Y66" s="37"/>
      <c r="Z66" s="37"/>
      <c r="AA66" s="37"/>
    </row>
    <row r="67" spans="1:27" s="2" customFormat="1" ht="21" customHeight="1">
      <c r="A67" s="444">
        <f t="shared" si="11"/>
        <v>40</v>
      </c>
      <c r="B67" s="142" t="s">
        <v>384</v>
      </c>
      <c r="C67" s="91">
        <v>2</v>
      </c>
      <c r="D67" s="91" t="s">
        <v>34</v>
      </c>
      <c r="E67" s="403" t="str">
        <f>'DECK TALLY'!B45</f>
        <v>E4</v>
      </c>
      <c r="F67" s="104">
        <f>'DECK TALLY'!C45</f>
        <v>36.93</v>
      </c>
      <c r="G67" s="93">
        <f t="shared" si="4"/>
        <v>36.592500000000001</v>
      </c>
      <c r="H67" s="92" t="s">
        <v>32</v>
      </c>
      <c r="I67" s="438">
        <f t="shared" si="18"/>
        <v>1565.0074999999995</v>
      </c>
      <c r="J67" s="92">
        <f t="shared" si="2"/>
        <v>19815.9925</v>
      </c>
      <c r="K67" s="117">
        <f t="shared" si="14"/>
        <v>132.20270311497325</v>
      </c>
      <c r="L67" s="517"/>
      <c r="M67" s="617"/>
      <c r="N67" s="617"/>
      <c r="O67" s="527">
        <f t="shared" si="17"/>
        <v>-18.920000000000002</v>
      </c>
      <c r="P67" s="531"/>
      <c r="Q67" s="538"/>
      <c r="R67" s="532">
        <f t="shared" si="16"/>
        <v>19906.9925</v>
      </c>
      <c r="S67" s="37"/>
      <c r="T67" s="37"/>
      <c r="U67" s="37"/>
      <c r="V67" s="37"/>
      <c r="W67" s="37"/>
      <c r="X67" s="37"/>
      <c r="Y67" s="37"/>
      <c r="Z67" s="37"/>
      <c r="AA67" s="37"/>
    </row>
    <row r="68" spans="1:27" s="2" customFormat="1" ht="21" customHeight="1">
      <c r="A68" s="444">
        <f t="shared" si="11"/>
        <v>41</v>
      </c>
      <c r="B68" s="142" t="s">
        <v>384</v>
      </c>
      <c r="C68" s="91">
        <v>2</v>
      </c>
      <c r="D68" s="91" t="s">
        <v>34</v>
      </c>
      <c r="E68" s="404" t="str">
        <f>'DECK TALLY'!B46</f>
        <v>E5</v>
      </c>
      <c r="F68" s="104">
        <f>'DECK TALLY'!C46</f>
        <v>37.47</v>
      </c>
      <c r="G68" s="262">
        <f t="shared" si="4"/>
        <v>37.1325</v>
      </c>
      <c r="H68" s="92" t="s">
        <v>32</v>
      </c>
      <c r="I68" s="439">
        <f t="shared" si="18"/>
        <v>1602.1399999999994</v>
      </c>
      <c r="J68" s="232">
        <f t="shared" si="2"/>
        <v>19778.86</v>
      </c>
      <c r="K68" s="117">
        <f t="shared" si="14"/>
        <v>133.08540135981664</v>
      </c>
      <c r="L68" s="517"/>
      <c r="M68" s="617"/>
      <c r="N68" s="617"/>
      <c r="O68" s="527">
        <f t="shared" si="17"/>
        <v>-18.920000000000002</v>
      </c>
      <c r="P68" s="531"/>
      <c r="Q68" s="538"/>
      <c r="R68" s="532">
        <f t="shared" si="16"/>
        <v>19869.86</v>
      </c>
      <c r="S68" s="37"/>
      <c r="T68" s="37"/>
      <c r="U68" s="37"/>
      <c r="V68" s="37"/>
      <c r="W68" s="37"/>
      <c r="X68" s="37"/>
      <c r="Y68" s="37"/>
      <c r="Z68" s="37"/>
      <c r="AA68" s="37"/>
    </row>
    <row r="69" spans="1:27" s="2" customFormat="1" ht="21" customHeight="1">
      <c r="A69" s="444">
        <f t="shared" si="11"/>
        <v>42</v>
      </c>
      <c r="B69" s="142" t="s">
        <v>384</v>
      </c>
      <c r="C69" s="91">
        <v>2</v>
      </c>
      <c r="D69" s="91" t="s">
        <v>34</v>
      </c>
      <c r="E69" s="404" t="str">
        <f>'DECK TALLY'!B47</f>
        <v>E6</v>
      </c>
      <c r="F69" s="103">
        <f>'DECK TALLY'!C47</f>
        <v>37.53</v>
      </c>
      <c r="G69" s="262">
        <f t="shared" si="4"/>
        <v>37.192500000000003</v>
      </c>
      <c r="H69" s="95" t="s">
        <v>32</v>
      </c>
      <c r="I69" s="439">
        <f t="shared" si="18"/>
        <v>1639.3324999999995</v>
      </c>
      <c r="J69" s="232">
        <f t="shared" si="2"/>
        <v>19741.6675</v>
      </c>
      <c r="K69" s="117">
        <f t="shared" si="14"/>
        <v>133.96952589954162</v>
      </c>
      <c r="L69" s="517"/>
      <c r="M69" s="617"/>
      <c r="N69" s="617"/>
      <c r="O69" s="527">
        <f t="shared" si="17"/>
        <v>-18.920000000000002</v>
      </c>
      <c r="P69" s="531"/>
      <c r="Q69" s="538"/>
      <c r="R69" s="532">
        <f t="shared" si="16"/>
        <v>19832.6675</v>
      </c>
      <c r="S69" s="37"/>
      <c r="T69" s="37"/>
      <c r="U69" s="37"/>
      <c r="V69" s="37"/>
      <c r="W69" s="37"/>
      <c r="X69" s="37"/>
      <c r="Y69" s="37"/>
      <c r="Z69" s="37"/>
      <c r="AA69" s="37"/>
    </row>
    <row r="70" spans="1:27" s="2" customFormat="1" ht="21" customHeight="1">
      <c r="A70" s="444">
        <f t="shared" si="11"/>
        <v>43</v>
      </c>
      <c r="B70" s="142" t="s">
        <v>384</v>
      </c>
      <c r="C70" s="91">
        <v>2</v>
      </c>
      <c r="D70" s="91" t="s">
        <v>34</v>
      </c>
      <c r="E70" s="404" t="str">
        <f>'DECK TALLY'!B48</f>
        <v>E7</v>
      </c>
      <c r="F70" s="104">
        <f>'DECK TALLY'!C48</f>
        <v>36.06</v>
      </c>
      <c r="G70" s="262">
        <f t="shared" si="4"/>
        <v>35.722500000000004</v>
      </c>
      <c r="H70" s="95" t="s">
        <v>32</v>
      </c>
      <c r="I70" s="439">
        <f t="shared" si="18"/>
        <v>1675.0549999999996</v>
      </c>
      <c r="J70" s="232">
        <f t="shared" si="2"/>
        <v>19705.945</v>
      </c>
      <c r="K70" s="117">
        <f t="shared" si="14"/>
        <v>134.81870621466769</v>
      </c>
      <c r="L70" s="517"/>
      <c r="M70" s="617"/>
      <c r="N70" s="617"/>
      <c r="O70" s="527">
        <f t="shared" si="17"/>
        <v>-18.920000000000002</v>
      </c>
      <c r="P70" s="531"/>
      <c r="Q70" s="538"/>
      <c r="R70" s="532">
        <f t="shared" si="16"/>
        <v>19796.945</v>
      </c>
      <c r="S70" s="37"/>
      <c r="T70" s="37"/>
      <c r="U70" s="37"/>
      <c r="V70" s="37"/>
      <c r="W70" s="37"/>
      <c r="X70" s="37"/>
      <c r="Y70" s="37"/>
      <c r="Z70" s="37"/>
      <c r="AA70" s="37"/>
    </row>
    <row r="71" spans="1:27" s="2" customFormat="1" ht="21" customHeight="1">
      <c r="A71" s="444">
        <f t="shared" si="11"/>
        <v>44</v>
      </c>
      <c r="B71" s="142" t="s">
        <v>384</v>
      </c>
      <c r="C71" s="91">
        <v>2</v>
      </c>
      <c r="D71" s="91" t="s">
        <v>34</v>
      </c>
      <c r="E71" s="404" t="str">
        <f>'DECK TALLY'!B49</f>
        <v>E8</v>
      </c>
      <c r="F71" s="103">
        <f>'DECK TALLY'!C49</f>
        <v>35.65</v>
      </c>
      <c r="G71" s="262">
        <f t="shared" si="4"/>
        <v>35.3125</v>
      </c>
      <c r="H71" s="92" t="s">
        <v>32</v>
      </c>
      <c r="I71" s="439">
        <f t="shared" si="18"/>
        <v>1710.3674999999996</v>
      </c>
      <c r="J71" s="232">
        <f t="shared" si="2"/>
        <v>19670.6325</v>
      </c>
      <c r="K71" s="117">
        <f t="shared" si="14"/>
        <v>135.65814018143621</v>
      </c>
      <c r="L71" s="517"/>
      <c r="M71" s="617"/>
      <c r="N71" s="617"/>
      <c r="O71" s="527">
        <f t="shared" si="17"/>
        <v>-18.920000000000002</v>
      </c>
      <c r="P71" s="531"/>
      <c r="Q71" s="538"/>
      <c r="R71" s="532">
        <f t="shared" si="16"/>
        <v>19761.6325</v>
      </c>
      <c r="S71" s="37"/>
      <c r="T71" s="37"/>
      <c r="U71" s="37"/>
      <c r="V71" s="37"/>
      <c r="W71" s="37"/>
      <c r="X71" s="37"/>
      <c r="Y71" s="37"/>
      <c r="Z71" s="37"/>
      <c r="AA71" s="37"/>
    </row>
    <row r="72" spans="1:27" s="2" customFormat="1" ht="21" customHeight="1">
      <c r="A72" s="444">
        <f t="shared" si="11"/>
        <v>45</v>
      </c>
      <c r="B72" s="142" t="s">
        <v>384</v>
      </c>
      <c r="C72" s="91">
        <v>2</v>
      </c>
      <c r="D72" s="91" t="s">
        <v>34</v>
      </c>
      <c r="E72" s="404" t="str">
        <f>'DECK TALLY'!B50</f>
        <v>E9</v>
      </c>
      <c r="F72" s="104">
        <f>'DECK TALLY'!C50</f>
        <v>36.630000000000003</v>
      </c>
      <c r="G72" s="262">
        <f t="shared" si="4"/>
        <v>36.292500000000004</v>
      </c>
      <c r="H72" s="92" t="s">
        <v>32</v>
      </c>
      <c r="I72" s="439">
        <f t="shared" si="18"/>
        <v>1746.6599999999996</v>
      </c>
      <c r="J72" s="264">
        <f t="shared" si="2"/>
        <v>19634.34</v>
      </c>
      <c r="K72" s="117">
        <f t="shared" si="14"/>
        <v>136.52087029793734</v>
      </c>
      <c r="L72" s="517"/>
      <c r="M72" s="617"/>
      <c r="N72" s="617"/>
      <c r="O72" s="527">
        <f t="shared" si="17"/>
        <v>-18.920000000000002</v>
      </c>
      <c r="P72" s="531"/>
      <c r="Q72" s="538"/>
      <c r="R72" s="532">
        <f t="shared" si="16"/>
        <v>19725.34</v>
      </c>
      <c r="S72" s="37"/>
      <c r="T72" s="37"/>
      <c r="U72" s="37"/>
      <c r="V72" s="37"/>
      <c r="W72" s="37"/>
      <c r="X72" s="37"/>
      <c r="Y72" s="37"/>
      <c r="Z72" s="37"/>
      <c r="AA72" s="37"/>
    </row>
    <row r="73" spans="1:27" s="2" customFormat="1" ht="21" customHeight="1">
      <c r="A73" s="444">
        <f t="shared" si="11"/>
        <v>46</v>
      </c>
      <c r="B73" s="142" t="s">
        <v>384</v>
      </c>
      <c r="C73" s="91">
        <v>2</v>
      </c>
      <c r="D73" s="91" t="s">
        <v>34</v>
      </c>
      <c r="E73" s="404" t="str">
        <f>'DECK TALLY'!B51</f>
        <v>F1</v>
      </c>
      <c r="F73" s="104">
        <f>'DECK TALLY'!C51</f>
        <v>37.520000000000003</v>
      </c>
      <c r="G73" s="232">
        <f t="shared" si="4"/>
        <v>37.182500000000005</v>
      </c>
      <c r="H73" s="95" t="s">
        <v>32</v>
      </c>
      <c r="I73" s="439">
        <f t="shared" ref="I73:I79" si="19">IF(H73="IN",I72+G73,I72)</f>
        <v>1783.8424999999997</v>
      </c>
      <c r="J73" s="232">
        <f t="shared" ref="J73:J79" si="20">IF(I73="","",$M$9-I73)</f>
        <v>19597.157500000001</v>
      </c>
      <c r="K73" s="117">
        <f t="shared" si="14"/>
        <v>137.40475712184872</v>
      </c>
      <c r="L73" s="517"/>
      <c r="M73" s="617"/>
      <c r="N73" s="617"/>
      <c r="O73" s="527">
        <f t="shared" si="17"/>
        <v>-18.920000000000002</v>
      </c>
      <c r="P73" s="531"/>
      <c r="Q73" s="538"/>
      <c r="R73" s="532">
        <f t="shared" si="16"/>
        <v>19688.157500000001</v>
      </c>
      <c r="S73" s="37"/>
      <c r="T73" s="37"/>
      <c r="U73" s="37"/>
      <c r="V73" s="37"/>
      <c r="W73" s="37"/>
      <c r="X73" s="37"/>
      <c r="Y73" s="37"/>
      <c r="Z73" s="37"/>
      <c r="AA73" s="37"/>
    </row>
    <row r="74" spans="1:27" s="2" customFormat="1" ht="21" customHeight="1">
      <c r="A74" s="444">
        <f t="shared" si="11"/>
        <v>47</v>
      </c>
      <c r="B74" s="142" t="s">
        <v>384</v>
      </c>
      <c r="C74" s="91">
        <v>2</v>
      </c>
      <c r="D74" s="91" t="s">
        <v>34</v>
      </c>
      <c r="E74" s="404" t="str">
        <f>'DECK TALLY'!B52</f>
        <v>F2</v>
      </c>
      <c r="F74" s="103">
        <f>'DECK TALLY'!C52</f>
        <v>37.409999999999997</v>
      </c>
      <c r="G74" s="262">
        <f t="shared" si="4"/>
        <v>37.072499999999998</v>
      </c>
      <c r="H74" s="95" t="s">
        <v>32</v>
      </c>
      <c r="I74" s="439">
        <f t="shared" si="19"/>
        <v>1820.9149999999997</v>
      </c>
      <c r="J74" s="232">
        <f t="shared" si="20"/>
        <v>19560.084999999999</v>
      </c>
      <c r="K74" s="117">
        <f t="shared" si="14"/>
        <v>138.28602907181053</v>
      </c>
      <c r="L74" s="517"/>
      <c r="M74" s="617"/>
      <c r="N74" s="617"/>
      <c r="O74" s="527">
        <f t="shared" si="17"/>
        <v>-18.920000000000002</v>
      </c>
      <c r="P74" s="531"/>
      <c r="Q74" s="538"/>
      <c r="R74" s="532">
        <f t="shared" si="16"/>
        <v>19651.084999999999</v>
      </c>
      <c r="S74" s="37"/>
      <c r="T74" s="37"/>
      <c r="U74" s="37"/>
      <c r="V74" s="37"/>
      <c r="W74" s="37"/>
      <c r="X74" s="37"/>
      <c r="Y74" s="37"/>
      <c r="Z74" s="37"/>
      <c r="AA74" s="37"/>
    </row>
    <row r="75" spans="1:27" s="2" customFormat="1" ht="21" customHeight="1">
      <c r="A75" s="444">
        <f t="shared" si="11"/>
        <v>48</v>
      </c>
      <c r="B75" s="142" t="s">
        <v>384</v>
      </c>
      <c r="C75" s="91">
        <v>2</v>
      </c>
      <c r="D75" s="91" t="s">
        <v>34</v>
      </c>
      <c r="E75" s="402" t="str">
        <f>'DECK TALLY'!B53</f>
        <v>F3</v>
      </c>
      <c r="F75" s="104">
        <f>'DECK TALLY'!C53</f>
        <v>37.229999999999997</v>
      </c>
      <c r="G75" s="92">
        <f t="shared" si="4"/>
        <v>36.892499999999998</v>
      </c>
      <c r="H75" s="92" t="s">
        <v>32</v>
      </c>
      <c r="I75" s="438">
        <f t="shared" si="19"/>
        <v>1857.8074999999997</v>
      </c>
      <c r="J75" s="92">
        <f t="shared" si="20"/>
        <v>19523.192500000001</v>
      </c>
      <c r="K75" s="117">
        <f t="shared" si="14"/>
        <v>139.16302213712757</v>
      </c>
      <c r="L75" s="517">
        <f t="shared" ref="L75:L85" si="21">Q75</f>
        <v>0</v>
      </c>
      <c r="M75" s="617"/>
      <c r="N75" s="617"/>
      <c r="O75" s="527">
        <f t="shared" si="17"/>
        <v>-18.920000000000002</v>
      </c>
      <c r="P75" s="531"/>
      <c r="Q75" s="538"/>
      <c r="R75" s="532">
        <f t="shared" si="16"/>
        <v>19614.192500000001</v>
      </c>
      <c r="S75" s="37"/>
      <c r="T75" s="37"/>
      <c r="U75" s="37"/>
      <c r="V75" s="37"/>
      <c r="W75" s="37"/>
      <c r="X75" s="37"/>
      <c r="Y75" s="37"/>
      <c r="Z75" s="37"/>
      <c r="AA75" s="37"/>
    </row>
    <row r="76" spans="1:27" s="2" customFormat="1" ht="21" customHeight="1">
      <c r="A76" s="444">
        <f t="shared" si="11"/>
        <v>49</v>
      </c>
      <c r="B76" s="142" t="s">
        <v>384</v>
      </c>
      <c r="C76" s="91">
        <v>2</v>
      </c>
      <c r="D76" s="91" t="s">
        <v>34</v>
      </c>
      <c r="E76" s="403" t="str">
        <f>'DECK TALLY'!B54</f>
        <v>F4</v>
      </c>
      <c r="F76" s="103">
        <f>'DECK TALLY'!C54</f>
        <v>36.68</v>
      </c>
      <c r="G76" s="92">
        <f t="shared" si="4"/>
        <v>36.342500000000001</v>
      </c>
      <c r="H76" s="92" t="s">
        <v>32</v>
      </c>
      <c r="I76" s="438">
        <f t="shared" si="19"/>
        <v>1894.1499999999996</v>
      </c>
      <c r="J76" s="92">
        <f t="shared" si="20"/>
        <v>19486.849999999999</v>
      </c>
      <c r="K76" s="117">
        <f t="shared" si="14"/>
        <v>140.02694083269671</v>
      </c>
      <c r="L76" s="517">
        <f t="shared" si="21"/>
        <v>0</v>
      </c>
      <c r="M76" s="617"/>
      <c r="N76" s="617"/>
      <c r="O76" s="527">
        <f t="shared" si="17"/>
        <v>-18.920000000000002</v>
      </c>
      <c r="P76" s="531"/>
      <c r="Q76" s="538"/>
      <c r="R76" s="532">
        <f t="shared" si="16"/>
        <v>19577.849999999999</v>
      </c>
      <c r="S76" s="37"/>
      <c r="T76" s="37"/>
      <c r="U76" s="37"/>
      <c r="V76" s="37"/>
      <c r="W76" s="37"/>
      <c r="X76" s="37"/>
      <c r="Y76" s="37"/>
      <c r="Z76" s="37"/>
      <c r="AA76" s="37"/>
    </row>
    <row r="77" spans="1:27" s="2" customFormat="1" ht="21" customHeight="1">
      <c r="A77" s="444">
        <f t="shared" si="11"/>
        <v>50</v>
      </c>
      <c r="B77" s="142" t="s">
        <v>384</v>
      </c>
      <c r="C77" s="91">
        <v>2</v>
      </c>
      <c r="D77" s="91" t="s">
        <v>34</v>
      </c>
      <c r="E77" s="403" t="str">
        <f>'DECK TALLY'!B55</f>
        <v>F5</v>
      </c>
      <c r="F77" s="104">
        <f>'DECK TALLY'!C55</f>
        <v>36.29</v>
      </c>
      <c r="G77" s="92">
        <f t="shared" si="4"/>
        <v>35.952500000000001</v>
      </c>
      <c r="H77" s="95" t="s">
        <v>32</v>
      </c>
      <c r="I77" s="438">
        <f t="shared" si="19"/>
        <v>1930.1024999999997</v>
      </c>
      <c r="J77" s="92">
        <f t="shared" si="20"/>
        <v>19450.897499999999</v>
      </c>
      <c r="K77" s="117">
        <f t="shared" si="14"/>
        <v>140.88158861153551</v>
      </c>
      <c r="L77" s="517">
        <f t="shared" si="21"/>
        <v>0</v>
      </c>
      <c r="M77" s="617"/>
      <c r="N77" s="617"/>
      <c r="O77" s="527">
        <f t="shared" si="17"/>
        <v>-18.920000000000002</v>
      </c>
      <c r="P77" s="531"/>
      <c r="Q77" s="538"/>
      <c r="R77" s="532">
        <f t="shared" si="16"/>
        <v>19541.897499999999</v>
      </c>
      <c r="S77" s="37"/>
      <c r="T77" s="37"/>
      <c r="U77" s="37"/>
      <c r="V77" s="37"/>
      <c r="W77" s="37"/>
      <c r="X77" s="37"/>
      <c r="Y77" s="37"/>
      <c r="Z77" s="37"/>
      <c r="AA77" s="37"/>
    </row>
    <row r="78" spans="1:27" s="2" customFormat="1" ht="21" customHeight="1">
      <c r="A78" s="444">
        <f t="shared" si="11"/>
        <v>51</v>
      </c>
      <c r="B78" s="142" t="s">
        <v>384</v>
      </c>
      <c r="C78" s="91">
        <v>2</v>
      </c>
      <c r="D78" s="91" t="s">
        <v>34</v>
      </c>
      <c r="E78" s="403" t="str">
        <f>'DECK TALLY'!B56</f>
        <v>F6</v>
      </c>
      <c r="F78" s="104">
        <f>'DECK TALLY'!C56</f>
        <v>37.200000000000003</v>
      </c>
      <c r="G78" s="92">
        <f t="shared" si="4"/>
        <v>36.862500000000004</v>
      </c>
      <c r="H78" s="95" t="s">
        <v>32</v>
      </c>
      <c r="I78" s="438">
        <f t="shared" si="19"/>
        <v>1966.9649999999997</v>
      </c>
      <c r="J78" s="540">
        <f t="shared" si="20"/>
        <v>19414.035</v>
      </c>
      <c r="K78" s="117">
        <f t="shared" si="14"/>
        <v>141.75786852941175</v>
      </c>
      <c r="L78" s="517">
        <f t="shared" si="21"/>
        <v>19505</v>
      </c>
      <c r="M78" s="617"/>
      <c r="N78" s="617"/>
      <c r="O78" s="527">
        <f t="shared" si="17"/>
        <v>19486.080000000002</v>
      </c>
      <c r="P78" s="531"/>
      <c r="Q78" s="538">
        <v>19505</v>
      </c>
      <c r="R78" s="532">
        <f t="shared" si="16"/>
        <v>19505.035</v>
      </c>
      <c r="S78" s="37"/>
      <c r="T78" s="37"/>
      <c r="U78" s="37"/>
      <c r="V78" s="37"/>
      <c r="W78" s="37"/>
      <c r="X78" s="37"/>
      <c r="Y78" s="37"/>
      <c r="Z78" s="37"/>
      <c r="AA78" s="37"/>
    </row>
    <row r="79" spans="1:27" s="2" customFormat="1" ht="21" customHeight="1">
      <c r="A79" s="444">
        <f t="shared" si="11"/>
        <v>52</v>
      </c>
      <c r="B79" s="142" t="s">
        <v>384</v>
      </c>
      <c r="C79" s="91">
        <v>2</v>
      </c>
      <c r="D79" s="91" t="s">
        <v>34</v>
      </c>
      <c r="E79" s="403" t="str">
        <f>'DECK TALLY'!B57</f>
        <v>F7</v>
      </c>
      <c r="F79" s="103">
        <f>'DECK TALLY'!C57</f>
        <v>35.74</v>
      </c>
      <c r="G79" s="92">
        <f t="shared" si="4"/>
        <v>35.402500000000003</v>
      </c>
      <c r="H79" s="92" t="s">
        <v>32</v>
      </c>
      <c r="I79" s="438">
        <f t="shared" si="19"/>
        <v>2002.3674999999996</v>
      </c>
      <c r="J79" s="516">
        <f t="shared" si="20"/>
        <v>19378.6325</v>
      </c>
      <c r="K79" s="117">
        <f t="shared" si="14"/>
        <v>142.59944193850265</v>
      </c>
      <c r="L79" s="517">
        <f t="shared" si="21"/>
        <v>19470</v>
      </c>
      <c r="M79" s="617"/>
      <c r="N79" s="617"/>
      <c r="O79" s="527">
        <f t="shared" si="17"/>
        <v>19451.080000000002</v>
      </c>
      <c r="P79" s="531"/>
      <c r="Q79" s="538">
        <v>19470</v>
      </c>
      <c r="R79" s="532">
        <f t="shared" si="16"/>
        <v>19469.6325</v>
      </c>
      <c r="S79" s="37"/>
      <c r="T79" s="37"/>
      <c r="U79" s="37"/>
      <c r="V79" s="37"/>
      <c r="W79" s="37"/>
      <c r="X79" s="37"/>
      <c r="Y79" s="37"/>
      <c r="Z79" s="37"/>
      <c r="AA79" s="37"/>
    </row>
    <row r="80" spans="1:27" s="2" customFormat="1" ht="21" customHeight="1">
      <c r="A80" s="444">
        <f t="shared" si="11"/>
        <v>53</v>
      </c>
      <c r="B80" s="142" t="s">
        <v>384</v>
      </c>
      <c r="C80" s="91">
        <v>2</v>
      </c>
      <c r="D80" s="91" t="s">
        <v>34</v>
      </c>
      <c r="E80" s="403" t="str">
        <f>'DECK TALLY'!B58</f>
        <v>F8</v>
      </c>
      <c r="F80" s="104">
        <f>'DECK TALLY'!C58</f>
        <v>35.880000000000003</v>
      </c>
      <c r="G80" s="92">
        <f t="shared" si="4"/>
        <v>35.542500000000004</v>
      </c>
      <c r="H80" s="92" t="s">
        <v>32</v>
      </c>
      <c r="I80" s="438">
        <f t="shared" ref="I80:I126" si="22">IF(H80="IN",I79+G80,I79)</f>
        <v>2037.9099999999996</v>
      </c>
      <c r="J80" s="516">
        <f t="shared" si="2"/>
        <v>19343.09</v>
      </c>
      <c r="K80" s="117">
        <f t="shared" si="14"/>
        <v>143.44434336898394</v>
      </c>
      <c r="L80" s="517">
        <f t="shared" si="21"/>
        <v>19434</v>
      </c>
      <c r="M80" s="617"/>
      <c r="N80" s="617"/>
      <c r="O80" s="527">
        <f t="shared" si="17"/>
        <v>19415.080000000002</v>
      </c>
      <c r="P80" s="531"/>
      <c r="Q80" s="538">
        <v>19434</v>
      </c>
      <c r="R80" s="532">
        <f t="shared" si="16"/>
        <v>19434.09</v>
      </c>
      <c r="S80" s="37"/>
      <c r="T80" s="37"/>
      <c r="U80" s="37"/>
      <c r="V80" s="37"/>
      <c r="W80" s="37"/>
      <c r="X80" s="37"/>
      <c r="Y80" s="37"/>
      <c r="Z80" s="37"/>
      <c r="AA80" s="37"/>
    </row>
    <row r="81" spans="1:27" s="2" customFormat="1" ht="21" customHeight="1">
      <c r="A81" s="444">
        <f t="shared" si="11"/>
        <v>54</v>
      </c>
      <c r="B81" s="142" t="s">
        <v>384</v>
      </c>
      <c r="C81" s="91">
        <v>2</v>
      </c>
      <c r="D81" s="91" t="s">
        <v>34</v>
      </c>
      <c r="E81" s="403" t="str">
        <f>'DECK TALLY'!B59</f>
        <v>F9</v>
      </c>
      <c r="F81" s="103">
        <f>'DECK TALLY'!C59</f>
        <v>36.19</v>
      </c>
      <c r="G81" s="92">
        <f t="shared" si="4"/>
        <v>35.852499999999999</v>
      </c>
      <c r="H81" s="95" t="s">
        <v>32</v>
      </c>
      <c r="I81" s="438">
        <f t="shared" si="22"/>
        <v>2073.7624999999998</v>
      </c>
      <c r="J81" s="516">
        <f t="shared" ref="J81:J148" si="23">IF(I81="","",$M$9-I81)</f>
        <v>19307.237499999999</v>
      </c>
      <c r="K81" s="117">
        <f t="shared" si="14"/>
        <v>144.29661398968679</v>
      </c>
      <c r="L81" s="517">
        <f t="shared" si="21"/>
        <v>19398</v>
      </c>
      <c r="M81" s="617"/>
      <c r="N81" s="617"/>
      <c r="O81" s="527">
        <f t="shared" si="17"/>
        <v>19379.080000000002</v>
      </c>
      <c r="P81" s="531"/>
      <c r="Q81" s="538">
        <v>19398</v>
      </c>
      <c r="R81" s="532">
        <f>J81+91</f>
        <v>19398.237499999999</v>
      </c>
      <c r="S81" s="37">
        <v>91</v>
      </c>
      <c r="T81" s="37"/>
      <c r="U81" s="37"/>
      <c r="V81" s="37"/>
      <c r="W81" s="37"/>
      <c r="X81" s="37"/>
      <c r="Y81" s="37"/>
      <c r="Z81" s="37"/>
      <c r="AA81" s="37"/>
    </row>
    <row r="82" spans="1:27" s="2" customFormat="1" ht="21" customHeight="1">
      <c r="A82" s="444">
        <f t="shared" si="11"/>
        <v>55</v>
      </c>
      <c r="B82" s="142" t="s">
        <v>384</v>
      </c>
      <c r="C82" s="91">
        <v>2</v>
      </c>
      <c r="D82" s="91" t="s">
        <v>34</v>
      </c>
      <c r="E82" s="403" t="str">
        <f>'DECK TALLY'!B60</f>
        <v>G1</v>
      </c>
      <c r="F82" s="104">
        <f>'DECK TALLY'!C60</f>
        <v>36.35</v>
      </c>
      <c r="G82" s="92">
        <f t="shared" si="4"/>
        <v>36.012500000000003</v>
      </c>
      <c r="H82" s="95" t="s">
        <v>32</v>
      </c>
      <c r="I82" s="438">
        <f t="shared" si="22"/>
        <v>2109.7749999999996</v>
      </c>
      <c r="J82" s="516">
        <f t="shared" si="23"/>
        <v>19271.224999999999</v>
      </c>
      <c r="K82" s="117">
        <f t="shared" si="14"/>
        <v>145.15268806340717</v>
      </c>
      <c r="L82" s="517">
        <f t="shared" si="21"/>
        <v>19362</v>
      </c>
      <c r="M82" s="617"/>
      <c r="N82" s="617"/>
      <c r="O82" s="527">
        <f t="shared" si="17"/>
        <v>19343.080000000002</v>
      </c>
      <c r="Q82" s="538">
        <v>19362</v>
      </c>
      <c r="R82" s="532">
        <f t="shared" si="8"/>
        <v>19360.224999999999</v>
      </c>
      <c r="S82" s="37"/>
      <c r="T82" s="37"/>
      <c r="U82" s="37"/>
      <c r="V82" s="37"/>
      <c r="W82" s="37"/>
      <c r="X82" s="37"/>
      <c r="Y82" s="37"/>
      <c r="Z82" s="37"/>
      <c r="AA82" s="37"/>
    </row>
    <row r="83" spans="1:27" s="2" customFormat="1" ht="21" customHeight="1">
      <c r="A83" s="444">
        <f t="shared" si="11"/>
        <v>56</v>
      </c>
      <c r="B83" s="142" t="s">
        <v>384</v>
      </c>
      <c r="C83" s="91">
        <v>2</v>
      </c>
      <c r="D83" s="91" t="s">
        <v>34</v>
      </c>
      <c r="E83" s="403" t="str">
        <f>'DECK TALLY'!B61</f>
        <v>G2</v>
      </c>
      <c r="F83" s="104">
        <f>'DECK TALLY'!C61</f>
        <v>37.450000000000003</v>
      </c>
      <c r="G83" s="92">
        <f t="shared" si="4"/>
        <v>37.112500000000004</v>
      </c>
      <c r="H83" s="92" t="s">
        <v>32</v>
      </c>
      <c r="I83" s="438">
        <f t="shared" si="22"/>
        <v>2146.8874999999998</v>
      </c>
      <c r="J83" s="516">
        <f t="shared" si="23"/>
        <v>19234.112499999999</v>
      </c>
      <c r="K83" s="117">
        <f t="shared" si="14"/>
        <v>146.03491087662337</v>
      </c>
      <c r="L83" s="517">
        <f t="shared" si="21"/>
        <v>19324</v>
      </c>
      <c r="M83" s="617"/>
      <c r="N83" s="617"/>
      <c r="O83" s="527">
        <f t="shared" si="17"/>
        <v>19305.080000000002</v>
      </c>
      <c r="P83" s="531"/>
      <c r="Q83" s="538">
        <v>19324</v>
      </c>
      <c r="R83" s="532">
        <f t="shared" si="8"/>
        <v>19323.112499999999</v>
      </c>
      <c r="S83" s="37"/>
      <c r="T83" s="37"/>
      <c r="U83" s="37"/>
      <c r="V83" s="37"/>
      <c r="W83" s="37"/>
      <c r="X83" s="37"/>
      <c r="Y83" s="37"/>
      <c r="Z83" s="37"/>
      <c r="AA83" s="37"/>
    </row>
    <row r="84" spans="1:27" s="2" customFormat="1" ht="21" customHeight="1">
      <c r="A84" s="444">
        <f t="shared" si="11"/>
        <v>57</v>
      </c>
      <c r="B84" s="142" t="s">
        <v>384</v>
      </c>
      <c r="C84" s="91">
        <v>2</v>
      </c>
      <c r="D84" s="91" t="s">
        <v>34</v>
      </c>
      <c r="E84" s="403" t="str">
        <f>'DECK TALLY'!B62</f>
        <v>G3</v>
      </c>
      <c r="F84" s="103">
        <f>'DECK TALLY'!C62</f>
        <v>36.840000000000003</v>
      </c>
      <c r="G84" s="92">
        <f t="shared" si="4"/>
        <v>36.502500000000005</v>
      </c>
      <c r="H84" s="92" t="s">
        <v>32</v>
      </c>
      <c r="I84" s="438">
        <f t="shared" si="22"/>
        <v>2183.39</v>
      </c>
      <c r="J84" s="516">
        <f t="shared" si="23"/>
        <v>19197.61</v>
      </c>
      <c r="K84" s="117">
        <f t="shared" si="14"/>
        <v>146.90263302521009</v>
      </c>
      <c r="L84" s="517">
        <f t="shared" si="21"/>
        <v>19288</v>
      </c>
      <c r="M84" s="617"/>
      <c r="N84" s="617"/>
      <c r="O84" s="527">
        <f t="shared" si="17"/>
        <v>19269.080000000002</v>
      </c>
      <c r="P84" s="531"/>
      <c r="Q84" s="538">
        <v>19288</v>
      </c>
      <c r="R84" s="532">
        <f t="shared" si="8"/>
        <v>19286.61</v>
      </c>
      <c r="S84" s="37"/>
      <c r="T84" s="37"/>
      <c r="U84" s="37"/>
      <c r="V84" s="37"/>
      <c r="W84" s="37"/>
      <c r="X84" s="37"/>
      <c r="Y84" s="37"/>
      <c r="Z84" s="37"/>
      <c r="AA84" s="37"/>
    </row>
    <row r="85" spans="1:27" s="2" customFormat="1" ht="21" customHeight="1">
      <c r="A85" s="444">
        <f t="shared" si="11"/>
        <v>58</v>
      </c>
      <c r="B85" s="142" t="s">
        <v>384</v>
      </c>
      <c r="C85" s="91">
        <v>2</v>
      </c>
      <c r="D85" s="91" t="s">
        <v>34</v>
      </c>
      <c r="E85" s="403" t="str">
        <f>'DECK TALLY'!B63</f>
        <v>G4</v>
      </c>
      <c r="F85" s="104">
        <f>'DECK TALLY'!C63</f>
        <v>35.96</v>
      </c>
      <c r="G85" s="92">
        <f t="shared" si="4"/>
        <v>35.622500000000002</v>
      </c>
      <c r="H85" s="95" t="s">
        <v>32</v>
      </c>
      <c r="I85" s="438">
        <f t="shared" si="22"/>
        <v>2219.0124999999998</v>
      </c>
      <c r="J85" s="516">
        <f t="shared" si="23"/>
        <v>19161.987499999999</v>
      </c>
      <c r="K85" s="117">
        <f t="shared" si="14"/>
        <v>147.74943618220016</v>
      </c>
      <c r="L85" s="517">
        <f t="shared" si="21"/>
        <v>19252</v>
      </c>
      <c r="M85" s="605"/>
      <c r="N85" s="605"/>
      <c r="O85" s="527">
        <f t="shared" si="17"/>
        <v>19233.080000000002</v>
      </c>
      <c r="P85" s="531">
        <f>O85-J85</f>
        <v>71.092500000002474</v>
      </c>
      <c r="Q85" s="538">
        <v>19252</v>
      </c>
      <c r="R85" s="532">
        <f t="shared" si="8"/>
        <v>19250.987499999999</v>
      </c>
      <c r="S85" s="37"/>
      <c r="T85" s="37"/>
      <c r="U85" s="37"/>
      <c r="V85" s="37"/>
      <c r="W85" s="37"/>
      <c r="X85" s="37"/>
      <c r="Y85" s="37"/>
      <c r="Z85" s="37"/>
      <c r="AA85" s="37"/>
    </row>
    <row r="86" spans="1:27" s="2" customFormat="1" ht="21" customHeight="1">
      <c r="A86" s="444">
        <f t="shared" si="11"/>
        <v>59</v>
      </c>
      <c r="B86" s="142" t="s">
        <v>384</v>
      </c>
      <c r="C86" s="91">
        <v>2</v>
      </c>
      <c r="D86" s="91" t="s">
        <v>34</v>
      </c>
      <c r="E86" s="403" t="str">
        <f>'DECK TALLY'!B64</f>
        <v>G5</v>
      </c>
      <c r="F86" s="103">
        <f>'DECK TALLY'!C64</f>
        <v>36.76</v>
      </c>
      <c r="G86" s="92">
        <f t="shared" si="4"/>
        <v>36.422499999999999</v>
      </c>
      <c r="H86" s="95" t="s">
        <v>32</v>
      </c>
      <c r="I86" s="438">
        <f t="shared" si="22"/>
        <v>2255.4349999999999</v>
      </c>
      <c r="J86" s="516">
        <f t="shared" si="23"/>
        <v>19125.564999999999</v>
      </c>
      <c r="K86" s="117">
        <f t="shared" si="14"/>
        <v>148.61525660427807</v>
      </c>
      <c r="L86" s="517">
        <f>Q86</f>
        <v>19215</v>
      </c>
      <c r="M86" s="605"/>
      <c r="N86" s="605"/>
      <c r="O86" s="527">
        <f t="shared" si="17"/>
        <v>19196.080000000002</v>
      </c>
      <c r="P86" s="531"/>
      <c r="Q86" s="538">
        <v>19215</v>
      </c>
      <c r="R86" s="532">
        <f t="shared" si="8"/>
        <v>19214.564999999999</v>
      </c>
      <c r="S86" s="37"/>
      <c r="T86" s="37"/>
      <c r="U86" s="37"/>
      <c r="V86" s="37"/>
      <c r="W86" s="37"/>
      <c r="X86" s="37"/>
      <c r="Y86" s="37"/>
      <c r="Z86" s="37"/>
      <c r="AA86" s="37"/>
    </row>
    <row r="87" spans="1:27" s="2" customFormat="1" ht="21" customHeight="1">
      <c r="A87" s="444">
        <f t="shared" si="11"/>
        <v>60</v>
      </c>
      <c r="B87" s="142" t="s">
        <v>384</v>
      </c>
      <c r="C87" s="91">
        <v>2</v>
      </c>
      <c r="D87" s="91" t="s">
        <v>34</v>
      </c>
      <c r="E87" s="403" t="str">
        <f>'DECK TALLY'!B65</f>
        <v>G6</v>
      </c>
      <c r="F87" s="104">
        <f>'DECK TALLY'!C65</f>
        <v>36.44</v>
      </c>
      <c r="G87" s="92">
        <f t="shared" si="4"/>
        <v>36.102499999999999</v>
      </c>
      <c r="H87" s="92" t="s">
        <v>32</v>
      </c>
      <c r="I87" s="438">
        <f t="shared" si="22"/>
        <v>2291.5374999999999</v>
      </c>
      <c r="J87" s="516">
        <f t="shared" si="23"/>
        <v>19089.462500000001</v>
      </c>
      <c r="K87" s="117">
        <f t="shared" si="14"/>
        <v>149.47347012032085</v>
      </c>
      <c r="L87" s="517"/>
      <c r="M87" s="605"/>
      <c r="N87" s="605"/>
      <c r="O87" s="527">
        <f t="shared" si="17"/>
        <v>-18.920000000000002</v>
      </c>
      <c r="P87" s="531"/>
      <c r="Q87" s="538">
        <v>19179</v>
      </c>
      <c r="R87" s="532">
        <f t="shared" si="8"/>
        <v>19178.462500000001</v>
      </c>
      <c r="S87" s="37"/>
      <c r="T87" s="37"/>
      <c r="U87" s="37"/>
      <c r="V87" s="37"/>
      <c r="W87" s="37"/>
      <c r="X87" s="37"/>
      <c r="Y87" s="37"/>
      <c r="Z87" s="37"/>
      <c r="AA87" s="37"/>
    </row>
    <row r="88" spans="1:27" s="2" customFormat="1" ht="21" customHeight="1" thickBot="1">
      <c r="A88" s="444">
        <f t="shared" si="11"/>
        <v>61</v>
      </c>
      <c r="B88" s="142" t="s">
        <v>384</v>
      </c>
      <c r="C88" s="91">
        <v>2</v>
      </c>
      <c r="D88" s="91" t="s">
        <v>34</v>
      </c>
      <c r="E88" s="403" t="str">
        <f>'DECK TALLY'!B66</f>
        <v>G7</v>
      </c>
      <c r="F88" s="104">
        <f>'DECK TALLY'!C66</f>
        <v>36.97</v>
      </c>
      <c r="G88" s="92">
        <f t="shared" si="4"/>
        <v>36.6325</v>
      </c>
      <c r="H88" s="92" t="s">
        <v>32</v>
      </c>
      <c r="I88" s="438">
        <f t="shared" si="22"/>
        <v>2328.17</v>
      </c>
      <c r="J88" s="516">
        <f t="shared" si="23"/>
        <v>19052.830000000002</v>
      </c>
      <c r="K88" s="117">
        <f t="shared" si="14"/>
        <v>150.34428257448434</v>
      </c>
      <c r="L88" s="517">
        <v>19142</v>
      </c>
      <c r="M88" s="605"/>
      <c r="N88" s="605"/>
      <c r="O88" s="527">
        <f t="shared" si="17"/>
        <v>19123.080000000002</v>
      </c>
      <c r="P88" s="531">
        <f>O88-J88</f>
        <v>70.25</v>
      </c>
      <c r="Q88" s="538">
        <v>19142</v>
      </c>
      <c r="R88" s="532">
        <f t="shared" si="8"/>
        <v>19141.830000000002</v>
      </c>
      <c r="S88" s="37"/>
      <c r="T88" s="37"/>
      <c r="U88" s="37"/>
      <c r="V88" s="37"/>
      <c r="W88" s="37"/>
      <c r="X88" s="37"/>
      <c r="Y88" s="37"/>
      <c r="Z88" s="37"/>
      <c r="AA88" s="37"/>
    </row>
    <row r="89" spans="1:27" s="2" customFormat="1" ht="21" customHeight="1" thickBot="1">
      <c r="A89" s="444">
        <f t="shared" si="11"/>
        <v>62</v>
      </c>
      <c r="B89" s="142" t="s">
        <v>384</v>
      </c>
      <c r="C89" s="361">
        <v>1</v>
      </c>
      <c r="D89" s="91" t="s">
        <v>34</v>
      </c>
      <c r="E89" s="403" t="str">
        <f>'DECK TALLY'!B67</f>
        <v>G8</v>
      </c>
      <c r="F89" s="103">
        <f>'DECK TALLY'!C67</f>
        <v>36.31</v>
      </c>
      <c r="G89" s="92">
        <f t="shared" si="4"/>
        <v>35.972500000000004</v>
      </c>
      <c r="H89" s="92" t="s">
        <v>32</v>
      </c>
      <c r="I89" s="438">
        <f t="shared" ref="I89:I92" si="24">IF(H89="IN",I88+G89,I88)</f>
        <v>2364.1424999999999</v>
      </c>
      <c r="J89" s="516">
        <f t="shared" ref="J89:J92" si="25">IF(I89="","",$M$9-I89)</f>
        <v>19016.857499999998</v>
      </c>
      <c r="K89" s="117">
        <f t="shared" ref="K89:K92" si="26">$H$8+(I89*$E$9*$E$15/1000)</f>
        <v>151.19940578495033</v>
      </c>
      <c r="L89" s="517">
        <v>19106</v>
      </c>
      <c r="M89" s="605"/>
      <c r="N89" s="605"/>
      <c r="O89" s="527">
        <f t="shared" si="17"/>
        <v>19087.080000000002</v>
      </c>
      <c r="P89" s="531"/>
      <c r="Q89" s="538"/>
      <c r="R89" s="532">
        <f t="shared" si="8"/>
        <v>19105.857499999998</v>
      </c>
      <c r="S89" s="37"/>
      <c r="T89" s="37"/>
      <c r="U89" s="37"/>
      <c r="V89" s="37"/>
      <c r="W89" s="37"/>
      <c r="X89" s="37"/>
      <c r="Y89" s="37"/>
      <c r="Z89" s="37"/>
      <c r="AA89" s="37"/>
    </row>
    <row r="90" spans="1:27" s="2" customFormat="1" ht="21" customHeight="1" thickBot="1">
      <c r="A90" s="444">
        <f t="shared" si="11"/>
        <v>63</v>
      </c>
      <c r="B90" s="142" t="s">
        <v>384</v>
      </c>
      <c r="C90" s="91">
        <v>2</v>
      </c>
      <c r="D90" s="91" t="s">
        <v>34</v>
      </c>
      <c r="E90" s="534" t="str">
        <f>'DECK TALLY'!B68</f>
        <v>G9</v>
      </c>
      <c r="F90" s="104">
        <f>'DECK TALLY'!C68</f>
        <v>36.94</v>
      </c>
      <c r="G90" s="92">
        <f t="shared" si="4"/>
        <v>36.602499999999999</v>
      </c>
      <c r="H90" s="95" t="s">
        <v>32</v>
      </c>
      <c r="I90" s="438">
        <f t="shared" si="24"/>
        <v>2400.7449999999999</v>
      </c>
      <c r="J90" s="363">
        <f t="shared" si="25"/>
        <v>18980.255000000001</v>
      </c>
      <c r="K90" s="117">
        <f t="shared" si="26"/>
        <v>152.06950509167302</v>
      </c>
      <c r="L90" s="517">
        <v>19070</v>
      </c>
      <c r="M90" s="605"/>
      <c r="N90" s="605"/>
      <c r="O90" s="527">
        <f t="shared" si="17"/>
        <v>19051.080000000002</v>
      </c>
      <c r="P90" s="531"/>
      <c r="Q90" s="538">
        <v>19069</v>
      </c>
      <c r="R90" s="532">
        <f t="shared" si="8"/>
        <v>19069.255000000001</v>
      </c>
      <c r="S90" s="37"/>
      <c r="T90" s="37"/>
      <c r="U90" s="37"/>
      <c r="V90" s="37"/>
      <c r="W90" s="37"/>
      <c r="X90" s="37"/>
      <c r="Y90" s="37"/>
      <c r="Z90" s="37"/>
      <c r="AA90" s="37"/>
    </row>
    <row r="91" spans="1:27" s="2" customFormat="1" ht="21" customHeight="1" thickBot="1">
      <c r="A91" s="446" t="s">
        <v>579</v>
      </c>
      <c r="B91" s="364" t="s">
        <v>580</v>
      </c>
      <c r="C91" s="361">
        <v>1</v>
      </c>
      <c r="D91" s="91" t="s">
        <v>34</v>
      </c>
      <c r="E91" s="405" t="s">
        <v>401</v>
      </c>
      <c r="F91" s="535">
        <v>10.25</v>
      </c>
      <c r="G91" s="92">
        <f t="shared" si="4"/>
        <v>9.9124999999999996</v>
      </c>
      <c r="H91" s="95" t="s">
        <v>32</v>
      </c>
      <c r="I91" s="438">
        <f t="shared" si="24"/>
        <v>2410.6574999999998</v>
      </c>
      <c r="J91" s="92">
        <f t="shared" si="25"/>
        <v>18970.342499999999</v>
      </c>
      <c r="K91" s="117">
        <f t="shared" si="26"/>
        <v>152.3051408919022</v>
      </c>
      <c r="L91" s="517">
        <v>19060</v>
      </c>
      <c r="M91" s="605"/>
      <c r="N91" s="605"/>
      <c r="O91" s="527">
        <f t="shared" si="17"/>
        <v>19041.080000000002</v>
      </c>
      <c r="P91" s="531">
        <f>O91-J91</f>
        <v>70.73750000000291</v>
      </c>
      <c r="Q91" s="538">
        <v>19059</v>
      </c>
      <c r="R91" s="532">
        <f t="shared" si="8"/>
        <v>19059.342499999999</v>
      </c>
      <c r="S91" s="37"/>
      <c r="T91" s="37"/>
      <c r="U91" s="37"/>
      <c r="V91" s="37"/>
      <c r="W91" s="37"/>
      <c r="X91" s="37"/>
      <c r="Y91" s="37"/>
      <c r="Z91" s="37"/>
      <c r="AA91" s="37"/>
    </row>
    <row r="92" spans="1:27" s="2" customFormat="1" ht="21" customHeight="1">
      <c r="A92" s="444">
        <f>A90+1</f>
        <v>64</v>
      </c>
      <c r="B92" s="142" t="s">
        <v>384</v>
      </c>
      <c r="C92" s="91">
        <v>2</v>
      </c>
      <c r="D92" s="91" t="s">
        <v>34</v>
      </c>
      <c r="E92" s="403" t="str">
        <f>'DECK TALLY'!B69</f>
        <v>H1</v>
      </c>
      <c r="F92" s="536">
        <f>'DECK TALLY'!C69</f>
        <v>36.68</v>
      </c>
      <c r="G92" s="92">
        <f t="shared" ref="G92" si="27">F92-($E$12/12)</f>
        <v>36.342500000000001</v>
      </c>
      <c r="H92" s="92" t="s">
        <v>32</v>
      </c>
      <c r="I92" s="438">
        <f t="shared" si="24"/>
        <v>2447</v>
      </c>
      <c r="J92" s="92">
        <f t="shared" si="25"/>
        <v>18934</v>
      </c>
      <c r="K92" s="117">
        <f t="shared" si="26"/>
        <v>153.16905958747134</v>
      </c>
      <c r="L92" s="517"/>
      <c r="M92" s="605"/>
      <c r="N92" s="605"/>
      <c r="O92" s="527">
        <f t="shared" si="17"/>
        <v>-18.920000000000002</v>
      </c>
      <c r="P92" s="531"/>
      <c r="Q92" s="538"/>
      <c r="R92" s="532">
        <f t="shared" si="8"/>
        <v>19023</v>
      </c>
      <c r="S92" s="37"/>
      <c r="T92" s="37"/>
      <c r="U92" s="37"/>
      <c r="V92" s="37"/>
      <c r="W92" s="37"/>
      <c r="X92" s="37"/>
      <c r="Y92" s="37"/>
      <c r="Z92" s="37"/>
      <c r="AA92" s="37"/>
    </row>
    <row r="93" spans="1:27" s="2" customFormat="1" ht="21" customHeight="1">
      <c r="A93" s="444">
        <f t="shared" si="11"/>
        <v>65</v>
      </c>
      <c r="B93" s="142" t="s">
        <v>384</v>
      </c>
      <c r="C93" s="91">
        <v>2</v>
      </c>
      <c r="D93" s="91" t="s">
        <v>34</v>
      </c>
      <c r="E93" s="403" t="str">
        <f>'DECK TALLY'!B70</f>
        <v>H2</v>
      </c>
      <c r="F93" s="537">
        <f>'DECK TALLY'!C70</f>
        <v>36.58</v>
      </c>
      <c r="G93" s="92">
        <f t="shared" ref="G93:G122" si="28">F93-($E$12/12)</f>
        <v>36.2425</v>
      </c>
      <c r="H93" s="92" t="s">
        <v>32</v>
      </c>
      <c r="I93" s="438">
        <f t="shared" si="22"/>
        <v>2483.2424999999998</v>
      </c>
      <c r="J93" s="92">
        <f t="shared" si="23"/>
        <v>18897.7575</v>
      </c>
      <c r="K93" s="117">
        <f t="shared" si="14"/>
        <v>154.03060112490451</v>
      </c>
      <c r="L93" s="517"/>
      <c r="M93" s="605"/>
      <c r="N93" s="605"/>
      <c r="O93" s="527">
        <f t="shared" si="17"/>
        <v>-18.920000000000002</v>
      </c>
      <c r="P93" s="531"/>
      <c r="Q93" s="538"/>
      <c r="R93" s="532">
        <f t="shared" ref="R93:R94" si="29">J93+89</f>
        <v>18986.7575</v>
      </c>
      <c r="S93" s="37"/>
      <c r="T93" s="37"/>
      <c r="U93" s="37"/>
      <c r="V93" s="37"/>
      <c r="W93" s="37"/>
      <c r="X93" s="37"/>
      <c r="Y93" s="37"/>
      <c r="Z93" s="37"/>
      <c r="AA93" s="37"/>
    </row>
    <row r="94" spans="1:27" s="2" customFormat="1" ht="21" customHeight="1">
      <c r="A94" s="444">
        <f t="shared" si="11"/>
        <v>66</v>
      </c>
      <c r="B94" s="142" t="s">
        <v>384</v>
      </c>
      <c r="C94" s="91">
        <v>2</v>
      </c>
      <c r="D94" s="91" t="s">
        <v>34</v>
      </c>
      <c r="E94" s="403" t="str">
        <f>'DECK TALLY'!B71</f>
        <v>H3</v>
      </c>
      <c r="F94" s="104">
        <f>'DECK TALLY'!C71</f>
        <v>36.36</v>
      </c>
      <c r="G94" s="92">
        <f t="shared" si="28"/>
        <v>36.022500000000001</v>
      </c>
      <c r="H94" s="95" t="s">
        <v>32</v>
      </c>
      <c r="I94" s="438">
        <f t="shared" si="22"/>
        <v>2519.2649999999999</v>
      </c>
      <c r="J94" s="92">
        <f t="shared" si="23"/>
        <v>18861.735000000001</v>
      </c>
      <c r="K94" s="117">
        <f t="shared" ref="K94:K159" si="30">$H$8+(I94*$E$9*$E$15/1000)</f>
        <v>154.88691291443848</v>
      </c>
      <c r="L94" s="517"/>
      <c r="M94" s="605"/>
      <c r="N94" s="605"/>
      <c r="O94" s="527">
        <f t="shared" si="17"/>
        <v>-18.920000000000002</v>
      </c>
      <c r="P94" s="531"/>
      <c r="Q94" s="538"/>
      <c r="R94" s="532">
        <f t="shared" si="29"/>
        <v>18950.735000000001</v>
      </c>
      <c r="S94" s="37"/>
      <c r="T94" s="37"/>
      <c r="U94" s="37"/>
      <c r="V94" s="37"/>
      <c r="W94" s="37"/>
      <c r="X94" s="37"/>
      <c r="Y94" s="37"/>
      <c r="Z94" s="37"/>
      <c r="AA94" s="37"/>
    </row>
    <row r="95" spans="1:27" s="2" customFormat="1" ht="21" customHeight="1">
      <c r="A95" s="444">
        <f t="shared" si="11"/>
        <v>67</v>
      </c>
      <c r="B95" s="142" t="s">
        <v>384</v>
      </c>
      <c r="C95" s="91">
        <v>2</v>
      </c>
      <c r="D95" s="91" t="s">
        <v>34</v>
      </c>
      <c r="E95" s="403" t="str">
        <f>'DECK TALLY'!B72</f>
        <v>H4</v>
      </c>
      <c r="F95" s="103">
        <f>'DECK TALLY'!C72</f>
        <v>37.08</v>
      </c>
      <c r="G95" s="92">
        <f t="shared" si="28"/>
        <v>36.7425</v>
      </c>
      <c r="H95" s="95" t="s">
        <v>32</v>
      </c>
      <c r="I95" s="438">
        <f t="shared" si="22"/>
        <v>2556.0074999999997</v>
      </c>
      <c r="J95" s="92">
        <f t="shared" si="23"/>
        <v>18824.9925</v>
      </c>
      <c r="K95" s="117">
        <f t="shared" si="30"/>
        <v>155.76034024255156</v>
      </c>
      <c r="L95" s="517">
        <v>18914</v>
      </c>
      <c r="M95" s="605"/>
      <c r="N95" s="605"/>
      <c r="O95" s="527">
        <f t="shared" si="17"/>
        <v>18895.080000000002</v>
      </c>
      <c r="P95" s="531"/>
      <c r="Q95" s="28"/>
      <c r="R95" s="532">
        <f>J95+89</f>
        <v>18913.9925</v>
      </c>
      <c r="S95" s="37">
        <v>89</v>
      </c>
      <c r="T95" s="37"/>
      <c r="U95" s="37"/>
      <c r="V95" s="37"/>
      <c r="W95" s="37"/>
      <c r="X95" s="37"/>
      <c r="Y95" s="37"/>
      <c r="Z95" s="37"/>
      <c r="AA95" s="37"/>
    </row>
    <row r="96" spans="1:27" s="2" customFormat="1" ht="21" customHeight="1">
      <c r="A96" s="444">
        <f t="shared" si="11"/>
        <v>68</v>
      </c>
      <c r="B96" s="142" t="s">
        <v>384</v>
      </c>
      <c r="C96" s="91">
        <v>2</v>
      </c>
      <c r="D96" s="91" t="s">
        <v>34</v>
      </c>
      <c r="E96" s="403" t="str">
        <f>'DECK TALLY'!B73</f>
        <v>H5</v>
      </c>
      <c r="F96" s="104">
        <f>'DECK TALLY'!C73</f>
        <v>34.61</v>
      </c>
      <c r="G96" s="92">
        <f t="shared" si="28"/>
        <v>34.272500000000001</v>
      </c>
      <c r="H96" s="92" t="s">
        <v>32</v>
      </c>
      <c r="I96" s="438">
        <f t="shared" si="22"/>
        <v>2590.2799999999997</v>
      </c>
      <c r="J96" s="92">
        <f t="shared" si="23"/>
        <v>18790.72</v>
      </c>
      <c r="K96" s="117">
        <f t="shared" si="30"/>
        <v>156.57505176470588</v>
      </c>
      <c r="L96" s="517"/>
      <c r="M96" s="605"/>
      <c r="N96" s="605"/>
      <c r="O96" s="527">
        <f t="shared" si="17"/>
        <v>-18.920000000000002</v>
      </c>
      <c r="P96" s="531"/>
      <c r="Q96" s="28"/>
      <c r="R96" s="532">
        <f t="shared" ref="R96:R97" si="31">J96+88</f>
        <v>18878.72</v>
      </c>
      <c r="S96" s="37"/>
      <c r="T96" s="37"/>
      <c r="U96" s="37"/>
      <c r="V96" s="37"/>
      <c r="W96" s="37"/>
      <c r="X96" s="37"/>
      <c r="Y96" s="37"/>
      <c r="Z96" s="37"/>
      <c r="AA96" s="37"/>
    </row>
    <row r="97" spans="1:27" s="2" customFormat="1" ht="21" customHeight="1">
      <c r="A97" s="444">
        <f t="shared" ref="A97:A162" si="32">A96+1</f>
        <v>69</v>
      </c>
      <c r="B97" s="142" t="s">
        <v>384</v>
      </c>
      <c r="C97" s="91">
        <v>2</v>
      </c>
      <c r="D97" s="91" t="s">
        <v>34</v>
      </c>
      <c r="E97" s="403" t="str">
        <f>'DECK TALLY'!B74</f>
        <v>H6</v>
      </c>
      <c r="F97" s="103">
        <f>'DECK TALLY'!C74</f>
        <v>35.04</v>
      </c>
      <c r="G97" s="92">
        <f t="shared" si="28"/>
        <v>34.702500000000001</v>
      </c>
      <c r="H97" s="92" t="s">
        <v>32</v>
      </c>
      <c r="I97" s="438">
        <f t="shared" si="22"/>
        <v>2624.9824999999996</v>
      </c>
      <c r="J97" s="92">
        <f t="shared" si="23"/>
        <v>18756.017500000002</v>
      </c>
      <c r="K97" s="117">
        <f t="shared" si="30"/>
        <v>157.39998506684492</v>
      </c>
      <c r="L97" s="517"/>
      <c r="M97" s="605"/>
      <c r="N97" s="605"/>
      <c r="O97" s="527">
        <f t="shared" si="17"/>
        <v>-18.920000000000002</v>
      </c>
      <c r="P97" s="531"/>
      <c r="Q97" s="28"/>
      <c r="R97" s="532">
        <f t="shared" si="31"/>
        <v>18844.017500000002</v>
      </c>
      <c r="S97" s="37"/>
      <c r="T97" s="37"/>
      <c r="U97" s="37"/>
      <c r="V97" s="37"/>
      <c r="W97" s="37"/>
      <c r="X97" s="37"/>
      <c r="Y97" s="37"/>
      <c r="Z97" s="37"/>
      <c r="AA97" s="37"/>
    </row>
    <row r="98" spans="1:27" s="2" customFormat="1" ht="21" customHeight="1">
      <c r="A98" s="444">
        <f t="shared" si="32"/>
        <v>70</v>
      </c>
      <c r="B98" s="142" t="s">
        <v>384</v>
      </c>
      <c r="C98" s="91">
        <v>2</v>
      </c>
      <c r="D98" s="91" t="s">
        <v>34</v>
      </c>
      <c r="E98" s="403" t="str">
        <f>'DECK TALLY'!B75</f>
        <v>H7</v>
      </c>
      <c r="F98" s="104">
        <f>'DECK TALLY'!C75</f>
        <v>36.83</v>
      </c>
      <c r="G98" s="92">
        <f t="shared" si="28"/>
        <v>36.4925</v>
      </c>
      <c r="H98" s="95" t="s">
        <v>32</v>
      </c>
      <c r="I98" s="438">
        <f t="shared" si="22"/>
        <v>2661.4749999999995</v>
      </c>
      <c r="J98" s="92">
        <f t="shared" si="23"/>
        <v>18719.525000000001</v>
      </c>
      <c r="K98" s="117">
        <f t="shared" si="30"/>
        <v>158.26746949961802</v>
      </c>
      <c r="L98" s="517">
        <v>18808</v>
      </c>
      <c r="M98" s="605"/>
      <c r="N98" s="605"/>
      <c r="O98" s="527">
        <f t="shared" si="17"/>
        <v>18789.080000000002</v>
      </c>
      <c r="P98" s="531"/>
      <c r="Q98" s="28"/>
      <c r="R98" s="532">
        <f>J98+88</f>
        <v>18807.525000000001</v>
      </c>
      <c r="S98" s="37">
        <v>88</v>
      </c>
      <c r="T98" s="37"/>
      <c r="U98" s="37"/>
      <c r="V98" s="37"/>
      <c r="W98" s="37"/>
      <c r="X98" s="37"/>
      <c r="Y98" s="37"/>
      <c r="Z98" s="37"/>
      <c r="AA98" s="37"/>
    </row>
    <row r="99" spans="1:27" s="2" customFormat="1" ht="21" customHeight="1">
      <c r="A99" s="444">
        <f t="shared" si="32"/>
        <v>71</v>
      </c>
      <c r="B99" s="142" t="s">
        <v>384</v>
      </c>
      <c r="C99" s="91">
        <v>2</v>
      </c>
      <c r="D99" s="91" t="s">
        <v>34</v>
      </c>
      <c r="E99" s="403" t="str">
        <f>'DECK TALLY'!B76</f>
        <v>H8</v>
      </c>
      <c r="F99" s="104">
        <f>'DECK TALLY'!C76</f>
        <v>36.74</v>
      </c>
      <c r="G99" s="92">
        <f t="shared" si="28"/>
        <v>36.402500000000003</v>
      </c>
      <c r="H99" s="95" t="s">
        <v>32</v>
      </c>
      <c r="I99" s="438">
        <f t="shared" si="22"/>
        <v>2697.8774999999996</v>
      </c>
      <c r="J99" s="92">
        <f t="shared" si="23"/>
        <v>18683.122500000001</v>
      </c>
      <c r="K99" s="117">
        <f t="shared" si="30"/>
        <v>159.13281449006877</v>
      </c>
      <c r="L99" s="517"/>
      <c r="M99" s="605"/>
      <c r="N99" s="605"/>
      <c r="O99" s="527">
        <f t="shared" si="17"/>
        <v>-18.920000000000002</v>
      </c>
      <c r="P99" s="531"/>
      <c r="Q99" s="28"/>
      <c r="R99" s="532">
        <f t="shared" ref="R99:R114" si="33">J99+86</f>
        <v>18769.122500000001</v>
      </c>
      <c r="S99" s="37"/>
      <c r="T99" s="37"/>
      <c r="U99" s="37"/>
      <c r="V99" s="37"/>
      <c r="W99" s="37"/>
      <c r="X99" s="37"/>
      <c r="Y99" s="37"/>
      <c r="Z99" s="37"/>
      <c r="AA99" s="37"/>
    </row>
    <row r="100" spans="1:27" s="2" customFormat="1" ht="21" customHeight="1">
      <c r="A100" s="444">
        <f t="shared" si="32"/>
        <v>72</v>
      </c>
      <c r="B100" s="142" t="s">
        <v>384</v>
      </c>
      <c r="C100" s="91">
        <v>2</v>
      </c>
      <c r="D100" s="91" t="s">
        <v>34</v>
      </c>
      <c r="E100" s="403" t="str">
        <f>'DECK TALLY'!B77</f>
        <v>H9</v>
      </c>
      <c r="F100" s="103">
        <f>'DECK TALLY'!C77</f>
        <v>35.46</v>
      </c>
      <c r="G100" s="92">
        <f t="shared" si="28"/>
        <v>35.122500000000002</v>
      </c>
      <c r="H100" s="92" t="s">
        <v>32</v>
      </c>
      <c r="I100" s="438">
        <f t="shared" si="22"/>
        <v>2732.9999999999995</v>
      </c>
      <c r="J100" s="92">
        <f t="shared" si="23"/>
        <v>18648</v>
      </c>
      <c r="K100" s="117">
        <f t="shared" si="30"/>
        <v>159.96773185637892</v>
      </c>
      <c r="L100" s="517"/>
      <c r="M100" s="605"/>
      <c r="N100" s="605"/>
      <c r="O100" s="527">
        <f t="shared" si="17"/>
        <v>-18.920000000000002</v>
      </c>
      <c r="P100" s="531"/>
      <c r="Q100" s="28"/>
      <c r="R100" s="532">
        <f t="shared" si="33"/>
        <v>18734</v>
      </c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2" customFormat="1" ht="21" customHeight="1">
      <c r="A101" s="444">
        <f t="shared" si="32"/>
        <v>73</v>
      </c>
      <c r="B101" s="142" t="s">
        <v>384</v>
      </c>
      <c r="C101" s="91">
        <v>2</v>
      </c>
      <c r="D101" s="91" t="s">
        <v>34</v>
      </c>
      <c r="E101" s="403" t="str">
        <f>'DECK TALLY'!B78</f>
        <v>I1</v>
      </c>
      <c r="F101" s="104">
        <f>'DECK TALLY'!C78</f>
        <v>36.76</v>
      </c>
      <c r="G101" s="92">
        <f t="shared" si="28"/>
        <v>36.422499999999999</v>
      </c>
      <c r="H101" s="92" t="s">
        <v>32</v>
      </c>
      <c r="I101" s="438">
        <f t="shared" si="22"/>
        <v>2769.4224999999997</v>
      </c>
      <c r="J101" s="92">
        <f t="shared" si="23"/>
        <v>18611.577499999999</v>
      </c>
      <c r="K101" s="117">
        <f t="shared" si="30"/>
        <v>160.83355227845684</v>
      </c>
      <c r="L101" s="517"/>
      <c r="M101" s="605"/>
      <c r="N101" s="605"/>
      <c r="O101" s="527">
        <f t="shared" si="17"/>
        <v>-18.920000000000002</v>
      </c>
      <c r="P101" s="531"/>
      <c r="Q101" s="28"/>
      <c r="R101" s="532">
        <f t="shared" si="33"/>
        <v>18697.577499999999</v>
      </c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2" customFormat="1" ht="21" customHeight="1">
      <c r="A102" s="444">
        <f t="shared" si="32"/>
        <v>74</v>
      </c>
      <c r="B102" s="142" t="s">
        <v>384</v>
      </c>
      <c r="C102" s="91">
        <v>2</v>
      </c>
      <c r="D102" s="91" t="s">
        <v>34</v>
      </c>
      <c r="E102" s="403" t="str">
        <f>'DECK TALLY'!B79</f>
        <v>I2</v>
      </c>
      <c r="F102" s="103">
        <f>'DECK TALLY'!C79</f>
        <v>37.06</v>
      </c>
      <c r="G102" s="92">
        <f t="shared" si="28"/>
        <v>36.722500000000004</v>
      </c>
      <c r="H102" s="95" t="s">
        <v>32</v>
      </c>
      <c r="I102" s="438">
        <f t="shared" si="22"/>
        <v>2806.1449999999995</v>
      </c>
      <c r="J102" s="92">
        <f t="shared" si="23"/>
        <v>18574.855</v>
      </c>
      <c r="K102" s="117">
        <f t="shared" si="30"/>
        <v>161.70650417494269</v>
      </c>
      <c r="L102" s="517"/>
      <c r="M102" s="605"/>
      <c r="N102" s="605"/>
      <c r="O102" s="527">
        <f t="shared" si="17"/>
        <v>-18.920000000000002</v>
      </c>
      <c r="P102" s="531"/>
      <c r="Q102" s="28"/>
      <c r="R102" s="532">
        <f t="shared" si="33"/>
        <v>18660.855</v>
      </c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 s="2" customFormat="1" ht="21" customHeight="1">
      <c r="A103" s="444">
        <f t="shared" si="32"/>
        <v>75</v>
      </c>
      <c r="B103" s="142" t="s">
        <v>384</v>
      </c>
      <c r="C103" s="91">
        <v>2</v>
      </c>
      <c r="D103" s="91" t="s">
        <v>34</v>
      </c>
      <c r="E103" s="403" t="str">
        <f>'DECK TALLY'!B80</f>
        <v>I3</v>
      </c>
      <c r="F103" s="104">
        <f>'DECK TALLY'!C80</f>
        <v>36.69</v>
      </c>
      <c r="G103" s="92">
        <f t="shared" si="28"/>
        <v>36.352499999999999</v>
      </c>
      <c r="H103" s="95" t="s">
        <v>32</v>
      </c>
      <c r="I103" s="438">
        <f t="shared" si="22"/>
        <v>2842.4974999999995</v>
      </c>
      <c r="J103" s="92">
        <f t="shared" si="23"/>
        <v>18538.502500000002</v>
      </c>
      <c r="K103" s="117">
        <f t="shared" si="30"/>
        <v>162.57066058632543</v>
      </c>
      <c r="L103" s="517">
        <v>18625</v>
      </c>
      <c r="M103" s="605"/>
      <c r="N103" s="605"/>
      <c r="O103" s="527">
        <f t="shared" si="17"/>
        <v>18606.080000000002</v>
      </c>
      <c r="P103" s="531"/>
      <c r="Q103" s="28"/>
      <c r="R103" s="532">
        <f t="shared" si="33"/>
        <v>18624.502500000002</v>
      </c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 s="2" customFormat="1" ht="21" customHeight="1">
      <c r="A104" s="444">
        <f t="shared" si="32"/>
        <v>76</v>
      </c>
      <c r="B104" s="142" t="s">
        <v>384</v>
      </c>
      <c r="C104" s="91">
        <v>2</v>
      </c>
      <c r="D104" s="91" t="s">
        <v>34</v>
      </c>
      <c r="E104" s="403" t="str">
        <f>'DECK TALLY'!B81</f>
        <v>I4</v>
      </c>
      <c r="F104" s="104">
        <f>'DECK TALLY'!C81</f>
        <v>37.29</v>
      </c>
      <c r="G104" s="92">
        <f t="shared" si="28"/>
        <v>36.952500000000001</v>
      </c>
      <c r="H104" s="92" t="s">
        <v>32</v>
      </c>
      <c r="I104" s="438">
        <f t="shared" si="22"/>
        <v>2879.4499999999994</v>
      </c>
      <c r="J104" s="92">
        <f t="shared" si="23"/>
        <v>18501.55</v>
      </c>
      <c r="K104" s="117">
        <f t="shared" si="30"/>
        <v>163.44907994652405</v>
      </c>
      <c r="L104" s="517"/>
      <c r="M104" s="605"/>
      <c r="N104" s="605"/>
      <c r="O104" s="527">
        <f t="shared" si="17"/>
        <v>-18.920000000000002</v>
      </c>
      <c r="P104" s="531"/>
      <c r="Q104" s="28"/>
      <c r="R104" s="532">
        <f t="shared" si="33"/>
        <v>18587.55</v>
      </c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 s="2" customFormat="1" ht="21" customHeight="1">
      <c r="A105" s="444">
        <f t="shared" si="32"/>
        <v>77</v>
      </c>
      <c r="B105" s="142" t="s">
        <v>384</v>
      </c>
      <c r="C105" s="91">
        <v>2</v>
      </c>
      <c r="D105" s="91" t="s">
        <v>34</v>
      </c>
      <c r="E105" s="403" t="str">
        <f>'DECK TALLY'!B82</f>
        <v>I5</v>
      </c>
      <c r="F105" s="103">
        <f>'DECK TALLY'!C82</f>
        <v>37.21</v>
      </c>
      <c r="G105" s="92">
        <f t="shared" si="28"/>
        <v>36.872500000000002</v>
      </c>
      <c r="H105" s="92" t="s">
        <v>32</v>
      </c>
      <c r="I105" s="438">
        <f t="shared" si="22"/>
        <v>2916.3224999999993</v>
      </c>
      <c r="J105" s="92">
        <f t="shared" si="23"/>
        <v>18464.677500000002</v>
      </c>
      <c r="K105" s="117">
        <f t="shared" si="30"/>
        <v>164.32559758021387</v>
      </c>
      <c r="L105" s="517"/>
      <c r="M105" s="605"/>
      <c r="N105" s="605"/>
      <c r="O105" s="527">
        <f t="shared" si="17"/>
        <v>-18.920000000000002</v>
      </c>
      <c r="P105" s="531"/>
      <c r="Q105" s="28"/>
      <c r="R105" s="532">
        <f t="shared" si="33"/>
        <v>18550.677500000002</v>
      </c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1:27" s="2" customFormat="1" ht="21" customHeight="1">
      <c r="A106" s="444">
        <f t="shared" si="32"/>
        <v>78</v>
      </c>
      <c r="B106" s="142" t="s">
        <v>384</v>
      </c>
      <c r="C106" s="91">
        <v>2</v>
      </c>
      <c r="D106" s="91" t="s">
        <v>34</v>
      </c>
      <c r="E106" s="403" t="str">
        <f>'DECK TALLY'!B83</f>
        <v>I6</v>
      </c>
      <c r="F106" s="104">
        <f>'DECK TALLY'!C83</f>
        <v>37.619999999999997</v>
      </c>
      <c r="G106" s="92">
        <f t="shared" si="28"/>
        <v>37.282499999999999</v>
      </c>
      <c r="H106" s="95" t="s">
        <v>32</v>
      </c>
      <c r="I106" s="438">
        <f t="shared" si="22"/>
        <v>2953.6049999999991</v>
      </c>
      <c r="J106" s="92">
        <f t="shared" si="23"/>
        <v>18427.395</v>
      </c>
      <c r="K106" s="117">
        <f t="shared" si="30"/>
        <v>165.21186156226125</v>
      </c>
      <c r="L106" s="517"/>
      <c r="M106" s="605"/>
      <c r="N106" s="605"/>
      <c r="O106" s="527">
        <f t="shared" si="17"/>
        <v>-18.920000000000002</v>
      </c>
      <c r="P106" s="531"/>
      <c r="Q106" s="28"/>
      <c r="R106" s="532">
        <f t="shared" si="33"/>
        <v>18513.395</v>
      </c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 s="2" customFormat="1" ht="21" customHeight="1">
      <c r="A107" s="444">
        <f t="shared" si="32"/>
        <v>79</v>
      </c>
      <c r="B107" s="142" t="s">
        <v>384</v>
      </c>
      <c r="C107" s="91">
        <v>2</v>
      </c>
      <c r="D107" s="91" t="s">
        <v>34</v>
      </c>
      <c r="E107" s="403" t="str">
        <f>'DECK TALLY'!B84</f>
        <v>I7</v>
      </c>
      <c r="F107" s="103">
        <f>'DECK TALLY'!C84</f>
        <v>36.630000000000003</v>
      </c>
      <c r="G107" s="92">
        <f t="shared" si="28"/>
        <v>36.292500000000004</v>
      </c>
      <c r="H107" s="95" t="s">
        <v>32</v>
      </c>
      <c r="I107" s="438">
        <f t="shared" si="22"/>
        <v>2989.8974999999991</v>
      </c>
      <c r="J107" s="92">
        <f t="shared" si="23"/>
        <v>18391.102500000001</v>
      </c>
      <c r="K107" s="117">
        <f t="shared" si="30"/>
        <v>166.07459167876237</v>
      </c>
      <c r="L107" s="517"/>
      <c r="M107" s="605"/>
      <c r="N107" s="605"/>
      <c r="O107" s="527">
        <f t="shared" si="17"/>
        <v>-18.920000000000002</v>
      </c>
      <c r="P107" s="531"/>
      <c r="Q107" s="28"/>
      <c r="R107" s="532">
        <f t="shared" si="33"/>
        <v>18477.102500000001</v>
      </c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 s="2" customFormat="1" ht="21" customHeight="1">
      <c r="A108" s="444">
        <f t="shared" si="32"/>
        <v>80</v>
      </c>
      <c r="B108" s="142" t="s">
        <v>384</v>
      </c>
      <c r="C108" s="91">
        <v>2</v>
      </c>
      <c r="D108" s="91" t="s">
        <v>34</v>
      </c>
      <c r="E108" s="403" t="str">
        <f>'DECK TALLY'!B85</f>
        <v>I8</v>
      </c>
      <c r="F108" s="104">
        <f>'DECK TALLY'!C85</f>
        <v>36.78</v>
      </c>
      <c r="G108" s="92">
        <f t="shared" si="28"/>
        <v>36.442500000000003</v>
      </c>
      <c r="H108" s="92" t="s">
        <v>32</v>
      </c>
      <c r="I108" s="438">
        <f t="shared" si="22"/>
        <v>3026.3399999999992</v>
      </c>
      <c r="J108" s="92">
        <f t="shared" si="23"/>
        <v>18354.66</v>
      </c>
      <c r="K108" s="117">
        <f t="shared" si="30"/>
        <v>166.94088753246751</v>
      </c>
      <c r="L108" s="517"/>
      <c r="M108" s="605"/>
      <c r="N108" s="605"/>
      <c r="O108" s="527">
        <f t="shared" si="17"/>
        <v>-18.920000000000002</v>
      </c>
      <c r="P108" s="531"/>
      <c r="Q108" s="28"/>
      <c r="R108" s="532">
        <f t="shared" si="33"/>
        <v>18440.66</v>
      </c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 s="2" customFormat="1" ht="21" customHeight="1">
      <c r="A109" s="444">
        <f t="shared" si="32"/>
        <v>81</v>
      </c>
      <c r="B109" s="142" t="s">
        <v>384</v>
      </c>
      <c r="C109" s="91">
        <v>2</v>
      </c>
      <c r="D109" s="91" t="s">
        <v>34</v>
      </c>
      <c r="E109" s="403" t="str">
        <f>'DECK TALLY'!B86</f>
        <v>I9</v>
      </c>
      <c r="F109" s="104">
        <f>'DECK TALLY'!C86</f>
        <v>36.520000000000003</v>
      </c>
      <c r="G109" s="92">
        <f t="shared" si="28"/>
        <v>36.182500000000005</v>
      </c>
      <c r="H109" s="92" t="s">
        <v>32</v>
      </c>
      <c r="I109" s="438">
        <f t="shared" si="22"/>
        <v>3062.5224999999991</v>
      </c>
      <c r="J109" s="92">
        <f t="shared" si="23"/>
        <v>18318.477500000001</v>
      </c>
      <c r="K109" s="117">
        <f t="shared" si="30"/>
        <v>167.80100277501907</v>
      </c>
      <c r="L109" s="517"/>
      <c r="M109" s="605"/>
      <c r="N109" s="605"/>
      <c r="O109" s="527">
        <f t="shared" si="17"/>
        <v>-18.920000000000002</v>
      </c>
      <c r="P109" s="531"/>
      <c r="Q109" s="28"/>
      <c r="R109" s="532">
        <f t="shared" si="33"/>
        <v>18404.477500000001</v>
      </c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 s="2" customFormat="1" ht="21" customHeight="1">
      <c r="A110" s="444">
        <f t="shared" si="32"/>
        <v>82</v>
      </c>
      <c r="B110" s="142" t="s">
        <v>384</v>
      </c>
      <c r="C110" s="91">
        <v>2</v>
      </c>
      <c r="D110" s="91" t="s">
        <v>34</v>
      </c>
      <c r="E110" s="403" t="str">
        <f>'DECK TALLY'!B87</f>
        <v>J1</v>
      </c>
      <c r="F110" s="103">
        <f>'DECK TALLY'!C87</f>
        <v>36.25</v>
      </c>
      <c r="G110" s="92">
        <f t="shared" si="28"/>
        <v>35.912500000000001</v>
      </c>
      <c r="H110" s="95" t="s">
        <v>32</v>
      </c>
      <c r="I110" s="438">
        <f t="shared" si="22"/>
        <v>3098.434999999999</v>
      </c>
      <c r="J110" s="92">
        <f t="shared" si="23"/>
        <v>18282.565000000002</v>
      </c>
      <c r="K110" s="117">
        <f t="shared" si="30"/>
        <v>168.65469969060348</v>
      </c>
      <c r="L110" s="517"/>
      <c r="M110" s="605"/>
      <c r="N110" s="605"/>
      <c r="O110" s="527">
        <f t="shared" si="17"/>
        <v>-18.920000000000002</v>
      </c>
      <c r="P110" s="531"/>
      <c r="Q110" s="28"/>
      <c r="R110" s="532">
        <f t="shared" si="33"/>
        <v>18368.565000000002</v>
      </c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 s="2" customFormat="1" ht="21" customHeight="1">
      <c r="A111" s="444">
        <f t="shared" si="32"/>
        <v>83</v>
      </c>
      <c r="B111" s="142" t="s">
        <v>384</v>
      </c>
      <c r="C111" s="91">
        <v>2</v>
      </c>
      <c r="D111" s="91" t="s">
        <v>34</v>
      </c>
      <c r="E111" s="403" t="str">
        <f>'DECK TALLY'!B88</f>
        <v>J2</v>
      </c>
      <c r="F111" s="104">
        <f>'DECK TALLY'!C88</f>
        <v>36.03</v>
      </c>
      <c r="G111" s="92">
        <f t="shared" si="28"/>
        <v>35.692500000000003</v>
      </c>
      <c r="H111" s="95" t="s">
        <v>32</v>
      </c>
      <c r="I111" s="438">
        <f t="shared" si="22"/>
        <v>3134.1274999999991</v>
      </c>
      <c r="J111" s="92">
        <f t="shared" si="23"/>
        <v>18246.872500000001</v>
      </c>
      <c r="K111" s="117">
        <f t="shared" si="30"/>
        <v>169.50316685828875</v>
      </c>
      <c r="L111" s="517"/>
      <c r="M111" s="739"/>
      <c r="N111" s="739"/>
      <c r="O111" s="527">
        <f t="shared" si="17"/>
        <v>-18.920000000000002</v>
      </c>
      <c r="P111" s="531"/>
      <c r="Q111" s="28"/>
      <c r="R111" s="532">
        <f t="shared" si="33"/>
        <v>18332.872500000001</v>
      </c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 s="2" customFormat="1" ht="21" customHeight="1">
      <c r="A112" s="444">
        <f t="shared" si="32"/>
        <v>84</v>
      </c>
      <c r="B112" s="142" t="s">
        <v>384</v>
      </c>
      <c r="C112" s="91">
        <v>2</v>
      </c>
      <c r="D112" s="91" t="s">
        <v>34</v>
      </c>
      <c r="E112" s="403" t="str">
        <f>'DECK TALLY'!B89</f>
        <v>J3</v>
      </c>
      <c r="F112" s="103">
        <f>'DECK TALLY'!C89</f>
        <v>34.58</v>
      </c>
      <c r="G112" s="232">
        <f t="shared" si="28"/>
        <v>34.2425</v>
      </c>
      <c r="H112" s="92" t="s">
        <v>32</v>
      </c>
      <c r="I112" s="439">
        <f t="shared" si="22"/>
        <v>3168.369999999999</v>
      </c>
      <c r="J112" s="232">
        <f t="shared" si="23"/>
        <v>18212.63</v>
      </c>
      <c r="K112" s="117">
        <f t="shared" si="30"/>
        <v>170.31716523300224</v>
      </c>
      <c r="L112" s="517"/>
      <c r="M112" s="605"/>
      <c r="N112" s="605"/>
      <c r="O112" s="527">
        <f t="shared" si="17"/>
        <v>-18.920000000000002</v>
      </c>
      <c r="P112" s="531"/>
      <c r="Q112" s="28"/>
      <c r="R112" s="532">
        <f t="shared" si="33"/>
        <v>18298.63</v>
      </c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 s="2" customFormat="1" ht="21" customHeight="1">
      <c r="A113" s="444">
        <f t="shared" si="32"/>
        <v>85</v>
      </c>
      <c r="B113" s="142" t="s">
        <v>384</v>
      </c>
      <c r="C113" s="91">
        <v>2</v>
      </c>
      <c r="D113" s="91" t="s">
        <v>34</v>
      </c>
      <c r="E113" s="403" t="str">
        <f>'DECK TALLY'!B90</f>
        <v>J4</v>
      </c>
      <c r="F113" s="104">
        <f>'DECK TALLY'!C90</f>
        <v>36.35</v>
      </c>
      <c r="G113" s="232">
        <f t="shared" ref="G113:G118" si="34">F113-($E$12/12)</f>
        <v>36.012500000000003</v>
      </c>
      <c r="H113" s="92" t="s">
        <v>32</v>
      </c>
      <c r="I113" s="439">
        <f t="shared" ref="I113:I118" si="35">IF(H113="IN",I112+G113,I112)</f>
        <v>3204.3824999999988</v>
      </c>
      <c r="J113" s="232">
        <f t="shared" ref="J113:J118" si="36">IF(I113="","",$M$9-I113)</f>
        <v>18176.6175</v>
      </c>
      <c r="K113" s="117">
        <f t="shared" si="30"/>
        <v>171.17323930672268</v>
      </c>
      <c r="L113" s="517"/>
      <c r="M113" s="605"/>
      <c r="N113" s="605"/>
      <c r="O113" s="527">
        <f t="shared" si="17"/>
        <v>-18.920000000000002</v>
      </c>
      <c r="P113" s="531"/>
      <c r="Q113" s="28"/>
      <c r="R113" s="532">
        <f t="shared" si="33"/>
        <v>18262.6175</v>
      </c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 s="2" customFormat="1" ht="21" customHeight="1">
      <c r="A114" s="444">
        <f t="shared" si="32"/>
        <v>86</v>
      </c>
      <c r="B114" s="142" t="s">
        <v>384</v>
      </c>
      <c r="C114" s="91">
        <v>2</v>
      </c>
      <c r="D114" s="91" t="s">
        <v>34</v>
      </c>
      <c r="E114" s="403" t="str">
        <f>'DECK TALLY'!B91</f>
        <v>J5</v>
      </c>
      <c r="F114" s="104">
        <f>'DECK TALLY'!C91</f>
        <v>36.24</v>
      </c>
      <c r="G114" s="263">
        <f t="shared" si="34"/>
        <v>35.902500000000003</v>
      </c>
      <c r="H114" s="95" t="s">
        <v>32</v>
      </c>
      <c r="I114" s="440">
        <f t="shared" si="35"/>
        <v>3240.2849999999989</v>
      </c>
      <c r="J114" s="263">
        <f t="shared" si="36"/>
        <v>18140.715</v>
      </c>
      <c r="K114" s="117">
        <f t="shared" si="30"/>
        <v>172.02669850649349</v>
      </c>
      <c r="L114" s="517"/>
      <c r="M114" s="604"/>
      <c r="N114" s="605"/>
      <c r="O114" s="527">
        <f t="shared" si="17"/>
        <v>-18.920000000000002</v>
      </c>
      <c r="P114" s="531"/>
      <c r="Q114" s="28"/>
      <c r="R114" s="532">
        <f t="shared" si="33"/>
        <v>18226.715</v>
      </c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 s="2" customFormat="1" ht="21" customHeight="1" thickBot="1">
      <c r="A115" s="444">
        <f>A114+1</f>
        <v>87</v>
      </c>
      <c r="B115" s="142" t="s">
        <v>384</v>
      </c>
      <c r="C115" s="91">
        <v>2</v>
      </c>
      <c r="D115" s="91" t="s">
        <v>34</v>
      </c>
      <c r="E115" s="403" t="str">
        <f>'DECK TALLY'!B92</f>
        <v>J6</v>
      </c>
      <c r="F115" s="103">
        <f>'DECK TALLY'!C92</f>
        <v>36.36</v>
      </c>
      <c r="G115" s="261">
        <f t="shared" si="34"/>
        <v>36.022500000000001</v>
      </c>
      <c r="H115" s="95" t="s">
        <v>32</v>
      </c>
      <c r="I115" s="438">
        <f t="shared" si="35"/>
        <v>3276.307499999999</v>
      </c>
      <c r="J115" s="92">
        <f t="shared" si="36"/>
        <v>18104.692500000001</v>
      </c>
      <c r="K115" s="117">
        <f t="shared" ref="K115:K117" si="37">$H$8+(I115*$E$9*$E$15/1000)</f>
        <v>172.88301029602746</v>
      </c>
      <c r="L115" s="517">
        <v>18191</v>
      </c>
      <c r="M115" s="604"/>
      <c r="N115" s="605"/>
      <c r="O115" s="527">
        <f t="shared" si="17"/>
        <v>18172.080000000002</v>
      </c>
      <c r="P115" s="531"/>
      <c r="Q115" s="28"/>
      <c r="R115" s="532">
        <f>J115+86</f>
        <v>18190.692500000001</v>
      </c>
      <c r="S115" s="37">
        <v>86</v>
      </c>
      <c r="T115" s="37"/>
      <c r="U115" s="37"/>
      <c r="V115" s="37"/>
      <c r="W115" s="37"/>
      <c r="X115" s="37"/>
      <c r="Y115" s="37"/>
      <c r="Z115" s="37"/>
      <c r="AA115" s="37"/>
    </row>
    <row r="116" spans="1:27" s="2" customFormat="1" ht="21" customHeight="1" thickTop="1" thickBot="1">
      <c r="A116" s="446" t="s">
        <v>579</v>
      </c>
      <c r="B116" s="364" t="s">
        <v>580</v>
      </c>
      <c r="C116" s="361">
        <v>1</v>
      </c>
      <c r="D116" s="91" t="s">
        <v>34</v>
      </c>
      <c r="E116" s="405" t="s">
        <v>407</v>
      </c>
      <c r="F116" s="367">
        <v>18.46</v>
      </c>
      <c r="G116" s="92">
        <f t="shared" si="34"/>
        <v>18.122500000000002</v>
      </c>
      <c r="H116" s="95" t="s">
        <v>32</v>
      </c>
      <c r="I116" s="438">
        <f t="shared" si="35"/>
        <v>3294.4299999999989</v>
      </c>
      <c r="J116" s="92">
        <f t="shared" si="36"/>
        <v>18086.57</v>
      </c>
      <c r="K116" s="117">
        <f t="shared" si="37"/>
        <v>173.31381077922077</v>
      </c>
      <c r="L116" s="517">
        <v>18172</v>
      </c>
      <c r="M116" s="543"/>
      <c r="N116" s="544"/>
      <c r="O116" s="527">
        <f t="shared" si="17"/>
        <v>18153.080000000002</v>
      </c>
      <c r="P116" s="531"/>
      <c r="Q116" s="28"/>
      <c r="R116" s="532">
        <f t="shared" ref="R116:R118" si="38">J116+85</f>
        <v>18171.57</v>
      </c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 s="2" customFormat="1" ht="21" customHeight="1" thickBot="1">
      <c r="A117" s="444">
        <f>A115+1</f>
        <v>88</v>
      </c>
      <c r="B117" s="142" t="s">
        <v>384</v>
      </c>
      <c r="C117" s="91">
        <v>2</v>
      </c>
      <c r="D117" s="91" t="s">
        <v>34</v>
      </c>
      <c r="E117" s="362" t="str">
        <f>'DECK TALLY'!B93</f>
        <v>J7</v>
      </c>
      <c r="F117" s="104">
        <f>'DECK TALLY'!C93</f>
        <v>36.869999999999997</v>
      </c>
      <c r="G117" s="263">
        <f t="shared" si="34"/>
        <v>36.532499999999999</v>
      </c>
      <c r="H117" s="92" t="s">
        <v>32</v>
      </c>
      <c r="I117" s="439">
        <f t="shared" si="35"/>
        <v>3330.9624999999987</v>
      </c>
      <c r="J117" s="363">
        <f t="shared" si="36"/>
        <v>18050.037500000002</v>
      </c>
      <c r="K117" s="117">
        <f t="shared" si="37"/>
        <v>174.18224607524826</v>
      </c>
      <c r="L117" s="517">
        <v>18135</v>
      </c>
      <c r="M117" s="317"/>
      <c r="N117" s="484"/>
      <c r="O117" s="527">
        <f t="shared" si="17"/>
        <v>18116.080000000002</v>
      </c>
      <c r="P117" s="531"/>
      <c r="Q117" s="28"/>
      <c r="R117" s="532">
        <f t="shared" si="38"/>
        <v>18135.037500000002</v>
      </c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 s="2" customFormat="1" ht="21" customHeight="1" thickBot="1">
      <c r="A118" s="444">
        <f t="shared" si="32"/>
        <v>89</v>
      </c>
      <c r="B118" s="142" t="s">
        <v>384</v>
      </c>
      <c r="C118" s="361">
        <v>1</v>
      </c>
      <c r="D118" s="91" t="s">
        <v>34</v>
      </c>
      <c r="E118" s="403" t="str">
        <f>'DECK TALLY'!B94</f>
        <v>J8</v>
      </c>
      <c r="F118" s="103">
        <f>'DECK TALLY'!C94</f>
        <v>34.78</v>
      </c>
      <c r="G118" s="232">
        <f t="shared" si="34"/>
        <v>34.442500000000003</v>
      </c>
      <c r="H118" s="92" t="s">
        <v>32</v>
      </c>
      <c r="I118" s="439">
        <f t="shared" si="35"/>
        <v>3365.4049999999988</v>
      </c>
      <c r="J118" s="232">
        <f t="shared" si="36"/>
        <v>18015.595000000001</v>
      </c>
      <c r="K118" s="117">
        <f t="shared" si="30"/>
        <v>175.00099876623375</v>
      </c>
      <c r="L118" s="517">
        <v>18101</v>
      </c>
      <c r="M118" s="545"/>
      <c r="N118" s="546"/>
      <c r="O118" s="527">
        <f t="shared" si="17"/>
        <v>18082.080000000002</v>
      </c>
      <c r="P118" s="531"/>
      <c r="Q118" s="28"/>
      <c r="R118" s="532">
        <f t="shared" si="38"/>
        <v>18100.595000000001</v>
      </c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 s="2" customFormat="1" ht="21" customHeight="1">
      <c r="A119" s="444">
        <f t="shared" si="32"/>
        <v>90</v>
      </c>
      <c r="B119" s="142" t="s">
        <v>384</v>
      </c>
      <c r="C119" s="91">
        <v>2</v>
      </c>
      <c r="D119" s="91" t="s">
        <v>34</v>
      </c>
      <c r="E119" s="403" t="str">
        <f>'DECK TALLY'!B95</f>
        <v>J9</v>
      </c>
      <c r="F119" s="104">
        <f>'DECK TALLY'!C95</f>
        <v>36.130000000000003</v>
      </c>
      <c r="G119" s="263">
        <f t="shared" ref="G119:G121" si="39">F119-($E$12/12)</f>
        <v>35.792500000000004</v>
      </c>
      <c r="H119" s="95" t="s">
        <v>32</v>
      </c>
      <c r="I119" s="440">
        <f t="shared" ref="I119:I121" si="40">IF(H119="IN",I118+G119,I118)</f>
        <v>3401.1974999999989</v>
      </c>
      <c r="J119" s="263">
        <f t="shared" ref="J119:J121" si="41">IF(I119="","",$M$9-I119)</f>
        <v>17979.802500000002</v>
      </c>
      <c r="K119" s="117">
        <f t="shared" si="30"/>
        <v>175.85184309205499</v>
      </c>
      <c r="L119" s="517">
        <v>18065</v>
      </c>
      <c r="M119" s="480"/>
      <c r="N119" s="485"/>
      <c r="O119" s="527">
        <f t="shared" si="17"/>
        <v>18046.080000000002</v>
      </c>
      <c r="P119" s="531"/>
      <c r="Q119" s="28"/>
      <c r="R119" s="532">
        <f>J119+85</f>
        <v>18064.802500000002</v>
      </c>
      <c r="S119" s="37">
        <v>85</v>
      </c>
      <c r="T119" s="37"/>
      <c r="U119" s="37"/>
      <c r="V119" s="37"/>
      <c r="W119" s="37"/>
      <c r="X119" s="37"/>
      <c r="Y119" s="37"/>
      <c r="Z119" s="37"/>
      <c r="AA119" s="37"/>
    </row>
    <row r="120" spans="1:27" s="2" customFormat="1" ht="21" customHeight="1">
      <c r="A120" s="444">
        <f t="shared" si="32"/>
        <v>91</v>
      </c>
      <c r="B120" s="142" t="s">
        <v>384</v>
      </c>
      <c r="C120" s="91">
        <v>2</v>
      </c>
      <c r="D120" s="91" t="s">
        <v>34</v>
      </c>
      <c r="E120" s="403" t="str">
        <f>'DECK TALLY'!B96</f>
        <v>K1</v>
      </c>
      <c r="F120" s="104">
        <f>'DECK TALLY'!C96</f>
        <v>36.64</v>
      </c>
      <c r="G120" s="261">
        <f t="shared" si="39"/>
        <v>36.302500000000002</v>
      </c>
      <c r="H120" s="95" t="s">
        <v>32</v>
      </c>
      <c r="I120" s="441">
        <f t="shared" si="40"/>
        <v>3437.4999999999986</v>
      </c>
      <c r="J120" s="264">
        <f t="shared" si="41"/>
        <v>17943.5</v>
      </c>
      <c r="K120" s="117">
        <f t="shared" si="30"/>
        <v>176.71481092436971</v>
      </c>
      <c r="L120" s="517"/>
      <c r="M120" s="607"/>
      <c r="N120" s="618"/>
      <c r="O120" s="527">
        <f t="shared" si="17"/>
        <v>-18.920000000000002</v>
      </c>
      <c r="P120" s="531"/>
      <c r="Q120" s="28"/>
      <c r="R120" s="532">
        <f t="shared" ref="R120:R125" si="42">J120+84</f>
        <v>18027.5</v>
      </c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 s="2" customFormat="1" ht="21" customHeight="1" thickBot="1">
      <c r="A121" s="444">
        <f t="shared" si="32"/>
        <v>92</v>
      </c>
      <c r="B121" s="142" t="s">
        <v>384</v>
      </c>
      <c r="C121" s="91">
        <v>2</v>
      </c>
      <c r="D121" s="91" t="s">
        <v>34</v>
      </c>
      <c r="E121" s="403" t="str">
        <f>'DECK TALLY'!B97</f>
        <v>K2</v>
      </c>
      <c r="F121" s="103">
        <f>'DECK TALLY'!C97</f>
        <v>36.21</v>
      </c>
      <c r="G121" s="263">
        <f t="shared" si="39"/>
        <v>35.872500000000002</v>
      </c>
      <c r="H121" s="92" t="s">
        <v>32</v>
      </c>
      <c r="I121" s="440">
        <f t="shared" si="40"/>
        <v>3473.3724999999986</v>
      </c>
      <c r="J121" s="263">
        <f t="shared" si="41"/>
        <v>17907.627500000002</v>
      </c>
      <c r="K121" s="117">
        <f t="shared" si="30"/>
        <v>177.56755697669973</v>
      </c>
      <c r="L121" s="517"/>
      <c r="M121" s="366"/>
      <c r="N121" s="486"/>
      <c r="O121" s="527">
        <f t="shared" si="17"/>
        <v>-18.920000000000002</v>
      </c>
      <c r="P121" s="531"/>
      <c r="Q121" s="28"/>
      <c r="R121" s="532">
        <f t="shared" si="42"/>
        <v>17991.627500000002</v>
      </c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 s="2" customFormat="1" ht="21" customHeight="1" thickTop="1">
      <c r="A122" s="444">
        <f t="shared" si="32"/>
        <v>93</v>
      </c>
      <c r="B122" s="142" t="s">
        <v>384</v>
      </c>
      <c r="C122" s="91">
        <v>2</v>
      </c>
      <c r="D122" s="91" t="s">
        <v>34</v>
      </c>
      <c r="E122" s="403" t="str">
        <f>'DECK TALLY'!B98</f>
        <v>K3</v>
      </c>
      <c r="F122" s="104">
        <f>'DECK TALLY'!C98</f>
        <v>36.5</v>
      </c>
      <c r="G122" s="232">
        <f t="shared" si="28"/>
        <v>36.162500000000001</v>
      </c>
      <c r="H122" s="92" t="s">
        <v>32</v>
      </c>
      <c r="I122" s="439">
        <f t="shared" si="22"/>
        <v>3509.5349999999985</v>
      </c>
      <c r="J122" s="232">
        <f t="shared" si="23"/>
        <v>17871.465</v>
      </c>
      <c r="K122" s="117">
        <f t="shared" si="30"/>
        <v>178.4271967876241</v>
      </c>
      <c r="L122" s="517"/>
      <c r="M122" s="782"/>
      <c r="N122" s="782"/>
      <c r="O122" s="527">
        <f t="shared" si="17"/>
        <v>-18.920000000000002</v>
      </c>
      <c r="P122" s="531"/>
      <c r="Q122" s="28"/>
      <c r="R122" s="532">
        <f t="shared" si="42"/>
        <v>17955.465</v>
      </c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 s="2" customFormat="1" ht="21" customHeight="1">
      <c r="A123" s="444">
        <f t="shared" si="32"/>
        <v>94</v>
      </c>
      <c r="B123" s="142" t="s">
        <v>384</v>
      </c>
      <c r="C123" s="91">
        <v>2</v>
      </c>
      <c r="D123" s="91" t="s">
        <v>34</v>
      </c>
      <c r="E123" s="403" t="str">
        <f>'DECK TALLY'!B99</f>
        <v>K4</v>
      </c>
      <c r="F123" s="103">
        <f>'DECK TALLY'!C99</f>
        <v>36.64</v>
      </c>
      <c r="G123" s="232">
        <f t="shared" ref="G123:G151" si="43">F123-($E$12/12)</f>
        <v>36.302500000000002</v>
      </c>
      <c r="H123" s="95" t="s">
        <v>32</v>
      </c>
      <c r="I123" s="439">
        <f t="shared" si="22"/>
        <v>3545.8374999999983</v>
      </c>
      <c r="J123" s="232">
        <f t="shared" si="23"/>
        <v>17835.162500000002</v>
      </c>
      <c r="K123" s="117">
        <f t="shared" si="30"/>
        <v>179.29016461993885</v>
      </c>
      <c r="L123" s="517"/>
      <c r="M123" s="605"/>
      <c r="N123" s="605"/>
      <c r="O123" s="527">
        <f t="shared" si="17"/>
        <v>-18.920000000000002</v>
      </c>
      <c r="P123" s="531"/>
      <c r="Q123" s="28"/>
      <c r="R123" s="532">
        <f t="shared" si="42"/>
        <v>17919.162500000002</v>
      </c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 s="2" customFormat="1" ht="21" customHeight="1">
      <c r="A124" s="444">
        <f t="shared" si="32"/>
        <v>95</v>
      </c>
      <c r="B124" s="142" t="s">
        <v>384</v>
      </c>
      <c r="C124" s="91">
        <v>2</v>
      </c>
      <c r="D124" s="91" t="s">
        <v>34</v>
      </c>
      <c r="E124" s="403" t="str">
        <f>'DECK TALLY'!B100</f>
        <v>K5</v>
      </c>
      <c r="F124" s="104">
        <f>'DECK TALLY'!C100</f>
        <v>36.47</v>
      </c>
      <c r="G124" s="232">
        <f t="shared" si="43"/>
        <v>36.1325</v>
      </c>
      <c r="H124" s="95" t="s">
        <v>32</v>
      </c>
      <c r="I124" s="439">
        <f t="shared" si="22"/>
        <v>3581.9699999999984</v>
      </c>
      <c r="J124" s="232">
        <f t="shared" si="23"/>
        <v>17799.030000000002</v>
      </c>
      <c r="K124" s="117">
        <f t="shared" si="30"/>
        <v>180.14909128342242</v>
      </c>
      <c r="L124" s="517"/>
      <c r="M124" s="605"/>
      <c r="N124" s="605"/>
      <c r="O124" s="527">
        <f t="shared" si="17"/>
        <v>-18.920000000000002</v>
      </c>
      <c r="P124" s="531"/>
      <c r="Q124" s="28"/>
      <c r="R124" s="532">
        <f t="shared" si="42"/>
        <v>17883.030000000002</v>
      </c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 s="2" customFormat="1" ht="21" customHeight="1">
      <c r="A125" s="444">
        <f t="shared" si="32"/>
        <v>96</v>
      </c>
      <c r="B125" s="142" t="s">
        <v>384</v>
      </c>
      <c r="C125" s="91">
        <v>2</v>
      </c>
      <c r="D125" s="91" t="s">
        <v>34</v>
      </c>
      <c r="E125" s="403" t="str">
        <f>'DECK TALLY'!B101</f>
        <v>K6</v>
      </c>
      <c r="F125" s="104">
        <f>'DECK TALLY'!C101</f>
        <v>36.47</v>
      </c>
      <c r="G125" s="232">
        <f t="shared" si="43"/>
        <v>36.1325</v>
      </c>
      <c r="H125" s="92" t="s">
        <v>32</v>
      </c>
      <c r="I125" s="439">
        <f t="shared" ref="I125" si="44">IF(H125="IN",I124+G125,I124)</f>
        <v>3618.1024999999986</v>
      </c>
      <c r="J125" s="232">
        <f t="shared" ref="J125" si="45">IF(I125="","",$M$9-I125)</f>
        <v>17762.897500000003</v>
      </c>
      <c r="K125" s="117">
        <f t="shared" si="30"/>
        <v>181.00801794690602</v>
      </c>
      <c r="L125" s="517"/>
      <c r="M125" s="605"/>
      <c r="N125" s="605"/>
      <c r="O125" s="527">
        <f t="shared" ref="O125:O188" si="46">L125-18.92</f>
        <v>-18.920000000000002</v>
      </c>
      <c r="P125" s="531"/>
      <c r="Q125" s="28"/>
      <c r="R125" s="532">
        <f t="shared" si="42"/>
        <v>17846.897500000003</v>
      </c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 s="2" customFormat="1" ht="21" customHeight="1">
      <c r="A126" s="444">
        <f t="shared" si="32"/>
        <v>97</v>
      </c>
      <c r="B126" s="142" t="s">
        <v>384</v>
      </c>
      <c r="C126" s="91">
        <v>2</v>
      </c>
      <c r="D126" s="91" t="s">
        <v>34</v>
      </c>
      <c r="E126" s="403" t="str">
        <f>'DECK TALLY'!B102</f>
        <v>K7</v>
      </c>
      <c r="F126" s="103">
        <f>'DECK TALLY'!C102</f>
        <v>36.590000000000003</v>
      </c>
      <c r="G126" s="232">
        <f t="shared" si="43"/>
        <v>36.252500000000005</v>
      </c>
      <c r="H126" s="92" t="s">
        <v>32</v>
      </c>
      <c r="I126" s="439">
        <f t="shared" si="22"/>
        <v>3654.3549999999987</v>
      </c>
      <c r="J126" s="232">
        <f t="shared" si="23"/>
        <v>17726.645</v>
      </c>
      <c r="K126" s="117">
        <f t="shared" si="30"/>
        <v>181.86979720015273</v>
      </c>
      <c r="L126" s="517">
        <v>17811</v>
      </c>
      <c r="M126" s="605"/>
      <c r="N126" s="605"/>
      <c r="O126" s="527">
        <f t="shared" si="46"/>
        <v>17792.080000000002</v>
      </c>
      <c r="P126" s="531">
        <f>O126-J126</f>
        <v>65.43500000000131</v>
      </c>
      <c r="Q126" s="28"/>
      <c r="R126" s="532">
        <f>J126+84</f>
        <v>17810.645</v>
      </c>
      <c r="S126" s="37">
        <v>84</v>
      </c>
      <c r="T126" s="37"/>
      <c r="U126" s="37"/>
      <c r="V126" s="37"/>
      <c r="W126" s="37"/>
      <c r="X126" s="37"/>
      <c r="Y126" s="37"/>
      <c r="Z126" s="37"/>
      <c r="AA126" s="37"/>
    </row>
    <row r="127" spans="1:27" s="2" customFormat="1" ht="21" customHeight="1">
      <c r="A127" s="444">
        <f t="shared" si="32"/>
        <v>98</v>
      </c>
      <c r="B127" s="142" t="s">
        <v>384</v>
      </c>
      <c r="C127" s="91">
        <v>2</v>
      </c>
      <c r="D127" s="91" t="s">
        <v>34</v>
      </c>
      <c r="E127" s="403" t="str">
        <f>'DECK TALLY'!B103</f>
        <v>K8</v>
      </c>
      <c r="F127" s="104">
        <f>'DECK TALLY'!C103</f>
        <v>36.58</v>
      </c>
      <c r="G127" s="92">
        <f t="shared" si="43"/>
        <v>36.2425</v>
      </c>
      <c r="H127" s="95" t="s">
        <v>32</v>
      </c>
      <c r="I127" s="438">
        <f t="shared" ref="I127:I190" si="47">IF(H127="IN",I126+G127,I126)</f>
        <v>3690.5974999999985</v>
      </c>
      <c r="J127" s="92">
        <f t="shared" si="23"/>
        <v>17690.4025</v>
      </c>
      <c r="K127" s="117">
        <f t="shared" si="30"/>
        <v>182.73133873758593</v>
      </c>
      <c r="L127" s="517"/>
      <c r="M127" s="605"/>
      <c r="N127" s="605"/>
      <c r="O127" s="527">
        <f t="shared" si="46"/>
        <v>-18.920000000000002</v>
      </c>
      <c r="P127" s="531"/>
      <c r="Q127" s="28"/>
      <c r="R127" s="532">
        <f t="shared" ref="R127:R138" si="48">J127+83</f>
        <v>17773.4025</v>
      </c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 s="2" customFormat="1" ht="21" customHeight="1">
      <c r="A128" s="444">
        <f t="shared" si="32"/>
        <v>99</v>
      </c>
      <c r="B128" s="142" t="s">
        <v>384</v>
      </c>
      <c r="C128" s="91">
        <v>2</v>
      </c>
      <c r="D128" s="91" t="s">
        <v>34</v>
      </c>
      <c r="E128" s="403" t="str">
        <f>'DECK TALLY'!B104</f>
        <v>K9</v>
      </c>
      <c r="F128" s="103">
        <f>'DECK TALLY'!C104</f>
        <v>36.479999999999997</v>
      </c>
      <c r="G128" s="92">
        <f t="shared" si="43"/>
        <v>36.142499999999998</v>
      </c>
      <c r="H128" s="95" t="s">
        <v>32</v>
      </c>
      <c r="I128" s="438">
        <f t="shared" si="47"/>
        <v>3726.7399999999984</v>
      </c>
      <c r="J128" s="92">
        <f t="shared" si="23"/>
        <v>17654.260000000002</v>
      </c>
      <c r="K128" s="117">
        <f t="shared" si="30"/>
        <v>183.59050311688307</v>
      </c>
      <c r="L128" s="517"/>
      <c r="M128" s="605"/>
      <c r="N128" s="605"/>
      <c r="O128" s="527">
        <f t="shared" si="46"/>
        <v>-18.920000000000002</v>
      </c>
      <c r="P128" s="531"/>
      <c r="Q128" s="28"/>
      <c r="R128" s="532">
        <f t="shared" si="48"/>
        <v>17737.260000000002</v>
      </c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 s="2" customFormat="1" ht="21" customHeight="1">
      <c r="A129" s="444">
        <f t="shared" si="32"/>
        <v>100</v>
      </c>
      <c r="B129" s="142" t="s">
        <v>384</v>
      </c>
      <c r="C129" s="91">
        <v>2</v>
      </c>
      <c r="D129" s="91" t="s">
        <v>34</v>
      </c>
      <c r="E129" s="403" t="str">
        <f>'DECK TALLY'!B105</f>
        <v>L1</v>
      </c>
      <c r="F129" s="104">
        <f>'DECK TALLY'!C105</f>
        <v>36.86</v>
      </c>
      <c r="G129" s="92">
        <f t="shared" si="43"/>
        <v>36.522500000000001</v>
      </c>
      <c r="H129" s="92" t="s">
        <v>32</v>
      </c>
      <c r="I129" s="438">
        <f t="shared" si="47"/>
        <v>3763.2624999999985</v>
      </c>
      <c r="J129" s="92">
        <f t="shared" si="23"/>
        <v>17617.737500000003</v>
      </c>
      <c r="K129" s="117">
        <f t="shared" si="30"/>
        <v>184.45870069709702</v>
      </c>
      <c r="L129" s="517"/>
      <c r="M129" s="605"/>
      <c r="N129" s="605"/>
      <c r="O129" s="527">
        <f t="shared" si="46"/>
        <v>-18.920000000000002</v>
      </c>
      <c r="P129" s="531"/>
      <c r="Q129" s="28"/>
      <c r="R129" s="532">
        <f t="shared" si="48"/>
        <v>17700.737500000003</v>
      </c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 s="2" customFormat="1" ht="21" customHeight="1">
      <c r="A130" s="444">
        <f t="shared" si="32"/>
        <v>101</v>
      </c>
      <c r="B130" s="142" t="s">
        <v>384</v>
      </c>
      <c r="C130" s="91">
        <v>2</v>
      </c>
      <c r="D130" s="91" t="s">
        <v>34</v>
      </c>
      <c r="E130" s="403" t="str">
        <f>'DECK TALLY'!B106</f>
        <v>L2</v>
      </c>
      <c r="F130" s="104">
        <f>'DECK TALLY'!C106</f>
        <v>36.53</v>
      </c>
      <c r="G130" s="92">
        <f t="shared" si="43"/>
        <v>36.192500000000003</v>
      </c>
      <c r="H130" s="92" t="s">
        <v>32</v>
      </c>
      <c r="I130" s="438">
        <f t="shared" si="47"/>
        <v>3799.4549999999986</v>
      </c>
      <c r="J130" s="92">
        <f t="shared" si="23"/>
        <v>17581.545000000002</v>
      </c>
      <c r="K130" s="117">
        <f t="shared" si="30"/>
        <v>185.31905365546214</v>
      </c>
      <c r="L130" s="517"/>
      <c r="M130" s="605"/>
      <c r="N130" s="605"/>
      <c r="O130" s="527">
        <f t="shared" si="46"/>
        <v>-18.920000000000002</v>
      </c>
      <c r="P130" s="531"/>
      <c r="Q130" s="28"/>
      <c r="R130" s="532">
        <f t="shared" si="48"/>
        <v>17664.545000000002</v>
      </c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 s="2" customFormat="1" ht="21" customHeight="1">
      <c r="A131" s="444">
        <f t="shared" si="32"/>
        <v>102</v>
      </c>
      <c r="B131" s="142" t="s">
        <v>384</v>
      </c>
      <c r="C131" s="91">
        <v>2</v>
      </c>
      <c r="D131" s="91" t="s">
        <v>34</v>
      </c>
      <c r="E131" s="403" t="str">
        <f>'DECK TALLY'!B107</f>
        <v>L3</v>
      </c>
      <c r="F131" s="103">
        <f>'DECK TALLY'!C107</f>
        <v>36.5</v>
      </c>
      <c r="G131" s="92">
        <f t="shared" si="43"/>
        <v>36.162500000000001</v>
      </c>
      <c r="H131" s="95" t="s">
        <v>32</v>
      </c>
      <c r="I131" s="438">
        <f t="shared" si="47"/>
        <v>3835.6174999999985</v>
      </c>
      <c r="J131" s="92">
        <f t="shared" si="23"/>
        <v>17545.3825</v>
      </c>
      <c r="K131" s="117">
        <f t="shared" si="30"/>
        <v>186.17869346638651</v>
      </c>
      <c r="L131" s="517"/>
      <c r="M131" s="605"/>
      <c r="N131" s="605"/>
      <c r="O131" s="527">
        <f t="shared" si="46"/>
        <v>-18.920000000000002</v>
      </c>
      <c r="P131" s="531"/>
      <c r="Q131" s="28"/>
      <c r="R131" s="532">
        <f t="shared" si="48"/>
        <v>17628.3825</v>
      </c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 s="2" customFormat="1" ht="21" customHeight="1">
      <c r="A132" s="444">
        <f t="shared" si="32"/>
        <v>103</v>
      </c>
      <c r="B132" s="142" t="s">
        <v>384</v>
      </c>
      <c r="C132" s="91">
        <v>2</v>
      </c>
      <c r="D132" s="91" t="s">
        <v>34</v>
      </c>
      <c r="E132" s="403" t="str">
        <f>'DECK TALLY'!B108</f>
        <v>L4</v>
      </c>
      <c r="F132" s="104">
        <f>'DECK TALLY'!C108</f>
        <v>36.89</v>
      </c>
      <c r="G132" s="92">
        <f t="shared" si="43"/>
        <v>36.552500000000002</v>
      </c>
      <c r="H132" s="95" t="s">
        <v>32</v>
      </c>
      <c r="I132" s="438">
        <f t="shared" si="47"/>
        <v>3872.1699999999983</v>
      </c>
      <c r="J132" s="92">
        <f t="shared" si="23"/>
        <v>17508.830000000002</v>
      </c>
      <c r="K132" s="117">
        <f t="shared" si="30"/>
        <v>187.04760419404121</v>
      </c>
      <c r="L132" s="517"/>
      <c r="M132" s="605"/>
      <c r="N132" s="605"/>
      <c r="O132" s="527">
        <f t="shared" si="46"/>
        <v>-18.920000000000002</v>
      </c>
      <c r="P132" s="531"/>
      <c r="Q132" s="28"/>
      <c r="R132" s="532">
        <f t="shared" si="48"/>
        <v>17591.830000000002</v>
      </c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 s="2" customFormat="1" ht="21" customHeight="1">
      <c r="A133" s="444">
        <f t="shared" si="32"/>
        <v>104</v>
      </c>
      <c r="B133" s="142" t="s">
        <v>384</v>
      </c>
      <c r="C133" s="91">
        <v>2</v>
      </c>
      <c r="D133" s="91" t="s">
        <v>34</v>
      </c>
      <c r="E133" s="403" t="str">
        <f>'DECK TALLY'!B109</f>
        <v>L5</v>
      </c>
      <c r="F133" s="103">
        <f>'DECK TALLY'!C109</f>
        <v>36.46</v>
      </c>
      <c r="G133" s="92">
        <f t="shared" si="43"/>
        <v>36.122500000000002</v>
      </c>
      <c r="H133" s="92" t="s">
        <v>32</v>
      </c>
      <c r="I133" s="438">
        <f t="shared" si="47"/>
        <v>3908.2924999999982</v>
      </c>
      <c r="J133" s="92">
        <f t="shared" si="23"/>
        <v>17472.7075</v>
      </c>
      <c r="K133" s="117">
        <f t="shared" si="30"/>
        <v>187.90629314171122</v>
      </c>
      <c r="L133" s="517"/>
      <c r="M133" s="605"/>
      <c r="N133" s="605"/>
      <c r="O133" s="527">
        <f t="shared" si="46"/>
        <v>-18.920000000000002</v>
      </c>
      <c r="P133" s="531"/>
      <c r="Q133" s="28"/>
      <c r="R133" s="532">
        <f t="shared" si="48"/>
        <v>17555.7075</v>
      </c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 s="2" customFormat="1" ht="21" customHeight="1">
      <c r="A134" s="444">
        <f t="shared" si="32"/>
        <v>105</v>
      </c>
      <c r="B134" s="142" t="s">
        <v>384</v>
      </c>
      <c r="C134" s="91">
        <v>2</v>
      </c>
      <c r="D134" s="91" t="s">
        <v>34</v>
      </c>
      <c r="E134" s="403" t="str">
        <f>'DECK TALLY'!B110</f>
        <v>L6</v>
      </c>
      <c r="F134" s="104">
        <f>'DECK TALLY'!C110</f>
        <v>35.89</v>
      </c>
      <c r="G134" s="92">
        <f t="shared" si="43"/>
        <v>35.552500000000002</v>
      </c>
      <c r="H134" s="92" t="s">
        <v>32</v>
      </c>
      <c r="I134" s="438">
        <f t="shared" si="47"/>
        <v>3943.844999999998</v>
      </c>
      <c r="J134" s="92">
        <f t="shared" si="23"/>
        <v>17437.155000000002</v>
      </c>
      <c r="K134" s="117">
        <f t="shared" si="30"/>
        <v>188.75143228800607</v>
      </c>
      <c r="L134" s="517">
        <v>17520</v>
      </c>
      <c r="M134" s="605"/>
      <c r="N134" s="605"/>
      <c r="O134" s="527">
        <f t="shared" si="46"/>
        <v>17501.080000000002</v>
      </c>
      <c r="P134" s="531"/>
      <c r="Q134" s="28"/>
      <c r="R134" s="532">
        <f t="shared" si="48"/>
        <v>17520.155000000002</v>
      </c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 s="2" customFormat="1" ht="21" customHeight="1">
      <c r="A135" s="444">
        <f t="shared" si="32"/>
        <v>106</v>
      </c>
      <c r="B135" s="142" t="s">
        <v>384</v>
      </c>
      <c r="C135" s="91">
        <v>2</v>
      </c>
      <c r="D135" s="91" t="s">
        <v>34</v>
      </c>
      <c r="E135" s="403" t="str">
        <f>'DECK TALLY'!B111</f>
        <v>L7</v>
      </c>
      <c r="F135" s="104">
        <f>'DECK TALLY'!C111</f>
        <v>36.99</v>
      </c>
      <c r="G135" s="92">
        <f t="shared" si="43"/>
        <v>36.652500000000003</v>
      </c>
      <c r="H135" s="95" t="s">
        <v>32</v>
      </c>
      <c r="I135" s="438">
        <f t="shared" si="47"/>
        <v>3980.4974999999981</v>
      </c>
      <c r="J135" s="92">
        <f t="shared" si="23"/>
        <v>17400.502500000002</v>
      </c>
      <c r="K135" s="117">
        <f t="shared" si="30"/>
        <v>189.62272017379675</v>
      </c>
      <c r="L135" s="517"/>
      <c r="M135" s="605"/>
      <c r="N135" s="605"/>
      <c r="O135" s="527">
        <f t="shared" si="46"/>
        <v>-18.920000000000002</v>
      </c>
      <c r="P135" s="531"/>
      <c r="Q135" s="28"/>
      <c r="R135" s="532">
        <f t="shared" si="48"/>
        <v>17483.502500000002</v>
      </c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 s="2" customFormat="1" ht="21" customHeight="1">
      <c r="A136" s="444">
        <f t="shared" si="32"/>
        <v>107</v>
      </c>
      <c r="B136" s="142" t="s">
        <v>384</v>
      </c>
      <c r="C136" s="91">
        <v>2</v>
      </c>
      <c r="D136" s="91" t="s">
        <v>34</v>
      </c>
      <c r="E136" s="403" t="str">
        <f>'DECK TALLY'!B112</f>
        <v>L8</v>
      </c>
      <c r="F136" s="103">
        <f>'DECK TALLY'!C112</f>
        <v>34.57</v>
      </c>
      <c r="G136" s="92">
        <f t="shared" si="43"/>
        <v>34.232500000000002</v>
      </c>
      <c r="H136" s="95" t="s">
        <v>32</v>
      </c>
      <c r="I136" s="438">
        <f t="shared" si="47"/>
        <v>4014.7299999999982</v>
      </c>
      <c r="J136" s="92">
        <f t="shared" si="23"/>
        <v>17366.27</v>
      </c>
      <c r="K136" s="117">
        <f t="shared" si="30"/>
        <v>190.43648083269667</v>
      </c>
      <c r="L136" s="517"/>
      <c r="M136" s="605"/>
      <c r="N136" s="605"/>
      <c r="O136" s="527">
        <f t="shared" si="46"/>
        <v>-18.920000000000002</v>
      </c>
      <c r="P136" s="531"/>
      <c r="Q136" s="28"/>
      <c r="R136" s="532">
        <f t="shared" si="48"/>
        <v>17449.27</v>
      </c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 s="2" customFormat="1" ht="21" customHeight="1">
      <c r="A137" s="444">
        <f t="shared" si="32"/>
        <v>108</v>
      </c>
      <c r="B137" s="142" t="s">
        <v>384</v>
      </c>
      <c r="C137" s="91">
        <v>2</v>
      </c>
      <c r="D137" s="91" t="s">
        <v>34</v>
      </c>
      <c r="E137" s="403" t="str">
        <f>'DECK TALLY'!B113</f>
        <v>L9</v>
      </c>
      <c r="F137" s="104">
        <f>'DECK TALLY'!C113</f>
        <v>36.72</v>
      </c>
      <c r="G137" s="92">
        <f t="shared" si="43"/>
        <v>36.3825</v>
      </c>
      <c r="H137" s="92" t="s">
        <v>32</v>
      </c>
      <c r="I137" s="438">
        <f t="shared" si="47"/>
        <v>4051.1124999999984</v>
      </c>
      <c r="J137" s="92">
        <f t="shared" si="23"/>
        <v>17329.887500000001</v>
      </c>
      <c r="K137" s="117">
        <f t="shared" si="30"/>
        <v>191.3013503915202</v>
      </c>
      <c r="L137" s="517"/>
      <c r="M137" s="605"/>
      <c r="N137" s="605"/>
      <c r="O137" s="527">
        <f t="shared" si="46"/>
        <v>-18.920000000000002</v>
      </c>
      <c r="P137" s="531"/>
      <c r="Q137" s="28"/>
      <c r="R137" s="532">
        <f t="shared" si="48"/>
        <v>17412.887500000001</v>
      </c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 s="2" customFormat="1" ht="21" customHeight="1">
      <c r="A138" s="444">
        <f t="shared" si="32"/>
        <v>109</v>
      </c>
      <c r="B138" s="142" t="s">
        <v>384</v>
      </c>
      <c r="C138" s="91">
        <v>2</v>
      </c>
      <c r="D138" s="91" t="s">
        <v>34</v>
      </c>
      <c r="E138" s="403" t="str">
        <f>'DECK TALLY'!B114</f>
        <v>M1</v>
      </c>
      <c r="F138" s="103">
        <f>'DECK TALLY'!C114</f>
        <v>36.49</v>
      </c>
      <c r="G138" s="92">
        <f t="shared" si="43"/>
        <v>36.152500000000003</v>
      </c>
      <c r="H138" s="92" t="s">
        <v>32</v>
      </c>
      <c r="I138" s="438">
        <f t="shared" si="47"/>
        <v>4087.2649999999985</v>
      </c>
      <c r="J138" s="92">
        <f t="shared" si="23"/>
        <v>17293.735000000001</v>
      </c>
      <c r="K138" s="117">
        <f t="shared" si="30"/>
        <v>192.160752486631</v>
      </c>
      <c r="L138" s="517"/>
      <c r="M138" s="605"/>
      <c r="N138" s="605"/>
      <c r="O138" s="527">
        <f t="shared" si="46"/>
        <v>-18.920000000000002</v>
      </c>
      <c r="P138" s="531"/>
      <c r="Q138" s="28"/>
      <c r="R138" s="532">
        <f t="shared" si="48"/>
        <v>17376.735000000001</v>
      </c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 s="2" customFormat="1" ht="21" customHeight="1" thickBot="1">
      <c r="A139" s="444">
        <f t="shared" si="32"/>
        <v>110</v>
      </c>
      <c r="B139" s="142" t="s">
        <v>384</v>
      </c>
      <c r="C139" s="91">
        <v>2</v>
      </c>
      <c r="D139" s="91" t="s">
        <v>34</v>
      </c>
      <c r="E139" s="403" t="str">
        <f>'DECK TALLY'!B115</f>
        <v>M2</v>
      </c>
      <c r="F139" s="104">
        <f>'DECK TALLY'!C115</f>
        <v>35.72</v>
      </c>
      <c r="G139" s="92">
        <f t="shared" si="43"/>
        <v>35.3825</v>
      </c>
      <c r="H139" s="95" t="s">
        <v>32</v>
      </c>
      <c r="I139" s="438">
        <f t="shared" si="47"/>
        <v>4122.6474999999982</v>
      </c>
      <c r="J139" s="92">
        <f t="shared" si="23"/>
        <v>17258.352500000001</v>
      </c>
      <c r="K139" s="117">
        <f t="shared" si="30"/>
        <v>193.00185046409467</v>
      </c>
      <c r="L139" s="517">
        <v>17341</v>
      </c>
      <c r="M139" s="605"/>
      <c r="N139" s="605"/>
      <c r="O139" s="527">
        <f t="shared" si="46"/>
        <v>17322.080000000002</v>
      </c>
      <c r="P139" s="531">
        <f>O139-J139</f>
        <v>63.727500000000873</v>
      </c>
      <c r="Q139" s="28"/>
      <c r="R139" s="532">
        <f>J139+83</f>
        <v>17341.352500000001</v>
      </c>
      <c r="S139" s="37">
        <v>83</v>
      </c>
      <c r="T139" s="37"/>
      <c r="U139" s="37"/>
      <c r="V139" s="37"/>
      <c r="W139" s="37"/>
      <c r="X139" s="37"/>
      <c r="Y139" s="37"/>
      <c r="Z139" s="37"/>
      <c r="AA139" s="37"/>
    </row>
    <row r="140" spans="1:27" s="2" customFormat="1" ht="21" customHeight="1" thickTop="1" thickBot="1">
      <c r="A140" s="444">
        <f t="shared" si="32"/>
        <v>111</v>
      </c>
      <c r="B140" s="142" t="s">
        <v>384</v>
      </c>
      <c r="C140" s="361">
        <v>1</v>
      </c>
      <c r="D140" s="91" t="s">
        <v>34</v>
      </c>
      <c r="E140" s="403" t="str">
        <f>'DECK TALLY'!B116</f>
        <v>M3</v>
      </c>
      <c r="F140" s="104">
        <f>'DECK TALLY'!C116</f>
        <v>35.65</v>
      </c>
      <c r="G140" s="92">
        <f t="shared" si="43"/>
        <v>35.3125</v>
      </c>
      <c r="H140" s="92" t="s">
        <v>32</v>
      </c>
      <c r="I140" s="438">
        <f t="shared" ref="I140:I144" si="49">IF(H140="IN",I139+G140,I139)</f>
        <v>4157.9599999999982</v>
      </c>
      <c r="J140" s="92">
        <f t="shared" ref="J140:J144" si="50">IF(I140="","",$M$9-I140)</f>
        <v>17223.04</v>
      </c>
      <c r="K140" s="117">
        <f t="shared" ref="K140:K144" si="51">$H$8+(I140*$E$9*$E$15/1000)</f>
        <v>193.84128443086323</v>
      </c>
      <c r="L140" s="517"/>
      <c r="M140" s="315" t="s">
        <v>569</v>
      </c>
      <c r="N140" s="483">
        <v>17215</v>
      </c>
      <c r="O140" s="527">
        <f t="shared" si="46"/>
        <v>-18.920000000000002</v>
      </c>
      <c r="P140" s="531"/>
      <c r="Q140" s="28"/>
      <c r="R140" s="532">
        <f t="shared" ref="R140:R153" si="52">J140+81</f>
        <v>17304.04</v>
      </c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 s="2" customFormat="1" ht="21" customHeight="1" thickBot="1">
      <c r="A141" s="444">
        <f t="shared" si="32"/>
        <v>112</v>
      </c>
      <c r="B141" s="142" t="s">
        <v>384</v>
      </c>
      <c r="C141" s="91">
        <v>2</v>
      </c>
      <c r="D141" s="91" t="s">
        <v>34</v>
      </c>
      <c r="E141" s="362" t="str">
        <f>'DECK TALLY'!B117</f>
        <v>M4</v>
      </c>
      <c r="F141" s="103">
        <f>'DECK TALLY'!C117</f>
        <v>36.69</v>
      </c>
      <c r="G141" s="92">
        <f t="shared" si="43"/>
        <v>36.352499999999999</v>
      </c>
      <c r="H141" s="92" t="s">
        <v>32</v>
      </c>
      <c r="I141" s="438">
        <f t="shared" si="49"/>
        <v>4194.3124999999982</v>
      </c>
      <c r="J141" s="363">
        <f t="shared" si="50"/>
        <v>17186.6875</v>
      </c>
      <c r="K141" s="117">
        <f t="shared" si="51"/>
        <v>194.70544084224593</v>
      </c>
      <c r="L141" s="517"/>
      <c r="M141" s="317" t="s">
        <v>589</v>
      </c>
      <c r="N141" s="484" t="str">
        <f>E141</f>
        <v>M4</v>
      </c>
      <c r="O141" s="527">
        <f t="shared" si="46"/>
        <v>-18.920000000000002</v>
      </c>
      <c r="P141" s="531"/>
      <c r="Q141" s="28"/>
      <c r="R141" s="532">
        <f t="shared" si="52"/>
        <v>17267.6875</v>
      </c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 s="2" customFormat="1" ht="21" customHeight="1" thickBot="1">
      <c r="A142" s="446" t="s">
        <v>579</v>
      </c>
      <c r="B142" s="364" t="s">
        <v>580</v>
      </c>
      <c r="C142" s="361">
        <v>1</v>
      </c>
      <c r="D142" s="91" t="s">
        <v>34</v>
      </c>
      <c r="E142" s="405" t="s">
        <v>523</v>
      </c>
      <c r="F142" s="367">
        <v>10.26</v>
      </c>
      <c r="G142" s="92">
        <f t="shared" si="43"/>
        <v>9.9224999999999994</v>
      </c>
      <c r="H142" s="95" t="s">
        <v>32</v>
      </c>
      <c r="I142" s="438">
        <f t="shared" si="49"/>
        <v>4204.2349999999979</v>
      </c>
      <c r="J142" s="92">
        <f t="shared" si="50"/>
        <v>17176.765000000003</v>
      </c>
      <c r="K142" s="117">
        <f t="shared" si="51"/>
        <v>194.94131435828871</v>
      </c>
      <c r="L142" s="517"/>
      <c r="M142" s="545" t="s">
        <v>590</v>
      </c>
      <c r="N142" s="745"/>
      <c r="O142" s="527">
        <f t="shared" si="46"/>
        <v>-18.920000000000002</v>
      </c>
      <c r="P142" s="531"/>
      <c r="Q142" s="28"/>
      <c r="R142" s="532">
        <f t="shared" si="52"/>
        <v>17257.765000000003</v>
      </c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 s="2" customFormat="1" ht="21" customHeight="1">
      <c r="A143" s="444">
        <f>A141+1</f>
        <v>113</v>
      </c>
      <c r="B143" s="142" t="s">
        <v>384</v>
      </c>
      <c r="C143" s="91">
        <v>2</v>
      </c>
      <c r="D143" s="91" t="s">
        <v>34</v>
      </c>
      <c r="E143" s="403" t="str">
        <f>'DECK TALLY'!B118</f>
        <v>M5</v>
      </c>
      <c r="F143" s="104">
        <f>'DECK TALLY'!C118</f>
        <v>36.450000000000003</v>
      </c>
      <c r="G143" s="92">
        <f t="shared" si="43"/>
        <v>36.112500000000004</v>
      </c>
      <c r="H143" s="92" t="s">
        <v>32</v>
      </c>
      <c r="I143" s="438">
        <f t="shared" si="49"/>
        <v>4240.347499999998</v>
      </c>
      <c r="J143" s="92">
        <f t="shared" si="50"/>
        <v>17140.652500000004</v>
      </c>
      <c r="K143" s="117">
        <f t="shared" si="51"/>
        <v>195.79976559014511</v>
      </c>
      <c r="L143" s="517">
        <v>17222</v>
      </c>
      <c r="M143" s="746"/>
      <c r="N143" s="747"/>
      <c r="O143" s="527">
        <f t="shared" si="46"/>
        <v>17203.080000000002</v>
      </c>
      <c r="P143" s="531"/>
      <c r="Q143" s="28"/>
      <c r="R143" s="532">
        <f t="shared" si="52"/>
        <v>17221.652500000004</v>
      </c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 s="2" customFormat="1" ht="21" customHeight="1">
      <c r="A144" s="444">
        <f t="shared" si="32"/>
        <v>114</v>
      </c>
      <c r="B144" s="142" t="s">
        <v>384</v>
      </c>
      <c r="C144" s="91">
        <v>2</v>
      </c>
      <c r="D144" s="91" t="s">
        <v>34</v>
      </c>
      <c r="E144" s="403" t="str">
        <f>'DECK TALLY'!B119</f>
        <v>M6</v>
      </c>
      <c r="F144" s="103">
        <f>'DECK TALLY'!C119</f>
        <v>36.57</v>
      </c>
      <c r="G144" s="92">
        <f t="shared" si="43"/>
        <v>36.232500000000002</v>
      </c>
      <c r="H144" s="92" t="s">
        <v>32</v>
      </c>
      <c r="I144" s="438">
        <f t="shared" si="49"/>
        <v>4276.5799999999981</v>
      </c>
      <c r="J144" s="92">
        <f t="shared" si="50"/>
        <v>17104.420000000002</v>
      </c>
      <c r="K144" s="117">
        <f t="shared" si="51"/>
        <v>196.66106941176466</v>
      </c>
      <c r="L144" s="517"/>
      <c r="M144" s="607" t="s">
        <v>587</v>
      </c>
      <c r="N144" s="618"/>
      <c r="O144" s="527">
        <f t="shared" si="46"/>
        <v>-18.920000000000002</v>
      </c>
      <c r="P144" s="531"/>
      <c r="Q144" s="28"/>
      <c r="R144" s="532">
        <f t="shared" si="52"/>
        <v>17185.420000000002</v>
      </c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 s="2" customFormat="1" ht="21" customHeight="1" thickBot="1">
      <c r="A145" s="444">
        <f t="shared" si="32"/>
        <v>115</v>
      </c>
      <c r="B145" s="142" t="s">
        <v>384</v>
      </c>
      <c r="C145" s="91">
        <v>2</v>
      </c>
      <c r="D145" s="91" t="s">
        <v>34</v>
      </c>
      <c r="E145" s="403" t="str">
        <f>'DECK TALLY'!B120</f>
        <v>M7</v>
      </c>
      <c r="F145" s="104">
        <f>'DECK TALLY'!C120</f>
        <v>36.880000000000003</v>
      </c>
      <c r="G145" s="92">
        <f t="shared" si="43"/>
        <v>36.542500000000004</v>
      </c>
      <c r="H145" s="95" t="s">
        <v>32</v>
      </c>
      <c r="I145" s="438">
        <f t="shared" si="47"/>
        <v>4313.1224999999977</v>
      </c>
      <c r="J145" s="92">
        <f t="shared" si="23"/>
        <v>17067.877500000002</v>
      </c>
      <c r="K145" s="117">
        <f t="shared" si="30"/>
        <v>197.52974242360574</v>
      </c>
      <c r="L145" s="517"/>
      <c r="M145" s="366" t="s">
        <v>588</v>
      </c>
      <c r="N145" s="486">
        <f>J140-5</f>
        <v>17218.04</v>
      </c>
      <c r="O145" s="527">
        <f t="shared" si="46"/>
        <v>-18.920000000000002</v>
      </c>
      <c r="P145" s="531"/>
      <c r="Q145" s="28"/>
      <c r="R145" s="532">
        <f t="shared" si="52"/>
        <v>17148.877500000002</v>
      </c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 s="2" customFormat="1" ht="21" customHeight="1" thickTop="1">
      <c r="A146" s="444">
        <f t="shared" si="32"/>
        <v>116</v>
      </c>
      <c r="B146" s="142" t="s">
        <v>384</v>
      </c>
      <c r="C146" s="91">
        <v>2</v>
      </c>
      <c r="D146" s="91" t="s">
        <v>34</v>
      </c>
      <c r="E146" s="403" t="str">
        <f>'DECK TALLY'!B121</f>
        <v>M8</v>
      </c>
      <c r="F146" s="104">
        <f>'DECK TALLY'!C121</f>
        <v>36.71</v>
      </c>
      <c r="G146" s="92">
        <f t="shared" si="43"/>
        <v>36.372500000000002</v>
      </c>
      <c r="H146" s="92" t="s">
        <v>32</v>
      </c>
      <c r="I146" s="438">
        <f t="shared" si="47"/>
        <v>4349.4949999999981</v>
      </c>
      <c r="J146" s="92">
        <f t="shared" si="23"/>
        <v>17031.505000000001</v>
      </c>
      <c r="K146" s="117">
        <f t="shared" si="30"/>
        <v>198.39437426661567</v>
      </c>
      <c r="L146" s="517"/>
      <c r="M146" s="605"/>
      <c r="N146" s="605"/>
      <c r="O146" s="527">
        <f t="shared" si="46"/>
        <v>-18.920000000000002</v>
      </c>
      <c r="P146" s="531"/>
      <c r="Q146" s="28"/>
      <c r="R146" s="532">
        <f t="shared" si="52"/>
        <v>17112.505000000001</v>
      </c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 s="2" customFormat="1" ht="21" customHeight="1">
      <c r="A147" s="444">
        <f t="shared" si="32"/>
        <v>117</v>
      </c>
      <c r="B147" s="142" t="s">
        <v>384</v>
      </c>
      <c r="C147" s="91">
        <v>2</v>
      </c>
      <c r="D147" s="91" t="s">
        <v>34</v>
      </c>
      <c r="E147" s="403" t="str">
        <f>'DECK TALLY'!B122</f>
        <v>M9</v>
      </c>
      <c r="F147" s="103">
        <f>'DECK TALLY'!C122</f>
        <v>36.590000000000003</v>
      </c>
      <c r="G147" s="92">
        <f t="shared" si="43"/>
        <v>36.252500000000005</v>
      </c>
      <c r="H147" s="92" t="s">
        <v>32</v>
      </c>
      <c r="I147" s="438">
        <f t="shared" si="47"/>
        <v>4385.7474999999977</v>
      </c>
      <c r="J147" s="92">
        <f t="shared" si="23"/>
        <v>16995.252500000002</v>
      </c>
      <c r="K147" s="117">
        <f t="shared" si="30"/>
        <v>199.25615351986244</v>
      </c>
      <c r="L147" s="517"/>
      <c r="M147" s="605"/>
      <c r="N147" s="605"/>
      <c r="O147" s="527">
        <f t="shared" si="46"/>
        <v>-18.920000000000002</v>
      </c>
      <c r="P147" s="531"/>
      <c r="Q147" s="28"/>
      <c r="R147" s="532">
        <f t="shared" si="52"/>
        <v>17076.252500000002</v>
      </c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 s="2" customFormat="1" ht="21" customHeight="1">
      <c r="A148" s="444">
        <f t="shared" si="32"/>
        <v>118</v>
      </c>
      <c r="B148" s="142" t="s">
        <v>384</v>
      </c>
      <c r="C148" s="91">
        <v>2</v>
      </c>
      <c r="D148" s="91" t="s">
        <v>34</v>
      </c>
      <c r="E148" s="403" t="str">
        <f>'DECK TALLY'!B123</f>
        <v>N1</v>
      </c>
      <c r="F148" s="104">
        <f>'DECK TALLY'!C123</f>
        <v>35.950000000000003</v>
      </c>
      <c r="G148" s="92">
        <f t="shared" si="43"/>
        <v>35.612500000000004</v>
      </c>
      <c r="H148" s="95" t="s">
        <v>32</v>
      </c>
      <c r="I148" s="438">
        <f t="shared" si="47"/>
        <v>4421.3599999999979</v>
      </c>
      <c r="J148" s="92">
        <f t="shared" si="23"/>
        <v>16959.640000000003</v>
      </c>
      <c r="K148" s="117">
        <f t="shared" si="30"/>
        <v>200.10271896103893</v>
      </c>
      <c r="L148" s="517"/>
      <c r="M148" s="605"/>
      <c r="N148" s="605"/>
      <c r="O148" s="527">
        <f t="shared" si="46"/>
        <v>-18.920000000000002</v>
      </c>
      <c r="P148" s="531"/>
      <c r="Q148" s="28"/>
      <c r="R148" s="532">
        <f t="shared" si="52"/>
        <v>17040.640000000003</v>
      </c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 s="2" customFormat="1" ht="21" customHeight="1">
      <c r="A149" s="444">
        <f t="shared" si="32"/>
        <v>119</v>
      </c>
      <c r="B149" s="142" t="s">
        <v>384</v>
      </c>
      <c r="C149" s="91">
        <v>2</v>
      </c>
      <c r="D149" s="91" t="s">
        <v>34</v>
      </c>
      <c r="E149" s="403" t="str">
        <f>'DECK TALLY'!B124</f>
        <v>N2</v>
      </c>
      <c r="F149" s="103">
        <f>'DECK TALLY'!C124</f>
        <v>36.28</v>
      </c>
      <c r="G149" s="92">
        <f t="shared" si="43"/>
        <v>35.942500000000003</v>
      </c>
      <c r="H149" s="95" t="s">
        <v>32</v>
      </c>
      <c r="I149" s="438">
        <f t="shared" si="47"/>
        <v>4457.302499999998</v>
      </c>
      <c r="J149" s="92">
        <f t="shared" ref="J149:J216" si="53">IF(I149="","",$M$9-I149)</f>
        <v>16923.697500000002</v>
      </c>
      <c r="K149" s="117">
        <f t="shared" si="30"/>
        <v>200.95712902406413</v>
      </c>
      <c r="L149" s="517">
        <v>17004</v>
      </c>
      <c r="M149" s="605"/>
      <c r="N149" s="605"/>
      <c r="O149" s="527">
        <f t="shared" si="46"/>
        <v>16985.080000000002</v>
      </c>
      <c r="P149" s="531"/>
      <c r="Q149" s="28"/>
      <c r="R149" s="532">
        <f t="shared" si="52"/>
        <v>17004.697500000002</v>
      </c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 s="2" customFormat="1" ht="21" customHeight="1">
      <c r="A150" s="444">
        <f t="shared" si="32"/>
        <v>120</v>
      </c>
      <c r="B150" s="142" t="s">
        <v>384</v>
      </c>
      <c r="C150" s="91">
        <v>2</v>
      </c>
      <c r="D150" s="91" t="s">
        <v>34</v>
      </c>
      <c r="E150" s="403" t="str">
        <f>'DECK TALLY'!B125</f>
        <v>N3</v>
      </c>
      <c r="F150" s="104">
        <f>'DECK TALLY'!C125</f>
        <v>36.450000000000003</v>
      </c>
      <c r="G150" s="92">
        <f t="shared" si="43"/>
        <v>36.112500000000004</v>
      </c>
      <c r="H150" s="92" t="s">
        <v>32</v>
      </c>
      <c r="I150" s="438">
        <f t="shared" si="47"/>
        <v>4493.4149999999981</v>
      </c>
      <c r="J150" s="92">
        <f t="shared" si="53"/>
        <v>16887.585000000003</v>
      </c>
      <c r="K150" s="117">
        <f t="shared" si="30"/>
        <v>201.81558025592051</v>
      </c>
      <c r="L150" s="517"/>
      <c r="M150" s="605"/>
      <c r="N150" s="605"/>
      <c r="O150" s="527">
        <f t="shared" si="46"/>
        <v>-18.920000000000002</v>
      </c>
      <c r="P150" s="531"/>
      <c r="Q150" s="28"/>
      <c r="R150" s="532">
        <f t="shared" si="52"/>
        <v>16968.585000000003</v>
      </c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 s="2" customFormat="1" ht="21" customHeight="1">
      <c r="A151" s="444">
        <f t="shared" si="32"/>
        <v>121</v>
      </c>
      <c r="B151" s="142" t="s">
        <v>384</v>
      </c>
      <c r="C151" s="91">
        <v>2</v>
      </c>
      <c r="D151" s="91" t="s">
        <v>34</v>
      </c>
      <c r="E151" s="403" t="str">
        <f>'DECK TALLY'!B126</f>
        <v>N4</v>
      </c>
      <c r="F151" s="104">
        <f>'DECK TALLY'!C126</f>
        <v>36.46</v>
      </c>
      <c r="G151" s="92">
        <f t="shared" si="43"/>
        <v>36.122500000000002</v>
      </c>
      <c r="H151" s="92" t="s">
        <v>32</v>
      </c>
      <c r="I151" s="438">
        <f t="shared" si="47"/>
        <v>4529.5374999999985</v>
      </c>
      <c r="J151" s="92">
        <f t="shared" si="53"/>
        <v>16851.462500000001</v>
      </c>
      <c r="K151" s="117">
        <f t="shared" si="30"/>
        <v>202.67426920359051</v>
      </c>
      <c r="L151" s="517"/>
      <c r="M151" s="605"/>
      <c r="N151" s="605"/>
      <c r="O151" s="527">
        <f t="shared" si="46"/>
        <v>-18.920000000000002</v>
      </c>
      <c r="P151" s="531"/>
      <c r="Q151" s="28"/>
      <c r="R151" s="532">
        <f t="shared" si="52"/>
        <v>16932.462500000001</v>
      </c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 s="2" customFormat="1" ht="21" customHeight="1">
      <c r="A152" s="444">
        <f t="shared" si="32"/>
        <v>122</v>
      </c>
      <c r="B152" s="142" t="s">
        <v>384</v>
      </c>
      <c r="C152" s="91">
        <v>2</v>
      </c>
      <c r="D152" s="91" t="s">
        <v>34</v>
      </c>
      <c r="E152" s="403" t="str">
        <f>'DECK TALLY'!B127</f>
        <v>N5</v>
      </c>
      <c r="F152" s="103">
        <f>'DECK TALLY'!C127</f>
        <v>36.28</v>
      </c>
      <c r="G152" s="92">
        <f t="shared" ref="G152:G167" si="54">F152-($E$12/12)</f>
        <v>35.942500000000003</v>
      </c>
      <c r="H152" s="95" t="s">
        <v>32</v>
      </c>
      <c r="I152" s="438">
        <f t="shared" ref="I152:I167" si="55">IF(H152="IN",I151+G152,I151)</f>
        <v>4565.4799999999987</v>
      </c>
      <c r="J152" s="92">
        <f t="shared" ref="J152:J167" si="56">IF(I152="","",$M$9-I152)</f>
        <v>16815.52</v>
      </c>
      <c r="K152" s="117">
        <f t="shared" si="30"/>
        <v>203.52867926661571</v>
      </c>
      <c r="L152" s="517"/>
      <c r="M152" s="605"/>
      <c r="N152" s="605"/>
      <c r="O152" s="527">
        <f t="shared" si="46"/>
        <v>-18.920000000000002</v>
      </c>
      <c r="P152" s="531"/>
      <c r="Q152" s="28"/>
      <c r="R152" s="532">
        <f t="shared" si="52"/>
        <v>16896.52</v>
      </c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 s="2" customFormat="1" ht="21" customHeight="1">
      <c r="A153" s="444">
        <f t="shared" si="32"/>
        <v>123</v>
      </c>
      <c r="B153" s="142" t="s">
        <v>384</v>
      </c>
      <c r="C153" s="91">
        <v>2</v>
      </c>
      <c r="D153" s="91" t="s">
        <v>34</v>
      </c>
      <c r="E153" s="403" t="str">
        <f>'DECK TALLY'!B128</f>
        <v>N6</v>
      </c>
      <c r="F153" s="104">
        <f>'DECK TALLY'!C128</f>
        <v>36.659999999999997</v>
      </c>
      <c r="G153" s="92">
        <f t="shared" si="54"/>
        <v>36.322499999999998</v>
      </c>
      <c r="H153" s="95" t="s">
        <v>32</v>
      </c>
      <c r="I153" s="438">
        <f t="shared" si="55"/>
        <v>4601.8024999999989</v>
      </c>
      <c r="J153" s="92">
        <f t="shared" si="56"/>
        <v>16779.197500000002</v>
      </c>
      <c r="K153" s="117">
        <f t="shared" si="30"/>
        <v>204.39212253055766</v>
      </c>
      <c r="L153" s="517"/>
      <c r="M153" s="605"/>
      <c r="N153" s="605"/>
      <c r="O153" s="527">
        <f t="shared" si="46"/>
        <v>-18.920000000000002</v>
      </c>
      <c r="P153" s="531"/>
      <c r="Q153" s="28"/>
      <c r="R153" s="532">
        <f t="shared" si="52"/>
        <v>16860.197500000002</v>
      </c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 s="2" customFormat="1" ht="21" customHeight="1">
      <c r="A154" s="444">
        <f t="shared" si="32"/>
        <v>124</v>
      </c>
      <c r="B154" s="142" t="s">
        <v>384</v>
      </c>
      <c r="C154" s="91">
        <v>2</v>
      </c>
      <c r="D154" s="91" t="s">
        <v>34</v>
      </c>
      <c r="E154" s="403" t="str">
        <f>'DECK TALLY'!B129</f>
        <v>N7</v>
      </c>
      <c r="F154" s="103">
        <f>'DECK TALLY'!C129</f>
        <v>36.06</v>
      </c>
      <c r="G154" s="92">
        <f t="shared" si="54"/>
        <v>35.722500000000004</v>
      </c>
      <c r="H154" s="92" t="s">
        <v>32</v>
      </c>
      <c r="I154" s="438">
        <f t="shared" si="55"/>
        <v>4637.5249999999987</v>
      </c>
      <c r="J154" s="92">
        <f t="shared" si="56"/>
        <v>16743.475000000002</v>
      </c>
      <c r="K154" s="117">
        <f t="shared" si="30"/>
        <v>205.24130284568372</v>
      </c>
      <c r="L154" s="517">
        <v>16824</v>
      </c>
      <c r="M154" s="605"/>
      <c r="N154" s="605"/>
      <c r="O154" s="527">
        <f t="shared" si="46"/>
        <v>16805.080000000002</v>
      </c>
      <c r="P154" s="531"/>
      <c r="Q154" s="28"/>
      <c r="R154" s="532">
        <f>J154+81</f>
        <v>16824.475000000002</v>
      </c>
      <c r="S154" s="37">
        <v>81</v>
      </c>
      <c r="T154" s="37"/>
      <c r="U154" s="37"/>
      <c r="V154" s="37"/>
      <c r="W154" s="37"/>
      <c r="X154" s="37"/>
      <c r="Y154" s="37"/>
      <c r="Z154" s="37"/>
      <c r="AA154" s="37"/>
    </row>
    <row r="155" spans="1:27" s="2" customFormat="1" ht="21" customHeight="1">
      <c r="A155" s="444">
        <f t="shared" si="32"/>
        <v>125</v>
      </c>
      <c r="B155" s="142" t="s">
        <v>384</v>
      </c>
      <c r="C155" s="91">
        <v>2</v>
      </c>
      <c r="D155" s="91" t="s">
        <v>34</v>
      </c>
      <c r="E155" s="403" t="str">
        <f>'DECK TALLY'!B130</f>
        <v>N8</v>
      </c>
      <c r="F155" s="104">
        <f>'DECK TALLY'!C130</f>
        <v>36.130000000000003</v>
      </c>
      <c r="G155" s="92">
        <f t="shared" si="54"/>
        <v>35.792500000000004</v>
      </c>
      <c r="H155" s="92" t="s">
        <v>32</v>
      </c>
      <c r="I155" s="438">
        <f t="shared" si="55"/>
        <v>4673.3174999999983</v>
      </c>
      <c r="J155" s="92">
        <f t="shared" si="56"/>
        <v>16707.682500000003</v>
      </c>
      <c r="K155" s="117">
        <f t="shared" si="30"/>
        <v>206.09214717150496</v>
      </c>
      <c r="L155" s="517"/>
      <c r="M155" s="605"/>
      <c r="N155" s="605"/>
      <c r="O155" s="527">
        <f t="shared" si="46"/>
        <v>-18.920000000000002</v>
      </c>
      <c r="P155" s="531"/>
      <c r="Q155" s="28"/>
      <c r="R155" s="532">
        <f t="shared" ref="R155:R156" si="57">J155+76</f>
        <v>16783.682500000003</v>
      </c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 s="2" customFormat="1" ht="21" customHeight="1">
      <c r="A156" s="444">
        <f t="shared" si="32"/>
        <v>126</v>
      </c>
      <c r="B156" s="142" t="s">
        <v>384</v>
      </c>
      <c r="C156" s="91">
        <v>2</v>
      </c>
      <c r="D156" s="91" t="s">
        <v>34</v>
      </c>
      <c r="E156" s="403" t="str">
        <f>'DECK TALLY'!B131</f>
        <v>N9</v>
      </c>
      <c r="F156" s="104">
        <f>'DECK TALLY'!C131</f>
        <v>35.75</v>
      </c>
      <c r="G156" s="92">
        <f t="shared" si="54"/>
        <v>35.412500000000001</v>
      </c>
      <c r="H156" s="95" t="s">
        <v>32</v>
      </c>
      <c r="I156" s="438">
        <f t="shared" si="55"/>
        <v>4708.7299999999987</v>
      </c>
      <c r="J156" s="92">
        <f t="shared" si="56"/>
        <v>16672.27</v>
      </c>
      <c r="K156" s="117">
        <f t="shared" si="30"/>
        <v>206.93395829640946</v>
      </c>
      <c r="L156" s="517"/>
      <c r="M156" s="605"/>
      <c r="N156" s="605"/>
      <c r="O156" s="527">
        <f t="shared" si="46"/>
        <v>-18.920000000000002</v>
      </c>
      <c r="P156" s="531"/>
      <c r="Q156" s="28"/>
      <c r="R156" s="532">
        <f t="shared" si="57"/>
        <v>16748.27</v>
      </c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 s="2" customFormat="1" ht="21" customHeight="1">
      <c r="A157" s="444">
        <f t="shared" si="32"/>
        <v>127</v>
      </c>
      <c r="B157" s="142" t="s">
        <v>384</v>
      </c>
      <c r="C157" s="91">
        <v>2</v>
      </c>
      <c r="D157" s="91" t="s">
        <v>34</v>
      </c>
      <c r="E157" s="403" t="str">
        <f>'DECK TALLY'!B132</f>
        <v>O1</v>
      </c>
      <c r="F157" s="103">
        <f>'DECK TALLY'!C132</f>
        <v>36.840000000000003</v>
      </c>
      <c r="G157" s="92">
        <f t="shared" si="54"/>
        <v>36.502500000000005</v>
      </c>
      <c r="H157" s="95" t="s">
        <v>32</v>
      </c>
      <c r="I157" s="438">
        <f t="shared" si="55"/>
        <v>4745.2324999999983</v>
      </c>
      <c r="J157" s="92">
        <f t="shared" si="56"/>
        <v>16635.767500000002</v>
      </c>
      <c r="K157" s="117">
        <f t="shared" si="30"/>
        <v>207.80168044499612</v>
      </c>
      <c r="L157" s="517"/>
      <c r="M157" s="605"/>
      <c r="N157" s="605"/>
      <c r="O157" s="527">
        <f t="shared" si="46"/>
        <v>-18.920000000000002</v>
      </c>
      <c r="P157" s="531"/>
      <c r="Q157" s="28"/>
      <c r="R157" s="532">
        <f t="shared" ref="R157:R160" si="58">J157+76</f>
        <v>16711.767500000002</v>
      </c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 s="2" customFormat="1" ht="21" customHeight="1">
      <c r="A158" s="444">
        <f t="shared" si="32"/>
        <v>128</v>
      </c>
      <c r="B158" s="142" t="s">
        <v>384</v>
      </c>
      <c r="C158" s="91">
        <v>2</v>
      </c>
      <c r="D158" s="91" t="s">
        <v>34</v>
      </c>
      <c r="E158" s="403" t="str">
        <f>'DECK TALLY'!B133</f>
        <v>O2</v>
      </c>
      <c r="F158" s="104">
        <f>'DECK TALLY'!C133</f>
        <v>36.9</v>
      </c>
      <c r="G158" s="92">
        <f t="shared" si="54"/>
        <v>36.5625</v>
      </c>
      <c r="H158" s="92" t="s">
        <v>32</v>
      </c>
      <c r="I158" s="438">
        <f t="shared" si="55"/>
        <v>4781.7949999999983</v>
      </c>
      <c r="J158" s="92">
        <f t="shared" si="56"/>
        <v>16599.205000000002</v>
      </c>
      <c r="K158" s="117">
        <f t="shared" si="30"/>
        <v>208.67082888846443</v>
      </c>
      <c r="L158" s="517"/>
      <c r="M158" s="605"/>
      <c r="N158" s="605"/>
      <c r="O158" s="527">
        <f t="shared" si="46"/>
        <v>-18.920000000000002</v>
      </c>
      <c r="P158" s="531"/>
      <c r="Q158" s="28"/>
      <c r="R158" s="532">
        <f t="shared" si="58"/>
        <v>16675.205000000002</v>
      </c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 s="2" customFormat="1" ht="21" customHeight="1">
      <c r="A159" s="444">
        <f t="shared" si="32"/>
        <v>129</v>
      </c>
      <c r="B159" s="142" t="s">
        <v>384</v>
      </c>
      <c r="C159" s="91">
        <v>2</v>
      </c>
      <c r="D159" s="91" t="s">
        <v>34</v>
      </c>
      <c r="E159" s="403" t="str">
        <f>'DECK TALLY'!B134</f>
        <v>O3</v>
      </c>
      <c r="F159" s="103">
        <f>'DECK TALLY'!C134</f>
        <v>36.840000000000003</v>
      </c>
      <c r="G159" s="92">
        <f t="shared" si="54"/>
        <v>36.502500000000005</v>
      </c>
      <c r="H159" s="92" t="s">
        <v>32</v>
      </c>
      <c r="I159" s="438">
        <f t="shared" si="55"/>
        <v>4818.2974999999979</v>
      </c>
      <c r="J159" s="92">
        <f t="shared" si="56"/>
        <v>16562.702500000003</v>
      </c>
      <c r="K159" s="117">
        <f t="shared" si="30"/>
        <v>209.53855103705115</v>
      </c>
      <c r="L159" s="517"/>
      <c r="M159" s="605"/>
      <c r="N159" s="605"/>
      <c r="O159" s="527">
        <f t="shared" si="46"/>
        <v>-18.920000000000002</v>
      </c>
      <c r="P159" s="531"/>
      <c r="Q159" s="28"/>
      <c r="R159" s="532">
        <f t="shared" si="58"/>
        <v>16638.702500000003</v>
      </c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 s="2" customFormat="1" ht="21" customHeight="1">
      <c r="A160" s="444">
        <f t="shared" si="32"/>
        <v>130</v>
      </c>
      <c r="B160" s="142" t="s">
        <v>384</v>
      </c>
      <c r="C160" s="91">
        <v>2</v>
      </c>
      <c r="D160" s="91" t="s">
        <v>34</v>
      </c>
      <c r="E160" s="403" t="str">
        <f>'DECK TALLY'!B135</f>
        <v>O4</v>
      </c>
      <c r="F160" s="104">
        <f>'DECK TALLY'!C135</f>
        <v>36.74</v>
      </c>
      <c r="G160" s="92">
        <f t="shared" si="54"/>
        <v>36.402500000000003</v>
      </c>
      <c r="H160" s="95" t="s">
        <v>32</v>
      </c>
      <c r="I160" s="438">
        <f t="shared" si="55"/>
        <v>4854.699999999998</v>
      </c>
      <c r="J160" s="92">
        <f t="shared" si="56"/>
        <v>16526.300000000003</v>
      </c>
      <c r="K160" s="117">
        <f t="shared" ref="K160:K226" si="59">$H$8+(I160*$E$9*$E$15/1000)</f>
        <v>210.40389602750184</v>
      </c>
      <c r="L160" s="517"/>
      <c r="M160" s="605"/>
      <c r="N160" s="605"/>
      <c r="O160" s="527">
        <f t="shared" si="46"/>
        <v>-18.920000000000002</v>
      </c>
      <c r="P160" s="531"/>
      <c r="Q160" s="28"/>
      <c r="R160" s="532">
        <f t="shared" si="58"/>
        <v>16602.300000000003</v>
      </c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 s="2" customFormat="1" ht="21" customHeight="1">
      <c r="A161" s="444">
        <f t="shared" si="32"/>
        <v>131</v>
      </c>
      <c r="B161" s="142" t="s">
        <v>384</v>
      </c>
      <c r="C161" s="91">
        <v>2</v>
      </c>
      <c r="D161" s="91" t="s">
        <v>34</v>
      </c>
      <c r="E161" s="403" t="str">
        <f>'DECK TALLY'!B136</f>
        <v>O5</v>
      </c>
      <c r="F161" s="104">
        <f>'DECK TALLY'!C136</f>
        <v>35.1</v>
      </c>
      <c r="G161" s="92">
        <f t="shared" si="54"/>
        <v>34.762500000000003</v>
      </c>
      <c r="H161" s="95" t="s">
        <v>32</v>
      </c>
      <c r="I161" s="438">
        <f t="shared" si="55"/>
        <v>4889.4624999999978</v>
      </c>
      <c r="J161" s="92">
        <f t="shared" si="56"/>
        <v>16491.537500000002</v>
      </c>
      <c r="K161" s="117">
        <f t="shared" si="59"/>
        <v>211.2302556245225</v>
      </c>
      <c r="L161" s="517">
        <v>16568</v>
      </c>
      <c r="M161" s="605"/>
      <c r="N161" s="605"/>
      <c r="O161" s="527">
        <f t="shared" si="46"/>
        <v>16549.080000000002</v>
      </c>
      <c r="P161" s="531"/>
      <c r="Q161" s="28"/>
      <c r="R161" s="532">
        <f>J161+76</f>
        <v>16567.537500000002</v>
      </c>
      <c r="S161" s="37">
        <v>76</v>
      </c>
      <c r="T161" s="37"/>
      <c r="U161" s="37"/>
      <c r="V161" s="37"/>
      <c r="W161" s="37"/>
      <c r="X161" s="37"/>
      <c r="Y161" s="37"/>
      <c r="Z161" s="37"/>
      <c r="AA161" s="37"/>
    </row>
    <row r="162" spans="1:27" s="2" customFormat="1" ht="21" customHeight="1">
      <c r="A162" s="444">
        <f t="shared" si="32"/>
        <v>132</v>
      </c>
      <c r="B162" s="142" t="s">
        <v>384</v>
      </c>
      <c r="C162" s="91">
        <v>2</v>
      </c>
      <c r="D162" s="91" t="s">
        <v>34</v>
      </c>
      <c r="E162" s="403" t="str">
        <f>'DECK TALLY'!B137</f>
        <v>O6</v>
      </c>
      <c r="F162" s="103">
        <f>'DECK TALLY'!C137</f>
        <v>36.880000000000003</v>
      </c>
      <c r="G162" s="92">
        <f t="shared" si="54"/>
        <v>36.542500000000004</v>
      </c>
      <c r="H162" s="92" t="s">
        <v>32</v>
      </c>
      <c r="I162" s="438">
        <f t="shared" si="55"/>
        <v>4926.0049999999974</v>
      </c>
      <c r="J162" s="92">
        <f t="shared" si="56"/>
        <v>16454.995000000003</v>
      </c>
      <c r="K162" s="117">
        <f t="shared" si="59"/>
        <v>212.09892863636358</v>
      </c>
      <c r="L162" s="517"/>
      <c r="M162" s="605"/>
      <c r="N162" s="605"/>
      <c r="O162" s="527">
        <f t="shared" si="46"/>
        <v>-18.920000000000002</v>
      </c>
      <c r="P162" s="531"/>
      <c r="Q162" s="28"/>
      <c r="R162" s="532">
        <f t="shared" ref="R162:R170" si="60">J162+75</f>
        <v>16529.995000000003</v>
      </c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 s="2" customFormat="1" ht="21" customHeight="1">
      <c r="A163" s="444">
        <f t="shared" ref="A163:A229" si="61">A162+1</f>
        <v>133</v>
      </c>
      <c r="B163" s="142" t="s">
        <v>384</v>
      </c>
      <c r="C163" s="91">
        <v>2</v>
      </c>
      <c r="D163" s="91" t="s">
        <v>34</v>
      </c>
      <c r="E163" s="403" t="str">
        <f>'DECK TALLY'!B138</f>
        <v>O7</v>
      </c>
      <c r="F163" s="104">
        <f>'DECK TALLY'!C138</f>
        <v>37.29</v>
      </c>
      <c r="G163" s="92">
        <f t="shared" si="54"/>
        <v>36.952500000000001</v>
      </c>
      <c r="H163" s="92" t="s">
        <v>32</v>
      </c>
      <c r="I163" s="438">
        <f t="shared" si="55"/>
        <v>4962.9574999999977</v>
      </c>
      <c r="J163" s="92">
        <f t="shared" si="56"/>
        <v>16418.042500000003</v>
      </c>
      <c r="K163" s="117">
        <f t="shared" si="59"/>
        <v>212.97734799656223</v>
      </c>
      <c r="L163" s="517"/>
      <c r="M163" s="605"/>
      <c r="N163" s="605"/>
      <c r="O163" s="527">
        <f t="shared" si="46"/>
        <v>-18.920000000000002</v>
      </c>
      <c r="P163" s="531"/>
      <c r="Q163" s="28"/>
      <c r="R163" s="532">
        <f t="shared" si="60"/>
        <v>16493.042500000003</v>
      </c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 s="2" customFormat="1" ht="21" customHeight="1">
      <c r="A164" s="444">
        <f t="shared" si="61"/>
        <v>134</v>
      </c>
      <c r="B164" s="142" t="s">
        <v>384</v>
      </c>
      <c r="C164" s="91">
        <v>2</v>
      </c>
      <c r="D164" s="91" t="s">
        <v>34</v>
      </c>
      <c r="E164" s="403" t="str">
        <f>'DECK TALLY'!B139</f>
        <v>O8</v>
      </c>
      <c r="F164" s="103">
        <f>'DECK TALLY'!C139</f>
        <v>36.979999999999997</v>
      </c>
      <c r="G164" s="92">
        <f t="shared" si="54"/>
        <v>36.642499999999998</v>
      </c>
      <c r="H164" s="95" t="s">
        <v>32</v>
      </c>
      <c r="I164" s="438">
        <f t="shared" si="55"/>
        <v>4999.5999999999976</v>
      </c>
      <c r="J164" s="92">
        <f t="shared" si="56"/>
        <v>16381.400000000001</v>
      </c>
      <c r="K164" s="117">
        <f t="shared" si="59"/>
        <v>213.84839816653931</v>
      </c>
      <c r="L164" s="517"/>
      <c r="M164" s="605"/>
      <c r="N164" s="605"/>
      <c r="O164" s="527">
        <f t="shared" si="46"/>
        <v>-18.920000000000002</v>
      </c>
      <c r="P164" s="531"/>
      <c r="Q164" s="28"/>
      <c r="R164" s="532">
        <f t="shared" si="60"/>
        <v>16456.400000000001</v>
      </c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 s="2" customFormat="1" ht="21" customHeight="1">
      <c r="A165" s="444">
        <f t="shared" si="61"/>
        <v>135</v>
      </c>
      <c r="B165" s="142" t="s">
        <v>384</v>
      </c>
      <c r="C165" s="91">
        <v>2</v>
      </c>
      <c r="D165" s="91" t="s">
        <v>34</v>
      </c>
      <c r="E165" s="403" t="str">
        <f>'DECK TALLY'!B140</f>
        <v>O9</v>
      </c>
      <c r="F165" s="104">
        <f>'DECK TALLY'!C140</f>
        <v>35.130000000000003</v>
      </c>
      <c r="G165" s="92">
        <f t="shared" si="54"/>
        <v>34.792500000000004</v>
      </c>
      <c r="H165" s="95" t="s">
        <v>32</v>
      </c>
      <c r="I165" s="438">
        <f t="shared" si="55"/>
        <v>5034.3924999999972</v>
      </c>
      <c r="J165" s="92">
        <f t="shared" si="56"/>
        <v>16346.607500000002</v>
      </c>
      <c r="K165" s="117">
        <f t="shared" si="59"/>
        <v>214.6754709110007</v>
      </c>
      <c r="L165" s="517"/>
      <c r="M165" s="605"/>
      <c r="N165" s="605"/>
      <c r="O165" s="527">
        <f t="shared" si="46"/>
        <v>-18.920000000000002</v>
      </c>
      <c r="P165" s="531"/>
      <c r="Q165" s="28"/>
      <c r="R165" s="532">
        <f t="shared" si="60"/>
        <v>16421.607500000002</v>
      </c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 s="2" customFormat="1" ht="21" customHeight="1">
      <c r="A166" s="444">
        <f t="shared" si="61"/>
        <v>136</v>
      </c>
      <c r="B166" s="142" t="s">
        <v>384</v>
      </c>
      <c r="C166" s="91">
        <v>2</v>
      </c>
      <c r="D166" s="91" t="s">
        <v>34</v>
      </c>
      <c r="E166" s="403" t="str">
        <f>'DECK TALLY'!B141</f>
        <v>P1</v>
      </c>
      <c r="F166" s="104">
        <f>'DECK TALLY'!C141</f>
        <v>36.14</v>
      </c>
      <c r="G166" s="92">
        <f t="shared" si="54"/>
        <v>35.802500000000002</v>
      </c>
      <c r="H166" s="92" t="s">
        <v>32</v>
      </c>
      <c r="I166" s="438">
        <f t="shared" si="55"/>
        <v>5070.194999999997</v>
      </c>
      <c r="J166" s="92">
        <f t="shared" si="56"/>
        <v>16310.805000000004</v>
      </c>
      <c r="K166" s="117">
        <f t="shared" si="59"/>
        <v>215.52655295263554</v>
      </c>
      <c r="L166" s="517"/>
      <c r="M166" s="605"/>
      <c r="N166" s="605"/>
      <c r="O166" s="527">
        <f t="shared" si="46"/>
        <v>-18.920000000000002</v>
      </c>
      <c r="P166" s="531"/>
      <c r="Q166" s="28"/>
      <c r="R166" s="532">
        <f t="shared" si="60"/>
        <v>16385.805000000004</v>
      </c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 s="2" customFormat="1" ht="21" customHeight="1">
      <c r="A167" s="444">
        <f t="shared" si="61"/>
        <v>137</v>
      </c>
      <c r="B167" s="142" t="s">
        <v>384</v>
      </c>
      <c r="C167" s="91">
        <v>2</v>
      </c>
      <c r="D167" s="91" t="s">
        <v>34</v>
      </c>
      <c r="E167" s="403" t="str">
        <f>'DECK TALLY'!B142</f>
        <v>P2</v>
      </c>
      <c r="F167" s="103">
        <f>'DECK TALLY'!C142</f>
        <v>37.79</v>
      </c>
      <c r="G167" s="92">
        <f t="shared" si="54"/>
        <v>37.452500000000001</v>
      </c>
      <c r="H167" s="92" t="s">
        <v>32</v>
      </c>
      <c r="I167" s="438">
        <f t="shared" si="55"/>
        <v>5107.6474999999973</v>
      </c>
      <c r="J167" s="92">
        <f t="shared" si="56"/>
        <v>16273.352500000003</v>
      </c>
      <c r="K167" s="117">
        <f t="shared" si="59"/>
        <v>216.41685810351407</v>
      </c>
      <c r="L167" s="517"/>
      <c r="M167" s="605"/>
      <c r="N167" s="605"/>
      <c r="O167" s="527">
        <f t="shared" si="46"/>
        <v>-18.920000000000002</v>
      </c>
      <c r="P167" s="531"/>
      <c r="Q167" s="28"/>
      <c r="R167" s="532">
        <f t="shared" si="60"/>
        <v>16348.352500000003</v>
      </c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 s="2" customFormat="1" ht="21" customHeight="1">
      <c r="A168" s="444">
        <f t="shared" si="61"/>
        <v>138</v>
      </c>
      <c r="B168" s="142" t="s">
        <v>384</v>
      </c>
      <c r="C168" s="91">
        <v>2</v>
      </c>
      <c r="D168" s="91" t="s">
        <v>34</v>
      </c>
      <c r="E168" s="403" t="str">
        <f>'DECK TALLY'!B143</f>
        <v>P3</v>
      </c>
      <c r="F168" s="104">
        <f>'DECK TALLY'!C143</f>
        <v>36.270000000000003</v>
      </c>
      <c r="G168" s="92">
        <f t="shared" ref="G168:G182" si="62">F168-($E$12/12)</f>
        <v>35.932500000000005</v>
      </c>
      <c r="H168" s="95" t="s">
        <v>32</v>
      </c>
      <c r="I168" s="438">
        <f t="shared" ref="I168:I182" si="63">IF(H168="IN",I167+G168,I167)</f>
        <v>5143.5799999999972</v>
      </c>
      <c r="J168" s="92">
        <f t="shared" ref="J168:J182" si="64">IF(I168="","",$M$9-I168)</f>
        <v>16237.420000000002</v>
      </c>
      <c r="K168" s="117">
        <f t="shared" si="59"/>
        <v>217.27103045072568</v>
      </c>
      <c r="L168" s="517"/>
      <c r="M168" s="605"/>
      <c r="N168" s="605"/>
      <c r="O168" s="527">
        <f t="shared" si="46"/>
        <v>-18.920000000000002</v>
      </c>
      <c r="P168" s="531"/>
      <c r="Q168" s="28"/>
      <c r="R168" s="532">
        <f t="shared" si="60"/>
        <v>16312.420000000002</v>
      </c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 s="2" customFormat="1" ht="21" customHeight="1">
      <c r="A169" s="444">
        <f t="shared" si="61"/>
        <v>139</v>
      </c>
      <c r="B169" s="142" t="s">
        <v>384</v>
      </c>
      <c r="C169" s="91">
        <v>2</v>
      </c>
      <c r="D169" s="91" t="s">
        <v>34</v>
      </c>
      <c r="E169" s="403" t="str">
        <f>'DECK TALLY'!B144</f>
        <v>P4</v>
      </c>
      <c r="F169" s="103">
        <f>'DECK TALLY'!C144</f>
        <v>36.17</v>
      </c>
      <c r="G169" s="232">
        <f t="shared" si="62"/>
        <v>35.832500000000003</v>
      </c>
      <c r="H169" s="95" t="s">
        <v>32</v>
      </c>
      <c r="I169" s="439">
        <f t="shared" si="63"/>
        <v>5179.4124999999976</v>
      </c>
      <c r="J169" s="232">
        <f t="shared" si="64"/>
        <v>16201.587500000001</v>
      </c>
      <c r="K169" s="117">
        <f t="shared" si="59"/>
        <v>218.12282563980133</v>
      </c>
      <c r="L169" s="517"/>
      <c r="M169" s="739"/>
      <c r="N169" s="739"/>
      <c r="O169" s="527">
        <f t="shared" si="46"/>
        <v>-18.920000000000002</v>
      </c>
      <c r="P169" s="531"/>
      <c r="Q169" s="28"/>
      <c r="R169" s="532">
        <f t="shared" si="60"/>
        <v>16276.587500000001</v>
      </c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 s="2" customFormat="1" ht="21" customHeight="1">
      <c r="A170" s="444">
        <f t="shared" si="61"/>
        <v>140</v>
      </c>
      <c r="B170" s="142" t="s">
        <v>384</v>
      </c>
      <c r="C170" s="91">
        <v>2</v>
      </c>
      <c r="D170" s="91" t="s">
        <v>34</v>
      </c>
      <c r="E170" s="403" t="str">
        <f>'DECK TALLY'!B145</f>
        <v>P5</v>
      </c>
      <c r="F170" s="104">
        <f>'DECK TALLY'!C145</f>
        <v>35.54</v>
      </c>
      <c r="G170" s="232">
        <f t="shared" si="62"/>
        <v>35.202500000000001</v>
      </c>
      <c r="H170" s="92" t="s">
        <v>32</v>
      </c>
      <c r="I170" s="439">
        <f t="shared" si="63"/>
        <v>5214.614999999998</v>
      </c>
      <c r="J170" s="232">
        <f t="shared" si="64"/>
        <v>16166.385000000002</v>
      </c>
      <c r="K170" s="117">
        <f t="shared" si="59"/>
        <v>218.95964473262029</v>
      </c>
      <c r="L170" s="517">
        <v>16241</v>
      </c>
      <c r="M170" s="605"/>
      <c r="N170" s="605"/>
      <c r="O170" s="527">
        <f t="shared" si="46"/>
        <v>16222.08</v>
      </c>
      <c r="P170" s="531"/>
      <c r="Q170" s="28"/>
      <c r="R170" s="532">
        <f t="shared" si="60"/>
        <v>16241.385000000002</v>
      </c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 s="2" customFormat="1" ht="21" customHeight="1">
      <c r="A171" s="444">
        <f t="shared" si="61"/>
        <v>141</v>
      </c>
      <c r="B171" s="142" t="s">
        <v>384</v>
      </c>
      <c r="C171" s="91">
        <v>2</v>
      </c>
      <c r="D171" s="91" t="s">
        <v>34</v>
      </c>
      <c r="E171" s="403" t="str">
        <f>'DECK TALLY'!B146</f>
        <v>P6</v>
      </c>
      <c r="F171" s="104">
        <f>'DECK TALLY'!C146</f>
        <v>36.24</v>
      </c>
      <c r="G171" s="232">
        <f t="shared" si="62"/>
        <v>35.902500000000003</v>
      </c>
      <c r="H171" s="92" t="s">
        <v>32</v>
      </c>
      <c r="I171" s="439">
        <f t="shared" si="63"/>
        <v>5250.5174999999981</v>
      </c>
      <c r="J171" s="232">
        <f t="shared" si="64"/>
        <v>16130.482500000002</v>
      </c>
      <c r="K171" s="117">
        <f t="shared" si="59"/>
        <v>219.8131039323911</v>
      </c>
      <c r="L171" s="517">
        <v>16205</v>
      </c>
      <c r="M171" s="605"/>
      <c r="N171" s="605"/>
      <c r="O171" s="527">
        <f t="shared" si="46"/>
        <v>16186.08</v>
      </c>
      <c r="P171" s="531">
        <f>O171-J171</f>
        <v>55.597499999998035</v>
      </c>
      <c r="Q171" s="28"/>
      <c r="R171" s="532">
        <f>J171+75</f>
        <v>16205.482500000002</v>
      </c>
      <c r="S171" s="37">
        <v>75</v>
      </c>
      <c r="T171" s="37"/>
      <c r="U171" s="37"/>
      <c r="V171" s="37"/>
      <c r="W171" s="37"/>
      <c r="X171" s="37"/>
      <c r="Y171" s="37"/>
      <c r="Z171" s="37"/>
      <c r="AA171" s="37"/>
    </row>
    <row r="172" spans="1:27" s="2" customFormat="1" ht="21" customHeight="1">
      <c r="A172" s="444">
        <f t="shared" si="61"/>
        <v>142</v>
      </c>
      <c r="B172" s="142" t="s">
        <v>384</v>
      </c>
      <c r="C172" s="91">
        <v>2</v>
      </c>
      <c r="D172" s="91" t="s">
        <v>34</v>
      </c>
      <c r="E172" s="403" t="str">
        <f>'DECK TALLY'!B147</f>
        <v>P7</v>
      </c>
      <c r="F172" s="103">
        <f>'DECK TALLY'!C147</f>
        <v>35.29</v>
      </c>
      <c r="G172" s="263">
        <f t="shared" si="62"/>
        <v>34.952500000000001</v>
      </c>
      <c r="H172" s="95" t="s">
        <v>32</v>
      </c>
      <c r="I172" s="440">
        <f t="shared" si="63"/>
        <v>5285.4699999999984</v>
      </c>
      <c r="J172" s="263">
        <f t="shared" si="64"/>
        <v>16095.530000000002</v>
      </c>
      <c r="K172" s="117">
        <f t="shared" si="59"/>
        <v>220.6439801298701</v>
      </c>
      <c r="L172" s="517">
        <v>16175</v>
      </c>
      <c r="M172" s="605"/>
      <c r="N172" s="605"/>
      <c r="O172" s="527">
        <f t="shared" si="46"/>
        <v>16156.08</v>
      </c>
      <c r="P172" s="531"/>
      <c r="Q172" s="28"/>
      <c r="R172" s="532">
        <f t="shared" ref="R172:R182" si="65">J172+73</f>
        <v>16168.530000000002</v>
      </c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 s="2" customFormat="1" ht="21" customHeight="1" thickBot="1">
      <c r="A173" s="444">
        <f t="shared" si="61"/>
        <v>143</v>
      </c>
      <c r="B173" s="142" t="s">
        <v>384</v>
      </c>
      <c r="C173" s="91">
        <v>2</v>
      </c>
      <c r="D173" s="91" t="s">
        <v>34</v>
      </c>
      <c r="E173" s="403" t="str">
        <f>'DECK TALLY'!B148</f>
        <v>P8</v>
      </c>
      <c r="F173" s="104">
        <f>'DECK TALLY'!C148</f>
        <v>36.35</v>
      </c>
      <c r="G173" s="232">
        <f t="shared" si="62"/>
        <v>36.012500000000003</v>
      </c>
      <c r="H173" s="95" t="s">
        <v>32</v>
      </c>
      <c r="I173" s="441">
        <f t="shared" si="63"/>
        <v>5321.4824999999983</v>
      </c>
      <c r="J173" s="264">
        <f t="shared" si="64"/>
        <v>16059.517500000002</v>
      </c>
      <c r="K173" s="117">
        <f t="shared" si="59"/>
        <v>221.50005420359048</v>
      </c>
      <c r="L173" s="517">
        <v>16132</v>
      </c>
      <c r="M173" s="605"/>
      <c r="N173" s="605"/>
      <c r="O173" s="527">
        <f t="shared" si="46"/>
        <v>16113.08</v>
      </c>
      <c r="P173" s="531"/>
      <c r="Q173" s="28"/>
      <c r="R173" s="532">
        <f t="shared" si="65"/>
        <v>16132.517500000002</v>
      </c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 s="2" customFormat="1" ht="21" customHeight="1" thickBot="1">
      <c r="A174" s="446" t="s">
        <v>579</v>
      </c>
      <c r="B174" s="364" t="s">
        <v>580</v>
      </c>
      <c r="C174" s="361">
        <v>1</v>
      </c>
      <c r="D174" s="91" t="s">
        <v>34</v>
      </c>
      <c r="E174" s="405" t="s">
        <v>406</v>
      </c>
      <c r="F174" s="367">
        <v>10.25</v>
      </c>
      <c r="G174" s="263">
        <f t="shared" si="62"/>
        <v>9.9124999999999996</v>
      </c>
      <c r="H174" s="92" t="s">
        <v>32</v>
      </c>
      <c r="I174" s="439">
        <f t="shared" ref="I174:I176" si="66">IF(H174="IN",I173+G174,I173)</f>
        <v>5331.3949999999986</v>
      </c>
      <c r="J174" s="232">
        <f t="shared" ref="J174:J176" si="67">IF(I174="","",$M$9-I174)</f>
        <v>16049.605000000001</v>
      </c>
      <c r="K174" s="117">
        <f t="shared" ref="K174:K176" si="68">$H$8+(I174*$E$9*$E$15/1000)</f>
        <v>221.73569000381968</v>
      </c>
      <c r="L174" s="517">
        <v>16125</v>
      </c>
      <c r="M174" s="605"/>
      <c r="N174" s="605"/>
      <c r="O174" s="527">
        <f t="shared" si="46"/>
        <v>16106.08</v>
      </c>
      <c r="P174" s="531"/>
      <c r="Q174" s="28"/>
      <c r="R174" s="532">
        <f t="shared" si="65"/>
        <v>16122.605000000001</v>
      </c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 s="2" customFormat="1" ht="21" customHeight="1" thickTop="1" thickBot="1">
      <c r="A175" s="446" t="s">
        <v>579</v>
      </c>
      <c r="B175" s="364" t="s">
        <v>580</v>
      </c>
      <c r="C175" s="361">
        <v>1</v>
      </c>
      <c r="D175" s="91" t="s">
        <v>34</v>
      </c>
      <c r="E175" s="405" t="s">
        <v>398</v>
      </c>
      <c r="F175" s="367">
        <v>8.2200000000000006</v>
      </c>
      <c r="G175" s="232">
        <f t="shared" si="62"/>
        <v>7.8825000000000003</v>
      </c>
      <c r="H175" s="95" t="s">
        <v>32</v>
      </c>
      <c r="I175" s="440">
        <f t="shared" si="66"/>
        <v>5339.2774999999983</v>
      </c>
      <c r="J175" s="263">
        <f t="shared" si="67"/>
        <v>16041.722500000002</v>
      </c>
      <c r="K175" s="117">
        <f t="shared" si="68"/>
        <v>221.92306949388842</v>
      </c>
      <c r="L175" s="517">
        <v>16118</v>
      </c>
      <c r="M175" s="315" t="s">
        <v>569</v>
      </c>
      <c r="N175" s="483">
        <v>16050</v>
      </c>
      <c r="O175" s="527">
        <f t="shared" si="46"/>
        <v>16099.08</v>
      </c>
      <c r="P175" s="531"/>
      <c r="Q175" s="28"/>
      <c r="R175" s="532">
        <f t="shared" si="65"/>
        <v>16114.722500000002</v>
      </c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 s="2" customFormat="1" ht="21" customHeight="1" thickBot="1">
      <c r="A176" s="444">
        <f>A173+1</f>
        <v>144</v>
      </c>
      <c r="B176" s="142" t="s">
        <v>384</v>
      </c>
      <c r="C176" s="91">
        <v>2</v>
      </c>
      <c r="D176" s="91" t="s">
        <v>34</v>
      </c>
      <c r="E176" s="362" t="str">
        <f>'DECK TALLY'!B149</f>
        <v>P9</v>
      </c>
      <c r="F176" s="103">
        <f>'DECK TALLY'!C149</f>
        <v>36.21</v>
      </c>
      <c r="G176" s="92">
        <f t="shared" si="62"/>
        <v>35.872500000000002</v>
      </c>
      <c r="H176" s="92" t="s">
        <v>32</v>
      </c>
      <c r="I176" s="438">
        <f t="shared" si="66"/>
        <v>5375.1499999999987</v>
      </c>
      <c r="J176" s="363">
        <f t="shared" si="67"/>
        <v>16005.850000000002</v>
      </c>
      <c r="K176" s="117">
        <f t="shared" si="68"/>
        <v>222.77581554621847</v>
      </c>
      <c r="L176" s="517"/>
      <c r="M176" s="317" t="s">
        <v>593</v>
      </c>
      <c r="N176" s="484" t="str">
        <f>E176</f>
        <v>P9</v>
      </c>
      <c r="O176" s="527">
        <f t="shared" si="46"/>
        <v>-18.920000000000002</v>
      </c>
      <c r="P176" s="531"/>
      <c r="Q176" s="28"/>
      <c r="R176" s="532">
        <f t="shared" si="65"/>
        <v>16078.850000000002</v>
      </c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 s="2" customFormat="1" ht="21" customHeight="1" thickBot="1">
      <c r="A177" s="444">
        <f t="shared" si="61"/>
        <v>145</v>
      </c>
      <c r="B177" s="142" t="s">
        <v>384</v>
      </c>
      <c r="C177" s="361">
        <v>1</v>
      </c>
      <c r="D177" s="91" t="s">
        <v>34</v>
      </c>
      <c r="E177" s="403" t="str">
        <f>'DECK TALLY'!B150</f>
        <v>Q1</v>
      </c>
      <c r="F177" s="104">
        <f>'DECK TALLY'!C150</f>
        <v>37.46</v>
      </c>
      <c r="G177" s="232">
        <f t="shared" si="62"/>
        <v>37.122500000000002</v>
      </c>
      <c r="H177" s="92" t="s">
        <v>32</v>
      </c>
      <c r="I177" s="439">
        <f t="shared" si="63"/>
        <v>5412.2724999999991</v>
      </c>
      <c r="J177" s="232">
        <f t="shared" si="64"/>
        <v>15968.727500000001</v>
      </c>
      <c r="K177" s="117">
        <f t="shared" si="59"/>
        <v>223.65827607524827</v>
      </c>
      <c r="L177" s="517">
        <v>16043</v>
      </c>
      <c r="M177" s="545" t="s">
        <v>591</v>
      </c>
      <c r="N177" s="745"/>
      <c r="O177" s="527">
        <f t="shared" si="46"/>
        <v>16024.08</v>
      </c>
      <c r="P177" s="531"/>
      <c r="Q177" s="28"/>
      <c r="R177" s="532">
        <f t="shared" si="65"/>
        <v>16041.727500000001</v>
      </c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 s="2" customFormat="1" ht="21" customHeight="1">
      <c r="A178" s="444">
        <f t="shared" si="61"/>
        <v>146</v>
      </c>
      <c r="B178" s="142" t="s">
        <v>384</v>
      </c>
      <c r="C178" s="91">
        <v>2</v>
      </c>
      <c r="D178" s="91" t="s">
        <v>34</v>
      </c>
      <c r="E178" s="403" t="str">
        <f>'DECK TALLY'!B151</f>
        <v>Q2</v>
      </c>
      <c r="F178" s="104">
        <f>'DECK TALLY'!C151</f>
        <v>36.75</v>
      </c>
      <c r="G178" s="232">
        <f t="shared" si="62"/>
        <v>36.412500000000001</v>
      </c>
      <c r="H178" s="95" t="s">
        <v>32</v>
      </c>
      <c r="I178" s="439">
        <f t="shared" si="63"/>
        <v>5448.6849999999995</v>
      </c>
      <c r="J178" s="232">
        <f t="shared" si="64"/>
        <v>15932.315000000001</v>
      </c>
      <c r="K178" s="117">
        <f t="shared" si="59"/>
        <v>224.52385878151262</v>
      </c>
      <c r="L178" s="517"/>
      <c r="M178" s="746"/>
      <c r="N178" s="747"/>
      <c r="O178" s="527">
        <f t="shared" si="46"/>
        <v>-18.920000000000002</v>
      </c>
      <c r="P178" s="531"/>
      <c r="Q178" s="28"/>
      <c r="R178" s="532">
        <f t="shared" si="65"/>
        <v>16005.315000000001</v>
      </c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 s="2" customFormat="1" ht="21" customHeight="1">
      <c r="A179" s="444">
        <f t="shared" si="61"/>
        <v>147</v>
      </c>
      <c r="B179" s="142" t="s">
        <v>384</v>
      </c>
      <c r="C179" s="91">
        <v>2</v>
      </c>
      <c r="D179" s="91" t="s">
        <v>34</v>
      </c>
      <c r="E179" s="403" t="str">
        <f>'DECK TALLY'!B152</f>
        <v>Q3</v>
      </c>
      <c r="F179" s="103">
        <f>'DECK TALLY'!C152</f>
        <v>37.22</v>
      </c>
      <c r="G179" s="232">
        <f t="shared" si="62"/>
        <v>36.8825</v>
      </c>
      <c r="H179" s="95" t="s">
        <v>32</v>
      </c>
      <c r="I179" s="439">
        <f t="shared" si="63"/>
        <v>5485.5674999999992</v>
      </c>
      <c r="J179" s="232">
        <f t="shared" si="64"/>
        <v>15895.432500000001</v>
      </c>
      <c r="K179" s="117">
        <f t="shared" si="59"/>
        <v>225.40061413101603</v>
      </c>
      <c r="L179" s="517"/>
      <c r="M179" s="607" t="s">
        <v>592</v>
      </c>
      <c r="N179" s="618"/>
      <c r="O179" s="527">
        <f t="shared" si="46"/>
        <v>-18.920000000000002</v>
      </c>
      <c r="P179" s="531"/>
      <c r="Q179" s="28"/>
      <c r="R179" s="532">
        <f t="shared" si="65"/>
        <v>15968.432500000001</v>
      </c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 s="2" customFormat="1" ht="21" customHeight="1" thickBot="1">
      <c r="A180" s="444">
        <f t="shared" si="61"/>
        <v>148</v>
      </c>
      <c r="B180" s="142" t="s">
        <v>384</v>
      </c>
      <c r="C180" s="91">
        <v>2</v>
      </c>
      <c r="D180" s="91" t="s">
        <v>34</v>
      </c>
      <c r="E180" s="403" t="str">
        <f>'DECK TALLY'!B153</f>
        <v>Q4</v>
      </c>
      <c r="F180" s="104">
        <f>'DECK TALLY'!C153</f>
        <v>36.76</v>
      </c>
      <c r="G180" s="232">
        <f t="shared" si="62"/>
        <v>36.422499999999999</v>
      </c>
      <c r="H180" s="92" t="s">
        <v>32</v>
      </c>
      <c r="I180" s="439">
        <f t="shared" si="63"/>
        <v>5521.9899999999989</v>
      </c>
      <c r="J180" s="232">
        <f t="shared" si="64"/>
        <v>15859.010000000002</v>
      </c>
      <c r="K180" s="117">
        <f t="shared" si="59"/>
        <v>226.26643455309394</v>
      </c>
      <c r="L180" s="517"/>
      <c r="M180" s="366" t="s">
        <v>588</v>
      </c>
      <c r="N180" s="486">
        <f>J175-5</f>
        <v>16036.722500000002</v>
      </c>
      <c r="O180" s="527">
        <f t="shared" si="46"/>
        <v>-18.920000000000002</v>
      </c>
      <c r="P180" s="531"/>
      <c r="Q180" s="28"/>
      <c r="R180" s="532">
        <f t="shared" si="65"/>
        <v>15932.010000000002</v>
      </c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 s="2" customFormat="1" ht="21" customHeight="1" thickTop="1">
      <c r="A181" s="444">
        <f t="shared" si="61"/>
        <v>149</v>
      </c>
      <c r="B181" s="142" t="s">
        <v>384</v>
      </c>
      <c r="C181" s="91">
        <v>2</v>
      </c>
      <c r="D181" s="91" t="s">
        <v>34</v>
      </c>
      <c r="E181" s="403" t="str">
        <f>'DECK TALLY'!B154</f>
        <v>Q5</v>
      </c>
      <c r="F181" s="103">
        <f>'DECK TALLY'!C154</f>
        <v>37.22</v>
      </c>
      <c r="G181" s="92">
        <f t="shared" si="62"/>
        <v>36.8825</v>
      </c>
      <c r="H181" s="92" t="s">
        <v>32</v>
      </c>
      <c r="I181" s="438">
        <f t="shared" si="63"/>
        <v>5558.8724999999986</v>
      </c>
      <c r="J181" s="92">
        <f t="shared" si="64"/>
        <v>15822.127500000002</v>
      </c>
      <c r="K181" s="117">
        <f t="shared" si="59"/>
        <v>227.14318990259736</v>
      </c>
      <c r="L181" s="517"/>
      <c r="M181" s="605"/>
      <c r="N181" s="605"/>
      <c r="O181" s="527">
        <f t="shared" si="46"/>
        <v>-18.920000000000002</v>
      </c>
      <c r="P181" s="531"/>
      <c r="Q181" s="28"/>
      <c r="R181" s="532">
        <f t="shared" si="65"/>
        <v>15895.127500000002</v>
      </c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 s="2" customFormat="1" ht="21" customHeight="1" thickBot="1">
      <c r="A182" s="444">
        <f t="shared" si="61"/>
        <v>150</v>
      </c>
      <c r="B182" s="142" t="s">
        <v>384</v>
      </c>
      <c r="C182" s="91">
        <v>2</v>
      </c>
      <c r="D182" s="91" t="s">
        <v>34</v>
      </c>
      <c r="E182" s="403" t="str">
        <f>'DECK TALLY'!B155</f>
        <v>Q6</v>
      </c>
      <c r="F182" s="104">
        <f>'DECK TALLY'!C155</f>
        <v>35.58</v>
      </c>
      <c r="G182" s="92">
        <f t="shared" si="62"/>
        <v>35.2425</v>
      </c>
      <c r="H182" s="95" t="s">
        <v>32</v>
      </c>
      <c r="I182" s="438">
        <f t="shared" si="63"/>
        <v>5594.1149999999989</v>
      </c>
      <c r="J182" s="92">
        <f t="shared" si="64"/>
        <v>15786.885000000002</v>
      </c>
      <c r="K182" s="117">
        <f t="shared" si="59"/>
        <v>227.9809598586707</v>
      </c>
      <c r="L182" s="517"/>
      <c r="M182" s="604"/>
      <c r="N182" s="605"/>
      <c r="O182" s="527">
        <f t="shared" si="46"/>
        <v>-18.920000000000002</v>
      </c>
      <c r="P182" s="531"/>
      <c r="Q182" s="28"/>
      <c r="R182" s="532">
        <f t="shared" si="65"/>
        <v>15859.885000000002</v>
      </c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 s="2" customFormat="1" ht="21" customHeight="1" thickTop="1" thickBot="1">
      <c r="A183" s="444">
        <f t="shared" si="61"/>
        <v>151</v>
      </c>
      <c r="B183" s="142" t="s">
        <v>384</v>
      </c>
      <c r="C183" s="361">
        <v>1</v>
      </c>
      <c r="D183" s="91" t="s">
        <v>34</v>
      </c>
      <c r="E183" s="403" t="str">
        <f>'DECK TALLY'!B156</f>
        <v>Q7</v>
      </c>
      <c r="F183" s="104">
        <f>'DECK TALLY'!C156</f>
        <v>36.979999999999997</v>
      </c>
      <c r="G183" s="92">
        <f t="shared" ref="G183:G224" si="69">F183-($E$12/12)</f>
        <v>36.642499999999998</v>
      </c>
      <c r="H183" s="95" t="s">
        <v>32</v>
      </c>
      <c r="I183" s="438">
        <f t="shared" si="47"/>
        <v>5630.7574999999988</v>
      </c>
      <c r="J183" s="92">
        <f t="shared" si="53"/>
        <v>15750.2425</v>
      </c>
      <c r="K183" s="117">
        <f t="shared" si="59"/>
        <v>228.85201002864781</v>
      </c>
      <c r="L183" s="517">
        <v>15823</v>
      </c>
      <c r="M183" s="315" t="s">
        <v>569</v>
      </c>
      <c r="N183" s="483">
        <v>15750</v>
      </c>
      <c r="O183" s="527">
        <f t="shared" si="46"/>
        <v>15804.08</v>
      </c>
      <c r="P183" s="531"/>
      <c r="Q183" s="28"/>
      <c r="R183" s="532">
        <f>J183+73</f>
        <v>15823.2425</v>
      </c>
      <c r="S183" s="37">
        <v>73</v>
      </c>
      <c r="T183" s="37"/>
      <c r="U183" s="37"/>
      <c r="V183" s="37"/>
      <c r="W183" s="37"/>
      <c r="X183" s="37"/>
      <c r="Y183" s="37"/>
      <c r="Z183" s="37"/>
      <c r="AA183" s="37"/>
    </row>
    <row r="184" spans="1:27" s="2" customFormat="1" ht="21" customHeight="1" thickBot="1">
      <c r="A184" s="444">
        <f t="shared" si="61"/>
        <v>152</v>
      </c>
      <c r="B184" s="142" t="s">
        <v>384</v>
      </c>
      <c r="C184" s="91">
        <v>2</v>
      </c>
      <c r="D184" s="91" t="s">
        <v>34</v>
      </c>
      <c r="E184" s="362" t="str">
        <f>'DECK TALLY'!B157</f>
        <v>Q8</v>
      </c>
      <c r="F184" s="103">
        <f>'DECK TALLY'!C157</f>
        <v>36.97</v>
      </c>
      <c r="G184" s="92">
        <f t="shared" si="69"/>
        <v>36.6325</v>
      </c>
      <c r="H184" s="92" t="s">
        <v>32</v>
      </c>
      <c r="I184" s="438">
        <f t="shared" si="47"/>
        <v>5667.3899999999985</v>
      </c>
      <c r="J184" s="363">
        <f t="shared" si="53"/>
        <v>15713.61</v>
      </c>
      <c r="K184" s="117">
        <f t="shared" si="59"/>
        <v>229.7228224828113</v>
      </c>
      <c r="L184" s="517"/>
      <c r="M184" s="317" t="s">
        <v>594</v>
      </c>
      <c r="N184" s="484" t="str">
        <f>E184</f>
        <v>Q8</v>
      </c>
      <c r="O184" s="527">
        <f t="shared" si="46"/>
        <v>-18.920000000000002</v>
      </c>
      <c r="P184" s="531"/>
      <c r="Q184" s="28"/>
      <c r="R184" s="532">
        <f t="shared" ref="R184:R197" si="70">J184+72</f>
        <v>15785.61</v>
      </c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 s="2" customFormat="1" ht="21" customHeight="1" thickBot="1">
      <c r="A185" s="444">
        <f t="shared" si="61"/>
        <v>153</v>
      </c>
      <c r="B185" s="142" t="s">
        <v>384</v>
      </c>
      <c r="C185" s="361">
        <v>1</v>
      </c>
      <c r="D185" s="91" t="s">
        <v>34</v>
      </c>
      <c r="E185" s="403" t="str">
        <f>'DECK TALLY'!B158</f>
        <v>Q9</v>
      </c>
      <c r="F185" s="104">
        <f>'DECK TALLY'!C158</f>
        <v>37.03</v>
      </c>
      <c r="G185" s="92">
        <f t="shared" si="69"/>
        <v>36.692500000000003</v>
      </c>
      <c r="H185" s="92" t="s">
        <v>32</v>
      </c>
      <c r="I185" s="438">
        <f t="shared" si="47"/>
        <v>5704.0824999999986</v>
      </c>
      <c r="J185" s="92">
        <f t="shared" si="53"/>
        <v>15676.917500000001</v>
      </c>
      <c r="K185" s="117">
        <f t="shared" si="59"/>
        <v>230.59506123185636</v>
      </c>
      <c r="L185" s="517"/>
      <c r="M185" s="545" t="s">
        <v>595</v>
      </c>
      <c r="N185" s="745"/>
      <c r="O185" s="527">
        <f t="shared" si="46"/>
        <v>-18.920000000000002</v>
      </c>
      <c r="P185" s="531"/>
      <c r="Q185" s="28"/>
      <c r="R185" s="532">
        <f t="shared" si="70"/>
        <v>15748.917500000001</v>
      </c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 s="2" customFormat="1" ht="21" customHeight="1">
      <c r="A186" s="444">
        <f t="shared" si="61"/>
        <v>154</v>
      </c>
      <c r="B186" s="142" t="s">
        <v>384</v>
      </c>
      <c r="C186" s="91">
        <v>2</v>
      </c>
      <c r="D186" s="91" t="s">
        <v>34</v>
      </c>
      <c r="E186" s="403" t="str">
        <f>'DECK TALLY'!B159</f>
        <v>R1</v>
      </c>
      <c r="F186" s="103">
        <f>'DECK TALLY'!C159</f>
        <v>36.130000000000003</v>
      </c>
      <c r="G186" s="92">
        <f t="shared" si="69"/>
        <v>35.792500000000004</v>
      </c>
      <c r="H186" s="95" t="s">
        <v>32</v>
      </c>
      <c r="I186" s="438">
        <f t="shared" si="47"/>
        <v>5739.8749999999982</v>
      </c>
      <c r="J186" s="92">
        <f t="shared" si="53"/>
        <v>15641.125000000002</v>
      </c>
      <c r="K186" s="117">
        <f t="shared" si="59"/>
        <v>231.44590555767758</v>
      </c>
      <c r="L186" s="517"/>
      <c r="M186" s="746"/>
      <c r="N186" s="747"/>
      <c r="O186" s="527">
        <f t="shared" si="46"/>
        <v>-18.920000000000002</v>
      </c>
      <c r="P186" s="531"/>
      <c r="Q186" s="28"/>
      <c r="R186" s="532">
        <f t="shared" si="70"/>
        <v>15713.125000000002</v>
      </c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 s="2" customFormat="1" ht="21" customHeight="1">
      <c r="A187" s="444">
        <f t="shared" si="61"/>
        <v>155</v>
      </c>
      <c r="B187" s="142" t="s">
        <v>384</v>
      </c>
      <c r="C187" s="91">
        <v>2</v>
      </c>
      <c r="D187" s="91" t="s">
        <v>34</v>
      </c>
      <c r="E187" s="403" t="str">
        <f>'DECK TALLY'!B160</f>
        <v>R2</v>
      </c>
      <c r="F187" s="104">
        <f>'DECK TALLY'!C160</f>
        <v>37.32</v>
      </c>
      <c r="G187" s="92">
        <f t="shared" si="69"/>
        <v>36.982500000000002</v>
      </c>
      <c r="H187" s="95" t="s">
        <v>32</v>
      </c>
      <c r="I187" s="438">
        <f t="shared" si="47"/>
        <v>5776.8574999999983</v>
      </c>
      <c r="J187" s="92">
        <f t="shared" si="53"/>
        <v>15604.142500000002</v>
      </c>
      <c r="K187" s="117">
        <f t="shared" si="59"/>
        <v>232.32503806531699</v>
      </c>
      <c r="L187" s="517"/>
      <c r="M187" s="607" t="s">
        <v>596</v>
      </c>
      <c r="N187" s="618"/>
      <c r="O187" s="527">
        <f t="shared" si="46"/>
        <v>-18.920000000000002</v>
      </c>
      <c r="P187" s="531"/>
      <c r="Q187" s="28"/>
      <c r="R187" s="532">
        <f t="shared" si="70"/>
        <v>15676.142500000002</v>
      </c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 s="2" customFormat="1" ht="21" customHeight="1" thickBot="1">
      <c r="A188" s="444">
        <f t="shared" si="61"/>
        <v>156</v>
      </c>
      <c r="B188" s="142" t="s">
        <v>384</v>
      </c>
      <c r="C188" s="91">
        <v>2</v>
      </c>
      <c r="D188" s="91" t="s">
        <v>34</v>
      </c>
      <c r="E188" s="403" t="str">
        <f>'DECK TALLY'!B161</f>
        <v>R3</v>
      </c>
      <c r="F188" s="104">
        <f>'DECK TALLY'!C161</f>
        <v>37.29</v>
      </c>
      <c r="G188" s="92">
        <f t="shared" si="69"/>
        <v>36.952500000000001</v>
      </c>
      <c r="H188" s="92" t="s">
        <v>32</v>
      </c>
      <c r="I188" s="438">
        <f t="shared" si="47"/>
        <v>5813.8099999999986</v>
      </c>
      <c r="J188" s="92">
        <f t="shared" si="53"/>
        <v>15567.190000000002</v>
      </c>
      <c r="K188" s="117">
        <f t="shared" si="59"/>
        <v>233.20345742551564</v>
      </c>
      <c r="L188" s="517"/>
      <c r="M188" s="366" t="s">
        <v>588</v>
      </c>
      <c r="N188" s="486">
        <f>J183-5</f>
        <v>15745.2425</v>
      </c>
      <c r="O188" s="527">
        <f t="shared" si="46"/>
        <v>-18.920000000000002</v>
      </c>
      <c r="P188" s="531"/>
      <c r="Q188" s="28"/>
      <c r="R188" s="532">
        <f t="shared" si="70"/>
        <v>15639.190000000002</v>
      </c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 s="2" customFormat="1" ht="21" customHeight="1" thickTop="1">
      <c r="A189" s="444">
        <f t="shared" si="61"/>
        <v>157</v>
      </c>
      <c r="B189" s="142" t="s">
        <v>384</v>
      </c>
      <c r="C189" s="91">
        <v>2</v>
      </c>
      <c r="D189" s="91" t="s">
        <v>34</v>
      </c>
      <c r="E189" s="403" t="str">
        <f>'DECK TALLY'!B162</f>
        <v>R4</v>
      </c>
      <c r="F189" s="103">
        <f>'DECK TALLY'!C162</f>
        <v>37.270000000000003</v>
      </c>
      <c r="G189" s="92">
        <f t="shared" si="69"/>
        <v>36.932500000000005</v>
      </c>
      <c r="H189" s="92" t="s">
        <v>32</v>
      </c>
      <c r="I189" s="438">
        <f t="shared" si="47"/>
        <v>5850.7424999999985</v>
      </c>
      <c r="J189" s="92">
        <f t="shared" si="53"/>
        <v>15530.257500000002</v>
      </c>
      <c r="K189" s="117">
        <f t="shared" si="59"/>
        <v>234.08140135408706</v>
      </c>
      <c r="L189" s="517"/>
      <c r="M189" s="605"/>
      <c r="N189" s="605"/>
      <c r="O189" s="527">
        <f t="shared" ref="O189:O251" si="71">L189-18.92</f>
        <v>-18.920000000000002</v>
      </c>
      <c r="P189" s="531"/>
      <c r="Q189" s="28"/>
      <c r="R189" s="532">
        <f t="shared" si="70"/>
        <v>15602.257500000002</v>
      </c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 s="2" customFormat="1" ht="21" customHeight="1">
      <c r="A190" s="444">
        <f t="shared" si="61"/>
        <v>158</v>
      </c>
      <c r="B190" s="142" t="s">
        <v>384</v>
      </c>
      <c r="C190" s="91">
        <v>2</v>
      </c>
      <c r="D190" s="91" t="s">
        <v>34</v>
      </c>
      <c r="E190" s="403" t="str">
        <f>'DECK TALLY'!B163</f>
        <v>R5</v>
      </c>
      <c r="F190" s="104">
        <f>'DECK TALLY'!C163</f>
        <v>37.119999999999997</v>
      </c>
      <c r="G190" s="232">
        <f t="shared" si="69"/>
        <v>36.782499999999999</v>
      </c>
      <c r="H190" s="95" t="s">
        <v>32</v>
      </c>
      <c r="I190" s="439">
        <f t="shared" si="47"/>
        <v>5887.5249999999987</v>
      </c>
      <c r="J190" s="232">
        <f t="shared" si="53"/>
        <v>15493.475000000002</v>
      </c>
      <c r="K190" s="117">
        <f t="shared" si="59"/>
        <v>234.95577954545453</v>
      </c>
      <c r="L190" s="517"/>
      <c r="M190" s="605"/>
      <c r="N190" s="605"/>
      <c r="O190" s="527">
        <f t="shared" si="71"/>
        <v>-18.920000000000002</v>
      </c>
      <c r="P190" s="531"/>
      <c r="Q190" s="28"/>
      <c r="R190" s="532">
        <f t="shared" si="70"/>
        <v>15565.475000000002</v>
      </c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 s="2" customFormat="1" ht="21" customHeight="1">
      <c r="A191" s="444">
        <f t="shared" si="61"/>
        <v>159</v>
      </c>
      <c r="B191" s="142" t="s">
        <v>384</v>
      </c>
      <c r="C191" s="91">
        <v>2</v>
      </c>
      <c r="D191" s="91" t="s">
        <v>34</v>
      </c>
      <c r="E191" s="403" t="str">
        <f>'DECK TALLY'!B164</f>
        <v>R6</v>
      </c>
      <c r="F191" s="103">
        <f>'DECK TALLY'!C164</f>
        <v>36.69</v>
      </c>
      <c r="G191" s="232">
        <f t="shared" ref="G191:G197" si="72">F191-($E$12/12)</f>
        <v>36.352499999999999</v>
      </c>
      <c r="H191" s="95" t="s">
        <v>32</v>
      </c>
      <c r="I191" s="439">
        <f t="shared" ref="I191:I197" si="73">IF(H191="IN",I190+G191,I190)</f>
        <v>5923.8774999999987</v>
      </c>
      <c r="J191" s="232">
        <f t="shared" ref="J191:J197" si="74">IF(I191="","",$M$9-I191)</f>
        <v>15457.122500000001</v>
      </c>
      <c r="K191" s="117">
        <f t="shared" si="59"/>
        <v>235.81993595683724</v>
      </c>
      <c r="L191" s="517">
        <v>15529</v>
      </c>
      <c r="M191" s="605"/>
      <c r="N191" s="605"/>
      <c r="O191" s="527">
        <f t="shared" si="71"/>
        <v>15510.08</v>
      </c>
      <c r="P191" s="531">
        <f>O191-J191</f>
        <v>52.957499999998618</v>
      </c>
      <c r="Q191" s="28"/>
      <c r="R191" s="532">
        <f t="shared" si="70"/>
        <v>15529.122500000001</v>
      </c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 s="2" customFormat="1" ht="21" customHeight="1">
      <c r="A192" s="444">
        <f t="shared" si="61"/>
        <v>160</v>
      </c>
      <c r="B192" s="142" t="s">
        <v>384</v>
      </c>
      <c r="C192" s="91">
        <v>2</v>
      </c>
      <c r="D192" s="91" t="s">
        <v>34</v>
      </c>
      <c r="E192" s="403" t="str">
        <f>'DECK TALLY'!B165</f>
        <v>R7</v>
      </c>
      <c r="F192" s="104">
        <f>'DECK TALLY'!C165</f>
        <v>36.49</v>
      </c>
      <c r="G192" s="232">
        <f t="shared" si="72"/>
        <v>36.152500000000003</v>
      </c>
      <c r="H192" s="92" t="s">
        <v>32</v>
      </c>
      <c r="I192" s="439">
        <f t="shared" si="73"/>
        <v>5960.0299999999988</v>
      </c>
      <c r="J192" s="232">
        <f t="shared" si="74"/>
        <v>15420.970000000001</v>
      </c>
      <c r="K192" s="117">
        <f t="shared" si="59"/>
        <v>236.67933805194804</v>
      </c>
      <c r="L192" s="517"/>
      <c r="M192" s="605"/>
      <c r="N192" s="605"/>
      <c r="O192" s="527">
        <f t="shared" si="71"/>
        <v>-18.920000000000002</v>
      </c>
      <c r="P192" s="531"/>
      <c r="Q192" s="28"/>
      <c r="R192" s="532">
        <f t="shared" si="70"/>
        <v>15492.970000000001</v>
      </c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 s="2" customFormat="1" ht="21" customHeight="1">
      <c r="A193" s="444">
        <f t="shared" si="61"/>
        <v>161</v>
      </c>
      <c r="B193" s="142" t="s">
        <v>384</v>
      </c>
      <c r="C193" s="91">
        <v>2</v>
      </c>
      <c r="D193" s="91" t="s">
        <v>34</v>
      </c>
      <c r="E193" s="403" t="str">
        <f>'DECK TALLY'!B166</f>
        <v>R8</v>
      </c>
      <c r="F193" s="104">
        <f>'DECK TALLY'!C166</f>
        <v>36.6</v>
      </c>
      <c r="G193" s="263">
        <f t="shared" si="72"/>
        <v>36.262500000000003</v>
      </c>
      <c r="H193" s="92" t="s">
        <v>32</v>
      </c>
      <c r="I193" s="440">
        <f>IF(H193="IN",I192+G193,I192)</f>
        <v>5996.2924999999987</v>
      </c>
      <c r="J193" s="263">
        <f t="shared" si="74"/>
        <v>15384.7075</v>
      </c>
      <c r="K193" s="117">
        <f t="shared" si="59"/>
        <v>237.54135502100837</v>
      </c>
      <c r="L193" s="517"/>
      <c r="M193" s="605"/>
      <c r="N193" s="605"/>
      <c r="O193" s="527">
        <f t="shared" si="71"/>
        <v>-18.920000000000002</v>
      </c>
      <c r="P193" s="531"/>
      <c r="Q193" s="28"/>
      <c r="R193" s="532">
        <f t="shared" si="70"/>
        <v>15456.7075</v>
      </c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 s="2" customFormat="1" ht="21" customHeight="1">
      <c r="A194" s="444">
        <f t="shared" si="61"/>
        <v>162</v>
      </c>
      <c r="B194" s="142" t="s">
        <v>384</v>
      </c>
      <c r="C194" s="91">
        <v>2</v>
      </c>
      <c r="D194" s="91" t="s">
        <v>34</v>
      </c>
      <c r="E194" s="403" t="str">
        <f>'DECK TALLY'!B167</f>
        <v>R9</v>
      </c>
      <c r="F194" s="103">
        <f>'DECK TALLY'!C167</f>
        <v>36.42</v>
      </c>
      <c r="G194" s="261">
        <f t="shared" si="72"/>
        <v>36.082500000000003</v>
      </c>
      <c r="H194" s="95" t="s">
        <v>32</v>
      </c>
      <c r="I194" s="441">
        <f t="shared" si="73"/>
        <v>6032.3749999999991</v>
      </c>
      <c r="J194" s="264">
        <f t="shared" si="74"/>
        <v>15348.625</v>
      </c>
      <c r="K194" s="117">
        <f t="shared" si="59"/>
        <v>238.39909310542396</v>
      </c>
      <c r="L194" s="517"/>
      <c r="M194" s="605"/>
      <c r="N194" s="605"/>
      <c r="O194" s="527">
        <f t="shared" si="71"/>
        <v>-18.920000000000002</v>
      </c>
      <c r="P194" s="533"/>
      <c r="Q194" s="28"/>
      <c r="R194" s="532">
        <f t="shared" si="70"/>
        <v>15420.625</v>
      </c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 s="2" customFormat="1" ht="21" customHeight="1">
      <c r="A195" s="444">
        <f t="shared" si="61"/>
        <v>163</v>
      </c>
      <c r="B195" s="142" t="s">
        <v>384</v>
      </c>
      <c r="C195" s="91">
        <v>2</v>
      </c>
      <c r="D195" s="91" t="s">
        <v>34</v>
      </c>
      <c r="E195" s="403" t="str">
        <f>'DECK TALLY'!B168</f>
        <v>S1</v>
      </c>
      <c r="F195" s="104">
        <f>'DECK TALLY'!C168</f>
        <v>36.630000000000003</v>
      </c>
      <c r="G195" s="263">
        <f t="shared" si="72"/>
        <v>36.292500000000004</v>
      </c>
      <c r="H195" s="95" t="s">
        <v>32</v>
      </c>
      <c r="I195" s="440">
        <f t="shared" si="73"/>
        <v>6068.6674999999987</v>
      </c>
      <c r="J195" s="263">
        <f t="shared" si="74"/>
        <v>15312.3325</v>
      </c>
      <c r="K195" s="117">
        <f t="shared" si="59"/>
        <v>239.26182322192508</v>
      </c>
      <c r="L195" s="517"/>
      <c r="M195" s="739"/>
      <c r="N195" s="739"/>
      <c r="O195" s="527">
        <f t="shared" si="71"/>
        <v>-18.920000000000002</v>
      </c>
      <c r="P195" s="531"/>
      <c r="Q195" s="28"/>
      <c r="R195" s="532">
        <f t="shared" si="70"/>
        <v>15384.3325</v>
      </c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 s="2" customFormat="1" ht="21" customHeight="1">
      <c r="A196" s="444">
        <f t="shared" si="61"/>
        <v>164</v>
      </c>
      <c r="B196" s="142" t="s">
        <v>384</v>
      </c>
      <c r="C196" s="91">
        <v>2</v>
      </c>
      <c r="D196" s="91" t="s">
        <v>34</v>
      </c>
      <c r="E196" s="403" t="str">
        <f>'DECK TALLY'!B169</f>
        <v>S2</v>
      </c>
      <c r="F196" s="103">
        <f>'DECK TALLY'!C169</f>
        <v>36.61</v>
      </c>
      <c r="G196" s="232">
        <f t="shared" si="72"/>
        <v>36.272500000000001</v>
      </c>
      <c r="H196" s="92" t="s">
        <v>32</v>
      </c>
      <c r="I196" s="439">
        <f t="shared" si="73"/>
        <v>6104.9399999999987</v>
      </c>
      <c r="J196" s="232">
        <f t="shared" si="74"/>
        <v>15276.060000000001</v>
      </c>
      <c r="K196" s="117">
        <f t="shared" si="59"/>
        <v>240.12407790679904</v>
      </c>
      <c r="L196" s="517"/>
      <c r="M196" s="605"/>
      <c r="N196" s="605"/>
      <c r="O196" s="527">
        <f t="shared" si="71"/>
        <v>-18.920000000000002</v>
      </c>
      <c r="P196" s="531"/>
      <c r="Q196" s="28"/>
      <c r="R196" s="532">
        <f t="shared" si="70"/>
        <v>15348.060000000001</v>
      </c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 s="2" customFormat="1" ht="21" customHeight="1">
      <c r="A197" s="444">
        <f t="shared" si="61"/>
        <v>165</v>
      </c>
      <c r="B197" s="142" t="s">
        <v>384</v>
      </c>
      <c r="C197" s="91">
        <v>2</v>
      </c>
      <c r="D197" s="91" t="s">
        <v>34</v>
      </c>
      <c r="E197" s="403" t="str">
        <f>'DECK TALLY'!B170</f>
        <v>S3</v>
      </c>
      <c r="F197" s="104">
        <f>'DECK TALLY'!C170</f>
        <v>36.51</v>
      </c>
      <c r="G197" s="232">
        <f t="shared" si="72"/>
        <v>36.172499999999999</v>
      </c>
      <c r="H197" s="92" t="s">
        <v>32</v>
      </c>
      <c r="I197" s="439">
        <f t="shared" si="73"/>
        <v>6141.1124999999984</v>
      </c>
      <c r="J197" s="232">
        <f t="shared" si="74"/>
        <v>15239.887500000001</v>
      </c>
      <c r="K197" s="117">
        <f t="shared" si="59"/>
        <v>240.98395543353701</v>
      </c>
      <c r="L197" s="517"/>
      <c r="M197" s="605"/>
      <c r="N197" s="605"/>
      <c r="O197" s="527">
        <f t="shared" si="71"/>
        <v>-18.920000000000002</v>
      </c>
      <c r="P197" s="531"/>
      <c r="Q197" s="28"/>
      <c r="R197" s="532">
        <f t="shared" si="70"/>
        <v>15311.887500000001</v>
      </c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 s="2" customFormat="1" ht="21" customHeight="1">
      <c r="A198" s="444">
        <f t="shared" si="61"/>
        <v>166</v>
      </c>
      <c r="B198" s="142" t="s">
        <v>384</v>
      </c>
      <c r="C198" s="91">
        <v>2</v>
      </c>
      <c r="D198" s="91" t="s">
        <v>34</v>
      </c>
      <c r="E198" s="403" t="str">
        <f>'DECK TALLY'!B171</f>
        <v>S4</v>
      </c>
      <c r="F198" s="104">
        <f>'DECK TALLY'!C171</f>
        <v>36.9</v>
      </c>
      <c r="G198" s="92">
        <f t="shared" si="69"/>
        <v>36.5625</v>
      </c>
      <c r="H198" s="95" t="s">
        <v>32</v>
      </c>
      <c r="I198" s="438">
        <f t="shared" ref="I198:I242" si="75">IF(H198="IN",I197+G198,I197)</f>
        <v>6177.6749999999984</v>
      </c>
      <c r="J198" s="92">
        <f t="shared" si="53"/>
        <v>15203.325000000001</v>
      </c>
      <c r="K198" s="117">
        <f t="shared" si="59"/>
        <v>241.85310387700531</v>
      </c>
      <c r="L198" s="517">
        <v>15275</v>
      </c>
      <c r="M198" s="605"/>
      <c r="N198" s="605"/>
      <c r="O198" s="527">
        <f t="shared" si="71"/>
        <v>15256.08</v>
      </c>
      <c r="P198" s="531"/>
      <c r="Q198" s="28"/>
      <c r="R198" s="532">
        <f>J198+72</f>
        <v>15275.325000000001</v>
      </c>
      <c r="S198" s="37">
        <v>72</v>
      </c>
      <c r="T198" s="37"/>
      <c r="U198" s="37"/>
      <c r="V198" s="37"/>
      <c r="W198" s="37"/>
      <c r="X198" s="37"/>
      <c r="Y198" s="37"/>
      <c r="Z198" s="37"/>
      <c r="AA198" s="37"/>
    </row>
    <row r="199" spans="1:27" s="2" customFormat="1" ht="21" customHeight="1">
      <c r="A199" s="444">
        <f t="shared" si="61"/>
        <v>167</v>
      </c>
      <c r="B199" s="142" t="s">
        <v>384</v>
      </c>
      <c r="C199" s="91">
        <v>2</v>
      </c>
      <c r="D199" s="91" t="s">
        <v>34</v>
      </c>
      <c r="E199" s="403" t="str">
        <f>'DECK TALLY'!B172</f>
        <v>S5</v>
      </c>
      <c r="F199" s="103">
        <f>'DECK TALLY'!C172</f>
        <v>36.79</v>
      </c>
      <c r="G199" s="92">
        <f t="shared" ref="G199:G213" si="76">F199-($E$12/12)</f>
        <v>36.452500000000001</v>
      </c>
      <c r="H199" s="95" t="s">
        <v>32</v>
      </c>
      <c r="I199" s="438">
        <f t="shared" ref="I199:I213" si="77">IF(H199="IN",I198+G199,I198)</f>
        <v>6214.1274999999987</v>
      </c>
      <c r="J199" s="92">
        <f t="shared" ref="J199:J213" si="78">IF(I199="","",$M$9-I199)</f>
        <v>15166.872500000001</v>
      </c>
      <c r="K199" s="117">
        <f t="shared" si="59"/>
        <v>242.71963744652402</v>
      </c>
      <c r="L199" s="517"/>
      <c r="M199" s="605"/>
      <c r="N199" s="605"/>
      <c r="O199" s="527">
        <f t="shared" si="71"/>
        <v>-18.920000000000002</v>
      </c>
      <c r="P199" s="531"/>
      <c r="Q199" s="28"/>
      <c r="R199" s="532">
        <f t="shared" ref="R199:R209" si="79">J199+70</f>
        <v>15236.872500000001</v>
      </c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2" customFormat="1" ht="21" customHeight="1">
      <c r="A200" s="444">
        <f t="shared" si="61"/>
        <v>168</v>
      </c>
      <c r="B200" s="142" t="s">
        <v>384</v>
      </c>
      <c r="C200" s="91">
        <v>2</v>
      </c>
      <c r="D200" s="91" t="s">
        <v>34</v>
      </c>
      <c r="E200" s="403" t="str">
        <f>'DECK TALLY'!B173</f>
        <v>S6</v>
      </c>
      <c r="F200" s="104">
        <f>'DECK TALLY'!C173</f>
        <v>36.700000000000003</v>
      </c>
      <c r="G200" s="92">
        <f t="shared" si="76"/>
        <v>36.362500000000004</v>
      </c>
      <c r="H200" s="92" t="s">
        <v>32</v>
      </c>
      <c r="I200" s="438">
        <f t="shared" si="77"/>
        <v>6250.4899999999989</v>
      </c>
      <c r="J200" s="92">
        <f t="shared" si="78"/>
        <v>15130.510000000002</v>
      </c>
      <c r="K200" s="117">
        <f t="shared" si="59"/>
        <v>243.58403157372035</v>
      </c>
      <c r="L200" s="517"/>
      <c r="M200" s="605"/>
      <c r="N200" s="605"/>
      <c r="O200" s="527">
        <f t="shared" si="71"/>
        <v>-18.920000000000002</v>
      </c>
      <c r="P200" s="531"/>
      <c r="Q200" s="28"/>
      <c r="R200" s="532">
        <f t="shared" si="79"/>
        <v>15200.510000000002</v>
      </c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2" customFormat="1" ht="21" customHeight="1">
      <c r="A201" s="444">
        <f t="shared" si="61"/>
        <v>169</v>
      </c>
      <c r="B201" s="142" t="s">
        <v>384</v>
      </c>
      <c r="C201" s="91">
        <v>2</v>
      </c>
      <c r="D201" s="91" t="s">
        <v>34</v>
      </c>
      <c r="E201" s="403" t="str">
        <f>'DECK TALLY'!B174</f>
        <v>S7</v>
      </c>
      <c r="F201" s="103">
        <f>'DECK TALLY'!C174</f>
        <v>37.299999999999997</v>
      </c>
      <c r="G201" s="92">
        <f t="shared" si="76"/>
        <v>36.962499999999999</v>
      </c>
      <c r="H201" s="92" t="s">
        <v>32</v>
      </c>
      <c r="I201" s="438">
        <f t="shared" si="77"/>
        <v>6287.4524999999985</v>
      </c>
      <c r="J201" s="92">
        <f t="shared" si="78"/>
        <v>15093.547500000001</v>
      </c>
      <c r="K201" s="117">
        <f t="shared" si="59"/>
        <v>244.4626886497326</v>
      </c>
      <c r="L201" s="517"/>
      <c r="M201" s="605"/>
      <c r="N201" s="605"/>
      <c r="O201" s="527">
        <f t="shared" si="71"/>
        <v>-18.920000000000002</v>
      </c>
      <c r="P201" s="531"/>
      <c r="Q201" s="28"/>
      <c r="R201" s="532">
        <f t="shared" si="79"/>
        <v>15163.547500000001</v>
      </c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 s="2" customFormat="1" ht="21" customHeight="1">
      <c r="A202" s="444">
        <f t="shared" si="61"/>
        <v>170</v>
      </c>
      <c r="B202" s="142" t="s">
        <v>384</v>
      </c>
      <c r="C202" s="91">
        <v>2</v>
      </c>
      <c r="D202" s="91" t="s">
        <v>34</v>
      </c>
      <c r="E202" s="403" t="str">
        <f>'DECK TALLY'!B175</f>
        <v>S8</v>
      </c>
      <c r="F202" s="104">
        <f>'DECK TALLY'!C175</f>
        <v>35.450000000000003</v>
      </c>
      <c r="G202" s="92">
        <f t="shared" si="76"/>
        <v>35.112500000000004</v>
      </c>
      <c r="H202" s="95" t="s">
        <v>32</v>
      </c>
      <c r="I202" s="438">
        <f t="shared" si="77"/>
        <v>6322.5649999999987</v>
      </c>
      <c r="J202" s="92">
        <f t="shared" si="78"/>
        <v>15058.435000000001</v>
      </c>
      <c r="K202" s="117">
        <f t="shared" si="59"/>
        <v>245.29736830022912</v>
      </c>
      <c r="L202" s="517"/>
      <c r="M202" s="605"/>
      <c r="N202" s="605"/>
      <c r="O202" s="527">
        <f t="shared" si="71"/>
        <v>-18.920000000000002</v>
      </c>
      <c r="P202" s="531"/>
      <c r="Q202" s="28"/>
      <c r="R202" s="532">
        <f t="shared" si="79"/>
        <v>15128.435000000001</v>
      </c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 s="2" customFormat="1" ht="21" customHeight="1">
      <c r="A203" s="444">
        <f t="shared" si="61"/>
        <v>171</v>
      </c>
      <c r="B203" s="142" t="s">
        <v>384</v>
      </c>
      <c r="C203" s="91">
        <v>2</v>
      </c>
      <c r="D203" s="91" t="s">
        <v>34</v>
      </c>
      <c r="E203" s="403" t="str">
        <f>'DECK TALLY'!B176</f>
        <v>S9</v>
      </c>
      <c r="F203" s="104">
        <f>'DECK TALLY'!C176</f>
        <v>36.75</v>
      </c>
      <c r="G203" s="92">
        <f t="shared" si="76"/>
        <v>36.412500000000001</v>
      </c>
      <c r="H203" s="95" t="s">
        <v>32</v>
      </c>
      <c r="I203" s="438">
        <f t="shared" si="77"/>
        <v>6358.9774999999991</v>
      </c>
      <c r="J203" s="92">
        <f t="shared" si="78"/>
        <v>15022.022500000001</v>
      </c>
      <c r="K203" s="117">
        <f t="shared" si="59"/>
        <v>246.1629510064935</v>
      </c>
      <c r="L203" s="517"/>
      <c r="M203" s="605"/>
      <c r="N203" s="605"/>
      <c r="O203" s="527">
        <f t="shared" si="71"/>
        <v>-18.920000000000002</v>
      </c>
      <c r="P203" s="531"/>
      <c r="Q203" s="28"/>
      <c r="R203" s="532">
        <f t="shared" si="79"/>
        <v>15092.022500000001</v>
      </c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 s="2" customFormat="1" ht="21" customHeight="1">
      <c r="A204" s="444">
        <f t="shared" si="61"/>
        <v>172</v>
      </c>
      <c r="B204" s="142" t="s">
        <v>384</v>
      </c>
      <c r="C204" s="91">
        <v>2</v>
      </c>
      <c r="D204" s="91" t="s">
        <v>34</v>
      </c>
      <c r="E204" s="403" t="str">
        <f>'DECK TALLY'!B177</f>
        <v>T1</v>
      </c>
      <c r="F204" s="103">
        <f>'DECK TALLY'!C177</f>
        <v>37.590000000000003</v>
      </c>
      <c r="G204" s="92">
        <f t="shared" si="76"/>
        <v>37.252500000000005</v>
      </c>
      <c r="H204" s="92" t="s">
        <v>32</v>
      </c>
      <c r="I204" s="438">
        <f t="shared" si="77"/>
        <v>6396.2299999999987</v>
      </c>
      <c r="J204" s="92">
        <f t="shared" si="78"/>
        <v>14984.77</v>
      </c>
      <c r="K204" s="117">
        <f t="shared" si="59"/>
        <v>247.04850184110006</v>
      </c>
      <c r="L204" s="517"/>
      <c r="M204" s="605"/>
      <c r="N204" s="606"/>
      <c r="O204" s="527">
        <f t="shared" si="71"/>
        <v>-18.920000000000002</v>
      </c>
      <c r="P204" s="531"/>
      <c r="Q204" s="28"/>
      <c r="R204" s="532">
        <f t="shared" si="79"/>
        <v>15054.77</v>
      </c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 s="2" customFormat="1" ht="21" customHeight="1">
      <c r="A205" s="444">
        <f t="shared" si="61"/>
        <v>173</v>
      </c>
      <c r="B205" s="142" t="s">
        <v>384</v>
      </c>
      <c r="C205" s="91">
        <v>2</v>
      </c>
      <c r="D205" s="91" t="s">
        <v>34</v>
      </c>
      <c r="E205" s="403" t="str">
        <f>'DECK TALLY'!B178</f>
        <v>T2</v>
      </c>
      <c r="F205" s="104">
        <f>'DECK TALLY'!C178</f>
        <v>37.35</v>
      </c>
      <c r="G205" s="92">
        <f t="shared" si="76"/>
        <v>37.012500000000003</v>
      </c>
      <c r="H205" s="92" t="s">
        <v>32</v>
      </c>
      <c r="I205" s="438">
        <f t="shared" si="77"/>
        <v>6433.2424999999985</v>
      </c>
      <c r="J205" s="92">
        <f t="shared" si="78"/>
        <v>14947.757500000002</v>
      </c>
      <c r="K205" s="117">
        <f t="shared" si="59"/>
        <v>247.92834749618024</v>
      </c>
      <c r="L205" s="517"/>
      <c r="M205" s="605"/>
      <c r="N205" s="606"/>
      <c r="O205" s="527">
        <f t="shared" si="71"/>
        <v>-18.920000000000002</v>
      </c>
      <c r="P205" s="531"/>
      <c r="Q205" s="28"/>
      <c r="R205" s="532">
        <f t="shared" si="79"/>
        <v>15017.757500000002</v>
      </c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 s="2" customFormat="1" ht="21" customHeight="1">
      <c r="A206" s="444">
        <f t="shared" si="61"/>
        <v>174</v>
      </c>
      <c r="B206" s="142" t="s">
        <v>384</v>
      </c>
      <c r="C206" s="91">
        <v>2</v>
      </c>
      <c r="D206" s="91" t="s">
        <v>34</v>
      </c>
      <c r="E206" s="403" t="str">
        <f>'DECK TALLY'!B179</f>
        <v>T3</v>
      </c>
      <c r="F206" s="103">
        <f>'DECK TALLY'!C179</f>
        <v>35.770000000000003</v>
      </c>
      <c r="G206" s="92">
        <f t="shared" si="76"/>
        <v>35.432500000000005</v>
      </c>
      <c r="H206" s="95" t="s">
        <v>32</v>
      </c>
      <c r="I206" s="438">
        <f t="shared" si="77"/>
        <v>6468.6749999999984</v>
      </c>
      <c r="J206" s="92">
        <f t="shared" si="78"/>
        <v>14912.325000000001</v>
      </c>
      <c r="K206" s="117">
        <f t="shared" si="59"/>
        <v>248.77063405271196</v>
      </c>
      <c r="L206" s="517"/>
      <c r="M206" s="605"/>
      <c r="N206" s="606"/>
      <c r="O206" s="527">
        <f t="shared" si="71"/>
        <v>-18.920000000000002</v>
      </c>
      <c r="P206" s="531"/>
      <c r="Q206" s="28"/>
      <c r="R206" s="532">
        <f t="shared" si="79"/>
        <v>14982.325000000001</v>
      </c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 s="2" customFormat="1" ht="21" customHeight="1">
      <c r="A207" s="444">
        <f t="shared" si="61"/>
        <v>175</v>
      </c>
      <c r="B207" s="142" t="s">
        <v>384</v>
      </c>
      <c r="C207" s="91">
        <v>2</v>
      </c>
      <c r="D207" s="91" t="s">
        <v>34</v>
      </c>
      <c r="E207" s="403" t="str">
        <f>'DECK TALLY'!B180</f>
        <v>T4</v>
      </c>
      <c r="F207" s="104">
        <f>'DECK TALLY'!C180</f>
        <v>36.9</v>
      </c>
      <c r="G207" s="92">
        <f t="shared" si="76"/>
        <v>36.5625</v>
      </c>
      <c r="H207" s="95" t="s">
        <v>32</v>
      </c>
      <c r="I207" s="438">
        <f t="shared" si="77"/>
        <v>6505.2374999999984</v>
      </c>
      <c r="J207" s="92">
        <f t="shared" si="78"/>
        <v>14875.762500000001</v>
      </c>
      <c r="K207" s="117">
        <f t="shared" si="59"/>
        <v>249.63978249618026</v>
      </c>
      <c r="L207" s="517"/>
      <c r="M207" s="605"/>
      <c r="N207" s="606"/>
      <c r="O207" s="527">
        <f t="shared" si="71"/>
        <v>-18.920000000000002</v>
      </c>
      <c r="P207" s="531"/>
      <c r="Q207" s="28"/>
      <c r="R207" s="532">
        <f t="shared" si="79"/>
        <v>14945.762500000001</v>
      </c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 s="2" customFormat="1" ht="21" customHeight="1" thickBot="1">
      <c r="A208" s="444">
        <f t="shared" si="61"/>
        <v>176</v>
      </c>
      <c r="B208" s="142" t="s">
        <v>384</v>
      </c>
      <c r="C208" s="91">
        <v>2</v>
      </c>
      <c r="D208" s="91" t="s">
        <v>34</v>
      </c>
      <c r="E208" s="403" t="str">
        <f>'DECK TALLY'!B181</f>
        <v>T5</v>
      </c>
      <c r="F208" s="104">
        <f>'DECK TALLY'!C181</f>
        <v>34.619999999999997</v>
      </c>
      <c r="G208" s="92">
        <f t="shared" si="76"/>
        <v>34.282499999999999</v>
      </c>
      <c r="H208" s="92" t="s">
        <v>32</v>
      </c>
      <c r="I208" s="438">
        <f t="shared" si="77"/>
        <v>6539.5199999999986</v>
      </c>
      <c r="J208" s="92">
        <f t="shared" si="78"/>
        <v>14841.480000000001</v>
      </c>
      <c r="K208" s="117">
        <f t="shared" si="59"/>
        <v>250.45473173414817</v>
      </c>
      <c r="L208" s="517"/>
      <c r="M208" s="604"/>
      <c r="N208" s="606"/>
      <c r="O208" s="527">
        <f t="shared" si="71"/>
        <v>-18.920000000000002</v>
      </c>
      <c r="P208" s="531"/>
      <c r="Q208" s="28"/>
      <c r="R208" s="532">
        <f t="shared" si="79"/>
        <v>14911.480000000001</v>
      </c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 s="2" customFormat="1" ht="21" customHeight="1" thickTop="1" thickBot="1">
      <c r="A209" s="444">
        <f t="shared" si="61"/>
        <v>177</v>
      </c>
      <c r="B209" s="142" t="s">
        <v>384</v>
      </c>
      <c r="C209" s="361">
        <v>1</v>
      </c>
      <c r="D209" s="91" t="s">
        <v>34</v>
      </c>
      <c r="E209" s="403" t="str">
        <f>'DECK TALLY'!B182</f>
        <v>T6</v>
      </c>
      <c r="F209" s="103">
        <f>'DECK TALLY'!C182</f>
        <v>37.32</v>
      </c>
      <c r="G209" s="92">
        <f t="shared" si="76"/>
        <v>36.982500000000002</v>
      </c>
      <c r="H209" s="95" t="s">
        <v>32</v>
      </c>
      <c r="I209" s="438">
        <f t="shared" ref="I209:I212" si="80">IF(H209="IN",I208+G209,I208)</f>
        <v>6576.5024999999987</v>
      </c>
      <c r="J209" s="92">
        <f t="shared" ref="J209:J212" si="81">IF(I209="","",$M$9-I209)</f>
        <v>14804.497500000001</v>
      </c>
      <c r="K209" s="117">
        <f t="shared" ref="K209:K212" si="82">$H$8+(I209*$E$9*$E$15/1000)</f>
        <v>251.33386424178758</v>
      </c>
      <c r="L209" s="517">
        <v>14874</v>
      </c>
      <c r="M209" s="315" t="s">
        <v>569</v>
      </c>
      <c r="N209" s="316">
        <v>14816</v>
      </c>
      <c r="O209" s="527">
        <f t="shared" si="71"/>
        <v>14855.08</v>
      </c>
      <c r="P209" s="531"/>
      <c r="Q209" s="28"/>
      <c r="R209" s="532">
        <f t="shared" si="79"/>
        <v>14874.497500000001</v>
      </c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 s="2" customFormat="1" ht="21" customHeight="1" thickBot="1">
      <c r="A210" s="444">
        <f t="shared" si="61"/>
        <v>178</v>
      </c>
      <c r="B210" s="142" t="s">
        <v>384</v>
      </c>
      <c r="C210" s="91">
        <v>2</v>
      </c>
      <c r="D210" s="91" t="s">
        <v>34</v>
      </c>
      <c r="E210" s="362" t="str">
        <f>'DECK TALLY'!B183</f>
        <v>T7</v>
      </c>
      <c r="F210" s="103">
        <f>'DECK TALLY'!C183</f>
        <v>36.74</v>
      </c>
      <c r="G210" s="92">
        <f t="shared" si="76"/>
        <v>36.402500000000003</v>
      </c>
      <c r="H210" s="92" t="s">
        <v>32</v>
      </c>
      <c r="I210" s="438">
        <f t="shared" si="80"/>
        <v>6612.9049999999988</v>
      </c>
      <c r="J210" s="363">
        <f t="shared" si="81"/>
        <v>14768.095000000001</v>
      </c>
      <c r="K210" s="117">
        <f t="shared" si="82"/>
        <v>252.19920923223833</v>
      </c>
      <c r="L210" s="517">
        <v>14839</v>
      </c>
      <c r="M210" s="317" t="s">
        <v>597</v>
      </c>
      <c r="N210" s="318" t="str">
        <f>E210</f>
        <v>T7</v>
      </c>
      <c r="O210" s="527">
        <f t="shared" si="71"/>
        <v>14820.08</v>
      </c>
      <c r="P210" s="531">
        <f>O210-J210</f>
        <v>51.984999999998763</v>
      </c>
      <c r="Q210" s="28"/>
      <c r="R210" s="532">
        <f>J210+70</f>
        <v>14838.095000000001</v>
      </c>
      <c r="S210" s="37">
        <v>70</v>
      </c>
      <c r="T210" s="37"/>
      <c r="U210" s="37"/>
      <c r="V210" s="37"/>
      <c r="W210" s="37"/>
      <c r="X210" s="37"/>
      <c r="Y210" s="37"/>
      <c r="Z210" s="37"/>
      <c r="AA210" s="37"/>
    </row>
    <row r="211" spans="1:27" s="2" customFormat="1" ht="21" customHeight="1" thickBot="1">
      <c r="A211" s="446" t="s">
        <v>579</v>
      </c>
      <c r="B211" s="364" t="s">
        <v>580</v>
      </c>
      <c r="C211" s="361">
        <v>1</v>
      </c>
      <c r="D211" s="91" t="s">
        <v>34</v>
      </c>
      <c r="E211" s="405" t="s">
        <v>522</v>
      </c>
      <c r="F211" s="367">
        <v>10.25</v>
      </c>
      <c r="G211" s="263">
        <f t="shared" si="76"/>
        <v>9.9124999999999996</v>
      </c>
      <c r="H211" s="92" t="s">
        <v>32</v>
      </c>
      <c r="I211" s="438">
        <f t="shared" si="80"/>
        <v>6622.8174999999992</v>
      </c>
      <c r="J211" s="92">
        <f t="shared" si="81"/>
        <v>14758.182500000001</v>
      </c>
      <c r="K211" s="117">
        <f t="shared" si="82"/>
        <v>252.43484503246754</v>
      </c>
      <c r="L211" s="517">
        <v>14830</v>
      </c>
      <c r="M211" s="545" t="s">
        <v>598</v>
      </c>
      <c r="N211" s="732"/>
      <c r="O211" s="527">
        <f t="shared" si="71"/>
        <v>14811.08</v>
      </c>
      <c r="P211" s="531"/>
      <c r="Q211" s="28"/>
      <c r="R211" s="532">
        <f t="shared" ref="R211:R217" si="83">J211+68</f>
        <v>14826.182500000001</v>
      </c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 s="2" customFormat="1" ht="21" customHeight="1">
      <c r="A212" s="444">
        <f>A210+1</f>
        <v>179</v>
      </c>
      <c r="B212" s="142" t="s">
        <v>384</v>
      </c>
      <c r="C212" s="91">
        <v>2</v>
      </c>
      <c r="D212" s="91" t="s">
        <v>34</v>
      </c>
      <c r="E212" s="403" t="str">
        <f>'DECK TALLY'!B184</f>
        <v>T8</v>
      </c>
      <c r="F212" s="103">
        <f>'DECK TALLY'!C184</f>
        <v>36.83</v>
      </c>
      <c r="G212" s="92">
        <f t="shared" si="76"/>
        <v>36.4925</v>
      </c>
      <c r="H212" s="95" t="s">
        <v>32</v>
      </c>
      <c r="I212" s="438">
        <f t="shared" si="80"/>
        <v>6659.3099999999995</v>
      </c>
      <c r="J212" s="92">
        <f t="shared" si="81"/>
        <v>14721.69</v>
      </c>
      <c r="K212" s="117">
        <f t="shared" si="82"/>
        <v>253.30232946524066</v>
      </c>
      <c r="L212" s="517">
        <v>14791</v>
      </c>
      <c r="M212" s="746"/>
      <c r="N212" s="810"/>
      <c r="O212" s="527">
        <f t="shared" si="71"/>
        <v>14772.08</v>
      </c>
      <c r="P212" s="531"/>
      <c r="Q212" s="28"/>
      <c r="R212" s="532">
        <f t="shared" si="83"/>
        <v>14789.69</v>
      </c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 s="2" customFormat="1" ht="21" customHeight="1">
      <c r="A213" s="444">
        <f t="shared" si="61"/>
        <v>180</v>
      </c>
      <c r="B213" s="142" t="s">
        <v>384</v>
      </c>
      <c r="C213" s="91">
        <v>2</v>
      </c>
      <c r="D213" s="91" t="s">
        <v>34</v>
      </c>
      <c r="E213" s="403" t="str">
        <f>'DECK TALLY'!B185</f>
        <v>T9</v>
      </c>
      <c r="F213" s="104">
        <f>'DECK TALLY'!C185</f>
        <v>36.799999999999997</v>
      </c>
      <c r="G213" s="92">
        <f t="shared" si="76"/>
        <v>36.462499999999999</v>
      </c>
      <c r="H213" s="92" t="s">
        <v>32</v>
      </c>
      <c r="I213" s="438">
        <f t="shared" si="77"/>
        <v>6695.7724999999991</v>
      </c>
      <c r="J213" s="92">
        <f t="shared" si="78"/>
        <v>14685.227500000001</v>
      </c>
      <c r="K213" s="117">
        <f t="shared" si="59"/>
        <v>254.16910075057291</v>
      </c>
      <c r="L213" s="517">
        <v>14753</v>
      </c>
      <c r="M213" s="607" t="s">
        <v>587</v>
      </c>
      <c r="N213" s="608"/>
      <c r="O213" s="527">
        <f t="shared" si="71"/>
        <v>14734.08</v>
      </c>
      <c r="P213" s="531"/>
      <c r="Q213" s="28"/>
      <c r="R213" s="532">
        <f t="shared" si="83"/>
        <v>14753.227500000001</v>
      </c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 s="2" customFormat="1" ht="21" customHeight="1" thickBot="1">
      <c r="A214" s="444">
        <f t="shared" si="61"/>
        <v>181</v>
      </c>
      <c r="B214" s="142" t="s">
        <v>384</v>
      </c>
      <c r="C214" s="91">
        <v>2</v>
      </c>
      <c r="D214" s="91" t="s">
        <v>34</v>
      </c>
      <c r="E214" s="403" t="str">
        <f>'DECK TALLY'!B186</f>
        <v>U1</v>
      </c>
      <c r="F214" s="104">
        <f>'DECK TALLY'!C186</f>
        <v>36.630000000000003</v>
      </c>
      <c r="G214" s="92">
        <f t="shared" si="69"/>
        <v>36.292500000000004</v>
      </c>
      <c r="H214" s="92" t="s">
        <v>32</v>
      </c>
      <c r="I214" s="438">
        <f t="shared" si="75"/>
        <v>6732.0649999999987</v>
      </c>
      <c r="J214" s="92">
        <f t="shared" si="53"/>
        <v>14648.935000000001</v>
      </c>
      <c r="K214" s="117">
        <f t="shared" si="59"/>
        <v>255.03183086707409</v>
      </c>
      <c r="L214" s="517"/>
      <c r="M214" s="366" t="s">
        <v>588</v>
      </c>
      <c r="N214" s="319">
        <f>J209-5</f>
        <v>14799.497500000001</v>
      </c>
      <c r="O214" s="527">
        <f t="shared" si="71"/>
        <v>-18.920000000000002</v>
      </c>
      <c r="P214" s="531"/>
      <c r="Q214" s="28"/>
      <c r="R214" s="532">
        <f t="shared" si="83"/>
        <v>14716.935000000001</v>
      </c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 s="2" customFormat="1" ht="21" customHeight="1" thickTop="1">
      <c r="A215" s="444">
        <f t="shared" si="61"/>
        <v>182</v>
      </c>
      <c r="B215" s="142" t="s">
        <v>384</v>
      </c>
      <c r="C215" s="91">
        <v>2</v>
      </c>
      <c r="D215" s="91" t="s">
        <v>34</v>
      </c>
      <c r="E215" s="403" t="str">
        <f>'DECK TALLY'!B187</f>
        <v>U2</v>
      </c>
      <c r="F215" s="103">
        <f>'DECK TALLY'!C187</f>
        <v>36.369999999999997</v>
      </c>
      <c r="G215" s="92">
        <f t="shared" si="69"/>
        <v>36.032499999999999</v>
      </c>
      <c r="H215" s="95" t="s">
        <v>32</v>
      </c>
      <c r="I215" s="438">
        <f t="shared" si="75"/>
        <v>6768.0974999999989</v>
      </c>
      <c r="J215" s="92">
        <f t="shared" si="53"/>
        <v>14612.9025</v>
      </c>
      <c r="K215" s="117">
        <f t="shared" si="59"/>
        <v>255.88838037242166</v>
      </c>
      <c r="L215" s="517"/>
      <c r="M215" s="605"/>
      <c r="N215" s="606"/>
      <c r="O215" s="527">
        <f t="shared" si="71"/>
        <v>-18.920000000000002</v>
      </c>
      <c r="P215" s="531"/>
      <c r="Q215" s="28"/>
      <c r="R215" s="532">
        <f t="shared" si="83"/>
        <v>14680.9025</v>
      </c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 s="2" customFormat="1" ht="21" customHeight="1">
      <c r="A216" s="444">
        <f t="shared" si="61"/>
        <v>183</v>
      </c>
      <c r="B216" s="142" t="s">
        <v>384</v>
      </c>
      <c r="C216" s="91">
        <v>2</v>
      </c>
      <c r="D216" s="91" t="s">
        <v>34</v>
      </c>
      <c r="E216" s="403" t="str">
        <f>'DECK TALLY'!B188</f>
        <v>U3</v>
      </c>
      <c r="F216" s="104">
        <f>'DECK TALLY'!C188</f>
        <v>37.08</v>
      </c>
      <c r="G216" s="92">
        <f t="shared" si="69"/>
        <v>36.7425</v>
      </c>
      <c r="H216" s="95" t="s">
        <v>32</v>
      </c>
      <c r="I216" s="438">
        <f t="shared" si="75"/>
        <v>6804.8399999999992</v>
      </c>
      <c r="J216" s="92">
        <f t="shared" si="53"/>
        <v>14576.16</v>
      </c>
      <c r="K216" s="117">
        <f t="shared" si="59"/>
        <v>256.76180770053475</v>
      </c>
      <c r="L216" s="517"/>
      <c r="M216" s="605"/>
      <c r="N216" s="606"/>
      <c r="O216" s="527">
        <f t="shared" si="71"/>
        <v>-18.920000000000002</v>
      </c>
      <c r="P216" s="531"/>
      <c r="Q216" s="28"/>
      <c r="R216" s="532">
        <f t="shared" si="83"/>
        <v>14644.16</v>
      </c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 s="2" customFormat="1" ht="21" customHeight="1">
      <c r="A217" s="444">
        <f t="shared" si="61"/>
        <v>184</v>
      </c>
      <c r="B217" s="142" t="s">
        <v>384</v>
      </c>
      <c r="C217" s="91">
        <v>2</v>
      </c>
      <c r="D217" s="91" t="s">
        <v>34</v>
      </c>
      <c r="E217" s="403" t="str">
        <f>'DECK TALLY'!B189</f>
        <v>U4</v>
      </c>
      <c r="F217" s="103">
        <f>'DECK TALLY'!C189</f>
        <v>36.26</v>
      </c>
      <c r="G217" s="92">
        <f t="shared" si="69"/>
        <v>35.922499999999999</v>
      </c>
      <c r="H217" s="92" t="s">
        <v>32</v>
      </c>
      <c r="I217" s="438">
        <f t="shared" si="75"/>
        <v>6840.7624999999989</v>
      </c>
      <c r="J217" s="92">
        <f t="shared" ref="J217:J250" si="84">IF(I217="","",$M$9-I217)</f>
        <v>14540.237500000001</v>
      </c>
      <c r="K217" s="117">
        <f t="shared" si="59"/>
        <v>257.61574233193272</v>
      </c>
      <c r="L217" s="517"/>
      <c r="M217" s="605"/>
      <c r="N217" s="606"/>
      <c r="O217" s="527">
        <f t="shared" si="71"/>
        <v>-18.920000000000002</v>
      </c>
      <c r="P217" s="531"/>
      <c r="Q217" s="28"/>
      <c r="R217" s="532">
        <f t="shared" si="83"/>
        <v>14608.237500000001</v>
      </c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 s="2" customFormat="1" ht="21" customHeight="1">
      <c r="A218" s="444">
        <f t="shared" si="61"/>
        <v>185</v>
      </c>
      <c r="B218" s="142" t="s">
        <v>384</v>
      </c>
      <c r="C218" s="91">
        <v>2</v>
      </c>
      <c r="D218" s="91" t="s">
        <v>34</v>
      </c>
      <c r="E218" s="403" t="str">
        <f>'DECK TALLY'!B190</f>
        <v>U5</v>
      </c>
      <c r="F218" s="104">
        <f>'DECK TALLY'!C190</f>
        <v>36.46</v>
      </c>
      <c r="G218" s="92">
        <f t="shared" si="69"/>
        <v>36.122500000000002</v>
      </c>
      <c r="H218" s="92" t="s">
        <v>32</v>
      </c>
      <c r="I218" s="438">
        <f t="shared" si="75"/>
        <v>6876.8849999999993</v>
      </c>
      <c r="J218" s="92">
        <f t="shared" si="84"/>
        <v>14504.115000000002</v>
      </c>
      <c r="K218" s="117">
        <f t="shared" si="59"/>
        <v>258.47443127960275</v>
      </c>
      <c r="L218" s="517">
        <v>14572</v>
      </c>
      <c r="M218" s="605"/>
      <c r="N218" s="606"/>
      <c r="O218" s="527">
        <f t="shared" si="71"/>
        <v>14553.08</v>
      </c>
      <c r="P218" s="531"/>
      <c r="Q218" s="28"/>
      <c r="R218" s="532">
        <f>J218+68</f>
        <v>14572.115000000002</v>
      </c>
      <c r="S218" s="37">
        <v>68</v>
      </c>
      <c r="T218" s="37"/>
      <c r="U218" s="37"/>
      <c r="V218" s="37"/>
      <c r="W218" s="37"/>
      <c r="X218" s="37"/>
      <c r="Y218" s="37"/>
      <c r="Z218" s="37"/>
      <c r="AA218" s="37"/>
    </row>
    <row r="219" spans="1:27" s="2" customFormat="1" ht="21" customHeight="1">
      <c r="A219" s="444">
        <f t="shared" si="61"/>
        <v>186</v>
      </c>
      <c r="B219" s="142" t="s">
        <v>384</v>
      </c>
      <c r="C219" s="91">
        <v>2</v>
      </c>
      <c r="D219" s="91" t="s">
        <v>34</v>
      </c>
      <c r="E219" s="403" t="str">
        <f>'DECK TALLY'!B191</f>
        <v>U6</v>
      </c>
      <c r="F219" s="104">
        <f>'DECK TALLY'!C191</f>
        <v>36.700000000000003</v>
      </c>
      <c r="G219" s="92">
        <f t="shared" si="69"/>
        <v>36.362500000000004</v>
      </c>
      <c r="H219" s="95" t="s">
        <v>32</v>
      </c>
      <c r="I219" s="438">
        <f t="shared" si="75"/>
        <v>6913.2474999999995</v>
      </c>
      <c r="J219" s="92">
        <f t="shared" si="84"/>
        <v>14467.752500000001</v>
      </c>
      <c r="K219" s="117">
        <f t="shared" si="59"/>
        <v>259.33882540679906</v>
      </c>
      <c r="L219" s="517">
        <v>14536</v>
      </c>
      <c r="M219" s="605"/>
      <c r="N219" s="606"/>
      <c r="O219" s="527">
        <f t="shared" si="71"/>
        <v>14517.08</v>
      </c>
      <c r="P219" s="531"/>
      <c r="Q219" s="28"/>
      <c r="R219" s="532">
        <f t="shared" ref="R219:R220" si="85">J219+66</f>
        <v>14533.752500000001</v>
      </c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 s="2" customFormat="1" ht="21" customHeight="1">
      <c r="A220" s="444">
        <f t="shared" si="61"/>
        <v>187</v>
      </c>
      <c r="B220" s="142" t="s">
        <v>384</v>
      </c>
      <c r="C220" s="91">
        <v>2</v>
      </c>
      <c r="D220" s="91" t="s">
        <v>34</v>
      </c>
      <c r="E220" s="403" t="str">
        <f>'DECK TALLY'!B192</f>
        <v>U7</v>
      </c>
      <c r="F220" s="103">
        <f>'DECK TALLY'!C192</f>
        <v>36.29</v>
      </c>
      <c r="G220" s="92">
        <f t="shared" si="69"/>
        <v>35.952500000000001</v>
      </c>
      <c r="H220" s="95" t="s">
        <v>32</v>
      </c>
      <c r="I220" s="438">
        <f t="shared" si="75"/>
        <v>6949.2</v>
      </c>
      <c r="J220" s="92">
        <f t="shared" si="84"/>
        <v>14431.8</v>
      </c>
      <c r="K220" s="117">
        <f t="shared" si="59"/>
        <v>260.19347318563791</v>
      </c>
      <c r="L220" s="517"/>
      <c r="M220" s="605"/>
      <c r="N220" s="606"/>
      <c r="O220" s="527">
        <f t="shared" si="71"/>
        <v>-18.920000000000002</v>
      </c>
      <c r="P220" s="531"/>
      <c r="Q220" s="28"/>
      <c r="R220" s="532">
        <f t="shared" si="85"/>
        <v>14497.8</v>
      </c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 s="2" customFormat="1" ht="21" customHeight="1">
      <c r="A221" s="444">
        <f t="shared" si="61"/>
        <v>188</v>
      </c>
      <c r="B221" s="142" t="s">
        <v>384</v>
      </c>
      <c r="C221" s="91">
        <v>2</v>
      </c>
      <c r="D221" s="91" t="s">
        <v>34</v>
      </c>
      <c r="E221" s="403" t="str">
        <f>'DECK TALLY'!B193</f>
        <v>U8</v>
      </c>
      <c r="F221" s="104">
        <f>'DECK TALLY'!C193</f>
        <v>36.4</v>
      </c>
      <c r="G221" s="92">
        <f t="shared" si="69"/>
        <v>36.0625</v>
      </c>
      <c r="H221" s="92" t="s">
        <v>32</v>
      </c>
      <c r="I221" s="438">
        <f t="shared" si="75"/>
        <v>6985.2624999999998</v>
      </c>
      <c r="J221" s="92">
        <f t="shared" si="84"/>
        <v>14395.737499999999</v>
      </c>
      <c r="K221" s="117">
        <f t="shared" si="59"/>
        <v>261.05073583842625</v>
      </c>
      <c r="L221" s="517"/>
      <c r="M221" s="605"/>
      <c r="N221" s="606"/>
      <c r="O221" s="527">
        <f t="shared" si="71"/>
        <v>-18.920000000000002</v>
      </c>
      <c r="P221" s="531"/>
      <c r="Q221" s="28"/>
      <c r="R221" s="532">
        <f>J221+66</f>
        <v>14461.737499999999</v>
      </c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 s="2" customFormat="1" ht="21" customHeight="1">
      <c r="A222" s="444">
        <f t="shared" si="61"/>
        <v>189</v>
      </c>
      <c r="B222" s="142" t="s">
        <v>384</v>
      </c>
      <c r="C222" s="91">
        <v>2</v>
      </c>
      <c r="D222" s="91" t="s">
        <v>34</v>
      </c>
      <c r="E222" s="403" t="str">
        <f>'DECK TALLY'!B194</f>
        <v>U9</v>
      </c>
      <c r="F222" s="103">
        <f>'DECK TALLY'!C194</f>
        <v>36.22</v>
      </c>
      <c r="G222" s="92">
        <f t="shared" si="69"/>
        <v>35.8825</v>
      </c>
      <c r="H222" s="92" t="s">
        <v>32</v>
      </c>
      <c r="I222" s="438">
        <f t="shared" si="75"/>
        <v>7021.1449999999995</v>
      </c>
      <c r="J222" s="92">
        <f t="shared" si="84"/>
        <v>14359.855</v>
      </c>
      <c r="K222" s="117">
        <f t="shared" si="59"/>
        <v>261.90371960656989</v>
      </c>
      <c r="L222" s="517"/>
      <c r="M222" s="605"/>
      <c r="N222" s="606"/>
      <c r="O222" s="527">
        <f t="shared" si="71"/>
        <v>-18.920000000000002</v>
      </c>
      <c r="P222" s="531"/>
      <c r="Q222" s="28"/>
      <c r="R222" s="532">
        <f t="shared" ref="R222:R251" si="86">J222+66</f>
        <v>14425.855</v>
      </c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 s="2" customFormat="1" ht="21" customHeight="1">
      <c r="A223" s="444">
        <f t="shared" si="61"/>
        <v>190</v>
      </c>
      <c r="B223" s="142" t="s">
        <v>384</v>
      </c>
      <c r="C223" s="91">
        <v>2</v>
      </c>
      <c r="D223" s="91" t="s">
        <v>34</v>
      </c>
      <c r="E223" s="403" t="str">
        <f>'DECK TALLY'!B195</f>
        <v>V1</v>
      </c>
      <c r="F223" s="104">
        <f>'DECK TALLY'!C195</f>
        <v>36.659999999999997</v>
      </c>
      <c r="G223" s="92">
        <f t="shared" si="69"/>
        <v>36.322499999999998</v>
      </c>
      <c r="H223" s="95" t="s">
        <v>32</v>
      </c>
      <c r="I223" s="438">
        <f t="shared" si="75"/>
        <v>7057.4674999999997</v>
      </c>
      <c r="J223" s="92">
        <f t="shared" si="84"/>
        <v>14323.532500000001</v>
      </c>
      <c r="K223" s="117">
        <f t="shared" si="59"/>
        <v>262.76716287051181</v>
      </c>
      <c r="L223" s="517"/>
      <c r="M223" s="605"/>
      <c r="N223" s="606"/>
      <c r="O223" s="527">
        <f t="shared" si="71"/>
        <v>-18.920000000000002</v>
      </c>
      <c r="P223" s="531"/>
      <c r="Q223" s="28"/>
      <c r="R223" s="532">
        <f t="shared" si="86"/>
        <v>14389.532500000001</v>
      </c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 s="2" customFormat="1" ht="21" customHeight="1">
      <c r="A224" s="444">
        <f t="shared" si="61"/>
        <v>191</v>
      </c>
      <c r="B224" s="142" t="s">
        <v>384</v>
      </c>
      <c r="C224" s="91">
        <v>2</v>
      </c>
      <c r="D224" s="91" t="s">
        <v>34</v>
      </c>
      <c r="E224" s="403" t="str">
        <f>'DECK TALLY'!B196</f>
        <v>V2</v>
      </c>
      <c r="F224" s="104">
        <f>'DECK TALLY'!C196</f>
        <v>36.99</v>
      </c>
      <c r="G224" s="92">
        <f t="shared" si="69"/>
        <v>36.652500000000003</v>
      </c>
      <c r="H224" s="95" t="s">
        <v>32</v>
      </c>
      <c r="I224" s="438">
        <f t="shared" si="75"/>
        <v>7094.12</v>
      </c>
      <c r="J224" s="92">
        <f t="shared" si="84"/>
        <v>14286.880000000001</v>
      </c>
      <c r="K224" s="117">
        <f t="shared" si="59"/>
        <v>263.63845075630252</v>
      </c>
      <c r="L224" s="517"/>
      <c r="M224" s="605"/>
      <c r="N224" s="606"/>
      <c r="O224" s="527">
        <f t="shared" si="71"/>
        <v>-18.920000000000002</v>
      </c>
      <c r="P224" s="531"/>
      <c r="Q224" s="28"/>
      <c r="R224" s="532">
        <f t="shared" si="86"/>
        <v>14352.880000000001</v>
      </c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 s="2" customFormat="1" ht="21" customHeight="1">
      <c r="A225" s="444">
        <f t="shared" si="61"/>
        <v>192</v>
      </c>
      <c r="B225" s="142" t="s">
        <v>384</v>
      </c>
      <c r="C225" s="91">
        <v>2</v>
      </c>
      <c r="D225" s="91" t="s">
        <v>34</v>
      </c>
      <c r="E225" s="403" t="str">
        <f>'DECK TALLY'!B197</f>
        <v>V3</v>
      </c>
      <c r="F225" s="103">
        <f>'DECK TALLY'!C197</f>
        <v>36.26</v>
      </c>
      <c r="G225" s="92">
        <f t="shared" ref="G225:G261" si="87">F225-($E$12/12)</f>
        <v>35.922499999999999</v>
      </c>
      <c r="H225" s="92" t="s">
        <v>32</v>
      </c>
      <c r="I225" s="438">
        <f t="shared" si="75"/>
        <v>7130.0424999999996</v>
      </c>
      <c r="J225" s="92">
        <f t="shared" si="84"/>
        <v>14250.9575</v>
      </c>
      <c r="K225" s="117">
        <f t="shared" si="59"/>
        <v>264.49238538770055</v>
      </c>
      <c r="L225" s="517"/>
      <c r="M225" s="605"/>
      <c r="N225" s="606"/>
      <c r="O225" s="527">
        <f t="shared" si="71"/>
        <v>-18.920000000000002</v>
      </c>
      <c r="P225" s="531"/>
      <c r="Q225" s="28"/>
      <c r="R225" s="532">
        <f t="shared" si="86"/>
        <v>14316.9575</v>
      </c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 s="2" customFormat="1" ht="21" customHeight="1">
      <c r="A226" s="444">
        <f t="shared" si="61"/>
        <v>193</v>
      </c>
      <c r="B226" s="142" t="s">
        <v>384</v>
      </c>
      <c r="C226" s="91">
        <v>2</v>
      </c>
      <c r="D226" s="91" t="s">
        <v>34</v>
      </c>
      <c r="E226" s="403" t="str">
        <f>'DECK TALLY'!B198</f>
        <v>V4</v>
      </c>
      <c r="F226" s="104">
        <f>'DECK TALLY'!C198</f>
        <v>36.96</v>
      </c>
      <c r="G226" s="92">
        <f t="shared" si="87"/>
        <v>36.622500000000002</v>
      </c>
      <c r="H226" s="92" t="s">
        <v>32</v>
      </c>
      <c r="I226" s="438">
        <f t="shared" si="75"/>
        <v>7166.665</v>
      </c>
      <c r="J226" s="92">
        <f t="shared" si="84"/>
        <v>14214.334999999999</v>
      </c>
      <c r="K226" s="117">
        <f t="shared" si="59"/>
        <v>265.36296012605044</v>
      </c>
      <c r="L226" s="517"/>
      <c r="M226" s="605"/>
      <c r="N226" s="606"/>
      <c r="O226" s="527">
        <f t="shared" si="71"/>
        <v>-18.920000000000002</v>
      </c>
      <c r="P226" s="531"/>
      <c r="Q226" s="28"/>
      <c r="R226" s="532">
        <f t="shared" si="86"/>
        <v>14280.334999999999</v>
      </c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 s="2" customFormat="1" ht="21" customHeight="1">
      <c r="A227" s="444">
        <f t="shared" si="61"/>
        <v>194</v>
      </c>
      <c r="B227" s="142" t="s">
        <v>384</v>
      </c>
      <c r="C227" s="91">
        <v>2</v>
      </c>
      <c r="D227" s="91" t="s">
        <v>34</v>
      </c>
      <c r="E227" s="403" t="str">
        <f>'DECK TALLY'!B199</f>
        <v>V5</v>
      </c>
      <c r="F227" s="103">
        <f>'DECK TALLY'!C199</f>
        <v>36.69</v>
      </c>
      <c r="G227" s="92">
        <f t="shared" si="87"/>
        <v>36.352499999999999</v>
      </c>
      <c r="H227" s="95" t="s">
        <v>32</v>
      </c>
      <c r="I227" s="438">
        <f t="shared" si="75"/>
        <v>7203.0174999999999</v>
      </c>
      <c r="J227" s="92">
        <f t="shared" si="84"/>
        <v>14177.9825</v>
      </c>
      <c r="K227" s="117">
        <f t="shared" ref="K227:K290" si="88">$H$8+(I227*$E$9*$E$15/1000)</f>
        <v>266.22711653743318</v>
      </c>
      <c r="L227" s="517"/>
      <c r="M227" s="605"/>
      <c r="N227" s="606"/>
      <c r="O227" s="527">
        <f t="shared" si="71"/>
        <v>-18.920000000000002</v>
      </c>
      <c r="P227" s="531"/>
      <c r="Q227" s="28"/>
      <c r="R227" s="532">
        <f t="shared" si="86"/>
        <v>14243.9825</v>
      </c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 s="2" customFormat="1" ht="21" customHeight="1">
      <c r="A228" s="444">
        <f t="shared" si="61"/>
        <v>195</v>
      </c>
      <c r="B228" s="142" t="s">
        <v>384</v>
      </c>
      <c r="C228" s="91">
        <v>2</v>
      </c>
      <c r="D228" s="91" t="s">
        <v>34</v>
      </c>
      <c r="E228" s="403" t="str">
        <f>'DECK TALLY'!B200</f>
        <v>V6</v>
      </c>
      <c r="F228" s="104">
        <f>'DECK TALLY'!C200</f>
        <v>36.71</v>
      </c>
      <c r="G228" s="92">
        <f t="shared" si="87"/>
        <v>36.372500000000002</v>
      </c>
      <c r="H228" s="95" t="s">
        <v>32</v>
      </c>
      <c r="I228" s="438">
        <f t="shared" si="75"/>
        <v>7239.39</v>
      </c>
      <c r="J228" s="92">
        <f t="shared" si="84"/>
        <v>14141.61</v>
      </c>
      <c r="K228" s="117">
        <f t="shared" si="88"/>
        <v>267.09174838044305</v>
      </c>
      <c r="L228" s="517"/>
      <c r="M228" s="605"/>
      <c r="N228" s="606"/>
      <c r="O228" s="527">
        <f t="shared" si="71"/>
        <v>-18.920000000000002</v>
      </c>
      <c r="P228" s="531"/>
      <c r="Q228" s="28"/>
      <c r="R228" s="532">
        <f t="shared" si="86"/>
        <v>14207.61</v>
      </c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 s="2" customFormat="1" ht="21" customHeight="1" thickBot="1">
      <c r="A229" s="444">
        <f t="shared" si="61"/>
        <v>196</v>
      </c>
      <c r="B229" s="142" t="s">
        <v>384</v>
      </c>
      <c r="C229" s="91">
        <v>2</v>
      </c>
      <c r="D229" s="91" t="s">
        <v>34</v>
      </c>
      <c r="E229" s="403" t="str">
        <f>'DECK TALLY'!B201</f>
        <v>V7</v>
      </c>
      <c r="F229" s="104">
        <f>'DECK TALLY'!C201</f>
        <v>36.33</v>
      </c>
      <c r="G229" s="92">
        <f t="shared" si="87"/>
        <v>35.9925</v>
      </c>
      <c r="H229" s="92" t="s">
        <v>32</v>
      </c>
      <c r="I229" s="438">
        <f t="shared" si="75"/>
        <v>7275.3825000000006</v>
      </c>
      <c r="J229" s="92">
        <f t="shared" si="84"/>
        <v>14105.6175</v>
      </c>
      <c r="K229" s="117">
        <f t="shared" si="88"/>
        <v>267.94734702253629</v>
      </c>
      <c r="L229" s="517">
        <v>14171</v>
      </c>
      <c r="M229" s="605"/>
      <c r="N229" s="606"/>
      <c r="O229" s="527">
        <f t="shared" si="71"/>
        <v>14152.08</v>
      </c>
      <c r="P229" s="531"/>
      <c r="Q229" s="28"/>
      <c r="R229" s="532">
        <f t="shared" si="86"/>
        <v>14171.6175</v>
      </c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 s="2" customFormat="1" ht="21" customHeight="1" thickTop="1">
      <c r="A230" s="444">
        <f t="shared" ref="A230:A293" si="89">A229+1</f>
        <v>197</v>
      </c>
      <c r="B230" s="142" t="s">
        <v>384</v>
      </c>
      <c r="C230" s="91">
        <v>2</v>
      </c>
      <c r="D230" s="91" t="s">
        <v>34</v>
      </c>
      <c r="E230" s="403" t="str">
        <f>'DECK TALLY'!B202</f>
        <v>V8</v>
      </c>
      <c r="F230" s="103">
        <f>'DECK TALLY'!C202</f>
        <v>36.06</v>
      </c>
      <c r="G230" s="92">
        <f t="shared" si="87"/>
        <v>35.722500000000004</v>
      </c>
      <c r="H230" s="92" t="s">
        <v>32</v>
      </c>
      <c r="I230" s="438">
        <f t="shared" si="75"/>
        <v>7311.1050000000005</v>
      </c>
      <c r="J230" s="92">
        <f t="shared" si="84"/>
        <v>14069.895</v>
      </c>
      <c r="K230" s="117">
        <f t="shared" si="88"/>
        <v>268.79652733766238</v>
      </c>
      <c r="L230" s="517"/>
      <c r="M230" s="315" t="s">
        <v>569</v>
      </c>
      <c r="N230" s="316">
        <v>13939</v>
      </c>
      <c r="O230" s="527">
        <f t="shared" si="71"/>
        <v>-18.920000000000002</v>
      </c>
      <c r="P230" s="531"/>
      <c r="Q230" s="28"/>
      <c r="R230" s="532">
        <f t="shared" si="86"/>
        <v>14135.895</v>
      </c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 s="2" customFormat="1" ht="21" customHeight="1">
      <c r="A231" s="444">
        <f t="shared" si="89"/>
        <v>198</v>
      </c>
      <c r="B231" s="142" t="s">
        <v>384</v>
      </c>
      <c r="C231" s="91">
        <v>2</v>
      </c>
      <c r="D231" s="91" t="s">
        <v>34</v>
      </c>
      <c r="E231" s="403" t="str">
        <f>'DECK TALLY'!B203</f>
        <v>V9</v>
      </c>
      <c r="F231" s="104">
        <f>'DECK TALLY'!C203</f>
        <v>36.42</v>
      </c>
      <c r="G231" s="92">
        <f t="shared" si="87"/>
        <v>36.082500000000003</v>
      </c>
      <c r="H231" s="95" t="s">
        <v>32</v>
      </c>
      <c r="I231" s="438">
        <f t="shared" si="75"/>
        <v>7347.1875000000009</v>
      </c>
      <c r="J231" s="92">
        <f t="shared" si="84"/>
        <v>14033.8125</v>
      </c>
      <c r="K231" s="117">
        <f t="shared" si="88"/>
        <v>269.65426542207797</v>
      </c>
      <c r="L231" s="517"/>
      <c r="M231" s="317" t="s">
        <v>570</v>
      </c>
      <c r="N231" s="318" t="str">
        <f>E235</f>
        <v>W4</v>
      </c>
      <c r="O231" s="527">
        <f t="shared" si="71"/>
        <v>-18.920000000000002</v>
      </c>
      <c r="P231" s="531"/>
      <c r="Q231" s="28"/>
      <c r="R231" s="532">
        <f t="shared" si="86"/>
        <v>14099.8125</v>
      </c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 s="2" customFormat="1" ht="21" customHeight="1">
      <c r="A232" s="444">
        <f t="shared" si="89"/>
        <v>199</v>
      </c>
      <c r="B232" s="142" t="s">
        <v>384</v>
      </c>
      <c r="C232" s="91">
        <v>2</v>
      </c>
      <c r="D232" s="91" t="s">
        <v>34</v>
      </c>
      <c r="E232" s="403" t="str">
        <f>'DECK TALLY'!B204</f>
        <v>W1</v>
      </c>
      <c r="F232" s="103">
        <f>'DECK TALLY'!C204</f>
        <v>35.56</v>
      </c>
      <c r="G232" s="92">
        <f t="shared" si="87"/>
        <v>35.222500000000004</v>
      </c>
      <c r="H232" s="95" t="s">
        <v>32</v>
      </c>
      <c r="I232" s="438">
        <f t="shared" si="75"/>
        <v>7382.4100000000008</v>
      </c>
      <c r="J232" s="92">
        <f t="shared" si="84"/>
        <v>13998.59</v>
      </c>
      <c r="K232" s="117">
        <f t="shared" si="88"/>
        <v>270.49155994652403</v>
      </c>
      <c r="L232" s="517"/>
      <c r="M232" s="545" t="s">
        <v>599</v>
      </c>
      <c r="N232" s="732"/>
      <c r="O232" s="527">
        <f t="shared" si="71"/>
        <v>-18.920000000000002</v>
      </c>
      <c r="P232" s="531"/>
      <c r="Q232" s="28"/>
      <c r="R232" s="532">
        <f t="shared" si="86"/>
        <v>14064.59</v>
      </c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 s="2" customFormat="1" ht="21" customHeight="1">
      <c r="A233" s="444">
        <f t="shared" si="89"/>
        <v>200</v>
      </c>
      <c r="B233" s="142" t="s">
        <v>384</v>
      </c>
      <c r="C233" s="91">
        <v>2</v>
      </c>
      <c r="D233" s="91" t="s">
        <v>34</v>
      </c>
      <c r="E233" s="403" t="str">
        <f>'DECK TALLY'!B205</f>
        <v>W2</v>
      </c>
      <c r="F233" s="104">
        <f>'DECK TALLY'!C205</f>
        <v>36.340000000000003</v>
      </c>
      <c r="G233" s="92">
        <f t="shared" si="87"/>
        <v>36.002500000000005</v>
      </c>
      <c r="H233" s="92" t="s">
        <v>32</v>
      </c>
      <c r="I233" s="438">
        <f t="shared" si="75"/>
        <v>7418.4125000000004</v>
      </c>
      <c r="J233" s="92">
        <f t="shared" si="84"/>
        <v>13962.5875</v>
      </c>
      <c r="K233" s="117">
        <f t="shared" si="88"/>
        <v>271.34739630443084</v>
      </c>
      <c r="L233" s="517"/>
      <c r="M233" s="746"/>
      <c r="N233" s="810"/>
      <c r="O233" s="527">
        <f t="shared" si="71"/>
        <v>-18.920000000000002</v>
      </c>
      <c r="P233" s="531"/>
      <c r="Q233" s="28"/>
      <c r="R233" s="532">
        <f t="shared" si="86"/>
        <v>14028.5875</v>
      </c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 s="2" customFormat="1" ht="21" customHeight="1" thickBot="1">
      <c r="A234" s="444">
        <f t="shared" si="89"/>
        <v>201</v>
      </c>
      <c r="B234" s="142" t="s">
        <v>384</v>
      </c>
      <c r="C234" s="91">
        <v>2</v>
      </c>
      <c r="D234" s="91" t="s">
        <v>34</v>
      </c>
      <c r="E234" s="403" t="str">
        <f>'DECK TALLY'!B206</f>
        <v>W3</v>
      </c>
      <c r="F234" s="104">
        <f>'DECK TALLY'!C206</f>
        <v>36.880000000000003</v>
      </c>
      <c r="G234" s="92">
        <f t="shared" si="87"/>
        <v>36.542500000000004</v>
      </c>
      <c r="H234" s="92" t="s">
        <v>32</v>
      </c>
      <c r="I234" s="438">
        <f t="shared" si="75"/>
        <v>7454.9549999999999</v>
      </c>
      <c r="J234" s="92">
        <f t="shared" si="84"/>
        <v>13926.045</v>
      </c>
      <c r="K234" s="117">
        <f t="shared" si="88"/>
        <v>272.21606931627196</v>
      </c>
      <c r="L234" s="517"/>
      <c r="M234" s="607" t="s">
        <v>600</v>
      </c>
      <c r="N234" s="608"/>
      <c r="O234" s="527">
        <f t="shared" si="71"/>
        <v>-18.920000000000002</v>
      </c>
      <c r="P234" s="531"/>
      <c r="Q234" s="28"/>
      <c r="R234" s="532">
        <f t="shared" si="86"/>
        <v>13992.045</v>
      </c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 s="2" customFormat="1" ht="21" customHeight="1" thickBot="1">
      <c r="A235" s="444">
        <f t="shared" si="89"/>
        <v>202</v>
      </c>
      <c r="B235" s="142" t="s">
        <v>384</v>
      </c>
      <c r="C235" s="361">
        <v>1</v>
      </c>
      <c r="D235" s="91" t="s">
        <v>34</v>
      </c>
      <c r="E235" s="362" t="str">
        <f>'DECK TALLY'!B207</f>
        <v>W4</v>
      </c>
      <c r="F235" s="103">
        <f>'DECK TALLY'!C207</f>
        <v>36.01</v>
      </c>
      <c r="G235" s="92">
        <f t="shared" si="87"/>
        <v>35.672499999999999</v>
      </c>
      <c r="H235" s="92" t="s">
        <v>32</v>
      </c>
      <c r="I235" s="438">
        <f t="shared" si="75"/>
        <v>7490.6274999999996</v>
      </c>
      <c r="J235" s="363">
        <f t="shared" si="84"/>
        <v>13890.372500000001</v>
      </c>
      <c r="K235" s="117">
        <f t="shared" si="88"/>
        <v>273.06406105232998</v>
      </c>
      <c r="L235" s="517"/>
      <c r="M235" s="366" t="s">
        <v>588</v>
      </c>
      <c r="N235" s="319">
        <f>J234-5</f>
        <v>13921.045</v>
      </c>
      <c r="O235" s="527">
        <f t="shared" si="71"/>
        <v>-18.920000000000002</v>
      </c>
      <c r="P235" s="531"/>
      <c r="Q235" s="28"/>
      <c r="R235" s="532">
        <f t="shared" si="86"/>
        <v>13956.372500000001</v>
      </c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 s="2" customFormat="1" ht="21" customHeight="1">
      <c r="A236" s="444">
        <f t="shared" si="89"/>
        <v>203</v>
      </c>
      <c r="B236" s="142" t="s">
        <v>384</v>
      </c>
      <c r="C236" s="91">
        <v>2</v>
      </c>
      <c r="D236" s="91" t="s">
        <v>34</v>
      </c>
      <c r="E236" s="403" t="str">
        <f>'DECK TALLY'!B208</f>
        <v>W5</v>
      </c>
      <c r="F236" s="104">
        <f>'DECK TALLY'!C208</f>
        <v>36.81</v>
      </c>
      <c r="G236" s="92">
        <f t="shared" si="87"/>
        <v>36.472500000000004</v>
      </c>
      <c r="H236" s="95" t="s">
        <v>32</v>
      </c>
      <c r="I236" s="438">
        <f t="shared" si="75"/>
        <v>7527.0999999999995</v>
      </c>
      <c r="J236" s="92">
        <f t="shared" si="84"/>
        <v>13853.900000000001</v>
      </c>
      <c r="K236" s="117">
        <f t="shared" si="88"/>
        <v>273.93107005347593</v>
      </c>
      <c r="L236" s="517"/>
      <c r="M236" s="605"/>
      <c r="N236" s="606"/>
      <c r="O236" s="527">
        <f t="shared" si="71"/>
        <v>-18.920000000000002</v>
      </c>
      <c r="P236" s="531"/>
      <c r="Q236" s="28"/>
      <c r="R236" s="532">
        <f t="shared" si="86"/>
        <v>13919.900000000001</v>
      </c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 s="2" customFormat="1" ht="21" customHeight="1" thickBot="1">
      <c r="A237" s="444">
        <f t="shared" si="89"/>
        <v>204</v>
      </c>
      <c r="B237" s="142" t="s">
        <v>384</v>
      </c>
      <c r="C237" s="91">
        <v>2</v>
      </c>
      <c r="D237" s="91" t="s">
        <v>34</v>
      </c>
      <c r="E237" s="403" t="str">
        <f>'DECK TALLY'!B209</f>
        <v>W6</v>
      </c>
      <c r="F237" s="103">
        <f>'DECK TALLY'!C209</f>
        <v>35.700000000000003</v>
      </c>
      <c r="G237" s="92">
        <f t="shared" si="87"/>
        <v>35.362500000000004</v>
      </c>
      <c r="H237" s="92" t="s">
        <v>32</v>
      </c>
      <c r="I237" s="438">
        <f t="shared" si="75"/>
        <v>7562.4624999999996</v>
      </c>
      <c r="J237" s="92">
        <f t="shared" si="84"/>
        <v>13818.5375</v>
      </c>
      <c r="K237" s="117">
        <f t="shared" si="88"/>
        <v>274.77169259931247</v>
      </c>
      <c r="L237" s="517"/>
      <c r="M237" s="605"/>
      <c r="N237" s="606"/>
      <c r="O237" s="527">
        <f t="shared" si="71"/>
        <v>-18.920000000000002</v>
      </c>
      <c r="P237" s="531"/>
      <c r="Q237" s="28"/>
      <c r="R237" s="532">
        <f t="shared" si="86"/>
        <v>13884.5375</v>
      </c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 s="2" customFormat="1" ht="21" customHeight="1" thickTop="1" thickBot="1">
      <c r="A238" s="444">
        <f t="shared" si="89"/>
        <v>205</v>
      </c>
      <c r="B238" s="142" t="s">
        <v>384</v>
      </c>
      <c r="C238" s="91">
        <v>2</v>
      </c>
      <c r="D238" s="91" t="s">
        <v>34</v>
      </c>
      <c r="E238" s="403" t="str">
        <f>'DECK TALLY'!B210</f>
        <v>W7</v>
      </c>
      <c r="F238" s="104">
        <f>'DECK TALLY'!C210</f>
        <v>34.979999999999997</v>
      </c>
      <c r="G238" s="92">
        <f t="shared" si="87"/>
        <v>34.642499999999998</v>
      </c>
      <c r="H238" s="92" t="s">
        <v>32</v>
      </c>
      <c r="I238" s="438">
        <f t="shared" si="75"/>
        <v>7597.1049999999996</v>
      </c>
      <c r="J238" s="92">
        <f t="shared" si="84"/>
        <v>13783.895</v>
      </c>
      <c r="K238" s="117">
        <f t="shared" si="88"/>
        <v>275.59519960656985</v>
      </c>
      <c r="L238" s="517"/>
      <c r="M238" s="315" t="s">
        <v>569</v>
      </c>
      <c r="N238" s="316">
        <v>13785</v>
      </c>
      <c r="O238" s="527">
        <f t="shared" si="71"/>
        <v>-18.920000000000002</v>
      </c>
      <c r="P238" s="531"/>
      <c r="Q238" s="28"/>
      <c r="R238" s="532">
        <f t="shared" si="86"/>
        <v>13849.895</v>
      </c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 s="2" customFormat="1" ht="21" customHeight="1" thickBot="1">
      <c r="A239" s="444">
        <f t="shared" si="89"/>
        <v>206</v>
      </c>
      <c r="B239" s="142" t="s">
        <v>384</v>
      </c>
      <c r="C239" s="361">
        <v>1</v>
      </c>
      <c r="D239" s="91" t="s">
        <v>34</v>
      </c>
      <c r="E239" s="362" t="str">
        <f>'DECK TALLY'!B211</f>
        <v>W8</v>
      </c>
      <c r="F239" s="103">
        <f>'DECK TALLY'!C211</f>
        <v>35.54</v>
      </c>
      <c r="G239" s="92">
        <f t="shared" si="87"/>
        <v>35.202500000000001</v>
      </c>
      <c r="H239" s="92" t="s">
        <v>32</v>
      </c>
      <c r="I239" s="438">
        <f t="shared" si="75"/>
        <v>7632.3074999999999</v>
      </c>
      <c r="J239" s="363">
        <f t="shared" si="84"/>
        <v>13748.692500000001</v>
      </c>
      <c r="K239" s="117">
        <f t="shared" si="88"/>
        <v>276.43201869938889</v>
      </c>
      <c r="L239" s="517"/>
      <c r="M239" s="317" t="s">
        <v>601</v>
      </c>
      <c r="N239" s="318" t="str">
        <f>E239</f>
        <v>W8</v>
      </c>
      <c r="O239" s="527">
        <f t="shared" si="71"/>
        <v>-18.920000000000002</v>
      </c>
      <c r="P239" s="531"/>
      <c r="Q239" s="28"/>
      <c r="R239" s="532">
        <f t="shared" si="86"/>
        <v>13814.692500000001</v>
      </c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 s="2" customFormat="1" ht="21" customHeight="1">
      <c r="A240" s="444">
        <f t="shared" si="89"/>
        <v>207</v>
      </c>
      <c r="B240" s="142" t="s">
        <v>384</v>
      </c>
      <c r="C240" s="91">
        <v>2</v>
      </c>
      <c r="D240" s="91" t="s">
        <v>34</v>
      </c>
      <c r="E240" s="403" t="str">
        <f>'DECK TALLY'!B212</f>
        <v>W9</v>
      </c>
      <c r="F240" s="103">
        <f>'DECK TALLY'!C212</f>
        <v>36.24</v>
      </c>
      <c r="G240" s="92">
        <f t="shared" si="87"/>
        <v>35.902500000000003</v>
      </c>
      <c r="H240" s="95" t="s">
        <v>32</v>
      </c>
      <c r="I240" s="438">
        <f t="shared" si="75"/>
        <v>7668.21</v>
      </c>
      <c r="J240" s="92">
        <f t="shared" si="84"/>
        <v>13712.79</v>
      </c>
      <c r="K240" s="117">
        <f t="shared" si="88"/>
        <v>277.28547789915967</v>
      </c>
      <c r="L240" s="517">
        <v>13777</v>
      </c>
      <c r="M240" s="545" t="s">
        <v>602</v>
      </c>
      <c r="N240" s="732"/>
      <c r="O240" s="527">
        <f t="shared" si="71"/>
        <v>13758.08</v>
      </c>
      <c r="P240" s="531"/>
      <c r="Q240" s="28"/>
      <c r="R240" s="532">
        <f t="shared" si="86"/>
        <v>13778.79</v>
      </c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 s="2" customFormat="1" ht="21" customHeight="1">
      <c r="A241" s="444">
        <f t="shared" si="89"/>
        <v>208</v>
      </c>
      <c r="B241" s="142" t="s">
        <v>384</v>
      </c>
      <c r="C241" s="91">
        <v>2</v>
      </c>
      <c r="D241" s="91" t="s">
        <v>34</v>
      </c>
      <c r="E241" s="403" t="str">
        <f>'DECK TALLY'!B213</f>
        <v>X1</v>
      </c>
      <c r="F241" s="104">
        <f>'DECK TALLY'!C213</f>
        <v>37.15</v>
      </c>
      <c r="G241" s="232">
        <f t="shared" si="87"/>
        <v>36.8125</v>
      </c>
      <c r="H241" s="92" t="s">
        <v>32</v>
      </c>
      <c r="I241" s="439">
        <f t="shared" si="75"/>
        <v>7705.0225</v>
      </c>
      <c r="J241" s="232">
        <f t="shared" si="84"/>
        <v>13675.977500000001</v>
      </c>
      <c r="K241" s="117">
        <f t="shared" si="88"/>
        <v>278.16056923796793</v>
      </c>
      <c r="L241" s="517"/>
      <c r="M241" s="733"/>
      <c r="N241" s="734"/>
      <c r="O241" s="527">
        <f t="shared" si="71"/>
        <v>-18.920000000000002</v>
      </c>
      <c r="P241" s="531"/>
      <c r="Q241" s="28"/>
      <c r="R241" s="532">
        <f t="shared" si="86"/>
        <v>13741.977500000001</v>
      </c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 s="2" customFormat="1" ht="21" customHeight="1">
      <c r="A242" s="444">
        <f t="shared" si="89"/>
        <v>209</v>
      </c>
      <c r="B242" s="142" t="s">
        <v>384</v>
      </c>
      <c r="C242" s="91">
        <v>2</v>
      </c>
      <c r="D242" s="91" t="s">
        <v>34</v>
      </c>
      <c r="E242" s="403" t="str">
        <f>'DECK TALLY'!B214</f>
        <v>X2</v>
      </c>
      <c r="F242" s="103">
        <f>'DECK TALLY'!C214</f>
        <v>36.729999999999997</v>
      </c>
      <c r="G242" s="232">
        <f t="shared" si="87"/>
        <v>36.392499999999998</v>
      </c>
      <c r="H242" s="92" t="s">
        <v>32</v>
      </c>
      <c r="I242" s="439">
        <f t="shared" si="75"/>
        <v>7741.415</v>
      </c>
      <c r="J242" s="232">
        <f t="shared" si="84"/>
        <v>13639.584999999999</v>
      </c>
      <c r="K242" s="117">
        <f t="shared" si="88"/>
        <v>279.02567651260506</v>
      </c>
      <c r="L242" s="517"/>
      <c r="M242" s="607" t="s">
        <v>600</v>
      </c>
      <c r="N242" s="608"/>
      <c r="O242" s="527">
        <f t="shared" si="71"/>
        <v>-18.920000000000002</v>
      </c>
      <c r="P242" s="531"/>
      <c r="Q242" s="28"/>
      <c r="R242" s="532">
        <f t="shared" si="86"/>
        <v>13705.584999999999</v>
      </c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 s="2" customFormat="1" ht="21" customHeight="1" thickBot="1">
      <c r="A243" s="444">
        <f t="shared" si="89"/>
        <v>210</v>
      </c>
      <c r="B243" s="142" t="s">
        <v>384</v>
      </c>
      <c r="C243" s="91">
        <v>2</v>
      </c>
      <c r="D243" s="91" t="s">
        <v>34</v>
      </c>
      <c r="E243" s="403" t="str">
        <f>'DECK TALLY'!B215</f>
        <v>X3</v>
      </c>
      <c r="F243" s="104">
        <f>'DECK TALLY'!C215</f>
        <v>36.96</v>
      </c>
      <c r="G243" s="232">
        <f t="shared" si="87"/>
        <v>36.622500000000002</v>
      </c>
      <c r="H243" s="95" t="s">
        <v>32</v>
      </c>
      <c r="I243" s="439">
        <f t="shared" ref="I243:I250" si="90">IF(H243="IN",I242+G243,I242)</f>
        <v>7778.0375000000004</v>
      </c>
      <c r="J243" s="232">
        <f t="shared" si="84"/>
        <v>13602.9625</v>
      </c>
      <c r="K243" s="117">
        <f t="shared" si="88"/>
        <v>279.89625125095495</v>
      </c>
      <c r="L243" s="517"/>
      <c r="M243" s="366" t="s">
        <v>588</v>
      </c>
      <c r="N243" s="319">
        <f>J238-5</f>
        <v>13778.895</v>
      </c>
      <c r="O243" s="527">
        <f t="shared" si="71"/>
        <v>-18.920000000000002</v>
      </c>
      <c r="P243" s="531"/>
      <c r="Q243" s="28"/>
      <c r="R243" s="532">
        <f t="shared" si="86"/>
        <v>13668.9625</v>
      </c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 s="2" customFormat="1" ht="21" customHeight="1" thickTop="1">
      <c r="A244" s="444">
        <f t="shared" si="89"/>
        <v>211</v>
      </c>
      <c r="B244" s="142" t="s">
        <v>384</v>
      </c>
      <c r="C244" s="91">
        <v>2</v>
      </c>
      <c r="D244" s="91" t="s">
        <v>34</v>
      </c>
      <c r="E244" s="403" t="str">
        <f>'DECK TALLY'!B216</f>
        <v>X4</v>
      </c>
      <c r="F244" s="104">
        <f>'DECK TALLY'!C216</f>
        <v>36.9</v>
      </c>
      <c r="G244" s="232">
        <f t="shared" si="87"/>
        <v>36.5625</v>
      </c>
      <c r="H244" s="95" t="s">
        <v>32</v>
      </c>
      <c r="I244" s="439">
        <f t="shared" si="90"/>
        <v>7814.6</v>
      </c>
      <c r="J244" s="232">
        <f t="shared" si="84"/>
        <v>13566.4</v>
      </c>
      <c r="K244" s="117">
        <f t="shared" si="88"/>
        <v>280.76539969442325</v>
      </c>
      <c r="L244" s="517"/>
      <c r="M244" s="605"/>
      <c r="N244" s="606"/>
      <c r="O244" s="527">
        <f t="shared" si="71"/>
        <v>-18.920000000000002</v>
      </c>
      <c r="P244" s="531"/>
      <c r="Q244" s="28"/>
      <c r="R244" s="532">
        <f t="shared" si="86"/>
        <v>13632.4</v>
      </c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 s="2" customFormat="1" ht="21" customHeight="1">
      <c r="A245" s="444">
        <f t="shared" si="89"/>
        <v>212</v>
      </c>
      <c r="B245" s="142" t="s">
        <v>384</v>
      </c>
      <c r="C245" s="91">
        <v>2</v>
      </c>
      <c r="D245" s="91" t="s">
        <v>34</v>
      </c>
      <c r="E245" s="403" t="str">
        <f>'DECK TALLY'!B217</f>
        <v>X5</v>
      </c>
      <c r="F245" s="103">
        <f>'DECK TALLY'!C217</f>
        <v>35.92</v>
      </c>
      <c r="G245" s="232">
        <f t="shared" si="87"/>
        <v>35.582500000000003</v>
      </c>
      <c r="H245" s="92" t="s">
        <v>32</v>
      </c>
      <c r="I245" s="439">
        <f t="shared" si="90"/>
        <v>7850.1825000000008</v>
      </c>
      <c r="J245" s="264">
        <f t="shared" si="84"/>
        <v>13530.817499999999</v>
      </c>
      <c r="K245" s="117">
        <f t="shared" si="88"/>
        <v>281.61125198815887</v>
      </c>
      <c r="L245" s="517"/>
      <c r="M245" s="605"/>
      <c r="N245" s="606"/>
      <c r="O245" s="527">
        <f t="shared" si="71"/>
        <v>-18.920000000000002</v>
      </c>
      <c r="P245" s="531"/>
      <c r="Q245" s="28"/>
      <c r="R245" s="532">
        <f t="shared" si="86"/>
        <v>13596.817499999999</v>
      </c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 s="2" customFormat="1" ht="21" customHeight="1">
      <c r="A246" s="444">
        <f t="shared" si="89"/>
        <v>213</v>
      </c>
      <c r="B246" s="142" t="s">
        <v>384</v>
      </c>
      <c r="C246" s="91">
        <v>2</v>
      </c>
      <c r="D246" s="91" t="s">
        <v>34</v>
      </c>
      <c r="E246" s="403" t="str">
        <f>'DECK TALLY'!B218</f>
        <v>X6</v>
      </c>
      <c r="F246" s="104">
        <f>'DECK TALLY'!C218</f>
        <v>36.96</v>
      </c>
      <c r="G246" s="232">
        <f t="shared" si="87"/>
        <v>36.622500000000002</v>
      </c>
      <c r="H246" s="92" t="s">
        <v>32</v>
      </c>
      <c r="I246" s="439">
        <f t="shared" si="90"/>
        <v>7886.8050000000012</v>
      </c>
      <c r="J246" s="232">
        <f t="shared" si="84"/>
        <v>13494.195</v>
      </c>
      <c r="K246" s="117">
        <f t="shared" si="88"/>
        <v>282.48182672650881</v>
      </c>
      <c r="L246" s="517"/>
      <c r="M246" s="605"/>
      <c r="N246" s="606"/>
      <c r="O246" s="527">
        <f t="shared" si="71"/>
        <v>-18.920000000000002</v>
      </c>
      <c r="P246" s="531"/>
      <c r="Q246" s="28"/>
      <c r="R246" s="532">
        <f t="shared" si="86"/>
        <v>13560.195</v>
      </c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s="2" customFormat="1" ht="21" customHeight="1">
      <c r="A247" s="444">
        <f t="shared" si="89"/>
        <v>214</v>
      </c>
      <c r="B247" s="142" t="s">
        <v>384</v>
      </c>
      <c r="C247" s="91">
        <v>2</v>
      </c>
      <c r="D247" s="91" t="s">
        <v>34</v>
      </c>
      <c r="E247" s="403" t="str">
        <f>'DECK TALLY'!B219</f>
        <v>X7</v>
      </c>
      <c r="F247" s="103">
        <f>'DECK TALLY'!C219</f>
        <v>36.26</v>
      </c>
      <c r="G247" s="232">
        <f t="shared" si="87"/>
        <v>35.922499999999999</v>
      </c>
      <c r="H247" s="95" t="s">
        <v>32</v>
      </c>
      <c r="I247" s="439">
        <f t="shared" si="90"/>
        <v>7922.7275000000009</v>
      </c>
      <c r="J247" s="232">
        <f t="shared" si="84"/>
        <v>13458.272499999999</v>
      </c>
      <c r="K247" s="117">
        <f t="shared" si="88"/>
        <v>283.33576135790679</v>
      </c>
      <c r="L247" s="517"/>
      <c r="M247" s="605"/>
      <c r="N247" s="606"/>
      <c r="O247" s="527">
        <f t="shared" si="71"/>
        <v>-18.920000000000002</v>
      </c>
      <c r="P247" s="531"/>
      <c r="Q247" s="28"/>
      <c r="R247" s="532">
        <f t="shared" si="86"/>
        <v>13524.272499999999</v>
      </c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 s="2" customFormat="1" ht="21" customHeight="1" thickBot="1">
      <c r="A248" s="444">
        <f t="shared" si="89"/>
        <v>215</v>
      </c>
      <c r="B248" s="142" t="s">
        <v>384</v>
      </c>
      <c r="C248" s="91">
        <v>2</v>
      </c>
      <c r="D248" s="91" t="s">
        <v>34</v>
      </c>
      <c r="E248" s="403" t="str">
        <f>'DECK TALLY'!B220</f>
        <v>X8</v>
      </c>
      <c r="F248" s="104">
        <f>'DECK TALLY'!C220</f>
        <v>36.65</v>
      </c>
      <c r="G248" s="92">
        <f t="shared" si="87"/>
        <v>36.3125</v>
      </c>
      <c r="H248" s="95" t="s">
        <v>32</v>
      </c>
      <c r="I248" s="438">
        <f t="shared" si="90"/>
        <v>7959.0400000000009</v>
      </c>
      <c r="J248" s="92">
        <f t="shared" si="84"/>
        <v>13421.96</v>
      </c>
      <c r="K248" s="117">
        <f t="shared" si="88"/>
        <v>284.19896690603514</v>
      </c>
      <c r="L248" s="517"/>
      <c r="M248" s="604"/>
      <c r="N248" s="606"/>
      <c r="O248" s="527">
        <f t="shared" si="71"/>
        <v>-18.920000000000002</v>
      </c>
      <c r="P248" s="531"/>
      <c r="Q248" s="28"/>
      <c r="R248" s="532">
        <f t="shared" si="86"/>
        <v>13487.96</v>
      </c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 s="2" customFormat="1" ht="21" customHeight="1" thickTop="1" thickBot="1">
      <c r="A249" s="444">
        <f t="shared" si="89"/>
        <v>216</v>
      </c>
      <c r="B249" s="142" t="s">
        <v>384</v>
      </c>
      <c r="C249" s="91">
        <v>2</v>
      </c>
      <c r="D249" s="91" t="s">
        <v>34</v>
      </c>
      <c r="E249" s="403" t="str">
        <f>'DECK TALLY'!B221</f>
        <v>X9</v>
      </c>
      <c r="F249" s="104">
        <f>'DECK TALLY'!C221</f>
        <v>35.549999999999997</v>
      </c>
      <c r="G249" s="92">
        <f t="shared" ref="G249:G260" si="91">F249-($E$12/12)</f>
        <v>35.212499999999999</v>
      </c>
      <c r="H249" s="92" t="s">
        <v>32</v>
      </c>
      <c r="I249" s="438">
        <f t="shared" si="90"/>
        <v>7994.2525000000005</v>
      </c>
      <c r="J249" s="92">
        <f t="shared" si="84"/>
        <v>13386.747499999999</v>
      </c>
      <c r="K249" s="117">
        <f t="shared" si="88"/>
        <v>285.03602371466775</v>
      </c>
      <c r="L249" s="517"/>
      <c r="M249" s="315" t="s">
        <v>569</v>
      </c>
      <c r="N249" s="316">
        <v>13390</v>
      </c>
      <c r="O249" s="527">
        <f t="shared" si="71"/>
        <v>-18.920000000000002</v>
      </c>
      <c r="P249" s="531"/>
      <c r="Q249" s="28"/>
      <c r="R249" s="532">
        <f t="shared" si="86"/>
        <v>13452.747499999999</v>
      </c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 s="2" customFormat="1" ht="21" customHeight="1" thickBot="1">
      <c r="A250" s="444">
        <f t="shared" si="89"/>
        <v>217</v>
      </c>
      <c r="B250" s="142" t="s">
        <v>384</v>
      </c>
      <c r="C250" s="361">
        <v>1</v>
      </c>
      <c r="D250" s="91" t="s">
        <v>34</v>
      </c>
      <c r="E250" s="362" t="str">
        <f>'DECK TALLY'!B222</f>
        <v>Y1</v>
      </c>
      <c r="F250" s="103">
        <f>'DECK TALLY'!C222</f>
        <v>36.79</v>
      </c>
      <c r="G250" s="92">
        <f t="shared" si="91"/>
        <v>36.452500000000001</v>
      </c>
      <c r="H250" s="92" t="s">
        <v>32</v>
      </c>
      <c r="I250" s="438">
        <f t="shared" si="90"/>
        <v>8030.7050000000008</v>
      </c>
      <c r="J250" s="363">
        <f t="shared" si="84"/>
        <v>13350.294999999998</v>
      </c>
      <c r="K250" s="117">
        <f t="shared" si="88"/>
        <v>285.90255728418646</v>
      </c>
      <c r="L250" s="517">
        <v>13415</v>
      </c>
      <c r="M250" s="317" t="s">
        <v>603</v>
      </c>
      <c r="N250" s="318" t="str">
        <f>E250</f>
        <v>Y1</v>
      </c>
      <c r="O250" s="527">
        <f t="shared" si="71"/>
        <v>13396.08</v>
      </c>
      <c r="P250" s="531"/>
      <c r="Q250" s="28"/>
      <c r="R250" s="532">
        <f t="shared" si="86"/>
        <v>13416.294999999998</v>
      </c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 s="2" customFormat="1" ht="21" customHeight="1">
      <c r="A251" s="444">
        <f t="shared" si="89"/>
        <v>218</v>
      </c>
      <c r="B251" s="142" t="s">
        <v>384</v>
      </c>
      <c r="C251" s="91">
        <v>2</v>
      </c>
      <c r="D251" s="91" t="s">
        <v>34</v>
      </c>
      <c r="E251" s="403" t="str">
        <f>'DECK TALLY'!B223</f>
        <v>Y2</v>
      </c>
      <c r="F251" s="104">
        <f>'DECK TALLY'!C223</f>
        <v>36.78</v>
      </c>
      <c r="G251" s="92">
        <f t="shared" si="91"/>
        <v>36.442500000000003</v>
      </c>
      <c r="H251" s="95" t="s">
        <v>32</v>
      </c>
      <c r="I251" s="438">
        <f t="shared" ref="I251:I261" si="92">IF(H251="IN",I250+G251,I250)</f>
        <v>8067.1475000000009</v>
      </c>
      <c r="J251" s="92">
        <f t="shared" ref="J251:J261" si="93">IF(I251="","",$M$9-I251)</f>
        <v>13313.852499999999</v>
      </c>
      <c r="K251" s="117">
        <f t="shared" si="88"/>
        <v>286.76885313789154</v>
      </c>
      <c r="L251" s="517"/>
      <c r="M251" s="545" t="s">
        <v>604</v>
      </c>
      <c r="N251" s="732"/>
      <c r="O251" s="527">
        <f t="shared" si="71"/>
        <v>-18.920000000000002</v>
      </c>
      <c r="P251" s="531"/>
      <c r="Q251" s="28"/>
      <c r="R251" s="532">
        <f t="shared" si="86"/>
        <v>13379.852499999999</v>
      </c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 s="2" customFormat="1" ht="21" customHeight="1">
      <c r="A252" s="444">
        <f t="shared" si="89"/>
        <v>219</v>
      </c>
      <c r="B252" s="142" t="s">
        <v>384</v>
      </c>
      <c r="C252" s="91">
        <v>2</v>
      </c>
      <c r="D252" s="91" t="s">
        <v>34</v>
      </c>
      <c r="E252" s="403" t="str">
        <f>'DECK TALLY'!B224</f>
        <v>Y3</v>
      </c>
      <c r="F252" s="103">
        <f>'DECK TALLY'!C224</f>
        <v>36.729999999999997</v>
      </c>
      <c r="G252" s="92">
        <f t="shared" si="91"/>
        <v>36.392499999999998</v>
      </c>
      <c r="H252" s="95" t="s">
        <v>32</v>
      </c>
      <c r="I252" s="438">
        <f t="shared" si="92"/>
        <v>8103.5400000000009</v>
      </c>
      <c r="J252" s="92">
        <f t="shared" si="93"/>
        <v>13277.46</v>
      </c>
      <c r="K252" s="117">
        <f t="shared" si="88"/>
        <v>287.63396041252872</v>
      </c>
      <c r="L252" s="517">
        <v>13343</v>
      </c>
      <c r="M252" s="733"/>
      <c r="N252" s="734"/>
      <c r="O252" s="527">
        <f>L252-18.92</f>
        <v>13324.08</v>
      </c>
      <c r="P252" s="531"/>
      <c r="Q252" s="28"/>
      <c r="R252" s="532">
        <f>J252+66</f>
        <v>13343.46</v>
      </c>
      <c r="S252" s="37">
        <v>66</v>
      </c>
      <c r="T252" s="37"/>
      <c r="U252" s="37"/>
      <c r="V252" s="37"/>
      <c r="W252" s="37"/>
      <c r="X252" s="37"/>
      <c r="Y252" s="37"/>
      <c r="Z252" s="37"/>
      <c r="AA252" s="37"/>
    </row>
    <row r="253" spans="1:27" s="2" customFormat="1" ht="21" customHeight="1">
      <c r="A253" s="444">
        <f t="shared" si="89"/>
        <v>220</v>
      </c>
      <c r="B253" s="142" t="s">
        <v>384</v>
      </c>
      <c r="C253" s="91">
        <v>2</v>
      </c>
      <c r="D253" s="91" t="s">
        <v>34</v>
      </c>
      <c r="E253" s="403" t="str">
        <f>'DECK TALLY'!B225</f>
        <v>Y4</v>
      </c>
      <c r="F253" s="104">
        <f>'DECK TALLY'!C225</f>
        <v>36.06</v>
      </c>
      <c r="G253" s="92">
        <f t="shared" si="91"/>
        <v>35.722500000000004</v>
      </c>
      <c r="H253" s="92" t="s">
        <v>32</v>
      </c>
      <c r="I253" s="438">
        <f t="shared" si="92"/>
        <v>8139.2625000000007</v>
      </c>
      <c r="J253" s="92">
        <f t="shared" si="93"/>
        <v>13241.737499999999</v>
      </c>
      <c r="K253" s="117">
        <f t="shared" si="88"/>
        <v>288.4831407276547</v>
      </c>
      <c r="L253" s="517"/>
      <c r="M253" s="607" t="s">
        <v>600</v>
      </c>
      <c r="N253" s="608"/>
      <c r="O253" s="527">
        <f t="shared" ref="O253:O278" si="94">L253-18.92</f>
        <v>-18.920000000000002</v>
      </c>
      <c r="P253" s="531"/>
      <c r="Q253" s="28"/>
      <c r="R253" s="532">
        <f t="shared" ref="R253:R277" si="95">J253+61</f>
        <v>13302.737499999999</v>
      </c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 s="2" customFormat="1" ht="21" customHeight="1" thickBot="1">
      <c r="A254" s="444">
        <f t="shared" si="89"/>
        <v>221</v>
      </c>
      <c r="B254" s="142" t="s">
        <v>384</v>
      </c>
      <c r="C254" s="91">
        <v>2</v>
      </c>
      <c r="D254" s="91" t="s">
        <v>34</v>
      </c>
      <c r="E254" s="403" t="str">
        <f>'DECK TALLY'!B226</f>
        <v>Y5</v>
      </c>
      <c r="F254" s="104">
        <f>'DECK TALLY'!C226</f>
        <v>35.86</v>
      </c>
      <c r="G254" s="92">
        <f t="shared" si="91"/>
        <v>35.522500000000001</v>
      </c>
      <c r="H254" s="92" t="s">
        <v>32</v>
      </c>
      <c r="I254" s="438">
        <f t="shared" si="92"/>
        <v>8174.7850000000008</v>
      </c>
      <c r="J254" s="92">
        <f t="shared" si="93"/>
        <v>13206.215</v>
      </c>
      <c r="K254" s="117">
        <f t="shared" si="88"/>
        <v>289.32756672650885</v>
      </c>
      <c r="L254" s="517"/>
      <c r="M254" s="366" t="s">
        <v>588</v>
      </c>
      <c r="N254" s="319">
        <f>J249-5</f>
        <v>13381.747499999999</v>
      </c>
      <c r="O254" s="527">
        <f t="shared" si="94"/>
        <v>-18.920000000000002</v>
      </c>
      <c r="P254" s="531"/>
      <c r="Q254" s="28"/>
      <c r="R254" s="532">
        <f t="shared" si="95"/>
        <v>13267.215</v>
      </c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 s="2" customFormat="1" ht="21" customHeight="1" thickTop="1">
      <c r="A255" s="444">
        <f t="shared" si="89"/>
        <v>222</v>
      </c>
      <c r="B255" s="142" t="s">
        <v>384</v>
      </c>
      <c r="C255" s="91">
        <v>2</v>
      </c>
      <c r="D255" s="91" t="s">
        <v>34</v>
      </c>
      <c r="E255" s="403" t="str">
        <f>'DECK TALLY'!B227</f>
        <v>Y6</v>
      </c>
      <c r="F255" s="103">
        <f>'DECK TALLY'!C227</f>
        <v>36.54</v>
      </c>
      <c r="G255" s="92">
        <f t="shared" si="91"/>
        <v>36.202500000000001</v>
      </c>
      <c r="H255" s="95" t="s">
        <v>32</v>
      </c>
      <c r="I255" s="438">
        <f t="shared" si="92"/>
        <v>8210.9875000000011</v>
      </c>
      <c r="J255" s="92">
        <f t="shared" si="93"/>
        <v>13170.012499999999</v>
      </c>
      <c r="K255" s="117">
        <f t="shared" si="88"/>
        <v>290.1881574006876</v>
      </c>
      <c r="L255" s="517"/>
      <c r="M255" s="605"/>
      <c r="N255" s="606"/>
      <c r="O255" s="527">
        <f t="shared" si="94"/>
        <v>-18.920000000000002</v>
      </c>
      <c r="P255" s="531"/>
      <c r="Q255" s="28"/>
      <c r="R255" s="532">
        <f t="shared" si="95"/>
        <v>13231.012499999999</v>
      </c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s="2" customFormat="1" ht="21" customHeight="1">
      <c r="A256" s="444">
        <f t="shared" si="89"/>
        <v>223</v>
      </c>
      <c r="B256" s="142" t="s">
        <v>384</v>
      </c>
      <c r="C256" s="91">
        <v>2</v>
      </c>
      <c r="D256" s="91" t="s">
        <v>34</v>
      </c>
      <c r="E256" s="403" t="str">
        <f>'DECK TALLY'!B228</f>
        <v>Y7</v>
      </c>
      <c r="F256" s="104">
        <f>'DECK TALLY'!C228</f>
        <v>35.47</v>
      </c>
      <c r="G256" s="92">
        <f t="shared" si="91"/>
        <v>35.1325</v>
      </c>
      <c r="H256" s="95" t="s">
        <v>32</v>
      </c>
      <c r="I256" s="438">
        <f t="shared" si="92"/>
        <v>8246.1200000000008</v>
      </c>
      <c r="J256" s="92">
        <f t="shared" si="93"/>
        <v>13134.88</v>
      </c>
      <c r="K256" s="117">
        <f t="shared" si="88"/>
        <v>291.02331248281132</v>
      </c>
      <c r="L256" s="517"/>
      <c r="M256" s="605"/>
      <c r="N256" s="606"/>
      <c r="O256" s="527">
        <f t="shared" si="94"/>
        <v>-18.920000000000002</v>
      </c>
      <c r="P256" s="531"/>
      <c r="Q256" s="28"/>
      <c r="R256" s="532">
        <f t="shared" si="95"/>
        <v>13195.88</v>
      </c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 s="2" customFormat="1" ht="21" customHeight="1">
      <c r="A257" s="444">
        <f t="shared" si="89"/>
        <v>224</v>
      </c>
      <c r="B257" s="142" t="s">
        <v>384</v>
      </c>
      <c r="C257" s="91">
        <v>2</v>
      </c>
      <c r="D257" s="91" t="s">
        <v>34</v>
      </c>
      <c r="E257" s="403" t="str">
        <f>'DECK TALLY'!B229</f>
        <v>Y8</v>
      </c>
      <c r="F257" s="103">
        <f>'DECK TALLY'!C229</f>
        <v>36.409999999999997</v>
      </c>
      <c r="G257" s="92">
        <f t="shared" si="91"/>
        <v>36.072499999999998</v>
      </c>
      <c r="H257" s="92" t="s">
        <v>32</v>
      </c>
      <c r="I257" s="438">
        <f t="shared" si="92"/>
        <v>8282.192500000001</v>
      </c>
      <c r="J257" s="92">
        <f t="shared" si="93"/>
        <v>13098.807499999999</v>
      </c>
      <c r="K257" s="117">
        <f t="shared" si="88"/>
        <v>291.88081285141334</v>
      </c>
      <c r="L257" s="517"/>
      <c r="M257" s="605"/>
      <c r="N257" s="606"/>
      <c r="O257" s="527">
        <f t="shared" si="94"/>
        <v>-18.920000000000002</v>
      </c>
      <c r="P257" s="531"/>
      <c r="Q257" s="28"/>
      <c r="R257" s="532">
        <f t="shared" si="95"/>
        <v>13159.807499999999</v>
      </c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 s="2" customFormat="1" ht="21" customHeight="1">
      <c r="A258" s="444">
        <f t="shared" si="89"/>
        <v>225</v>
      </c>
      <c r="B258" s="142" t="s">
        <v>384</v>
      </c>
      <c r="C258" s="91">
        <v>2</v>
      </c>
      <c r="D258" s="91" t="s">
        <v>34</v>
      </c>
      <c r="E258" s="403" t="str">
        <f>'DECK TALLY'!B230</f>
        <v>Y9</v>
      </c>
      <c r="F258" s="104">
        <f>'DECK TALLY'!C230</f>
        <v>36.369999999999997</v>
      </c>
      <c r="G258" s="92">
        <f t="shared" si="91"/>
        <v>36.032499999999999</v>
      </c>
      <c r="H258" s="92" t="s">
        <v>32</v>
      </c>
      <c r="I258" s="438">
        <f t="shared" si="92"/>
        <v>8318.2250000000004</v>
      </c>
      <c r="J258" s="92">
        <f t="shared" si="93"/>
        <v>13062.775</v>
      </c>
      <c r="K258" s="117">
        <f t="shared" si="88"/>
        <v>292.73736235676091</v>
      </c>
      <c r="L258" s="517"/>
      <c r="M258" s="605"/>
      <c r="N258" s="606"/>
      <c r="O258" s="527">
        <f t="shared" si="94"/>
        <v>-18.920000000000002</v>
      </c>
      <c r="P258" s="531"/>
      <c r="Q258" s="28"/>
      <c r="R258" s="532">
        <f t="shared" si="95"/>
        <v>13123.775</v>
      </c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 s="2" customFormat="1" ht="21" customHeight="1">
      <c r="A259" s="444">
        <f t="shared" si="89"/>
        <v>226</v>
      </c>
      <c r="B259" s="142" t="s">
        <v>384</v>
      </c>
      <c r="C259" s="91">
        <v>2</v>
      </c>
      <c r="D259" s="91" t="s">
        <v>34</v>
      </c>
      <c r="E259" s="403" t="str">
        <f>'DECK TALLY'!B231</f>
        <v>Z1</v>
      </c>
      <c r="F259" s="104">
        <f>'DECK TALLY'!C231</f>
        <v>36.53</v>
      </c>
      <c r="G259" s="92">
        <f t="shared" si="91"/>
        <v>36.192500000000003</v>
      </c>
      <c r="H259" s="95" t="s">
        <v>32</v>
      </c>
      <c r="I259" s="438">
        <f t="shared" si="92"/>
        <v>8354.4174999999996</v>
      </c>
      <c r="J259" s="92">
        <f t="shared" si="93"/>
        <v>13026.5825</v>
      </c>
      <c r="K259" s="117">
        <f t="shared" si="88"/>
        <v>293.59771531512604</v>
      </c>
      <c r="L259" s="517"/>
      <c r="M259" s="605"/>
      <c r="N259" s="606"/>
      <c r="O259" s="527">
        <f t="shared" si="94"/>
        <v>-18.920000000000002</v>
      </c>
      <c r="P259" s="531"/>
      <c r="Q259" s="28"/>
      <c r="R259" s="532">
        <f t="shared" si="95"/>
        <v>13087.5825</v>
      </c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 s="2" customFormat="1" ht="21" customHeight="1">
      <c r="A260" s="444">
        <f t="shared" si="89"/>
        <v>227</v>
      </c>
      <c r="B260" s="142" t="s">
        <v>384</v>
      </c>
      <c r="C260" s="91">
        <v>2</v>
      </c>
      <c r="D260" s="91" t="s">
        <v>34</v>
      </c>
      <c r="E260" s="403" t="str">
        <f>'DECK TALLY'!B232</f>
        <v>Z2</v>
      </c>
      <c r="F260" s="103">
        <f>'DECK TALLY'!C232</f>
        <v>36.090000000000003</v>
      </c>
      <c r="G260" s="92">
        <f t="shared" si="91"/>
        <v>35.752500000000005</v>
      </c>
      <c r="H260" s="95" t="s">
        <v>32</v>
      </c>
      <c r="I260" s="438">
        <f t="shared" si="92"/>
        <v>8390.17</v>
      </c>
      <c r="J260" s="92">
        <f t="shared" si="93"/>
        <v>12990.83</v>
      </c>
      <c r="K260" s="117">
        <f t="shared" si="88"/>
        <v>294.44760877769289</v>
      </c>
      <c r="L260" s="517"/>
      <c r="M260" s="605"/>
      <c r="N260" s="606"/>
      <c r="O260" s="527">
        <f t="shared" si="94"/>
        <v>-18.920000000000002</v>
      </c>
      <c r="P260" s="531"/>
      <c r="Q260" s="28"/>
      <c r="R260" s="532">
        <f t="shared" si="95"/>
        <v>13051.83</v>
      </c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 s="2" customFormat="1" ht="21" customHeight="1">
      <c r="A261" s="444">
        <f t="shared" si="89"/>
        <v>228</v>
      </c>
      <c r="B261" s="142" t="s">
        <v>384</v>
      </c>
      <c r="C261" s="91">
        <v>2</v>
      </c>
      <c r="D261" s="91" t="s">
        <v>34</v>
      </c>
      <c r="E261" s="403" t="str">
        <f>'DECK TALLY'!B233</f>
        <v>Z3</v>
      </c>
      <c r="F261" s="104">
        <f>'DECK TALLY'!C233</f>
        <v>36.36</v>
      </c>
      <c r="G261" s="92">
        <f t="shared" si="87"/>
        <v>36.022500000000001</v>
      </c>
      <c r="H261" s="92" t="s">
        <v>32</v>
      </c>
      <c r="I261" s="438">
        <f t="shared" si="92"/>
        <v>8426.1924999999992</v>
      </c>
      <c r="J261" s="92">
        <f t="shared" si="93"/>
        <v>12954.807500000001</v>
      </c>
      <c r="K261" s="117">
        <f t="shared" si="88"/>
        <v>295.3039205672269</v>
      </c>
      <c r="L261" s="517"/>
      <c r="M261" s="605"/>
      <c r="N261" s="606"/>
      <c r="O261" s="527">
        <f t="shared" si="94"/>
        <v>-18.920000000000002</v>
      </c>
      <c r="P261" s="531"/>
      <c r="Q261" s="28"/>
      <c r="R261" s="532">
        <f t="shared" si="95"/>
        <v>13015.807500000001</v>
      </c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 s="2" customFormat="1" ht="21" customHeight="1">
      <c r="A262" s="444">
        <f t="shared" si="89"/>
        <v>229</v>
      </c>
      <c r="B262" s="142" t="s">
        <v>384</v>
      </c>
      <c r="C262" s="91">
        <v>2</v>
      </c>
      <c r="D262" s="91" t="s">
        <v>34</v>
      </c>
      <c r="E262" s="403" t="str">
        <f>'DECK TALLY'!B234</f>
        <v>Z4</v>
      </c>
      <c r="F262" s="103">
        <f>'DECK TALLY'!C234</f>
        <v>36.39</v>
      </c>
      <c r="G262" s="92">
        <f t="shared" ref="G262:G267" si="96">F262-($E$12/12)</f>
        <v>36.052500000000002</v>
      </c>
      <c r="H262" s="92" t="s">
        <v>32</v>
      </c>
      <c r="I262" s="438">
        <f t="shared" ref="I262:I268" si="97">IF(H262="IN",I261+G262,I261)</f>
        <v>8462.244999999999</v>
      </c>
      <c r="J262" s="92">
        <f t="shared" ref="J262:J268" si="98">IF(I262="","",$M$9-I262)</f>
        <v>12918.755000000001</v>
      </c>
      <c r="K262" s="117">
        <f t="shared" si="88"/>
        <v>296.16094550420166</v>
      </c>
      <c r="L262" s="517"/>
      <c r="M262" s="605"/>
      <c r="N262" s="606"/>
      <c r="O262" s="527">
        <f t="shared" si="94"/>
        <v>-18.920000000000002</v>
      </c>
      <c r="P262" s="531"/>
      <c r="Q262" s="28"/>
      <c r="R262" s="532">
        <f t="shared" si="95"/>
        <v>12979.755000000001</v>
      </c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 s="2" customFormat="1" ht="21" customHeight="1">
      <c r="A263" s="444">
        <f t="shared" si="89"/>
        <v>230</v>
      </c>
      <c r="B263" s="142" t="s">
        <v>384</v>
      </c>
      <c r="C263" s="91">
        <v>2</v>
      </c>
      <c r="D263" s="91" t="s">
        <v>34</v>
      </c>
      <c r="E263" s="403" t="str">
        <f>'DECK TALLY'!B235</f>
        <v>Z5</v>
      </c>
      <c r="F263" s="104">
        <f>'DECK TALLY'!C235</f>
        <v>36.54</v>
      </c>
      <c r="G263" s="92">
        <f t="shared" si="96"/>
        <v>36.202500000000001</v>
      </c>
      <c r="H263" s="95" t="s">
        <v>32</v>
      </c>
      <c r="I263" s="438">
        <f t="shared" si="97"/>
        <v>8498.4474999999984</v>
      </c>
      <c r="J263" s="92">
        <f t="shared" si="98"/>
        <v>12882.552500000002</v>
      </c>
      <c r="K263" s="117">
        <f t="shared" si="88"/>
        <v>297.02153617838042</v>
      </c>
      <c r="L263" s="517"/>
      <c r="M263" s="605"/>
      <c r="N263" s="606"/>
      <c r="O263" s="527">
        <f t="shared" si="94"/>
        <v>-18.920000000000002</v>
      </c>
      <c r="P263" s="531"/>
      <c r="Q263" s="28"/>
      <c r="R263" s="532">
        <f t="shared" si="95"/>
        <v>12943.552500000002</v>
      </c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 s="2" customFormat="1" ht="21" customHeight="1">
      <c r="A264" s="444">
        <f t="shared" si="89"/>
        <v>231</v>
      </c>
      <c r="B264" s="142" t="s">
        <v>384</v>
      </c>
      <c r="C264" s="91">
        <v>2</v>
      </c>
      <c r="D264" s="91" t="s">
        <v>34</v>
      </c>
      <c r="E264" s="403" t="str">
        <f>'DECK TALLY'!B236</f>
        <v>Z6</v>
      </c>
      <c r="F264" s="104">
        <f>'DECK TALLY'!C236</f>
        <v>36.36</v>
      </c>
      <c r="G264" s="92">
        <f t="shared" si="96"/>
        <v>36.022500000000001</v>
      </c>
      <c r="H264" s="95" t="s">
        <v>32</v>
      </c>
      <c r="I264" s="438">
        <f t="shared" si="97"/>
        <v>8534.4699999999975</v>
      </c>
      <c r="J264" s="92">
        <f t="shared" si="98"/>
        <v>12846.530000000002</v>
      </c>
      <c r="K264" s="117">
        <f t="shared" si="88"/>
        <v>297.87784796791436</v>
      </c>
      <c r="L264" s="517"/>
      <c r="M264" s="605"/>
      <c r="N264" s="606"/>
      <c r="O264" s="527">
        <f t="shared" si="94"/>
        <v>-18.920000000000002</v>
      </c>
      <c r="P264" s="531"/>
      <c r="Q264" s="28"/>
      <c r="R264" s="532">
        <f t="shared" si="95"/>
        <v>12907.530000000002</v>
      </c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 s="2" customFormat="1" ht="21" customHeight="1">
      <c r="A265" s="444">
        <f t="shared" si="89"/>
        <v>232</v>
      </c>
      <c r="B265" s="142" t="s">
        <v>384</v>
      </c>
      <c r="C265" s="91">
        <v>2</v>
      </c>
      <c r="D265" s="91" t="s">
        <v>34</v>
      </c>
      <c r="E265" s="403" t="str">
        <f>'DECK TALLY'!B237</f>
        <v>Z7</v>
      </c>
      <c r="F265" s="103">
        <f>'DECK TALLY'!C237</f>
        <v>35.42</v>
      </c>
      <c r="G265" s="92">
        <f t="shared" si="96"/>
        <v>35.082500000000003</v>
      </c>
      <c r="H265" s="92" t="s">
        <v>32</v>
      </c>
      <c r="I265" s="438">
        <f t="shared" si="97"/>
        <v>8569.552499999998</v>
      </c>
      <c r="J265" s="92">
        <f t="shared" si="98"/>
        <v>12811.447500000002</v>
      </c>
      <c r="K265" s="117">
        <f t="shared" si="88"/>
        <v>298.71181447097013</v>
      </c>
      <c r="L265" s="517"/>
      <c r="M265" s="605"/>
      <c r="N265" s="606"/>
      <c r="O265" s="527">
        <f t="shared" si="94"/>
        <v>-18.920000000000002</v>
      </c>
      <c r="P265" s="531"/>
      <c r="Q265" s="28"/>
      <c r="R265" s="532">
        <f t="shared" si="95"/>
        <v>12872.447500000002</v>
      </c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 s="2" customFormat="1" ht="21" customHeight="1">
      <c r="A266" s="444">
        <f t="shared" si="89"/>
        <v>233</v>
      </c>
      <c r="B266" s="142" t="s">
        <v>384</v>
      </c>
      <c r="C266" s="91">
        <v>2</v>
      </c>
      <c r="D266" s="91" t="s">
        <v>34</v>
      </c>
      <c r="E266" s="403" t="str">
        <f>'DECK TALLY'!B238</f>
        <v>Z8</v>
      </c>
      <c r="F266" s="104">
        <f>'DECK TALLY'!C238</f>
        <v>36.6</v>
      </c>
      <c r="G266" s="92">
        <f t="shared" si="96"/>
        <v>36.262500000000003</v>
      </c>
      <c r="H266" s="92" t="s">
        <v>32</v>
      </c>
      <c r="I266" s="438">
        <f t="shared" si="97"/>
        <v>8605.8149999999987</v>
      </c>
      <c r="J266" s="92">
        <f t="shared" si="98"/>
        <v>12775.185000000001</v>
      </c>
      <c r="K266" s="117">
        <f t="shared" si="88"/>
        <v>299.57383144003052</v>
      </c>
      <c r="L266" s="517"/>
      <c r="M266" s="605"/>
      <c r="N266" s="606"/>
      <c r="O266" s="527">
        <f t="shared" si="94"/>
        <v>-18.920000000000002</v>
      </c>
      <c r="P266" s="531"/>
      <c r="Q266" s="28"/>
      <c r="R266" s="532">
        <f t="shared" si="95"/>
        <v>12836.185000000001</v>
      </c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 s="2" customFormat="1" ht="21" customHeight="1">
      <c r="A267" s="444">
        <f t="shared" si="89"/>
        <v>234</v>
      </c>
      <c r="B267" s="142" t="s">
        <v>384</v>
      </c>
      <c r="C267" s="91">
        <v>2</v>
      </c>
      <c r="D267" s="91" t="s">
        <v>34</v>
      </c>
      <c r="E267" s="403" t="str">
        <f>'DECK TALLY'!B239</f>
        <v>Z9</v>
      </c>
      <c r="F267" s="103">
        <f>'DECK TALLY'!C239</f>
        <v>36.909999999999997</v>
      </c>
      <c r="G267" s="232">
        <f t="shared" si="96"/>
        <v>36.572499999999998</v>
      </c>
      <c r="H267" s="95" t="s">
        <v>32</v>
      </c>
      <c r="I267" s="439">
        <f t="shared" si="97"/>
        <v>8642.3874999999989</v>
      </c>
      <c r="J267" s="232">
        <f t="shared" si="98"/>
        <v>12738.612500000001</v>
      </c>
      <c r="K267" s="117">
        <f t="shared" si="88"/>
        <v>300.44321759931245</v>
      </c>
      <c r="L267" s="517"/>
      <c r="M267" s="605"/>
      <c r="N267" s="606"/>
      <c r="O267" s="527">
        <f t="shared" si="94"/>
        <v>-18.920000000000002</v>
      </c>
      <c r="P267" s="531"/>
      <c r="Q267" s="28"/>
      <c r="R267" s="532">
        <f t="shared" si="95"/>
        <v>12799.612500000001</v>
      </c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 s="2" customFormat="1" ht="21" customHeight="1">
      <c r="A268" s="444">
        <f t="shared" si="89"/>
        <v>235</v>
      </c>
      <c r="B268" s="142" t="s">
        <v>384</v>
      </c>
      <c r="C268" s="91">
        <v>2</v>
      </c>
      <c r="D268" s="91" t="s">
        <v>34</v>
      </c>
      <c r="E268" s="403" t="str">
        <f>'DECK TALLY'!B240</f>
        <v>AA1</v>
      </c>
      <c r="F268" s="104">
        <f>'DECK TALLY'!C240</f>
        <v>36.49</v>
      </c>
      <c r="G268" s="230">
        <f t="shared" ref="G268:G321" si="99">F268-($H$12/12)</f>
        <v>36.152500000000003</v>
      </c>
      <c r="H268" s="95" t="s">
        <v>32</v>
      </c>
      <c r="I268" s="439">
        <f t="shared" si="97"/>
        <v>8678.5399999999991</v>
      </c>
      <c r="J268" s="232">
        <f t="shared" si="98"/>
        <v>12702.460000000001</v>
      </c>
      <c r="K268" s="117">
        <f t="shared" si="88"/>
        <v>301.30261969442324</v>
      </c>
      <c r="L268" s="517"/>
      <c r="M268" s="605"/>
      <c r="N268" s="606"/>
      <c r="O268" s="527">
        <f t="shared" si="94"/>
        <v>-18.920000000000002</v>
      </c>
      <c r="P268" s="531"/>
      <c r="Q268" s="28"/>
      <c r="R268" s="532">
        <f t="shared" si="95"/>
        <v>12763.460000000001</v>
      </c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 s="2" customFormat="1" ht="21" customHeight="1">
      <c r="A269" s="444">
        <f t="shared" si="89"/>
        <v>236</v>
      </c>
      <c r="B269" s="142" t="s">
        <v>384</v>
      </c>
      <c r="C269" s="91">
        <v>2</v>
      </c>
      <c r="D269" s="91" t="s">
        <v>34</v>
      </c>
      <c r="E269" s="403" t="str">
        <f>'DECK TALLY'!B241</f>
        <v>AA2</v>
      </c>
      <c r="F269" s="104">
        <f>'DECK TALLY'!C241</f>
        <v>36.22</v>
      </c>
      <c r="G269" s="230">
        <f t="shared" si="99"/>
        <v>35.8825</v>
      </c>
      <c r="H269" s="92" t="s">
        <v>32</v>
      </c>
      <c r="I269" s="439">
        <f t="shared" ref="I269:I318" si="100">IF(H269="IN",I268+G269,I268)</f>
        <v>8714.4224999999988</v>
      </c>
      <c r="J269" s="231">
        <f t="shared" ref="J269:J272" si="101">IF(I269="","",$M$9-I269)</f>
        <v>12666.577500000001</v>
      </c>
      <c r="K269" s="117">
        <f t="shared" si="88"/>
        <v>302.15560346256683</v>
      </c>
      <c r="L269" s="517"/>
      <c r="M269" s="605"/>
      <c r="N269" s="606"/>
      <c r="O269" s="527">
        <f t="shared" si="94"/>
        <v>-18.920000000000002</v>
      </c>
      <c r="P269" s="531"/>
      <c r="Q269" s="28"/>
      <c r="R269" s="532">
        <f t="shared" si="95"/>
        <v>12727.577500000001</v>
      </c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 s="2" customFormat="1" ht="21" customHeight="1">
      <c r="A270" s="444">
        <f t="shared" si="89"/>
        <v>237</v>
      </c>
      <c r="B270" s="142" t="s">
        <v>384</v>
      </c>
      <c r="C270" s="91">
        <v>2</v>
      </c>
      <c r="D270" s="91" t="s">
        <v>34</v>
      </c>
      <c r="E270" s="403" t="str">
        <f>'DECK TALLY'!B242</f>
        <v>AA3</v>
      </c>
      <c r="F270" s="103">
        <f>'DECK TALLY'!C242</f>
        <v>36.71</v>
      </c>
      <c r="G270" s="230">
        <f t="shared" si="99"/>
        <v>36.372500000000002</v>
      </c>
      <c r="H270" s="92" t="s">
        <v>32</v>
      </c>
      <c r="I270" s="439">
        <f t="shared" si="100"/>
        <v>8750.7949999999983</v>
      </c>
      <c r="J270" s="231">
        <f t="shared" si="101"/>
        <v>12630.205000000002</v>
      </c>
      <c r="K270" s="117">
        <f t="shared" si="88"/>
        <v>303.02023530557676</v>
      </c>
      <c r="L270" s="517"/>
      <c r="M270" s="605"/>
      <c r="N270" s="606"/>
      <c r="O270" s="527">
        <f t="shared" si="94"/>
        <v>-18.920000000000002</v>
      </c>
      <c r="P270" s="531"/>
      <c r="Q270" s="28"/>
      <c r="R270" s="532">
        <f t="shared" si="95"/>
        <v>12691.205000000002</v>
      </c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 s="2" customFormat="1" ht="21" customHeight="1">
      <c r="A271" s="444">
        <f t="shared" si="89"/>
        <v>238</v>
      </c>
      <c r="B271" s="142" t="s">
        <v>384</v>
      </c>
      <c r="C271" s="91">
        <v>2</v>
      </c>
      <c r="D271" s="91" t="s">
        <v>34</v>
      </c>
      <c r="E271" s="403" t="str">
        <f>'DECK TALLY'!B243</f>
        <v>AA4</v>
      </c>
      <c r="F271" s="104">
        <f>'DECK TALLY'!C243</f>
        <v>35.369999999999997</v>
      </c>
      <c r="G271" s="230">
        <f t="shared" si="99"/>
        <v>35.032499999999999</v>
      </c>
      <c r="H271" s="95" t="s">
        <v>32</v>
      </c>
      <c r="I271" s="439">
        <f t="shared" si="100"/>
        <v>8785.8274999999976</v>
      </c>
      <c r="J271" s="231">
        <f t="shared" si="101"/>
        <v>12595.172500000002</v>
      </c>
      <c r="K271" s="117">
        <f t="shared" si="88"/>
        <v>303.85301322956451</v>
      </c>
      <c r="L271" s="517"/>
      <c r="M271" s="605"/>
      <c r="N271" s="606"/>
      <c r="O271" s="527">
        <f t="shared" si="94"/>
        <v>-18.920000000000002</v>
      </c>
      <c r="P271" s="531"/>
      <c r="Q271" s="28"/>
      <c r="R271" s="532">
        <f t="shared" si="95"/>
        <v>12656.172500000002</v>
      </c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 s="2" customFormat="1" ht="21" customHeight="1">
      <c r="A272" s="444">
        <f t="shared" si="89"/>
        <v>239</v>
      </c>
      <c r="B272" s="142" t="s">
        <v>384</v>
      </c>
      <c r="C272" s="91">
        <v>2</v>
      </c>
      <c r="D272" s="91" t="s">
        <v>34</v>
      </c>
      <c r="E272" s="403" t="str">
        <f>'DECK TALLY'!B244</f>
        <v>AA5</v>
      </c>
      <c r="F272" s="103">
        <f>'DECK TALLY'!C244</f>
        <v>36.270000000000003</v>
      </c>
      <c r="G272" s="230">
        <f t="shared" si="99"/>
        <v>35.932500000000005</v>
      </c>
      <c r="H272" s="95" t="s">
        <v>32</v>
      </c>
      <c r="I272" s="439">
        <f t="shared" si="100"/>
        <v>8821.7599999999984</v>
      </c>
      <c r="J272" s="231">
        <f t="shared" si="101"/>
        <v>12559.240000000002</v>
      </c>
      <c r="K272" s="117">
        <f t="shared" si="88"/>
        <v>304.70718557677617</v>
      </c>
      <c r="L272" s="517"/>
      <c r="M272" s="605"/>
      <c r="N272" s="606"/>
      <c r="O272" s="527">
        <f t="shared" si="94"/>
        <v>-18.920000000000002</v>
      </c>
      <c r="P272" s="531"/>
      <c r="Q272" s="28"/>
      <c r="R272" s="532">
        <f t="shared" si="95"/>
        <v>12620.240000000002</v>
      </c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 s="2" customFormat="1" ht="20.25">
      <c r="A273" s="444">
        <f t="shared" si="89"/>
        <v>240</v>
      </c>
      <c r="B273" s="142" t="s">
        <v>384</v>
      </c>
      <c r="C273" s="91">
        <v>2</v>
      </c>
      <c r="D273" s="91" t="s">
        <v>34</v>
      </c>
      <c r="E273" s="403" t="str">
        <f>'DECK TALLY'!B245</f>
        <v>AA6</v>
      </c>
      <c r="F273" s="104">
        <f>'DECK TALLY'!C245</f>
        <v>35.950000000000003</v>
      </c>
      <c r="G273" s="230">
        <f t="shared" si="99"/>
        <v>35.612500000000004</v>
      </c>
      <c r="H273" s="92" t="s">
        <v>32</v>
      </c>
      <c r="I273" s="439">
        <f t="shared" ref="I273:I277" si="102">IF(H273="IN",I272+G273,I272)</f>
        <v>8857.3724999999977</v>
      </c>
      <c r="J273" s="231">
        <f t="shared" ref="J273:J277" si="103">IF(I273="","",$M$9-I273)</f>
        <v>12523.627500000002</v>
      </c>
      <c r="K273" s="117">
        <f t="shared" ref="K273:K277" si="104">$H$8+(I273*$E$9*$E$15/1000)</f>
        <v>305.55375101795261</v>
      </c>
      <c r="L273" s="517"/>
      <c r="M273" s="605"/>
      <c r="N273" s="606"/>
      <c r="O273" s="527">
        <f t="shared" si="94"/>
        <v>-18.920000000000002</v>
      </c>
      <c r="P273" s="531"/>
      <c r="Q273" s="28"/>
      <c r="R273" s="532">
        <f t="shared" si="95"/>
        <v>12584.627500000002</v>
      </c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 s="2" customFormat="1" ht="21" customHeight="1">
      <c r="A274" s="444">
        <f t="shared" si="89"/>
        <v>241</v>
      </c>
      <c r="B274" s="142" t="s">
        <v>384</v>
      </c>
      <c r="C274" s="91">
        <v>2</v>
      </c>
      <c r="D274" s="91" t="s">
        <v>34</v>
      </c>
      <c r="E274" s="403" t="str">
        <f>'DECK TALLY'!B246</f>
        <v>AA7</v>
      </c>
      <c r="F274" s="104">
        <f>'DECK TALLY'!C246</f>
        <v>36.97</v>
      </c>
      <c r="G274" s="230">
        <f t="shared" si="99"/>
        <v>36.6325</v>
      </c>
      <c r="H274" s="92" t="s">
        <v>32</v>
      </c>
      <c r="I274" s="439">
        <f t="shared" si="102"/>
        <v>8894.0049999999974</v>
      </c>
      <c r="J274" s="231">
        <f t="shared" si="103"/>
        <v>12486.995000000003</v>
      </c>
      <c r="K274" s="117">
        <f t="shared" si="104"/>
        <v>306.42456347211606</v>
      </c>
      <c r="L274" s="517"/>
      <c r="M274" s="605"/>
      <c r="N274" s="606"/>
      <c r="O274" s="527">
        <f t="shared" si="94"/>
        <v>-18.920000000000002</v>
      </c>
      <c r="P274" s="531"/>
      <c r="Q274" s="28"/>
      <c r="R274" s="532">
        <f t="shared" si="95"/>
        <v>12547.995000000003</v>
      </c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 s="2" customFormat="1" ht="28.9" customHeight="1" thickBot="1">
      <c r="A275" s="444">
        <f t="shared" si="89"/>
        <v>242</v>
      </c>
      <c r="B275" s="142" t="s">
        <v>384</v>
      </c>
      <c r="C275" s="91">
        <v>2</v>
      </c>
      <c r="D275" s="91" t="s">
        <v>34</v>
      </c>
      <c r="E275" s="403" t="str">
        <f>'DECK TALLY'!B247</f>
        <v>AA8</v>
      </c>
      <c r="F275" s="103">
        <f>'DECK TALLY'!C247</f>
        <v>34.94</v>
      </c>
      <c r="G275" s="230">
        <f t="shared" si="99"/>
        <v>34.602499999999999</v>
      </c>
      <c r="H275" s="95" t="s">
        <v>32</v>
      </c>
      <c r="I275" s="439">
        <f t="shared" si="102"/>
        <v>8928.6074999999983</v>
      </c>
      <c r="J275" s="231">
        <f t="shared" si="103"/>
        <v>12452.392500000002</v>
      </c>
      <c r="K275" s="117">
        <f t="shared" si="104"/>
        <v>307.24711961611911</v>
      </c>
      <c r="L275" s="517"/>
      <c r="M275" s="265" t="s">
        <v>630</v>
      </c>
      <c r="N275" s="408">
        <f>M13</f>
        <v>12418.71</v>
      </c>
      <c r="O275" s="527">
        <f t="shared" si="94"/>
        <v>-18.920000000000002</v>
      </c>
      <c r="P275" s="531"/>
      <c r="Q275" s="28"/>
      <c r="R275" s="532">
        <f t="shared" si="95"/>
        <v>12513.392500000002</v>
      </c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 s="2" customFormat="1" ht="21" customHeight="1" thickTop="1" thickBot="1">
      <c r="A276" s="444">
        <f t="shared" si="89"/>
        <v>243</v>
      </c>
      <c r="B276" s="142" t="s">
        <v>384</v>
      </c>
      <c r="C276" s="361">
        <v>1</v>
      </c>
      <c r="D276" s="91" t="s">
        <v>34</v>
      </c>
      <c r="E276" s="403" t="str">
        <f>'DECK TALLY'!B248</f>
        <v>AA9</v>
      </c>
      <c r="F276" s="104">
        <f>'DECK TALLY'!C248</f>
        <v>36.61</v>
      </c>
      <c r="G276" s="230">
        <f t="shared" si="99"/>
        <v>36.272500000000001</v>
      </c>
      <c r="H276" s="95" t="s">
        <v>32</v>
      </c>
      <c r="I276" s="439">
        <f t="shared" si="102"/>
        <v>8964.8799999999974</v>
      </c>
      <c r="J276" s="370">
        <f t="shared" si="103"/>
        <v>12416.120000000003</v>
      </c>
      <c r="K276" s="117">
        <f t="shared" si="104"/>
        <v>308.10937430099307</v>
      </c>
      <c r="L276" s="517"/>
      <c r="M276" s="315" t="s">
        <v>569</v>
      </c>
      <c r="N276" s="316">
        <v>12400</v>
      </c>
      <c r="O276" s="527">
        <f t="shared" si="94"/>
        <v>-18.920000000000002</v>
      </c>
      <c r="P276" s="531"/>
      <c r="Q276" s="28"/>
      <c r="R276" s="532">
        <f t="shared" si="95"/>
        <v>12477.120000000003</v>
      </c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 s="2" customFormat="1" ht="21" customHeight="1" thickBot="1">
      <c r="A277" s="444">
        <f t="shared" si="89"/>
        <v>244</v>
      </c>
      <c r="B277" s="142" t="s">
        <v>384</v>
      </c>
      <c r="C277" s="91">
        <v>2</v>
      </c>
      <c r="D277" s="91" t="s">
        <v>34</v>
      </c>
      <c r="E277" s="362" t="str">
        <f>'DECK TALLY'!B249</f>
        <v>BB1</v>
      </c>
      <c r="F277" s="103">
        <f>'DECK TALLY'!C249</f>
        <v>36.83</v>
      </c>
      <c r="G277" s="230">
        <f t="shared" si="99"/>
        <v>36.4925</v>
      </c>
      <c r="H277" s="92" t="s">
        <v>32</v>
      </c>
      <c r="I277" s="439">
        <f t="shared" si="102"/>
        <v>9001.3724999999977</v>
      </c>
      <c r="J277" s="363">
        <f t="shared" si="103"/>
        <v>12379.627500000002</v>
      </c>
      <c r="K277" s="117">
        <f t="shared" si="104"/>
        <v>308.97685873376622</v>
      </c>
      <c r="L277" s="517">
        <v>12441</v>
      </c>
      <c r="M277" s="317" t="s">
        <v>605</v>
      </c>
      <c r="N277" s="318" t="str">
        <f>E277</f>
        <v>BB1</v>
      </c>
      <c r="O277" s="527">
        <f t="shared" si="94"/>
        <v>12422.08</v>
      </c>
      <c r="P277" s="531"/>
      <c r="Q277" s="28"/>
      <c r="R277" s="532">
        <f t="shared" si="95"/>
        <v>12440.627500000002</v>
      </c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 s="2" customFormat="1" ht="21" customHeight="1" thickBot="1">
      <c r="A278" s="444">
        <f>A277+1</f>
        <v>245</v>
      </c>
      <c r="B278" s="142" t="s">
        <v>384</v>
      </c>
      <c r="C278" s="361">
        <v>1</v>
      </c>
      <c r="D278" s="91" t="s">
        <v>34</v>
      </c>
      <c r="E278" s="403" t="str">
        <f>'DECK TALLY'!B250</f>
        <v>BB2</v>
      </c>
      <c r="F278" s="104">
        <f>'DECK TALLY'!C250</f>
        <v>36.979999999999997</v>
      </c>
      <c r="G278" s="230">
        <f t="shared" si="99"/>
        <v>36.642499999999998</v>
      </c>
      <c r="H278" s="92" t="s">
        <v>32</v>
      </c>
      <c r="I278" s="439">
        <f t="shared" ref="I278" si="105">IF(H278="IN",I277+G278,I277)</f>
        <v>9038.0149999999976</v>
      </c>
      <c r="J278" s="231">
        <f t="shared" ref="J278" si="106">IF(I278="","",$M$9-I278)</f>
        <v>12342.985000000002</v>
      </c>
      <c r="K278" s="117">
        <f t="shared" ref="K278" si="107">$H$8+(I278*$E$9*$E$15/1000)</f>
        <v>309.84790890374325</v>
      </c>
      <c r="L278" s="517">
        <v>12404</v>
      </c>
      <c r="M278" s="545" t="s">
        <v>606</v>
      </c>
      <c r="N278" s="732"/>
      <c r="O278" s="527">
        <f t="shared" si="94"/>
        <v>12385.08</v>
      </c>
      <c r="P278" s="531"/>
      <c r="Q278" s="28"/>
      <c r="R278" s="532">
        <f>J278+61</f>
        <v>12403.985000000002</v>
      </c>
      <c r="S278" s="530">
        <f>L278-J278</f>
        <v>61.014999999997599</v>
      </c>
      <c r="T278" s="37"/>
      <c r="U278" s="37"/>
      <c r="V278" s="37"/>
      <c r="W278" s="37"/>
      <c r="X278" s="37"/>
      <c r="Y278" s="37"/>
      <c r="Z278" s="37"/>
      <c r="AA278" s="37"/>
    </row>
    <row r="279" spans="1:27" s="2" customFormat="1" ht="21" customHeight="1">
      <c r="A279" s="444">
        <f t="shared" si="89"/>
        <v>246</v>
      </c>
      <c r="B279" s="142" t="s">
        <v>384</v>
      </c>
      <c r="C279" s="91">
        <v>2</v>
      </c>
      <c r="D279" s="91" t="s">
        <v>34</v>
      </c>
      <c r="E279" s="403" t="str">
        <f>'DECK TALLY'!B251</f>
        <v>BB3</v>
      </c>
      <c r="F279" s="104">
        <f>'DECK TALLY'!C251</f>
        <v>37.14</v>
      </c>
      <c r="G279" s="230">
        <f t="shared" si="99"/>
        <v>36.802500000000002</v>
      </c>
      <c r="H279" s="92" t="s">
        <v>32</v>
      </c>
      <c r="I279" s="439">
        <f t="shared" ref="I279:I294" si="108">IF(H279="IN",I278+G279,I278)</f>
        <v>9074.8174999999974</v>
      </c>
      <c r="J279" s="231">
        <f t="shared" ref="J279:J294" si="109">IF(I279="","",$M$9-I279)</f>
        <v>12306.182500000003</v>
      </c>
      <c r="K279" s="117">
        <f t="shared" si="88"/>
        <v>310.72276252673794</v>
      </c>
      <c r="L279" s="517"/>
      <c r="M279" s="733"/>
      <c r="N279" s="734"/>
      <c r="O279" s="527"/>
      <c r="P279" s="8"/>
      <c r="Q279" s="28"/>
      <c r="R279" s="170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 s="2" customFormat="1" ht="28.9" customHeight="1">
      <c r="A280" s="444">
        <f t="shared" si="89"/>
        <v>247</v>
      </c>
      <c r="B280" s="142" t="s">
        <v>384</v>
      </c>
      <c r="C280" s="91">
        <v>2</v>
      </c>
      <c r="D280" s="91" t="s">
        <v>34</v>
      </c>
      <c r="E280" s="403" t="str">
        <f>'DECK TALLY'!B252</f>
        <v>BB4</v>
      </c>
      <c r="F280" s="103">
        <f>'DECK TALLY'!C252</f>
        <v>36.770000000000003</v>
      </c>
      <c r="G280" s="230">
        <f t="shared" si="99"/>
        <v>36.432500000000005</v>
      </c>
      <c r="H280" s="92" t="s">
        <v>32</v>
      </c>
      <c r="I280" s="439">
        <f t="shared" si="108"/>
        <v>9111.2499999999982</v>
      </c>
      <c r="J280" s="231">
        <f t="shared" si="109"/>
        <v>12269.750000000002</v>
      </c>
      <c r="K280" s="117">
        <f t="shared" si="88"/>
        <v>311.58882066462945</v>
      </c>
      <c r="L280" s="517"/>
      <c r="M280" s="607" t="s">
        <v>607</v>
      </c>
      <c r="N280" s="608"/>
      <c r="O280" s="527"/>
      <c r="P280" s="8"/>
      <c r="Q280" s="28"/>
      <c r="R280" s="170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 s="2" customFormat="1" ht="21" customHeight="1" thickBot="1">
      <c r="A281" s="444">
        <f t="shared" si="89"/>
        <v>248</v>
      </c>
      <c r="B281" s="142" t="s">
        <v>384</v>
      </c>
      <c r="C281" s="91">
        <v>2</v>
      </c>
      <c r="D281" s="91" t="s">
        <v>34</v>
      </c>
      <c r="E281" s="403" t="str">
        <f>'DECK TALLY'!B253</f>
        <v>BB5</v>
      </c>
      <c r="F281" s="104">
        <f>'DECK TALLY'!C253</f>
        <v>36.74</v>
      </c>
      <c r="G281" s="230">
        <f t="shared" si="99"/>
        <v>36.402500000000003</v>
      </c>
      <c r="H281" s="92" t="s">
        <v>32</v>
      </c>
      <c r="I281" s="439">
        <f t="shared" si="108"/>
        <v>9147.6524999999983</v>
      </c>
      <c r="J281" s="231">
        <f t="shared" si="109"/>
        <v>12233.347500000002</v>
      </c>
      <c r="K281" s="117">
        <f t="shared" si="88"/>
        <v>312.45416565508015</v>
      </c>
      <c r="L281" s="517"/>
      <c r="M281" s="366" t="s">
        <v>588</v>
      </c>
      <c r="N281" s="319">
        <f>J276-5</f>
        <v>12411.120000000003</v>
      </c>
      <c r="O281" s="527"/>
      <c r="P281" s="9"/>
      <c r="Q281" s="28"/>
      <c r="R281" s="170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 s="2" customFormat="1" ht="21" customHeight="1" thickTop="1">
      <c r="A282" s="444">
        <f t="shared" si="89"/>
        <v>249</v>
      </c>
      <c r="B282" s="142" t="s">
        <v>384</v>
      </c>
      <c r="C282" s="91">
        <v>2</v>
      </c>
      <c r="D282" s="91" t="s">
        <v>34</v>
      </c>
      <c r="E282" s="403" t="str">
        <f>'DECK TALLY'!B254</f>
        <v>BB6</v>
      </c>
      <c r="F282" s="103">
        <f>'DECK TALLY'!C254</f>
        <v>36.770000000000003</v>
      </c>
      <c r="G282" s="230">
        <f t="shared" si="99"/>
        <v>36.432500000000005</v>
      </c>
      <c r="H282" s="92" t="s">
        <v>32</v>
      </c>
      <c r="I282" s="439">
        <f t="shared" si="108"/>
        <v>9184.0849999999991</v>
      </c>
      <c r="J282" s="231">
        <f t="shared" si="109"/>
        <v>12196.915000000001</v>
      </c>
      <c r="K282" s="117">
        <f t="shared" si="88"/>
        <v>313.32022379297172</v>
      </c>
      <c r="L282" s="517"/>
      <c r="M282" s="605"/>
      <c r="N282" s="606"/>
      <c r="O282" s="527"/>
      <c r="P282" s="9"/>
      <c r="Q282" s="28"/>
      <c r="R282" s="170"/>
      <c r="S282" s="37"/>
      <c r="T282" s="37"/>
      <c r="U282" s="37"/>
      <c r="V282" s="37">
        <f>12441-12404</f>
        <v>37</v>
      </c>
      <c r="W282" s="37"/>
      <c r="X282" s="37"/>
      <c r="Y282" s="37"/>
      <c r="Z282" s="37"/>
      <c r="AA282" s="37"/>
    </row>
    <row r="283" spans="1:27" s="2" customFormat="1" ht="21" customHeight="1" thickBot="1">
      <c r="A283" s="444">
        <f t="shared" si="89"/>
        <v>250</v>
      </c>
      <c r="B283" s="142" t="s">
        <v>384</v>
      </c>
      <c r="C283" s="91">
        <v>2</v>
      </c>
      <c r="D283" s="91" t="s">
        <v>34</v>
      </c>
      <c r="E283" s="403" t="str">
        <f>'DECK TALLY'!B255</f>
        <v>BB7</v>
      </c>
      <c r="F283" s="104">
        <f>'DECK TALLY'!C255</f>
        <v>36.799999999999997</v>
      </c>
      <c r="G283" s="230">
        <f t="shared" si="99"/>
        <v>36.462499999999999</v>
      </c>
      <c r="H283" s="92" t="s">
        <v>32</v>
      </c>
      <c r="I283" s="439">
        <f t="shared" si="108"/>
        <v>9220.5474999999988</v>
      </c>
      <c r="J283" s="231">
        <f t="shared" si="109"/>
        <v>12160.452500000001</v>
      </c>
      <c r="K283" s="117">
        <f t="shared" si="88"/>
        <v>314.18699507830399</v>
      </c>
      <c r="L283" s="517"/>
      <c r="M283" s="605"/>
      <c r="N283" s="606"/>
      <c r="O283" s="527"/>
      <c r="P283" s="9"/>
      <c r="Q283" s="28"/>
      <c r="R283" s="170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 s="2" customFormat="1" ht="21" hidden="1" customHeight="1">
      <c r="A284" s="468">
        <f t="shared" si="89"/>
        <v>251</v>
      </c>
      <c r="B284" s="142" t="s">
        <v>384</v>
      </c>
      <c r="C284" s="91">
        <v>2</v>
      </c>
      <c r="D284" s="91" t="s">
        <v>34</v>
      </c>
      <c r="E284" s="403" t="str">
        <f>'DECK TALLY'!B256</f>
        <v>BB8</v>
      </c>
      <c r="F284" s="104">
        <f>'DECK TALLY'!C256</f>
        <v>36.020000000000003</v>
      </c>
      <c r="G284" s="230">
        <f t="shared" si="99"/>
        <v>35.682500000000005</v>
      </c>
      <c r="H284" s="406" t="s">
        <v>35</v>
      </c>
      <c r="I284" s="439">
        <f t="shared" si="108"/>
        <v>9220.5474999999988</v>
      </c>
      <c r="J284" s="231">
        <f t="shared" si="109"/>
        <v>12160.452500000001</v>
      </c>
      <c r="K284" s="117">
        <f t="shared" si="88"/>
        <v>314.18699507830399</v>
      </c>
      <c r="L284" s="517"/>
      <c r="M284" s="605"/>
      <c r="N284" s="606"/>
      <c r="O284" s="487"/>
      <c r="P284" s="8"/>
      <c r="Q284" s="28"/>
      <c r="R284" s="170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 s="2" customFormat="1" ht="21" hidden="1" customHeight="1">
      <c r="A285" s="468">
        <f t="shared" si="89"/>
        <v>252</v>
      </c>
      <c r="B285" s="142" t="s">
        <v>384</v>
      </c>
      <c r="C285" s="91">
        <v>2</v>
      </c>
      <c r="D285" s="91" t="s">
        <v>34</v>
      </c>
      <c r="E285" s="403" t="str">
        <f>'DECK TALLY'!B257</f>
        <v>BB9</v>
      </c>
      <c r="F285" s="103">
        <f>'DECK TALLY'!C257</f>
        <v>36.729999999999997</v>
      </c>
      <c r="G285" s="230">
        <f t="shared" si="99"/>
        <v>36.392499999999998</v>
      </c>
      <c r="H285" s="406" t="s">
        <v>35</v>
      </c>
      <c r="I285" s="439">
        <f t="shared" si="108"/>
        <v>9220.5474999999988</v>
      </c>
      <c r="J285" s="231">
        <f t="shared" si="109"/>
        <v>12160.452500000001</v>
      </c>
      <c r="K285" s="117">
        <f t="shared" si="88"/>
        <v>314.18699507830399</v>
      </c>
      <c r="L285" s="517"/>
      <c r="M285" s="605"/>
      <c r="N285" s="606"/>
      <c r="O285" s="487"/>
      <c r="P285" s="8"/>
      <c r="Q285" s="28"/>
      <c r="R285" s="170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 s="2" customFormat="1" ht="21" hidden="1" customHeight="1">
      <c r="A286" s="468">
        <f t="shared" si="89"/>
        <v>253</v>
      </c>
      <c r="B286" s="142" t="s">
        <v>384</v>
      </c>
      <c r="C286" s="91">
        <v>2</v>
      </c>
      <c r="D286" s="91" t="s">
        <v>34</v>
      </c>
      <c r="E286" s="403" t="str">
        <f>'DECK TALLY'!B258</f>
        <v>CC1</v>
      </c>
      <c r="F286" s="104">
        <f>'DECK TALLY'!C258</f>
        <v>36.36</v>
      </c>
      <c r="G286" s="230">
        <f t="shared" si="99"/>
        <v>36.022500000000001</v>
      </c>
      <c r="H286" s="406" t="s">
        <v>35</v>
      </c>
      <c r="I286" s="439">
        <f t="shared" si="108"/>
        <v>9220.5474999999988</v>
      </c>
      <c r="J286" s="231">
        <f t="shared" si="109"/>
        <v>12160.452500000001</v>
      </c>
      <c r="K286" s="117">
        <f t="shared" si="88"/>
        <v>314.18699507830399</v>
      </c>
      <c r="L286" s="517"/>
      <c r="M286" s="605"/>
      <c r="N286" s="606"/>
      <c r="O286" s="487"/>
      <c r="P286" s="8"/>
      <c r="Q286" s="28"/>
      <c r="R286" s="170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 s="2" customFormat="1" ht="21" hidden="1" customHeight="1">
      <c r="A287" s="468">
        <f t="shared" si="89"/>
        <v>254</v>
      </c>
      <c r="B287" s="142" t="s">
        <v>384</v>
      </c>
      <c r="C287" s="91">
        <v>2</v>
      </c>
      <c r="D287" s="91" t="s">
        <v>34</v>
      </c>
      <c r="E287" s="403" t="str">
        <f>'DECK TALLY'!B259</f>
        <v>CC2</v>
      </c>
      <c r="F287" s="103">
        <f>'DECK TALLY'!C259</f>
        <v>37.299999999999997</v>
      </c>
      <c r="G287" s="230">
        <f t="shared" si="99"/>
        <v>36.962499999999999</v>
      </c>
      <c r="H287" s="406" t="s">
        <v>35</v>
      </c>
      <c r="I287" s="439">
        <f t="shared" si="108"/>
        <v>9220.5474999999988</v>
      </c>
      <c r="J287" s="231">
        <f t="shared" si="109"/>
        <v>12160.452500000001</v>
      </c>
      <c r="K287" s="117">
        <f t="shared" si="88"/>
        <v>314.18699507830399</v>
      </c>
      <c r="L287" s="517"/>
      <c r="M287" s="605"/>
      <c r="N287" s="606"/>
      <c r="O287" s="487"/>
      <c r="P287" s="8"/>
      <c r="Q287" s="28"/>
      <c r="R287" s="170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 s="2" customFormat="1" ht="21" hidden="1" customHeight="1">
      <c r="A288" s="444">
        <f t="shared" si="89"/>
        <v>255</v>
      </c>
      <c r="B288" s="142" t="s">
        <v>384</v>
      </c>
      <c r="C288" s="91">
        <v>2</v>
      </c>
      <c r="D288" s="91" t="s">
        <v>34</v>
      </c>
      <c r="E288" s="403" t="str">
        <f>'DECK TALLY'!B260</f>
        <v>CC3</v>
      </c>
      <c r="F288" s="104">
        <f>'DECK TALLY'!C260</f>
        <v>36.39</v>
      </c>
      <c r="G288" s="230">
        <f t="shared" si="99"/>
        <v>36.052500000000002</v>
      </c>
      <c r="H288" s="406" t="s">
        <v>35</v>
      </c>
      <c r="I288" s="439">
        <f t="shared" si="108"/>
        <v>9220.5474999999988</v>
      </c>
      <c r="J288" s="231">
        <f t="shared" si="109"/>
        <v>12160.452500000001</v>
      </c>
      <c r="K288" s="117">
        <f t="shared" si="88"/>
        <v>314.18699507830399</v>
      </c>
      <c r="L288" s="517"/>
      <c r="M288" s="605"/>
      <c r="N288" s="606"/>
      <c r="O288" s="487"/>
      <c r="P288" s="8"/>
      <c r="Q288" s="28"/>
      <c r="R288" s="170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 s="2" customFormat="1" ht="21" hidden="1" customHeight="1">
      <c r="A289" s="444">
        <f t="shared" si="89"/>
        <v>256</v>
      </c>
      <c r="B289" s="142" t="s">
        <v>384</v>
      </c>
      <c r="C289" s="91">
        <v>2</v>
      </c>
      <c r="D289" s="91" t="s">
        <v>34</v>
      </c>
      <c r="E289" s="403" t="str">
        <f>'DECK TALLY'!B261</f>
        <v>CC4</v>
      </c>
      <c r="F289" s="104">
        <f>'DECK TALLY'!C261</f>
        <v>36.72</v>
      </c>
      <c r="G289" s="230">
        <f t="shared" si="99"/>
        <v>36.3825</v>
      </c>
      <c r="H289" s="406" t="s">
        <v>35</v>
      </c>
      <c r="I289" s="439">
        <f t="shared" si="108"/>
        <v>9220.5474999999988</v>
      </c>
      <c r="J289" s="231">
        <f t="shared" si="109"/>
        <v>12160.452500000001</v>
      </c>
      <c r="K289" s="117">
        <f t="shared" si="88"/>
        <v>314.18699507830399</v>
      </c>
      <c r="L289" s="517"/>
      <c r="M289" s="605"/>
      <c r="N289" s="606"/>
      <c r="O289" s="487"/>
      <c r="P289" s="8"/>
      <c r="Q289" s="28"/>
      <c r="R289" s="170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 s="2" customFormat="1" ht="21" hidden="1" customHeight="1">
      <c r="A290" s="444">
        <f t="shared" si="89"/>
        <v>257</v>
      </c>
      <c r="B290" s="142" t="s">
        <v>384</v>
      </c>
      <c r="C290" s="91">
        <v>2</v>
      </c>
      <c r="D290" s="91" t="s">
        <v>34</v>
      </c>
      <c r="E290" s="403" t="str">
        <f>'DECK TALLY'!B262</f>
        <v>CC5</v>
      </c>
      <c r="F290" s="103">
        <f>'DECK TALLY'!C262</f>
        <v>35.130000000000003</v>
      </c>
      <c r="G290" s="230">
        <f t="shared" si="99"/>
        <v>34.792500000000004</v>
      </c>
      <c r="H290" s="406" t="s">
        <v>35</v>
      </c>
      <c r="I290" s="439">
        <f t="shared" si="108"/>
        <v>9220.5474999999988</v>
      </c>
      <c r="J290" s="231">
        <f t="shared" si="109"/>
        <v>12160.452500000001</v>
      </c>
      <c r="K290" s="117">
        <f t="shared" si="88"/>
        <v>314.18699507830399</v>
      </c>
      <c r="L290" s="517"/>
      <c r="M290" s="605"/>
      <c r="N290" s="606"/>
      <c r="O290" s="487"/>
      <c r="P290" s="8"/>
      <c r="Q290" s="28"/>
      <c r="R290" s="170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 s="2" customFormat="1" ht="21" hidden="1" customHeight="1">
      <c r="A291" s="444">
        <f t="shared" si="89"/>
        <v>258</v>
      </c>
      <c r="B291" s="142" t="s">
        <v>384</v>
      </c>
      <c r="C291" s="91">
        <v>2</v>
      </c>
      <c r="D291" s="91" t="s">
        <v>34</v>
      </c>
      <c r="E291" s="403" t="str">
        <f>'DECK TALLY'!B263</f>
        <v>CC6</v>
      </c>
      <c r="F291" s="104">
        <f>'DECK TALLY'!C263</f>
        <v>35.46</v>
      </c>
      <c r="G291" s="272">
        <f t="shared" si="99"/>
        <v>35.122500000000002</v>
      </c>
      <c r="H291" s="406" t="s">
        <v>35</v>
      </c>
      <c r="I291" s="439">
        <f t="shared" si="108"/>
        <v>9220.5474999999988</v>
      </c>
      <c r="J291" s="231">
        <f t="shared" si="109"/>
        <v>12160.452500000001</v>
      </c>
      <c r="K291" s="117">
        <f t="shared" ref="K291:K374" si="110">$H$8+(I291*$E$9*$E$15/1000)</f>
        <v>314.18699507830399</v>
      </c>
      <c r="L291" s="517"/>
      <c r="M291" s="605"/>
      <c r="N291" s="606"/>
      <c r="O291" s="487"/>
      <c r="P291" s="8"/>
      <c r="Q291" s="28"/>
      <c r="R291" s="170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 s="2" customFormat="1" ht="21" hidden="1" customHeight="1">
      <c r="A292" s="444">
        <f t="shared" si="89"/>
        <v>259</v>
      </c>
      <c r="B292" s="142" t="s">
        <v>384</v>
      </c>
      <c r="C292" s="91">
        <v>2</v>
      </c>
      <c r="D292" s="91" t="s">
        <v>34</v>
      </c>
      <c r="E292" s="403" t="str">
        <f>'DECK TALLY'!B264</f>
        <v>CC7</v>
      </c>
      <c r="F292" s="103">
        <f>'DECK TALLY'!C264</f>
        <v>35.1</v>
      </c>
      <c r="G292" s="272">
        <f t="shared" si="99"/>
        <v>34.762500000000003</v>
      </c>
      <c r="H292" s="406" t="s">
        <v>35</v>
      </c>
      <c r="I292" s="439">
        <f t="shared" si="108"/>
        <v>9220.5474999999988</v>
      </c>
      <c r="J292" s="231">
        <f t="shared" si="109"/>
        <v>12160.452500000001</v>
      </c>
      <c r="K292" s="117">
        <f t="shared" si="110"/>
        <v>314.18699507830399</v>
      </c>
      <c r="L292" s="517"/>
      <c r="M292" s="605"/>
      <c r="N292" s="606"/>
      <c r="O292" s="487"/>
      <c r="P292" s="8"/>
      <c r="Q292" s="28"/>
      <c r="R292" s="170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 s="2" customFormat="1" ht="21" hidden="1" customHeight="1">
      <c r="A293" s="444">
        <f t="shared" si="89"/>
        <v>260</v>
      </c>
      <c r="B293" s="142" t="s">
        <v>384</v>
      </c>
      <c r="C293" s="91">
        <v>2</v>
      </c>
      <c r="D293" s="91" t="s">
        <v>34</v>
      </c>
      <c r="E293" s="403" t="str">
        <f>'DECK TALLY'!B265</f>
        <v>CC8</v>
      </c>
      <c r="F293" s="104">
        <f>'DECK TALLY'!C265</f>
        <v>36.909999999999997</v>
      </c>
      <c r="G293" s="272">
        <f t="shared" si="99"/>
        <v>36.572499999999998</v>
      </c>
      <c r="H293" s="406" t="s">
        <v>35</v>
      </c>
      <c r="I293" s="439">
        <f t="shared" si="108"/>
        <v>9220.5474999999988</v>
      </c>
      <c r="J293" s="273">
        <f t="shared" si="109"/>
        <v>12160.452500000001</v>
      </c>
      <c r="K293" s="117">
        <f t="shared" si="110"/>
        <v>314.18699507830399</v>
      </c>
      <c r="L293" s="517"/>
      <c r="M293" s="605"/>
      <c r="N293" s="606"/>
      <c r="O293" s="487"/>
      <c r="P293" s="8"/>
      <c r="Q293" s="28"/>
      <c r="R293" s="170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 s="2" customFormat="1" ht="21" hidden="1" customHeight="1">
      <c r="A294" s="444">
        <f t="shared" ref="A294:A321" si="111">A293+1</f>
        <v>261</v>
      </c>
      <c r="B294" s="142" t="s">
        <v>384</v>
      </c>
      <c r="C294" s="91">
        <v>2</v>
      </c>
      <c r="D294" s="91" t="s">
        <v>34</v>
      </c>
      <c r="E294" s="403" t="str">
        <f>'DECK TALLY'!B266</f>
        <v>CC9</v>
      </c>
      <c r="F294" s="104">
        <f>'DECK TALLY'!C266</f>
        <v>36.86</v>
      </c>
      <c r="G294" s="272">
        <f t="shared" si="99"/>
        <v>36.522500000000001</v>
      </c>
      <c r="H294" s="406" t="s">
        <v>35</v>
      </c>
      <c r="I294" s="439">
        <f t="shared" si="108"/>
        <v>9220.5474999999988</v>
      </c>
      <c r="J294" s="231">
        <f t="shared" si="109"/>
        <v>12160.452500000001</v>
      </c>
      <c r="K294" s="117">
        <f t="shared" si="110"/>
        <v>314.18699507830399</v>
      </c>
      <c r="L294" s="517"/>
      <c r="M294" s="605"/>
      <c r="N294" s="606"/>
      <c r="O294" s="487"/>
      <c r="P294" s="8"/>
      <c r="Q294" s="28"/>
      <c r="R294" s="170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 s="2" customFormat="1" ht="21" hidden="1" customHeight="1">
      <c r="A295" s="444">
        <f t="shared" si="111"/>
        <v>262</v>
      </c>
      <c r="B295" s="142" t="s">
        <v>384</v>
      </c>
      <c r="C295" s="91">
        <v>2</v>
      </c>
      <c r="D295" s="91" t="s">
        <v>34</v>
      </c>
      <c r="E295" s="403" t="str">
        <f>'DECK TALLY'!B267</f>
        <v>DD1</v>
      </c>
      <c r="F295" s="103">
        <f>'DECK TALLY'!C267</f>
        <v>34.89</v>
      </c>
      <c r="G295" s="272">
        <f t="shared" si="99"/>
        <v>34.552500000000002</v>
      </c>
      <c r="H295" s="406" t="s">
        <v>35</v>
      </c>
      <c r="I295" s="439">
        <f t="shared" ref="I295:I302" si="112">IF(H295="IN",I294+G295,I294)</f>
        <v>9220.5474999999988</v>
      </c>
      <c r="J295" s="231">
        <f t="shared" ref="J295:J302" si="113">IF(I295="","",$M$9-I295)</f>
        <v>12160.452500000001</v>
      </c>
      <c r="K295" s="117">
        <f t="shared" si="110"/>
        <v>314.18699507830399</v>
      </c>
      <c r="L295" s="517"/>
      <c r="M295" s="605"/>
      <c r="N295" s="606"/>
      <c r="O295" s="487"/>
      <c r="P295" s="8"/>
      <c r="Q295" s="28"/>
      <c r="R295" s="170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 s="2" customFormat="1" ht="21" hidden="1" customHeight="1">
      <c r="A296" s="444">
        <f t="shared" si="111"/>
        <v>263</v>
      </c>
      <c r="B296" s="142" t="s">
        <v>384</v>
      </c>
      <c r="C296" s="91">
        <v>2</v>
      </c>
      <c r="D296" s="91" t="s">
        <v>34</v>
      </c>
      <c r="E296" s="403" t="str">
        <f>'DECK TALLY'!B268</f>
        <v>DD2</v>
      </c>
      <c r="F296" s="104">
        <f>'DECK TALLY'!C268</f>
        <v>35.450000000000003</v>
      </c>
      <c r="G296" s="230">
        <f t="shared" si="99"/>
        <v>35.112500000000004</v>
      </c>
      <c r="H296" s="406" t="s">
        <v>35</v>
      </c>
      <c r="I296" s="439">
        <f t="shared" si="112"/>
        <v>9220.5474999999988</v>
      </c>
      <c r="J296" s="231">
        <f t="shared" si="113"/>
        <v>12160.452500000001</v>
      </c>
      <c r="K296" s="117">
        <f t="shared" si="110"/>
        <v>314.18699507830399</v>
      </c>
      <c r="L296" s="517"/>
      <c r="M296" s="605"/>
      <c r="N296" s="606"/>
      <c r="O296" s="487"/>
      <c r="P296" s="8"/>
      <c r="Q296" s="28"/>
      <c r="R296" s="170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 s="2" customFormat="1" ht="21" hidden="1" customHeight="1">
      <c r="A297" s="444">
        <f t="shared" si="111"/>
        <v>264</v>
      </c>
      <c r="B297" s="142" t="s">
        <v>384</v>
      </c>
      <c r="C297" s="91">
        <v>2</v>
      </c>
      <c r="D297" s="91" t="s">
        <v>34</v>
      </c>
      <c r="E297" s="403" t="str">
        <f>'DECK TALLY'!B269</f>
        <v>DD3</v>
      </c>
      <c r="F297" s="103">
        <f>'DECK TALLY'!C269</f>
        <v>36.020000000000003</v>
      </c>
      <c r="G297" s="230">
        <f t="shared" si="99"/>
        <v>35.682500000000005</v>
      </c>
      <c r="H297" s="406" t="s">
        <v>35</v>
      </c>
      <c r="I297" s="439">
        <f t="shared" si="112"/>
        <v>9220.5474999999988</v>
      </c>
      <c r="J297" s="231">
        <f t="shared" si="113"/>
        <v>12160.452500000001</v>
      </c>
      <c r="K297" s="117">
        <f t="shared" si="110"/>
        <v>314.18699507830399</v>
      </c>
      <c r="L297" s="517"/>
      <c r="M297" s="605"/>
      <c r="N297" s="606"/>
      <c r="O297" s="487"/>
      <c r="P297" s="8"/>
      <c r="Q297" s="28"/>
      <c r="R297" s="170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 s="2" customFormat="1" ht="21" hidden="1" customHeight="1">
      <c r="A298" s="444">
        <f t="shared" si="111"/>
        <v>265</v>
      </c>
      <c r="B298" s="142" t="s">
        <v>384</v>
      </c>
      <c r="C298" s="91">
        <v>2</v>
      </c>
      <c r="D298" s="91" t="s">
        <v>34</v>
      </c>
      <c r="E298" s="403" t="str">
        <f>'DECK TALLY'!B270</f>
        <v>DD4</v>
      </c>
      <c r="F298" s="104">
        <f>'DECK TALLY'!C270</f>
        <v>35.64</v>
      </c>
      <c r="G298" s="230">
        <f t="shared" si="99"/>
        <v>35.302500000000002</v>
      </c>
      <c r="H298" s="406" t="s">
        <v>35</v>
      </c>
      <c r="I298" s="439">
        <f t="shared" si="112"/>
        <v>9220.5474999999988</v>
      </c>
      <c r="J298" s="231">
        <f t="shared" si="113"/>
        <v>12160.452500000001</v>
      </c>
      <c r="K298" s="117">
        <f t="shared" si="110"/>
        <v>314.18699507830399</v>
      </c>
      <c r="L298" s="517"/>
      <c r="M298" s="605"/>
      <c r="N298" s="606"/>
      <c r="O298" s="487"/>
      <c r="P298" s="8"/>
      <c r="Q298" s="28"/>
      <c r="R298" s="170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 s="2" customFormat="1" ht="21" hidden="1" thickBot="1">
      <c r="A299" s="444">
        <f t="shared" si="111"/>
        <v>266</v>
      </c>
      <c r="B299" s="142" t="s">
        <v>384</v>
      </c>
      <c r="C299" s="91">
        <v>2</v>
      </c>
      <c r="D299" s="91" t="s">
        <v>34</v>
      </c>
      <c r="E299" s="403" t="str">
        <f>'DECK TALLY'!B271</f>
        <v>DD5</v>
      </c>
      <c r="F299" s="104">
        <f>'DECK TALLY'!C271</f>
        <v>36.56</v>
      </c>
      <c r="G299" s="230">
        <f t="shared" si="99"/>
        <v>36.222500000000004</v>
      </c>
      <c r="H299" s="406" t="s">
        <v>35</v>
      </c>
      <c r="I299" s="439">
        <f t="shared" si="112"/>
        <v>9220.5474999999988</v>
      </c>
      <c r="J299" s="231">
        <f t="shared" si="113"/>
        <v>12160.452500000001</v>
      </c>
      <c r="K299" s="117">
        <f t="shared" si="110"/>
        <v>314.18699507830399</v>
      </c>
      <c r="L299" s="517"/>
      <c r="M299" s="605"/>
      <c r="N299" s="606"/>
      <c r="O299" s="487"/>
      <c r="P299" s="8"/>
      <c r="Q299" s="28"/>
      <c r="R299" s="170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 s="2" customFormat="1" ht="21" hidden="1" customHeight="1">
      <c r="A300" s="444">
        <f t="shared" si="111"/>
        <v>267</v>
      </c>
      <c r="B300" s="142" t="s">
        <v>384</v>
      </c>
      <c r="C300" s="91">
        <v>2</v>
      </c>
      <c r="D300" s="91" t="s">
        <v>34</v>
      </c>
      <c r="E300" s="403" t="str">
        <f>'DECK TALLY'!B272</f>
        <v>DD6</v>
      </c>
      <c r="F300" s="103">
        <f>'DECK TALLY'!C272</f>
        <v>36.159999999999997</v>
      </c>
      <c r="G300" s="230">
        <f t="shared" si="99"/>
        <v>35.822499999999998</v>
      </c>
      <c r="H300" s="406" t="s">
        <v>35</v>
      </c>
      <c r="I300" s="439">
        <f t="shared" si="112"/>
        <v>9220.5474999999988</v>
      </c>
      <c r="J300" s="231">
        <f t="shared" si="113"/>
        <v>12160.452500000001</v>
      </c>
      <c r="K300" s="117">
        <f t="shared" si="110"/>
        <v>314.18699507830399</v>
      </c>
      <c r="L300" s="517"/>
      <c r="M300" s="695"/>
      <c r="N300" s="696"/>
      <c r="O300" s="487"/>
      <c r="P300" s="8"/>
      <c r="Q300" s="28"/>
      <c r="R300" s="170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 s="2" customFormat="1" ht="21" hidden="1" customHeight="1">
      <c r="A301" s="444">
        <f t="shared" si="111"/>
        <v>268</v>
      </c>
      <c r="B301" s="142" t="s">
        <v>384</v>
      </c>
      <c r="C301" s="91">
        <v>2</v>
      </c>
      <c r="D301" s="91" t="s">
        <v>34</v>
      </c>
      <c r="E301" s="403" t="str">
        <f>'DECK TALLY'!B273</f>
        <v>DD7</v>
      </c>
      <c r="F301" s="104">
        <f>'DECK TALLY'!C273</f>
        <v>35.340000000000003</v>
      </c>
      <c r="G301" s="230">
        <f t="shared" si="99"/>
        <v>35.002500000000005</v>
      </c>
      <c r="H301" s="406" t="s">
        <v>35</v>
      </c>
      <c r="I301" s="439">
        <f t="shared" si="112"/>
        <v>9220.5474999999988</v>
      </c>
      <c r="J301" s="231">
        <f t="shared" si="113"/>
        <v>12160.452500000001</v>
      </c>
      <c r="K301" s="117">
        <f t="shared" si="110"/>
        <v>314.18699507830399</v>
      </c>
      <c r="L301" s="517"/>
      <c r="M301" s="605"/>
      <c r="N301" s="606"/>
      <c r="O301" s="487"/>
      <c r="P301" s="8"/>
      <c r="Q301" s="28"/>
      <c r="R301" s="170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 s="2" customFormat="1" ht="21" hidden="1" customHeight="1">
      <c r="A302" s="444">
        <f t="shared" si="111"/>
        <v>269</v>
      </c>
      <c r="B302" s="142" t="s">
        <v>384</v>
      </c>
      <c r="C302" s="91">
        <v>2</v>
      </c>
      <c r="D302" s="91" t="s">
        <v>34</v>
      </c>
      <c r="E302" s="403" t="str">
        <f>'DECK TALLY'!B274</f>
        <v>DD8</v>
      </c>
      <c r="F302" s="103">
        <f>'DECK TALLY'!C274</f>
        <v>34.69</v>
      </c>
      <c r="G302" s="230">
        <f t="shared" si="99"/>
        <v>34.352499999999999</v>
      </c>
      <c r="H302" s="406" t="s">
        <v>35</v>
      </c>
      <c r="I302" s="439">
        <f t="shared" si="112"/>
        <v>9220.5474999999988</v>
      </c>
      <c r="J302" s="231">
        <f t="shared" si="113"/>
        <v>12160.452500000001</v>
      </c>
      <c r="K302" s="117">
        <f t="shared" si="110"/>
        <v>314.18699507830399</v>
      </c>
      <c r="L302" s="517"/>
      <c r="M302" s="605"/>
      <c r="N302" s="606"/>
      <c r="O302" s="487"/>
      <c r="P302" s="8"/>
      <c r="Q302" s="28"/>
      <c r="R302" s="170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 s="2" customFormat="1" ht="21" hidden="1" customHeight="1">
      <c r="A303" s="444">
        <f t="shared" si="111"/>
        <v>270</v>
      </c>
      <c r="B303" s="142" t="s">
        <v>384</v>
      </c>
      <c r="C303" s="91">
        <v>2</v>
      </c>
      <c r="D303" s="91" t="s">
        <v>34</v>
      </c>
      <c r="E303" s="403" t="str">
        <f>'DECK TALLY'!B275</f>
        <v>DD9</v>
      </c>
      <c r="F303" s="104">
        <f>'DECK TALLY'!C275</f>
        <v>35.24</v>
      </c>
      <c r="G303" s="230">
        <f t="shared" ref="G303:G314" si="114">F303-($H$12/12)</f>
        <v>34.902500000000003</v>
      </c>
      <c r="H303" s="406" t="s">
        <v>35</v>
      </c>
      <c r="I303" s="439">
        <f t="shared" ref="I303:I314" si="115">IF(H303="IN",I302+G303,I302)</f>
        <v>9220.5474999999988</v>
      </c>
      <c r="J303" s="231">
        <f t="shared" ref="J303:J314" si="116">IF(I303="","",$M$9-I303)</f>
        <v>12160.452500000001</v>
      </c>
      <c r="K303" s="117">
        <f t="shared" si="110"/>
        <v>314.18699507830399</v>
      </c>
      <c r="L303" s="517"/>
      <c r="M303" s="605"/>
      <c r="N303" s="606"/>
      <c r="O303" s="487"/>
      <c r="P303" s="8"/>
      <c r="Q303" s="28"/>
      <c r="R303" s="170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 s="2" customFormat="1" ht="21" hidden="1" customHeight="1">
      <c r="A304" s="444">
        <f t="shared" si="111"/>
        <v>271</v>
      </c>
      <c r="B304" s="142" t="s">
        <v>384</v>
      </c>
      <c r="C304" s="91">
        <v>2</v>
      </c>
      <c r="D304" s="91" t="s">
        <v>34</v>
      </c>
      <c r="E304" s="403" t="str">
        <f>'DECK TALLY'!B276</f>
        <v>EE1</v>
      </c>
      <c r="F304" s="104">
        <f>'DECK TALLY'!C276</f>
        <v>36.72</v>
      </c>
      <c r="G304" s="230">
        <f t="shared" si="114"/>
        <v>36.3825</v>
      </c>
      <c r="H304" s="406" t="s">
        <v>35</v>
      </c>
      <c r="I304" s="439">
        <f t="shared" si="115"/>
        <v>9220.5474999999988</v>
      </c>
      <c r="J304" s="231">
        <f t="shared" si="116"/>
        <v>12160.452500000001</v>
      </c>
      <c r="K304" s="117">
        <f t="shared" si="110"/>
        <v>314.18699507830399</v>
      </c>
      <c r="L304" s="517"/>
      <c r="M304" s="605"/>
      <c r="N304" s="606"/>
      <c r="O304" s="487"/>
      <c r="P304" s="8"/>
      <c r="Q304" s="28"/>
      <c r="R304" s="170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 s="2" customFormat="1" ht="21" hidden="1" customHeight="1">
      <c r="A305" s="444">
        <f t="shared" si="111"/>
        <v>272</v>
      </c>
      <c r="B305" s="142" t="s">
        <v>384</v>
      </c>
      <c r="C305" s="91">
        <v>2</v>
      </c>
      <c r="D305" s="91" t="s">
        <v>34</v>
      </c>
      <c r="E305" s="403" t="str">
        <f>'DECK TALLY'!B277</f>
        <v>EE2</v>
      </c>
      <c r="F305" s="103">
        <f>'DECK TALLY'!C277</f>
        <v>36.79</v>
      </c>
      <c r="G305" s="230">
        <f t="shared" si="114"/>
        <v>36.452500000000001</v>
      </c>
      <c r="H305" s="406" t="s">
        <v>35</v>
      </c>
      <c r="I305" s="439">
        <f t="shared" si="115"/>
        <v>9220.5474999999988</v>
      </c>
      <c r="J305" s="231">
        <f t="shared" si="116"/>
        <v>12160.452500000001</v>
      </c>
      <c r="K305" s="117">
        <f t="shared" si="110"/>
        <v>314.18699507830399</v>
      </c>
      <c r="L305" s="517"/>
      <c r="M305" s="605"/>
      <c r="N305" s="606"/>
      <c r="O305" s="487"/>
      <c r="P305" s="8"/>
      <c r="Q305" s="28"/>
      <c r="R305" s="170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 s="2" customFormat="1" ht="21" hidden="1" customHeight="1">
      <c r="A306" s="444">
        <f t="shared" si="111"/>
        <v>273</v>
      </c>
      <c r="B306" s="142" t="s">
        <v>384</v>
      </c>
      <c r="C306" s="91">
        <v>2</v>
      </c>
      <c r="D306" s="91" t="s">
        <v>34</v>
      </c>
      <c r="E306" s="403" t="str">
        <f>'DECK TALLY'!B278</f>
        <v>EE3</v>
      </c>
      <c r="F306" s="104">
        <f>'DECK TALLY'!C278</f>
        <v>36.82</v>
      </c>
      <c r="G306" s="230">
        <f t="shared" si="114"/>
        <v>36.482500000000002</v>
      </c>
      <c r="H306" s="406" t="s">
        <v>35</v>
      </c>
      <c r="I306" s="439">
        <f t="shared" si="115"/>
        <v>9220.5474999999988</v>
      </c>
      <c r="J306" s="231">
        <f t="shared" si="116"/>
        <v>12160.452500000001</v>
      </c>
      <c r="K306" s="117">
        <f t="shared" si="110"/>
        <v>314.18699507830399</v>
      </c>
      <c r="L306" s="517"/>
      <c r="M306" s="605"/>
      <c r="N306" s="606"/>
      <c r="O306" s="487"/>
      <c r="P306" s="8"/>
      <c r="Q306" s="28"/>
      <c r="R306" s="170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 s="2" customFormat="1" ht="21" hidden="1" customHeight="1">
      <c r="A307" s="444">
        <f t="shared" si="111"/>
        <v>274</v>
      </c>
      <c r="B307" s="142" t="s">
        <v>384</v>
      </c>
      <c r="C307" s="91">
        <v>2</v>
      </c>
      <c r="D307" s="91" t="s">
        <v>34</v>
      </c>
      <c r="E307" s="403" t="str">
        <f>'DECK TALLY'!B279</f>
        <v>EE4</v>
      </c>
      <c r="F307" s="103">
        <f>'DECK TALLY'!C279</f>
        <v>36.299999999999997</v>
      </c>
      <c r="G307" s="230">
        <f t="shared" si="114"/>
        <v>35.962499999999999</v>
      </c>
      <c r="H307" s="406" t="s">
        <v>35</v>
      </c>
      <c r="I307" s="439">
        <f t="shared" si="115"/>
        <v>9220.5474999999988</v>
      </c>
      <c r="J307" s="231">
        <f t="shared" si="116"/>
        <v>12160.452500000001</v>
      </c>
      <c r="K307" s="117">
        <f t="shared" si="110"/>
        <v>314.18699507830399</v>
      </c>
      <c r="L307" s="517"/>
      <c r="M307" s="739"/>
      <c r="N307" s="740"/>
      <c r="O307" s="487"/>
      <c r="P307" s="8"/>
      <c r="Q307" s="28"/>
      <c r="R307" s="170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 s="2" customFormat="1" ht="21" hidden="1" customHeight="1">
      <c r="A308" s="444">
        <f t="shared" si="111"/>
        <v>275</v>
      </c>
      <c r="B308" s="142" t="s">
        <v>384</v>
      </c>
      <c r="C308" s="91">
        <v>2</v>
      </c>
      <c r="D308" s="91" t="s">
        <v>34</v>
      </c>
      <c r="E308" s="403" t="str">
        <f>'DECK TALLY'!B280</f>
        <v>EE5</v>
      </c>
      <c r="F308" s="104">
        <f>'DECK TALLY'!C280</f>
        <v>36.700000000000003</v>
      </c>
      <c r="G308" s="272">
        <f t="shared" si="114"/>
        <v>36.362500000000004</v>
      </c>
      <c r="H308" s="406" t="s">
        <v>35</v>
      </c>
      <c r="I308" s="439">
        <f t="shared" si="115"/>
        <v>9220.5474999999988</v>
      </c>
      <c r="J308" s="231">
        <f t="shared" si="116"/>
        <v>12160.452500000001</v>
      </c>
      <c r="K308" s="117">
        <f t="shared" si="110"/>
        <v>314.18699507830399</v>
      </c>
      <c r="L308" s="517"/>
      <c r="M308" s="605"/>
      <c r="N308" s="606"/>
      <c r="O308" s="487"/>
      <c r="P308" s="8"/>
      <c r="Q308" s="28"/>
      <c r="R308" s="170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 s="2" customFormat="1" ht="21" hidden="1" customHeight="1">
      <c r="A309" s="444">
        <f t="shared" si="111"/>
        <v>276</v>
      </c>
      <c r="B309" s="142" t="s">
        <v>384</v>
      </c>
      <c r="C309" s="91">
        <v>2</v>
      </c>
      <c r="D309" s="91" t="s">
        <v>34</v>
      </c>
      <c r="E309" s="403" t="str">
        <f>'DECK TALLY'!B281</f>
        <v>EE6</v>
      </c>
      <c r="F309" s="104">
        <f>'DECK TALLY'!C281</f>
        <v>36.89</v>
      </c>
      <c r="G309" s="272">
        <f t="shared" si="114"/>
        <v>36.552500000000002</v>
      </c>
      <c r="H309" s="406" t="s">
        <v>35</v>
      </c>
      <c r="I309" s="439">
        <f t="shared" si="115"/>
        <v>9220.5474999999988</v>
      </c>
      <c r="J309" s="231">
        <f t="shared" si="116"/>
        <v>12160.452500000001</v>
      </c>
      <c r="K309" s="117">
        <f t="shared" si="110"/>
        <v>314.18699507830399</v>
      </c>
      <c r="L309" s="517"/>
      <c r="M309" s="605"/>
      <c r="N309" s="606"/>
      <c r="O309" s="487"/>
      <c r="P309" s="8"/>
      <c r="Q309" s="28"/>
      <c r="R309" s="170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 s="2" customFormat="1" ht="21" hidden="1" customHeight="1">
      <c r="A310" s="444">
        <f t="shared" si="111"/>
        <v>277</v>
      </c>
      <c r="B310" s="142" t="s">
        <v>384</v>
      </c>
      <c r="C310" s="91">
        <v>2</v>
      </c>
      <c r="D310" s="91" t="s">
        <v>34</v>
      </c>
      <c r="E310" s="403" t="str">
        <f>'DECK TALLY'!B282</f>
        <v>EE7</v>
      </c>
      <c r="F310" s="103">
        <f>'DECK TALLY'!C282</f>
        <v>37.1</v>
      </c>
      <c r="G310" s="272">
        <f t="shared" si="114"/>
        <v>36.762500000000003</v>
      </c>
      <c r="H310" s="406" t="s">
        <v>35</v>
      </c>
      <c r="I310" s="439">
        <f t="shared" si="115"/>
        <v>9220.5474999999988</v>
      </c>
      <c r="J310" s="231">
        <f t="shared" si="116"/>
        <v>12160.452500000001</v>
      </c>
      <c r="K310" s="117">
        <f t="shared" si="110"/>
        <v>314.18699507830399</v>
      </c>
      <c r="L310" s="517"/>
      <c r="M310" s="605"/>
      <c r="N310" s="606"/>
      <c r="O310" s="487"/>
      <c r="P310" s="8"/>
      <c r="Q310" s="28"/>
      <c r="R310" s="170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 s="2" customFormat="1" ht="21" hidden="1" customHeight="1">
      <c r="A311" s="444">
        <f t="shared" si="111"/>
        <v>278</v>
      </c>
      <c r="B311" s="142" t="s">
        <v>384</v>
      </c>
      <c r="C311" s="91">
        <v>2</v>
      </c>
      <c r="D311" s="91" t="s">
        <v>34</v>
      </c>
      <c r="E311" s="403" t="str">
        <f>'DECK TALLY'!B283</f>
        <v>EE8</v>
      </c>
      <c r="F311" s="104">
        <f>'DECK TALLY'!C283</f>
        <v>36.729999999999997</v>
      </c>
      <c r="G311" s="274">
        <f t="shared" si="114"/>
        <v>36.392499999999998</v>
      </c>
      <c r="H311" s="406" t="s">
        <v>35</v>
      </c>
      <c r="I311" s="440">
        <f t="shared" si="115"/>
        <v>9220.5474999999988</v>
      </c>
      <c r="J311" s="274">
        <f t="shared" si="116"/>
        <v>12160.452500000001</v>
      </c>
      <c r="K311" s="117">
        <f t="shared" si="110"/>
        <v>314.18699507830399</v>
      </c>
      <c r="L311" s="517"/>
      <c r="M311" s="605"/>
      <c r="N311" s="606"/>
      <c r="O311" s="487"/>
      <c r="P311" s="8"/>
      <c r="Q311" s="28"/>
      <c r="R311" s="170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 s="2" customFormat="1" ht="21" hidden="1" customHeight="1">
      <c r="A312" s="444">
        <f t="shared" si="111"/>
        <v>279</v>
      </c>
      <c r="B312" s="142" t="s">
        <v>384</v>
      </c>
      <c r="C312" s="91">
        <v>2</v>
      </c>
      <c r="D312" s="91" t="s">
        <v>34</v>
      </c>
      <c r="E312" s="403" t="str">
        <f>'DECK TALLY'!B284</f>
        <v>EE9</v>
      </c>
      <c r="F312" s="103">
        <f>'DECK TALLY'!C284</f>
        <v>36.97</v>
      </c>
      <c r="G312" s="272">
        <f t="shared" si="114"/>
        <v>36.6325</v>
      </c>
      <c r="H312" s="406" t="s">
        <v>35</v>
      </c>
      <c r="I312" s="439">
        <f t="shared" si="115"/>
        <v>9220.5474999999988</v>
      </c>
      <c r="J312" s="273">
        <f t="shared" si="116"/>
        <v>12160.452500000001</v>
      </c>
      <c r="K312" s="117">
        <f t="shared" si="110"/>
        <v>314.18699507830399</v>
      </c>
      <c r="L312" s="517"/>
      <c r="M312" s="703"/>
      <c r="N312" s="704"/>
      <c r="O312" s="487"/>
      <c r="P312" s="8"/>
      <c r="Q312" s="28"/>
      <c r="R312" s="170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 s="2" customFormat="1" ht="21" hidden="1" customHeight="1">
      <c r="A313" s="444">
        <f t="shared" si="111"/>
        <v>280</v>
      </c>
      <c r="B313" s="142" t="s">
        <v>384</v>
      </c>
      <c r="C313" s="91">
        <v>2</v>
      </c>
      <c r="D313" s="91" t="s">
        <v>34</v>
      </c>
      <c r="E313" s="403" t="str">
        <f>'DECK TALLY'!B285</f>
        <v>FF1</v>
      </c>
      <c r="F313" s="104">
        <f>'DECK TALLY'!C285</f>
        <v>36.64</v>
      </c>
      <c r="G313" s="274">
        <f t="shared" si="114"/>
        <v>36.302500000000002</v>
      </c>
      <c r="H313" s="406" t="s">
        <v>35</v>
      </c>
      <c r="I313" s="440">
        <f t="shared" si="115"/>
        <v>9220.5474999999988</v>
      </c>
      <c r="J313" s="274">
        <f t="shared" si="116"/>
        <v>12160.452500000001</v>
      </c>
      <c r="K313" s="117">
        <f t="shared" si="110"/>
        <v>314.18699507830399</v>
      </c>
      <c r="L313" s="517"/>
      <c r="M313" s="605"/>
      <c r="N313" s="606"/>
      <c r="O313" s="487"/>
      <c r="P313" s="35"/>
      <c r="Q313" s="28"/>
      <c r="R313" s="170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 s="2" customFormat="1" ht="21" hidden="1" customHeight="1">
      <c r="A314" s="444">
        <f t="shared" si="111"/>
        <v>281</v>
      </c>
      <c r="B314" s="142" t="s">
        <v>384</v>
      </c>
      <c r="C314" s="91">
        <v>2</v>
      </c>
      <c r="D314" s="91" t="s">
        <v>34</v>
      </c>
      <c r="E314" s="403" t="str">
        <f>'DECK TALLY'!B286</f>
        <v>FF2</v>
      </c>
      <c r="F314" s="104">
        <f>'DECK TALLY'!C286</f>
        <v>36.03</v>
      </c>
      <c r="G314" s="272">
        <f t="shared" si="114"/>
        <v>35.692500000000003</v>
      </c>
      <c r="H314" s="406" t="s">
        <v>35</v>
      </c>
      <c r="I314" s="439">
        <f t="shared" si="115"/>
        <v>9220.5474999999988</v>
      </c>
      <c r="J314" s="231">
        <f t="shared" si="116"/>
        <v>12160.452500000001</v>
      </c>
      <c r="K314" s="117">
        <f t="shared" si="110"/>
        <v>314.18699507830399</v>
      </c>
      <c r="L314" s="517"/>
      <c r="M314" s="605"/>
      <c r="N314" s="606"/>
      <c r="O314" s="487"/>
      <c r="P314" s="35"/>
      <c r="Q314" s="28"/>
      <c r="R314" s="170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 s="2" customFormat="1" ht="21" hidden="1" customHeight="1">
      <c r="A315" s="444">
        <f t="shared" si="111"/>
        <v>282</v>
      </c>
      <c r="B315" s="142" t="s">
        <v>384</v>
      </c>
      <c r="C315" s="91">
        <v>2</v>
      </c>
      <c r="D315" s="91" t="s">
        <v>34</v>
      </c>
      <c r="E315" s="403" t="str">
        <f>'DECK TALLY'!B287</f>
        <v>FF3</v>
      </c>
      <c r="F315" s="103">
        <f>'DECK TALLY'!C287</f>
        <v>37.19</v>
      </c>
      <c r="G315" s="272">
        <f t="shared" si="99"/>
        <v>36.852499999999999</v>
      </c>
      <c r="H315" s="406" t="s">
        <v>35</v>
      </c>
      <c r="I315" s="439">
        <f t="shared" si="100"/>
        <v>9220.5474999999988</v>
      </c>
      <c r="J315" s="231">
        <f t="shared" ref="J315:J392" si="117">IF(I315="","",$M$9-I315)</f>
        <v>12160.452500000001</v>
      </c>
      <c r="K315" s="117">
        <f t="shared" si="110"/>
        <v>314.18699507830399</v>
      </c>
      <c r="L315" s="517"/>
      <c r="M315" s="605"/>
      <c r="N315" s="606"/>
      <c r="O315" s="487"/>
      <c r="P315" s="33"/>
      <c r="Q315" s="28"/>
      <c r="R315" s="170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 s="2" customFormat="1" ht="21" hidden="1" customHeight="1">
      <c r="A316" s="444">
        <f t="shared" si="111"/>
        <v>283</v>
      </c>
      <c r="B316" s="142" t="s">
        <v>384</v>
      </c>
      <c r="C316" s="91">
        <v>2</v>
      </c>
      <c r="D316" s="91" t="s">
        <v>34</v>
      </c>
      <c r="E316" s="403" t="str">
        <f>'DECK TALLY'!B288</f>
        <v>FF4</v>
      </c>
      <c r="F316" s="104">
        <f>'DECK TALLY'!C288</f>
        <v>37.15</v>
      </c>
      <c r="G316" s="272">
        <f t="shared" si="99"/>
        <v>36.8125</v>
      </c>
      <c r="H316" s="406" t="s">
        <v>35</v>
      </c>
      <c r="I316" s="439">
        <f t="shared" si="100"/>
        <v>9220.5474999999988</v>
      </c>
      <c r="J316" s="231">
        <f t="shared" si="117"/>
        <v>12160.452500000001</v>
      </c>
      <c r="K316" s="117">
        <f t="shared" si="110"/>
        <v>314.18699507830399</v>
      </c>
      <c r="L316" s="517"/>
      <c r="M316" s="605"/>
      <c r="N316" s="606"/>
      <c r="O316" s="487"/>
      <c r="P316" s="33"/>
      <c r="Q316" s="28"/>
      <c r="R316" s="170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 s="2" customFormat="1" ht="21" hidden="1" customHeight="1">
      <c r="A317" s="444">
        <f t="shared" si="111"/>
        <v>284</v>
      </c>
      <c r="B317" s="142" t="s">
        <v>384</v>
      </c>
      <c r="C317" s="91">
        <v>2</v>
      </c>
      <c r="D317" s="91" t="s">
        <v>34</v>
      </c>
      <c r="E317" s="403" t="str">
        <f>'DECK TALLY'!B289</f>
        <v>FF5</v>
      </c>
      <c r="F317" s="103">
        <f>'DECK TALLY'!C289</f>
        <v>37.450000000000003</v>
      </c>
      <c r="G317" s="272">
        <f t="shared" si="99"/>
        <v>37.112500000000004</v>
      </c>
      <c r="H317" s="406" t="s">
        <v>35</v>
      </c>
      <c r="I317" s="439">
        <f t="shared" si="100"/>
        <v>9220.5474999999988</v>
      </c>
      <c r="J317" s="231">
        <f t="shared" si="117"/>
        <v>12160.452500000001</v>
      </c>
      <c r="K317" s="117">
        <f t="shared" si="110"/>
        <v>314.18699507830399</v>
      </c>
      <c r="L317" s="517"/>
      <c r="M317" s="605"/>
      <c r="N317" s="606"/>
      <c r="O317" s="487"/>
      <c r="P317" s="38"/>
      <c r="Q317" s="28"/>
      <c r="R317" s="170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 s="2" customFormat="1" ht="21" hidden="1" customHeight="1">
      <c r="A318" s="444">
        <f t="shared" si="111"/>
        <v>285</v>
      </c>
      <c r="B318" s="142" t="s">
        <v>384</v>
      </c>
      <c r="C318" s="91">
        <v>2</v>
      </c>
      <c r="D318" s="91" t="s">
        <v>34</v>
      </c>
      <c r="E318" s="403" t="str">
        <f>'DECK TALLY'!B290</f>
        <v>FF6</v>
      </c>
      <c r="F318" s="104">
        <f>'DECK TALLY'!C290</f>
        <v>37.090000000000003</v>
      </c>
      <c r="G318" s="272">
        <f t="shared" si="99"/>
        <v>36.752500000000005</v>
      </c>
      <c r="H318" s="406" t="s">
        <v>35</v>
      </c>
      <c r="I318" s="439">
        <f t="shared" si="100"/>
        <v>9220.5474999999988</v>
      </c>
      <c r="J318" s="231">
        <f t="shared" si="117"/>
        <v>12160.452500000001</v>
      </c>
      <c r="K318" s="117">
        <f t="shared" si="110"/>
        <v>314.18699507830399</v>
      </c>
      <c r="L318" s="517"/>
      <c r="M318" s="605"/>
      <c r="N318" s="606"/>
      <c r="O318" s="487"/>
      <c r="P318" s="38"/>
      <c r="Q318" s="28"/>
      <c r="R318" s="170" t="str">
        <f>IF(F315-Q318=0,"OK","FALSE")</f>
        <v>FALSE</v>
      </c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 s="2" customFormat="1" ht="21" hidden="1" customHeight="1">
      <c r="A319" s="444">
        <f t="shared" si="111"/>
        <v>286</v>
      </c>
      <c r="B319" s="142" t="s">
        <v>384</v>
      </c>
      <c r="C319" s="91">
        <v>2</v>
      </c>
      <c r="D319" s="91" t="s">
        <v>34</v>
      </c>
      <c r="E319" s="403" t="str">
        <f>'DECK TALLY'!B291</f>
        <v>FF7</v>
      </c>
      <c r="F319" s="104">
        <f>'DECK TALLY'!C291</f>
        <v>36.93</v>
      </c>
      <c r="G319" s="272">
        <f t="shared" si="99"/>
        <v>36.592500000000001</v>
      </c>
      <c r="H319" s="406" t="s">
        <v>35</v>
      </c>
      <c r="I319" s="439">
        <f t="shared" ref="I319:I322" si="118">IF(H319="IN",I318+G319,I318)</f>
        <v>9220.5474999999988</v>
      </c>
      <c r="J319" s="231">
        <f t="shared" ref="J319:J322" si="119">IF(I319="","",$M$9-I319)</f>
        <v>12160.452500000001</v>
      </c>
      <c r="K319" s="117">
        <f t="shared" si="110"/>
        <v>314.18699507830399</v>
      </c>
      <c r="L319" s="517"/>
      <c r="M319" s="605"/>
      <c r="N319" s="606"/>
      <c r="O319" s="487"/>
      <c r="P319" s="38"/>
      <c r="Q319" s="28"/>
      <c r="R319" s="170" t="str">
        <f>IF(F316-Q319=0,"OK","FALSE")</f>
        <v>FALSE</v>
      </c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 s="2" customFormat="1" ht="21" hidden="1" customHeight="1">
      <c r="A320" s="444">
        <f t="shared" si="111"/>
        <v>287</v>
      </c>
      <c r="B320" s="142" t="s">
        <v>384</v>
      </c>
      <c r="C320" s="91">
        <v>2</v>
      </c>
      <c r="D320" s="91" t="s">
        <v>34</v>
      </c>
      <c r="E320" s="403" t="str">
        <f>'DECK TALLY'!B292</f>
        <v>FF8</v>
      </c>
      <c r="F320" s="103">
        <f>'DECK TALLY'!C292</f>
        <v>36.700000000000003</v>
      </c>
      <c r="G320" s="230">
        <f t="shared" si="99"/>
        <v>36.362500000000004</v>
      </c>
      <c r="H320" s="406" t="s">
        <v>35</v>
      </c>
      <c r="I320" s="439">
        <f t="shared" si="118"/>
        <v>9220.5474999999988</v>
      </c>
      <c r="J320" s="231">
        <f t="shared" si="119"/>
        <v>12160.452500000001</v>
      </c>
      <c r="K320" s="117">
        <f t="shared" si="110"/>
        <v>314.18699507830399</v>
      </c>
      <c r="L320" s="517"/>
      <c r="M320" s="605"/>
      <c r="N320" s="606"/>
      <c r="O320" s="487"/>
      <c r="P320" s="38"/>
      <c r="Q320" s="28"/>
      <c r="R320" s="170" t="str">
        <f>IF(F317-Q320=0,"OK","FALSE")</f>
        <v>FALSE</v>
      </c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 s="2" customFormat="1" ht="21" hidden="1" customHeight="1">
      <c r="A321" s="444">
        <f t="shared" si="111"/>
        <v>288</v>
      </c>
      <c r="B321" s="142" t="s">
        <v>384</v>
      </c>
      <c r="C321" s="91">
        <v>2</v>
      </c>
      <c r="D321" s="91" t="s">
        <v>34</v>
      </c>
      <c r="E321" s="403" t="str">
        <f>'DECK TALLY'!B293</f>
        <v>FF9</v>
      </c>
      <c r="F321" s="104">
        <f>'DECK TALLY'!C293</f>
        <v>36.82</v>
      </c>
      <c r="G321" s="272">
        <f t="shared" si="99"/>
        <v>36.482500000000002</v>
      </c>
      <c r="H321" s="406" t="s">
        <v>35</v>
      </c>
      <c r="I321" s="439">
        <f t="shared" si="118"/>
        <v>9220.5474999999988</v>
      </c>
      <c r="J321" s="231">
        <f t="shared" si="119"/>
        <v>12160.452500000001</v>
      </c>
      <c r="K321" s="117">
        <f t="shared" si="110"/>
        <v>314.18699507830399</v>
      </c>
      <c r="L321" s="517"/>
      <c r="M321" s="605"/>
      <c r="N321" s="606"/>
      <c r="O321" s="487"/>
      <c r="P321" s="38"/>
      <c r="Q321" s="28"/>
      <c r="R321" s="170" t="str">
        <f>IF(F318-Q321=0,"OK","FALSE")</f>
        <v>FALSE</v>
      </c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 s="2" customFormat="1" ht="21" hidden="1" customHeight="1">
      <c r="A322" s="447"/>
      <c r="B322" s="227"/>
      <c r="C322" s="228"/>
      <c r="D322" s="228"/>
      <c r="E322" s="427">
        <f>'DECK TALLY'!B308</f>
        <v>0</v>
      </c>
      <c r="F322" s="428">
        <f>'DECK TALLY'!C308</f>
        <v>0</v>
      </c>
      <c r="G322" s="429">
        <f t="shared" ref="G322:G323" si="120">F322-($H$12/12)</f>
        <v>-0.33749999999999997</v>
      </c>
      <c r="H322" s="430" t="s">
        <v>35</v>
      </c>
      <c r="I322" s="439">
        <f t="shared" si="118"/>
        <v>9220.5474999999988</v>
      </c>
      <c r="J322" s="231">
        <f t="shared" si="119"/>
        <v>12160.452500000001</v>
      </c>
      <c r="K322" s="117">
        <f t="shared" si="110"/>
        <v>314.18699507830399</v>
      </c>
      <c r="L322" s="517"/>
      <c r="M322" s="605"/>
      <c r="N322" s="606"/>
      <c r="O322" s="487"/>
      <c r="P322" s="38"/>
      <c r="Q322" s="28"/>
      <c r="R322" s="170" t="str">
        <f>IF(F319-Q322=0,"OK","FALSE")</f>
        <v>FALSE</v>
      </c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 s="2" customFormat="1" ht="21" hidden="1" customHeight="1" thickBot="1">
      <c r="A323" s="448"/>
      <c r="B323" s="271"/>
      <c r="C323" s="229"/>
      <c r="D323" s="229"/>
      <c r="E323" s="431">
        <f>'DECK TALLY'!F74</f>
        <v>0</v>
      </c>
      <c r="F323" s="432">
        <f>'DECK TALLY'!G74</f>
        <v>0</v>
      </c>
      <c r="G323" s="432">
        <f t="shared" si="120"/>
        <v>-0.33749999999999997</v>
      </c>
      <c r="H323" s="433" t="s">
        <v>35</v>
      </c>
      <c r="I323" s="442">
        <f>IF(H323="IN",I322+G323,I322)</f>
        <v>9220.5474999999988</v>
      </c>
      <c r="J323" s="273">
        <f t="shared" ref="J323:J324" si="121">IF(I323="","",$M$9-I323)</f>
        <v>12160.452500000001</v>
      </c>
      <c r="K323" s="117">
        <f t="shared" si="110"/>
        <v>314.18699507830399</v>
      </c>
      <c r="L323" s="517"/>
      <c r="M323" s="605"/>
      <c r="N323" s="606"/>
      <c r="O323" s="487"/>
      <c r="P323" s="38"/>
      <c r="Q323" s="30"/>
      <c r="R323" s="202" t="str">
        <f>IF(F323-Q323=0,"OK","FALSE")</f>
        <v>OK</v>
      </c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s="2" customFormat="1" ht="16.149999999999999" customHeight="1" thickBot="1">
      <c r="A324" s="688" t="s">
        <v>422</v>
      </c>
      <c r="B324" s="689"/>
      <c r="C324" s="709" t="s">
        <v>69</v>
      </c>
      <c r="D324" s="710"/>
      <c r="E324" s="710"/>
      <c r="F324" s="233">
        <f>44.41-SUM(F325:F329)</f>
        <v>6.1099999999999994</v>
      </c>
      <c r="G324" s="233">
        <f t="shared" ref="G324" si="122">F324-($H$12/12)</f>
        <v>5.7724999999999991</v>
      </c>
      <c r="H324" s="233" t="s">
        <v>32</v>
      </c>
      <c r="I324" s="397">
        <f t="shared" ref="I324" si="123">IF(H324="IN",I323+G324,I323)</f>
        <v>9226.3199999999979</v>
      </c>
      <c r="J324" s="233">
        <f t="shared" si="121"/>
        <v>12154.680000000002</v>
      </c>
      <c r="K324" s="295">
        <f t="shared" si="110"/>
        <v>314.32421653170354</v>
      </c>
      <c r="L324" s="517"/>
      <c r="M324" s="751" t="s">
        <v>86</v>
      </c>
      <c r="N324" s="752"/>
      <c r="O324" s="487"/>
      <c r="P324" s="33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s="2" customFormat="1" ht="16.149999999999999" customHeight="1" thickBot="1">
      <c r="A325" s="688"/>
      <c r="B325" s="689"/>
      <c r="C325" s="705" t="s">
        <v>385</v>
      </c>
      <c r="D325" s="706"/>
      <c r="E325" s="706"/>
      <c r="F325" s="234">
        <f>38.3-SUM(F326:F329)</f>
        <v>8.8499999999999979</v>
      </c>
      <c r="G325" s="234">
        <f>F325</f>
        <v>8.8499999999999979</v>
      </c>
      <c r="H325" s="234" t="s">
        <v>32</v>
      </c>
      <c r="I325" s="398">
        <f>IF(H325="IN",I324+G325,I324)</f>
        <v>9235.1699999999983</v>
      </c>
      <c r="J325" s="168">
        <f t="shared" si="117"/>
        <v>12145.830000000002</v>
      </c>
      <c r="K325" s="294">
        <f t="shared" si="110"/>
        <v>314.53459502673792</v>
      </c>
      <c r="L325" s="517"/>
      <c r="M325" s="707" t="s">
        <v>629</v>
      </c>
      <c r="N325" s="708"/>
      <c r="O325" s="487"/>
      <c r="P325" s="33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s="2" customFormat="1" ht="16.149999999999999" customHeight="1" thickBot="1">
      <c r="A326" s="688"/>
      <c r="B326" s="689"/>
      <c r="C326" s="705" t="s">
        <v>92</v>
      </c>
      <c r="D326" s="706"/>
      <c r="E326" s="706"/>
      <c r="F326" s="234">
        <f>29.45-SUM(F327:F329)</f>
        <v>1.759999999999998</v>
      </c>
      <c r="G326" s="234">
        <f>F326</f>
        <v>1.759999999999998</v>
      </c>
      <c r="H326" s="234" t="s">
        <v>32</v>
      </c>
      <c r="I326" s="398">
        <f t="shared" ref="I326:I392" si="124">IF(H326="IN",I325+G326,I325)</f>
        <v>9236.9299999999985</v>
      </c>
      <c r="J326" s="242">
        <f t="shared" si="117"/>
        <v>12144.070000000002</v>
      </c>
      <c r="K326" s="294">
        <f t="shared" si="110"/>
        <v>314.57643300993124</v>
      </c>
      <c r="L326" s="517"/>
      <c r="M326" s="719"/>
      <c r="N326" s="720"/>
      <c r="O326" s="487"/>
      <c r="P326" s="34"/>
      <c r="Q326" s="711" t="s">
        <v>392</v>
      </c>
      <c r="R326" s="713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s="2" customFormat="1" ht="16.149999999999999" customHeight="1" thickBot="1">
      <c r="A327" s="688"/>
      <c r="B327" s="689"/>
      <c r="C327" s="724" t="s">
        <v>641</v>
      </c>
      <c r="D327" s="725"/>
      <c r="E327" s="725"/>
      <c r="F327" s="234">
        <f>27.69-(F328+F329)</f>
        <v>1.9200000000000017</v>
      </c>
      <c r="G327" s="234">
        <f>F327</f>
        <v>1.9200000000000017</v>
      </c>
      <c r="H327" s="234" t="s">
        <v>32</v>
      </c>
      <c r="I327" s="398">
        <f t="shared" si="124"/>
        <v>9238.8499999999985</v>
      </c>
      <c r="J327" s="168">
        <f t="shared" si="117"/>
        <v>12142.150000000001</v>
      </c>
      <c r="K327" s="294">
        <f t="shared" si="110"/>
        <v>314.62207444614205</v>
      </c>
      <c r="L327" s="517"/>
      <c r="M327" s="236" t="s">
        <v>95</v>
      </c>
      <c r="N327" s="237">
        <f>I329</f>
        <v>9264.6199999999972</v>
      </c>
      <c r="O327" s="487"/>
      <c r="P327" s="39"/>
      <c r="Q327" s="712"/>
      <c r="R327" s="714"/>
      <c r="S327" s="57"/>
      <c r="T327" s="4"/>
      <c r="U327" s="4"/>
      <c r="V327" s="4"/>
      <c r="W327" s="4"/>
      <c r="X327" s="4"/>
      <c r="Y327" s="4"/>
      <c r="Z327" s="4"/>
      <c r="AA327" s="4"/>
    </row>
    <row r="328" spans="1:27" s="2" customFormat="1" ht="16.149999999999999" customHeight="1" thickBot="1">
      <c r="A328" s="688"/>
      <c r="B328" s="689"/>
      <c r="C328" s="705" t="s">
        <v>89</v>
      </c>
      <c r="D328" s="706"/>
      <c r="E328" s="706"/>
      <c r="F328" s="234">
        <f>25.77-F329</f>
        <v>4.7100000000000009</v>
      </c>
      <c r="G328" s="234">
        <f>F328</f>
        <v>4.7100000000000009</v>
      </c>
      <c r="H328" s="234" t="s">
        <v>32</v>
      </c>
      <c r="I328" s="399">
        <f t="shared" si="124"/>
        <v>9243.5599999999977</v>
      </c>
      <c r="J328" s="242">
        <f t="shared" si="117"/>
        <v>12137.440000000002</v>
      </c>
      <c r="K328" s="294">
        <f t="shared" si="110"/>
        <v>314.73403859434677</v>
      </c>
      <c r="L328" s="517"/>
      <c r="M328" s="238" t="s">
        <v>96</v>
      </c>
      <c r="N328" s="239">
        <f>M13-J329</f>
        <v>302.32999999999629</v>
      </c>
      <c r="O328" s="487"/>
      <c r="P328" s="39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s="2" customFormat="1" ht="16.149999999999999" customHeight="1" thickBot="1">
      <c r="A329" s="688"/>
      <c r="B329" s="689"/>
      <c r="C329" s="715" t="s">
        <v>640</v>
      </c>
      <c r="D329" s="716"/>
      <c r="E329" s="716"/>
      <c r="F329" s="235">
        <v>21.06</v>
      </c>
      <c r="G329" s="235">
        <f>F329</f>
        <v>21.06</v>
      </c>
      <c r="H329" s="235" t="s">
        <v>32</v>
      </c>
      <c r="I329" s="400">
        <f t="shared" si="124"/>
        <v>9264.6199999999972</v>
      </c>
      <c r="J329" s="434">
        <f t="shared" si="117"/>
        <v>12116.380000000003</v>
      </c>
      <c r="K329" s="296">
        <f t="shared" si="110"/>
        <v>315.23466809778449</v>
      </c>
      <c r="L329" s="517"/>
      <c r="M329" s="240" t="s">
        <v>97</v>
      </c>
      <c r="N329" s="241">
        <f>J329</f>
        <v>12116.380000000003</v>
      </c>
      <c r="O329" s="487"/>
      <c r="P329" s="39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s="2" customFormat="1" ht="16.899999999999999" customHeight="1" thickBot="1">
      <c r="A330" s="688"/>
      <c r="B330" s="689"/>
      <c r="C330" s="717" t="s">
        <v>93</v>
      </c>
      <c r="D330" s="718"/>
      <c r="E330" s="469" t="s">
        <v>386</v>
      </c>
      <c r="F330" s="470">
        <v>8.1999999999999993</v>
      </c>
      <c r="G330" s="470">
        <f t="shared" ref="G330:G552" si="125">F330</f>
        <v>8.1999999999999993</v>
      </c>
      <c r="H330" s="470" t="s">
        <v>32</v>
      </c>
      <c r="I330" s="471">
        <f t="shared" si="124"/>
        <v>9272.8199999999979</v>
      </c>
      <c r="J330" s="470">
        <f t="shared" si="117"/>
        <v>12108.180000000002</v>
      </c>
      <c r="K330" s="472">
        <f t="shared" si="110"/>
        <v>315.42959506493503</v>
      </c>
      <c r="L330" s="517"/>
      <c r="M330" s="811"/>
      <c r="N330" s="812"/>
      <c r="O330" s="487"/>
      <c r="P330" s="37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s="2" customFormat="1" ht="23.45" customHeight="1" thickBot="1">
      <c r="A331" s="690" t="s">
        <v>94</v>
      </c>
      <c r="B331" s="691"/>
      <c r="C331" s="609" t="s">
        <v>505</v>
      </c>
      <c r="D331" s="610"/>
      <c r="E331" s="610"/>
      <c r="F331" s="473">
        <v>2.83</v>
      </c>
      <c r="G331" s="473">
        <f>F331</f>
        <v>2.83</v>
      </c>
      <c r="H331" s="474" t="s">
        <v>32</v>
      </c>
      <c r="I331" s="475">
        <f t="shared" si="124"/>
        <v>9275.6499999999978</v>
      </c>
      <c r="J331" s="476">
        <f t="shared" si="117"/>
        <v>12105.350000000002</v>
      </c>
      <c r="K331" s="477">
        <f t="shared" si="110"/>
        <v>315.49686864018327</v>
      </c>
      <c r="L331" s="517"/>
      <c r="M331" s="737" t="s">
        <v>647</v>
      </c>
      <c r="N331" s="738"/>
      <c r="O331" s="487"/>
      <c r="P331" s="36"/>
      <c r="Q331" s="638" t="s">
        <v>67</v>
      </c>
      <c r="R331" s="640" t="s">
        <v>68</v>
      </c>
      <c r="T331" s="4"/>
      <c r="U331" s="4"/>
      <c r="V331" s="4"/>
      <c r="W331" s="4"/>
      <c r="X331" s="4"/>
      <c r="Y331" s="4"/>
      <c r="Z331" s="4"/>
      <c r="AA331" s="4"/>
    </row>
    <row r="332" spans="1:27" s="2" customFormat="1" ht="21" customHeight="1">
      <c r="A332" s="597">
        <v>1</v>
      </c>
      <c r="B332" s="596" t="s">
        <v>627</v>
      </c>
      <c r="C332" s="748" t="s">
        <v>636</v>
      </c>
      <c r="D332" s="748"/>
      <c r="E332" s="748"/>
      <c r="F332" s="205">
        <v>30.77</v>
      </c>
      <c r="G332" s="205">
        <f t="shared" si="125"/>
        <v>30.77</v>
      </c>
      <c r="H332" s="206" t="s">
        <v>32</v>
      </c>
      <c r="I332" s="205">
        <f>IF(H332="IN",I331+G332,I331)</f>
        <v>9306.4199999999983</v>
      </c>
      <c r="J332" s="205">
        <f t="shared" ref="J332:J334" si="126">IF(I332="","",$M$9-I332)</f>
        <v>12074.580000000002</v>
      </c>
      <c r="K332" s="209">
        <f t="shared" si="110"/>
        <v>316.22832019862483</v>
      </c>
      <c r="L332" s="517"/>
      <c r="M332" s="749" t="s">
        <v>56</v>
      </c>
      <c r="N332" s="750"/>
      <c r="O332" s="487"/>
      <c r="P332" s="40"/>
      <c r="Q332" s="639"/>
      <c r="R332" s="641"/>
      <c r="T332" s="4"/>
      <c r="U332" s="4"/>
      <c r="V332" s="4"/>
      <c r="W332" s="4"/>
      <c r="X332" s="4"/>
      <c r="Y332" s="4"/>
      <c r="Z332" s="4"/>
      <c r="AA332" s="4"/>
    </row>
    <row r="333" spans="1:27" s="2" customFormat="1" ht="21" customHeight="1">
      <c r="A333" s="576"/>
      <c r="B333" s="566"/>
      <c r="C333" s="601" t="s">
        <v>636</v>
      </c>
      <c r="D333" s="602"/>
      <c r="E333" s="603"/>
      <c r="F333" s="207">
        <v>30.32</v>
      </c>
      <c r="G333" s="207">
        <f t="shared" si="125"/>
        <v>30.32</v>
      </c>
      <c r="H333" s="208" t="s">
        <v>32</v>
      </c>
      <c r="I333" s="207">
        <f t="shared" ref="I333:I334" si="127">IF(H333="IN",I332+G333,I332)</f>
        <v>9336.739999999998</v>
      </c>
      <c r="J333" s="207">
        <f t="shared" si="126"/>
        <v>12044.260000000002</v>
      </c>
      <c r="K333" s="209">
        <f t="shared" si="110"/>
        <v>316.94907454545455</v>
      </c>
      <c r="L333" s="517"/>
      <c r="M333" s="218" t="s">
        <v>38</v>
      </c>
      <c r="N333" s="219">
        <f>J325</f>
        <v>12145.830000000002</v>
      </c>
      <c r="O333" s="190"/>
      <c r="P333" s="41"/>
      <c r="Q333" s="26">
        <f>M340-N333</f>
        <v>26.229999999997744</v>
      </c>
      <c r="R333" s="27">
        <f>N333-M341</f>
        <v>19.990000000001601</v>
      </c>
      <c r="T333" s="4"/>
      <c r="U333" s="4"/>
      <c r="V333" s="4"/>
      <c r="W333" s="4"/>
      <c r="X333" s="4"/>
      <c r="Y333" s="4"/>
      <c r="Z333" s="4"/>
      <c r="AA333" s="4"/>
    </row>
    <row r="334" spans="1:27" s="2" customFormat="1" ht="21" customHeight="1" thickBot="1">
      <c r="A334" s="577"/>
      <c r="B334" s="567"/>
      <c r="C334" s="601" t="s">
        <v>636</v>
      </c>
      <c r="D334" s="602"/>
      <c r="E334" s="603"/>
      <c r="F334" s="207">
        <v>30.36</v>
      </c>
      <c r="G334" s="207">
        <f t="shared" si="125"/>
        <v>30.36</v>
      </c>
      <c r="H334" s="208" t="s">
        <v>32</v>
      </c>
      <c r="I334" s="207">
        <f t="shared" si="127"/>
        <v>9367.0999999999985</v>
      </c>
      <c r="J334" s="207">
        <f t="shared" si="126"/>
        <v>12013.900000000001</v>
      </c>
      <c r="K334" s="209">
        <f t="shared" si="110"/>
        <v>317.67077975553855</v>
      </c>
      <c r="L334" s="517"/>
      <c r="M334" s="220" t="s">
        <v>36</v>
      </c>
      <c r="N334" s="221">
        <f>J327</f>
        <v>12142.150000000001</v>
      </c>
      <c r="O334" s="528"/>
      <c r="P334" s="41"/>
      <c r="Q334" s="26">
        <f>M340-N334</f>
        <v>29.909999999998035</v>
      </c>
      <c r="R334" s="27">
        <f>N334-M341</f>
        <v>16.31000000000131</v>
      </c>
      <c r="T334" s="4"/>
      <c r="U334" s="4"/>
      <c r="V334" s="4"/>
      <c r="W334" s="4"/>
      <c r="X334" s="4"/>
      <c r="Y334" s="4"/>
      <c r="Z334" s="4"/>
      <c r="AA334" s="4"/>
    </row>
    <row r="335" spans="1:27" s="2" customFormat="1" ht="21" customHeight="1" thickBot="1">
      <c r="A335" s="587"/>
      <c r="B335" s="588"/>
      <c r="C335" s="589"/>
      <c r="D335" s="590"/>
      <c r="E335" s="591"/>
      <c r="F335" s="249"/>
      <c r="G335" s="249"/>
      <c r="H335" s="479" t="s">
        <v>35</v>
      </c>
      <c r="I335" s="249">
        <f t="shared" ref="I335:I342" si="128">IF(H335="IN",I334+G335,I334)</f>
        <v>9367.0999999999985</v>
      </c>
      <c r="J335" s="249">
        <f t="shared" ref="J335:J368" si="129">IF(I335="","",$M$9-I335)</f>
        <v>12013.900000000001</v>
      </c>
      <c r="K335" s="251">
        <f t="shared" si="110"/>
        <v>317.67077975553855</v>
      </c>
      <c r="L335" s="517"/>
      <c r="M335" s="642" t="s">
        <v>73</v>
      </c>
      <c r="N335" s="643"/>
      <c r="O335" s="528"/>
      <c r="P335" s="40"/>
      <c r="Q335" s="624" t="s">
        <v>44</v>
      </c>
      <c r="R335" s="625"/>
      <c r="S335" s="32"/>
      <c r="T335" s="4"/>
      <c r="U335" s="4"/>
      <c r="V335" s="4"/>
      <c r="W335" s="4"/>
      <c r="X335" s="4"/>
      <c r="Y335" s="4"/>
      <c r="Z335" s="4"/>
      <c r="AA335" s="4"/>
    </row>
    <row r="336" spans="1:27" s="2" customFormat="1" ht="21" customHeight="1">
      <c r="A336" s="575">
        <f>A332+1</f>
        <v>2</v>
      </c>
      <c r="B336" s="565" t="s">
        <v>528</v>
      </c>
      <c r="C336" s="622" t="s">
        <v>74</v>
      </c>
      <c r="D336" s="622"/>
      <c r="E336" s="622"/>
      <c r="F336" s="243">
        <v>31.48</v>
      </c>
      <c r="G336" s="243">
        <f>F336</f>
        <v>31.48</v>
      </c>
      <c r="H336" s="244" t="s">
        <v>32</v>
      </c>
      <c r="I336" s="243">
        <f t="shared" si="128"/>
        <v>9398.5799999999981</v>
      </c>
      <c r="J336" s="243">
        <f t="shared" si="129"/>
        <v>11982.420000000002</v>
      </c>
      <c r="K336" s="209">
        <f t="shared" si="110"/>
        <v>318.41910913674553</v>
      </c>
      <c r="L336" s="517"/>
      <c r="M336" s="222" t="s">
        <v>36</v>
      </c>
      <c r="N336" s="223">
        <f>$J$329-(10.7+11.22-0.398)</f>
        <v>12094.858000000002</v>
      </c>
      <c r="O336" s="528"/>
      <c r="P336" s="42"/>
      <c r="Q336" s="28">
        <f>M341-N336</f>
        <v>30.981999999998152</v>
      </c>
      <c r="R336" s="29">
        <f>N336-M342</f>
        <v>15.748000000001412</v>
      </c>
      <c r="S336" s="32"/>
      <c r="T336" s="4"/>
      <c r="U336" s="4"/>
      <c r="V336" s="4"/>
      <c r="W336" s="4"/>
      <c r="X336" s="4"/>
      <c r="Y336" s="4"/>
      <c r="Z336" s="4"/>
      <c r="AA336" s="4"/>
    </row>
    <row r="337" spans="1:27" s="2" customFormat="1" ht="21" customHeight="1" thickBot="1">
      <c r="A337" s="576"/>
      <c r="B337" s="566"/>
      <c r="C337" s="571" t="s">
        <v>74</v>
      </c>
      <c r="D337" s="571"/>
      <c r="E337" s="571"/>
      <c r="F337" s="207">
        <v>31.34</v>
      </c>
      <c r="G337" s="207">
        <f t="shared" ref="G337:G345" si="130">F337</f>
        <v>31.34</v>
      </c>
      <c r="H337" s="208" t="s">
        <v>32</v>
      </c>
      <c r="I337" s="207">
        <f t="shared" si="128"/>
        <v>9429.9199999999983</v>
      </c>
      <c r="J337" s="207">
        <f t="shared" si="129"/>
        <v>11951.080000000002</v>
      </c>
      <c r="K337" s="209">
        <f t="shared" si="110"/>
        <v>319.16411049656222</v>
      </c>
      <c r="L337" s="517"/>
      <c r="M337" s="220" t="s">
        <v>37</v>
      </c>
      <c r="N337" s="221">
        <f>J329-(10.7+9.29-0.398)</f>
        <v>12096.788000000002</v>
      </c>
      <c r="O337" s="189"/>
      <c r="P337" s="42"/>
      <c r="Q337" s="30">
        <f>M341-N337</f>
        <v>29.051999999997861</v>
      </c>
      <c r="R337" s="31">
        <f>N337-M342</f>
        <v>17.678000000001703</v>
      </c>
      <c r="S337" s="32"/>
      <c r="T337" s="4"/>
      <c r="U337" s="4"/>
      <c r="V337" s="4"/>
      <c r="W337" s="4"/>
      <c r="X337" s="4"/>
      <c r="Y337" s="4"/>
      <c r="Z337" s="4"/>
      <c r="AA337" s="4"/>
    </row>
    <row r="338" spans="1:27" s="2" customFormat="1" ht="21" customHeight="1" thickBot="1">
      <c r="A338" s="577"/>
      <c r="B338" s="567"/>
      <c r="C338" s="571" t="s">
        <v>74</v>
      </c>
      <c r="D338" s="571"/>
      <c r="E338" s="571"/>
      <c r="F338" s="207">
        <v>31.31</v>
      </c>
      <c r="G338" s="207">
        <f t="shared" si="130"/>
        <v>31.31</v>
      </c>
      <c r="H338" s="208" t="s">
        <v>32</v>
      </c>
      <c r="I338" s="207">
        <f t="shared" si="128"/>
        <v>9461.2299999999977</v>
      </c>
      <c r="J338" s="207">
        <f t="shared" si="129"/>
        <v>11919.770000000002</v>
      </c>
      <c r="K338" s="209">
        <f t="shared" si="110"/>
        <v>319.90839870893808</v>
      </c>
      <c r="L338" s="517"/>
      <c r="M338" s="642" t="s">
        <v>49</v>
      </c>
      <c r="N338" s="643"/>
      <c r="O338" s="190"/>
      <c r="P338" s="42"/>
      <c r="S338" s="32"/>
      <c r="T338" s="4"/>
      <c r="U338" s="4"/>
      <c r="V338" s="4"/>
      <c r="W338" s="4"/>
      <c r="X338" s="4"/>
      <c r="Y338" s="4"/>
      <c r="Z338" s="4"/>
      <c r="AA338" s="4"/>
    </row>
    <row r="339" spans="1:27" s="2" customFormat="1" ht="21" customHeight="1">
      <c r="A339" s="575">
        <f>A336+1</f>
        <v>3</v>
      </c>
      <c r="B339" s="562" t="s">
        <v>529</v>
      </c>
      <c r="C339" s="573" t="s">
        <v>74</v>
      </c>
      <c r="D339" s="573"/>
      <c r="E339" s="573"/>
      <c r="F339" s="300">
        <v>31.25</v>
      </c>
      <c r="G339" s="300">
        <f t="shared" si="130"/>
        <v>31.25</v>
      </c>
      <c r="H339" s="301" t="s">
        <v>32</v>
      </c>
      <c r="I339" s="300">
        <f t="shared" si="128"/>
        <v>9492.4799999999977</v>
      </c>
      <c r="J339" s="300">
        <f t="shared" si="129"/>
        <v>11888.520000000002</v>
      </c>
      <c r="K339" s="302">
        <f t="shared" si="110"/>
        <v>320.6512606264323</v>
      </c>
      <c r="L339" s="499"/>
      <c r="M339" s="644">
        <v>12217.05</v>
      </c>
      <c r="N339" s="645"/>
      <c r="O339" s="191"/>
      <c r="P339" s="43"/>
      <c r="Q339" s="32"/>
      <c r="R339" s="32"/>
      <c r="S339" s="32"/>
      <c r="T339" s="4"/>
      <c r="U339" s="4"/>
      <c r="V339" s="4"/>
      <c r="W339" s="4"/>
      <c r="X339" s="4"/>
      <c r="Y339" s="4"/>
      <c r="Z339" s="4"/>
      <c r="AA339" s="4"/>
    </row>
    <row r="340" spans="1:27" s="2" customFormat="1" ht="21" customHeight="1">
      <c r="A340" s="576"/>
      <c r="B340" s="563"/>
      <c r="C340" s="573" t="s">
        <v>74</v>
      </c>
      <c r="D340" s="573"/>
      <c r="E340" s="573"/>
      <c r="F340" s="300">
        <v>31.12</v>
      </c>
      <c r="G340" s="300">
        <f t="shared" si="130"/>
        <v>31.12</v>
      </c>
      <c r="H340" s="301" t="s">
        <v>32</v>
      </c>
      <c r="I340" s="300">
        <f t="shared" si="128"/>
        <v>9523.5999999999985</v>
      </c>
      <c r="J340" s="300">
        <f t="shared" si="129"/>
        <v>11857.400000000001</v>
      </c>
      <c r="K340" s="302">
        <f t="shared" si="110"/>
        <v>321.39103223834991</v>
      </c>
      <c r="L340" s="499"/>
      <c r="M340" s="721">
        <v>12172.06</v>
      </c>
      <c r="N340" s="722"/>
      <c r="O340" s="191"/>
      <c r="P340" s="36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s="2" customFormat="1" ht="21" customHeight="1">
      <c r="A341" s="577"/>
      <c r="B341" s="564"/>
      <c r="C341" s="573" t="s">
        <v>74</v>
      </c>
      <c r="D341" s="573"/>
      <c r="E341" s="573"/>
      <c r="F341" s="300">
        <v>31.19</v>
      </c>
      <c r="G341" s="300">
        <f t="shared" si="130"/>
        <v>31.19</v>
      </c>
      <c r="H341" s="301" t="s">
        <v>32</v>
      </c>
      <c r="I341" s="300">
        <f t="shared" si="128"/>
        <v>9554.7899999999991</v>
      </c>
      <c r="J341" s="300">
        <f t="shared" si="129"/>
        <v>11826.210000000001</v>
      </c>
      <c r="K341" s="302">
        <f t="shared" si="110"/>
        <v>322.13246786096255</v>
      </c>
      <c r="L341" s="499"/>
      <c r="M341" s="721">
        <v>12125.84</v>
      </c>
      <c r="N341" s="722"/>
      <c r="O341" s="190"/>
      <c r="P341" s="37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s="2" customFormat="1" ht="21" customHeight="1" thickBot="1">
      <c r="A342" s="575">
        <f>A339+1</f>
        <v>4</v>
      </c>
      <c r="B342" s="565" t="s">
        <v>530</v>
      </c>
      <c r="C342" s="571" t="s">
        <v>74</v>
      </c>
      <c r="D342" s="571"/>
      <c r="E342" s="571"/>
      <c r="F342" s="207">
        <v>31.31</v>
      </c>
      <c r="G342" s="207">
        <f t="shared" si="130"/>
        <v>31.31</v>
      </c>
      <c r="H342" s="208" t="s">
        <v>32</v>
      </c>
      <c r="I342" s="207">
        <f t="shared" si="128"/>
        <v>9586.0999999999985</v>
      </c>
      <c r="J342" s="207">
        <f t="shared" si="129"/>
        <v>11794.900000000001</v>
      </c>
      <c r="K342" s="209">
        <f t="shared" si="110"/>
        <v>322.87675607333841</v>
      </c>
      <c r="L342" s="498"/>
      <c r="M342" s="735">
        <v>12079.11</v>
      </c>
      <c r="N342" s="736"/>
      <c r="O342" s="192"/>
      <c r="P342" s="37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ht="21" customHeight="1" thickBot="1">
      <c r="A343" s="576"/>
      <c r="B343" s="566"/>
      <c r="C343" s="571" t="s">
        <v>74</v>
      </c>
      <c r="D343" s="571"/>
      <c r="E343" s="571"/>
      <c r="F343" s="207">
        <v>31</v>
      </c>
      <c r="G343" s="207">
        <f t="shared" si="130"/>
        <v>31</v>
      </c>
      <c r="H343" s="208" t="s">
        <v>32</v>
      </c>
      <c r="I343" s="207">
        <f>IF(H343="IN",I342+G343,I342)</f>
        <v>9617.0999999999985</v>
      </c>
      <c r="J343" s="207">
        <f t="shared" si="129"/>
        <v>11763.900000000001</v>
      </c>
      <c r="K343" s="209">
        <f t="shared" si="110"/>
        <v>323.61367509549268</v>
      </c>
      <c r="L343" s="495"/>
      <c r="M343" s="180"/>
      <c r="N343" s="181"/>
      <c r="O343" s="193"/>
      <c r="P343" s="37"/>
    </row>
    <row r="344" spans="1:27" ht="21" customHeight="1">
      <c r="A344" s="577"/>
      <c r="B344" s="567"/>
      <c r="C344" s="571" t="s">
        <v>74</v>
      </c>
      <c r="D344" s="571"/>
      <c r="E344" s="571"/>
      <c r="F344" s="207">
        <v>31.31</v>
      </c>
      <c r="G344" s="207">
        <f t="shared" si="130"/>
        <v>31.31</v>
      </c>
      <c r="H344" s="208" t="s">
        <v>32</v>
      </c>
      <c r="I344" s="207">
        <f>IF(H344="IN",I343+G344,I343)</f>
        <v>9648.409999999998</v>
      </c>
      <c r="J344" s="207">
        <f t="shared" si="129"/>
        <v>11732.590000000002</v>
      </c>
      <c r="K344" s="209">
        <f t="shared" si="110"/>
        <v>324.35796330786854</v>
      </c>
      <c r="L344" s="495"/>
      <c r="M344" s="180"/>
      <c r="N344" s="181"/>
      <c r="O344" s="194"/>
      <c r="P344" s="37"/>
    </row>
    <row r="345" spans="1:27" ht="21" customHeight="1" thickBot="1">
      <c r="A345" s="575">
        <v>5</v>
      </c>
      <c r="B345" s="562" t="s">
        <v>531</v>
      </c>
      <c r="C345" s="573" t="s">
        <v>74</v>
      </c>
      <c r="D345" s="573"/>
      <c r="E345" s="573"/>
      <c r="F345" s="300">
        <v>31.37</v>
      </c>
      <c r="G345" s="300">
        <f t="shared" si="130"/>
        <v>31.37</v>
      </c>
      <c r="H345" s="301" t="s">
        <v>32</v>
      </c>
      <c r="I345" s="300">
        <f t="shared" ref="I345:I369" si="131">IF(H345="IN",I344+G345,I344)</f>
        <v>9679.7799999999988</v>
      </c>
      <c r="J345" s="300">
        <f t="shared" si="129"/>
        <v>11701.220000000001</v>
      </c>
      <c r="K345" s="302">
        <f t="shared" si="110"/>
        <v>325.10367781512605</v>
      </c>
      <c r="L345" s="500"/>
      <c r="M345" s="182"/>
      <c r="N345" s="183"/>
      <c r="O345" s="194"/>
      <c r="P345" s="37"/>
    </row>
    <row r="346" spans="1:27" ht="21" customHeight="1">
      <c r="A346" s="576"/>
      <c r="B346" s="563"/>
      <c r="C346" s="573" t="s">
        <v>74</v>
      </c>
      <c r="D346" s="573"/>
      <c r="E346" s="573"/>
      <c r="F346" s="300">
        <v>31.3</v>
      </c>
      <c r="G346" s="300">
        <f>F346</f>
        <v>31.3</v>
      </c>
      <c r="H346" s="301" t="s">
        <v>32</v>
      </c>
      <c r="I346" s="300">
        <f t="shared" si="131"/>
        <v>9711.0799999999981</v>
      </c>
      <c r="J346" s="300">
        <f t="shared" si="129"/>
        <v>11669.920000000002</v>
      </c>
      <c r="K346" s="302">
        <f t="shared" si="110"/>
        <v>325.84772831168829</v>
      </c>
      <c r="L346" s="499"/>
      <c r="M346" s="593"/>
      <c r="N346" s="594"/>
      <c r="O346" s="192"/>
      <c r="P346" s="37"/>
      <c r="Q346" s="2"/>
    </row>
    <row r="347" spans="1:27" ht="21" customHeight="1">
      <c r="A347" s="577"/>
      <c r="B347" s="564"/>
      <c r="C347" s="573" t="s">
        <v>74</v>
      </c>
      <c r="D347" s="573"/>
      <c r="E347" s="573"/>
      <c r="F347" s="300">
        <v>31.16</v>
      </c>
      <c r="G347" s="300">
        <f t="shared" ref="G347" si="132">F347</f>
        <v>31.16</v>
      </c>
      <c r="H347" s="301" t="s">
        <v>32</v>
      </c>
      <c r="I347" s="300">
        <f t="shared" si="131"/>
        <v>9742.239999999998</v>
      </c>
      <c r="J347" s="300">
        <f t="shared" si="129"/>
        <v>11638.760000000002</v>
      </c>
      <c r="K347" s="302">
        <f t="shared" si="110"/>
        <v>326.58845078686016</v>
      </c>
      <c r="L347" s="499"/>
      <c r="M347" s="593"/>
      <c r="N347" s="594"/>
      <c r="O347" s="193"/>
      <c r="P347" s="37"/>
    </row>
    <row r="348" spans="1:27" ht="21" customHeight="1">
      <c r="A348" s="575">
        <v>6</v>
      </c>
      <c r="B348" s="565" t="s">
        <v>532</v>
      </c>
      <c r="C348" s="571" t="s">
        <v>74</v>
      </c>
      <c r="D348" s="571"/>
      <c r="E348" s="571"/>
      <c r="F348" s="207">
        <v>31</v>
      </c>
      <c r="G348" s="207">
        <f>F348</f>
        <v>31</v>
      </c>
      <c r="H348" s="208" t="s">
        <v>32</v>
      </c>
      <c r="I348" s="207">
        <f t="shared" si="131"/>
        <v>9773.239999999998</v>
      </c>
      <c r="J348" s="207">
        <f t="shared" si="129"/>
        <v>11607.760000000002</v>
      </c>
      <c r="K348" s="209">
        <f t="shared" si="110"/>
        <v>327.32536980901449</v>
      </c>
      <c r="L348" s="496"/>
      <c r="M348" s="593"/>
      <c r="N348" s="594"/>
      <c r="O348" s="194"/>
      <c r="P348" s="37"/>
    </row>
    <row r="349" spans="1:27" ht="21" customHeight="1">
      <c r="A349" s="576"/>
      <c r="B349" s="566"/>
      <c r="C349" s="571" t="s">
        <v>74</v>
      </c>
      <c r="D349" s="571"/>
      <c r="E349" s="571"/>
      <c r="F349" s="207">
        <v>31.21</v>
      </c>
      <c r="G349" s="207">
        <f t="shared" ref="G349" si="133">F349</f>
        <v>31.21</v>
      </c>
      <c r="H349" s="208" t="s">
        <v>32</v>
      </c>
      <c r="I349" s="207">
        <f t="shared" si="131"/>
        <v>9804.4499999999971</v>
      </c>
      <c r="J349" s="207">
        <f t="shared" si="129"/>
        <v>11576.550000000003</v>
      </c>
      <c r="K349" s="209">
        <f t="shared" si="110"/>
        <v>328.06728086325433</v>
      </c>
      <c r="L349" s="496"/>
      <c r="M349" s="593"/>
      <c r="N349" s="594"/>
      <c r="O349" s="37"/>
      <c r="P349" s="37"/>
    </row>
    <row r="350" spans="1:27" ht="21" customHeight="1">
      <c r="A350" s="577"/>
      <c r="B350" s="567"/>
      <c r="C350" s="694" t="s">
        <v>74</v>
      </c>
      <c r="D350" s="694"/>
      <c r="E350" s="694"/>
      <c r="F350" s="207">
        <v>31.1</v>
      </c>
      <c r="G350" s="210">
        <f>F350</f>
        <v>31.1</v>
      </c>
      <c r="H350" s="211" t="s">
        <v>32</v>
      </c>
      <c r="I350" s="210">
        <f t="shared" si="131"/>
        <v>9835.5499999999975</v>
      </c>
      <c r="J350" s="210">
        <f t="shared" si="129"/>
        <v>11545.450000000003</v>
      </c>
      <c r="K350" s="209">
        <f t="shared" si="110"/>
        <v>328.80657704354462</v>
      </c>
      <c r="L350" s="496"/>
      <c r="M350" s="593"/>
      <c r="N350" s="594"/>
      <c r="O350" s="37"/>
      <c r="P350" s="37"/>
    </row>
    <row r="351" spans="1:27" ht="21" customHeight="1">
      <c r="A351" s="575">
        <v>7</v>
      </c>
      <c r="B351" s="562" t="s">
        <v>533</v>
      </c>
      <c r="C351" s="573" t="s">
        <v>74</v>
      </c>
      <c r="D351" s="573"/>
      <c r="E351" s="573"/>
      <c r="F351" s="300">
        <v>31.42</v>
      </c>
      <c r="G351" s="300">
        <f t="shared" ref="G351" si="134">F351</f>
        <v>31.42</v>
      </c>
      <c r="H351" s="301" t="s">
        <v>32</v>
      </c>
      <c r="I351" s="300">
        <f t="shared" si="131"/>
        <v>9866.9699999999975</v>
      </c>
      <c r="J351" s="300">
        <f t="shared" si="129"/>
        <v>11514.030000000002</v>
      </c>
      <c r="K351" s="302">
        <f t="shared" si="110"/>
        <v>329.55348012987008</v>
      </c>
      <c r="L351" s="499"/>
      <c r="M351" s="593"/>
      <c r="N351" s="594"/>
      <c r="O351" s="37"/>
      <c r="P351" s="37"/>
    </row>
    <row r="352" spans="1:27" ht="21" customHeight="1">
      <c r="A352" s="576"/>
      <c r="B352" s="563"/>
      <c r="C352" s="573" t="s">
        <v>74</v>
      </c>
      <c r="D352" s="573"/>
      <c r="E352" s="573"/>
      <c r="F352" s="300">
        <v>31.41</v>
      </c>
      <c r="G352" s="300">
        <f>F352</f>
        <v>31.41</v>
      </c>
      <c r="H352" s="301" t="s">
        <v>32</v>
      </c>
      <c r="I352" s="300">
        <f t="shared" si="131"/>
        <v>9898.3799999999974</v>
      </c>
      <c r="J352" s="300">
        <f t="shared" si="129"/>
        <v>11482.620000000003</v>
      </c>
      <c r="K352" s="302">
        <f t="shared" si="110"/>
        <v>330.30014550038186</v>
      </c>
      <c r="L352" s="499"/>
      <c r="M352" s="593"/>
      <c r="N352" s="594"/>
      <c r="O352" s="37"/>
      <c r="P352" s="37"/>
    </row>
    <row r="353" spans="1:16" ht="21" customHeight="1">
      <c r="A353" s="577"/>
      <c r="B353" s="564"/>
      <c r="C353" s="572" t="s">
        <v>74</v>
      </c>
      <c r="D353" s="572"/>
      <c r="E353" s="572"/>
      <c r="F353" s="300">
        <v>31.37</v>
      </c>
      <c r="G353" s="309">
        <f t="shared" ref="G353:G368" si="135">F353</f>
        <v>31.37</v>
      </c>
      <c r="H353" s="310" t="s">
        <v>32</v>
      </c>
      <c r="I353" s="300">
        <f t="shared" si="131"/>
        <v>9929.7499999999982</v>
      </c>
      <c r="J353" s="300">
        <f t="shared" si="129"/>
        <v>11451.250000000002</v>
      </c>
      <c r="K353" s="302">
        <f t="shared" si="110"/>
        <v>331.04586000763936</v>
      </c>
      <c r="L353" s="499"/>
      <c r="M353" s="593"/>
      <c r="N353" s="594"/>
      <c r="O353" s="37"/>
      <c r="P353" s="37"/>
    </row>
    <row r="354" spans="1:16" ht="21" customHeight="1">
      <c r="A354" s="575">
        <v>8</v>
      </c>
      <c r="B354" s="565" t="s">
        <v>555</v>
      </c>
      <c r="C354" s="571" t="s">
        <v>74</v>
      </c>
      <c r="D354" s="571"/>
      <c r="E354" s="571"/>
      <c r="F354" s="207">
        <v>31.2</v>
      </c>
      <c r="G354" s="207">
        <f t="shared" si="135"/>
        <v>31.2</v>
      </c>
      <c r="H354" s="208" t="s">
        <v>32</v>
      </c>
      <c r="I354" s="207">
        <f t="shared" si="131"/>
        <v>9960.9499999999989</v>
      </c>
      <c r="J354" s="207">
        <f t="shared" si="129"/>
        <v>11420.050000000001</v>
      </c>
      <c r="K354" s="209">
        <f t="shared" si="110"/>
        <v>331.78753334606569</v>
      </c>
      <c r="L354" s="496"/>
      <c r="M354" s="593"/>
      <c r="N354" s="594"/>
      <c r="O354" s="37"/>
      <c r="P354" s="44"/>
    </row>
    <row r="355" spans="1:16" ht="21" customHeight="1">
      <c r="A355" s="576"/>
      <c r="B355" s="566"/>
      <c r="C355" s="571" t="s">
        <v>74</v>
      </c>
      <c r="D355" s="571"/>
      <c r="E355" s="571"/>
      <c r="F355" s="207">
        <v>31.33</v>
      </c>
      <c r="G355" s="207">
        <f t="shared" si="135"/>
        <v>31.33</v>
      </c>
      <c r="H355" s="208" t="s">
        <v>32</v>
      </c>
      <c r="I355" s="207">
        <f t="shared" si="131"/>
        <v>9992.2799999999988</v>
      </c>
      <c r="J355" s="207">
        <f t="shared" si="129"/>
        <v>11388.720000000001</v>
      </c>
      <c r="K355" s="209">
        <f t="shared" si="110"/>
        <v>332.53229699006874</v>
      </c>
      <c r="L355" s="496"/>
      <c r="M355" s="593"/>
      <c r="N355" s="594"/>
      <c r="O355" s="37"/>
      <c r="P355" s="37"/>
    </row>
    <row r="356" spans="1:16" ht="21" customHeight="1">
      <c r="A356" s="577"/>
      <c r="B356" s="567"/>
      <c r="C356" s="571" t="s">
        <v>74</v>
      </c>
      <c r="D356" s="571"/>
      <c r="E356" s="571"/>
      <c r="F356" s="207">
        <v>31.24</v>
      </c>
      <c r="G356" s="207">
        <f t="shared" si="135"/>
        <v>31.24</v>
      </c>
      <c r="H356" s="208" t="s">
        <v>32</v>
      </c>
      <c r="I356" s="207">
        <f t="shared" si="131"/>
        <v>10023.519999999999</v>
      </c>
      <c r="J356" s="207">
        <f t="shared" si="129"/>
        <v>11357.480000000001</v>
      </c>
      <c r="K356" s="209">
        <f t="shared" si="110"/>
        <v>333.2749211917494</v>
      </c>
      <c r="L356" s="496"/>
      <c r="M356" s="593"/>
      <c r="N356" s="594"/>
      <c r="O356" s="37"/>
      <c r="P356" s="37"/>
    </row>
    <row r="357" spans="1:16" ht="21" customHeight="1">
      <c r="A357" s="575">
        <v>9</v>
      </c>
      <c r="B357" s="562" t="s">
        <v>556</v>
      </c>
      <c r="C357" s="573" t="s">
        <v>74</v>
      </c>
      <c r="D357" s="573"/>
      <c r="E357" s="573"/>
      <c r="F357" s="300">
        <v>30.99</v>
      </c>
      <c r="G357" s="300">
        <f t="shared" si="135"/>
        <v>30.99</v>
      </c>
      <c r="H357" s="301" t="s">
        <v>32</v>
      </c>
      <c r="I357" s="300">
        <f t="shared" si="131"/>
        <v>10054.509999999998</v>
      </c>
      <c r="J357" s="300">
        <f t="shared" si="129"/>
        <v>11326.490000000002</v>
      </c>
      <c r="K357" s="302">
        <f t="shared" si="110"/>
        <v>334.01160249809016</v>
      </c>
      <c r="L357" s="499"/>
      <c r="M357" s="593"/>
      <c r="N357" s="594"/>
      <c r="O357" s="37"/>
      <c r="P357" s="37"/>
    </row>
    <row r="358" spans="1:16" ht="21" customHeight="1">
      <c r="A358" s="576"/>
      <c r="B358" s="563"/>
      <c r="C358" s="573" t="s">
        <v>74</v>
      </c>
      <c r="D358" s="573"/>
      <c r="E358" s="573"/>
      <c r="F358" s="300">
        <v>31.2</v>
      </c>
      <c r="G358" s="300">
        <f t="shared" si="135"/>
        <v>31.2</v>
      </c>
      <c r="H358" s="301" t="s">
        <v>32</v>
      </c>
      <c r="I358" s="300">
        <f t="shared" si="131"/>
        <v>10085.709999999999</v>
      </c>
      <c r="J358" s="300">
        <f t="shared" si="129"/>
        <v>11295.29</v>
      </c>
      <c r="K358" s="302">
        <f t="shared" si="110"/>
        <v>334.75327583651642</v>
      </c>
      <c r="L358" s="499"/>
      <c r="M358" s="593"/>
      <c r="N358" s="594"/>
      <c r="O358" s="37"/>
      <c r="P358" s="37"/>
    </row>
    <row r="359" spans="1:16" ht="21" customHeight="1">
      <c r="A359" s="577"/>
      <c r="B359" s="564"/>
      <c r="C359" s="573" t="s">
        <v>74</v>
      </c>
      <c r="D359" s="573"/>
      <c r="E359" s="573"/>
      <c r="F359" s="300">
        <v>31</v>
      </c>
      <c r="G359" s="300">
        <f t="shared" si="135"/>
        <v>31</v>
      </c>
      <c r="H359" s="301" t="s">
        <v>32</v>
      </c>
      <c r="I359" s="300">
        <f t="shared" si="131"/>
        <v>10116.709999999999</v>
      </c>
      <c r="J359" s="300">
        <f t="shared" si="129"/>
        <v>11264.29</v>
      </c>
      <c r="K359" s="302">
        <f t="shared" si="110"/>
        <v>335.49019485867075</v>
      </c>
      <c r="L359" s="499"/>
      <c r="M359" s="593"/>
      <c r="N359" s="594"/>
      <c r="O359" s="37"/>
      <c r="P359" s="37"/>
    </row>
    <row r="360" spans="1:16" ht="21" customHeight="1">
      <c r="A360" s="575">
        <v>10</v>
      </c>
      <c r="B360" s="565" t="s">
        <v>557</v>
      </c>
      <c r="C360" s="571" t="s">
        <v>74</v>
      </c>
      <c r="D360" s="571"/>
      <c r="E360" s="571"/>
      <c r="F360" s="207">
        <v>31.18</v>
      </c>
      <c r="G360" s="207">
        <f t="shared" si="135"/>
        <v>31.18</v>
      </c>
      <c r="H360" s="208" t="s">
        <v>32</v>
      </c>
      <c r="I360" s="207">
        <f t="shared" si="131"/>
        <v>10147.89</v>
      </c>
      <c r="J360" s="207">
        <f t="shared" si="129"/>
        <v>11233.11</v>
      </c>
      <c r="K360" s="209">
        <f t="shared" si="110"/>
        <v>336.23139276546982</v>
      </c>
      <c r="L360" s="496"/>
      <c r="M360" s="593"/>
      <c r="N360" s="594"/>
      <c r="O360" s="37"/>
      <c r="P360" s="37"/>
    </row>
    <row r="361" spans="1:16" ht="21" customHeight="1">
      <c r="A361" s="576"/>
      <c r="B361" s="566"/>
      <c r="C361" s="571" t="s">
        <v>74</v>
      </c>
      <c r="D361" s="571"/>
      <c r="E361" s="571"/>
      <c r="F361" s="207">
        <v>31.3</v>
      </c>
      <c r="G361" s="207">
        <f t="shared" si="135"/>
        <v>31.3</v>
      </c>
      <c r="H361" s="208" t="s">
        <v>32</v>
      </c>
      <c r="I361" s="207">
        <f t="shared" si="131"/>
        <v>10179.189999999999</v>
      </c>
      <c r="J361" s="207">
        <f t="shared" si="129"/>
        <v>11201.810000000001</v>
      </c>
      <c r="K361" s="209">
        <f t="shared" si="110"/>
        <v>336.97544326203206</v>
      </c>
      <c r="L361" s="496"/>
      <c r="M361" s="593"/>
      <c r="N361" s="594"/>
      <c r="O361" s="37"/>
      <c r="P361" s="37"/>
    </row>
    <row r="362" spans="1:16" ht="21" customHeight="1">
      <c r="A362" s="577"/>
      <c r="B362" s="567"/>
      <c r="C362" s="571" t="s">
        <v>74</v>
      </c>
      <c r="D362" s="571"/>
      <c r="E362" s="571"/>
      <c r="F362" s="207">
        <v>31</v>
      </c>
      <c r="G362" s="207">
        <f t="shared" si="135"/>
        <v>31</v>
      </c>
      <c r="H362" s="208" t="s">
        <v>32</v>
      </c>
      <c r="I362" s="207">
        <f t="shared" si="131"/>
        <v>10210.189999999999</v>
      </c>
      <c r="J362" s="207">
        <f t="shared" si="129"/>
        <v>11170.810000000001</v>
      </c>
      <c r="K362" s="209">
        <f t="shared" si="110"/>
        <v>337.71236228418638</v>
      </c>
      <c r="L362" s="496"/>
      <c r="M362" s="593"/>
      <c r="N362" s="594"/>
      <c r="O362" s="37"/>
      <c r="P362" s="37"/>
    </row>
    <row r="363" spans="1:16" ht="21" customHeight="1">
      <c r="A363" s="575">
        <v>11</v>
      </c>
      <c r="B363" s="562" t="s">
        <v>425</v>
      </c>
      <c r="C363" s="573" t="s">
        <v>74</v>
      </c>
      <c r="D363" s="573"/>
      <c r="E363" s="573"/>
      <c r="F363" s="300">
        <v>30.85</v>
      </c>
      <c r="G363" s="300">
        <f t="shared" si="135"/>
        <v>30.85</v>
      </c>
      <c r="H363" s="301" t="s">
        <v>32</v>
      </c>
      <c r="I363" s="300">
        <f t="shared" si="131"/>
        <v>10241.039999999999</v>
      </c>
      <c r="J363" s="300">
        <f t="shared" si="129"/>
        <v>11139.960000000001</v>
      </c>
      <c r="K363" s="302">
        <f t="shared" si="110"/>
        <v>338.44571556913672</v>
      </c>
      <c r="L363" s="499"/>
      <c r="M363" s="593"/>
      <c r="N363" s="594"/>
      <c r="O363" s="37"/>
      <c r="P363" s="37"/>
    </row>
    <row r="364" spans="1:16" ht="21" customHeight="1">
      <c r="A364" s="576"/>
      <c r="B364" s="563"/>
      <c r="C364" s="573" t="s">
        <v>74</v>
      </c>
      <c r="D364" s="573"/>
      <c r="E364" s="573"/>
      <c r="F364" s="300">
        <v>31.11</v>
      </c>
      <c r="G364" s="300">
        <f t="shared" si="135"/>
        <v>31.11</v>
      </c>
      <c r="H364" s="301" t="s">
        <v>32</v>
      </c>
      <c r="I364" s="300">
        <f t="shared" si="131"/>
        <v>10272.15</v>
      </c>
      <c r="J364" s="300">
        <f t="shared" si="129"/>
        <v>11108.85</v>
      </c>
      <c r="K364" s="302">
        <f t="shared" si="110"/>
        <v>339.18524946524064</v>
      </c>
      <c r="L364" s="499"/>
      <c r="M364" s="593"/>
      <c r="N364" s="594"/>
      <c r="O364" s="37"/>
      <c r="P364" s="37"/>
    </row>
    <row r="365" spans="1:16" ht="21" customHeight="1">
      <c r="A365" s="577"/>
      <c r="B365" s="564"/>
      <c r="C365" s="573" t="s">
        <v>74</v>
      </c>
      <c r="D365" s="573"/>
      <c r="E365" s="573"/>
      <c r="F365" s="300">
        <v>31.17</v>
      </c>
      <c r="G365" s="300">
        <f t="shared" si="135"/>
        <v>31.17</v>
      </c>
      <c r="H365" s="301" t="s">
        <v>32</v>
      </c>
      <c r="I365" s="300">
        <f t="shared" si="131"/>
        <v>10303.32</v>
      </c>
      <c r="J365" s="300">
        <f t="shared" si="129"/>
        <v>11077.68</v>
      </c>
      <c r="K365" s="302">
        <f t="shared" si="110"/>
        <v>339.92620965622609</v>
      </c>
      <c r="L365" s="499"/>
      <c r="M365" s="593"/>
      <c r="N365" s="594"/>
      <c r="O365" s="37"/>
      <c r="P365" s="37"/>
    </row>
    <row r="366" spans="1:16" ht="21" customHeight="1">
      <c r="A366" s="575">
        <v>12</v>
      </c>
      <c r="B366" s="565" t="s">
        <v>426</v>
      </c>
      <c r="C366" s="571" t="s">
        <v>74</v>
      </c>
      <c r="D366" s="571"/>
      <c r="E366" s="571"/>
      <c r="F366" s="207">
        <v>31.16</v>
      </c>
      <c r="G366" s="207">
        <f t="shared" si="135"/>
        <v>31.16</v>
      </c>
      <c r="H366" s="208" t="s">
        <v>32</v>
      </c>
      <c r="I366" s="207">
        <f t="shared" si="131"/>
        <v>10334.48</v>
      </c>
      <c r="J366" s="207">
        <f t="shared" si="129"/>
        <v>11046.52</v>
      </c>
      <c r="K366" s="209">
        <f t="shared" si="110"/>
        <v>340.66693213139797</v>
      </c>
      <c r="L366" s="496"/>
      <c r="M366" s="593"/>
      <c r="N366" s="594"/>
      <c r="O366" s="37"/>
      <c r="P366" s="37"/>
    </row>
    <row r="367" spans="1:16" ht="21" customHeight="1">
      <c r="A367" s="576"/>
      <c r="B367" s="566"/>
      <c r="C367" s="571" t="s">
        <v>74</v>
      </c>
      <c r="D367" s="571"/>
      <c r="E367" s="571"/>
      <c r="F367" s="207">
        <v>31.19</v>
      </c>
      <c r="G367" s="207">
        <f t="shared" si="135"/>
        <v>31.19</v>
      </c>
      <c r="H367" s="208" t="s">
        <v>32</v>
      </c>
      <c r="I367" s="207">
        <f t="shared" si="131"/>
        <v>10365.67</v>
      </c>
      <c r="J367" s="207">
        <f t="shared" si="129"/>
        <v>11015.33</v>
      </c>
      <c r="K367" s="209">
        <f t="shared" si="110"/>
        <v>341.40836775401067</v>
      </c>
      <c r="L367" s="496"/>
      <c r="M367" s="593"/>
      <c r="N367" s="594"/>
      <c r="O367" s="37"/>
      <c r="P367" s="37"/>
    </row>
    <row r="368" spans="1:16" ht="21" customHeight="1">
      <c r="A368" s="577"/>
      <c r="B368" s="567"/>
      <c r="C368" s="571" t="s">
        <v>74</v>
      </c>
      <c r="D368" s="571"/>
      <c r="E368" s="571"/>
      <c r="F368" s="207">
        <v>31.1</v>
      </c>
      <c r="G368" s="207">
        <f t="shared" si="135"/>
        <v>31.1</v>
      </c>
      <c r="H368" s="208" t="s">
        <v>32</v>
      </c>
      <c r="I368" s="207">
        <f t="shared" si="131"/>
        <v>10396.77</v>
      </c>
      <c r="J368" s="207">
        <f t="shared" si="129"/>
        <v>10984.23</v>
      </c>
      <c r="K368" s="209">
        <f t="shared" si="110"/>
        <v>342.14766393430102</v>
      </c>
      <c r="L368" s="496"/>
      <c r="M368" s="593"/>
      <c r="N368" s="594"/>
      <c r="O368" s="37"/>
      <c r="P368" s="37"/>
    </row>
    <row r="369" spans="1:16" ht="21" hidden="1" customHeight="1">
      <c r="A369" s="587"/>
      <c r="B369" s="588"/>
      <c r="C369" s="589"/>
      <c r="D369" s="590"/>
      <c r="E369" s="591"/>
      <c r="F369" s="249"/>
      <c r="G369" s="249"/>
      <c r="H369" s="387" t="s">
        <v>35</v>
      </c>
      <c r="I369" s="249">
        <f t="shared" si="131"/>
        <v>10396.77</v>
      </c>
      <c r="J369" s="249">
        <f t="shared" ref="J369" si="136">IF(I369="","",$M$9-I369)</f>
        <v>10984.23</v>
      </c>
      <c r="K369" s="251">
        <f t="shared" si="110"/>
        <v>342.14766393430102</v>
      </c>
      <c r="L369" s="501"/>
      <c r="M369" s="593"/>
      <c r="N369" s="594"/>
      <c r="O369" s="37"/>
      <c r="P369" s="37"/>
    </row>
    <row r="370" spans="1:16" ht="21" customHeight="1">
      <c r="A370" s="575">
        <f>A366+1</f>
        <v>13</v>
      </c>
      <c r="B370" s="580" t="s">
        <v>503</v>
      </c>
      <c r="C370" s="600" t="s">
        <v>423</v>
      </c>
      <c r="D370" s="600"/>
      <c r="E370" s="600"/>
      <c r="F370" s="212">
        <v>30.31</v>
      </c>
      <c r="G370" s="212">
        <f t="shared" si="125"/>
        <v>30.31</v>
      </c>
      <c r="H370" s="213" t="s">
        <v>32</v>
      </c>
      <c r="I370" s="212">
        <f t="shared" ref="I370" si="137">IF(H370="IN",I369+G370,I369)</f>
        <v>10427.08</v>
      </c>
      <c r="J370" s="212">
        <f t="shared" ref="J370" si="138">IF(I370="","",$M$9-I370)</f>
        <v>10953.92</v>
      </c>
      <c r="K370" s="214">
        <f t="shared" si="110"/>
        <v>342.86818056531706</v>
      </c>
      <c r="L370" s="502"/>
      <c r="M370" s="593"/>
      <c r="N370" s="594"/>
      <c r="O370" s="37"/>
      <c r="P370" s="37"/>
    </row>
    <row r="371" spans="1:16" ht="21" customHeight="1">
      <c r="A371" s="576"/>
      <c r="B371" s="581"/>
      <c r="C371" s="600" t="s">
        <v>423</v>
      </c>
      <c r="D371" s="600"/>
      <c r="E371" s="600"/>
      <c r="F371" s="212">
        <v>30.55</v>
      </c>
      <c r="G371" s="212">
        <f t="shared" si="125"/>
        <v>30.55</v>
      </c>
      <c r="H371" s="213" t="s">
        <v>32</v>
      </c>
      <c r="I371" s="212">
        <f t="shared" si="124"/>
        <v>10457.629999999999</v>
      </c>
      <c r="J371" s="212">
        <f t="shared" si="117"/>
        <v>10923.37</v>
      </c>
      <c r="K371" s="214">
        <f t="shared" si="110"/>
        <v>343.59440237585943</v>
      </c>
      <c r="L371" s="502"/>
      <c r="M371" s="593"/>
      <c r="N371" s="594"/>
      <c r="O371" s="195"/>
      <c r="P371" s="37"/>
    </row>
    <row r="372" spans="1:16" ht="21" customHeight="1">
      <c r="A372" s="577"/>
      <c r="B372" s="582"/>
      <c r="C372" s="600" t="s">
        <v>423</v>
      </c>
      <c r="D372" s="600"/>
      <c r="E372" s="600"/>
      <c r="F372" s="212">
        <v>30.54</v>
      </c>
      <c r="G372" s="212">
        <f t="shared" si="125"/>
        <v>30.54</v>
      </c>
      <c r="H372" s="213" t="s">
        <v>32</v>
      </c>
      <c r="I372" s="212">
        <f t="shared" si="124"/>
        <v>10488.17</v>
      </c>
      <c r="J372" s="212">
        <f t="shared" si="117"/>
        <v>10892.83</v>
      </c>
      <c r="K372" s="214">
        <f t="shared" si="110"/>
        <v>344.32038647058823</v>
      </c>
      <c r="L372" s="502"/>
      <c r="M372" s="593"/>
      <c r="N372" s="594"/>
      <c r="O372" s="195"/>
      <c r="P372" s="37"/>
    </row>
    <row r="373" spans="1:16" ht="21" customHeight="1">
      <c r="A373" s="575">
        <f>A370+1</f>
        <v>14</v>
      </c>
      <c r="B373" s="583" t="s">
        <v>506</v>
      </c>
      <c r="C373" s="571" t="s">
        <v>423</v>
      </c>
      <c r="D373" s="571"/>
      <c r="E373" s="571"/>
      <c r="F373" s="207">
        <v>30.43</v>
      </c>
      <c r="G373" s="207">
        <f t="shared" si="125"/>
        <v>30.43</v>
      </c>
      <c r="H373" s="208" t="s">
        <v>32</v>
      </c>
      <c r="I373" s="207">
        <f t="shared" si="124"/>
        <v>10518.6</v>
      </c>
      <c r="J373" s="207">
        <f t="shared" si="117"/>
        <v>10862.4</v>
      </c>
      <c r="K373" s="209">
        <f t="shared" si="110"/>
        <v>345.04375569136749</v>
      </c>
      <c r="L373" s="496"/>
      <c r="M373" s="593"/>
      <c r="N373" s="594"/>
      <c r="O373" s="190"/>
      <c r="P373" s="37"/>
    </row>
    <row r="374" spans="1:16" ht="21" customHeight="1">
      <c r="A374" s="576"/>
      <c r="B374" s="578"/>
      <c r="C374" s="571" t="s">
        <v>423</v>
      </c>
      <c r="D374" s="571"/>
      <c r="E374" s="571"/>
      <c r="F374" s="207">
        <v>30.32</v>
      </c>
      <c r="G374" s="207">
        <f t="shared" si="125"/>
        <v>30.32</v>
      </c>
      <c r="H374" s="208" t="s">
        <v>32</v>
      </c>
      <c r="I374" s="207">
        <f t="shared" si="124"/>
        <v>10548.92</v>
      </c>
      <c r="J374" s="207">
        <f t="shared" si="117"/>
        <v>10832.08</v>
      </c>
      <c r="K374" s="209">
        <f t="shared" si="110"/>
        <v>345.7645100381971</v>
      </c>
      <c r="L374" s="496"/>
      <c r="M374" s="593"/>
      <c r="N374" s="594"/>
      <c r="O374" s="37"/>
      <c r="P374" s="37"/>
    </row>
    <row r="375" spans="1:16" ht="21" customHeight="1">
      <c r="A375" s="577"/>
      <c r="B375" s="579"/>
      <c r="C375" s="571" t="s">
        <v>423</v>
      </c>
      <c r="D375" s="571"/>
      <c r="E375" s="571"/>
      <c r="F375" s="207">
        <v>30.47</v>
      </c>
      <c r="G375" s="207">
        <f t="shared" si="125"/>
        <v>30.47</v>
      </c>
      <c r="H375" s="208" t="s">
        <v>32</v>
      </c>
      <c r="I375" s="207">
        <f t="shared" si="124"/>
        <v>10579.39</v>
      </c>
      <c r="J375" s="207">
        <f t="shared" si="117"/>
        <v>10801.61</v>
      </c>
      <c r="K375" s="209">
        <f t="shared" ref="K375:K438" si="139">$H$8+(I375*$E$9*$E$15/1000)</f>
        <v>346.48883012223075</v>
      </c>
      <c r="L375" s="496"/>
      <c r="M375" s="593"/>
      <c r="N375" s="594"/>
      <c r="O375" s="37"/>
      <c r="P375" s="37"/>
    </row>
    <row r="376" spans="1:16" ht="21" customHeight="1">
      <c r="A376" s="575">
        <f t="shared" ref="A376" si="140">A373+1</f>
        <v>15</v>
      </c>
      <c r="B376" s="580" t="s">
        <v>507</v>
      </c>
      <c r="C376" s="600" t="s">
        <v>423</v>
      </c>
      <c r="D376" s="600"/>
      <c r="E376" s="600"/>
      <c r="F376" s="212">
        <v>30.29</v>
      </c>
      <c r="G376" s="212">
        <f t="shared" si="125"/>
        <v>30.29</v>
      </c>
      <c r="H376" s="213" t="s">
        <v>32</v>
      </c>
      <c r="I376" s="212">
        <f t="shared" si="124"/>
        <v>10609.68</v>
      </c>
      <c r="J376" s="212">
        <f t="shared" si="117"/>
        <v>10771.32</v>
      </c>
      <c r="K376" s="214">
        <f t="shared" si="139"/>
        <v>347.20887132161954</v>
      </c>
      <c r="L376" s="502"/>
      <c r="M376" s="593"/>
      <c r="N376" s="594"/>
      <c r="O376" s="37"/>
      <c r="P376" s="37"/>
    </row>
    <row r="377" spans="1:16" ht="21" customHeight="1">
      <c r="A377" s="576"/>
      <c r="B377" s="581"/>
      <c r="C377" s="600" t="s">
        <v>423</v>
      </c>
      <c r="D377" s="600"/>
      <c r="E377" s="600"/>
      <c r="F377" s="212">
        <v>30.27</v>
      </c>
      <c r="G377" s="212">
        <f t="shared" si="125"/>
        <v>30.27</v>
      </c>
      <c r="H377" s="213" t="s">
        <v>32</v>
      </c>
      <c r="I377" s="212">
        <f t="shared" si="124"/>
        <v>10639.95</v>
      </c>
      <c r="J377" s="212">
        <f t="shared" si="117"/>
        <v>10741.05</v>
      </c>
      <c r="K377" s="214">
        <f t="shared" si="139"/>
        <v>347.92843708938125</v>
      </c>
      <c r="L377" s="502"/>
      <c r="M377" s="593"/>
      <c r="N377" s="594"/>
      <c r="O377" s="37"/>
      <c r="P377" s="37"/>
    </row>
    <row r="378" spans="1:16" ht="21" customHeight="1">
      <c r="A378" s="577"/>
      <c r="B378" s="582"/>
      <c r="C378" s="600" t="s">
        <v>423</v>
      </c>
      <c r="D378" s="600"/>
      <c r="E378" s="600"/>
      <c r="F378" s="212">
        <v>30.44</v>
      </c>
      <c r="G378" s="212">
        <f t="shared" si="125"/>
        <v>30.44</v>
      </c>
      <c r="H378" s="213" t="s">
        <v>32</v>
      </c>
      <c r="I378" s="212">
        <f t="shared" si="124"/>
        <v>10670.390000000001</v>
      </c>
      <c r="J378" s="212">
        <f t="shared" si="117"/>
        <v>10710.609999999999</v>
      </c>
      <c r="K378" s="214">
        <f t="shared" si="139"/>
        <v>348.65204402597408</v>
      </c>
      <c r="L378" s="502"/>
      <c r="M378" s="593"/>
      <c r="N378" s="594"/>
      <c r="O378" s="37"/>
      <c r="P378" s="37"/>
    </row>
    <row r="379" spans="1:16" ht="21" customHeight="1">
      <c r="A379" s="575">
        <f t="shared" ref="A379" si="141">A376+1</f>
        <v>16</v>
      </c>
      <c r="B379" s="583" t="s">
        <v>508</v>
      </c>
      <c r="C379" s="571" t="s">
        <v>423</v>
      </c>
      <c r="D379" s="571"/>
      <c r="E379" s="571"/>
      <c r="F379" s="207">
        <v>30.62</v>
      </c>
      <c r="G379" s="207">
        <f t="shared" si="125"/>
        <v>30.62</v>
      </c>
      <c r="H379" s="208" t="s">
        <v>32</v>
      </c>
      <c r="I379" s="207">
        <f t="shared" si="124"/>
        <v>10701.010000000002</v>
      </c>
      <c r="J379" s="207">
        <f t="shared" si="117"/>
        <v>10679.989999999998</v>
      </c>
      <c r="K379" s="209">
        <f t="shared" si="139"/>
        <v>349.37992984721166</v>
      </c>
      <c r="L379" s="496"/>
      <c r="M379" s="593"/>
      <c r="N379" s="594"/>
      <c r="O379" s="37"/>
      <c r="P379" s="37"/>
    </row>
    <row r="380" spans="1:16" ht="21" customHeight="1">
      <c r="A380" s="576"/>
      <c r="B380" s="578"/>
      <c r="C380" s="571" t="s">
        <v>423</v>
      </c>
      <c r="D380" s="571"/>
      <c r="E380" s="571"/>
      <c r="F380" s="207">
        <v>30.56</v>
      </c>
      <c r="G380" s="207">
        <f t="shared" si="125"/>
        <v>30.56</v>
      </c>
      <c r="H380" s="208" t="s">
        <v>32</v>
      </c>
      <c r="I380" s="207">
        <f t="shared" si="124"/>
        <v>10731.570000000002</v>
      </c>
      <c r="J380" s="207">
        <f t="shared" si="117"/>
        <v>10649.429999999998</v>
      </c>
      <c r="K380" s="209">
        <f t="shared" si="139"/>
        <v>350.10638937356765</v>
      </c>
      <c r="L380" s="496"/>
      <c r="M380" s="593"/>
      <c r="N380" s="594"/>
      <c r="O380" s="37"/>
      <c r="P380" s="37"/>
    </row>
    <row r="381" spans="1:16" ht="21" customHeight="1">
      <c r="A381" s="577"/>
      <c r="B381" s="579"/>
      <c r="C381" s="571" t="s">
        <v>423</v>
      </c>
      <c r="D381" s="571"/>
      <c r="E381" s="571"/>
      <c r="F381" s="207">
        <v>30.3</v>
      </c>
      <c r="G381" s="207">
        <f t="shared" si="125"/>
        <v>30.3</v>
      </c>
      <c r="H381" s="208" t="s">
        <v>32</v>
      </c>
      <c r="I381" s="207">
        <f t="shared" si="124"/>
        <v>10761.87</v>
      </c>
      <c r="J381" s="207">
        <f t="shared" si="117"/>
        <v>10619.13</v>
      </c>
      <c r="K381" s="209">
        <f t="shared" si="139"/>
        <v>350.82666828877007</v>
      </c>
      <c r="L381" s="496"/>
      <c r="M381" s="593"/>
      <c r="N381" s="594"/>
      <c r="O381" s="37"/>
      <c r="P381" s="37"/>
    </row>
    <row r="382" spans="1:16" ht="21" customHeight="1">
      <c r="A382" s="575">
        <f t="shared" ref="A382" si="142">A379+1</f>
        <v>17</v>
      </c>
      <c r="B382" s="580" t="s">
        <v>509</v>
      </c>
      <c r="C382" s="600" t="s">
        <v>636</v>
      </c>
      <c r="D382" s="600"/>
      <c r="E382" s="600"/>
      <c r="F382" s="212">
        <v>30.08</v>
      </c>
      <c r="G382" s="212">
        <f t="shared" si="125"/>
        <v>30.08</v>
      </c>
      <c r="H382" s="213" t="s">
        <v>32</v>
      </c>
      <c r="I382" s="212">
        <f t="shared" si="124"/>
        <v>10791.95</v>
      </c>
      <c r="J382" s="212">
        <f t="shared" si="117"/>
        <v>10589.05</v>
      </c>
      <c r="K382" s="214">
        <f t="shared" si="139"/>
        <v>351.5417174560734</v>
      </c>
      <c r="L382" s="502"/>
      <c r="M382" s="593"/>
      <c r="N382" s="594"/>
      <c r="O382" s="37"/>
      <c r="P382" s="37"/>
    </row>
    <row r="383" spans="1:16" ht="21" customHeight="1">
      <c r="A383" s="576"/>
      <c r="B383" s="581"/>
      <c r="C383" s="600" t="s">
        <v>636</v>
      </c>
      <c r="D383" s="600"/>
      <c r="E383" s="600"/>
      <c r="F383" s="212">
        <v>30.33</v>
      </c>
      <c r="G383" s="212">
        <f t="shared" si="125"/>
        <v>30.33</v>
      </c>
      <c r="H383" s="213" t="s">
        <v>32</v>
      </c>
      <c r="I383" s="212">
        <f t="shared" si="124"/>
        <v>10822.28</v>
      </c>
      <c r="J383" s="212">
        <f t="shared" si="117"/>
        <v>10558.72</v>
      </c>
      <c r="K383" s="214">
        <f t="shared" si="139"/>
        <v>352.26270951871658</v>
      </c>
      <c r="L383" s="502"/>
      <c r="M383" s="593"/>
      <c r="N383" s="594"/>
      <c r="O383" s="37"/>
      <c r="P383" s="37"/>
    </row>
    <row r="384" spans="1:16" ht="21" customHeight="1" thickBot="1">
      <c r="A384" s="576"/>
      <c r="B384" s="581"/>
      <c r="C384" s="623" t="s">
        <v>636</v>
      </c>
      <c r="D384" s="623"/>
      <c r="E384" s="623"/>
      <c r="F384" s="415">
        <v>30.61</v>
      </c>
      <c r="G384" s="415">
        <f t="shared" si="125"/>
        <v>30.61</v>
      </c>
      <c r="H384" s="416" t="s">
        <v>32</v>
      </c>
      <c r="I384" s="415">
        <f t="shared" ref="I384:I386" si="143">IF(H384="IN",I383+G384,I383)</f>
        <v>10852.890000000001</v>
      </c>
      <c r="J384" s="415">
        <f t="shared" ref="J384:J386" si="144">IF(I384="","",$M$9-I384)</f>
        <v>10528.109999999999</v>
      </c>
      <c r="K384" s="417">
        <f t="shared" si="139"/>
        <v>352.99035762414064</v>
      </c>
      <c r="L384" s="503"/>
      <c r="M384" s="593"/>
      <c r="N384" s="594"/>
      <c r="O384" s="37"/>
      <c r="P384" s="37"/>
    </row>
    <row r="385" spans="1:16" ht="21" customHeight="1" thickBot="1">
      <c r="A385" s="612" t="s">
        <v>85</v>
      </c>
      <c r="B385" s="613"/>
      <c r="C385" s="614" t="s">
        <v>573</v>
      </c>
      <c r="D385" s="614"/>
      <c r="E385" s="614"/>
      <c r="F385" s="312">
        <v>3.59</v>
      </c>
      <c r="G385" s="311">
        <f t="shared" si="125"/>
        <v>3.59</v>
      </c>
      <c r="H385" s="312" t="s">
        <v>32</v>
      </c>
      <c r="I385" s="311">
        <f t="shared" si="143"/>
        <v>10856.480000000001</v>
      </c>
      <c r="J385" s="311">
        <f t="shared" si="144"/>
        <v>10524.519999999999</v>
      </c>
      <c r="K385" s="313">
        <f t="shared" si="139"/>
        <v>353.07569760122237</v>
      </c>
      <c r="L385" s="504"/>
      <c r="M385" s="615" t="s">
        <v>575</v>
      </c>
      <c r="N385" s="616"/>
      <c r="O385" s="37"/>
      <c r="P385" s="37"/>
    </row>
    <row r="386" spans="1:16" ht="21" customHeight="1">
      <c r="A386" s="576">
        <f>A382+1</f>
        <v>18</v>
      </c>
      <c r="B386" s="578" t="s">
        <v>639</v>
      </c>
      <c r="C386" s="619" t="s">
        <v>637</v>
      </c>
      <c r="D386" s="620"/>
      <c r="E386" s="621"/>
      <c r="F386" s="244">
        <v>30.81</v>
      </c>
      <c r="G386" s="243">
        <f t="shared" si="125"/>
        <v>30.81</v>
      </c>
      <c r="H386" s="244" t="s">
        <v>32</v>
      </c>
      <c r="I386" s="243">
        <f t="shared" si="143"/>
        <v>10887.29</v>
      </c>
      <c r="J386" s="243">
        <f t="shared" si="144"/>
        <v>10493.71</v>
      </c>
      <c r="K386" s="245">
        <f t="shared" si="139"/>
        <v>353.80810002291827</v>
      </c>
      <c r="L386" s="495"/>
      <c r="M386" s="593"/>
      <c r="N386" s="594"/>
      <c r="O386" s="37"/>
      <c r="P386" s="37"/>
    </row>
    <row r="387" spans="1:16" ht="21" customHeight="1">
      <c r="A387" s="576"/>
      <c r="B387" s="578"/>
      <c r="C387" s="601" t="s">
        <v>638</v>
      </c>
      <c r="D387" s="602"/>
      <c r="E387" s="603"/>
      <c r="F387" s="208">
        <v>30.64</v>
      </c>
      <c r="G387" s="207">
        <f t="shared" si="125"/>
        <v>30.64</v>
      </c>
      <c r="H387" s="208" t="s">
        <v>32</v>
      </c>
      <c r="I387" s="207">
        <f t="shared" si="124"/>
        <v>10917.93</v>
      </c>
      <c r="J387" s="207">
        <f t="shared" si="117"/>
        <v>10463.07</v>
      </c>
      <c r="K387" s="209">
        <f t="shared" si="139"/>
        <v>354.5364612757831</v>
      </c>
      <c r="L387" s="496"/>
      <c r="M387" s="593"/>
      <c r="N387" s="594"/>
      <c r="O387" s="37"/>
      <c r="P387" s="37"/>
    </row>
    <row r="388" spans="1:16" ht="21" customHeight="1">
      <c r="A388" s="577"/>
      <c r="B388" s="579"/>
      <c r="C388" s="601" t="s">
        <v>637</v>
      </c>
      <c r="D388" s="602"/>
      <c r="E388" s="603"/>
      <c r="F388" s="208">
        <v>30.19</v>
      </c>
      <c r="G388" s="207">
        <f t="shared" si="125"/>
        <v>30.19</v>
      </c>
      <c r="H388" s="208" t="s">
        <v>32</v>
      </c>
      <c r="I388" s="207">
        <f t="shared" si="124"/>
        <v>10948.12</v>
      </c>
      <c r="J388" s="207">
        <f t="shared" si="117"/>
        <v>10432.879999999999</v>
      </c>
      <c r="K388" s="209">
        <f t="shared" si="139"/>
        <v>355.25412531703591</v>
      </c>
      <c r="L388" s="496"/>
      <c r="M388" s="593"/>
      <c r="N388" s="594"/>
      <c r="O388" s="37"/>
      <c r="P388" s="37"/>
    </row>
    <row r="389" spans="1:16" ht="21" customHeight="1">
      <c r="A389" s="575">
        <f>A386+1</f>
        <v>19</v>
      </c>
      <c r="B389" s="584" t="s">
        <v>503</v>
      </c>
      <c r="C389" s="598" t="s">
        <v>572</v>
      </c>
      <c r="D389" s="598"/>
      <c r="E389" s="598"/>
      <c r="F389" s="250">
        <v>30.41</v>
      </c>
      <c r="G389" s="249">
        <f t="shared" si="125"/>
        <v>30.41</v>
      </c>
      <c r="H389" s="250" t="s">
        <v>32</v>
      </c>
      <c r="I389" s="249">
        <f>IF(H389="IN",I388+G389,I388)</f>
        <v>10978.53</v>
      </c>
      <c r="J389" s="249">
        <f t="shared" si="117"/>
        <v>10402.469999999999</v>
      </c>
      <c r="K389" s="251">
        <f t="shared" si="139"/>
        <v>355.97701910618792</v>
      </c>
      <c r="L389" s="501"/>
      <c r="M389" s="593"/>
      <c r="N389" s="594"/>
      <c r="O389" s="37"/>
      <c r="P389" s="37"/>
    </row>
    <row r="390" spans="1:16" ht="21" customHeight="1">
      <c r="A390" s="576"/>
      <c r="B390" s="585"/>
      <c r="C390" s="598" t="s">
        <v>572</v>
      </c>
      <c r="D390" s="598"/>
      <c r="E390" s="598"/>
      <c r="F390" s="250">
        <v>30.43</v>
      </c>
      <c r="G390" s="249">
        <f t="shared" si="125"/>
        <v>30.43</v>
      </c>
      <c r="H390" s="250" t="s">
        <v>32</v>
      </c>
      <c r="I390" s="249">
        <f t="shared" si="124"/>
        <v>11008.960000000001</v>
      </c>
      <c r="J390" s="249">
        <f t="shared" si="117"/>
        <v>10372.039999999999</v>
      </c>
      <c r="K390" s="251">
        <f t="shared" si="139"/>
        <v>356.70038832696719</v>
      </c>
      <c r="L390" s="501"/>
      <c r="M390" s="593"/>
      <c r="N390" s="594"/>
      <c r="O390" s="37"/>
      <c r="P390" s="37"/>
    </row>
    <row r="391" spans="1:16" ht="21" customHeight="1">
      <c r="A391" s="577"/>
      <c r="B391" s="586"/>
      <c r="C391" s="598" t="s">
        <v>572</v>
      </c>
      <c r="D391" s="598"/>
      <c r="E391" s="598"/>
      <c r="F391" s="250">
        <v>30.47</v>
      </c>
      <c r="G391" s="249">
        <f t="shared" si="125"/>
        <v>30.47</v>
      </c>
      <c r="H391" s="250" t="s">
        <v>32</v>
      </c>
      <c r="I391" s="249">
        <f t="shared" si="124"/>
        <v>11039.43</v>
      </c>
      <c r="J391" s="249">
        <f t="shared" si="117"/>
        <v>10341.57</v>
      </c>
      <c r="K391" s="251">
        <f t="shared" si="139"/>
        <v>357.42470841100078</v>
      </c>
      <c r="L391" s="501"/>
      <c r="M391" s="593"/>
      <c r="N391" s="594"/>
      <c r="O391" s="37"/>
      <c r="P391" s="37"/>
    </row>
    <row r="392" spans="1:16" ht="21" customHeight="1">
      <c r="A392" s="575">
        <f t="shared" ref="A392" si="145">A389+1</f>
        <v>20</v>
      </c>
      <c r="B392" s="583" t="s">
        <v>504</v>
      </c>
      <c r="C392" s="601" t="s">
        <v>572</v>
      </c>
      <c r="D392" s="602"/>
      <c r="E392" s="603"/>
      <c r="F392" s="208">
        <v>30.51</v>
      </c>
      <c r="G392" s="207">
        <f t="shared" si="125"/>
        <v>30.51</v>
      </c>
      <c r="H392" s="208" t="s">
        <v>32</v>
      </c>
      <c r="I392" s="207">
        <f t="shared" si="124"/>
        <v>11069.94</v>
      </c>
      <c r="J392" s="207">
        <f t="shared" si="117"/>
        <v>10311.06</v>
      </c>
      <c r="K392" s="209">
        <f t="shared" si="139"/>
        <v>358.14997935828882</v>
      </c>
      <c r="L392" s="496"/>
      <c r="M392" s="593"/>
      <c r="N392" s="594"/>
      <c r="O392" s="37"/>
      <c r="P392" s="37"/>
    </row>
    <row r="393" spans="1:16" ht="21" customHeight="1">
      <c r="A393" s="576"/>
      <c r="B393" s="578"/>
      <c r="C393" s="601" t="s">
        <v>572</v>
      </c>
      <c r="D393" s="602"/>
      <c r="E393" s="603"/>
      <c r="F393" s="208">
        <v>30.7</v>
      </c>
      <c r="G393" s="207">
        <f t="shared" si="125"/>
        <v>30.7</v>
      </c>
      <c r="H393" s="208" t="s">
        <v>32</v>
      </c>
      <c r="I393" s="207">
        <f t="shared" ref="I393:I400" si="146">IF(H393="IN",I392+G393,I392)</f>
        <v>11100.640000000001</v>
      </c>
      <c r="J393" s="207">
        <f t="shared" ref="J393:J400" si="147">IF(I393="","",$M$9-I393)</f>
        <v>10280.359999999999</v>
      </c>
      <c r="K393" s="209">
        <f t="shared" si="139"/>
        <v>358.87976690603517</v>
      </c>
      <c r="L393" s="496"/>
      <c r="M393" s="593"/>
      <c r="N393" s="594"/>
      <c r="O393" s="37"/>
      <c r="P393" s="37"/>
    </row>
    <row r="394" spans="1:16" ht="21" customHeight="1">
      <c r="A394" s="577"/>
      <c r="B394" s="579"/>
      <c r="C394" s="601" t="s">
        <v>572</v>
      </c>
      <c r="D394" s="602"/>
      <c r="E394" s="603"/>
      <c r="F394" s="208">
        <v>30.56</v>
      </c>
      <c r="G394" s="207">
        <f t="shared" si="125"/>
        <v>30.56</v>
      </c>
      <c r="H394" s="208" t="s">
        <v>32</v>
      </c>
      <c r="I394" s="207">
        <f t="shared" si="146"/>
        <v>11131.2</v>
      </c>
      <c r="J394" s="207">
        <f t="shared" si="147"/>
        <v>10249.799999999999</v>
      </c>
      <c r="K394" s="209">
        <f t="shared" si="139"/>
        <v>359.60622643239122</v>
      </c>
      <c r="L394" s="496"/>
      <c r="M394" s="593"/>
      <c r="N394" s="594"/>
      <c r="O394" s="37"/>
      <c r="P394" s="37"/>
    </row>
    <row r="395" spans="1:16" ht="21" customHeight="1">
      <c r="A395" s="575">
        <f t="shared" ref="A395" si="148">A392+1</f>
        <v>21</v>
      </c>
      <c r="B395" s="584" t="s">
        <v>571</v>
      </c>
      <c r="C395" s="598" t="s">
        <v>572</v>
      </c>
      <c r="D395" s="598"/>
      <c r="E395" s="598"/>
      <c r="F395" s="250">
        <v>30.48</v>
      </c>
      <c r="G395" s="249">
        <f t="shared" si="125"/>
        <v>30.48</v>
      </c>
      <c r="H395" s="250" t="s">
        <v>32</v>
      </c>
      <c r="I395" s="249">
        <f t="shared" si="146"/>
        <v>11161.68</v>
      </c>
      <c r="J395" s="249">
        <f t="shared" si="147"/>
        <v>10219.32</v>
      </c>
      <c r="K395" s="251">
        <f t="shared" si="139"/>
        <v>360.33078423223839</v>
      </c>
      <c r="L395" s="501"/>
      <c r="M395" s="593"/>
      <c r="N395" s="594"/>
      <c r="O395" s="37"/>
      <c r="P395" s="37"/>
    </row>
    <row r="396" spans="1:16" ht="21" customHeight="1">
      <c r="A396" s="576"/>
      <c r="B396" s="585"/>
      <c r="C396" s="598" t="s">
        <v>572</v>
      </c>
      <c r="D396" s="598"/>
      <c r="E396" s="598"/>
      <c r="F396" s="250">
        <v>30.39</v>
      </c>
      <c r="G396" s="249">
        <f t="shared" si="125"/>
        <v>30.39</v>
      </c>
      <c r="H396" s="250" t="s">
        <v>32</v>
      </c>
      <c r="I396" s="249">
        <f t="shared" si="146"/>
        <v>11192.07</v>
      </c>
      <c r="J396" s="249">
        <f t="shared" si="147"/>
        <v>10188.93</v>
      </c>
      <c r="K396" s="251">
        <f t="shared" si="139"/>
        <v>361.05320258976315</v>
      </c>
      <c r="L396" s="501"/>
      <c r="M396" s="593"/>
      <c r="N396" s="594"/>
      <c r="O396" s="37"/>
      <c r="P396" s="37"/>
    </row>
    <row r="397" spans="1:16" ht="21" customHeight="1">
      <c r="A397" s="577"/>
      <c r="B397" s="586"/>
      <c r="C397" s="598" t="s">
        <v>572</v>
      </c>
      <c r="D397" s="598"/>
      <c r="E397" s="598"/>
      <c r="F397" s="314">
        <v>30.34</v>
      </c>
      <c r="G397" s="249">
        <f t="shared" si="125"/>
        <v>30.34</v>
      </c>
      <c r="H397" s="250" t="s">
        <v>32</v>
      </c>
      <c r="I397" s="249">
        <f t="shared" si="146"/>
        <v>11222.41</v>
      </c>
      <c r="J397" s="249">
        <f t="shared" si="147"/>
        <v>10158.59</v>
      </c>
      <c r="K397" s="251">
        <f t="shared" si="139"/>
        <v>361.77443236822006</v>
      </c>
      <c r="L397" s="501"/>
      <c r="M397" s="593"/>
      <c r="N397" s="594"/>
      <c r="O397" s="37"/>
      <c r="P397" s="37"/>
    </row>
    <row r="398" spans="1:16" ht="21" customHeight="1">
      <c r="A398" s="575">
        <f t="shared" ref="A398" si="149">A395+1</f>
        <v>22</v>
      </c>
      <c r="B398" s="583" t="s">
        <v>508</v>
      </c>
      <c r="C398" s="571" t="s">
        <v>572</v>
      </c>
      <c r="D398" s="571"/>
      <c r="E398" s="571"/>
      <c r="F398" s="208">
        <v>30.39</v>
      </c>
      <c r="G398" s="207">
        <f t="shared" si="125"/>
        <v>30.39</v>
      </c>
      <c r="H398" s="208" t="s">
        <v>32</v>
      </c>
      <c r="I398" s="207">
        <f t="shared" si="146"/>
        <v>11252.8</v>
      </c>
      <c r="J398" s="207">
        <f t="shared" si="147"/>
        <v>10128.200000000001</v>
      </c>
      <c r="K398" s="209">
        <f t="shared" si="139"/>
        <v>362.49685072574482</v>
      </c>
      <c r="L398" s="496"/>
      <c r="M398" s="593"/>
      <c r="N398" s="594"/>
      <c r="O398" s="37"/>
      <c r="P398" s="37"/>
    </row>
    <row r="399" spans="1:16" ht="21" customHeight="1">
      <c r="A399" s="576"/>
      <c r="B399" s="578"/>
      <c r="C399" s="571" t="s">
        <v>572</v>
      </c>
      <c r="D399" s="571"/>
      <c r="E399" s="571"/>
      <c r="F399" s="208">
        <v>30.5</v>
      </c>
      <c r="G399" s="207">
        <f t="shared" si="125"/>
        <v>30.5</v>
      </c>
      <c r="H399" s="208" t="s">
        <v>32</v>
      </c>
      <c r="I399" s="207">
        <f t="shared" si="146"/>
        <v>11283.3</v>
      </c>
      <c r="J399" s="207">
        <f t="shared" si="147"/>
        <v>10097.700000000001</v>
      </c>
      <c r="K399" s="209">
        <f t="shared" si="139"/>
        <v>363.22188395721918</v>
      </c>
      <c r="L399" s="496"/>
      <c r="M399" s="593"/>
      <c r="N399" s="594"/>
      <c r="O399" s="37"/>
      <c r="P399" s="37"/>
    </row>
    <row r="400" spans="1:16" ht="21" customHeight="1" thickBot="1">
      <c r="A400" s="577"/>
      <c r="B400" s="592"/>
      <c r="C400" s="694" t="s">
        <v>572</v>
      </c>
      <c r="D400" s="694"/>
      <c r="E400" s="694"/>
      <c r="F400" s="211">
        <v>30.42</v>
      </c>
      <c r="G400" s="210">
        <f t="shared" si="125"/>
        <v>30.42</v>
      </c>
      <c r="H400" s="211" t="s">
        <v>32</v>
      </c>
      <c r="I400" s="210">
        <f t="shared" si="146"/>
        <v>11313.72</v>
      </c>
      <c r="J400" s="210">
        <f t="shared" si="147"/>
        <v>10067.280000000001</v>
      </c>
      <c r="K400" s="209">
        <f t="shared" si="139"/>
        <v>363.94501546218493</v>
      </c>
      <c r="L400" s="496"/>
      <c r="M400" s="593"/>
      <c r="N400" s="594"/>
      <c r="O400" s="37"/>
      <c r="P400" s="37"/>
    </row>
    <row r="401" spans="1:16" ht="21" customHeight="1" thickBot="1">
      <c r="A401" s="612" t="s">
        <v>85</v>
      </c>
      <c r="B401" s="613"/>
      <c r="C401" s="614" t="s">
        <v>574</v>
      </c>
      <c r="D401" s="614"/>
      <c r="E401" s="614"/>
      <c r="F401" s="312">
        <v>3.58</v>
      </c>
      <c r="G401" s="311">
        <f>F401</f>
        <v>3.58</v>
      </c>
      <c r="H401" s="311" t="s">
        <v>32</v>
      </c>
      <c r="I401" s="311">
        <f t="shared" ref="I401:I402" si="150">IF(H401="IN",I400+G401,I400)</f>
        <v>11317.3</v>
      </c>
      <c r="J401" s="311">
        <f t="shared" ref="J401:J402" si="151">IF(I401="","",$M$9-I401)</f>
        <v>10063.700000000001</v>
      </c>
      <c r="K401" s="313">
        <f t="shared" si="139"/>
        <v>364.03011772345297</v>
      </c>
      <c r="L401" s="504"/>
      <c r="M401" s="615" t="s">
        <v>576</v>
      </c>
      <c r="N401" s="616"/>
      <c r="O401" s="37"/>
      <c r="P401" s="37"/>
    </row>
    <row r="402" spans="1:16" ht="21" customHeight="1">
      <c r="A402" s="570">
        <f>A398+1</f>
        <v>23</v>
      </c>
      <c r="B402" s="562" t="s">
        <v>427</v>
      </c>
      <c r="C402" s="726" t="s">
        <v>74</v>
      </c>
      <c r="D402" s="726"/>
      <c r="E402" s="726"/>
      <c r="F402" s="371">
        <v>31.15</v>
      </c>
      <c r="G402" s="371">
        <f t="shared" si="125"/>
        <v>31.15</v>
      </c>
      <c r="H402" s="372" t="s">
        <v>32</v>
      </c>
      <c r="I402" s="371">
        <f t="shared" si="150"/>
        <v>11348.449999999999</v>
      </c>
      <c r="J402" s="371">
        <f t="shared" si="151"/>
        <v>10032.550000000001</v>
      </c>
      <c r="K402" s="302">
        <f t="shared" si="139"/>
        <v>364.77060248281134</v>
      </c>
      <c r="L402" s="499"/>
      <c r="M402" s="593"/>
      <c r="N402" s="594"/>
      <c r="O402" s="37"/>
      <c r="P402" s="37"/>
    </row>
    <row r="403" spans="1:16" ht="21" customHeight="1">
      <c r="A403" s="561"/>
      <c r="B403" s="563"/>
      <c r="C403" s="573" t="s">
        <v>74</v>
      </c>
      <c r="D403" s="573"/>
      <c r="E403" s="573"/>
      <c r="F403" s="300">
        <v>31.08</v>
      </c>
      <c r="G403" s="300">
        <f t="shared" si="125"/>
        <v>31.08</v>
      </c>
      <c r="H403" s="301" t="s">
        <v>32</v>
      </c>
      <c r="I403" s="300">
        <f t="shared" ref="I403:I538" si="152">IF(H403="IN",I402+G403,I402)</f>
        <v>11379.529999999999</v>
      </c>
      <c r="J403" s="300">
        <f t="shared" ref="J403:J540" si="153">IF(I403="","",$M$9-I403)</f>
        <v>10001.470000000001</v>
      </c>
      <c r="K403" s="302">
        <f t="shared" si="139"/>
        <v>365.50942323147444</v>
      </c>
      <c r="L403" s="499"/>
      <c r="M403" s="593"/>
      <c r="N403" s="594"/>
      <c r="O403" s="37"/>
      <c r="P403" s="37"/>
    </row>
    <row r="404" spans="1:16" ht="21" customHeight="1">
      <c r="A404" s="561"/>
      <c r="B404" s="564"/>
      <c r="C404" s="573" t="s">
        <v>74</v>
      </c>
      <c r="D404" s="573"/>
      <c r="E404" s="573"/>
      <c r="F404" s="300">
        <v>31.21</v>
      </c>
      <c r="G404" s="300">
        <f t="shared" si="125"/>
        <v>31.21</v>
      </c>
      <c r="H404" s="301" t="s">
        <v>32</v>
      </c>
      <c r="I404" s="300">
        <f t="shared" si="152"/>
        <v>11410.739999999998</v>
      </c>
      <c r="J404" s="300">
        <f t="shared" si="153"/>
        <v>9970.260000000002</v>
      </c>
      <c r="K404" s="302">
        <f t="shared" si="139"/>
        <v>366.25133428571428</v>
      </c>
      <c r="L404" s="499"/>
      <c r="M404" s="593"/>
      <c r="N404" s="594"/>
      <c r="O404" s="37"/>
      <c r="P404" s="37"/>
    </row>
    <row r="405" spans="1:16" ht="21" customHeight="1">
      <c r="A405" s="561">
        <f>A402+1</f>
        <v>24</v>
      </c>
      <c r="B405" s="565" t="s">
        <v>428</v>
      </c>
      <c r="C405" s="571" t="s">
        <v>74</v>
      </c>
      <c r="D405" s="571"/>
      <c r="E405" s="571"/>
      <c r="F405" s="207">
        <v>31.19</v>
      </c>
      <c r="G405" s="207">
        <f t="shared" si="125"/>
        <v>31.19</v>
      </c>
      <c r="H405" s="208" t="s">
        <v>32</v>
      </c>
      <c r="I405" s="207">
        <f t="shared" si="152"/>
        <v>11441.929999999998</v>
      </c>
      <c r="J405" s="207">
        <f t="shared" si="153"/>
        <v>9939.0700000000015</v>
      </c>
      <c r="K405" s="209">
        <f t="shared" si="139"/>
        <v>366.99276990832698</v>
      </c>
      <c r="L405" s="496"/>
      <c r="M405" s="593"/>
      <c r="N405" s="594"/>
      <c r="O405" s="37"/>
      <c r="P405" s="37"/>
    </row>
    <row r="406" spans="1:16" ht="21" customHeight="1">
      <c r="A406" s="561"/>
      <c r="B406" s="566"/>
      <c r="C406" s="571" t="s">
        <v>74</v>
      </c>
      <c r="D406" s="571"/>
      <c r="E406" s="571"/>
      <c r="F406" s="207">
        <v>30.98</v>
      </c>
      <c r="G406" s="207">
        <f t="shared" si="125"/>
        <v>30.98</v>
      </c>
      <c r="H406" s="208" t="s">
        <v>32</v>
      </c>
      <c r="I406" s="207">
        <f t="shared" si="152"/>
        <v>11472.909999999998</v>
      </c>
      <c r="J406" s="207">
        <f t="shared" si="153"/>
        <v>9908.090000000002</v>
      </c>
      <c r="K406" s="209">
        <f t="shared" si="139"/>
        <v>367.72921349885405</v>
      </c>
      <c r="L406" s="496"/>
      <c r="M406" s="593"/>
      <c r="N406" s="594"/>
      <c r="O406" s="37"/>
      <c r="P406" s="37"/>
    </row>
    <row r="407" spans="1:16" ht="21" customHeight="1">
      <c r="A407" s="561"/>
      <c r="B407" s="567"/>
      <c r="C407" s="571" t="s">
        <v>74</v>
      </c>
      <c r="D407" s="571"/>
      <c r="E407" s="571"/>
      <c r="F407" s="207">
        <v>31.23</v>
      </c>
      <c r="G407" s="207">
        <f t="shared" si="125"/>
        <v>31.23</v>
      </c>
      <c r="H407" s="208" t="s">
        <v>32</v>
      </c>
      <c r="I407" s="207">
        <f t="shared" si="152"/>
        <v>11504.139999999998</v>
      </c>
      <c r="J407" s="207">
        <f t="shared" si="153"/>
        <v>9876.8600000000024</v>
      </c>
      <c r="K407" s="209">
        <f t="shared" si="139"/>
        <v>368.47159998472108</v>
      </c>
      <c r="L407" s="496"/>
      <c r="M407" s="593"/>
      <c r="N407" s="594"/>
      <c r="O407" s="37"/>
      <c r="P407" s="37"/>
    </row>
    <row r="408" spans="1:16" ht="21" customHeight="1">
      <c r="A408" s="561">
        <f t="shared" ref="A408" si="154">A405+1</f>
        <v>25</v>
      </c>
      <c r="B408" s="562" t="s">
        <v>429</v>
      </c>
      <c r="C408" s="573" t="s">
        <v>74</v>
      </c>
      <c r="D408" s="573"/>
      <c r="E408" s="573"/>
      <c r="F408" s="300">
        <v>31</v>
      </c>
      <c r="G408" s="300">
        <f t="shared" si="125"/>
        <v>31</v>
      </c>
      <c r="H408" s="301" t="s">
        <v>32</v>
      </c>
      <c r="I408" s="300">
        <f t="shared" si="152"/>
        <v>11535.139999999998</v>
      </c>
      <c r="J408" s="300">
        <f t="shared" si="153"/>
        <v>9845.8600000000024</v>
      </c>
      <c r="K408" s="302">
        <f t="shared" si="139"/>
        <v>369.20851900687546</v>
      </c>
      <c r="L408" s="499"/>
      <c r="M408" s="593"/>
      <c r="N408" s="594"/>
      <c r="O408" s="37"/>
      <c r="P408" s="37"/>
    </row>
    <row r="409" spans="1:16" ht="21" customHeight="1">
      <c r="A409" s="561"/>
      <c r="B409" s="563"/>
      <c r="C409" s="573" t="s">
        <v>74</v>
      </c>
      <c r="D409" s="573"/>
      <c r="E409" s="573"/>
      <c r="F409" s="300">
        <v>31.29</v>
      </c>
      <c r="G409" s="300">
        <f t="shared" si="125"/>
        <v>31.29</v>
      </c>
      <c r="H409" s="301" t="s">
        <v>32</v>
      </c>
      <c r="I409" s="300">
        <f t="shared" si="152"/>
        <v>11566.429999999998</v>
      </c>
      <c r="J409" s="300">
        <f t="shared" si="153"/>
        <v>9814.5700000000015</v>
      </c>
      <c r="K409" s="302">
        <f t="shared" si="139"/>
        <v>369.95233178762413</v>
      </c>
      <c r="L409" s="499"/>
      <c r="M409" s="293"/>
      <c r="N409" s="326"/>
      <c r="O409" s="37"/>
      <c r="P409" s="37"/>
    </row>
    <row r="410" spans="1:16" ht="21" customHeight="1">
      <c r="A410" s="561"/>
      <c r="B410" s="564"/>
      <c r="C410" s="573" t="s">
        <v>74</v>
      </c>
      <c r="D410" s="573"/>
      <c r="E410" s="573"/>
      <c r="F410" s="300">
        <v>31.12</v>
      </c>
      <c r="G410" s="300">
        <f t="shared" si="125"/>
        <v>31.12</v>
      </c>
      <c r="H410" s="301" t="s">
        <v>32</v>
      </c>
      <c r="I410" s="300">
        <f t="shared" ref="I410:I505" si="155">IF(H410="IN",I409+G410,I409)</f>
        <v>11597.55</v>
      </c>
      <c r="J410" s="300">
        <f t="shared" ref="J410:J505" si="156">IF(I410="","",$M$9-I410)</f>
        <v>9783.4500000000007</v>
      </c>
      <c r="K410" s="302">
        <f t="shared" si="139"/>
        <v>370.69210339954157</v>
      </c>
      <c r="L410" s="499"/>
      <c r="M410" s="293"/>
      <c r="N410" s="326"/>
      <c r="O410" s="37"/>
      <c r="P410" s="37"/>
    </row>
    <row r="411" spans="1:16" ht="21" customHeight="1">
      <c r="A411" s="561">
        <f t="shared" ref="A411" si="157">A408+1</f>
        <v>26</v>
      </c>
      <c r="B411" s="565" t="s">
        <v>535</v>
      </c>
      <c r="C411" s="571" t="s">
        <v>74</v>
      </c>
      <c r="D411" s="571"/>
      <c r="E411" s="571"/>
      <c r="F411" s="207">
        <v>31.22</v>
      </c>
      <c r="G411" s="207">
        <f t="shared" si="125"/>
        <v>31.22</v>
      </c>
      <c r="H411" s="208" t="s">
        <v>32</v>
      </c>
      <c r="I411" s="207">
        <f t="shared" si="155"/>
        <v>11628.769999999999</v>
      </c>
      <c r="J411" s="207">
        <f t="shared" si="156"/>
        <v>9752.2300000000014</v>
      </c>
      <c r="K411" s="209">
        <f t="shared" si="139"/>
        <v>371.43425216959508</v>
      </c>
      <c r="L411" s="496"/>
      <c r="M411" s="293"/>
      <c r="N411" s="326"/>
      <c r="O411" s="37"/>
      <c r="P411" s="37"/>
    </row>
    <row r="412" spans="1:16" ht="21" customHeight="1">
      <c r="A412" s="561"/>
      <c r="B412" s="566"/>
      <c r="C412" s="571" t="s">
        <v>74</v>
      </c>
      <c r="D412" s="571"/>
      <c r="E412" s="571"/>
      <c r="F412" s="207">
        <v>31</v>
      </c>
      <c r="G412" s="207">
        <f t="shared" si="125"/>
        <v>31</v>
      </c>
      <c r="H412" s="208" t="s">
        <v>32</v>
      </c>
      <c r="I412" s="207">
        <f>IF(H412="IN",I411+G412,I411)</f>
        <v>11659.769999999999</v>
      </c>
      <c r="J412" s="207">
        <f t="shared" si="156"/>
        <v>9721.2300000000014</v>
      </c>
      <c r="K412" s="209">
        <f t="shared" si="139"/>
        <v>372.17117119174941</v>
      </c>
      <c r="L412" s="496"/>
      <c r="M412" s="293"/>
      <c r="N412" s="326"/>
      <c r="O412" s="37"/>
      <c r="P412" s="37"/>
    </row>
    <row r="413" spans="1:16" ht="21" customHeight="1">
      <c r="A413" s="561"/>
      <c r="B413" s="567"/>
      <c r="C413" s="571" t="s">
        <v>74</v>
      </c>
      <c r="D413" s="571"/>
      <c r="E413" s="571"/>
      <c r="F413" s="207">
        <v>30.95</v>
      </c>
      <c r="G413" s="207">
        <f t="shared" si="125"/>
        <v>30.95</v>
      </c>
      <c r="H413" s="208" t="s">
        <v>32</v>
      </c>
      <c r="I413" s="207">
        <f>IF(H413="IN",I412+G413,I412)</f>
        <v>11690.72</v>
      </c>
      <c r="J413" s="207">
        <f t="shared" si="156"/>
        <v>9690.2800000000007</v>
      </c>
      <c r="K413" s="209">
        <f t="shared" si="139"/>
        <v>372.90690163483578</v>
      </c>
      <c r="L413" s="496"/>
      <c r="M413" s="293"/>
      <c r="N413" s="326"/>
      <c r="O413" s="37"/>
      <c r="P413" s="37"/>
    </row>
    <row r="414" spans="1:16" ht="21" customHeight="1">
      <c r="A414" s="561">
        <f t="shared" ref="A414" si="158">A411+1</f>
        <v>27</v>
      </c>
      <c r="B414" s="562" t="s">
        <v>536</v>
      </c>
      <c r="C414" s="573" t="s">
        <v>74</v>
      </c>
      <c r="D414" s="573"/>
      <c r="E414" s="573"/>
      <c r="F414" s="300">
        <v>31.16</v>
      </c>
      <c r="G414" s="300">
        <f t="shared" ref="G414" si="159">F414</f>
        <v>31.16</v>
      </c>
      <c r="H414" s="301" t="s">
        <v>32</v>
      </c>
      <c r="I414" s="300">
        <f t="shared" ref="I414:I446" si="160">IF(H414="IN",I413+G414,I413)</f>
        <v>11721.88</v>
      </c>
      <c r="J414" s="300">
        <f t="shared" si="156"/>
        <v>9659.1200000000008</v>
      </c>
      <c r="K414" s="302">
        <f t="shared" si="139"/>
        <v>373.6476241100076</v>
      </c>
      <c r="L414" s="499"/>
      <c r="M414" s="293"/>
      <c r="N414" s="326"/>
      <c r="O414" s="37"/>
      <c r="P414" s="37"/>
    </row>
    <row r="415" spans="1:16" ht="21" customHeight="1">
      <c r="A415" s="561"/>
      <c r="B415" s="563"/>
      <c r="C415" s="573" t="s">
        <v>74</v>
      </c>
      <c r="D415" s="573"/>
      <c r="E415" s="573"/>
      <c r="F415" s="300">
        <v>31.3</v>
      </c>
      <c r="G415" s="300">
        <f>F415</f>
        <v>31.3</v>
      </c>
      <c r="H415" s="301" t="s">
        <v>32</v>
      </c>
      <c r="I415" s="300">
        <f t="shared" si="160"/>
        <v>11753.179999999998</v>
      </c>
      <c r="J415" s="300">
        <f t="shared" si="156"/>
        <v>9627.8200000000015</v>
      </c>
      <c r="K415" s="302">
        <f t="shared" si="139"/>
        <v>374.39167460656989</v>
      </c>
      <c r="L415" s="499"/>
      <c r="M415" s="293"/>
      <c r="N415" s="326"/>
      <c r="O415" s="37"/>
      <c r="P415" s="37"/>
    </row>
    <row r="416" spans="1:16" ht="21" customHeight="1">
      <c r="A416" s="561"/>
      <c r="B416" s="564"/>
      <c r="C416" s="573" t="s">
        <v>74</v>
      </c>
      <c r="D416" s="573"/>
      <c r="E416" s="573"/>
      <c r="F416" s="300">
        <v>30.96</v>
      </c>
      <c r="G416" s="300">
        <f t="shared" ref="G416" si="161">F416</f>
        <v>30.96</v>
      </c>
      <c r="H416" s="301" t="s">
        <v>32</v>
      </c>
      <c r="I416" s="300">
        <f t="shared" si="160"/>
        <v>11784.139999999998</v>
      </c>
      <c r="J416" s="300">
        <f t="shared" si="156"/>
        <v>9596.8600000000024</v>
      </c>
      <c r="K416" s="302">
        <f t="shared" si="139"/>
        <v>375.12764276546977</v>
      </c>
      <c r="L416" s="499"/>
      <c r="M416" s="293"/>
      <c r="N416" s="326"/>
      <c r="O416" s="37"/>
      <c r="P416" s="37"/>
    </row>
    <row r="417" spans="1:18" ht="21" customHeight="1">
      <c r="A417" s="561">
        <f t="shared" ref="A417" si="162">A414+1</f>
        <v>28</v>
      </c>
      <c r="B417" s="565" t="s">
        <v>537</v>
      </c>
      <c r="C417" s="571" t="s">
        <v>74</v>
      </c>
      <c r="D417" s="571"/>
      <c r="E417" s="571"/>
      <c r="F417" s="207">
        <v>31.1</v>
      </c>
      <c r="G417" s="207">
        <f>F417</f>
        <v>31.1</v>
      </c>
      <c r="H417" s="208" t="s">
        <v>32</v>
      </c>
      <c r="I417" s="207">
        <f t="shared" si="160"/>
        <v>11815.239999999998</v>
      </c>
      <c r="J417" s="207">
        <f t="shared" si="156"/>
        <v>9565.760000000002</v>
      </c>
      <c r="K417" s="209">
        <f t="shared" si="139"/>
        <v>375.86693894576007</v>
      </c>
      <c r="L417" s="496"/>
      <c r="M417" s="293"/>
      <c r="N417" s="326"/>
      <c r="O417" s="37"/>
      <c r="P417" s="37"/>
    </row>
    <row r="418" spans="1:18" ht="21" customHeight="1">
      <c r="A418" s="561"/>
      <c r="B418" s="566"/>
      <c r="C418" s="571" t="s">
        <v>74</v>
      </c>
      <c r="D418" s="571"/>
      <c r="E418" s="571"/>
      <c r="F418" s="207">
        <v>30.98</v>
      </c>
      <c r="G418" s="207">
        <f t="shared" ref="G418" si="163">F418</f>
        <v>30.98</v>
      </c>
      <c r="H418" s="208" t="s">
        <v>32</v>
      </c>
      <c r="I418" s="207">
        <f t="shared" si="160"/>
        <v>11846.219999999998</v>
      </c>
      <c r="J418" s="207">
        <f t="shared" si="156"/>
        <v>9534.7800000000025</v>
      </c>
      <c r="K418" s="209">
        <f t="shared" si="139"/>
        <v>376.6033825362872</v>
      </c>
      <c r="L418" s="496"/>
      <c r="M418" s="293"/>
      <c r="N418" s="326"/>
      <c r="O418" s="37"/>
      <c r="P418" s="37"/>
    </row>
    <row r="419" spans="1:18" ht="21" customHeight="1">
      <c r="A419" s="561"/>
      <c r="B419" s="567"/>
      <c r="C419" s="694" t="s">
        <v>74</v>
      </c>
      <c r="D419" s="694"/>
      <c r="E419" s="694"/>
      <c r="F419" s="207">
        <v>31.08</v>
      </c>
      <c r="G419" s="210">
        <f>F419</f>
        <v>31.08</v>
      </c>
      <c r="H419" s="211" t="s">
        <v>32</v>
      </c>
      <c r="I419" s="210">
        <f t="shared" si="160"/>
        <v>11877.299999999997</v>
      </c>
      <c r="J419" s="210">
        <f t="shared" si="156"/>
        <v>9503.7000000000025</v>
      </c>
      <c r="K419" s="209">
        <f t="shared" si="139"/>
        <v>377.3422032849503</v>
      </c>
      <c r="L419" s="496"/>
      <c r="M419" s="293"/>
      <c r="N419" s="326"/>
      <c r="O419" s="37"/>
      <c r="P419" s="37"/>
    </row>
    <row r="420" spans="1:18" ht="21" customHeight="1">
      <c r="A420" s="561">
        <f t="shared" ref="A420" si="164">A417+1</f>
        <v>29</v>
      </c>
      <c r="B420" s="562" t="s">
        <v>538</v>
      </c>
      <c r="C420" s="573" t="s">
        <v>74</v>
      </c>
      <c r="D420" s="573"/>
      <c r="E420" s="573"/>
      <c r="F420" s="300">
        <v>31.07</v>
      </c>
      <c r="G420" s="300">
        <f t="shared" ref="G420" si="165">F420</f>
        <v>31.07</v>
      </c>
      <c r="H420" s="301" t="s">
        <v>32</v>
      </c>
      <c r="I420" s="300">
        <f t="shared" si="160"/>
        <v>11908.369999999997</v>
      </c>
      <c r="J420" s="300">
        <f t="shared" si="156"/>
        <v>9472.6300000000028</v>
      </c>
      <c r="K420" s="302">
        <f t="shared" si="139"/>
        <v>378.08078631779978</v>
      </c>
      <c r="L420" s="499"/>
      <c r="M420" s="293"/>
      <c r="N420" s="326"/>
      <c r="O420" s="37"/>
      <c r="P420" s="37"/>
    </row>
    <row r="421" spans="1:18" ht="21" customHeight="1">
      <c r="A421" s="561"/>
      <c r="B421" s="563"/>
      <c r="C421" s="573" t="s">
        <v>74</v>
      </c>
      <c r="D421" s="573"/>
      <c r="E421" s="573"/>
      <c r="F421" s="300">
        <v>30.86</v>
      </c>
      <c r="G421" s="300">
        <f>F421</f>
        <v>30.86</v>
      </c>
      <c r="H421" s="301" t="s">
        <v>32</v>
      </c>
      <c r="I421" s="300">
        <f t="shared" si="160"/>
        <v>11939.229999999998</v>
      </c>
      <c r="J421" s="300">
        <f t="shared" si="156"/>
        <v>9441.7700000000023</v>
      </c>
      <c r="K421" s="302">
        <f t="shared" si="139"/>
        <v>378.81437731856374</v>
      </c>
      <c r="L421" s="499"/>
      <c r="M421" s="293"/>
      <c r="N421" s="326"/>
      <c r="O421" s="37"/>
      <c r="P421" s="37"/>
    </row>
    <row r="422" spans="1:18" ht="21" customHeight="1">
      <c r="A422" s="561"/>
      <c r="B422" s="564"/>
      <c r="C422" s="572" t="s">
        <v>74</v>
      </c>
      <c r="D422" s="572"/>
      <c r="E422" s="572"/>
      <c r="F422" s="300">
        <v>30.99</v>
      </c>
      <c r="G422" s="309">
        <f t="shared" ref="G422:G446" si="166">F422</f>
        <v>30.99</v>
      </c>
      <c r="H422" s="310" t="s">
        <v>32</v>
      </c>
      <c r="I422" s="300">
        <f t="shared" si="160"/>
        <v>11970.219999999998</v>
      </c>
      <c r="J422" s="300">
        <f t="shared" si="156"/>
        <v>9410.7800000000025</v>
      </c>
      <c r="K422" s="302">
        <f t="shared" si="139"/>
        <v>379.5510586249045</v>
      </c>
      <c r="L422" s="499"/>
      <c r="M422" s="293"/>
      <c r="N422" s="326"/>
      <c r="O422" s="37"/>
      <c r="P422" s="37"/>
    </row>
    <row r="423" spans="1:18" ht="21" customHeight="1">
      <c r="A423" s="561">
        <f t="shared" ref="A423" si="167">A420+1</f>
        <v>30</v>
      </c>
      <c r="B423" s="565" t="s">
        <v>539</v>
      </c>
      <c r="C423" s="571" t="s">
        <v>74</v>
      </c>
      <c r="D423" s="571"/>
      <c r="E423" s="571"/>
      <c r="F423" s="207">
        <v>31.16</v>
      </c>
      <c r="G423" s="207">
        <f t="shared" si="166"/>
        <v>31.16</v>
      </c>
      <c r="H423" s="208" t="s">
        <v>32</v>
      </c>
      <c r="I423" s="207">
        <f t="shared" si="160"/>
        <v>12001.379999999997</v>
      </c>
      <c r="J423" s="207">
        <f t="shared" si="156"/>
        <v>9379.6200000000026</v>
      </c>
      <c r="K423" s="209">
        <f t="shared" si="139"/>
        <v>380.29178110007632</v>
      </c>
      <c r="L423" s="496"/>
      <c r="M423" s="293"/>
      <c r="N423" s="326"/>
      <c r="O423" s="37"/>
      <c r="P423" s="37"/>
    </row>
    <row r="424" spans="1:18" ht="21" customHeight="1">
      <c r="A424" s="561"/>
      <c r="B424" s="566"/>
      <c r="C424" s="571" t="s">
        <v>74</v>
      </c>
      <c r="D424" s="571"/>
      <c r="E424" s="571"/>
      <c r="F424" s="207">
        <v>31.15</v>
      </c>
      <c r="G424" s="207">
        <f t="shared" si="166"/>
        <v>31.15</v>
      </c>
      <c r="H424" s="208" t="s">
        <v>32</v>
      </c>
      <c r="I424" s="207">
        <f t="shared" si="160"/>
        <v>12032.529999999997</v>
      </c>
      <c r="J424" s="207">
        <f t="shared" si="156"/>
        <v>9348.470000000003</v>
      </c>
      <c r="K424" s="209">
        <f t="shared" si="139"/>
        <v>381.03226585943463</v>
      </c>
      <c r="L424" s="496"/>
      <c r="M424" s="293"/>
      <c r="N424" s="326"/>
      <c r="O424" s="37"/>
      <c r="P424" s="37"/>
    </row>
    <row r="425" spans="1:18" ht="21" customHeight="1">
      <c r="A425" s="561"/>
      <c r="B425" s="567"/>
      <c r="C425" s="571" t="s">
        <v>74</v>
      </c>
      <c r="D425" s="571"/>
      <c r="E425" s="571"/>
      <c r="F425" s="207">
        <v>31.03</v>
      </c>
      <c r="G425" s="207">
        <f t="shared" si="166"/>
        <v>31.03</v>
      </c>
      <c r="H425" s="208" t="s">
        <v>32</v>
      </c>
      <c r="I425" s="207">
        <f t="shared" si="160"/>
        <v>12063.559999999998</v>
      </c>
      <c r="J425" s="207">
        <f t="shared" si="156"/>
        <v>9317.4400000000023</v>
      </c>
      <c r="K425" s="209">
        <f t="shared" si="139"/>
        <v>381.76989802902972</v>
      </c>
      <c r="L425" s="496"/>
      <c r="M425" s="293"/>
      <c r="N425" s="326"/>
      <c r="O425" s="37"/>
      <c r="P425" s="37"/>
    </row>
    <row r="426" spans="1:18" ht="21" customHeight="1">
      <c r="A426" s="561">
        <f t="shared" ref="A426" si="168">A423+1</f>
        <v>31</v>
      </c>
      <c r="B426" s="562" t="s">
        <v>540</v>
      </c>
      <c r="C426" s="573" t="s">
        <v>74</v>
      </c>
      <c r="D426" s="573"/>
      <c r="E426" s="573"/>
      <c r="F426" s="300">
        <v>31.17</v>
      </c>
      <c r="G426" s="300">
        <f t="shared" si="166"/>
        <v>31.17</v>
      </c>
      <c r="H426" s="301" t="s">
        <v>32</v>
      </c>
      <c r="I426" s="300">
        <f t="shared" si="160"/>
        <v>12094.729999999998</v>
      </c>
      <c r="J426" s="300">
        <f t="shared" si="156"/>
        <v>9286.2700000000023</v>
      </c>
      <c r="K426" s="302">
        <f t="shared" si="139"/>
        <v>382.51085822001522</v>
      </c>
      <c r="L426" s="499"/>
      <c r="M426" s="293"/>
      <c r="N426" s="326"/>
      <c r="O426" s="37"/>
      <c r="P426" s="37"/>
    </row>
    <row r="427" spans="1:18" ht="21" customHeight="1">
      <c r="A427" s="561"/>
      <c r="B427" s="563"/>
      <c r="C427" s="573" t="s">
        <v>74</v>
      </c>
      <c r="D427" s="573"/>
      <c r="E427" s="573"/>
      <c r="F427" s="300">
        <v>31.22</v>
      </c>
      <c r="G427" s="300">
        <f t="shared" si="166"/>
        <v>31.22</v>
      </c>
      <c r="H427" s="301" t="s">
        <v>32</v>
      </c>
      <c r="I427" s="300">
        <f t="shared" si="160"/>
        <v>12125.949999999997</v>
      </c>
      <c r="J427" s="300">
        <f t="shared" si="156"/>
        <v>9255.0500000000029</v>
      </c>
      <c r="K427" s="302">
        <f t="shared" si="139"/>
        <v>383.25300699006868</v>
      </c>
      <c r="L427" s="499"/>
      <c r="M427" s="293"/>
      <c r="N427" s="326"/>
      <c r="O427" s="37"/>
      <c r="P427" s="37"/>
    </row>
    <row r="428" spans="1:18" ht="21" customHeight="1" thickBot="1">
      <c r="A428" s="561"/>
      <c r="B428" s="564"/>
      <c r="C428" s="573" t="s">
        <v>74</v>
      </c>
      <c r="D428" s="573"/>
      <c r="E428" s="573"/>
      <c r="F428" s="300">
        <v>31.08</v>
      </c>
      <c r="G428" s="300">
        <f t="shared" si="166"/>
        <v>31.08</v>
      </c>
      <c r="H428" s="301" t="s">
        <v>32</v>
      </c>
      <c r="I428" s="300">
        <f t="shared" si="160"/>
        <v>12157.029999999997</v>
      </c>
      <c r="J428" s="300">
        <f t="shared" si="156"/>
        <v>9223.970000000003</v>
      </c>
      <c r="K428" s="302">
        <f t="shared" si="139"/>
        <v>383.99182773873179</v>
      </c>
      <c r="L428" s="499"/>
      <c r="M428" s="293"/>
      <c r="N428" s="326"/>
      <c r="O428" s="37"/>
      <c r="P428" s="37"/>
    </row>
    <row r="429" spans="1:18" ht="21" customHeight="1">
      <c r="A429" s="561">
        <f t="shared" ref="A429" si="169">A426+1</f>
        <v>32</v>
      </c>
      <c r="B429" s="565" t="s">
        <v>541</v>
      </c>
      <c r="C429" s="571" t="s">
        <v>74</v>
      </c>
      <c r="D429" s="571"/>
      <c r="E429" s="571"/>
      <c r="F429" s="207">
        <v>31.02</v>
      </c>
      <c r="G429" s="207">
        <f t="shared" si="166"/>
        <v>31.02</v>
      </c>
      <c r="H429" s="208" t="s">
        <v>32</v>
      </c>
      <c r="I429" s="207">
        <f t="shared" si="160"/>
        <v>12188.049999999997</v>
      </c>
      <c r="J429" s="207">
        <f t="shared" si="156"/>
        <v>9192.9500000000025</v>
      </c>
      <c r="K429" s="209">
        <f t="shared" si="139"/>
        <v>384.72922219251336</v>
      </c>
      <c r="L429" s="496"/>
      <c r="M429" s="293"/>
      <c r="N429" s="326"/>
      <c r="O429" s="37"/>
      <c r="P429" s="37"/>
      <c r="Q429" s="799" t="s">
        <v>396</v>
      </c>
      <c r="R429" s="800"/>
    </row>
    <row r="430" spans="1:18" ht="21" customHeight="1">
      <c r="A430" s="561"/>
      <c r="B430" s="566"/>
      <c r="C430" s="571" t="s">
        <v>74</v>
      </c>
      <c r="D430" s="571"/>
      <c r="E430" s="571"/>
      <c r="F430" s="207">
        <v>31.04</v>
      </c>
      <c r="G430" s="207">
        <f t="shared" si="166"/>
        <v>31.04</v>
      </c>
      <c r="H430" s="208" t="s">
        <v>32</v>
      </c>
      <c r="I430" s="207">
        <f t="shared" si="160"/>
        <v>12219.089999999998</v>
      </c>
      <c r="J430" s="207">
        <f t="shared" si="156"/>
        <v>9161.9100000000017</v>
      </c>
      <c r="K430" s="209">
        <f t="shared" si="139"/>
        <v>385.46709207792202</v>
      </c>
      <c r="L430" s="496"/>
      <c r="M430" s="293"/>
      <c r="N430" s="326"/>
      <c r="O430" s="37"/>
      <c r="P430" s="37"/>
      <c r="Q430" s="801"/>
      <c r="R430" s="802"/>
    </row>
    <row r="431" spans="1:18" ht="21" customHeight="1" thickBot="1">
      <c r="A431" s="561"/>
      <c r="B431" s="567"/>
      <c r="C431" s="571" t="s">
        <v>74</v>
      </c>
      <c r="D431" s="571"/>
      <c r="E431" s="571"/>
      <c r="F431" s="207">
        <v>31.12</v>
      </c>
      <c r="G431" s="207">
        <f t="shared" si="166"/>
        <v>31.12</v>
      </c>
      <c r="H431" s="208" t="s">
        <v>32</v>
      </c>
      <c r="I431" s="207">
        <f t="shared" si="160"/>
        <v>12250.21</v>
      </c>
      <c r="J431" s="207">
        <f t="shared" si="156"/>
        <v>9130.7900000000009</v>
      </c>
      <c r="K431" s="209">
        <f t="shared" si="139"/>
        <v>386.20686368983957</v>
      </c>
      <c r="L431" s="496"/>
      <c r="M431" s="293"/>
      <c r="N431" s="326"/>
      <c r="O431" s="37"/>
      <c r="P431" s="37"/>
      <c r="Q431" s="177">
        <f>(J777+J778)*1.5+(547.57*N356)+(464.41*N352)+(2151.42*N348)</f>
        <v>518.76191841315301</v>
      </c>
      <c r="R431" s="178">
        <f>Q431/0.1187</f>
        <v>4370.3615704562171</v>
      </c>
    </row>
    <row r="432" spans="1:18" ht="21" customHeight="1">
      <c r="A432" s="561">
        <f t="shared" ref="A432" si="170">A429+1</f>
        <v>33</v>
      </c>
      <c r="B432" s="562" t="s">
        <v>542</v>
      </c>
      <c r="C432" s="573" t="s">
        <v>74</v>
      </c>
      <c r="D432" s="573"/>
      <c r="E432" s="573"/>
      <c r="F432" s="300">
        <v>31.26</v>
      </c>
      <c r="G432" s="300">
        <f t="shared" si="166"/>
        <v>31.26</v>
      </c>
      <c r="H432" s="301" t="s">
        <v>32</v>
      </c>
      <c r="I432" s="300">
        <f t="shared" si="160"/>
        <v>12281.47</v>
      </c>
      <c r="J432" s="300">
        <f t="shared" si="156"/>
        <v>9099.5300000000007</v>
      </c>
      <c r="K432" s="302">
        <f t="shared" si="139"/>
        <v>386.94996332314747</v>
      </c>
      <c r="L432" s="499"/>
      <c r="M432" s="293"/>
      <c r="N432" s="326"/>
      <c r="O432" s="37"/>
      <c r="P432" s="37"/>
    </row>
    <row r="433" spans="1:16" ht="21" customHeight="1">
      <c r="A433" s="561"/>
      <c r="B433" s="563"/>
      <c r="C433" s="573" t="s">
        <v>74</v>
      </c>
      <c r="D433" s="573"/>
      <c r="E433" s="573"/>
      <c r="F433" s="300">
        <v>31.04</v>
      </c>
      <c r="G433" s="300">
        <f t="shared" si="166"/>
        <v>31.04</v>
      </c>
      <c r="H433" s="301" t="s">
        <v>32</v>
      </c>
      <c r="I433" s="300">
        <f t="shared" si="160"/>
        <v>12312.51</v>
      </c>
      <c r="J433" s="300">
        <f t="shared" si="156"/>
        <v>9068.49</v>
      </c>
      <c r="K433" s="302">
        <f t="shared" si="139"/>
        <v>387.68783320855613</v>
      </c>
      <c r="L433" s="499"/>
      <c r="M433" s="293"/>
      <c r="N433" s="326"/>
      <c r="O433" s="37"/>
      <c r="P433" s="37"/>
    </row>
    <row r="434" spans="1:16" ht="21" hidden="1" customHeight="1">
      <c r="A434" s="561"/>
      <c r="B434" s="564"/>
      <c r="C434" s="723" t="s">
        <v>74</v>
      </c>
      <c r="D434" s="723"/>
      <c r="E434" s="723"/>
      <c r="F434" s="464">
        <v>31.13</v>
      </c>
      <c r="G434" s="464">
        <f t="shared" si="166"/>
        <v>31.13</v>
      </c>
      <c r="H434" s="466" t="s">
        <v>35</v>
      </c>
      <c r="I434" s="464">
        <f t="shared" ref="I434:I435" si="171">IF(H434="IN",I433+G434,I433)</f>
        <v>12312.51</v>
      </c>
      <c r="J434" s="464">
        <f t="shared" ref="J434:J435" si="172">IF(I434="","",$M$9-I434)</f>
        <v>9068.49</v>
      </c>
      <c r="K434" s="465">
        <f t="shared" si="139"/>
        <v>387.68783320855613</v>
      </c>
      <c r="L434" s="505"/>
      <c r="M434" s="552" t="s">
        <v>634</v>
      </c>
      <c r="N434" s="553"/>
      <c r="O434" s="37"/>
      <c r="P434" s="37"/>
    </row>
    <row r="435" spans="1:16" ht="21" customHeight="1">
      <c r="A435" s="561">
        <f>A432+1</f>
        <v>34</v>
      </c>
      <c r="B435" s="565" t="s">
        <v>543</v>
      </c>
      <c r="C435" s="571" t="s">
        <v>74</v>
      </c>
      <c r="D435" s="571"/>
      <c r="E435" s="571"/>
      <c r="F435" s="207">
        <v>31.01</v>
      </c>
      <c r="G435" s="207">
        <f t="shared" si="166"/>
        <v>31.01</v>
      </c>
      <c r="H435" s="208" t="s">
        <v>32</v>
      </c>
      <c r="I435" s="282">
        <f t="shared" si="171"/>
        <v>12343.52</v>
      </c>
      <c r="J435" s="207">
        <f t="shared" si="172"/>
        <v>9037.48</v>
      </c>
      <c r="K435" s="209">
        <f t="shared" ref="K435" si="173">$H$8+(I435*$E$9*$E$15/1000)</f>
        <v>388.42498994652408</v>
      </c>
      <c r="L435" s="496"/>
      <c r="M435" s="293"/>
      <c r="N435" s="326"/>
      <c r="O435" s="37"/>
      <c r="P435" s="37"/>
    </row>
    <row r="436" spans="1:16" ht="21" customHeight="1">
      <c r="A436" s="561"/>
      <c r="B436" s="566"/>
      <c r="C436" s="571" t="s">
        <v>74</v>
      </c>
      <c r="D436" s="571"/>
      <c r="E436" s="571"/>
      <c r="F436" s="207">
        <v>30.99</v>
      </c>
      <c r="G436" s="207">
        <f t="shared" si="166"/>
        <v>30.99</v>
      </c>
      <c r="H436" s="208" t="s">
        <v>32</v>
      </c>
      <c r="I436" s="282">
        <f t="shared" si="160"/>
        <v>12374.51</v>
      </c>
      <c r="J436" s="207">
        <f t="shared" si="156"/>
        <v>9006.49</v>
      </c>
      <c r="K436" s="209">
        <f t="shared" si="139"/>
        <v>389.16167125286478</v>
      </c>
      <c r="L436" s="496"/>
      <c r="M436" s="293"/>
      <c r="N436" s="326"/>
      <c r="O436" s="37"/>
      <c r="P436" s="37"/>
    </row>
    <row r="437" spans="1:16" ht="21" customHeight="1">
      <c r="A437" s="561"/>
      <c r="B437" s="567"/>
      <c r="C437" s="571" t="s">
        <v>74</v>
      </c>
      <c r="D437" s="571"/>
      <c r="E437" s="571"/>
      <c r="F437" s="207">
        <v>31.03</v>
      </c>
      <c r="G437" s="207">
        <f t="shared" si="166"/>
        <v>31.03</v>
      </c>
      <c r="H437" s="208" t="s">
        <v>32</v>
      </c>
      <c r="I437" s="282">
        <f t="shared" si="160"/>
        <v>12405.54</v>
      </c>
      <c r="J437" s="207">
        <f t="shared" si="156"/>
        <v>8975.4599999999991</v>
      </c>
      <c r="K437" s="209">
        <f t="shared" si="139"/>
        <v>389.89930342245992</v>
      </c>
      <c r="L437" s="498"/>
      <c r="M437" s="816" t="s">
        <v>635</v>
      </c>
      <c r="N437" s="817"/>
      <c r="O437" s="37"/>
      <c r="P437" s="37"/>
    </row>
    <row r="438" spans="1:16" ht="39" customHeight="1">
      <c r="A438" s="561">
        <f t="shared" ref="A438" si="174">A435+1</f>
        <v>35</v>
      </c>
      <c r="B438" s="562" t="s">
        <v>544</v>
      </c>
      <c r="C438" s="573" t="s">
        <v>74</v>
      </c>
      <c r="D438" s="573"/>
      <c r="E438" s="573"/>
      <c r="F438" s="300">
        <v>31.25</v>
      </c>
      <c r="G438" s="300">
        <f t="shared" si="166"/>
        <v>31.25</v>
      </c>
      <c r="H438" s="301" t="s">
        <v>32</v>
      </c>
      <c r="I438" s="418">
        <f t="shared" si="160"/>
        <v>12436.79</v>
      </c>
      <c r="J438" s="300">
        <f t="shared" si="156"/>
        <v>8944.2099999999991</v>
      </c>
      <c r="K438" s="302">
        <f t="shared" si="139"/>
        <v>390.6421653399542</v>
      </c>
      <c r="L438" s="506"/>
      <c r="M438" s="407" t="s">
        <v>631</v>
      </c>
      <c r="N438" s="408">
        <f>M13</f>
        <v>12418.71</v>
      </c>
      <c r="O438" s="37"/>
      <c r="P438" s="37"/>
    </row>
    <row r="439" spans="1:16" ht="21" customHeight="1">
      <c r="A439" s="561"/>
      <c r="B439" s="563"/>
      <c r="C439" s="573" t="s">
        <v>74</v>
      </c>
      <c r="D439" s="573"/>
      <c r="E439" s="573"/>
      <c r="F439" s="300">
        <v>31.15</v>
      </c>
      <c r="G439" s="300">
        <f t="shared" si="166"/>
        <v>31.15</v>
      </c>
      <c r="H439" s="301" t="s">
        <v>32</v>
      </c>
      <c r="I439" s="418">
        <f t="shared" si="160"/>
        <v>12467.94</v>
      </c>
      <c r="J439" s="300">
        <f t="shared" si="156"/>
        <v>8913.06</v>
      </c>
      <c r="K439" s="302">
        <f t="shared" ref="K439:K502" si="175">$H$8+(I439*$E$9*$E$15/1000)</f>
        <v>391.38265009931246</v>
      </c>
      <c r="L439" s="499"/>
      <c r="M439" s="293"/>
      <c r="N439" s="326"/>
      <c r="O439" s="37"/>
      <c r="P439" s="37"/>
    </row>
    <row r="440" spans="1:16" ht="21" customHeight="1">
      <c r="A440" s="561"/>
      <c r="B440" s="564"/>
      <c r="C440" s="573" t="s">
        <v>74</v>
      </c>
      <c r="D440" s="573"/>
      <c r="E440" s="573"/>
      <c r="F440" s="300">
        <v>31.16</v>
      </c>
      <c r="G440" s="300">
        <f t="shared" si="166"/>
        <v>31.16</v>
      </c>
      <c r="H440" s="301" t="s">
        <v>32</v>
      </c>
      <c r="I440" s="418">
        <f t="shared" si="160"/>
        <v>12499.1</v>
      </c>
      <c r="J440" s="300">
        <f t="shared" si="156"/>
        <v>8881.9</v>
      </c>
      <c r="K440" s="302">
        <f t="shared" si="175"/>
        <v>392.12337257448439</v>
      </c>
      <c r="L440" s="499"/>
      <c r="M440" s="293"/>
      <c r="N440" s="326"/>
      <c r="O440" s="37"/>
      <c r="P440" s="37"/>
    </row>
    <row r="441" spans="1:16" ht="21" customHeight="1">
      <c r="A441" s="561">
        <f t="shared" ref="A441" si="176">A438+1</f>
        <v>36</v>
      </c>
      <c r="B441" s="565" t="s">
        <v>545</v>
      </c>
      <c r="C441" s="571" t="s">
        <v>74</v>
      </c>
      <c r="D441" s="571"/>
      <c r="E441" s="571"/>
      <c r="F441" s="207">
        <v>31.11</v>
      </c>
      <c r="G441" s="207">
        <f t="shared" si="166"/>
        <v>31.11</v>
      </c>
      <c r="H441" s="208" t="s">
        <v>32</v>
      </c>
      <c r="I441" s="282">
        <f t="shared" si="160"/>
        <v>12530.210000000001</v>
      </c>
      <c r="J441" s="207">
        <f t="shared" si="156"/>
        <v>8850.7899999999991</v>
      </c>
      <c r="K441" s="209">
        <f t="shared" si="175"/>
        <v>392.86290647058831</v>
      </c>
      <c r="L441" s="496"/>
      <c r="M441" s="293"/>
      <c r="N441" s="326"/>
      <c r="O441" s="37"/>
      <c r="P441" s="37"/>
    </row>
    <row r="442" spans="1:16" ht="21" customHeight="1">
      <c r="A442" s="561"/>
      <c r="B442" s="566"/>
      <c r="C442" s="571" t="s">
        <v>74</v>
      </c>
      <c r="D442" s="571"/>
      <c r="E442" s="571"/>
      <c r="F442" s="207">
        <v>30.9</v>
      </c>
      <c r="G442" s="207">
        <f t="shared" si="166"/>
        <v>30.9</v>
      </c>
      <c r="H442" s="208" t="s">
        <v>32</v>
      </c>
      <c r="I442" s="282">
        <f t="shared" si="160"/>
        <v>12561.11</v>
      </c>
      <c r="J442" s="207">
        <f t="shared" si="156"/>
        <v>8819.89</v>
      </c>
      <c r="K442" s="209">
        <f t="shared" si="175"/>
        <v>393.59744833460661</v>
      </c>
      <c r="L442" s="496"/>
      <c r="M442" s="293"/>
      <c r="N442" s="326"/>
      <c r="O442" s="37"/>
      <c r="P442" s="37"/>
    </row>
    <row r="443" spans="1:16" ht="21" customHeight="1">
      <c r="A443" s="561"/>
      <c r="B443" s="567"/>
      <c r="C443" s="571" t="s">
        <v>74</v>
      </c>
      <c r="D443" s="571"/>
      <c r="E443" s="571"/>
      <c r="F443" s="207">
        <v>31.36</v>
      </c>
      <c r="G443" s="207">
        <f t="shared" si="166"/>
        <v>31.36</v>
      </c>
      <c r="H443" s="208" t="s">
        <v>32</v>
      </c>
      <c r="I443" s="282">
        <f t="shared" si="160"/>
        <v>12592.470000000001</v>
      </c>
      <c r="J443" s="207">
        <f t="shared" si="156"/>
        <v>8788.5299999999988</v>
      </c>
      <c r="K443" s="209">
        <f t="shared" si="175"/>
        <v>394.34292512605043</v>
      </c>
      <c r="L443" s="496"/>
      <c r="M443" s="293"/>
      <c r="N443" s="326"/>
      <c r="O443" s="37"/>
      <c r="P443" s="37"/>
    </row>
    <row r="444" spans="1:16" ht="21" customHeight="1">
      <c r="A444" s="561">
        <f t="shared" ref="A444" si="177">A441+1</f>
        <v>37</v>
      </c>
      <c r="B444" s="562" t="s">
        <v>546</v>
      </c>
      <c r="C444" s="573" t="s">
        <v>74</v>
      </c>
      <c r="D444" s="573"/>
      <c r="E444" s="573"/>
      <c r="F444" s="300">
        <v>31.18</v>
      </c>
      <c r="G444" s="300">
        <f t="shared" si="166"/>
        <v>31.18</v>
      </c>
      <c r="H444" s="301" t="s">
        <v>32</v>
      </c>
      <c r="I444" s="418">
        <f t="shared" si="160"/>
        <v>12623.650000000001</v>
      </c>
      <c r="J444" s="300">
        <f t="shared" si="156"/>
        <v>8757.3499999999985</v>
      </c>
      <c r="K444" s="302">
        <f t="shared" si="175"/>
        <v>395.0841230328495</v>
      </c>
      <c r="L444" s="499"/>
      <c r="M444" s="293"/>
      <c r="N444" s="326"/>
      <c r="O444" s="37"/>
      <c r="P444" s="37"/>
    </row>
    <row r="445" spans="1:16" ht="21" customHeight="1">
      <c r="A445" s="561"/>
      <c r="B445" s="563"/>
      <c r="C445" s="573" t="s">
        <v>74</v>
      </c>
      <c r="D445" s="573"/>
      <c r="E445" s="573"/>
      <c r="F445" s="300">
        <v>31.14</v>
      </c>
      <c r="G445" s="300">
        <f t="shared" si="166"/>
        <v>31.14</v>
      </c>
      <c r="H445" s="301" t="s">
        <v>32</v>
      </c>
      <c r="I445" s="418">
        <f t="shared" si="160"/>
        <v>12654.79</v>
      </c>
      <c r="J445" s="300">
        <f t="shared" si="156"/>
        <v>8726.2099999999991</v>
      </c>
      <c r="K445" s="302">
        <f t="shared" si="175"/>
        <v>395.82437007639425</v>
      </c>
      <c r="L445" s="499"/>
      <c r="M445" s="293"/>
      <c r="N445" s="326"/>
      <c r="O445" s="37"/>
      <c r="P445" s="37"/>
    </row>
    <row r="446" spans="1:16" ht="21" customHeight="1">
      <c r="A446" s="561"/>
      <c r="B446" s="564"/>
      <c r="C446" s="573" t="s">
        <v>74</v>
      </c>
      <c r="D446" s="573"/>
      <c r="E446" s="573"/>
      <c r="F446" s="300">
        <v>31.17</v>
      </c>
      <c r="G446" s="300">
        <f t="shared" si="166"/>
        <v>31.17</v>
      </c>
      <c r="H446" s="301" t="s">
        <v>32</v>
      </c>
      <c r="I446" s="418">
        <f t="shared" si="160"/>
        <v>12685.960000000001</v>
      </c>
      <c r="J446" s="300">
        <f t="shared" ref="J446:J459" si="178">IF(I446="","",$M$9-I446)</f>
        <v>8695.0399999999991</v>
      </c>
      <c r="K446" s="302">
        <f t="shared" si="175"/>
        <v>396.56533026737969</v>
      </c>
      <c r="L446" s="499"/>
      <c r="M446" s="293"/>
      <c r="N446" s="326"/>
      <c r="O446" s="37"/>
      <c r="P446" s="37"/>
    </row>
    <row r="447" spans="1:16" ht="21" customHeight="1">
      <c r="A447" s="561">
        <f t="shared" ref="A447" si="179">A444+1</f>
        <v>38</v>
      </c>
      <c r="B447" s="565" t="s">
        <v>547</v>
      </c>
      <c r="C447" s="574" t="s">
        <v>74</v>
      </c>
      <c r="D447" s="574"/>
      <c r="E447" s="574"/>
      <c r="F447" s="246">
        <v>31.03</v>
      </c>
      <c r="G447" s="246">
        <f t="shared" ref="G447:G461" si="180">F447</f>
        <v>31.03</v>
      </c>
      <c r="H447" s="247" t="s">
        <v>32</v>
      </c>
      <c r="I447" s="419">
        <f t="shared" ref="I447:I459" si="181">IF(H447="IN",I446+G447,I446)</f>
        <v>12716.990000000002</v>
      </c>
      <c r="J447" s="246">
        <f t="shared" si="178"/>
        <v>8664.0099999999984</v>
      </c>
      <c r="K447" s="209">
        <f t="shared" si="175"/>
        <v>397.30296243697478</v>
      </c>
      <c r="L447" s="496"/>
      <c r="M447" s="293"/>
      <c r="N447" s="326"/>
      <c r="O447" s="37"/>
      <c r="P447" s="37"/>
    </row>
    <row r="448" spans="1:16" ht="21" customHeight="1">
      <c r="A448" s="561"/>
      <c r="B448" s="566"/>
      <c r="C448" s="574" t="s">
        <v>74</v>
      </c>
      <c r="D448" s="574"/>
      <c r="E448" s="574"/>
      <c r="F448" s="246">
        <v>31.22</v>
      </c>
      <c r="G448" s="246">
        <f t="shared" si="180"/>
        <v>31.22</v>
      </c>
      <c r="H448" s="247" t="s">
        <v>32</v>
      </c>
      <c r="I448" s="419">
        <f t="shared" si="181"/>
        <v>12748.210000000001</v>
      </c>
      <c r="J448" s="246">
        <f t="shared" si="178"/>
        <v>8632.7899999999991</v>
      </c>
      <c r="K448" s="209">
        <f t="shared" si="175"/>
        <v>398.04511120702824</v>
      </c>
      <c r="L448" s="496"/>
      <c r="M448" s="293"/>
      <c r="N448" s="326"/>
      <c r="O448" s="37"/>
      <c r="P448" s="37"/>
    </row>
    <row r="449" spans="1:16" ht="21" customHeight="1">
      <c r="A449" s="561"/>
      <c r="B449" s="567"/>
      <c r="C449" s="574" t="s">
        <v>74</v>
      </c>
      <c r="D449" s="574"/>
      <c r="E449" s="574"/>
      <c r="F449" s="246">
        <v>31.28</v>
      </c>
      <c r="G449" s="246">
        <f t="shared" si="180"/>
        <v>31.28</v>
      </c>
      <c r="H449" s="247" t="s">
        <v>32</v>
      </c>
      <c r="I449" s="419">
        <f t="shared" si="181"/>
        <v>12779.490000000002</v>
      </c>
      <c r="J449" s="246">
        <f t="shared" si="178"/>
        <v>8601.5099999999984</v>
      </c>
      <c r="K449" s="209">
        <f t="shared" si="175"/>
        <v>398.78868627196334</v>
      </c>
      <c r="L449" s="496"/>
      <c r="M449" s="293"/>
      <c r="N449" s="326"/>
      <c r="O449" s="37"/>
      <c r="P449" s="37"/>
    </row>
    <row r="450" spans="1:16" ht="21" customHeight="1">
      <c r="A450" s="561">
        <f t="shared" ref="A450" si="182">A447+1</f>
        <v>39</v>
      </c>
      <c r="B450" s="562" t="s">
        <v>548</v>
      </c>
      <c r="C450" s="573" t="s">
        <v>74</v>
      </c>
      <c r="D450" s="573"/>
      <c r="E450" s="573"/>
      <c r="F450" s="300">
        <v>31.15</v>
      </c>
      <c r="G450" s="300">
        <f t="shared" si="180"/>
        <v>31.15</v>
      </c>
      <c r="H450" s="301" t="s">
        <v>32</v>
      </c>
      <c r="I450" s="418">
        <f t="shared" si="181"/>
        <v>12810.640000000001</v>
      </c>
      <c r="J450" s="300">
        <f t="shared" si="178"/>
        <v>8570.3599999999988</v>
      </c>
      <c r="K450" s="302">
        <f t="shared" si="175"/>
        <v>399.52917103132171</v>
      </c>
      <c r="L450" s="499"/>
      <c r="M450" s="293"/>
      <c r="N450" s="326"/>
      <c r="O450" s="37"/>
      <c r="P450" s="37"/>
    </row>
    <row r="451" spans="1:16" ht="21" customHeight="1">
      <c r="A451" s="561"/>
      <c r="B451" s="563"/>
      <c r="C451" s="573" t="s">
        <v>74</v>
      </c>
      <c r="D451" s="573"/>
      <c r="E451" s="573"/>
      <c r="F451" s="300">
        <v>31.4</v>
      </c>
      <c r="G451" s="300">
        <f t="shared" si="180"/>
        <v>31.4</v>
      </c>
      <c r="H451" s="301" t="s">
        <v>32</v>
      </c>
      <c r="I451" s="418">
        <f t="shared" si="181"/>
        <v>12842.04</v>
      </c>
      <c r="J451" s="300">
        <f t="shared" si="178"/>
        <v>8538.9599999999991</v>
      </c>
      <c r="K451" s="302">
        <f t="shared" si="175"/>
        <v>400.27559868601986</v>
      </c>
      <c r="L451" s="499"/>
      <c r="M451" s="293"/>
      <c r="N451" s="326"/>
      <c r="O451" s="37"/>
      <c r="P451" s="37"/>
    </row>
    <row r="452" spans="1:16" ht="21" customHeight="1">
      <c r="A452" s="561"/>
      <c r="B452" s="564"/>
      <c r="C452" s="573" t="s">
        <v>74</v>
      </c>
      <c r="D452" s="573"/>
      <c r="E452" s="573"/>
      <c r="F452" s="300">
        <v>30.89</v>
      </c>
      <c r="G452" s="300">
        <f t="shared" si="180"/>
        <v>30.89</v>
      </c>
      <c r="H452" s="301" t="s">
        <v>32</v>
      </c>
      <c r="I452" s="418">
        <f t="shared" si="181"/>
        <v>12872.93</v>
      </c>
      <c r="J452" s="300">
        <f t="shared" si="178"/>
        <v>8508.07</v>
      </c>
      <c r="K452" s="302">
        <f t="shared" si="175"/>
        <v>401.00990283422465</v>
      </c>
      <c r="L452" s="499"/>
      <c r="M452" s="293"/>
      <c r="N452" s="326"/>
      <c r="O452" s="37"/>
      <c r="P452" s="37"/>
    </row>
    <row r="453" spans="1:16" ht="21" customHeight="1">
      <c r="A453" s="561">
        <f t="shared" ref="A453" si="183">A450+1</f>
        <v>40</v>
      </c>
      <c r="B453" s="565" t="s">
        <v>549</v>
      </c>
      <c r="C453" s="574" t="s">
        <v>74</v>
      </c>
      <c r="D453" s="574"/>
      <c r="E453" s="574"/>
      <c r="F453" s="246">
        <v>31.12</v>
      </c>
      <c r="G453" s="246">
        <f t="shared" si="180"/>
        <v>31.12</v>
      </c>
      <c r="H453" s="247" t="s">
        <v>32</v>
      </c>
      <c r="I453" s="419">
        <f t="shared" si="181"/>
        <v>12904.050000000001</v>
      </c>
      <c r="J453" s="246">
        <f t="shared" si="178"/>
        <v>8476.9499999999989</v>
      </c>
      <c r="K453" s="209">
        <f t="shared" si="175"/>
        <v>401.74967444614208</v>
      </c>
      <c r="L453" s="496"/>
      <c r="M453" s="293"/>
      <c r="N453" s="326"/>
      <c r="O453" s="37"/>
      <c r="P453" s="37"/>
    </row>
    <row r="454" spans="1:16" ht="21" customHeight="1">
      <c r="A454" s="561"/>
      <c r="B454" s="566"/>
      <c r="C454" s="574" t="s">
        <v>74</v>
      </c>
      <c r="D454" s="574"/>
      <c r="E454" s="574"/>
      <c r="F454" s="246">
        <v>31.02</v>
      </c>
      <c r="G454" s="246">
        <f t="shared" si="180"/>
        <v>31.02</v>
      </c>
      <c r="H454" s="247" t="s">
        <v>32</v>
      </c>
      <c r="I454" s="419">
        <f t="shared" si="181"/>
        <v>12935.070000000002</v>
      </c>
      <c r="J454" s="246">
        <f t="shared" si="178"/>
        <v>8445.9299999999985</v>
      </c>
      <c r="K454" s="209">
        <f t="shared" si="175"/>
        <v>402.48706889992366</v>
      </c>
      <c r="L454" s="496"/>
      <c r="M454" s="293"/>
      <c r="N454" s="326"/>
      <c r="O454" s="37"/>
      <c r="P454" s="37"/>
    </row>
    <row r="455" spans="1:16" ht="21" customHeight="1">
      <c r="A455" s="561"/>
      <c r="B455" s="567"/>
      <c r="C455" s="574" t="s">
        <v>74</v>
      </c>
      <c r="D455" s="574"/>
      <c r="E455" s="574"/>
      <c r="F455" s="246">
        <v>31.25</v>
      </c>
      <c r="G455" s="246">
        <f t="shared" si="180"/>
        <v>31.25</v>
      </c>
      <c r="H455" s="247" t="s">
        <v>32</v>
      </c>
      <c r="I455" s="419">
        <f t="shared" si="181"/>
        <v>12966.320000000002</v>
      </c>
      <c r="J455" s="246">
        <f t="shared" si="178"/>
        <v>8414.6799999999985</v>
      </c>
      <c r="K455" s="209">
        <f t="shared" si="175"/>
        <v>403.22993081741794</v>
      </c>
      <c r="L455" s="496"/>
      <c r="M455" s="293"/>
      <c r="N455" s="326"/>
      <c r="O455" s="37"/>
      <c r="P455" s="37"/>
    </row>
    <row r="456" spans="1:16" ht="21" customHeight="1">
      <c r="A456" s="561">
        <f t="shared" ref="A456" si="184">A453+1</f>
        <v>41</v>
      </c>
      <c r="B456" s="562" t="s">
        <v>550</v>
      </c>
      <c r="C456" s="573" t="s">
        <v>74</v>
      </c>
      <c r="D456" s="573"/>
      <c r="E456" s="573"/>
      <c r="F456" s="300">
        <v>31.04</v>
      </c>
      <c r="G456" s="300">
        <f t="shared" si="180"/>
        <v>31.04</v>
      </c>
      <c r="H456" s="301" t="s">
        <v>32</v>
      </c>
      <c r="I456" s="418">
        <f t="shared" si="181"/>
        <v>12997.360000000002</v>
      </c>
      <c r="J456" s="300">
        <f t="shared" si="178"/>
        <v>8383.6399999999976</v>
      </c>
      <c r="K456" s="302">
        <f t="shared" si="175"/>
        <v>403.96780070282665</v>
      </c>
      <c r="L456" s="499"/>
      <c r="M456" s="293"/>
      <c r="N456" s="326"/>
      <c r="O456" s="37"/>
      <c r="P456" s="37"/>
    </row>
    <row r="457" spans="1:16" ht="21" customHeight="1">
      <c r="A457" s="561"/>
      <c r="B457" s="563"/>
      <c r="C457" s="573" t="s">
        <v>74</v>
      </c>
      <c r="D457" s="573"/>
      <c r="E457" s="573"/>
      <c r="F457" s="300">
        <v>31.27</v>
      </c>
      <c r="G457" s="300">
        <f t="shared" si="180"/>
        <v>31.27</v>
      </c>
      <c r="H457" s="301" t="s">
        <v>32</v>
      </c>
      <c r="I457" s="418">
        <f t="shared" si="181"/>
        <v>13028.630000000003</v>
      </c>
      <c r="J457" s="300">
        <f t="shared" si="178"/>
        <v>8352.3699999999972</v>
      </c>
      <c r="K457" s="302">
        <f t="shared" si="175"/>
        <v>404.71113805194813</v>
      </c>
      <c r="L457" s="499"/>
      <c r="M457" s="293"/>
      <c r="N457" s="326"/>
      <c r="O457" s="37"/>
      <c r="P457" s="37"/>
    </row>
    <row r="458" spans="1:16" ht="21" customHeight="1">
      <c r="A458" s="561"/>
      <c r="B458" s="564"/>
      <c r="C458" s="573" t="s">
        <v>74</v>
      </c>
      <c r="D458" s="573"/>
      <c r="E458" s="573"/>
      <c r="F458" s="300">
        <v>31.18</v>
      </c>
      <c r="G458" s="300">
        <f t="shared" si="180"/>
        <v>31.18</v>
      </c>
      <c r="H458" s="301" t="s">
        <v>32</v>
      </c>
      <c r="I458" s="418">
        <f t="shared" si="181"/>
        <v>13059.810000000003</v>
      </c>
      <c r="J458" s="300">
        <f t="shared" si="178"/>
        <v>8321.1899999999969</v>
      </c>
      <c r="K458" s="302">
        <f t="shared" si="175"/>
        <v>405.45233595874726</v>
      </c>
      <c r="L458" s="499"/>
      <c r="M458" s="293"/>
      <c r="N458" s="326"/>
      <c r="O458" s="37"/>
      <c r="P458" s="37"/>
    </row>
    <row r="459" spans="1:16" ht="21" customHeight="1">
      <c r="A459" s="561">
        <f t="shared" ref="A459" si="185">A456+1</f>
        <v>42</v>
      </c>
      <c r="B459" s="565" t="s">
        <v>551</v>
      </c>
      <c r="C459" s="574" t="s">
        <v>74</v>
      </c>
      <c r="D459" s="574"/>
      <c r="E459" s="574"/>
      <c r="F459" s="246">
        <v>31.26</v>
      </c>
      <c r="G459" s="246">
        <f t="shared" si="180"/>
        <v>31.26</v>
      </c>
      <c r="H459" s="247" t="s">
        <v>32</v>
      </c>
      <c r="I459" s="419">
        <f t="shared" si="181"/>
        <v>13091.070000000003</v>
      </c>
      <c r="J459" s="246">
        <f t="shared" si="178"/>
        <v>8289.9299999999967</v>
      </c>
      <c r="K459" s="209">
        <f t="shared" si="175"/>
        <v>406.19543559205511</v>
      </c>
      <c r="L459" s="496"/>
      <c r="M459" s="293"/>
      <c r="N459" s="326"/>
      <c r="O459" s="37"/>
      <c r="P459" s="37"/>
    </row>
    <row r="460" spans="1:16" ht="21" customHeight="1">
      <c r="A460" s="561"/>
      <c r="B460" s="566"/>
      <c r="C460" s="574" t="s">
        <v>74</v>
      </c>
      <c r="D460" s="574"/>
      <c r="E460" s="574"/>
      <c r="F460" s="246">
        <v>31.24</v>
      </c>
      <c r="G460" s="246">
        <f t="shared" si="180"/>
        <v>31.24</v>
      </c>
      <c r="H460" s="247" t="s">
        <v>32</v>
      </c>
      <c r="I460" s="419">
        <f t="shared" ref="I460:I470" si="186">IF(H460="IN",I459+G460,I459)</f>
        <v>13122.310000000003</v>
      </c>
      <c r="J460" s="246">
        <f t="shared" ref="J460:J470" si="187">IF(I460="","",$M$9-I460)</f>
        <v>8258.6899999999969</v>
      </c>
      <c r="K460" s="209">
        <f t="shared" si="175"/>
        <v>406.93805979373582</v>
      </c>
      <c r="L460" s="496"/>
      <c r="M460" s="293"/>
      <c r="N460" s="326"/>
      <c r="O460" s="37"/>
      <c r="P460" s="37"/>
    </row>
    <row r="461" spans="1:16" ht="21" customHeight="1">
      <c r="A461" s="561"/>
      <c r="B461" s="567"/>
      <c r="C461" s="574" t="s">
        <v>74</v>
      </c>
      <c r="D461" s="574"/>
      <c r="E461" s="574"/>
      <c r="F461" s="246">
        <v>31</v>
      </c>
      <c r="G461" s="246">
        <f t="shared" si="180"/>
        <v>31</v>
      </c>
      <c r="H461" s="247" t="s">
        <v>32</v>
      </c>
      <c r="I461" s="419">
        <f t="shared" si="186"/>
        <v>13153.310000000003</v>
      </c>
      <c r="J461" s="246">
        <f t="shared" si="187"/>
        <v>8227.6899999999969</v>
      </c>
      <c r="K461" s="209">
        <f t="shared" si="175"/>
        <v>407.67497881589009</v>
      </c>
      <c r="L461" s="496"/>
      <c r="M461" s="293"/>
      <c r="N461" s="326"/>
      <c r="O461" s="37"/>
      <c r="P461" s="37"/>
    </row>
    <row r="462" spans="1:16" ht="21" customHeight="1">
      <c r="A462" s="561">
        <f t="shared" ref="A462" si="188">A459+1</f>
        <v>43</v>
      </c>
      <c r="B462" s="562" t="s">
        <v>552</v>
      </c>
      <c r="C462" s="573" t="s">
        <v>74</v>
      </c>
      <c r="D462" s="573"/>
      <c r="E462" s="573"/>
      <c r="F462" s="300">
        <v>31</v>
      </c>
      <c r="G462" s="300">
        <f t="shared" ref="G462:G467" si="189">F462</f>
        <v>31</v>
      </c>
      <c r="H462" s="301" t="s">
        <v>32</v>
      </c>
      <c r="I462" s="418">
        <f t="shared" si="186"/>
        <v>13184.310000000003</v>
      </c>
      <c r="J462" s="300">
        <f t="shared" si="187"/>
        <v>8196.6899999999969</v>
      </c>
      <c r="K462" s="302">
        <f t="shared" si="175"/>
        <v>408.41189783804441</v>
      </c>
      <c r="L462" s="499"/>
      <c r="M462" s="293"/>
      <c r="N462" s="326"/>
      <c r="O462" s="37"/>
      <c r="P462" s="37"/>
    </row>
    <row r="463" spans="1:16" ht="21" customHeight="1">
      <c r="A463" s="561"/>
      <c r="B463" s="563"/>
      <c r="C463" s="573" t="s">
        <v>74</v>
      </c>
      <c r="D463" s="573"/>
      <c r="E463" s="573"/>
      <c r="F463" s="300">
        <v>31.38</v>
      </c>
      <c r="G463" s="300">
        <f t="shared" si="189"/>
        <v>31.38</v>
      </c>
      <c r="H463" s="301" t="s">
        <v>32</v>
      </c>
      <c r="I463" s="418">
        <f t="shared" si="186"/>
        <v>13215.690000000002</v>
      </c>
      <c r="J463" s="300">
        <f t="shared" si="187"/>
        <v>8165.3099999999977</v>
      </c>
      <c r="K463" s="302">
        <f t="shared" si="175"/>
        <v>409.15785006111543</v>
      </c>
      <c r="L463" s="499"/>
      <c r="M463" s="293"/>
      <c r="N463" s="326"/>
      <c r="O463" s="37"/>
      <c r="P463" s="37"/>
    </row>
    <row r="464" spans="1:16" ht="21" customHeight="1">
      <c r="A464" s="561"/>
      <c r="B464" s="564"/>
      <c r="C464" s="573" t="s">
        <v>74</v>
      </c>
      <c r="D464" s="573"/>
      <c r="E464" s="573"/>
      <c r="F464" s="300">
        <v>31</v>
      </c>
      <c r="G464" s="300">
        <f t="shared" si="189"/>
        <v>31</v>
      </c>
      <c r="H464" s="301" t="s">
        <v>32</v>
      </c>
      <c r="I464" s="418">
        <f t="shared" si="186"/>
        <v>13246.690000000002</v>
      </c>
      <c r="J464" s="300">
        <f t="shared" si="187"/>
        <v>8134.3099999999977</v>
      </c>
      <c r="K464" s="302">
        <f t="shared" si="175"/>
        <v>409.89476908326975</v>
      </c>
      <c r="L464" s="499"/>
      <c r="M464" s="293"/>
      <c r="N464" s="326"/>
      <c r="O464" s="37"/>
      <c r="P464" s="37"/>
    </row>
    <row r="465" spans="1:16" ht="21" customHeight="1">
      <c r="A465" s="561">
        <f t="shared" ref="A465" si="190">A462+1</f>
        <v>44</v>
      </c>
      <c r="B465" s="565" t="s">
        <v>553</v>
      </c>
      <c r="C465" s="574" t="s">
        <v>74</v>
      </c>
      <c r="D465" s="574"/>
      <c r="E465" s="574"/>
      <c r="F465" s="246">
        <v>31.17</v>
      </c>
      <c r="G465" s="246">
        <f t="shared" si="189"/>
        <v>31.17</v>
      </c>
      <c r="H465" s="247" t="s">
        <v>32</v>
      </c>
      <c r="I465" s="419">
        <f t="shared" si="186"/>
        <v>13277.860000000002</v>
      </c>
      <c r="J465" s="246">
        <f t="shared" si="187"/>
        <v>8103.1399999999976</v>
      </c>
      <c r="K465" s="209">
        <f t="shared" si="175"/>
        <v>410.6357292742552</v>
      </c>
      <c r="L465" s="496"/>
      <c r="M465" s="293"/>
      <c r="N465" s="326"/>
      <c r="O465" s="37"/>
      <c r="P465" s="37"/>
    </row>
    <row r="466" spans="1:16" ht="21" customHeight="1">
      <c r="A466" s="561"/>
      <c r="B466" s="566"/>
      <c r="C466" s="574" t="s">
        <v>74</v>
      </c>
      <c r="D466" s="574"/>
      <c r="E466" s="574"/>
      <c r="F466" s="246">
        <v>31</v>
      </c>
      <c r="G466" s="246">
        <f t="shared" si="189"/>
        <v>31</v>
      </c>
      <c r="H466" s="247" t="s">
        <v>32</v>
      </c>
      <c r="I466" s="419">
        <f t="shared" si="186"/>
        <v>13308.860000000002</v>
      </c>
      <c r="J466" s="246">
        <f t="shared" si="187"/>
        <v>8072.1399999999976</v>
      </c>
      <c r="K466" s="209">
        <f t="shared" si="175"/>
        <v>411.37264829640952</v>
      </c>
      <c r="L466" s="496"/>
      <c r="M466" s="293"/>
      <c r="N466" s="326"/>
      <c r="O466" s="37"/>
      <c r="P466" s="37"/>
    </row>
    <row r="467" spans="1:16" ht="21" customHeight="1">
      <c r="A467" s="561"/>
      <c r="B467" s="567"/>
      <c r="C467" s="574" t="s">
        <v>74</v>
      </c>
      <c r="D467" s="574"/>
      <c r="E467" s="574"/>
      <c r="F467" s="246">
        <v>31.28</v>
      </c>
      <c r="G467" s="246">
        <f t="shared" si="189"/>
        <v>31.28</v>
      </c>
      <c r="H467" s="247" t="s">
        <v>32</v>
      </c>
      <c r="I467" s="419">
        <f t="shared" si="186"/>
        <v>13340.140000000003</v>
      </c>
      <c r="J467" s="246">
        <f t="shared" si="187"/>
        <v>8040.8599999999969</v>
      </c>
      <c r="K467" s="209">
        <f t="shared" si="175"/>
        <v>412.11622336134468</v>
      </c>
      <c r="L467" s="496"/>
      <c r="M467" s="293"/>
      <c r="N467" s="326"/>
      <c r="O467" s="37"/>
      <c r="P467" s="37"/>
    </row>
    <row r="468" spans="1:16" ht="21" customHeight="1">
      <c r="A468" s="561">
        <f t="shared" ref="A468" si="191">A465+1</f>
        <v>45</v>
      </c>
      <c r="B468" s="562" t="s">
        <v>554</v>
      </c>
      <c r="C468" s="573" t="s">
        <v>74</v>
      </c>
      <c r="D468" s="573"/>
      <c r="E468" s="573"/>
      <c r="F468" s="300">
        <v>30.94</v>
      </c>
      <c r="G468" s="300">
        <f t="shared" ref="G468:G473" si="192">F468</f>
        <v>30.94</v>
      </c>
      <c r="H468" s="301" t="s">
        <v>32</v>
      </c>
      <c r="I468" s="418">
        <f t="shared" si="186"/>
        <v>13371.080000000004</v>
      </c>
      <c r="J468" s="300">
        <f t="shared" si="187"/>
        <v>8009.9199999999964</v>
      </c>
      <c r="K468" s="302">
        <f t="shared" si="175"/>
        <v>412.85171608861742</v>
      </c>
      <c r="L468" s="499"/>
      <c r="M468" s="293"/>
      <c r="N468" s="326"/>
      <c r="O468" s="37"/>
      <c r="P468" s="37"/>
    </row>
    <row r="469" spans="1:16" ht="21" customHeight="1">
      <c r="A469" s="561"/>
      <c r="B469" s="563"/>
      <c r="C469" s="573" t="s">
        <v>74</v>
      </c>
      <c r="D469" s="573"/>
      <c r="E469" s="573"/>
      <c r="F469" s="300">
        <v>31.04</v>
      </c>
      <c r="G469" s="300">
        <f t="shared" si="192"/>
        <v>31.04</v>
      </c>
      <c r="H469" s="301" t="s">
        <v>32</v>
      </c>
      <c r="I469" s="418">
        <f t="shared" si="186"/>
        <v>13402.120000000004</v>
      </c>
      <c r="J469" s="300">
        <f t="shared" si="187"/>
        <v>7978.8799999999956</v>
      </c>
      <c r="K469" s="302">
        <f t="shared" si="175"/>
        <v>413.58958597402614</v>
      </c>
      <c r="L469" s="499"/>
      <c r="M469" s="293"/>
      <c r="N469" s="326"/>
      <c r="O469" s="37"/>
      <c r="P469" s="37"/>
    </row>
    <row r="470" spans="1:16" ht="21" customHeight="1">
      <c r="A470" s="561"/>
      <c r="B470" s="564"/>
      <c r="C470" s="573" t="s">
        <v>74</v>
      </c>
      <c r="D470" s="573"/>
      <c r="E470" s="573"/>
      <c r="F470" s="300">
        <v>31.31</v>
      </c>
      <c r="G470" s="300">
        <f t="shared" si="192"/>
        <v>31.31</v>
      </c>
      <c r="H470" s="301" t="s">
        <v>32</v>
      </c>
      <c r="I470" s="418">
        <f t="shared" si="186"/>
        <v>13433.430000000004</v>
      </c>
      <c r="J470" s="300">
        <f t="shared" si="187"/>
        <v>7947.5699999999961</v>
      </c>
      <c r="K470" s="302">
        <f t="shared" si="175"/>
        <v>414.33387418640189</v>
      </c>
      <c r="L470" s="499"/>
      <c r="M470" s="293"/>
      <c r="N470" s="326"/>
      <c r="O470" s="37"/>
      <c r="P470" s="37"/>
    </row>
    <row r="471" spans="1:16" ht="21" customHeight="1">
      <c r="A471" s="561">
        <f t="shared" ref="A471" si="193">A468+1</f>
        <v>46</v>
      </c>
      <c r="B471" s="565" t="s">
        <v>558</v>
      </c>
      <c r="C471" s="574" t="s">
        <v>74</v>
      </c>
      <c r="D471" s="574"/>
      <c r="E471" s="574"/>
      <c r="F471" s="246">
        <v>31.16</v>
      </c>
      <c r="G471" s="246">
        <f t="shared" si="192"/>
        <v>31.16</v>
      </c>
      <c r="H471" s="247" t="s">
        <v>32</v>
      </c>
      <c r="I471" s="419">
        <f t="shared" ref="I471:I472" si="194">IF(H471="IN",I470+G471,I470)</f>
        <v>13464.590000000004</v>
      </c>
      <c r="J471" s="246">
        <f t="shared" ref="J471:J472" si="195">IF(I471="","",$M$9-I471)</f>
        <v>7916.4099999999962</v>
      </c>
      <c r="K471" s="209">
        <f t="shared" si="175"/>
        <v>415.07459666157382</v>
      </c>
      <c r="L471" s="496"/>
      <c r="M471" s="293"/>
      <c r="N471" s="326"/>
      <c r="O471" s="37"/>
      <c r="P471" s="37"/>
    </row>
    <row r="472" spans="1:16" ht="21" customHeight="1">
      <c r="A472" s="561"/>
      <c r="B472" s="566"/>
      <c r="C472" s="574" t="s">
        <v>74</v>
      </c>
      <c r="D472" s="574"/>
      <c r="E472" s="574"/>
      <c r="F472" s="246">
        <v>31.12</v>
      </c>
      <c r="G472" s="246">
        <f t="shared" si="192"/>
        <v>31.12</v>
      </c>
      <c r="H472" s="247" t="s">
        <v>32</v>
      </c>
      <c r="I472" s="419">
        <f t="shared" si="194"/>
        <v>13495.710000000005</v>
      </c>
      <c r="J472" s="246">
        <f t="shared" si="195"/>
        <v>7885.2899999999954</v>
      </c>
      <c r="K472" s="209">
        <f t="shared" si="175"/>
        <v>415.81436827349131</v>
      </c>
      <c r="L472" s="496"/>
      <c r="M472" s="293"/>
      <c r="N472" s="326"/>
      <c r="O472" s="37"/>
      <c r="P472" s="37"/>
    </row>
    <row r="473" spans="1:16" ht="21" customHeight="1">
      <c r="A473" s="561"/>
      <c r="B473" s="567"/>
      <c r="C473" s="574" t="s">
        <v>74</v>
      </c>
      <c r="D473" s="574"/>
      <c r="E473" s="574"/>
      <c r="F473" s="246">
        <v>31.12</v>
      </c>
      <c r="G473" s="246">
        <f t="shared" si="192"/>
        <v>31.12</v>
      </c>
      <c r="H473" s="247" t="s">
        <v>32</v>
      </c>
      <c r="I473" s="419">
        <f t="shared" ref="I473:I478" si="196">IF(H473="IN",I472+G473,I472)</f>
        <v>13526.830000000005</v>
      </c>
      <c r="J473" s="246">
        <f t="shared" ref="J473:J478" si="197">IF(I473="","",$M$9-I473)</f>
        <v>7854.1699999999946</v>
      </c>
      <c r="K473" s="209">
        <f t="shared" si="175"/>
        <v>416.55413988540886</v>
      </c>
      <c r="L473" s="496"/>
      <c r="M473" s="293"/>
      <c r="N473" s="326"/>
      <c r="O473" s="37"/>
      <c r="P473" s="37"/>
    </row>
    <row r="474" spans="1:16" ht="21" customHeight="1">
      <c r="A474" s="561">
        <f t="shared" ref="A474" si="198">A471+1</f>
        <v>47</v>
      </c>
      <c r="B474" s="562" t="s">
        <v>559</v>
      </c>
      <c r="C474" s="573" t="s">
        <v>74</v>
      </c>
      <c r="D474" s="573"/>
      <c r="E474" s="573"/>
      <c r="F474" s="300">
        <v>31.22</v>
      </c>
      <c r="G474" s="300">
        <f t="shared" ref="G474:G497" si="199">F474</f>
        <v>31.22</v>
      </c>
      <c r="H474" s="301" t="s">
        <v>32</v>
      </c>
      <c r="I474" s="418">
        <f t="shared" si="196"/>
        <v>13558.050000000005</v>
      </c>
      <c r="J474" s="300">
        <f t="shared" si="197"/>
        <v>7822.9499999999953</v>
      </c>
      <c r="K474" s="302">
        <f t="shared" si="175"/>
        <v>417.29628865546232</v>
      </c>
      <c r="L474" s="499"/>
      <c r="M474" s="293"/>
      <c r="N474" s="326"/>
      <c r="O474" s="37"/>
      <c r="P474" s="37"/>
    </row>
    <row r="475" spans="1:16" ht="21" customHeight="1">
      <c r="A475" s="561"/>
      <c r="B475" s="563"/>
      <c r="C475" s="573" t="s">
        <v>74</v>
      </c>
      <c r="D475" s="573"/>
      <c r="E475" s="573"/>
      <c r="F475" s="300">
        <v>31.2</v>
      </c>
      <c r="G475" s="300">
        <f t="shared" si="199"/>
        <v>31.2</v>
      </c>
      <c r="H475" s="301" t="s">
        <v>32</v>
      </c>
      <c r="I475" s="418">
        <f t="shared" si="196"/>
        <v>13589.250000000005</v>
      </c>
      <c r="J475" s="300">
        <f t="shared" si="197"/>
        <v>7791.7499999999945</v>
      </c>
      <c r="K475" s="302">
        <f t="shared" si="175"/>
        <v>418.03796199388859</v>
      </c>
      <c r="L475" s="499"/>
      <c r="M475" s="293"/>
      <c r="N475" s="326"/>
      <c r="O475" s="37"/>
      <c r="P475" s="37"/>
    </row>
    <row r="476" spans="1:16" ht="21" customHeight="1">
      <c r="A476" s="561"/>
      <c r="B476" s="564"/>
      <c r="C476" s="573" t="s">
        <v>74</v>
      </c>
      <c r="D476" s="573"/>
      <c r="E476" s="573"/>
      <c r="F476" s="300">
        <v>31.11</v>
      </c>
      <c r="G476" s="300">
        <f t="shared" si="199"/>
        <v>31.11</v>
      </c>
      <c r="H476" s="301" t="s">
        <v>32</v>
      </c>
      <c r="I476" s="418">
        <f t="shared" si="196"/>
        <v>13620.360000000006</v>
      </c>
      <c r="J476" s="300">
        <f t="shared" si="197"/>
        <v>7760.639999999994</v>
      </c>
      <c r="K476" s="302">
        <f t="shared" si="175"/>
        <v>418.77749588999251</v>
      </c>
      <c r="L476" s="499"/>
      <c r="M476" s="293"/>
      <c r="N476" s="326"/>
      <c r="O476" s="37"/>
      <c r="P476" s="37"/>
    </row>
    <row r="477" spans="1:16" ht="21" customHeight="1">
      <c r="A477" s="561">
        <f t="shared" ref="A477" si="200">A474+1</f>
        <v>48</v>
      </c>
      <c r="B477" s="565" t="s">
        <v>560</v>
      </c>
      <c r="C477" s="574" t="s">
        <v>74</v>
      </c>
      <c r="D477" s="574"/>
      <c r="E477" s="574"/>
      <c r="F477" s="246">
        <v>31.33</v>
      </c>
      <c r="G477" s="246">
        <f t="shared" si="199"/>
        <v>31.33</v>
      </c>
      <c r="H477" s="247" t="s">
        <v>32</v>
      </c>
      <c r="I477" s="419">
        <f t="shared" si="196"/>
        <v>13651.690000000006</v>
      </c>
      <c r="J477" s="246">
        <f t="shared" si="197"/>
        <v>7729.309999999994</v>
      </c>
      <c r="K477" s="209">
        <f t="shared" si="175"/>
        <v>419.52225953399557</v>
      </c>
      <c r="L477" s="496"/>
      <c r="M477" s="293"/>
      <c r="N477" s="326"/>
      <c r="O477" s="37"/>
      <c r="P477" s="37"/>
    </row>
    <row r="478" spans="1:16" ht="21" customHeight="1">
      <c r="A478" s="561"/>
      <c r="B478" s="566"/>
      <c r="C478" s="574" t="s">
        <v>74</v>
      </c>
      <c r="D478" s="574"/>
      <c r="E478" s="574"/>
      <c r="F478" s="246">
        <v>31.25</v>
      </c>
      <c r="G478" s="246">
        <f t="shared" si="199"/>
        <v>31.25</v>
      </c>
      <c r="H478" s="247" t="s">
        <v>32</v>
      </c>
      <c r="I478" s="419">
        <f t="shared" si="196"/>
        <v>13682.940000000006</v>
      </c>
      <c r="J478" s="246">
        <f t="shared" si="197"/>
        <v>7698.059999999994</v>
      </c>
      <c r="K478" s="209">
        <f t="shared" si="175"/>
        <v>420.26512145148985</v>
      </c>
      <c r="L478" s="496"/>
      <c r="M478" s="293"/>
      <c r="N478" s="326"/>
      <c r="O478" s="37"/>
      <c r="P478" s="37"/>
    </row>
    <row r="479" spans="1:16" ht="21" customHeight="1">
      <c r="A479" s="561"/>
      <c r="B479" s="567"/>
      <c r="C479" s="574" t="s">
        <v>74</v>
      </c>
      <c r="D479" s="574"/>
      <c r="E479" s="574"/>
      <c r="F479" s="246">
        <v>30.88</v>
      </c>
      <c r="G479" s="246">
        <f t="shared" si="199"/>
        <v>30.88</v>
      </c>
      <c r="H479" s="247" t="s">
        <v>32</v>
      </c>
      <c r="I479" s="419">
        <f t="shared" ref="I479:I502" si="201">IF(H479="IN",I478+G479,I478)</f>
        <v>13713.820000000005</v>
      </c>
      <c r="J479" s="246">
        <f t="shared" ref="J479:J502" si="202">IF(I479="","",$M$9-I479)</f>
        <v>7667.1799999999948</v>
      </c>
      <c r="K479" s="209">
        <f t="shared" si="175"/>
        <v>420.99918788388101</v>
      </c>
      <c r="L479" s="496"/>
      <c r="M479" s="293"/>
      <c r="N479" s="326"/>
      <c r="O479" s="37"/>
      <c r="P479" s="37"/>
    </row>
    <row r="480" spans="1:16" ht="21" customHeight="1">
      <c r="A480" s="561">
        <f t="shared" ref="A480" si="203">A477+1</f>
        <v>49</v>
      </c>
      <c r="B480" s="562" t="s">
        <v>608</v>
      </c>
      <c r="C480" s="573" t="s">
        <v>74</v>
      </c>
      <c r="D480" s="573"/>
      <c r="E480" s="573"/>
      <c r="F480" s="300">
        <v>31.15</v>
      </c>
      <c r="G480" s="300">
        <f t="shared" si="199"/>
        <v>31.15</v>
      </c>
      <c r="H480" s="301" t="s">
        <v>32</v>
      </c>
      <c r="I480" s="418">
        <f t="shared" si="201"/>
        <v>13744.970000000005</v>
      </c>
      <c r="J480" s="300">
        <f t="shared" si="202"/>
        <v>7636.0299999999952</v>
      </c>
      <c r="K480" s="302">
        <f t="shared" si="175"/>
        <v>421.7396726432392</v>
      </c>
      <c r="L480" s="499"/>
      <c r="M480" s="293"/>
      <c r="N480" s="326"/>
      <c r="O480" s="37"/>
      <c r="P480" s="37"/>
    </row>
    <row r="481" spans="1:16" ht="21" customHeight="1">
      <c r="A481" s="561"/>
      <c r="B481" s="563"/>
      <c r="C481" s="573" t="s">
        <v>74</v>
      </c>
      <c r="D481" s="573"/>
      <c r="E481" s="573"/>
      <c r="F481" s="300">
        <v>31.23</v>
      </c>
      <c r="G481" s="300">
        <f t="shared" si="199"/>
        <v>31.23</v>
      </c>
      <c r="H481" s="301" t="s">
        <v>32</v>
      </c>
      <c r="I481" s="418">
        <f t="shared" si="201"/>
        <v>13776.200000000004</v>
      </c>
      <c r="J481" s="300">
        <f t="shared" si="202"/>
        <v>7604.7999999999956</v>
      </c>
      <c r="K481" s="302">
        <f t="shared" si="175"/>
        <v>422.48205912910629</v>
      </c>
      <c r="L481" s="499"/>
      <c r="M481" s="293"/>
      <c r="N481" s="326"/>
      <c r="O481" s="37"/>
      <c r="P481" s="37"/>
    </row>
    <row r="482" spans="1:16" ht="21" customHeight="1">
      <c r="A482" s="561"/>
      <c r="B482" s="564"/>
      <c r="C482" s="573" t="s">
        <v>74</v>
      </c>
      <c r="D482" s="573"/>
      <c r="E482" s="573"/>
      <c r="F482" s="300">
        <v>31.02</v>
      </c>
      <c r="G482" s="300">
        <f t="shared" si="199"/>
        <v>31.02</v>
      </c>
      <c r="H482" s="301" t="s">
        <v>32</v>
      </c>
      <c r="I482" s="418">
        <f t="shared" si="201"/>
        <v>13807.220000000005</v>
      </c>
      <c r="J482" s="300">
        <f t="shared" si="202"/>
        <v>7573.7799999999952</v>
      </c>
      <c r="K482" s="302">
        <f t="shared" si="175"/>
        <v>423.21945358288781</v>
      </c>
      <c r="L482" s="499"/>
      <c r="M482" s="293"/>
      <c r="N482" s="326"/>
      <c r="O482" s="37"/>
      <c r="P482" s="37"/>
    </row>
    <row r="483" spans="1:16" ht="21" customHeight="1">
      <c r="A483" s="561">
        <f t="shared" ref="A483" si="204">A480+1</f>
        <v>50</v>
      </c>
      <c r="B483" s="565" t="s">
        <v>609</v>
      </c>
      <c r="C483" s="574" t="s">
        <v>74</v>
      </c>
      <c r="D483" s="574"/>
      <c r="E483" s="574"/>
      <c r="F483" s="246">
        <v>31.28</v>
      </c>
      <c r="G483" s="246">
        <f t="shared" si="199"/>
        <v>31.28</v>
      </c>
      <c r="H483" s="247" t="s">
        <v>32</v>
      </c>
      <c r="I483" s="419">
        <f t="shared" si="201"/>
        <v>13838.500000000005</v>
      </c>
      <c r="J483" s="246">
        <f t="shared" si="202"/>
        <v>7542.4999999999945</v>
      </c>
      <c r="K483" s="209">
        <f t="shared" si="175"/>
        <v>423.96302864782291</v>
      </c>
      <c r="L483" s="496"/>
      <c r="M483" s="293"/>
      <c r="N483" s="326"/>
      <c r="O483" s="37"/>
      <c r="P483" s="37"/>
    </row>
    <row r="484" spans="1:16" ht="21" customHeight="1">
      <c r="A484" s="561"/>
      <c r="B484" s="566"/>
      <c r="C484" s="574" t="s">
        <v>74</v>
      </c>
      <c r="D484" s="574"/>
      <c r="E484" s="574"/>
      <c r="F484" s="246">
        <v>31.03</v>
      </c>
      <c r="G484" s="246">
        <f t="shared" si="199"/>
        <v>31.03</v>
      </c>
      <c r="H484" s="247" t="s">
        <v>32</v>
      </c>
      <c r="I484" s="419">
        <f t="shared" si="201"/>
        <v>13869.530000000006</v>
      </c>
      <c r="J484" s="246">
        <f t="shared" si="202"/>
        <v>7511.4699999999939</v>
      </c>
      <c r="K484" s="209">
        <f t="shared" si="175"/>
        <v>424.700660817418</v>
      </c>
      <c r="L484" s="496"/>
      <c r="M484" s="293"/>
      <c r="N484" s="326"/>
      <c r="O484" s="37"/>
      <c r="P484" s="37"/>
    </row>
    <row r="485" spans="1:16" ht="21" customHeight="1">
      <c r="A485" s="561"/>
      <c r="B485" s="567"/>
      <c r="C485" s="574" t="s">
        <v>74</v>
      </c>
      <c r="D485" s="574"/>
      <c r="E485" s="574"/>
      <c r="F485" s="246">
        <v>31.25</v>
      </c>
      <c r="G485" s="246">
        <f t="shared" si="199"/>
        <v>31.25</v>
      </c>
      <c r="H485" s="247" t="s">
        <v>32</v>
      </c>
      <c r="I485" s="419">
        <f t="shared" si="201"/>
        <v>13900.780000000006</v>
      </c>
      <c r="J485" s="246">
        <f t="shared" si="202"/>
        <v>7480.2199999999939</v>
      </c>
      <c r="K485" s="209">
        <f t="shared" si="175"/>
        <v>425.44352273491228</v>
      </c>
      <c r="L485" s="496"/>
      <c r="M485" s="293"/>
      <c r="N485" s="326"/>
      <c r="O485" s="37"/>
      <c r="P485" s="37"/>
    </row>
    <row r="486" spans="1:16" ht="21" customHeight="1">
      <c r="A486" s="561">
        <f t="shared" ref="A486" si="205">A483+1</f>
        <v>51</v>
      </c>
      <c r="B486" s="562" t="s">
        <v>610</v>
      </c>
      <c r="C486" s="573" t="s">
        <v>74</v>
      </c>
      <c r="D486" s="573"/>
      <c r="E486" s="573"/>
      <c r="F486" s="300">
        <v>31.31</v>
      </c>
      <c r="G486" s="300">
        <f t="shared" si="199"/>
        <v>31.31</v>
      </c>
      <c r="H486" s="301" t="s">
        <v>32</v>
      </c>
      <c r="I486" s="418">
        <f t="shared" si="201"/>
        <v>13932.090000000006</v>
      </c>
      <c r="J486" s="300">
        <f t="shared" si="202"/>
        <v>7448.9099999999944</v>
      </c>
      <c r="K486" s="302">
        <f t="shared" si="175"/>
        <v>426.18781094728814</v>
      </c>
      <c r="L486" s="499"/>
      <c r="M486" s="293"/>
      <c r="N486" s="326"/>
      <c r="O486" s="37"/>
      <c r="P486" s="37"/>
    </row>
    <row r="487" spans="1:16" ht="21" customHeight="1">
      <c r="A487" s="561"/>
      <c r="B487" s="563"/>
      <c r="C487" s="573" t="s">
        <v>74</v>
      </c>
      <c r="D487" s="573"/>
      <c r="E487" s="573"/>
      <c r="F487" s="300">
        <v>31.33</v>
      </c>
      <c r="G487" s="300">
        <f t="shared" si="199"/>
        <v>31.33</v>
      </c>
      <c r="H487" s="301" t="s">
        <v>32</v>
      </c>
      <c r="I487" s="418">
        <f t="shared" si="201"/>
        <v>13963.420000000006</v>
      </c>
      <c r="J487" s="300">
        <f t="shared" si="202"/>
        <v>7417.5799999999945</v>
      </c>
      <c r="K487" s="302">
        <f t="shared" si="175"/>
        <v>426.9325745912912</v>
      </c>
      <c r="L487" s="499"/>
      <c r="M487" s="293"/>
      <c r="N487" s="326"/>
      <c r="O487" s="37"/>
      <c r="P487" s="37"/>
    </row>
    <row r="488" spans="1:16" ht="21" customHeight="1">
      <c r="A488" s="561"/>
      <c r="B488" s="564"/>
      <c r="C488" s="573" t="s">
        <v>74</v>
      </c>
      <c r="D488" s="573"/>
      <c r="E488" s="573"/>
      <c r="F488" s="300">
        <v>31.2</v>
      </c>
      <c r="G488" s="300">
        <f t="shared" si="199"/>
        <v>31.2</v>
      </c>
      <c r="H488" s="301" t="s">
        <v>32</v>
      </c>
      <c r="I488" s="418">
        <f t="shared" si="201"/>
        <v>13994.620000000006</v>
      </c>
      <c r="J488" s="300">
        <f t="shared" si="202"/>
        <v>7386.3799999999937</v>
      </c>
      <c r="K488" s="302">
        <f t="shared" si="175"/>
        <v>427.67424792971747</v>
      </c>
      <c r="L488" s="499"/>
      <c r="M488" s="293"/>
      <c r="N488" s="326"/>
      <c r="O488" s="37"/>
      <c r="P488" s="37"/>
    </row>
    <row r="489" spans="1:16" ht="21" customHeight="1">
      <c r="A489" s="561">
        <f t="shared" ref="A489" si="206">A486+1</f>
        <v>52</v>
      </c>
      <c r="B489" s="565" t="s">
        <v>611</v>
      </c>
      <c r="C489" s="574" t="s">
        <v>74</v>
      </c>
      <c r="D489" s="574"/>
      <c r="E489" s="574"/>
      <c r="F489" s="246">
        <v>31</v>
      </c>
      <c r="G489" s="246">
        <f t="shared" si="199"/>
        <v>31</v>
      </c>
      <c r="H489" s="247" t="s">
        <v>32</v>
      </c>
      <c r="I489" s="419">
        <f t="shared" si="201"/>
        <v>14025.620000000006</v>
      </c>
      <c r="J489" s="246">
        <f t="shared" si="202"/>
        <v>7355.3799999999937</v>
      </c>
      <c r="K489" s="209">
        <f t="shared" si="175"/>
        <v>428.41116695187179</v>
      </c>
      <c r="L489" s="496"/>
      <c r="M489" s="293"/>
      <c r="N489" s="326"/>
      <c r="O489" s="37"/>
      <c r="P489" s="37"/>
    </row>
    <row r="490" spans="1:16" ht="21" customHeight="1">
      <c r="A490" s="561"/>
      <c r="B490" s="566"/>
      <c r="C490" s="574" t="s">
        <v>74</v>
      </c>
      <c r="D490" s="574"/>
      <c r="E490" s="574"/>
      <c r="F490" s="246">
        <v>31.36</v>
      </c>
      <c r="G490" s="246">
        <f t="shared" si="199"/>
        <v>31.36</v>
      </c>
      <c r="H490" s="247" t="s">
        <v>32</v>
      </c>
      <c r="I490" s="419">
        <f t="shared" si="201"/>
        <v>14056.980000000007</v>
      </c>
      <c r="J490" s="246">
        <f t="shared" si="202"/>
        <v>7324.0199999999932</v>
      </c>
      <c r="K490" s="209">
        <f t="shared" si="175"/>
        <v>429.15664374331573</v>
      </c>
      <c r="L490" s="496"/>
      <c r="M490" s="293"/>
      <c r="N490" s="326"/>
      <c r="O490" s="37"/>
      <c r="P490" s="37"/>
    </row>
    <row r="491" spans="1:16" ht="21" customHeight="1">
      <c r="A491" s="561"/>
      <c r="B491" s="567"/>
      <c r="C491" s="574" t="s">
        <v>74</v>
      </c>
      <c r="D491" s="574"/>
      <c r="E491" s="574"/>
      <c r="F491" s="246">
        <v>31.01</v>
      </c>
      <c r="G491" s="246">
        <f t="shared" si="199"/>
        <v>31.01</v>
      </c>
      <c r="H491" s="247" t="s">
        <v>32</v>
      </c>
      <c r="I491" s="419">
        <f t="shared" si="201"/>
        <v>14087.990000000007</v>
      </c>
      <c r="J491" s="246">
        <f t="shared" si="202"/>
        <v>7293.0099999999929</v>
      </c>
      <c r="K491" s="209">
        <f t="shared" si="175"/>
        <v>429.89380048128356</v>
      </c>
      <c r="L491" s="496"/>
      <c r="M491" s="293"/>
      <c r="N491" s="326"/>
      <c r="O491" s="37"/>
      <c r="P491" s="37"/>
    </row>
    <row r="492" spans="1:16" ht="21" customHeight="1">
      <c r="A492" s="561">
        <f t="shared" ref="A492" si="207">A489+1</f>
        <v>53</v>
      </c>
      <c r="B492" s="562" t="s">
        <v>612</v>
      </c>
      <c r="C492" s="573" t="s">
        <v>74</v>
      </c>
      <c r="D492" s="573"/>
      <c r="E492" s="573"/>
      <c r="F492" s="300">
        <v>31.32</v>
      </c>
      <c r="G492" s="300">
        <f t="shared" si="199"/>
        <v>31.32</v>
      </c>
      <c r="H492" s="301" t="s">
        <v>32</v>
      </c>
      <c r="I492" s="418">
        <f t="shared" si="201"/>
        <v>14119.310000000007</v>
      </c>
      <c r="J492" s="300">
        <f t="shared" si="202"/>
        <v>7261.6899999999932</v>
      </c>
      <c r="K492" s="302">
        <f t="shared" si="175"/>
        <v>430.63832640947311</v>
      </c>
      <c r="L492" s="499"/>
      <c r="M492" s="293"/>
      <c r="N492" s="326"/>
      <c r="O492" s="37"/>
      <c r="P492" s="37"/>
    </row>
    <row r="493" spans="1:16" ht="21" customHeight="1">
      <c r="A493" s="561"/>
      <c r="B493" s="563"/>
      <c r="C493" s="573" t="s">
        <v>74</v>
      </c>
      <c r="D493" s="573"/>
      <c r="E493" s="573"/>
      <c r="F493" s="300">
        <v>31.37</v>
      </c>
      <c r="G493" s="300">
        <f t="shared" si="199"/>
        <v>31.37</v>
      </c>
      <c r="H493" s="301" t="s">
        <v>32</v>
      </c>
      <c r="I493" s="418">
        <f t="shared" si="201"/>
        <v>14150.680000000008</v>
      </c>
      <c r="J493" s="300">
        <f t="shared" si="202"/>
        <v>7230.3199999999924</v>
      </c>
      <c r="K493" s="302">
        <f t="shared" si="175"/>
        <v>431.38404091673056</v>
      </c>
      <c r="L493" s="499"/>
      <c r="M493" s="293"/>
      <c r="N493" s="326"/>
      <c r="O493" s="37"/>
      <c r="P493" s="37"/>
    </row>
    <row r="494" spans="1:16" ht="21" customHeight="1">
      <c r="A494" s="561"/>
      <c r="B494" s="564"/>
      <c r="C494" s="573" t="s">
        <v>74</v>
      </c>
      <c r="D494" s="573"/>
      <c r="E494" s="573"/>
      <c r="F494" s="300">
        <v>31.98</v>
      </c>
      <c r="G494" s="300">
        <f t="shared" si="199"/>
        <v>31.98</v>
      </c>
      <c r="H494" s="301" t="s">
        <v>32</v>
      </c>
      <c r="I494" s="418">
        <f t="shared" si="201"/>
        <v>14182.660000000007</v>
      </c>
      <c r="J494" s="300">
        <f t="shared" si="202"/>
        <v>7198.3399999999929</v>
      </c>
      <c r="K494" s="302">
        <f t="shared" si="175"/>
        <v>432.14425608861745</v>
      </c>
      <c r="L494" s="499"/>
      <c r="M494" s="293"/>
      <c r="N494" s="326"/>
      <c r="O494" s="37"/>
      <c r="P494" s="37"/>
    </row>
    <row r="495" spans="1:16" ht="21" customHeight="1">
      <c r="A495" s="561">
        <f t="shared" ref="A495" si="208">A492+1</f>
        <v>54</v>
      </c>
      <c r="B495" s="565" t="s">
        <v>613</v>
      </c>
      <c r="C495" s="574" t="s">
        <v>74</v>
      </c>
      <c r="D495" s="574"/>
      <c r="E495" s="574"/>
      <c r="F495" s="246">
        <v>31.06</v>
      </c>
      <c r="G495" s="246">
        <f t="shared" si="199"/>
        <v>31.06</v>
      </c>
      <c r="H495" s="247" t="s">
        <v>32</v>
      </c>
      <c r="I495" s="419">
        <f t="shared" si="201"/>
        <v>14213.720000000007</v>
      </c>
      <c r="J495" s="246">
        <f t="shared" si="202"/>
        <v>7167.2799999999934</v>
      </c>
      <c r="K495" s="209">
        <f t="shared" si="175"/>
        <v>432.88260140565336</v>
      </c>
      <c r="L495" s="496"/>
      <c r="M495" s="293"/>
      <c r="N495" s="326"/>
      <c r="O495" s="37"/>
      <c r="P495" s="37"/>
    </row>
    <row r="496" spans="1:16" ht="21" customHeight="1">
      <c r="A496" s="561"/>
      <c r="B496" s="566"/>
      <c r="C496" s="574" t="s">
        <v>74</v>
      </c>
      <c r="D496" s="574"/>
      <c r="E496" s="574"/>
      <c r="F496" s="246">
        <v>31.05</v>
      </c>
      <c r="G496" s="246">
        <f t="shared" si="199"/>
        <v>31.05</v>
      </c>
      <c r="H496" s="247" t="s">
        <v>32</v>
      </c>
      <c r="I496" s="419">
        <f t="shared" si="201"/>
        <v>14244.770000000006</v>
      </c>
      <c r="J496" s="246">
        <f t="shared" si="202"/>
        <v>7136.2299999999941</v>
      </c>
      <c r="K496" s="209">
        <f t="shared" si="175"/>
        <v>433.62070900687564</v>
      </c>
      <c r="L496" s="496"/>
      <c r="M496" s="293"/>
      <c r="N496" s="326"/>
      <c r="O496" s="37"/>
      <c r="P496" s="37"/>
    </row>
    <row r="497" spans="1:16" ht="21" customHeight="1">
      <c r="A497" s="561"/>
      <c r="B497" s="567"/>
      <c r="C497" s="574" t="s">
        <v>74</v>
      </c>
      <c r="D497" s="574"/>
      <c r="E497" s="574"/>
      <c r="F497" s="246">
        <v>31.3</v>
      </c>
      <c r="G497" s="246">
        <f t="shared" si="199"/>
        <v>31.3</v>
      </c>
      <c r="H497" s="247" t="s">
        <v>32</v>
      </c>
      <c r="I497" s="419">
        <f t="shared" si="201"/>
        <v>14276.070000000005</v>
      </c>
      <c r="J497" s="246">
        <f t="shared" si="202"/>
        <v>7104.9299999999948</v>
      </c>
      <c r="K497" s="209">
        <f t="shared" si="175"/>
        <v>434.36475950343782</v>
      </c>
      <c r="L497" s="496"/>
      <c r="M497" s="293"/>
      <c r="N497" s="326"/>
      <c r="O497" s="37"/>
      <c r="P497" s="37"/>
    </row>
    <row r="498" spans="1:16" ht="21" customHeight="1">
      <c r="A498" s="561">
        <f t="shared" ref="A498" si="209">A495+1</f>
        <v>55</v>
      </c>
      <c r="B498" s="562" t="s">
        <v>614</v>
      </c>
      <c r="C498" s="573" t="s">
        <v>74</v>
      </c>
      <c r="D498" s="573"/>
      <c r="E498" s="573"/>
      <c r="F498" s="300">
        <v>31.31</v>
      </c>
      <c r="G498" s="300">
        <f t="shared" ref="G498:G503" si="210">F498</f>
        <v>31.31</v>
      </c>
      <c r="H498" s="301" t="s">
        <v>32</v>
      </c>
      <c r="I498" s="418">
        <f t="shared" si="201"/>
        <v>14307.380000000005</v>
      </c>
      <c r="J498" s="300">
        <f t="shared" si="202"/>
        <v>7073.6199999999953</v>
      </c>
      <c r="K498" s="302">
        <f t="shared" si="175"/>
        <v>435.10904771581374</v>
      </c>
      <c r="L498" s="499"/>
      <c r="M498" s="293"/>
      <c r="N498" s="326"/>
      <c r="O498" s="37"/>
      <c r="P498" s="37"/>
    </row>
    <row r="499" spans="1:16" ht="21" customHeight="1">
      <c r="A499" s="561"/>
      <c r="B499" s="563"/>
      <c r="C499" s="573" t="s">
        <v>74</v>
      </c>
      <c r="D499" s="573"/>
      <c r="E499" s="573"/>
      <c r="F499" s="300">
        <v>31.22</v>
      </c>
      <c r="G499" s="300">
        <f t="shared" si="210"/>
        <v>31.22</v>
      </c>
      <c r="H499" s="301" t="s">
        <v>32</v>
      </c>
      <c r="I499" s="418">
        <f t="shared" si="201"/>
        <v>14338.600000000004</v>
      </c>
      <c r="J499" s="300">
        <f t="shared" si="202"/>
        <v>7042.399999999996</v>
      </c>
      <c r="K499" s="302">
        <f t="shared" si="175"/>
        <v>435.85119648586721</v>
      </c>
      <c r="L499" s="499"/>
      <c r="M499" s="293"/>
      <c r="N499" s="326"/>
      <c r="O499" s="37"/>
      <c r="P499" s="37"/>
    </row>
    <row r="500" spans="1:16" ht="21" customHeight="1">
      <c r="A500" s="561"/>
      <c r="B500" s="564"/>
      <c r="C500" s="573" t="s">
        <v>74</v>
      </c>
      <c r="D500" s="573"/>
      <c r="E500" s="573"/>
      <c r="F500" s="300">
        <v>31.35</v>
      </c>
      <c r="G500" s="300">
        <f t="shared" si="210"/>
        <v>31.35</v>
      </c>
      <c r="H500" s="301" t="s">
        <v>32</v>
      </c>
      <c r="I500" s="418">
        <f t="shared" si="201"/>
        <v>14369.950000000004</v>
      </c>
      <c r="J500" s="300">
        <f t="shared" si="202"/>
        <v>7011.0499999999956</v>
      </c>
      <c r="K500" s="302">
        <f t="shared" si="175"/>
        <v>436.5964355614974</v>
      </c>
      <c r="L500" s="499"/>
      <c r="M500" s="293"/>
      <c r="N500" s="326"/>
      <c r="O500" s="37"/>
      <c r="P500" s="37"/>
    </row>
    <row r="501" spans="1:16" ht="21" customHeight="1">
      <c r="A501" s="561">
        <f t="shared" ref="A501" si="211">A498+1</f>
        <v>56</v>
      </c>
      <c r="B501" s="565" t="s">
        <v>615</v>
      </c>
      <c r="C501" s="574" t="s">
        <v>74</v>
      </c>
      <c r="D501" s="574"/>
      <c r="E501" s="574"/>
      <c r="F501" s="246">
        <v>31.1</v>
      </c>
      <c r="G501" s="246">
        <f t="shared" si="210"/>
        <v>31.1</v>
      </c>
      <c r="H501" s="247" t="s">
        <v>32</v>
      </c>
      <c r="I501" s="419">
        <f t="shared" si="201"/>
        <v>14401.050000000005</v>
      </c>
      <c r="J501" s="246">
        <f t="shared" si="202"/>
        <v>6979.9499999999953</v>
      </c>
      <c r="K501" s="209">
        <f t="shared" si="175"/>
        <v>437.33573174178775</v>
      </c>
      <c r="L501" s="496"/>
      <c r="M501" s="293"/>
      <c r="N501" s="326"/>
      <c r="O501" s="37"/>
      <c r="P501" s="37"/>
    </row>
    <row r="502" spans="1:16" ht="21" customHeight="1">
      <c r="A502" s="561"/>
      <c r="B502" s="566"/>
      <c r="C502" s="574" t="s">
        <v>74</v>
      </c>
      <c r="D502" s="574"/>
      <c r="E502" s="574"/>
      <c r="F502" s="246">
        <v>31.17</v>
      </c>
      <c r="G502" s="246">
        <f t="shared" si="210"/>
        <v>31.17</v>
      </c>
      <c r="H502" s="247" t="s">
        <v>32</v>
      </c>
      <c r="I502" s="419">
        <f t="shared" si="201"/>
        <v>14432.220000000005</v>
      </c>
      <c r="J502" s="246">
        <f t="shared" si="202"/>
        <v>6948.7799999999952</v>
      </c>
      <c r="K502" s="209">
        <f t="shared" si="175"/>
        <v>438.0766919327732</v>
      </c>
      <c r="L502" s="496"/>
      <c r="M502" s="293"/>
      <c r="N502" s="326"/>
      <c r="O502" s="37"/>
      <c r="P502" s="37"/>
    </row>
    <row r="503" spans="1:16" ht="21" customHeight="1">
      <c r="A503" s="561"/>
      <c r="B503" s="567"/>
      <c r="C503" s="574" t="s">
        <v>74</v>
      </c>
      <c r="D503" s="574"/>
      <c r="E503" s="574"/>
      <c r="F503" s="246">
        <v>31.31</v>
      </c>
      <c r="G503" s="246">
        <f t="shared" si="210"/>
        <v>31.31</v>
      </c>
      <c r="H503" s="247" t="s">
        <v>32</v>
      </c>
      <c r="I503" s="419">
        <f t="shared" ref="I503:I504" si="212">IF(H503="IN",I502+G503,I502)</f>
        <v>14463.530000000004</v>
      </c>
      <c r="J503" s="246">
        <f t="shared" ref="J503:J504" si="213">IF(I503="","",$M$9-I503)</f>
        <v>6917.4699999999957</v>
      </c>
      <c r="K503" s="209">
        <f t="shared" ref="K503:K566" si="214">$H$8+(I503*$E$9*$E$15/1000)</f>
        <v>438.82098014514906</v>
      </c>
      <c r="L503" s="496"/>
      <c r="M503" s="293"/>
      <c r="N503" s="326"/>
      <c r="O503" s="37"/>
      <c r="P503" s="37"/>
    </row>
    <row r="504" spans="1:16" ht="21" hidden="1" customHeight="1">
      <c r="A504" s="425"/>
      <c r="B504" s="426"/>
      <c r="C504" s="589"/>
      <c r="D504" s="590"/>
      <c r="E504" s="591"/>
      <c r="F504" s="249"/>
      <c r="G504" s="249"/>
      <c r="H504" s="387" t="s">
        <v>35</v>
      </c>
      <c r="I504" s="420">
        <f t="shared" si="212"/>
        <v>14463.530000000004</v>
      </c>
      <c r="J504" s="249">
        <f t="shared" si="213"/>
        <v>6917.4699999999957</v>
      </c>
      <c r="K504" s="251">
        <f t="shared" si="214"/>
        <v>438.82098014514906</v>
      </c>
      <c r="L504" s="501"/>
      <c r="M504" s="593"/>
      <c r="N504" s="594"/>
      <c r="O504" s="37"/>
      <c r="P504" s="37"/>
    </row>
    <row r="505" spans="1:16" ht="21" customHeight="1">
      <c r="A505" s="561">
        <f>A501+1</f>
        <v>57</v>
      </c>
      <c r="B505" s="569" t="s">
        <v>624</v>
      </c>
      <c r="C505" s="599" t="s">
        <v>74</v>
      </c>
      <c r="D505" s="599"/>
      <c r="E505" s="599"/>
      <c r="F505" s="215">
        <v>30.96</v>
      </c>
      <c r="G505" s="215">
        <f t="shared" si="125"/>
        <v>30.96</v>
      </c>
      <c r="H505" s="216" t="s">
        <v>32</v>
      </c>
      <c r="I505" s="421">
        <f t="shared" si="155"/>
        <v>14494.490000000003</v>
      </c>
      <c r="J505" s="215">
        <f t="shared" si="156"/>
        <v>6886.5099999999966</v>
      </c>
      <c r="K505" s="217">
        <f t="shared" si="214"/>
        <v>439.55694830404894</v>
      </c>
      <c r="L505" s="507"/>
      <c r="M505" s="593"/>
      <c r="N505" s="594"/>
      <c r="O505" s="37"/>
      <c r="P505" s="37"/>
    </row>
    <row r="506" spans="1:16" ht="21" customHeight="1">
      <c r="A506" s="561"/>
      <c r="B506" s="569"/>
      <c r="C506" s="599" t="s">
        <v>74</v>
      </c>
      <c r="D506" s="599"/>
      <c r="E506" s="599"/>
      <c r="F506" s="215">
        <v>31.19</v>
      </c>
      <c r="G506" s="215">
        <f t="shared" si="125"/>
        <v>31.19</v>
      </c>
      <c r="H506" s="216" t="s">
        <v>32</v>
      </c>
      <c r="I506" s="421">
        <f t="shared" si="152"/>
        <v>14525.680000000004</v>
      </c>
      <c r="J506" s="215">
        <f t="shared" si="153"/>
        <v>6855.3199999999961</v>
      </c>
      <c r="K506" s="217">
        <f t="shared" si="214"/>
        <v>440.2983839266617</v>
      </c>
      <c r="L506" s="507"/>
      <c r="M506" s="593"/>
      <c r="N506" s="594"/>
      <c r="O506" s="37"/>
      <c r="P506" s="37"/>
    </row>
    <row r="507" spans="1:16" ht="21" customHeight="1">
      <c r="A507" s="561"/>
      <c r="B507" s="569"/>
      <c r="C507" s="599" t="s">
        <v>74</v>
      </c>
      <c r="D507" s="599"/>
      <c r="E507" s="599"/>
      <c r="F507" s="215">
        <v>31.17</v>
      </c>
      <c r="G507" s="215">
        <f t="shared" si="125"/>
        <v>31.17</v>
      </c>
      <c r="H507" s="216" t="s">
        <v>32</v>
      </c>
      <c r="I507" s="421">
        <f t="shared" si="152"/>
        <v>14556.850000000004</v>
      </c>
      <c r="J507" s="215">
        <f t="shared" si="153"/>
        <v>6824.149999999996</v>
      </c>
      <c r="K507" s="217">
        <f t="shared" si="214"/>
        <v>441.0393441176472</v>
      </c>
      <c r="L507" s="507"/>
      <c r="M507" s="593"/>
      <c r="N507" s="594"/>
      <c r="O507" s="37"/>
      <c r="P507" s="37"/>
    </row>
    <row r="508" spans="1:16" ht="21" customHeight="1">
      <c r="A508" s="561">
        <f>A505+1</f>
        <v>58</v>
      </c>
      <c r="B508" s="568" t="s">
        <v>625</v>
      </c>
      <c r="C508" s="574" t="s">
        <v>74</v>
      </c>
      <c r="D508" s="574"/>
      <c r="E508" s="574"/>
      <c r="F508" s="246">
        <v>30.79</v>
      </c>
      <c r="G508" s="246">
        <f t="shared" si="125"/>
        <v>30.79</v>
      </c>
      <c r="H508" s="247" t="s">
        <v>32</v>
      </c>
      <c r="I508" s="419">
        <f t="shared" si="152"/>
        <v>14587.640000000005</v>
      </c>
      <c r="J508" s="246">
        <f t="shared" si="153"/>
        <v>6793.3599999999951</v>
      </c>
      <c r="K508" s="209">
        <f t="shared" si="214"/>
        <v>441.7712711077159</v>
      </c>
      <c r="L508" s="496"/>
      <c r="M508" s="593"/>
      <c r="N508" s="594"/>
      <c r="O508" s="37"/>
      <c r="P508" s="37"/>
    </row>
    <row r="509" spans="1:16" ht="21" customHeight="1">
      <c r="A509" s="561"/>
      <c r="B509" s="568"/>
      <c r="C509" s="574" t="s">
        <v>74</v>
      </c>
      <c r="D509" s="574"/>
      <c r="E509" s="574"/>
      <c r="F509" s="246">
        <v>31.08</v>
      </c>
      <c r="G509" s="246">
        <f t="shared" si="125"/>
        <v>31.08</v>
      </c>
      <c r="H509" s="247" t="s">
        <v>32</v>
      </c>
      <c r="I509" s="419">
        <f t="shared" si="152"/>
        <v>14618.720000000005</v>
      </c>
      <c r="J509" s="246">
        <f t="shared" si="153"/>
        <v>6762.2799999999952</v>
      </c>
      <c r="K509" s="209">
        <f t="shared" si="214"/>
        <v>442.51009185637901</v>
      </c>
      <c r="L509" s="496"/>
      <c r="M509" s="593"/>
      <c r="N509" s="594"/>
      <c r="O509" s="37"/>
      <c r="P509" s="37"/>
    </row>
    <row r="510" spans="1:16" ht="21" customHeight="1">
      <c r="A510" s="561"/>
      <c r="B510" s="568"/>
      <c r="C510" s="574" t="s">
        <v>74</v>
      </c>
      <c r="D510" s="574"/>
      <c r="E510" s="574"/>
      <c r="F510" s="246">
        <v>31.14</v>
      </c>
      <c r="G510" s="246">
        <f t="shared" si="125"/>
        <v>31.14</v>
      </c>
      <c r="H510" s="247" t="s">
        <v>32</v>
      </c>
      <c r="I510" s="419">
        <f t="shared" si="152"/>
        <v>14649.860000000004</v>
      </c>
      <c r="J510" s="246">
        <f t="shared" si="153"/>
        <v>6731.1399999999958</v>
      </c>
      <c r="K510" s="209">
        <f t="shared" si="214"/>
        <v>443.25033889992375</v>
      </c>
      <c r="L510" s="496"/>
      <c r="M510" s="593"/>
      <c r="N510" s="594"/>
      <c r="O510" s="37"/>
      <c r="P510" s="37"/>
    </row>
    <row r="511" spans="1:16" ht="21" customHeight="1">
      <c r="A511" s="561">
        <f t="shared" ref="A511" si="215">A508+1</f>
        <v>59</v>
      </c>
      <c r="B511" s="569" t="s">
        <v>626</v>
      </c>
      <c r="C511" s="599" t="s">
        <v>74</v>
      </c>
      <c r="D511" s="599"/>
      <c r="E511" s="599"/>
      <c r="F511" s="215">
        <v>31.24</v>
      </c>
      <c r="G511" s="215">
        <f t="shared" si="125"/>
        <v>31.24</v>
      </c>
      <c r="H511" s="216" t="s">
        <v>32</v>
      </c>
      <c r="I511" s="421">
        <f t="shared" si="152"/>
        <v>14681.100000000004</v>
      </c>
      <c r="J511" s="215">
        <f t="shared" si="153"/>
        <v>6699.899999999996</v>
      </c>
      <c r="K511" s="217">
        <f t="shared" si="214"/>
        <v>443.9929631016044</v>
      </c>
      <c r="L511" s="507"/>
      <c r="M511" s="593"/>
      <c r="N511" s="594"/>
      <c r="O511" s="37"/>
      <c r="P511" s="37"/>
    </row>
    <row r="512" spans="1:16" ht="21" customHeight="1">
      <c r="A512" s="561"/>
      <c r="B512" s="569"/>
      <c r="C512" s="599" t="s">
        <v>74</v>
      </c>
      <c r="D512" s="599"/>
      <c r="E512" s="599"/>
      <c r="F512" s="215">
        <v>30.74</v>
      </c>
      <c r="G512" s="215">
        <f t="shared" si="125"/>
        <v>30.74</v>
      </c>
      <c r="H512" s="216" t="s">
        <v>32</v>
      </c>
      <c r="I512" s="421">
        <f t="shared" si="152"/>
        <v>14711.840000000004</v>
      </c>
      <c r="J512" s="215">
        <f t="shared" si="153"/>
        <v>6669.1599999999962</v>
      </c>
      <c r="K512" s="217">
        <f t="shared" si="214"/>
        <v>444.72370151260515</v>
      </c>
      <c r="L512" s="507"/>
      <c r="M512" s="593"/>
      <c r="N512" s="594"/>
      <c r="O512" s="37"/>
      <c r="P512" s="37"/>
    </row>
    <row r="513" spans="1:17" ht="21" customHeight="1">
      <c r="A513" s="561"/>
      <c r="B513" s="569"/>
      <c r="C513" s="599" t="s">
        <v>74</v>
      </c>
      <c r="D513" s="599"/>
      <c r="E513" s="599"/>
      <c r="F513" s="215">
        <v>31.27</v>
      </c>
      <c r="G513" s="215">
        <f t="shared" si="125"/>
        <v>31.27</v>
      </c>
      <c r="H513" s="216" t="s">
        <v>32</v>
      </c>
      <c r="I513" s="421">
        <f t="shared" si="152"/>
        <v>14743.110000000004</v>
      </c>
      <c r="J513" s="215">
        <f t="shared" si="153"/>
        <v>6637.8899999999958</v>
      </c>
      <c r="K513" s="217">
        <f t="shared" si="214"/>
        <v>445.46703886172662</v>
      </c>
      <c r="L513" s="507"/>
      <c r="M513" s="593"/>
      <c r="N513" s="594"/>
      <c r="O513" s="37"/>
      <c r="P513" s="37"/>
    </row>
    <row r="514" spans="1:17" ht="21" customHeight="1">
      <c r="A514" s="561">
        <f t="shared" ref="A514" si="216">A511+1</f>
        <v>60</v>
      </c>
      <c r="B514" s="568" t="s">
        <v>430</v>
      </c>
      <c r="C514" s="574" t="s">
        <v>74</v>
      </c>
      <c r="D514" s="574"/>
      <c r="E514" s="574"/>
      <c r="F514" s="246">
        <v>30.92</v>
      </c>
      <c r="G514" s="246">
        <f t="shared" si="125"/>
        <v>30.92</v>
      </c>
      <c r="H514" s="247" t="s">
        <v>32</v>
      </c>
      <c r="I514" s="419">
        <f t="shared" si="152"/>
        <v>14774.030000000004</v>
      </c>
      <c r="J514" s="246">
        <f t="shared" si="153"/>
        <v>6606.9699999999957</v>
      </c>
      <c r="K514" s="209">
        <f t="shared" si="214"/>
        <v>446.20205615737211</v>
      </c>
      <c r="L514" s="496"/>
      <c r="M514" s="593"/>
      <c r="N514" s="594"/>
      <c r="O514" s="37"/>
      <c r="P514" s="37"/>
    </row>
    <row r="515" spans="1:17" ht="21" customHeight="1">
      <c r="A515" s="561"/>
      <c r="B515" s="568"/>
      <c r="C515" s="574" t="s">
        <v>74</v>
      </c>
      <c r="D515" s="574"/>
      <c r="E515" s="574"/>
      <c r="F515" s="246">
        <v>31.19</v>
      </c>
      <c r="G515" s="246">
        <f t="shared" si="125"/>
        <v>31.19</v>
      </c>
      <c r="H515" s="247" t="s">
        <v>32</v>
      </c>
      <c r="I515" s="419">
        <f t="shared" si="152"/>
        <v>14805.220000000005</v>
      </c>
      <c r="J515" s="246">
        <f t="shared" si="153"/>
        <v>6575.7799999999952</v>
      </c>
      <c r="K515" s="209">
        <f t="shared" si="214"/>
        <v>446.94349177998487</v>
      </c>
      <c r="L515" s="496"/>
      <c r="M515" s="593"/>
      <c r="N515" s="594"/>
      <c r="O515" s="37"/>
      <c r="P515" s="37"/>
    </row>
    <row r="516" spans="1:17" ht="21" customHeight="1">
      <c r="A516" s="561"/>
      <c r="B516" s="568"/>
      <c r="C516" s="574" t="s">
        <v>74</v>
      </c>
      <c r="D516" s="574"/>
      <c r="E516" s="574"/>
      <c r="F516" s="246">
        <v>31</v>
      </c>
      <c r="G516" s="246">
        <f t="shared" si="125"/>
        <v>31</v>
      </c>
      <c r="H516" s="247" t="s">
        <v>32</v>
      </c>
      <c r="I516" s="419">
        <f t="shared" si="152"/>
        <v>14836.220000000005</v>
      </c>
      <c r="J516" s="246">
        <f t="shared" si="153"/>
        <v>6544.7799999999952</v>
      </c>
      <c r="K516" s="209">
        <f t="shared" si="214"/>
        <v>447.68041080213914</v>
      </c>
      <c r="L516" s="496"/>
      <c r="M516" s="593"/>
      <c r="N516" s="594"/>
      <c r="O516" s="37"/>
      <c r="P516" s="37"/>
    </row>
    <row r="517" spans="1:17" ht="21" customHeight="1">
      <c r="A517" s="561">
        <f t="shared" ref="A517" si="217">A514+1</f>
        <v>61</v>
      </c>
      <c r="B517" s="569" t="s">
        <v>431</v>
      </c>
      <c r="C517" s="599" t="s">
        <v>74</v>
      </c>
      <c r="D517" s="599"/>
      <c r="E517" s="599"/>
      <c r="F517" s="215">
        <v>30.94</v>
      </c>
      <c r="G517" s="215">
        <f t="shared" si="125"/>
        <v>30.94</v>
      </c>
      <c r="H517" s="216" t="s">
        <v>32</v>
      </c>
      <c r="I517" s="421">
        <f t="shared" si="152"/>
        <v>14867.160000000005</v>
      </c>
      <c r="J517" s="215">
        <f t="shared" si="153"/>
        <v>6513.8399999999947</v>
      </c>
      <c r="K517" s="217">
        <f t="shared" si="214"/>
        <v>448.41590352941188</v>
      </c>
      <c r="L517" s="507"/>
      <c r="M517" s="593"/>
      <c r="N517" s="594"/>
      <c r="O517" s="37"/>
      <c r="P517" s="46"/>
    </row>
    <row r="518" spans="1:17" ht="21" customHeight="1">
      <c r="A518" s="561"/>
      <c r="B518" s="569"/>
      <c r="C518" s="599" t="s">
        <v>74</v>
      </c>
      <c r="D518" s="599"/>
      <c r="E518" s="599"/>
      <c r="F518" s="215">
        <v>31.01</v>
      </c>
      <c r="G518" s="215">
        <f t="shared" si="125"/>
        <v>31.01</v>
      </c>
      <c r="H518" s="216" t="s">
        <v>32</v>
      </c>
      <c r="I518" s="421">
        <f t="shared" si="152"/>
        <v>14898.170000000006</v>
      </c>
      <c r="J518" s="215">
        <f t="shared" si="153"/>
        <v>6482.8299999999945</v>
      </c>
      <c r="K518" s="217">
        <f t="shared" si="214"/>
        <v>449.15306026737977</v>
      </c>
      <c r="L518" s="507"/>
      <c r="M518" s="593"/>
      <c r="N518" s="594"/>
      <c r="O518" s="37"/>
      <c r="P518" s="46"/>
    </row>
    <row r="519" spans="1:17" ht="21" customHeight="1">
      <c r="A519" s="561"/>
      <c r="B519" s="569"/>
      <c r="C519" s="599" t="s">
        <v>74</v>
      </c>
      <c r="D519" s="599"/>
      <c r="E519" s="599"/>
      <c r="F519" s="215">
        <v>31.19</v>
      </c>
      <c r="G519" s="215">
        <f t="shared" si="125"/>
        <v>31.19</v>
      </c>
      <c r="H519" s="216" t="s">
        <v>32</v>
      </c>
      <c r="I519" s="421">
        <f t="shared" si="152"/>
        <v>14929.360000000006</v>
      </c>
      <c r="J519" s="215">
        <f t="shared" si="153"/>
        <v>6451.639999999994</v>
      </c>
      <c r="K519" s="217">
        <f t="shared" si="214"/>
        <v>449.89449588999253</v>
      </c>
      <c r="L519" s="507"/>
      <c r="M519" s="593"/>
      <c r="N519" s="594"/>
      <c r="O519" s="37"/>
      <c r="P519" s="45"/>
    </row>
    <row r="520" spans="1:17" ht="21" customHeight="1">
      <c r="A520" s="561">
        <f t="shared" ref="A520" si="218">A517+1</f>
        <v>62</v>
      </c>
      <c r="B520" s="568" t="s">
        <v>432</v>
      </c>
      <c r="C520" s="574" t="s">
        <v>74</v>
      </c>
      <c r="D520" s="574"/>
      <c r="E520" s="574"/>
      <c r="F520" s="246">
        <v>30.11</v>
      </c>
      <c r="G520" s="246">
        <f t="shared" si="125"/>
        <v>30.11</v>
      </c>
      <c r="H520" s="247" t="s">
        <v>32</v>
      </c>
      <c r="I520" s="419">
        <f t="shared" si="152"/>
        <v>14959.470000000007</v>
      </c>
      <c r="J520" s="246">
        <f t="shared" si="153"/>
        <v>6421.5299999999934</v>
      </c>
      <c r="K520" s="209">
        <f t="shared" si="214"/>
        <v>450.61025820473657</v>
      </c>
      <c r="L520" s="496"/>
      <c r="M520" s="593"/>
      <c r="N520" s="594"/>
      <c r="O520" s="37"/>
      <c r="P520" s="37"/>
    </row>
    <row r="521" spans="1:17" ht="21" customHeight="1">
      <c r="A521" s="561"/>
      <c r="B521" s="568"/>
      <c r="C521" s="574" t="s">
        <v>74</v>
      </c>
      <c r="D521" s="574"/>
      <c r="E521" s="574"/>
      <c r="F521" s="246">
        <v>30.76</v>
      </c>
      <c r="G521" s="246">
        <f t="shared" si="125"/>
        <v>30.76</v>
      </c>
      <c r="H521" s="247" t="s">
        <v>32</v>
      </c>
      <c r="I521" s="419">
        <f t="shared" si="152"/>
        <v>14990.230000000007</v>
      </c>
      <c r="J521" s="246">
        <f t="shared" si="153"/>
        <v>6390.7699999999932</v>
      </c>
      <c r="K521" s="209">
        <f t="shared" si="214"/>
        <v>451.34147204736456</v>
      </c>
      <c r="L521" s="496"/>
      <c r="M521" s="593"/>
      <c r="N521" s="594"/>
      <c r="O521" s="37"/>
      <c r="P521" s="37"/>
    </row>
    <row r="522" spans="1:17" ht="21" customHeight="1">
      <c r="A522" s="561"/>
      <c r="B522" s="568"/>
      <c r="C522" s="574" t="s">
        <v>74</v>
      </c>
      <c r="D522" s="574"/>
      <c r="E522" s="574"/>
      <c r="F522" s="246">
        <v>31.15</v>
      </c>
      <c r="G522" s="246">
        <f t="shared" si="125"/>
        <v>31.15</v>
      </c>
      <c r="H522" s="247" t="s">
        <v>32</v>
      </c>
      <c r="I522" s="419">
        <f t="shared" si="152"/>
        <v>15021.380000000006</v>
      </c>
      <c r="J522" s="246">
        <f t="shared" si="153"/>
        <v>6359.6199999999935</v>
      </c>
      <c r="K522" s="209">
        <f t="shared" si="214"/>
        <v>452.08195680672287</v>
      </c>
      <c r="L522" s="496"/>
      <c r="M522" s="593"/>
      <c r="N522" s="594"/>
      <c r="O522" s="37"/>
      <c r="P522" s="37"/>
    </row>
    <row r="523" spans="1:17" ht="21" customHeight="1">
      <c r="A523" s="561">
        <f t="shared" ref="A523" si="219">A520+1</f>
        <v>63</v>
      </c>
      <c r="B523" s="569" t="s">
        <v>433</v>
      </c>
      <c r="C523" s="599" t="s">
        <v>74</v>
      </c>
      <c r="D523" s="599"/>
      <c r="E523" s="599"/>
      <c r="F523" s="215">
        <v>31.03</v>
      </c>
      <c r="G523" s="215">
        <f t="shared" si="125"/>
        <v>31.03</v>
      </c>
      <c r="H523" s="216" t="s">
        <v>32</v>
      </c>
      <c r="I523" s="421">
        <f t="shared" si="152"/>
        <v>15052.410000000007</v>
      </c>
      <c r="J523" s="215">
        <f t="shared" si="153"/>
        <v>6328.5899999999929</v>
      </c>
      <c r="K523" s="217">
        <f t="shared" si="214"/>
        <v>452.81958897631796</v>
      </c>
      <c r="L523" s="507"/>
      <c r="M523" s="593"/>
      <c r="N523" s="594"/>
      <c r="O523" s="37"/>
      <c r="P523" s="37"/>
    </row>
    <row r="524" spans="1:17" ht="21" customHeight="1">
      <c r="A524" s="561"/>
      <c r="B524" s="569"/>
      <c r="C524" s="599" t="s">
        <v>74</v>
      </c>
      <c r="D524" s="599"/>
      <c r="E524" s="599"/>
      <c r="F524" s="215">
        <v>30.92</v>
      </c>
      <c r="G524" s="215">
        <f t="shared" si="125"/>
        <v>30.92</v>
      </c>
      <c r="H524" s="216" t="s">
        <v>32</v>
      </c>
      <c r="I524" s="421">
        <f t="shared" si="152"/>
        <v>15083.330000000007</v>
      </c>
      <c r="J524" s="215">
        <f t="shared" si="153"/>
        <v>6297.6699999999928</v>
      </c>
      <c r="K524" s="217">
        <f t="shared" si="214"/>
        <v>453.55460627196351</v>
      </c>
      <c r="L524" s="507"/>
      <c r="M524" s="593"/>
      <c r="N524" s="594"/>
      <c r="O524" s="37"/>
      <c r="P524" s="37"/>
    </row>
    <row r="525" spans="1:17" ht="21" customHeight="1">
      <c r="A525" s="561"/>
      <c r="B525" s="569"/>
      <c r="C525" s="599" t="s">
        <v>74</v>
      </c>
      <c r="D525" s="599"/>
      <c r="E525" s="599"/>
      <c r="F525" s="215">
        <v>30.86</v>
      </c>
      <c r="G525" s="215">
        <f t="shared" si="125"/>
        <v>30.86</v>
      </c>
      <c r="H525" s="216" t="s">
        <v>32</v>
      </c>
      <c r="I525" s="421">
        <f t="shared" si="152"/>
        <v>15114.190000000008</v>
      </c>
      <c r="J525" s="215">
        <f t="shared" si="153"/>
        <v>6266.8099999999922</v>
      </c>
      <c r="K525" s="217">
        <f t="shared" si="214"/>
        <v>454.28819727272747</v>
      </c>
      <c r="L525" s="507"/>
      <c r="M525" s="593"/>
      <c r="N525" s="594"/>
      <c r="O525" s="37"/>
      <c r="P525" s="37"/>
    </row>
    <row r="526" spans="1:17" ht="21" customHeight="1">
      <c r="A526" s="561">
        <f t="shared" ref="A526" si="220">A523+1</f>
        <v>64</v>
      </c>
      <c r="B526" s="568" t="s">
        <v>434</v>
      </c>
      <c r="C526" s="574" t="s">
        <v>74</v>
      </c>
      <c r="D526" s="574"/>
      <c r="E526" s="574"/>
      <c r="F526" s="246">
        <v>31.21</v>
      </c>
      <c r="G526" s="246">
        <f t="shared" si="125"/>
        <v>31.21</v>
      </c>
      <c r="H526" s="247" t="s">
        <v>32</v>
      </c>
      <c r="I526" s="419">
        <f t="shared" si="152"/>
        <v>15145.400000000007</v>
      </c>
      <c r="J526" s="246">
        <f t="shared" si="153"/>
        <v>6235.5999999999931</v>
      </c>
      <c r="K526" s="209">
        <f t="shared" si="214"/>
        <v>455.03010832696737</v>
      </c>
      <c r="L526" s="496"/>
      <c r="M526" s="593"/>
      <c r="N526" s="594"/>
      <c r="O526" s="37"/>
      <c r="P526" s="37"/>
    </row>
    <row r="527" spans="1:17" ht="21" customHeight="1">
      <c r="A527" s="561"/>
      <c r="B527" s="568"/>
      <c r="C527" s="574" t="s">
        <v>74</v>
      </c>
      <c r="D527" s="574"/>
      <c r="E527" s="574"/>
      <c r="F527" s="246">
        <v>30.98</v>
      </c>
      <c r="G527" s="246">
        <f t="shared" si="125"/>
        <v>30.98</v>
      </c>
      <c r="H527" s="247" t="s">
        <v>32</v>
      </c>
      <c r="I527" s="419">
        <f t="shared" si="152"/>
        <v>15176.380000000006</v>
      </c>
      <c r="J527" s="246">
        <f t="shared" si="153"/>
        <v>6204.6199999999935</v>
      </c>
      <c r="K527" s="209">
        <f t="shared" si="214"/>
        <v>455.76655191749444</v>
      </c>
      <c r="L527" s="496"/>
      <c r="M527" s="593"/>
      <c r="N527" s="594"/>
      <c r="O527" s="37"/>
      <c r="P527" s="37"/>
    </row>
    <row r="528" spans="1:17" ht="21" customHeight="1">
      <c r="A528" s="561"/>
      <c r="B528" s="568"/>
      <c r="C528" s="574" t="s">
        <v>74</v>
      </c>
      <c r="D528" s="574"/>
      <c r="E528" s="574"/>
      <c r="F528" s="246">
        <v>31.2</v>
      </c>
      <c r="G528" s="246">
        <f t="shared" si="125"/>
        <v>31.2</v>
      </c>
      <c r="H528" s="247" t="s">
        <v>32</v>
      </c>
      <c r="I528" s="419">
        <f t="shared" si="152"/>
        <v>15207.580000000007</v>
      </c>
      <c r="J528" s="246">
        <f t="shared" si="153"/>
        <v>6173.4199999999928</v>
      </c>
      <c r="K528" s="209">
        <f t="shared" si="214"/>
        <v>456.50822525592071</v>
      </c>
      <c r="L528" s="496"/>
      <c r="M528" s="593"/>
      <c r="N528" s="594"/>
      <c r="O528" s="37"/>
      <c r="P528" s="37"/>
      <c r="Q528" s="23"/>
    </row>
    <row r="529" spans="1:17" ht="21" customHeight="1">
      <c r="A529" s="561">
        <f t="shared" ref="A529" si="221">A526+1</f>
        <v>65</v>
      </c>
      <c r="B529" s="569" t="s">
        <v>435</v>
      </c>
      <c r="C529" s="599" t="s">
        <v>74</v>
      </c>
      <c r="D529" s="599"/>
      <c r="E529" s="599"/>
      <c r="F529" s="215">
        <v>31.04</v>
      </c>
      <c r="G529" s="215">
        <f t="shared" si="125"/>
        <v>31.04</v>
      </c>
      <c r="H529" s="216" t="s">
        <v>32</v>
      </c>
      <c r="I529" s="421">
        <f t="shared" si="152"/>
        <v>15238.620000000008</v>
      </c>
      <c r="J529" s="215">
        <f t="shared" si="153"/>
        <v>6142.3799999999919</v>
      </c>
      <c r="K529" s="217">
        <f t="shared" si="214"/>
        <v>457.24609514132948</v>
      </c>
      <c r="L529" s="507"/>
      <c r="M529" s="593"/>
      <c r="N529" s="594"/>
      <c r="O529" s="37"/>
      <c r="P529" s="37"/>
      <c r="Q529" s="23"/>
    </row>
    <row r="530" spans="1:17" ht="21" customHeight="1">
      <c r="A530" s="561"/>
      <c r="B530" s="569"/>
      <c r="C530" s="599" t="s">
        <v>74</v>
      </c>
      <c r="D530" s="599"/>
      <c r="E530" s="599"/>
      <c r="F530" s="215">
        <v>31.2</v>
      </c>
      <c r="G530" s="215">
        <f t="shared" si="125"/>
        <v>31.2</v>
      </c>
      <c r="H530" s="216" t="s">
        <v>32</v>
      </c>
      <c r="I530" s="421">
        <f t="shared" si="152"/>
        <v>15269.820000000009</v>
      </c>
      <c r="J530" s="215">
        <f t="shared" si="153"/>
        <v>6111.1799999999912</v>
      </c>
      <c r="K530" s="217">
        <f t="shared" si="214"/>
        <v>457.9877684797558</v>
      </c>
      <c r="L530" s="507"/>
      <c r="M530" s="593"/>
      <c r="N530" s="594"/>
      <c r="O530" s="37"/>
      <c r="P530" s="37"/>
    </row>
    <row r="531" spans="1:17" ht="21" customHeight="1">
      <c r="A531" s="561"/>
      <c r="B531" s="569"/>
      <c r="C531" s="599" t="s">
        <v>74</v>
      </c>
      <c r="D531" s="599"/>
      <c r="E531" s="599"/>
      <c r="F531" s="215">
        <v>30.82</v>
      </c>
      <c r="G531" s="215">
        <f t="shared" si="125"/>
        <v>30.82</v>
      </c>
      <c r="H531" s="216" t="s">
        <v>32</v>
      </c>
      <c r="I531" s="421">
        <f t="shared" si="152"/>
        <v>15300.640000000009</v>
      </c>
      <c r="J531" s="215">
        <f t="shared" si="153"/>
        <v>6080.3599999999915</v>
      </c>
      <c r="K531" s="217">
        <f t="shared" si="214"/>
        <v>458.72040861726526</v>
      </c>
      <c r="L531" s="507"/>
      <c r="M531" s="593"/>
      <c r="N531" s="594"/>
      <c r="O531" s="37"/>
      <c r="P531" s="37"/>
    </row>
    <row r="532" spans="1:17" ht="21" customHeight="1">
      <c r="A532" s="561">
        <f t="shared" ref="A532" si="222">A529+1</f>
        <v>66</v>
      </c>
      <c r="B532" s="568" t="s">
        <v>436</v>
      </c>
      <c r="C532" s="574" t="s">
        <v>74</v>
      </c>
      <c r="D532" s="574"/>
      <c r="E532" s="574"/>
      <c r="F532" s="246">
        <v>31.28</v>
      </c>
      <c r="G532" s="246">
        <f t="shared" si="125"/>
        <v>31.28</v>
      </c>
      <c r="H532" s="247" t="s">
        <v>32</v>
      </c>
      <c r="I532" s="419">
        <f t="shared" si="152"/>
        <v>15331.920000000009</v>
      </c>
      <c r="J532" s="246">
        <f t="shared" si="153"/>
        <v>6049.0799999999908</v>
      </c>
      <c r="K532" s="209">
        <f t="shared" si="214"/>
        <v>459.46398368220036</v>
      </c>
      <c r="L532" s="496"/>
      <c r="M532" s="593"/>
      <c r="N532" s="594"/>
      <c r="O532" s="37"/>
      <c r="P532" s="37"/>
    </row>
    <row r="533" spans="1:17" ht="21" customHeight="1">
      <c r="A533" s="561"/>
      <c r="B533" s="568"/>
      <c r="C533" s="574" t="s">
        <v>74</v>
      </c>
      <c r="D533" s="574"/>
      <c r="E533" s="574"/>
      <c r="F533" s="246">
        <v>31.06</v>
      </c>
      <c r="G533" s="246">
        <f t="shared" si="125"/>
        <v>31.06</v>
      </c>
      <c r="H533" s="247" t="s">
        <v>32</v>
      </c>
      <c r="I533" s="419">
        <f t="shared" si="152"/>
        <v>15362.980000000009</v>
      </c>
      <c r="J533" s="246">
        <f t="shared" si="153"/>
        <v>6018.0199999999913</v>
      </c>
      <c r="K533" s="209">
        <f t="shared" si="214"/>
        <v>460.20232899923627</v>
      </c>
      <c r="L533" s="496"/>
      <c r="M533" s="593"/>
      <c r="N533" s="594"/>
      <c r="O533" s="37"/>
      <c r="P533" s="37"/>
    </row>
    <row r="534" spans="1:17" ht="21" customHeight="1">
      <c r="A534" s="561"/>
      <c r="B534" s="568"/>
      <c r="C534" s="574" t="s">
        <v>74</v>
      </c>
      <c r="D534" s="574"/>
      <c r="E534" s="574"/>
      <c r="F534" s="246">
        <v>31.02</v>
      </c>
      <c r="G534" s="246">
        <f t="shared" si="125"/>
        <v>31.02</v>
      </c>
      <c r="H534" s="247" t="s">
        <v>32</v>
      </c>
      <c r="I534" s="419">
        <f t="shared" si="152"/>
        <v>15394.000000000009</v>
      </c>
      <c r="J534" s="246">
        <f t="shared" si="153"/>
        <v>5986.9999999999909</v>
      </c>
      <c r="K534" s="209">
        <f t="shared" si="214"/>
        <v>460.93972345301785</v>
      </c>
      <c r="L534" s="496"/>
      <c r="M534" s="593"/>
      <c r="N534" s="594"/>
      <c r="O534" s="37"/>
      <c r="P534" s="37"/>
    </row>
    <row r="535" spans="1:17" ht="21" customHeight="1">
      <c r="A535" s="561">
        <f t="shared" ref="A535" si="223">A532+1</f>
        <v>67</v>
      </c>
      <c r="B535" s="569" t="s">
        <v>437</v>
      </c>
      <c r="C535" s="599" t="s">
        <v>74</v>
      </c>
      <c r="D535" s="599"/>
      <c r="E535" s="599"/>
      <c r="F535" s="215">
        <v>31.4</v>
      </c>
      <c r="G535" s="215">
        <f t="shared" si="125"/>
        <v>31.4</v>
      </c>
      <c r="H535" s="216" t="s">
        <v>32</v>
      </c>
      <c r="I535" s="421">
        <f t="shared" si="152"/>
        <v>15425.400000000009</v>
      </c>
      <c r="J535" s="215">
        <f t="shared" si="153"/>
        <v>5955.5999999999913</v>
      </c>
      <c r="K535" s="217">
        <f t="shared" si="214"/>
        <v>461.686151107716</v>
      </c>
      <c r="L535" s="507"/>
      <c r="M535" s="593"/>
      <c r="N535" s="594"/>
      <c r="O535" s="37"/>
      <c r="P535" s="37"/>
    </row>
    <row r="536" spans="1:17" ht="21" customHeight="1">
      <c r="A536" s="561"/>
      <c r="B536" s="569"/>
      <c r="C536" s="599" t="s">
        <v>74</v>
      </c>
      <c r="D536" s="599"/>
      <c r="E536" s="599"/>
      <c r="F536" s="215">
        <v>31.17</v>
      </c>
      <c r="G536" s="215">
        <f t="shared" si="125"/>
        <v>31.17</v>
      </c>
      <c r="H536" s="216" t="s">
        <v>32</v>
      </c>
      <c r="I536" s="421">
        <f t="shared" si="152"/>
        <v>15456.570000000009</v>
      </c>
      <c r="J536" s="215">
        <f t="shared" si="153"/>
        <v>5924.4299999999912</v>
      </c>
      <c r="K536" s="217">
        <f t="shared" si="214"/>
        <v>462.42711129870156</v>
      </c>
      <c r="L536" s="507"/>
      <c r="M536" s="593"/>
      <c r="N536" s="594"/>
      <c r="O536" s="37"/>
      <c r="P536" s="37"/>
    </row>
    <row r="537" spans="1:17" ht="21" customHeight="1">
      <c r="A537" s="561"/>
      <c r="B537" s="569"/>
      <c r="C537" s="599" t="s">
        <v>74</v>
      </c>
      <c r="D537" s="599"/>
      <c r="E537" s="599"/>
      <c r="F537" s="215">
        <v>30.75</v>
      </c>
      <c r="G537" s="215">
        <f t="shared" si="125"/>
        <v>30.75</v>
      </c>
      <c r="H537" s="216" t="s">
        <v>32</v>
      </c>
      <c r="I537" s="421">
        <f t="shared" si="152"/>
        <v>15487.320000000009</v>
      </c>
      <c r="J537" s="215">
        <f t="shared" si="153"/>
        <v>5893.6799999999912</v>
      </c>
      <c r="K537" s="217">
        <f t="shared" si="214"/>
        <v>463.15808742551587</v>
      </c>
      <c r="L537" s="507"/>
      <c r="M537" s="593"/>
      <c r="N537" s="594"/>
      <c r="O537" s="37"/>
      <c r="P537" s="37"/>
    </row>
    <row r="538" spans="1:17" ht="21" customHeight="1">
      <c r="A538" s="561">
        <f t="shared" ref="A538" si="224">A535+1</f>
        <v>68</v>
      </c>
      <c r="B538" s="568" t="s">
        <v>438</v>
      </c>
      <c r="C538" s="574" t="s">
        <v>74</v>
      </c>
      <c r="D538" s="574"/>
      <c r="E538" s="574"/>
      <c r="F538" s="246">
        <v>30.99</v>
      </c>
      <c r="G538" s="246">
        <f t="shared" si="125"/>
        <v>30.99</v>
      </c>
      <c r="H538" s="247" t="s">
        <v>32</v>
      </c>
      <c r="I538" s="419">
        <f t="shared" si="152"/>
        <v>15518.310000000009</v>
      </c>
      <c r="J538" s="246">
        <f t="shared" si="153"/>
        <v>5862.6899999999914</v>
      </c>
      <c r="K538" s="209">
        <f t="shared" si="214"/>
        <v>463.89476873185663</v>
      </c>
      <c r="L538" s="496"/>
      <c r="M538" s="593"/>
      <c r="N538" s="594"/>
      <c r="O538" s="37"/>
      <c r="P538" s="37"/>
    </row>
    <row r="539" spans="1:17" ht="21" customHeight="1">
      <c r="A539" s="561"/>
      <c r="B539" s="568"/>
      <c r="C539" s="574" t="s">
        <v>74</v>
      </c>
      <c r="D539" s="574"/>
      <c r="E539" s="574"/>
      <c r="F539" s="246">
        <v>30.95</v>
      </c>
      <c r="G539" s="246">
        <f t="shared" si="125"/>
        <v>30.95</v>
      </c>
      <c r="H539" s="247" t="s">
        <v>32</v>
      </c>
      <c r="I539" s="419">
        <f t="shared" ref="I539:I602" si="225">IF(H539="IN",I538+G539,I538)</f>
        <v>15549.260000000009</v>
      </c>
      <c r="J539" s="246">
        <f t="shared" si="153"/>
        <v>5831.7399999999907</v>
      </c>
      <c r="K539" s="209">
        <f t="shared" si="214"/>
        <v>464.63049917494294</v>
      </c>
      <c r="L539" s="496"/>
      <c r="M539" s="593"/>
      <c r="N539" s="594"/>
      <c r="O539" s="37"/>
      <c r="P539" s="37"/>
    </row>
    <row r="540" spans="1:17" ht="21" customHeight="1">
      <c r="A540" s="561"/>
      <c r="B540" s="568"/>
      <c r="C540" s="574" t="s">
        <v>74</v>
      </c>
      <c r="D540" s="574"/>
      <c r="E540" s="574"/>
      <c r="F540" s="246">
        <v>31.25</v>
      </c>
      <c r="G540" s="246">
        <f t="shared" si="125"/>
        <v>31.25</v>
      </c>
      <c r="H540" s="247" t="s">
        <v>32</v>
      </c>
      <c r="I540" s="419">
        <f t="shared" si="225"/>
        <v>15580.510000000009</v>
      </c>
      <c r="J540" s="246">
        <f t="shared" si="153"/>
        <v>5800.4899999999907</v>
      </c>
      <c r="K540" s="209">
        <f t="shared" si="214"/>
        <v>465.37336109243722</v>
      </c>
      <c r="L540" s="496"/>
      <c r="M540" s="593"/>
      <c r="N540" s="594"/>
      <c r="O540" s="37"/>
      <c r="P540" s="37"/>
    </row>
    <row r="541" spans="1:17" ht="21" customHeight="1">
      <c r="A541" s="561">
        <f t="shared" ref="A541" si="226">A538+1</f>
        <v>69</v>
      </c>
      <c r="B541" s="569" t="s">
        <v>439</v>
      </c>
      <c r="C541" s="599" t="s">
        <v>74</v>
      </c>
      <c r="D541" s="599"/>
      <c r="E541" s="599"/>
      <c r="F541" s="215">
        <v>31.01</v>
      </c>
      <c r="G541" s="215">
        <f t="shared" si="125"/>
        <v>31.01</v>
      </c>
      <c r="H541" s="216" t="s">
        <v>32</v>
      </c>
      <c r="I541" s="421">
        <f t="shared" si="225"/>
        <v>15611.52000000001</v>
      </c>
      <c r="J541" s="215">
        <f t="shared" ref="J541:J604" si="227">IF(I541="","",$M$9-I541)</f>
        <v>5769.4799999999905</v>
      </c>
      <c r="K541" s="217">
        <f t="shared" si="214"/>
        <v>466.11051783040512</v>
      </c>
      <c r="L541" s="507"/>
      <c r="M541" s="593"/>
      <c r="N541" s="594"/>
      <c r="O541" s="37"/>
      <c r="P541" s="37"/>
    </row>
    <row r="542" spans="1:17" ht="21" customHeight="1">
      <c r="A542" s="561"/>
      <c r="B542" s="569"/>
      <c r="C542" s="599" t="s">
        <v>74</v>
      </c>
      <c r="D542" s="599"/>
      <c r="E542" s="599"/>
      <c r="F542" s="215">
        <v>31.08</v>
      </c>
      <c r="G542" s="215">
        <f t="shared" si="125"/>
        <v>31.08</v>
      </c>
      <c r="H542" s="216" t="s">
        <v>32</v>
      </c>
      <c r="I542" s="421">
        <f t="shared" si="225"/>
        <v>15642.600000000009</v>
      </c>
      <c r="J542" s="215">
        <f t="shared" si="227"/>
        <v>5738.3999999999905</v>
      </c>
      <c r="K542" s="217">
        <f t="shared" si="214"/>
        <v>466.84933857906822</v>
      </c>
      <c r="L542" s="507"/>
      <c r="M542" s="593"/>
      <c r="N542" s="594"/>
      <c r="O542" s="37"/>
      <c r="P542" s="37"/>
    </row>
    <row r="543" spans="1:17" ht="21" customHeight="1">
      <c r="A543" s="561"/>
      <c r="B543" s="569"/>
      <c r="C543" s="599" t="s">
        <v>74</v>
      </c>
      <c r="D543" s="599"/>
      <c r="E543" s="599"/>
      <c r="F543" s="215">
        <v>31.28</v>
      </c>
      <c r="G543" s="215">
        <f t="shared" si="125"/>
        <v>31.28</v>
      </c>
      <c r="H543" s="216" t="s">
        <v>32</v>
      </c>
      <c r="I543" s="421">
        <f t="shared" si="225"/>
        <v>15673.88000000001</v>
      </c>
      <c r="J543" s="215">
        <f t="shared" si="227"/>
        <v>5707.1199999999899</v>
      </c>
      <c r="K543" s="217">
        <f t="shared" si="214"/>
        <v>467.59291364400332</v>
      </c>
      <c r="L543" s="507"/>
      <c r="M543" s="593"/>
      <c r="N543" s="594"/>
      <c r="O543" s="37"/>
      <c r="P543" s="37"/>
    </row>
    <row r="544" spans="1:17" ht="21" customHeight="1">
      <c r="A544" s="561">
        <f t="shared" ref="A544" si="228">A541+1</f>
        <v>70</v>
      </c>
      <c r="B544" s="568" t="s">
        <v>440</v>
      </c>
      <c r="C544" s="574" t="s">
        <v>74</v>
      </c>
      <c r="D544" s="574"/>
      <c r="E544" s="574"/>
      <c r="F544" s="246">
        <v>30.98</v>
      </c>
      <c r="G544" s="246">
        <f t="shared" si="125"/>
        <v>30.98</v>
      </c>
      <c r="H544" s="247" t="s">
        <v>32</v>
      </c>
      <c r="I544" s="419">
        <f t="shared" si="225"/>
        <v>15704.86000000001</v>
      </c>
      <c r="J544" s="246">
        <f t="shared" si="227"/>
        <v>5676.1399999999903</v>
      </c>
      <c r="K544" s="209">
        <f t="shared" si="214"/>
        <v>468.32935723453045</v>
      </c>
      <c r="L544" s="496"/>
      <c r="M544" s="593"/>
      <c r="N544" s="594"/>
      <c r="O544" s="37"/>
      <c r="P544" s="37"/>
    </row>
    <row r="545" spans="1:16" ht="21" customHeight="1">
      <c r="A545" s="561"/>
      <c r="B545" s="568"/>
      <c r="C545" s="574" t="s">
        <v>74</v>
      </c>
      <c r="D545" s="574"/>
      <c r="E545" s="574"/>
      <c r="F545" s="246">
        <v>30.83</v>
      </c>
      <c r="G545" s="246">
        <f t="shared" si="125"/>
        <v>30.83</v>
      </c>
      <c r="H545" s="247" t="s">
        <v>32</v>
      </c>
      <c r="I545" s="419">
        <f t="shared" si="225"/>
        <v>15735.69000000001</v>
      </c>
      <c r="J545" s="246">
        <f t="shared" si="227"/>
        <v>5645.3099999999904</v>
      </c>
      <c r="K545" s="209">
        <f t="shared" si="214"/>
        <v>469.06223508785354</v>
      </c>
      <c r="L545" s="496"/>
      <c r="M545" s="593"/>
      <c r="N545" s="594"/>
      <c r="O545" s="37"/>
      <c r="P545" s="37"/>
    </row>
    <row r="546" spans="1:16" ht="21" customHeight="1">
      <c r="A546" s="561"/>
      <c r="B546" s="568"/>
      <c r="C546" s="574" t="s">
        <v>74</v>
      </c>
      <c r="D546" s="574"/>
      <c r="E546" s="574"/>
      <c r="F546" s="246">
        <v>31.21</v>
      </c>
      <c r="G546" s="246">
        <f t="shared" si="125"/>
        <v>31.21</v>
      </c>
      <c r="H546" s="247" t="s">
        <v>32</v>
      </c>
      <c r="I546" s="419">
        <f t="shared" si="225"/>
        <v>15766.900000000009</v>
      </c>
      <c r="J546" s="246">
        <f t="shared" si="227"/>
        <v>5614.0999999999913</v>
      </c>
      <c r="K546" s="209">
        <f t="shared" si="214"/>
        <v>469.80414614209343</v>
      </c>
      <c r="L546" s="496"/>
      <c r="M546" s="593"/>
      <c r="N546" s="594"/>
      <c r="O546" s="37"/>
      <c r="P546" s="37"/>
    </row>
    <row r="547" spans="1:16" ht="21" customHeight="1">
      <c r="A547" s="561">
        <f t="shared" ref="A547" si="229">A544+1</f>
        <v>71</v>
      </c>
      <c r="B547" s="569" t="s">
        <v>441</v>
      </c>
      <c r="C547" s="599" t="s">
        <v>74</v>
      </c>
      <c r="D547" s="599"/>
      <c r="E547" s="599"/>
      <c r="F547" s="215">
        <v>31.28</v>
      </c>
      <c r="G547" s="215">
        <f t="shared" si="125"/>
        <v>31.28</v>
      </c>
      <c r="H547" s="216" t="s">
        <v>32</v>
      </c>
      <c r="I547" s="421">
        <f t="shared" si="225"/>
        <v>15798.180000000009</v>
      </c>
      <c r="J547" s="215">
        <f t="shared" si="227"/>
        <v>5582.8199999999906</v>
      </c>
      <c r="K547" s="217">
        <f t="shared" si="214"/>
        <v>470.54772120702847</v>
      </c>
      <c r="L547" s="507"/>
      <c r="M547" s="593"/>
      <c r="N547" s="594"/>
      <c r="O547" s="37"/>
      <c r="P547" s="37"/>
    </row>
    <row r="548" spans="1:16" ht="21" customHeight="1">
      <c r="A548" s="561"/>
      <c r="B548" s="569"/>
      <c r="C548" s="599" t="s">
        <v>74</v>
      </c>
      <c r="D548" s="599"/>
      <c r="E548" s="599"/>
      <c r="F548" s="215">
        <v>30.95</v>
      </c>
      <c r="G548" s="215">
        <f t="shared" si="125"/>
        <v>30.95</v>
      </c>
      <c r="H548" s="216" t="s">
        <v>32</v>
      </c>
      <c r="I548" s="421">
        <f t="shared" si="225"/>
        <v>15829.13000000001</v>
      </c>
      <c r="J548" s="215">
        <f t="shared" si="227"/>
        <v>5551.8699999999899</v>
      </c>
      <c r="K548" s="217">
        <f t="shared" si="214"/>
        <v>471.28345165011484</v>
      </c>
      <c r="L548" s="507"/>
      <c r="M548" s="593"/>
      <c r="N548" s="594"/>
      <c r="O548" s="37"/>
      <c r="P548" s="37"/>
    </row>
    <row r="549" spans="1:16" ht="21" customHeight="1">
      <c r="A549" s="561"/>
      <c r="B549" s="569"/>
      <c r="C549" s="599" t="s">
        <v>74</v>
      </c>
      <c r="D549" s="599"/>
      <c r="E549" s="599"/>
      <c r="F549" s="215">
        <v>31.1</v>
      </c>
      <c r="G549" s="215">
        <f t="shared" si="125"/>
        <v>31.1</v>
      </c>
      <c r="H549" s="216" t="s">
        <v>32</v>
      </c>
      <c r="I549" s="421">
        <f t="shared" si="225"/>
        <v>15860.23000000001</v>
      </c>
      <c r="J549" s="215">
        <f t="shared" si="227"/>
        <v>5520.7699999999895</v>
      </c>
      <c r="K549" s="217">
        <f t="shared" si="214"/>
        <v>472.02274783040514</v>
      </c>
      <c r="L549" s="507"/>
      <c r="M549" s="593"/>
      <c r="N549" s="594"/>
      <c r="O549" s="37"/>
      <c r="P549" s="37"/>
    </row>
    <row r="550" spans="1:16" ht="21" customHeight="1">
      <c r="A550" s="561">
        <f t="shared" ref="A550" si="230">A547+1</f>
        <v>72</v>
      </c>
      <c r="B550" s="568" t="s">
        <v>442</v>
      </c>
      <c r="C550" s="574" t="s">
        <v>74</v>
      </c>
      <c r="D550" s="574"/>
      <c r="E550" s="574"/>
      <c r="F550" s="246">
        <v>31.06</v>
      </c>
      <c r="G550" s="246">
        <f t="shared" si="125"/>
        <v>31.06</v>
      </c>
      <c r="H550" s="247" t="s">
        <v>32</v>
      </c>
      <c r="I550" s="419">
        <f t="shared" si="225"/>
        <v>15891.29000000001</v>
      </c>
      <c r="J550" s="246">
        <f t="shared" si="227"/>
        <v>5489.70999999999</v>
      </c>
      <c r="K550" s="209">
        <f t="shared" si="214"/>
        <v>472.76109314744104</v>
      </c>
      <c r="L550" s="496"/>
      <c r="M550" s="593"/>
      <c r="N550" s="594"/>
      <c r="O550" s="37"/>
      <c r="P550" s="37"/>
    </row>
    <row r="551" spans="1:16" ht="21" customHeight="1">
      <c r="A551" s="561"/>
      <c r="B551" s="568"/>
      <c r="C551" s="574" t="s">
        <v>74</v>
      </c>
      <c r="D551" s="574"/>
      <c r="E551" s="574"/>
      <c r="F551" s="246">
        <v>30.89</v>
      </c>
      <c r="G551" s="246">
        <f t="shared" si="125"/>
        <v>30.89</v>
      </c>
      <c r="H551" s="247" t="s">
        <v>32</v>
      </c>
      <c r="I551" s="419">
        <f t="shared" si="225"/>
        <v>15922.180000000009</v>
      </c>
      <c r="J551" s="246">
        <f t="shared" si="227"/>
        <v>5458.8199999999906</v>
      </c>
      <c r="K551" s="209">
        <f t="shared" si="214"/>
        <v>473.49539729564572</v>
      </c>
      <c r="L551" s="496"/>
      <c r="M551" s="593"/>
      <c r="N551" s="594"/>
      <c r="O551" s="37"/>
      <c r="P551" s="37"/>
    </row>
    <row r="552" spans="1:16" ht="21" customHeight="1">
      <c r="A552" s="561"/>
      <c r="B552" s="568"/>
      <c r="C552" s="574" t="s">
        <v>74</v>
      </c>
      <c r="D552" s="574"/>
      <c r="E552" s="574"/>
      <c r="F552" s="246">
        <v>31.18</v>
      </c>
      <c r="G552" s="246">
        <f t="shared" si="125"/>
        <v>31.18</v>
      </c>
      <c r="H552" s="247" t="s">
        <v>32</v>
      </c>
      <c r="I552" s="419">
        <f t="shared" si="225"/>
        <v>15953.36000000001</v>
      </c>
      <c r="J552" s="246">
        <f t="shared" si="227"/>
        <v>5427.6399999999903</v>
      </c>
      <c r="K552" s="209">
        <f t="shared" si="214"/>
        <v>474.2365952024449</v>
      </c>
      <c r="L552" s="496"/>
      <c r="M552" s="593"/>
      <c r="N552" s="594"/>
      <c r="O552" s="37"/>
      <c r="P552" s="37"/>
    </row>
    <row r="553" spans="1:16" ht="21" customHeight="1">
      <c r="A553" s="561">
        <f t="shared" ref="A553" si="231">A550+1</f>
        <v>73</v>
      </c>
      <c r="B553" s="569" t="s">
        <v>443</v>
      </c>
      <c r="C553" s="599" t="s">
        <v>74</v>
      </c>
      <c r="D553" s="599"/>
      <c r="E553" s="599"/>
      <c r="F553" s="215">
        <v>31.08</v>
      </c>
      <c r="G553" s="215">
        <f t="shared" ref="G553:G616" si="232">F553</f>
        <v>31.08</v>
      </c>
      <c r="H553" s="216" t="s">
        <v>32</v>
      </c>
      <c r="I553" s="421">
        <f t="shared" si="225"/>
        <v>15984.44000000001</v>
      </c>
      <c r="J553" s="215">
        <f t="shared" si="227"/>
        <v>5396.5599999999904</v>
      </c>
      <c r="K553" s="217">
        <f t="shared" si="214"/>
        <v>474.975415951108</v>
      </c>
      <c r="L553" s="507"/>
      <c r="M553" s="593"/>
      <c r="N553" s="594"/>
      <c r="O553" s="37"/>
      <c r="P553" s="37"/>
    </row>
    <row r="554" spans="1:16" ht="21" customHeight="1">
      <c r="A554" s="561"/>
      <c r="B554" s="569"/>
      <c r="C554" s="599" t="s">
        <v>74</v>
      </c>
      <c r="D554" s="599"/>
      <c r="E554" s="599"/>
      <c r="F554" s="215">
        <v>31.05</v>
      </c>
      <c r="G554" s="215">
        <f t="shared" si="232"/>
        <v>31.05</v>
      </c>
      <c r="H554" s="216" t="s">
        <v>32</v>
      </c>
      <c r="I554" s="421">
        <f t="shared" si="225"/>
        <v>16015.490000000009</v>
      </c>
      <c r="J554" s="215">
        <f t="shared" si="227"/>
        <v>5365.5099999999911</v>
      </c>
      <c r="K554" s="217">
        <f t="shared" si="214"/>
        <v>475.71352355233029</v>
      </c>
      <c r="L554" s="507"/>
      <c r="M554" s="593"/>
      <c r="N554" s="594"/>
      <c r="O554" s="37"/>
      <c r="P554" s="37"/>
    </row>
    <row r="555" spans="1:16" ht="21" customHeight="1">
      <c r="A555" s="561"/>
      <c r="B555" s="569"/>
      <c r="C555" s="599" t="s">
        <v>74</v>
      </c>
      <c r="D555" s="599"/>
      <c r="E555" s="599"/>
      <c r="F555" s="215">
        <v>30.91</v>
      </c>
      <c r="G555" s="215">
        <f t="shared" si="232"/>
        <v>30.91</v>
      </c>
      <c r="H555" s="216" t="s">
        <v>32</v>
      </c>
      <c r="I555" s="421">
        <f t="shared" si="225"/>
        <v>16046.400000000009</v>
      </c>
      <c r="J555" s="215">
        <f t="shared" si="227"/>
        <v>5334.5999999999913</v>
      </c>
      <c r="K555" s="217">
        <f t="shared" si="214"/>
        <v>476.44830313216221</v>
      </c>
      <c r="L555" s="507"/>
      <c r="M555" s="593"/>
      <c r="N555" s="594"/>
      <c r="O555" s="37"/>
      <c r="P555" s="37"/>
    </row>
    <row r="556" spans="1:16" ht="21" customHeight="1">
      <c r="A556" s="561">
        <f t="shared" ref="A556" si="233">A553+1</f>
        <v>74</v>
      </c>
      <c r="B556" s="568" t="s">
        <v>444</v>
      </c>
      <c r="C556" s="574" t="s">
        <v>74</v>
      </c>
      <c r="D556" s="574"/>
      <c r="E556" s="574"/>
      <c r="F556" s="246">
        <v>31.06</v>
      </c>
      <c r="G556" s="246">
        <f t="shared" si="232"/>
        <v>31.06</v>
      </c>
      <c r="H556" s="247" t="s">
        <v>32</v>
      </c>
      <c r="I556" s="419">
        <f t="shared" si="225"/>
        <v>16077.460000000008</v>
      </c>
      <c r="J556" s="246">
        <f t="shared" si="227"/>
        <v>5303.5399999999918</v>
      </c>
      <c r="K556" s="209">
        <f t="shared" si="214"/>
        <v>477.18664844919812</v>
      </c>
      <c r="L556" s="496"/>
      <c r="M556" s="593"/>
      <c r="N556" s="594"/>
      <c r="O556" s="37"/>
      <c r="P556" s="37"/>
    </row>
    <row r="557" spans="1:16" ht="21" customHeight="1">
      <c r="A557" s="561"/>
      <c r="B557" s="568"/>
      <c r="C557" s="574" t="s">
        <v>74</v>
      </c>
      <c r="D557" s="574"/>
      <c r="E557" s="574"/>
      <c r="F557" s="246">
        <v>31.3</v>
      </c>
      <c r="G557" s="246">
        <f t="shared" si="232"/>
        <v>31.3</v>
      </c>
      <c r="H557" s="247" t="s">
        <v>32</v>
      </c>
      <c r="I557" s="419">
        <f t="shared" si="225"/>
        <v>16108.760000000007</v>
      </c>
      <c r="J557" s="246">
        <f t="shared" si="227"/>
        <v>5272.2399999999925</v>
      </c>
      <c r="K557" s="209">
        <f t="shared" si="214"/>
        <v>477.9306989457603</v>
      </c>
      <c r="L557" s="496"/>
      <c r="M557" s="593"/>
      <c r="N557" s="594"/>
      <c r="O557" s="37"/>
      <c r="P557" s="37"/>
    </row>
    <row r="558" spans="1:16" ht="21" customHeight="1">
      <c r="A558" s="561"/>
      <c r="B558" s="568"/>
      <c r="C558" s="574" t="s">
        <v>74</v>
      </c>
      <c r="D558" s="574"/>
      <c r="E558" s="574"/>
      <c r="F558" s="246">
        <v>30.82</v>
      </c>
      <c r="G558" s="246">
        <f t="shared" si="232"/>
        <v>30.82</v>
      </c>
      <c r="H558" s="247" t="s">
        <v>32</v>
      </c>
      <c r="I558" s="419">
        <f t="shared" si="225"/>
        <v>16139.580000000007</v>
      </c>
      <c r="J558" s="246">
        <f t="shared" si="227"/>
        <v>5241.4199999999928</v>
      </c>
      <c r="K558" s="209">
        <f t="shared" si="214"/>
        <v>478.66333908326982</v>
      </c>
      <c r="L558" s="496"/>
      <c r="M558" s="593"/>
      <c r="N558" s="594"/>
      <c r="O558" s="37"/>
      <c r="P558" s="37"/>
    </row>
    <row r="559" spans="1:16" ht="21" customHeight="1">
      <c r="A559" s="561">
        <f t="shared" ref="A559" si="234">A556+1</f>
        <v>75</v>
      </c>
      <c r="B559" s="569" t="s">
        <v>445</v>
      </c>
      <c r="C559" s="599" t="s">
        <v>74</v>
      </c>
      <c r="D559" s="599"/>
      <c r="E559" s="599"/>
      <c r="F559" s="215">
        <v>31.1</v>
      </c>
      <c r="G559" s="215">
        <f t="shared" si="232"/>
        <v>31.1</v>
      </c>
      <c r="H559" s="216" t="s">
        <v>32</v>
      </c>
      <c r="I559" s="421">
        <f t="shared" si="225"/>
        <v>16170.680000000008</v>
      </c>
      <c r="J559" s="215">
        <f t="shared" si="227"/>
        <v>5210.3199999999924</v>
      </c>
      <c r="K559" s="217">
        <f t="shared" si="214"/>
        <v>479.40263526356017</v>
      </c>
      <c r="L559" s="507"/>
      <c r="M559" s="593"/>
      <c r="N559" s="594"/>
      <c r="O559" s="37"/>
      <c r="P559" s="37"/>
    </row>
    <row r="560" spans="1:16" ht="21" customHeight="1">
      <c r="A560" s="561"/>
      <c r="B560" s="569"/>
      <c r="C560" s="599" t="s">
        <v>74</v>
      </c>
      <c r="D560" s="599"/>
      <c r="E560" s="599"/>
      <c r="F560" s="215">
        <v>30.84</v>
      </c>
      <c r="G560" s="215">
        <f t="shared" si="232"/>
        <v>30.84</v>
      </c>
      <c r="H560" s="216" t="s">
        <v>32</v>
      </c>
      <c r="I560" s="421">
        <f t="shared" si="225"/>
        <v>16201.520000000008</v>
      </c>
      <c r="J560" s="215">
        <f t="shared" si="227"/>
        <v>5179.4799999999923</v>
      </c>
      <c r="K560" s="217">
        <f t="shared" si="214"/>
        <v>480.13575083269689</v>
      </c>
      <c r="L560" s="507"/>
      <c r="M560" s="593"/>
      <c r="N560" s="594"/>
      <c r="O560" s="37"/>
      <c r="P560" s="37"/>
    </row>
    <row r="561" spans="1:16" ht="21" customHeight="1">
      <c r="A561" s="561"/>
      <c r="B561" s="569"/>
      <c r="C561" s="599" t="s">
        <v>74</v>
      </c>
      <c r="D561" s="599"/>
      <c r="E561" s="599"/>
      <c r="F561" s="215">
        <v>31.2</v>
      </c>
      <c r="G561" s="215">
        <f t="shared" si="232"/>
        <v>31.2</v>
      </c>
      <c r="H561" s="216" t="s">
        <v>32</v>
      </c>
      <c r="I561" s="421">
        <f t="shared" si="225"/>
        <v>16232.720000000008</v>
      </c>
      <c r="J561" s="215">
        <f t="shared" si="227"/>
        <v>5148.2799999999916</v>
      </c>
      <c r="K561" s="217">
        <f t="shared" si="214"/>
        <v>480.87742417112321</v>
      </c>
      <c r="L561" s="507"/>
      <c r="M561" s="593"/>
      <c r="N561" s="594"/>
      <c r="O561" s="37"/>
      <c r="P561" s="37"/>
    </row>
    <row r="562" spans="1:16" ht="21" customHeight="1">
      <c r="A562" s="561">
        <f t="shared" ref="A562" si="235">A559+1</f>
        <v>76</v>
      </c>
      <c r="B562" s="568" t="s">
        <v>446</v>
      </c>
      <c r="C562" s="574" t="s">
        <v>74</v>
      </c>
      <c r="D562" s="574"/>
      <c r="E562" s="574"/>
      <c r="F562" s="246">
        <v>30.99</v>
      </c>
      <c r="G562" s="246">
        <f t="shared" si="232"/>
        <v>30.99</v>
      </c>
      <c r="H562" s="247" t="s">
        <v>32</v>
      </c>
      <c r="I562" s="419">
        <f t="shared" si="225"/>
        <v>16263.710000000008</v>
      </c>
      <c r="J562" s="246">
        <f t="shared" si="227"/>
        <v>5117.2899999999918</v>
      </c>
      <c r="K562" s="209">
        <f t="shared" si="214"/>
        <v>481.61410547746391</v>
      </c>
      <c r="L562" s="496"/>
      <c r="M562" s="593"/>
      <c r="N562" s="594"/>
      <c r="O562" s="37"/>
      <c r="P562" s="37"/>
    </row>
    <row r="563" spans="1:16" ht="21" customHeight="1">
      <c r="A563" s="561"/>
      <c r="B563" s="568"/>
      <c r="C563" s="574" t="s">
        <v>74</v>
      </c>
      <c r="D563" s="574"/>
      <c r="E563" s="574"/>
      <c r="F563" s="246">
        <v>30.95</v>
      </c>
      <c r="G563" s="246">
        <f t="shared" si="232"/>
        <v>30.95</v>
      </c>
      <c r="H563" s="247" t="s">
        <v>32</v>
      </c>
      <c r="I563" s="419">
        <f t="shared" si="225"/>
        <v>16294.660000000009</v>
      </c>
      <c r="J563" s="246">
        <f t="shared" si="227"/>
        <v>5086.3399999999911</v>
      </c>
      <c r="K563" s="209">
        <f t="shared" si="214"/>
        <v>482.34983592055028</v>
      </c>
      <c r="L563" s="496"/>
      <c r="M563" s="593"/>
      <c r="N563" s="594"/>
      <c r="O563" s="37"/>
      <c r="P563" s="37"/>
    </row>
    <row r="564" spans="1:16" ht="21" customHeight="1">
      <c r="A564" s="561"/>
      <c r="B564" s="568"/>
      <c r="C564" s="574" t="s">
        <v>74</v>
      </c>
      <c r="D564" s="574"/>
      <c r="E564" s="574"/>
      <c r="F564" s="246">
        <v>30.85</v>
      </c>
      <c r="G564" s="246">
        <f t="shared" si="232"/>
        <v>30.85</v>
      </c>
      <c r="H564" s="247" t="s">
        <v>32</v>
      </c>
      <c r="I564" s="419">
        <f t="shared" si="225"/>
        <v>16325.510000000009</v>
      </c>
      <c r="J564" s="246">
        <f t="shared" si="227"/>
        <v>5055.4899999999907</v>
      </c>
      <c r="K564" s="209">
        <f t="shared" si="214"/>
        <v>483.08318920550062</v>
      </c>
      <c r="L564" s="496"/>
      <c r="M564" s="593"/>
      <c r="N564" s="594"/>
      <c r="O564" s="37"/>
      <c r="P564" s="37"/>
    </row>
    <row r="565" spans="1:16" ht="21" customHeight="1">
      <c r="A565" s="561">
        <f t="shared" ref="A565" si="236">A562+1</f>
        <v>77</v>
      </c>
      <c r="B565" s="569" t="s">
        <v>447</v>
      </c>
      <c r="C565" s="599" t="s">
        <v>74</v>
      </c>
      <c r="D565" s="599"/>
      <c r="E565" s="599"/>
      <c r="F565" s="215">
        <v>30.68</v>
      </c>
      <c r="G565" s="215">
        <f t="shared" si="232"/>
        <v>30.68</v>
      </c>
      <c r="H565" s="216" t="s">
        <v>32</v>
      </c>
      <c r="I565" s="421">
        <f t="shared" si="225"/>
        <v>16356.19000000001</v>
      </c>
      <c r="J565" s="215">
        <f t="shared" si="227"/>
        <v>5024.8099999999904</v>
      </c>
      <c r="K565" s="217">
        <f t="shared" si="214"/>
        <v>483.81250132161983</v>
      </c>
      <c r="L565" s="507"/>
      <c r="M565" s="593"/>
      <c r="N565" s="594"/>
      <c r="O565" s="37"/>
      <c r="P565" s="37"/>
    </row>
    <row r="566" spans="1:16" ht="21" customHeight="1">
      <c r="A566" s="561"/>
      <c r="B566" s="569"/>
      <c r="C566" s="599" t="s">
        <v>74</v>
      </c>
      <c r="D566" s="599"/>
      <c r="E566" s="599"/>
      <c r="F566" s="215">
        <v>30.98</v>
      </c>
      <c r="G566" s="215">
        <f t="shared" si="232"/>
        <v>30.98</v>
      </c>
      <c r="H566" s="216" t="s">
        <v>32</v>
      </c>
      <c r="I566" s="421">
        <f t="shared" si="225"/>
        <v>16387.170000000009</v>
      </c>
      <c r="J566" s="215">
        <f t="shared" si="227"/>
        <v>4993.8299999999908</v>
      </c>
      <c r="K566" s="217">
        <f t="shared" si="214"/>
        <v>484.54894491214691</v>
      </c>
      <c r="L566" s="507"/>
      <c r="M566" s="593"/>
      <c r="N566" s="594"/>
      <c r="O566" s="37"/>
      <c r="P566" s="37"/>
    </row>
    <row r="567" spans="1:16" ht="21" customHeight="1">
      <c r="A567" s="561"/>
      <c r="B567" s="569"/>
      <c r="C567" s="599" t="s">
        <v>74</v>
      </c>
      <c r="D567" s="599"/>
      <c r="E567" s="599"/>
      <c r="F567" s="215">
        <v>31.09</v>
      </c>
      <c r="G567" s="215">
        <f t="shared" si="232"/>
        <v>31.09</v>
      </c>
      <c r="H567" s="216" t="s">
        <v>32</v>
      </c>
      <c r="I567" s="421">
        <f t="shared" si="225"/>
        <v>16418.260000000009</v>
      </c>
      <c r="J567" s="215">
        <f t="shared" si="227"/>
        <v>4962.7399999999907</v>
      </c>
      <c r="K567" s="217">
        <f t="shared" ref="K567:K630" si="237">$H$8+(I567*$E$9*$E$15/1000)</f>
        <v>485.28800337662364</v>
      </c>
      <c r="L567" s="507"/>
      <c r="M567" s="593"/>
      <c r="N567" s="594"/>
      <c r="O567" s="37"/>
      <c r="P567" s="37"/>
    </row>
    <row r="568" spans="1:16" ht="21" customHeight="1">
      <c r="A568" s="561">
        <f t="shared" ref="A568" si="238">A565+1</f>
        <v>78</v>
      </c>
      <c r="B568" s="568" t="s">
        <v>448</v>
      </c>
      <c r="C568" s="574" t="s">
        <v>74</v>
      </c>
      <c r="D568" s="574"/>
      <c r="E568" s="574"/>
      <c r="F568" s="246">
        <v>31.22</v>
      </c>
      <c r="G568" s="246">
        <f t="shared" si="232"/>
        <v>31.22</v>
      </c>
      <c r="H568" s="247" t="s">
        <v>32</v>
      </c>
      <c r="I568" s="419">
        <f t="shared" si="225"/>
        <v>16449.48000000001</v>
      </c>
      <c r="J568" s="246">
        <f t="shared" si="227"/>
        <v>4931.5199999999895</v>
      </c>
      <c r="K568" s="209">
        <f t="shared" si="237"/>
        <v>486.0301521466771</v>
      </c>
      <c r="L568" s="496"/>
      <c r="M568" s="593"/>
      <c r="N568" s="594"/>
      <c r="O568" s="37"/>
      <c r="P568" s="37"/>
    </row>
    <row r="569" spans="1:16" ht="21" customHeight="1">
      <c r="A569" s="561"/>
      <c r="B569" s="568"/>
      <c r="C569" s="574" t="s">
        <v>74</v>
      </c>
      <c r="D569" s="574"/>
      <c r="E569" s="574"/>
      <c r="F569" s="246">
        <v>31</v>
      </c>
      <c r="G569" s="246">
        <f t="shared" si="232"/>
        <v>31</v>
      </c>
      <c r="H569" s="247" t="s">
        <v>32</v>
      </c>
      <c r="I569" s="419">
        <f t="shared" si="225"/>
        <v>16480.48000000001</v>
      </c>
      <c r="J569" s="246">
        <f t="shared" si="227"/>
        <v>4900.5199999999895</v>
      </c>
      <c r="K569" s="209">
        <f t="shared" si="237"/>
        <v>486.76707116883142</v>
      </c>
      <c r="L569" s="496"/>
      <c r="M569" s="593"/>
      <c r="N569" s="594"/>
      <c r="O569" s="37"/>
      <c r="P569" s="37"/>
    </row>
    <row r="570" spans="1:16" ht="21" customHeight="1">
      <c r="A570" s="561"/>
      <c r="B570" s="568"/>
      <c r="C570" s="574" t="s">
        <v>74</v>
      </c>
      <c r="D570" s="574"/>
      <c r="E570" s="574"/>
      <c r="F570" s="246">
        <v>31.28</v>
      </c>
      <c r="G570" s="246">
        <f t="shared" si="232"/>
        <v>31.28</v>
      </c>
      <c r="H570" s="247" t="s">
        <v>32</v>
      </c>
      <c r="I570" s="419">
        <f t="shared" si="225"/>
        <v>16511.760000000009</v>
      </c>
      <c r="J570" s="246">
        <f t="shared" si="227"/>
        <v>4869.2399999999907</v>
      </c>
      <c r="K570" s="209">
        <f t="shared" si="237"/>
        <v>487.51064623376647</v>
      </c>
      <c r="L570" s="496"/>
      <c r="M570" s="593"/>
      <c r="N570" s="594"/>
      <c r="O570" s="37"/>
      <c r="P570" s="37"/>
    </row>
    <row r="571" spans="1:16" ht="21" customHeight="1">
      <c r="A571" s="561">
        <f t="shared" ref="A571" si="239">A568+1</f>
        <v>79</v>
      </c>
      <c r="B571" s="569" t="s">
        <v>449</v>
      </c>
      <c r="C571" s="599" t="s">
        <v>74</v>
      </c>
      <c r="D571" s="599"/>
      <c r="E571" s="599"/>
      <c r="F571" s="215">
        <v>31.04</v>
      </c>
      <c r="G571" s="215">
        <f t="shared" si="232"/>
        <v>31.04</v>
      </c>
      <c r="H571" s="216" t="s">
        <v>32</v>
      </c>
      <c r="I571" s="421">
        <f t="shared" si="225"/>
        <v>16542.80000000001</v>
      </c>
      <c r="J571" s="215">
        <f t="shared" si="227"/>
        <v>4838.1999999999898</v>
      </c>
      <c r="K571" s="217">
        <f t="shared" si="237"/>
        <v>488.24851611917518</v>
      </c>
      <c r="L571" s="507"/>
      <c r="M571" s="593"/>
      <c r="N571" s="594"/>
      <c r="O571" s="37"/>
      <c r="P571" s="37"/>
    </row>
    <row r="572" spans="1:16" ht="21" customHeight="1">
      <c r="A572" s="561"/>
      <c r="B572" s="569"/>
      <c r="C572" s="599" t="s">
        <v>74</v>
      </c>
      <c r="D572" s="599"/>
      <c r="E572" s="599"/>
      <c r="F572" s="215">
        <v>31.12</v>
      </c>
      <c r="G572" s="215">
        <f t="shared" si="232"/>
        <v>31.12</v>
      </c>
      <c r="H572" s="216" t="s">
        <v>32</v>
      </c>
      <c r="I572" s="421">
        <f t="shared" si="225"/>
        <v>16573.920000000009</v>
      </c>
      <c r="J572" s="215">
        <f t="shared" si="227"/>
        <v>4807.0799999999908</v>
      </c>
      <c r="K572" s="217">
        <f t="shared" si="237"/>
        <v>488.98828773109267</v>
      </c>
      <c r="L572" s="507"/>
      <c r="M572" s="593"/>
      <c r="N572" s="594"/>
      <c r="O572" s="37"/>
      <c r="P572" s="37"/>
    </row>
    <row r="573" spans="1:16" ht="21" customHeight="1">
      <c r="A573" s="561"/>
      <c r="B573" s="569"/>
      <c r="C573" s="599" t="s">
        <v>74</v>
      </c>
      <c r="D573" s="599"/>
      <c r="E573" s="599"/>
      <c r="F573" s="215">
        <v>30.89</v>
      </c>
      <c r="G573" s="215">
        <f t="shared" si="232"/>
        <v>30.89</v>
      </c>
      <c r="H573" s="216" t="s">
        <v>32</v>
      </c>
      <c r="I573" s="421">
        <f t="shared" si="225"/>
        <v>16604.810000000009</v>
      </c>
      <c r="J573" s="215">
        <f t="shared" si="227"/>
        <v>4776.1899999999914</v>
      </c>
      <c r="K573" s="217">
        <f t="shared" si="237"/>
        <v>489.7225918792974</v>
      </c>
      <c r="L573" s="507"/>
      <c r="M573" s="593"/>
      <c r="N573" s="594"/>
      <c r="O573" s="37"/>
      <c r="P573" s="37"/>
    </row>
    <row r="574" spans="1:16" ht="21" customHeight="1">
      <c r="A574" s="561">
        <f t="shared" ref="A574" si="240">A571+1</f>
        <v>80</v>
      </c>
      <c r="B574" s="568" t="s">
        <v>450</v>
      </c>
      <c r="C574" s="574" t="s">
        <v>74</v>
      </c>
      <c r="D574" s="574"/>
      <c r="E574" s="574"/>
      <c r="F574" s="246">
        <v>31.13</v>
      </c>
      <c r="G574" s="246">
        <f t="shared" si="232"/>
        <v>31.13</v>
      </c>
      <c r="H574" s="247" t="s">
        <v>32</v>
      </c>
      <c r="I574" s="419">
        <f t="shared" si="225"/>
        <v>16635.94000000001</v>
      </c>
      <c r="J574" s="246">
        <f t="shared" si="227"/>
        <v>4745.0599999999904</v>
      </c>
      <c r="K574" s="209">
        <f t="shared" si="237"/>
        <v>490.46260120702857</v>
      </c>
      <c r="L574" s="496"/>
      <c r="M574" s="593"/>
      <c r="N574" s="594"/>
      <c r="O574" s="37"/>
      <c r="P574" s="37"/>
    </row>
    <row r="575" spans="1:16" ht="21" customHeight="1">
      <c r="A575" s="561"/>
      <c r="B575" s="568"/>
      <c r="C575" s="574" t="s">
        <v>74</v>
      </c>
      <c r="D575" s="574"/>
      <c r="E575" s="574"/>
      <c r="F575" s="246">
        <v>31.07</v>
      </c>
      <c r="G575" s="246">
        <f t="shared" si="232"/>
        <v>31.07</v>
      </c>
      <c r="H575" s="247" t="s">
        <v>32</v>
      </c>
      <c r="I575" s="419">
        <f t="shared" si="225"/>
        <v>16667.010000000009</v>
      </c>
      <c r="J575" s="246">
        <f t="shared" si="227"/>
        <v>4713.9899999999907</v>
      </c>
      <c r="K575" s="209">
        <f t="shared" si="237"/>
        <v>491.20118423987805</v>
      </c>
      <c r="L575" s="496"/>
      <c r="M575" s="593"/>
      <c r="N575" s="594"/>
      <c r="O575" s="37"/>
      <c r="P575" s="37"/>
    </row>
    <row r="576" spans="1:16" ht="21" customHeight="1">
      <c r="A576" s="561"/>
      <c r="B576" s="568"/>
      <c r="C576" s="574" t="s">
        <v>74</v>
      </c>
      <c r="D576" s="574"/>
      <c r="E576" s="574"/>
      <c r="F576" s="246">
        <v>30.83</v>
      </c>
      <c r="G576" s="246">
        <f t="shared" si="232"/>
        <v>30.83</v>
      </c>
      <c r="H576" s="247" t="s">
        <v>32</v>
      </c>
      <c r="I576" s="419">
        <f t="shared" si="225"/>
        <v>16697.840000000011</v>
      </c>
      <c r="J576" s="246">
        <f t="shared" si="227"/>
        <v>4683.1599999999889</v>
      </c>
      <c r="K576" s="209">
        <f t="shared" si="237"/>
        <v>491.93406209320119</v>
      </c>
      <c r="L576" s="496"/>
      <c r="M576" s="593"/>
      <c r="N576" s="594"/>
      <c r="O576" s="37"/>
      <c r="P576" s="37"/>
    </row>
    <row r="577" spans="1:16" ht="21" customHeight="1">
      <c r="A577" s="561">
        <f t="shared" ref="A577" si="241">A574+1</f>
        <v>81</v>
      </c>
      <c r="B577" s="569" t="s">
        <v>451</v>
      </c>
      <c r="C577" s="599" t="s">
        <v>74</v>
      </c>
      <c r="D577" s="599"/>
      <c r="E577" s="599"/>
      <c r="F577" s="215">
        <v>31.1</v>
      </c>
      <c r="G577" s="215">
        <f t="shared" si="232"/>
        <v>31.1</v>
      </c>
      <c r="H577" s="216" t="s">
        <v>32</v>
      </c>
      <c r="I577" s="421">
        <f t="shared" si="225"/>
        <v>16728.94000000001</v>
      </c>
      <c r="J577" s="215">
        <f t="shared" si="227"/>
        <v>4652.0599999999904</v>
      </c>
      <c r="K577" s="217">
        <f t="shared" si="237"/>
        <v>492.67335827349149</v>
      </c>
      <c r="L577" s="507"/>
      <c r="M577" s="593"/>
      <c r="N577" s="594"/>
      <c r="O577" s="37"/>
      <c r="P577" s="37"/>
    </row>
    <row r="578" spans="1:16" ht="21" customHeight="1">
      <c r="A578" s="561"/>
      <c r="B578" s="569"/>
      <c r="C578" s="599" t="s">
        <v>74</v>
      </c>
      <c r="D578" s="599"/>
      <c r="E578" s="599"/>
      <c r="F578" s="215">
        <v>31</v>
      </c>
      <c r="G578" s="215">
        <f t="shared" si="232"/>
        <v>31</v>
      </c>
      <c r="H578" s="216" t="s">
        <v>32</v>
      </c>
      <c r="I578" s="421">
        <f t="shared" si="225"/>
        <v>16759.94000000001</v>
      </c>
      <c r="J578" s="215">
        <f t="shared" si="227"/>
        <v>4621.0599999999904</v>
      </c>
      <c r="K578" s="217">
        <f t="shared" si="237"/>
        <v>493.41027729564581</v>
      </c>
      <c r="L578" s="507"/>
      <c r="M578" s="593"/>
      <c r="N578" s="594"/>
      <c r="O578" s="37"/>
      <c r="P578" s="37"/>
    </row>
    <row r="579" spans="1:16" ht="21" customHeight="1">
      <c r="A579" s="561"/>
      <c r="B579" s="569"/>
      <c r="C579" s="599" t="s">
        <v>74</v>
      </c>
      <c r="D579" s="599"/>
      <c r="E579" s="599"/>
      <c r="F579" s="215">
        <v>31.11</v>
      </c>
      <c r="G579" s="215">
        <f t="shared" si="232"/>
        <v>31.11</v>
      </c>
      <c r="H579" s="216" t="s">
        <v>32</v>
      </c>
      <c r="I579" s="421">
        <f t="shared" si="225"/>
        <v>16791.05000000001</v>
      </c>
      <c r="J579" s="215">
        <f t="shared" si="227"/>
        <v>4589.9499999999898</v>
      </c>
      <c r="K579" s="217">
        <f t="shared" si="237"/>
        <v>494.14981119174968</v>
      </c>
      <c r="L579" s="507"/>
      <c r="M579" s="593"/>
      <c r="N579" s="594"/>
      <c r="O579" s="37"/>
      <c r="P579" s="37"/>
    </row>
    <row r="580" spans="1:16" ht="21" customHeight="1">
      <c r="A580" s="561">
        <f t="shared" ref="A580" si="242">A577+1</f>
        <v>82</v>
      </c>
      <c r="B580" s="568" t="s">
        <v>452</v>
      </c>
      <c r="C580" s="574" t="s">
        <v>74</v>
      </c>
      <c r="D580" s="574"/>
      <c r="E580" s="574"/>
      <c r="F580" s="246">
        <v>31.19</v>
      </c>
      <c r="G580" s="246">
        <f t="shared" si="232"/>
        <v>31.19</v>
      </c>
      <c r="H580" s="247" t="s">
        <v>32</v>
      </c>
      <c r="I580" s="419">
        <f t="shared" si="225"/>
        <v>16822.240000000009</v>
      </c>
      <c r="J580" s="246">
        <f t="shared" si="227"/>
        <v>4558.7599999999911</v>
      </c>
      <c r="K580" s="209">
        <f t="shared" si="237"/>
        <v>494.89124681436238</v>
      </c>
      <c r="L580" s="496"/>
      <c r="M580" s="593"/>
      <c r="N580" s="594"/>
      <c r="O580" s="37"/>
      <c r="P580" s="37"/>
    </row>
    <row r="581" spans="1:16" ht="21" customHeight="1">
      <c r="A581" s="561"/>
      <c r="B581" s="568"/>
      <c r="C581" s="574" t="s">
        <v>74</v>
      </c>
      <c r="D581" s="574"/>
      <c r="E581" s="574"/>
      <c r="F581" s="246">
        <v>30.94</v>
      </c>
      <c r="G581" s="246">
        <f t="shared" si="232"/>
        <v>30.94</v>
      </c>
      <c r="H581" s="247" t="s">
        <v>32</v>
      </c>
      <c r="I581" s="419">
        <f t="shared" si="225"/>
        <v>16853.180000000008</v>
      </c>
      <c r="J581" s="246">
        <f t="shared" si="227"/>
        <v>4527.8199999999924</v>
      </c>
      <c r="K581" s="209">
        <f t="shared" si="237"/>
        <v>495.62673954163506</v>
      </c>
      <c r="L581" s="496"/>
      <c r="M581" s="593"/>
      <c r="N581" s="594"/>
      <c r="O581" s="37"/>
      <c r="P581" s="37"/>
    </row>
    <row r="582" spans="1:16" ht="21" customHeight="1">
      <c r="A582" s="561"/>
      <c r="B582" s="568"/>
      <c r="C582" s="574" t="s">
        <v>74</v>
      </c>
      <c r="D582" s="574"/>
      <c r="E582" s="574"/>
      <c r="F582" s="246">
        <v>31.08</v>
      </c>
      <c r="G582" s="246">
        <f t="shared" si="232"/>
        <v>31.08</v>
      </c>
      <c r="H582" s="247" t="s">
        <v>32</v>
      </c>
      <c r="I582" s="419">
        <f t="shared" si="225"/>
        <v>16884.260000000009</v>
      </c>
      <c r="J582" s="246">
        <f t="shared" si="227"/>
        <v>4496.7399999999907</v>
      </c>
      <c r="K582" s="209">
        <f t="shared" si="237"/>
        <v>496.36556029029822</v>
      </c>
      <c r="L582" s="496"/>
      <c r="M582" s="593"/>
      <c r="N582" s="594"/>
      <c r="O582" s="37"/>
      <c r="P582" s="37"/>
    </row>
    <row r="583" spans="1:16" ht="21" customHeight="1">
      <c r="A583" s="561">
        <f t="shared" ref="A583" si="243">A580+1</f>
        <v>83</v>
      </c>
      <c r="B583" s="569" t="s">
        <v>453</v>
      </c>
      <c r="C583" s="599" t="s">
        <v>74</v>
      </c>
      <c r="D583" s="599"/>
      <c r="E583" s="599"/>
      <c r="F583" s="215">
        <v>31</v>
      </c>
      <c r="G583" s="215">
        <f t="shared" si="232"/>
        <v>31</v>
      </c>
      <c r="H583" s="216" t="s">
        <v>32</v>
      </c>
      <c r="I583" s="421">
        <f t="shared" si="225"/>
        <v>16915.260000000009</v>
      </c>
      <c r="J583" s="215">
        <f t="shared" si="227"/>
        <v>4465.7399999999907</v>
      </c>
      <c r="K583" s="217">
        <f t="shared" si="237"/>
        <v>497.10247931245249</v>
      </c>
      <c r="L583" s="507"/>
      <c r="M583" s="593"/>
      <c r="N583" s="594"/>
      <c r="O583" s="37"/>
      <c r="P583" s="37"/>
    </row>
    <row r="584" spans="1:16" ht="21" customHeight="1">
      <c r="A584" s="561"/>
      <c r="B584" s="569"/>
      <c r="C584" s="599" t="s">
        <v>74</v>
      </c>
      <c r="D584" s="599"/>
      <c r="E584" s="599"/>
      <c r="F584" s="215">
        <v>31.21</v>
      </c>
      <c r="G584" s="215">
        <f t="shared" si="232"/>
        <v>31.21</v>
      </c>
      <c r="H584" s="216" t="s">
        <v>32</v>
      </c>
      <c r="I584" s="421">
        <f t="shared" si="225"/>
        <v>16946.470000000008</v>
      </c>
      <c r="J584" s="215">
        <f t="shared" si="227"/>
        <v>4434.5299999999916</v>
      </c>
      <c r="K584" s="217">
        <f t="shared" si="237"/>
        <v>497.84439036669232</v>
      </c>
      <c r="L584" s="507"/>
      <c r="M584" s="593"/>
      <c r="N584" s="594"/>
      <c r="O584" s="37"/>
      <c r="P584" s="37"/>
    </row>
    <row r="585" spans="1:16" ht="21" customHeight="1">
      <c r="A585" s="561"/>
      <c r="B585" s="569"/>
      <c r="C585" s="599" t="s">
        <v>74</v>
      </c>
      <c r="D585" s="599"/>
      <c r="E585" s="599"/>
      <c r="F585" s="215">
        <v>31.12</v>
      </c>
      <c r="G585" s="215">
        <f t="shared" si="232"/>
        <v>31.12</v>
      </c>
      <c r="H585" s="216" t="s">
        <v>32</v>
      </c>
      <c r="I585" s="421">
        <f t="shared" si="225"/>
        <v>16977.590000000007</v>
      </c>
      <c r="J585" s="215">
        <f t="shared" si="227"/>
        <v>4403.4099999999926</v>
      </c>
      <c r="K585" s="217">
        <f t="shared" si="237"/>
        <v>498.58416197860981</v>
      </c>
      <c r="L585" s="507"/>
      <c r="M585" s="593"/>
      <c r="N585" s="594"/>
      <c r="O585" s="37"/>
      <c r="P585" s="37"/>
    </row>
    <row r="586" spans="1:16" ht="21" customHeight="1">
      <c r="A586" s="561">
        <f t="shared" ref="A586" si="244">A583+1</f>
        <v>84</v>
      </c>
      <c r="B586" s="568" t="s">
        <v>454</v>
      </c>
      <c r="C586" s="574" t="s">
        <v>74</v>
      </c>
      <c r="D586" s="574"/>
      <c r="E586" s="574"/>
      <c r="F586" s="246">
        <v>30.7</v>
      </c>
      <c r="G586" s="246">
        <f t="shared" si="232"/>
        <v>30.7</v>
      </c>
      <c r="H586" s="247" t="s">
        <v>32</v>
      </c>
      <c r="I586" s="419">
        <f t="shared" si="225"/>
        <v>17008.290000000008</v>
      </c>
      <c r="J586" s="246">
        <f t="shared" si="227"/>
        <v>4372.7099999999919</v>
      </c>
      <c r="K586" s="209">
        <f t="shared" si="237"/>
        <v>499.31394952635623</v>
      </c>
      <c r="L586" s="496"/>
      <c r="M586" s="593"/>
      <c r="N586" s="594"/>
      <c r="O586" s="37"/>
      <c r="P586" s="37"/>
    </row>
    <row r="587" spans="1:16" ht="21" customHeight="1">
      <c r="A587" s="561"/>
      <c r="B587" s="568"/>
      <c r="C587" s="574" t="s">
        <v>74</v>
      </c>
      <c r="D587" s="574"/>
      <c r="E587" s="574"/>
      <c r="F587" s="246">
        <v>31.13</v>
      </c>
      <c r="G587" s="246">
        <f t="shared" si="232"/>
        <v>31.13</v>
      </c>
      <c r="H587" s="247" t="s">
        <v>32</v>
      </c>
      <c r="I587" s="419">
        <f t="shared" si="225"/>
        <v>17039.420000000009</v>
      </c>
      <c r="J587" s="246">
        <f t="shared" si="227"/>
        <v>4341.5799999999908</v>
      </c>
      <c r="K587" s="209">
        <f t="shared" si="237"/>
        <v>500.05395885408734</v>
      </c>
      <c r="L587" s="496"/>
      <c r="M587" s="593"/>
      <c r="N587" s="594"/>
      <c r="O587" s="37"/>
      <c r="P587" s="37"/>
    </row>
    <row r="588" spans="1:16" ht="21" customHeight="1">
      <c r="A588" s="561"/>
      <c r="B588" s="568"/>
      <c r="C588" s="574" t="s">
        <v>74</v>
      </c>
      <c r="D588" s="574"/>
      <c r="E588" s="574"/>
      <c r="F588" s="246">
        <v>31.06</v>
      </c>
      <c r="G588" s="246">
        <f t="shared" si="232"/>
        <v>31.06</v>
      </c>
      <c r="H588" s="247" t="s">
        <v>32</v>
      </c>
      <c r="I588" s="419">
        <f t="shared" si="225"/>
        <v>17070.48000000001</v>
      </c>
      <c r="J588" s="246">
        <f t="shared" si="227"/>
        <v>4310.5199999999895</v>
      </c>
      <c r="K588" s="209">
        <f t="shared" si="237"/>
        <v>500.79230417112325</v>
      </c>
      <c r="L588" s="496"/>
      <c r="M588" s="593"/>
      <c r="N588" s="594"/>
      <c r="O588" s="37"/>
      <c r="P588" s="37"/>
    </row>
    <row r="589" spans="1:16" ht="21" customHeight="1">
      <c r="A589" s="561">
        <f t="shared" ref="A589" si="245">A586+1</f>
        <v>85</v>
      </c>
      <c r="B589" s="569" t="s">
        <v>455</v>
      </c>
      <c r="C589" s="599" t="s">
        <v>74</v>
      </c>
      <c r="D589" s="599"/>
      <c r="E589" s="599"/>
      <c r="F589" s="215">
        <v>31.29</v>
      </c>
      <c r="G589" s="215">
        <f t="shared" si="232"/>
        <v>31.29</v>
      </c>
      <c r="H589" s="216" t="s">
        <v>32</v>
      </c>
      <c r="I589" s="421">
        <f t="shared" si="225"/>
        <v>17101.770000000011</v>
      </c>
      <c r="J589" s="215">
        <f t="shared" si="227"/>
        <v>4279.2299999999886</v>
      </c>
      <c r="K589" s="217">
        <f t="shared" si="237"/>
        <v>501.53611695187192</v>
      </c>
      <c r="L589" s="507"/>
      <c r="M589" s="593"/>
      <c r="N589" s="594"/>
      <c r="O589" s="37"/>
      <c r="P589" s="37"/>
    </row>
    <row r="590" spans="1:16" ht="21" customHeight="1">
      <c r="A590" s="561"/>
      <c r="B590" s="569"/>
      <c r="C590" s="599" t="s">
        <v>74</v>
      </c>
      <c r="D590" s="599"/>
      <c r="E590" s="599"/>
      <c r="F590" s="215">
        <v>31.32</v>
      </c>
      <c r="G590" s="215">
        <f t="shared" si="232"/>
        <v>31.32</v>
      </c>
      <c r="H590" s="216" t="s">
        <v>32</v>
      </c>
      <c r="I590" s="421">
        <f t="shared" si="225"/>
        <v>17133.090000000011</v>
      </c>
      <c r="J590" s="215">
        <f t="shared" si="227"/>
        <v>4247.9099999999889</v>
      </c>
      <c r="K590" s="217">
        <f t="shared" si="237"/>
        <v>502.28064288006141</v>
      </c>
      <c r="L590" s="507"/>
      <c r="M590" s="593"/>
      <c r="N590" s="594"/>
      <c r="O590" s="37"/>
      <c r="P590" s="37"/>
    </row>
    <row r="591" spans="1:16" ht="21" customHeight="1">
      <c r="A591" s="561"/>
      <c r="B591" s="569"/>
      <c r="C591" s="599" t="s">
        <v>74</v>
      </c>
      <c r="D591" s="599"/>
      <c r="E591" s="599"/>
      <c r="F591" s="215">
        <v>30.7</v>
      </c>
      <c r="G591" s="215">
        <f t="shared" si="232"/>
        <v>30.7</v>
      </c>
      <c r="H591" s="216" t="s">
        <v>32</v>
      </c>
      <c r="I591" s="421">
        <f t="shared" si="225"/>
        <v>17163.790000000012</v>
      </c>
      <c r="J591" s="215">
        <f t="shared" si="227"/>
        <v>4217.2099999999882</v>
      </c>
      <c r="K591" s="217">
        <f t="shared" si="237"/>
        <v>503.01043042780782</v>
      </c>
      <c r="L591" s="507"/>
      <c r="M591" s="593"/>
      <c r="N591" s="594"/>
      <c r="O591" s="37"/>
      <c r="P591" s="37"/>
    </row>
    <row r="592" spans="1:16" ht="21" customHeight="1">
      <c r="A592" s="561">
        <f t="shared" ref="A592" si="246">A589+1</f>
        <v>86</v>
      </c>
      <c r="B592" s="568" t="s">
        <v>456</v>
      </c>
      <c r="C592" s="571" t="s">
        <v>74</v>
      </c>
      <c r="D592" s="571"/>
      <c r="E592" s="571"/>
      <c r="F592" s="207">
        <v>31.04</v>
      </c>
      <c r="G592" s="207">
        <f t="shared" si="232"/>
        <v>31.04</v>
      </c>
      <c r="H592" s="208" t="s">
        <v>32</v>
      </c>
      <c r="I592" s="282">
        <f t="shared" si="225"/>
        <v>17194.830000000013</v>
      </c>
      <c r="J592" s="207">
        <f t="shared" si="227"/>
        <v>4186.1699999999873</v>
      </c>
      <c r="K592" s="209">
        <f t="shared" si="237"/>
        <v>503.74830031321653</v>
      </c>
      <c r="L592" s="496"/>
      <c r="M592" s="593"/>
      <c r="N592" s="594"/>
      <c r="O592" s="37"/>
      <c r="P592" s="37"/>
    </row>
    <row r="593" spans="1:16" ht="21" customHeight="1">
      <c r="A593" s="561"/>
      <c r="B593" s="568"/>
      <c r="C593" s="571" t="s">
        <v>74</v>
      </c>
      <c r="D593" s="571"/>
      <c r="E593" s="571"/>
      <c r="F593" s="207">
        <v>30.9</v>
      </c>
      <c r="G593" s="207">
        <f t="shared" si="232"/>
        <v>30.9</v>
      </c>
      <c r="H593" s="208" t="s">
        <v>32</v>
      </c>
      <c r="I593" s="282">
        <f t="shared" si="225"/>
        <v>17225.730000000014</v>
      </c>
      <c r="J593" s="207">
        <f t="shared" si="227"/>
        <v>4155.2699999999859</v>
      </c>
      <c r="K593" s="209">
        <f t="shared" si="237"/>
        <v>504.48284217723489</v>
      </c>
      <c r="L593" s="496"/>
      <c r="M593" s="593"/>
      <c r="N593" s="594"/>
      <c r="O593" s="37"/>
      <c r="P593" s="37"/>
    </row>
    <row r="594" spans="1:16" ht="21" customHeight="1">
      <c r="A594" s="561"/>
      <c r="B594" s="568"/>
      <c r="C594" s="571" t="s">
        <v>74</v>
      </c>
      <c r="D594" s="571"/>
      <c r="E594" s="571"/>
      <c r="F594" s="207">
        <v>31.26</v>
      </c>
      <c r="G594" s="207">
        <f t="shared" si="232"/>
        <v>31.26</v>
      </c>
      <c r="H594" s="208" t="s">
        <v>32</v>
      </c>
      <c r="I594" s="282">
        <f t="shared" si="225"/>
        <v>17256.990000000013</v>
      </c>
      <c r="J594" s="207">
        <f t="shared" si="227"/>
        <v>4124.0099999999875</v>
      </c>
      <c r="K594" s="209">
        <f t="shared" si="237"/>
        <v>505.22594181054274</v>
      </c>
      <c r="L594" s="496"/>
      <c r="M594" s="593"/>
      <c r="N594" s="594"/>
      <c r="O594" s="37"/>
      <c r="P594" s="37"/>
    </row>
    <row r="595" spans="1:16" ht="21" customHeight="1">
      <c r="A595" s="561">
        <f t="shared" ref="A595" si="247">A592+1</f>
        <v>87</v>
      </c>
      <c r="B595" s="569" t="s">
        <v>457</v>
      </c>
      <c r="C595" s="599" t="s">
        <v>74</v>
      </c>
      <c r="D595" s="599"/>
      <c r="E595" s="599"/>
      <c r="F595" s="215">
        <v>30.97</v>
      </c>
      <c r="G595" s="215">
        <f t="shared" si="232"/>
        <v>30.97</v>
      </c>
      <c r="H595" s="216" t="s">
        <v>32</v>
      </c>
      <c r="I595" s="421">
        <f t="shared" si="225"/>
        <v>17287.960000000014</v>
      </c>
      <c r="J595" s="215">
        <f t="shared" si="227"/>
        <v>4093.0399999999863</v>
      </c>
      <c r="K595" s="217">
        <f t="shared" si="237"/>
        <v>505.96214768525624</v>
      </c>
      <c r="L595" s="507"/>
      <c r="M595" s="593"/>
      <c r="N595" s="594"/>
      <c r="O595" s="37"/>
      <c r="P595" s="37"/>
    </row>
    <row r="596" spans="1:16" ht="21" customHeight="1">
      <c r="A596" s="561"/>
      <c r="B596" s="569"/>
      <c r="C596" s="599" t="s">
        <v>74</v>
      </c>
      <c r="D596" s="599"/>
      <c r="E596" s="599"/>
      <c r="F596" s="215">
        <v>30.74</v>
      </c>
      <c r="G596" s="215">
        <f t="shared" si="232"/>
        <v>30.74</v>
      </c>
      <c r="H596" s="216" t="s">
        <v>32</v>
      </c>
      <c r="I596" s="421">
        <f t="shared" si="225"/>
        <v>17318.700000000015</v>
      </c>
      <c r="J596" s="215">
        <f t="shared" si="227"/>
        <v>4062.2999999999847</v>
      </c>
      <c r="K596" s="217">
        <f t="shared" si="237"/>
        <v>506.6928860962571</v>
      </c>
      <c r="L596" s="507"/>
      <c r="M596" s="593"/>
      <c r="N596" s="594"/>
      <c r="O596" s="37"/>
      <c r="P596" s="37"/>
    </row>
    <row r="597" spans="1:16" ht="21" customHeight="1">
      <c r="A597" s="561"/>
      <c r="B597" s="569"/>
      <c r="C597" s="599" t="s">
        <v>74</v>
      </c>
      <c r="D597" s="599"/>
      <c r="E597" s="599"/>
      <c r="F597" s="215">
        <v>30.94</v>
      </c>
      <c r="G597" s="215">
        <f t="shared" si="232"/>
        <v>30.94</v>
      </c>
      <c r="H597" s="216" t="s">
        <v>32</v>
      </c>
      <c r="I597" s="421">
        <f t="shared" si="225"/>
        <v>17349.640000000014</v>
      </c>
      <c r="J597" s="215">
        <f t="shared" si="227"/>
        <v>4031.359999999986</v>
      </c>
      <c r="K597" s="217">
        <f t="shared" si="237"/>
        <v>507.42837882352973</v>
      </c>
      <c r="L597" s="507"/>
      <c r="M597" s="593"/>
      <c r="N597" s="594"/>
      <c r="O597" s="37"/>
      <c r="P597" s="37"/>
    </row>
    <row r="598" spans="1:16" ht="21" customHeight="1">
      <c r="A598" s="561">
        <f t="shared" ref="A598" si="248">A595+1</f>
        <v>88</v>
      </c>
      <c r="B598" s="568" t="s">
        <v>458</v>
      </c>
      <c r="C598" s="571" t="s">
        <v>74</v>
      </c>
      <c r="D598" s="571"/>
      <c r="E598" s="571"/>
      <c r="F598" s="207">
        <v>30.82</v>
      </c>
      <c r="G598" s="207">
        <f t="shared" si="232"/>
        <v>30.82</v>
      </c>
      <c r="H598" s="208" t="s">
        <v>32</v>
      </c>
      <c r="I598" s="282">
        <f t="shared" si="225"/>
        <v>17380.460000000014</v>
      </c>
      <c r="J598" s="207">
        <f t="shared" si="227"/>
        <v>4000.5399999999863</v>
      </c>
      <c r="K598" s="209">
        <f t="shared" si="237"/>
        <v>508.16101896103925</v>
      </c>
      <c r="L598" s="496"/>
      <c r="M598" s="593"/>
      <c r="N598" s="594"/>
      <c r="O598" s="37"/>
      <c r="P598" s="37"/>
    </row>
    <row r="599" spans="1:16" ht="21" customHeight="1">
      <c r="A599" s="561"/>
      <c r="B599" s="568"/>
      <c r="C599" s="571" t="s">
        <v>74</v>
      </c>
      <c r="D599" s="571"/>
      <c r="E599" s="571"/>
      <c r="F599" s="207">
        <v>31.22</v>
      </c>
      <c r="G599" s="207">
        <f t="shared" si="232"/>
        <v>31.22</v>
      </c>
      <c r="H599" s="208" t="s">
        <v>32</v>
      </c>
      <c r="I599" s="282">
        <f t="shared" si="225"/>
        <v>17411.680000000015</v>
      </c>
      <c r="J599" s="207">
        <f t="shared" si="227"/>
        <v>3969.3199999999852</v>
      </c>
      <c r="K599" s="209">
        <f t="shared" si="237"/>
        <v>508.90316773109282</v>
      </c>
      <c r="L599" s="496"/>
      <c r="M599" s="593"/>
      <c r="N599" s="594"/>
      <c r="O599" s="37"/>
      <c r="P599" s="37"/>
    </row>
    <row r="600" spans="1:16" ht="21" customHeight="1">
      <c r="A600" s="561"/>
      <c r="B600" s="568"/>
      <c r="C600" s="571" t="s">
        <v>74</v>
      </c>
      <c r="D600" s="571"/>
      <c r="E600" s="571"/>
      <c r="F600" s="207">
        <v>30.93</v>
      </c>
      <c r="G600" s="207">
        <f t="shared" si="232"/>
        <v>30.93</v>
      </c>
      <c r="H600" s="208" t="s">
        <v>32</v>
      </c>
      <c r="I600" s="282">
        <f t="shared" si="225"/>
        <v>17442.610000000015</v>
      </c>
      <c r="J600" s="207">
        <f t="shared" si="227"/>
        <v>3938.3899999999849</v>
      </c>
      <c r="K600" s="209">
        <f t="shared" si="237"/>
        <v>509.63842274255188</v>
      </c>
      <c r="L600" s="496"/>
      <c r="M600" s="593"/>
      <c r="N600" s="594"/>
      <c r="O600" s="37"/>
      <c r="P600" s="37"/>
    </row>
    <row r="601" spans="1:16" ht="21" customHeight="1">
      <c r="A601" s="561">
        <f t="shared" ref="A601" si="249">A598+1</f>
        <v>89</v>
      </c>
      <c r="B601" s="569" t="s">
        <v>459</v>
      </c>
      <c r="C601" s="599" t="s">
        <v>74</v>
      </c>
      <c r="D601" s="599"/>
      <c r="E601" s="599"/>
      <c r="F601" s="215">
        <v>31.27</v>
      </c>
      <c r="G601" s="215">
        <f t="shared" si="232"/>
        <v>31.27</v>
      </c>
      <c r="H601" s="216" t="s">
        <v>32</v>
      </c>
      <c r="I601" s="421">
        <f t="shared" si="225"/>
        <v>17473.880000000016</v>
      </c>
      <c r="J601" s="215">
        <f t="shared" si="227"/>
        <v>3907.1199999999844</v>
      </c>
      <c r="K601" s="217">
        <f t="shared" si="237"/>
        <v>510.38176009167341</v>
      </c>
      <c r="L601" s="507"/>
      <c r="M601" s="593"/>
      <c r="N601" s="594"/>
      <c r="O601" s="37"/>
      <c r="P601" s="37"/>
    </row>
    <row r="602" spans="1:16" ht="21" customHeight="1">
      <c r="A602" s="561"/>
      <c r="B602" s="569"/>
      <c r="C602" s="599" t="s">
        <v>74</v>
      </c>
      <c r="D602" s="599"/>
      <c r="E602" s="599"/>
      <c r="F602" s="215">
        <v>31</v>
      </c>
      <c r="G602" s="215">
        <f t="shared" si="232"/>
        <v>31</v>
      </c>
      <c r="H602" s="216" t="s">
        <v>32</v>
      </c>
      <c r="I602" s="421">
        <f t="shared" si="225"/>
        <v>17504.880000000016</v>
      </c>
      <c r="J602" s="215">
        <f t="shared" si="227"/>
        <v>3876.1199999999844</v>
      </c>
      <c r="K602" s="217">
        <f t="shared" si="237"/>
        <v>511.11867911382768</v>
      </c>
      <c r="L602" s="507"/>
      <c r="M602" s="593"/>
      <c r="N602" s="594"/>
      <c r="O602" s="37"/>
      <c r="P602" s="37"/>
    </row>
    <row r="603" spans="1:16" ht="21" customHeight="1">
      <c r="A603" s="561"/>
      <c r="B603" s="569"/>
      <c r="C603" s="599" t="s">
        <v>74</v>
      </c>
      <c r="D603" s="599"/>
      <c r="E603" s="599"/>
      <c r="F603" s="215">
        <v>30.96</v>
      </c>
      <c r="G603" s="215">
        <f t="shared" si="232"/>
        <v>30.96</v>
      </c>
      <c r="H603" s="216" t="s">
        <v>32</v>
      </c>
      <c r="I603" s="421">
        <f t="shared" ref="I603:I637" si="250">IF(H603="IN",I602+G603,I602)</f>
        <v>17535.840000000015</v>
      </c>
      <c r="J603" s="215">
        <f t="shared" si="227"/>
        <v>3845.1599999999853</v>
      </c>
      <c r="K603" s="217">
        <f t="shared" si="237"/>
        <v>511.85464727272762</v>
      </c>
      <c r="L603" s="507"/>
      <c r="M603" s="593"/>
      <c r="N603" s="594"/>
      <c r="O603" s="37"/>
      <c r="P603" s="37"/>
    </row>
    <row r="604" spans="1:16" ht="21" customHeight="1">
      <c r="A604" s="561">
        <f t="shared" ref="A604" si="251">A601+1</f>
        <v>90</v>
      </c>
      <c r="B604" s="568" t="s">
        <v>460</v>
      </c>
      <c r="C604" s="571" t="s">
        <v>74</v>
      </c>
      <c r="D604" s="571"/>
      <c r="E604" s="571"/>
      <c r="F604" s="207">
        <v>31.09</v>
      </c>
      <c r="G604" s="207">
        <f t="shared" si="232"/>
        <v>31.09</v>
      </c>
      <c r="H604" s="208" t="s">
        <v>32</v>
      </c>
      <c r="I604" s="282">
        <f t="shared" si="250"/>
        <v>17566.930000000015</v>
      </c>
      <c r="J604" s="207">
        <f t="shared" si="227"/>
        <v>3814.0699999999852</v>
      </c>
      <c r="K604" s="209">
        <f t="shared" si="237"/>
        <v>512.59370573720435</v>
      </c>
      <c r="L604" s="496"/>
      <c r="M604" s="593"/>
      <c r="N604" s="594"/>
      <c r="O604" s="37"/>
      <c r="P604" s="37"/>
    </row>
    <row r="605" spans="1:16" ht="21" customHeight="1">
      <c r="A605" s="561"/>
      <c r="B605" s="568"/>
      <c r="C605" s="571" t="s">
        <v>74</v>
      </c>
      <c r="D605" s="571"/>
      <c r="E605" s="571"/>
      <c r="F605" s="207">
        <v>31.18</v>
      </c>
      <c r="G605" s="207">
        <f t="shared" si="232"/>
        <v>31.18</v>
      </c>
      <c r="H605" s="208" t="s">
        <v>32</v>
      </c>
      <c r="I605" s="282">
        <f t="shared" si="250"/>
        <v>17598.110000000015</v>
      </c>
      <c r="J605" s="207">
        <f t="shared" ref="J605:J768" si="252">IF(I605="","",$M$9-I605)</f>
        <v>3782.8899999999849</v>
      </c>
      <c r="K605" s="209">
        <f t="shared" si="237"/>
        <v>513.33490364400336</v>
      </c>
      <c r="L605" s="496"/>
      <c r="M605" s="593"/>
      <c r="N605" s="594"/>
      <c r="O605" s="37"/>
      <c r="P605" s="37"/>
    </row>
    <row r="606" spans="1:16" ht="21" customHeight="1">
      <c r="A606" s="561"/>
      <c r="B606" s="568"/>
      <c r="C606" s="571" t="s">
        <v>74</v>
      </c>
      <c r="D606" s="571"/>
      <c r="E606" s="571"/>
      <c r="F606" s="207">
        <v>30.98</v>
      </c>
      <c r="G606" s="207">
        <f t="shared" si="232"/>
        <v>30.98</v>
      </c>
      <c r="H606" s="208" t="s">
        <v>32</v>
      </c>
      <c r="I606" s="282">
        <f t="shared" si="250"/>
        <v>17629.090000000015</v>
      </c>
      <c r="J606" s="207">
        <f t="shared" si="252"/>
        <v>3751.9099999999853</v>
      </c>
      <c r="K606" s="209">
        <f t="shared" si="237"/>
        <v>514.07134723453055</v>
      </c>
      <c r="L606" s="496"/>
      <c r="M606" s="593"/>
      <c r="N606" s="594"/>
      <c r="O606" s="37"/>
      <c r="P606" s="37"/>
    </row>
    <row r="607" spans="1:16" ht="21" customHeight="1">
      <c r="A607" s="561">
        <f t="shared" ref="A607" si="253">A604+1</f>
        <v>91</v>
      </c>
      <c r="B607" s="569" t="s">
        <v>461</v>
      </c>
      <c r="C607" s="599" t="s">
        <v>74</v>
      </c>
      <c r="D607" s="599"/>
      <c r="E607" s="599"/>
      <c r="F607" s="215">
        <v>31</v>
      </c>
      <c r="G607" s="215">
        <f t="shared" si="232"/>
        <v>31</v>
      </c>
      <c r="H607" s="216" t="s">
        <v>32</v>
      </c>
      <c r="I607" s="421">
        <f t="shared" si="250"/>
        <v>17660.090000000015</v>
      </c>
      <c r="J607" s="215">
        <f t="shared" si="252"/>
        <v>3720.9099999999853</v>
      </c>
      <c r="K607" s="217">
        <f t="shared" si="237"/>
        <v>514.80826625668487</v>
      </c>
      <c r="L607" s="507"/>
      <c r="M607" s="593"/>
      <c r="N607" s="594"/>
      <c r="O607" s="37"/>
      <c r="P607" s="37"/>
    </row>
    <row r="608" spans="1:16" ht="21" customHeight="1">
      <c r="A608" s="561"/>
      <c r="B608" s="569"/>
      <c r="C608" s="599" t="s">
        <v>74</v>
      </c>
      <c r="D608" s="599"/>
      <c r="E608" s="599"/>
      <c r="F608" s="215">
        <v>31.02</v>
      </c>
      <c r="G608" s="215">
        <f t="shared" si="232"/>
        <v>31.02</v>
      </c>
      <c r="H608" s="216" t="s">
        <v>32</v>
      </c>
      <c r="I608" s="421">
        <f t="shared" si="250"/>
        <v>17691.110000000015</v>
      </c>
      <c r="J608" s="215">
        <f t="shared" si="252"/>
        <v>3689.8899999999849</v>
      </c>
      <c r="K608" s="217">
        <f t="shared" si="237"/>
        <v>515.54566071046634</v>
      </c>
      <c r="L608" s="507"/>
      <c r="M608" s="593"/>
      <c r="N608" s="594"/>
      <c r="O608" s="37"/>
      <c r="P608" s="37"/>
    </row>
    <row r="609" spans="1:16" ht="21" customHeight="1">
      <c r="A609" s="561"/>
      <c r="B609" s="569"/>
      <c r="C609" s="599" t="s">
        <v>74</v>
      </c>
      <c r="D609" s="599"/>
      <c r="E609" s="599"/>
      <c r="F609" s="215">
        <v>30.6</v>
      </c>
      <c r="G609" s="215">
        <f t="shared" si="232"/>
        <v>30.6</v>
      </c>
      <c r="H609" s="216" t="s">
        <v>32</v>
      </c>
      <c r="I609" s="421">
        <f t="shared" si="250"/>
        <v>17721.710000000014</v>
      </c>
      <c r="J609" s="215">
        <f t="shared" si="252"/>
        <v>3659.2899999999863</v>
      </c>
      <c r="K609" s="217">
        <f t="shared" si="237"/>
        <v>516.27307110007678</v>
      </c>
      <c r="L609" s="507"/>
      <c r="M609" s="593"/>
      <c r="N609" s="594"/>
      <c r="O609" s="37"/>
      <c r="P609" s="37"/>
    </row>
    <row r="610" spans="1:16" ht="21" customHeight="1">
      <c r="A610" s="561">
        <f t="shared" ref="A610" si="254">A607+1</f>
        <v>92</v>
      </c>
      <c r="B610" s="568" t="s">
        <v>462</v>
      </c>
      <c r="C610" s="571" t="s">
        <v>74</v>
      </c>
      <c r="D610" s="571"/>
      <c r="E610" s="571"/>
      <c r="F610" s="207">
        <v>30.89</v>
      </c>
      <c r="G610" s="207">
        <f t="shared" si="232"/>
        <v>30.89</v>
      </c>
      <c r="H610" s="208" t="s">
        <v>32</v>
      </c>
      <c r="I610" s="282">
        <f t="shared" si="250"/>
        <v>17752.600000000013</v>
      </c>
      <c r="J610" s="207">
        <f t="shared" si="252"/>
        <v>3628.3999999999869</v>
      </c>
      <c r="K610" s="209">
        <f t="shared" si="237"/>
        <v>517.00737524828151</v>
      </c>
      <c r="L610" s="496"/>
      <c r="M610" s="593"/>
      <c r="N610" s="594"/>
      <c r="O610" s="37"/>
      <c r="P610" s="37"/>
    </row>
    <row r="611" spans="1:16" ht="21" customHeight="1">
      <c r="A611" s="561"/>
      <c r="B611" s="568"/>
      <c r="C611" s="571" t="s">
        <v>74</v>
      </c>
      <c r="D611" s="571"/>
      <c r="E611" s="571"/>
      <c r="F611" s="207">
        <v>30.95</v>
      </c>
      <c r="G611" s="207">
        <f t="shared" si="232"/>
        <v>30.95</v>
      </c>
      <c r="H611" s="208" t="s">
        <v>32</v>
      </c>
      <c r="I611" s="282">
        <f t="shared" si="250"/>
        <v>17783.550000000014</v>
      </c>
      <c r="J611" s="207">
        <f t="shared" si="252"/>
        <v>3597.4499999999862</v>
      </c>
      <c r="K611" s="209">
        <f t="shared" si="237"/>
        <v>517.74310569136787</v>
      </c>
      <c r="L611" s="496"/>
      <c r="M611" s="593"/>
      <c r="N611" s="594"/>
      <c r="O611" s="37"/>
      <c r="P611" s="37"/>
    </row>
    <row r="612" spans="1:16" ht="21" customHeight="1">
      <c r="A612" s="561"/>
      <c r="B612" s="568"/>
      <c r="C612" s="571" t="s">
        <v>74</v>
      </c>
      <c r="D612" s="571"/>
      <c r="E612" s="571"/>
      <c r="F612" s="207">
        <v>31.25</v>
      </c>
      <c r="G612" s="207">
        <f t="shared" si="232"/>
        <v>31.25</v>
      </c>
      <c r="H612" s="208" t="s">
        <v>32</v>
      </c>
      <c r="I612" s="282">
        <f t="shared" si="250"/>
        <v>17814.800000000014</v>
      </c>
      <c r="J612" s="207">
        <f t="shared" si="252"/>
        <v>3566.1999999999862</v>
      </c>
      <c r="K612" s="209">
        <f t="shared" si="237"/>
        <v>518.4859676088621</v>
      </c>
      <c r="L612" s="496"/>
      <c r="M612" s="593"/>
      <c r="N612" s="594"/>
      <c r="O612" s="37"/>
      <c r="P612" s="37"/>
    </row>
    <row r="613" spans="1:16" ht="21" customHeight="1">
      <c r="A613" s="561">
        <f t="shared" ref="A613" si="255">A610+1</f>
        <v>93</v>
      </c>
      <c r="B613" s="569" t="s">
        <v>463</v>
      </c>
      <c r="C613" s="599" t="s">
        <v>74</v>
      </c>
      <c r="D613" s="599"/>
      <c r="E613" s="599"/>
      <c r="F613" s="215">
        <v>30.78</v>
      </c>
      <c r="G613" s="215">
        <f t="shared" si="232"/>
        <v>30.78</v>
      </c>
      <c r="H613" s="216" t="s">
        <v>32</v>
      </c>
      <c r="I613" s="421">
        <f t="shared" si="250"/>
        <v>17845.580000000013</v>
      </c>
      <c r="J613" s="215">
        <f t="shared" si="252"/>
        <v>3535.4199999999873</v>
      </c>
      <c r="K613" s="217">
        <f t="shared" si="237"/>
        <v>519.21765688311712</v>
      </c>
      <c r="L613" s="507"/>
      <c r="M613" s="593"/>
      <c r="N613" s="594"/>
      <c r="O613" s="37"/>
      <c r="P613" s="37"/>
    </row>
    <row r="614" spans="1:16" ht="21" customHeight="1">
      <c r="A614" s="561"/>
      <c r="B614" s="569"/>
      <c r="C614" s="599" t="s">
        <v>74</v>
      </c>
      <c r="D614" s="599"/>
      <c r="E614" s="599"/>
      <c r="F614" s="215">
        <v>30.99</v>
      </c>
      <c r="G614" s="215">
        <f t="shared" si="232"/>
        <v>30.99</v>
      </c>
      <c r="H614" s="216" t="s">
        <v>32</v>
      </c>
      <c r="I614" s="421">
        <f t="shared" si="250"/>
        <v>17876.570000000014</v>
      </c>
      <c r="J614" s="215">
        <f t="shared" si="252"/>
        <v>3504.4299999999857</v>
      </c>
      <c r="K614" s="217">
        <f t="shared" si="237"/>
        <v>519.95433818945799</v>
      </c>
      <c r="L614" s="507"/>
      <c r="M614" s="593"/>
      <c r="N614" s="594"/>
      <c r="O614" s="37"/>
      <c r="P614" s="37"/>
    </row>
    <row r="615" spans="1:16" ht="21" customHeight="1">
      <c r="A615" s="561"/>
      <c r="B615" s="569"/>
      <c r="C615" s="599" t="s">
        <v>74</v>
      </c>
      <c r="D615" s="599"/>
      <c r="E615" s="599"/>
      <c r="F615" s="215">
        <v>30.64</v>
      </c>
      <c r="G615" s="215">
        <f t="shared" si="232"/>
        <v>30.64</v>
      </c>
      <c r="H615" s="216" t="s">
        <v>32</v>
      </c>
      <c r="I615" s="421">
        <f t="shared" si="250"/>
        <v>17907.210000000014</v>
      </c>
      <c r="J615" s="215">
        <f t="shared" si="252"/>
        <v>3473.7899999999863</v>
      </c>
      <c r="K615" s="217">
        <f t="shared" si="237"/>
        <v>520.6826994423227</v>
      </c>
      <c r="L615" s="507"/>
      <c r="M615" s="593"/>
      <c r="N615" s="594"/>
      <c r="O615" s="37"/>
      <c r="P615" s="37"/>
    </row>
    <row r="616" spans="1:16" ht="21" customHeight="1">
      <c r="A616" s="561">
        <f t="shared" ref="A616" si="256">A613+1</f>
        <v>94</v>
      </c>
      <c r="B616" s="568" t="s">
        <v>464</v>
      </c>
      <c r="C616" s="571" t="s">
        <v>74</v>
      </c>
      <c r="D616" s="571"/>
      <c r="E616" s="571"/>
      <c r="F616" s="207">
        <v>31.18</v>
      </c>
      <c r="G616" s="207">
        <f t="shared" si="232"/>
        <v>31.18</v>
      </c>
      <c r="H616" s="208" t="s">
        <v>32</v>
      </c>
      <c r="I616" s="282">
        <f t="shared" si="250"/>
        <v>17938.390000000014</v>
      </c>
      <c r="J616" s="207">
        <f t="shared" si="252"/>
        <v>3442.609999999986</v>
      </c>
      <c r="K616" s="209">
        <f t="shared" si="237"/>
        <v>521.42389734912183</v>
      </c>
      <c r="L616" s="496"/>
      <c r="M616" s="593"/>
      <c r="N616" s="594"/>
      <c r="O616" s="37"/>
      <c r="P616" s="37"/>
    </row>
    <row r="617" spans="1:16" ht="21" customHeight="1">
      <c r="A617" s="561"/>
      <c r="B617" s="568"/>
      <c r="C617" s="571" t="s">
        <v>74</v>
      </c>
      <c r="D617" s="571"/>
      <c r="E617" s="571"/>
      <c r="F617" s="207">
        <v>31.14</v>
      </c>
      <c r="G617" s="207">
        <f t="shared" ref="G617:G751" si="257">F617</f>
        <v>31.14</v>
      </c>
      <c r="H617" s="208" t="s">
        <v>32</v>
      </c>
      <c r="I617" s="282">
        <f t="shared" si="250"/>
        <v>17969.530000000013</v>
      </c>
      <c r="J617" s="207">
        <f t="shared" si="252"/>
        <v>3411.4699999999866</v>
      </c>
      <c r="K617" s="209">
        <f t="shared" si="237"/>
        <v>522.16414439266646</v>
      </c>
      <c r="L617" s="496"/>
      <c r="M617" s="593"/>
      <c r="N617" s="594"/>
      <c r="O617" s="37"/>
      <c r="P617" s="37"/>
    </row>
    <row r="618" spans="1:16" ht="21" customHeight="1">
      <c r="A618" s="561"/>
      <c r="B618" s="568"/>
      <c r="C618" s="571" t="s">
        <v>74</v>
      </c>
      <c r="D618" s="571"/>
      <c r="E618" s="571"/>
      <c r="F618" s="207">
        <v>31.06</v>
      </c>
      <c r="G618" s="207">
        <f t="shared" si="257"/>
        <v>31.06</v>
      </c>
      <c r="H618" s="208" t="s">
        <v>32</v>
      </c>
      <c r="I618" s="282">
        <f t="shared" si="250"/>
        <v>18000.590000000015</v>
      </c>
      <c r="J618" s="207">
        <f t="shared" si="252"/>
        <v>3380.4099999999853</v>
      </c>
      <c r="K618" s="209">
        <f t="shared" si="237"/>
        <v>522.90248970970242</v>
      </c>
      <c r="L618" s="496"/>
      <c r="M618" s="593"/>
      <c r="N618" s="594"/>
      <c r="O618" s="37"/>
      <c r="P618" s="37"/>
    </row>
    <row r="619" spans="1:16" ht="21" customHeight="1">
      <c r="A619" s="561">
        <f t="shared" ref="A619" si="258">A616+1</f>
        <v>95</v>
      </c>
      <c r="B619" s="569" t="s">
        <v>465</v>
      </c>
      <c r="C619" s="599" t="s">
        <v>74</v>
      </c>
      <c r="D619" s="599"/>
      <c r="E619" s="599"/>
      <c r="F619" s="215">
        <v>31.22</v>
      </c>
      <c r="G619" s="215">
        <f t="shared" si="257"/>
        <v>31.22</v>
      </c>
      <c r="H619" s="216" t="s">
        <v>32</v>
      </c>
      <c r="I619" s="421">
        <f t="shared" si="250"/>
        <v>18031.810000000016</v>
      </c>
      <c r="J619" s="215">
        <f t="shared" si="252"/>
        <v>3349.1899999999841</v>
      </c>
      <c r="K619" s="217">
        <f t="shared" si="237"/>
        <v>523.64463847975594</v>
      </c>
      <c r="L619" s="507"/>
      <c r="M619" s="593"/>
      <c r="N619" s="594"/>
      <c r="O619" s="37"/>
      <c r="P619" s="37"/>
    </row>
    <row r="620" spans="1:16" ht="21" customHeight="1">
      <c r="A620" s="561"/>
      <c r="B620" s="569"/>
      <c r="C620" s="599" t="s">
        <v>74</v>
      </c>
      <c r="D620" s="599"/>
      <c r="E620" s="599"/>
      <c r="F620" s="215">
        <v>31</v>
      </c>
      <c r="G620" s="215">
        <f t="shared" si="257"/>
        <v>31</v>
      </c>
      <c r="H620" s="216" t="s">
        <v>32</v>
      </c>
      <c r="I620" s="421">
        <f t="shared" si="250"/>
        <v>18062.810000000016</v>
      </c>
      <c r="J620" s="215">
        <f t="shared" si="252"/>
        <v>3318.1899999999841</v>
      </c>
      <c r="K620" s="217">
        <f t="shared" si="237"/>
        <v>524.38155750191027</v>
      </c>
      <c r="L620" s="507"/>
      <c r="M620" s="593"/>
      <c r="N620" s="594"/>
      <c r="O620" s="37"/>
      <c r="P620" s="37"/>
    </row>
    <row r="621" spans="1:16" ht="21" customHeight="1">
      <c r="A621" s="561"/>
      <c r="B621" s="569"/>
      <c r="C621" s="599" t="s">
        <v>74</v>
      </c>
      <c r="D621" s="599"/>
      <c r="E621" s="599"/>
      <c r="F621" s="215">
        <v>31.1</v>
      </c>
      <c r="G621" s="215">
        <f t="shared" si="257"/>
        <v>31.1</v>
      </c>
      <c r="H621" s="216" t="s">
        <v>32</v>
      </c>
      <c r="I621" s="421">
        <f t="shared" si="250"/>
        <v>18093.910000000014</v>
      </c>
      <c r="J621" s="215">
        <f t="shared" si="252"/>
        <v>3287.0899999999856</v>
      </c>
      <c r="K621" s="217">
        <f t="shared" si="237"/>
        <v>525.1208536822005</v>
      </c>
      <c r="L621" s="507"/>
      <c r="M621" s="593"/>
      <c r="N621" s="594"/>
      <c r="O621" s="37"/>
      <c r="P621" s="37"/>
    </row>
    <row r="622" spans="1:16" ht="21" customHeight="1">
      <c r="A622" s="561">
        <f t="shared" ref="A622" si="259">A619+1</f>
        <v>96</v>
      </c>
      <c r="B622" s="568" t="s">
        <v>466</v>
      </c>
      <c r="C622" s="571" t="s">
        <v>74</v>
      </c>
      <c r="D622" s="571"/>
      <c r="E622" s="571"/>
      <c r="F622" s="207">
        <v>30.97</v>
      </c>
      <c r="G622" s="207">
        <f t="shared" si="257"/>
        <v>30.97</v>
      </c>
      <c r="H622" s="208" t="s">
        <v>32</v>
      </c>
      <c r="I622" s="282">
        <f t="shared" si="250"/>
        <v>18124.880000000016</v>
      </c>
      <c r="J622" s="207">
        <f t="shared" si="252"/>
        <v>3256.1199999999844</v>
      </c>
      <c r="K622" s="209">
        <f t="shared" si="237"/>
        <v>525.85705955691401</v>
      </c>
      <c r="L622" s="496"/>
      <c r="M622" s="593"/>
      <c r="N622" s="594"/>
      <c r="O622" s="37"/>
      <c r="P622" s="37"/>
    </row>
    <row r="623" spans="1:16" ht="21" customHeight="1">
      <c r="A623" s="561"/>
      <c r="B623" s="568"/>
      <c r="C623" s="571" t="s">
        <v>74</v>
      </c>
      <c r="D623" s="571"/>
      <c r="E623" s="571"/>
      <c r="F623" s="207">
        <v>30.81</v>
      </c>
      <c r="G623" s="207">
        <f t="shared" si="257"/>
        <v>30.81</v>
      </c>
      <c r="H623" s="208" t="s">
        <v>32</v>
      </c>
      <c r="I623" s="282">
        <f t="shared" si="250"/>
        <v>18155.690000000017</v>
      </c>
      <c r="J623" s="207">
        <f t="shared" si="252"/>
        <v>3225.3099999999831</v>
      </c>
      <c r="K623" s="209">
        <f t="shared" si="237"/>
        <v>526.58946197860996</v>
      </c>
      <c r="L623" s="496"/>
      <c r="M623" s="593"/>
      <c r="N623" s="594"/>
      <c r="O623" s="37"/>
      <c r="P623" s="37"/>
    </row>
    <row r="624" spans="1:16" ht="21" customHeight="1">
      <c r="A624" s="561"/>
      <c r="B624" s="568"/>
      <c r="C624" s="571" t="s">
        <v>74</v>
      </c>
      <c r="D624" s="571"/>
      <c r="E624" s="571"/>
      <c r="F624" s="207">
        <v>31.15</v>
      </c>
      <c r="G624" s="207">
        <f t="shared" si="257"/>
        <v>31.15</v>
      </c>
      <c r="H624" s="208" t="s">
        <v>32</v>
      </c>
      <c r="I624" s="282">
        <f t="shared" si="250"/>
        <v>18186.840000000018</v>
      </c>
      <c r="J624" s="207">
        <f t="shared" si="252"/>
        <v>3194.1599999999817</v>
      </c>
      <c r="K624" s="209">
        <f t="shared" si="237"/>
        <v>527.32994673796838</v>
      </c>
      <c r="L624" s="496"/>
      <c r="M624" s="593"/>
      <c r="N624" s="594"/>
      <c r="O624" s="37"/>
      <c r="P624" s="37"/>
    </row>
    <row r="625" spans="1:16" ht="21" customHeight="1">
      <c r="A625" s="561">
        <f t="shared" ref="A625" si="260">A622+1</f>
        <v>97</v>
      </c>
      <c r="B625" s="569" t="s">
        <v>467</v>
      </c>
      <c r="C625" s="599" t="s">
        <v>74</v>
      </c>
      <c r="D625" s="599"/>
      <c r="E625" s="599"/>
      <c r="F625" s="215">
        <v>30.93</v>
      </c>
      <c r="G625" s="215">
        <f t="shared" si="257"/>
        <v>30.93</v>
      </c>
      <c r="H625" s="216" t="s">
        <v>32</v>
      </c>
      <c r="I625" s="421">
        <f t="shared" si="250"/>
        <v>18217.770000000019</v>
      </c>
      <c r="J625" s="215">
        <f t="shared" si="252"/>
        <v>3163.2299999999814</v>
      </c>
      <c r="K625" s="217">
        <f t="shared" si="237"/>
        <v>528.0652017494275</v>
      </c>
      <c r="L625" s="507"/>
      <c r="M625" s="593"/>
      <c r="N625" s="594"/>
      <c r="O625" s="37"/>
      <c r="P625" s="37"/>
    </row>
    <row r="626" spans="1:16" ht="21" customHeight="1">
      <c r="A626" s="561"/>
      <c r="B626" s="569"/>
      <c r="C626" s="599" t="s">
        <v>74</v>
      </c>
      <c r="D626" s="599"/>
      <c r="E626" s="599"/>
      <c r="F626" s="215">
        <v>30.86</v>
      </c>
      <c r="G626" s="215">
        <f t="shared" si="257"/>
        <v>30.86</v>
      </c>
      <c r="H626" s="216" t="s">
        <v>32</v>
      </c>
      <c r="I626" s="421">
        <f t="shared" si="250"/>
        <v>18248.630000000019</v>
      </c>
      <c r="J626" s="215">
        <f t="shared" si="252"/>
        <v>3132.3699999999808</v>
      </c>
      <c r="K626" s="217">
        <f t="shared" si="237"/>
        <v>528.79879275019152</v>
      </c>
      <c r="L626" s="507"/>
      <c r="M626" s="593"/>
      <c r="N626" s="594"/>
      <c r="O626" s="37"/>
      <c r="P626" s="37"/>
    </row>
    <row r="627" spans="1:16" ht="21" customHeight="1">
      <c r="A627" s="561"/>
      <c r="B627" s="569"/>
      <c r="C627" s="599" t="s">
        <v>74</v>
      </c>
      <c r="D627" s="599"/>
      <c r="E627" s="599"/>
      <c r="F627" s="215">
        <v>31.05</v>
      </c>
      <c r="G627" s="215">
        <f t="shared" si="257"/>
        <v>31.05</v>
      </c>
      <c r="H627" s="216" t="s">
        <v>32</v>
      </c>
      <c r="I627" s="421">
        <f t="shared" si="250"/>
        <v>18279.680000000018</v>
      </c>
      <c r="J627" s="215">
        <f t="shared" si="252"/>
        <v>3101.3199999999815</v>
      </c>
      <c r="K627" s="217">
        <f t="shared" si="237"/>
        <v>529.53690035141381</v>
      </c>
      <c r="L627" s="507"/>
      <c r="M627" s="593"/>
      <c r="N627" s="594"/>
      <c r="O627" s="37"/>
      <c r="P627" s="47"/>
    </row>
    <row r="628" spans="1:16" ht="21" customHeight="1">
      <c r="A628" s="561">
        <f t="shared" ref="A628" si="261">A625+1</f>
        <v>98</v>
      </c>
      <c r="B628" s="568" t="s">
        <v>468</v>
      </c>
      <c r="C628" s="571" t="s">
        <v>74</v>
      </c>
      <c r="D628" s="571"/>
      <c r="E628" s="571"/>
      <c r="F628" s="207">
        <v>31.18</v>
      </c>
      <c r="G628" s="207">
        <f t="shared" si="257"/>
        <v>31.18</v>
      </c>
      <c r="H628" s="208" t="s">
        <v>32</v>
      </c>
      <c r="I628" s="282">
        <f t="shared" si="250"/>
        <v>18310.860000000019</v>
      </c>
      <c r="J628" s="207">
        <f t="shared" si="252"/>
        <v>3070.1399999999812</v>
      </c>
      <c r="K628" s="209">
        <f t="shared" si="237"/>
        <v>530.27809825821282</v>
      </c>
      <c r="L628" s="496"/>
      <c r="M628" s="593"/>
      <c r="N628" s="594"/>
      <c r="O628" s="37"/>
      <c r="P628" s="47"/>
    </row>
    <row r="629" spans="1:16" ht="21" customHeight="1">
      <c r="A629" s="561"/>
      <c r="B629" s="568"/>
      <c r="C629" s="571" t="s">
        <v>74</v>
      </c>
      <c r="D629" s="571"/>
      <c r="E629" s="571"/>
      <c r="F629" s="207">
        <v>31</v>
      </c>
      <c r="G629" s="207">
        <f t="shared" si="257"/>
        <v>31</v>
      </c>
      <c r="H629" s="208" t="s">
        <v>32</v>
      </c>
      <c r="I629" s="282">
        <f t="shared" si="250"/>
        <v>18341.860000000019</v>
      </c>
      <c r="J629" s="207">
        <f t="shared" si="252"/>
        <v>3039.1399999999812</v>
      </c>
      <c r="K629" s="209">
        <f t="shared" si="237"/>
        <v>531.01501728036715</v>
      </c>
      <c r="L629" s="496"/>
      <c r="M629" s="593"/>
      <c r="N629" s="594"/>
      <c r="O629" s="37"/>
      <c r="P629" s="47"/>
    </row>
    <row r="630" spans="1:16" ht="21" customHeight="1">
      <c r="A630" s="561"/>
      <c r="B630" s="568"/>
      <c r="C630" s="571" t="s">
        <v>74</v>
      </c>
      <c r="D630" s="571"/>
      <c r="E630" s="571"/>
      <c r="F630" s="207">
        <v>31.16</v>
      </c>
      <c r="G630" s="207">
        <f t="shared" si="257"/>
        <v>31.16</v>
      </c>
      <c r="H630" s="208" t="s">
        <v>32</v>
      </c>
      <c r="I630" s="282">
        <f t="shared" si="250"/>
        <v>18373.020000000019</v>
      </c>
      <c r="J630" s="207">
        <f t="shared" si="252"/>
        <v>3007.9799999999814</v>
      </c>
      <c r="K630" s="209">
        <f t="shared" si="237"/>
        <v>531.75573975553903</v>
      </c>
      <c r="L630" s="496"/>
      <c r="M630" s="593"/>
      <c r="N630" s="594"/>
      <c r="O630" s="37"/>
      <c r="P630" s="47"/>
    </row>
    <row r="631" spans="1:16" ht="21" customHeight="1">
      <c r="A631" s="561">
        <f t="shared" ref="A631" si="262">A628+1</f>
        <v>99</v>
      </c>
      <c r="B631" s="569" t="s">
        <v>469</v>
      </c>
      <c r="C631" s="599" t="s">
        <v>74</v>
      </c>
      <c r="D631" s="599"/>
      <c r="E631" s="599"/>
      <c r="F631" s="215">
        <v>31.09</v>
      </c>
      <c r="G631" s="215">
        <f t="shared" si="257"/>
        <v>31.09</v>
      </c>
      <c r="H631" s="216" t="s">
        <v>32</v>
      </c>
      <c r="I631" s="421">
        <f t="shared" si="250"/>
        <v>18404.110000000019</v>
      </c>
      <c r="J631" s="215">
        <f t="shared" si="252"/>
        <v>2976.8899999999812</v>
      </c>
      <c r="K631" s="217">
        <f t="shared" ref="K631:K694" si="263">$H$8+(I631*$E$9*$E$15/1000)</f>
        <v>532.4947982200157</v>
      </c>
      <c r="L631" s="507"/>
      <c r="M631" s="593"/>
      <c r="N631" s="594"/>
      <c r="O631" s="37"/>
      <c r="P631" s="47"/>
    </row>
    <row r="632" spans="1:16" ht="21" customHeight="1">
      <c r="A632" s="561"/>
      <c r="B632" s="569"/>
      <c r="C632" s="599" t="s">
        <v>74</v>
      </c>
      <c r="D632" s="599"/>
      <c r="E632" s="599"/>
      <c r="F632" s="215">
        <v>30.94</v>
      </c>
      <c r="G632" s="215">
        <f t="shared" si="257"/>
        <v>30.94</v>
      </c>
      <c r="H632" s="216" t="s">
        <v>32</v>
      </c>
      <c r="I632" s="421">
        <f t="shared" si="250"/>
        <v>18435.050000000017</v>
      </c>
      <c r="J632" s="215">
        <f t="shared" si="252"/>
        <v>2945.9499999999825</v>
      </c>
      <c r="K632" s="217">
        <f t="shared" si="263"/>
        <v>533.23029094728849</v>
      </c>
      <c r="L632" s="507"/>
      <c r="M632" s="593"/>
      <c r="N632" s="594"/>
      <c r="O632" s="37"/>
      <c r="P632" s="47"/>
    </row>
    <row r="633" spans="1:16" ht="21" customHeight="1">
      <c r="A633" s="561"/>
      <c r="B633" s="569"/>
      <c r="C633" s="599" t="s">
        <v>74</v>
      </c>
      <c r="D633" s="599"/>
      <c r="E633" s="599"/>
      <c r="F633" s="215">
        <v>30.93</v>
      </c>
      <c r="G633" s="215">
        <f t="shared" si="257"/>
        <v>30.93</v>
      </c>
      <c r="H633" s="216" t="s">
        <v>32</v>
      </c>
      <c r="I633" s="421">
        <f t="shared" si="250"/>
        <v>18465.980000000018</v>
      </c>
      <c r="J633" s="215">
        <f t="shared" si="252"/>
        <v>2915.0199999999822</v>
      </c>
      <c r="K633" s="217">
        <f t="shared" si="263"/>
        <v>533.9655459587475</v>
      </c>
      <c r="L633" s="507"/>
      <c r="M633" s="593"/>
      <c r="N633" s="594"/>
      <c r="O633" s="37"/>
      <c r="P633" s="47"/>
    </row>
    <row r="634" spans="1:16" ht="21" customHeight="1">
      <c r="A634" s="561">
        <f t="shared" ref="A634" si="264">A631+1</f>
        <v>100</v>
      </c>
      <c r="B634" s="568" t="s">
        <v>470</v>
      </c>
      <c r="C634" s="571" t="s">
        <v>74</v>
      </c>
      <c r="D634" s="571"/>
      <c r="E634" s="571"/>
      <c r="F634" s="207">
        <v>31.19</v>
      </c>
      <c r="G634" s="207">
        <f t="shared" si="257"/>
        <v>31.19</v>
      </c>
      <c r="H634" s="208" t="s">
        <v>32</v>
      </c>
      <c r="I634" s="282">
        <f t="shared" si="250"/>
        <v>18497.170000000016</v>
      </c>
      <c r="J634" s="207">
        <f t="shared" si="252"/>
        <v>2883.8299999999836</v>
      </c>
      <c r="K634" s="209">
        <f t="shared" si="263"/>
        <v>534.7069815813602</v>
      </c>
      <c r="L634" s="496"/>
      <c r="M634" s="593"/>
      <c r="N634" s="594"/>
      <c r="O634" s="37"/>
      <c r="P634" s="47"/>
    </row>
    <row r="635" spans="1:16" ht="21" customHeight="1">
      <c r="A635" s="561"/>
      <c r="B635" s="568"/>
      <c r="C635" s="571" t="s">
        <v>74</v>
      </c>
      <c r="D635" s="571"/>
      <c r="E635" s="571"/>
      <c r="F635" s="207">
        <v>30.85</v>
      </c>
      <c r="G635" s="207">
        <f t="shared" si="257"/>
        <v>30.85</v>
      </c>
      <c r="H635" s="208" t="s">
        <v>32</v>
      </c>
      <c r="I635" s="282">
        <f t="shared" si="250"/>
        <v>18528.020000000015</v>
      </c>
      <c r="J635" s="207">
        <f t="shared" si="252"/>
        <v>2852.979999999985</v>
      </c>
      <c r="K635" s="209">
        <f t="shared" si="263"/>
        <v>535.44033486631054</v>
      </c>
      <c r="L635" s="496"/>
      <c r="M635" s="593"/>
      <c r="N635" s="594"/>
      <c r="O635" s="37"/>
      <c r="P635" s="47"/>
    </row>
    <row r="636" spans="1:16" ht="21" customHeight="1">
      <c r="A636" s="561"/>
      <c r="B636" s="568"/>
      <c r="C636" s="571" t="s">
        <v>74</v>
      </c>
      <c r="D636" s="571"/>
      <c r="E636" s="571"/>
      <c r="F636" s="207">
        <v>31.02</v>
      </c>
      <c r="G636" s="207">
        <f t="shared" si="257"/>
        <v>31.02</v>
      </c>
      <c r="H636" s="208" t="s">
        <v>32</v>
      </c>
      <c r="I636" s="282">
        <f t="shared" si="250"/>
        <v>18559.040000000015</v>
      </c>
      <c r="J636" s="207">
        <f t="shared" si="252"/>
        <v>2821.9599999999846</v>
      </c>
      <c r="K636" s="209">
        <f t="shared" si="263"/>
        <v>536.17772932009211</v>
      </c>
      <c r="L636" s="496"/>
      <c r="M636" s="593"/>
      <c r="N636" s="594"/>
      <c r="O636" s="37"/>
      <c r="P636" s="47"/>
    </row>
    <row r="637" spans="1:16" ht="21" customHeight="1">
      <c r="A637" s="561">
        <f t="shared" ref="A637" si="265">A634+1</f>
        <v>101</v>
      </c>
      <c r="B637" s="569" t="s">
        <v>471</v>
      </c>
      <c r="C637" s="599" t="s">
        <v>74</v>
      </c>
      <c r="D637" s="599"/>
      <c r="E637" s="599"/>
      <c r="F637" s="215">
        <v>30.95</v>
      </c>
      <c r="G637" s="215">
        <f t="shared" si="257"/>
        <v>30.95</v>
      </c>
      <c r="H637" s="216" t="s">
        <v>32</v>
      </c>
      <c r="I637" s="421">
        <f t="shared" si="250"/>
        <v>18589.990000000016</v>
      </c>
      <c r="J637" s="215">
        <f t="shared" si="252"/>
        <v>2791.0099999999838</v>
      </c>
      <c r="K637" s="217">
        <f t="shared" si="263"/>
        <v>536.91345976317837</v>
      </c>
      <c r="L637" s="507"/>
      <c r="M637" s="593"/>
      <c r="N637" s="594"/>
      <c r="O637" s="37"/>
      <c r="P637" s="47"/>
    </row>
    <row r="638" spans="1:16" ht="21" customHeight="1">
      <c r="A638" s="561"/>
      <c r="B638" s="569"/>
      <c r="C638" s="599" t="s">
        <v>74</v>
      </c>
      <c r="D638" s="599"/>
      <c r="E638" s="599"/>
      <c r="F638" s="215">
        <v>31.08</v>
      </c>
      <c r="G638" s="215">
        <f t="shared" si="257"/>
        <v>31.08</v>
      </c>
      <c r="H638" s="216" t="s">
        <v>32</v>
      </c>
      <c r="I638" s="421">
        <f t="shared" ref="I638:I768" si="266">IF(H638="IN",I637+G638,I637)</f>
        <v>18621.070000000018</v>
      </c>
      <c r="J638" s="215">
        <f t="shared" si="252"/>
        <v>2759.9299999999821</v>
      </c>
      <c r="K638" s="217">
        <f t="shared" si="263"/>
        <v>537.65228051184158</v>
      </c>
      <c r="L638" s="507"/>
      <c r="M638" s="593"/>
      <c r="N638" s="594"/>
      <c r="O638" s="37"/>
      <c r="P638" s="47"/>
    </row>
    <row r="639" spans="1:16" ht="21" customHeight="1">
      <c r="A639" s="561"/>
      <c r="B639" s="569"/>
      <c r="C639" s="599" t="s">
        <v>74</v>
      </c>
      <c r="D639" s="599"/>
      <c r="E639" s="599"/>
      <c r="F639" s="215">
        <v>31.2</v>
      </c>
      <c r="G639" s="215">
        <f t="shared" si="257"/>
        <v>31.2</v>
      </c>
      <c r="H639" s="216" t="s">
        <v>32</v>
      </c>
      <c r="I639" s="421">
        <f t="shared" si="266"/>
        <v>18652.270000000019</v>
      </c>
      <c r="J639" s="215">
        <f t="shared" si="252"/>
        <v>2728.7299999999814</v>
      </c>
      <c r="K639" s="217">
        <f t="shared" si="263"/>
        <v>538.39395385026785</v>
      </c>
      <c r="L639" s="507"/>
      <c r="M639" s="593"/>
      <c r="N639" s="594"/>
      <c r="O639" s="37"/>
      <c r="P639" s="47"/>
    </row>
    <row r="640" spans="1:16" ht="21" customHeight="1">
      <c r="A640" s="561">
        <f t="shared" ref="A640" si="267">A637+1</f>
        <v>102</v>
      </c>
      <c r="B640" s="568" t="s">
        <v>472</v>
      </c>
      <c r="C640" s="571" t="s">
        <v>74</v>
      </c>
      <c r="D640" s="571"/>
      <c r="E640" s="571"/>
      <c r="F640" s="207">
        <v>30.88</v>
      </c>
      <c r="G640" s="207">
        <f t="shared" si="257"/>
        <v>30.88</v>
      </c>
      <c r="H640" s="208" t="s">
        <v>32</v>
      </c>
      <c r="I640" s="282">
        <f t="shared" si="266"/>
        <v>18683.15000000002</v>
      </c>
      <c r="J640" s="207">
        <f t="shared" ref="J640:J645" si="268">IF(I640="","",$M$9-I640)</f>
        <v>2697.8499999999804</v>
      </c>
      <c r="K640" s="209">
        <f t="shared" si="263"/>
        <v>539.12802028265901</v>
      </c>
      <c r="L640" s="496"/>
      <c r="M640" s="593"/>
      <c r="N640" s="594"/>
      <c r="O640" s="37"/>
      <c r="P640" s="47"/>
    </row>
    <row r="641" spans="1:16" ht="21" customHeight="1">
      <c r="A641" s="561"/>
      <c r="B641" s="568"/>
      <c r="C641" s="571" t="s">
        <v>74</v>
      </c>
      <c r="D641" s="571"/>
      <c r="E641" s="571"/>
      <c r="F641" s="207">
        <v>30.96</v>
      </c>
      <c r="G641" s="207">
        <f t="shared" si="257"/>
        <v>30.96</v>
      </c>
      <c r="H641" s="208" t="s">
        <v>32</v>
      </c>
      <c r="I641" s="282">
        <f t="shared" si="266"/>
        <v>18714.110000000019</v>
      </c>
      <c r="J641" s="207">
        <f t="shared" si="268"/>
        <v>2666.8899999999812</v>
      </c>
      <c r="K641" s="209">
        <f t="shared" si="263"/>
        <v>539.86398844155883</v>
      </c>
      <c r="L641" s="496"/>
      <c r="M641" s="593"/>
      <c r="N641" s="594"/>
      <c r="O641" s="37"/>
      <c r="P641" s="47"/>
    </row>
    <row r="642" spans="1:16" ht="21" customHeight="1">
      <c r="A642" s="561"/>
      <c r="B642" s="568"/>
      <c r="C642" s="571" t="s">
        <v>74</v>
      </c>
      <c r="D642" s="571"/>
      <c r="E642" s="571"/>
      <c r="F642" s="207">
        <v>31.29</v>
      </c>
      <c r="G642" s="207">
        <f t="shared" si="257"/>
        <v>31.29</v>
      </c>
      <c r="H642" s="208" t="s">
        <v>32</v>
      </c>
      <c r="I642" s="282">
        <f t="shared" si="266"/>
        <v>18745.40000000002</v>
      </c>
      <c r="J642" s="207">
        <f t="shared" si="268"/>
        <v>2635.5999999999804</v>
      </c>
      <c r="K642" s="209">
        <f t="shared" si="263"/>
        <v>540.60780122230756</v>
      </c>
      <c r="L642" s="496"/>
      <c r="M642" s="593"/>
      <c r="N642" s="594"/>
      <c r="O642" s="37"/>
      <c r="P642" s="47"/>
    </row>
    <row r="643" spans="1:16" ht="21" customHeight="1">
      <c r="A643" s="561">
        <f t="shared" ref="A643" si="269">A640+1</f>
        <v>103</v>
      </c>
      <c r="B643" s="569" t="s">
        <v>473</v>
      </c>
      <c r="C643" s="599" t="s">
        <v>74</v>
      </c>
      <c r="D643" s="599"/>
      <c r="E643" s="599"/>
      <c r="F643" s="215">
        <v>30.91</v>
      </c>
      <c r="G643" s="215">
        <f t="shared" si="257"/>
        <v>30.91</v>
      </c>
      <c r="H643" s="216" t="s">
        <v>32</v>
      </c>
      <c r="I643" s="421">
        <f t="shared" si="266"/>
        <v>18776.310000000019</v>
      </c>
      <c r="J643" s="215">
        <f t="shared" si="268"/>
        <v>2604.6899999999805</v>
      </c>
      <c r="K643" s="217">
        <f t="shared" si="263"/>
        <v>541.34258080213954</v>
      </c>
      <c r="L643" s="507"/>
      <c r="M643" s="593"/>
      <c r="N643" s="594"/>
      <c r="O643" s="37"/>
      <c r="P643" s="47"/>
    </row>
    <row r="644" spans="1:16" ht="21" customHeight="1">
      <c r="A644" s="561"/>
      <c r="B644" s="569"/>
      <c r="C644" s="599" t="s">
        <v>74</v>
      </c>
      <c r="D644" s="599"/>
      <c r="E644" s="599"/>
      <c r="F644" s="215">
        <v>31.23</v>
      </c>
      <c r="G644" s="215">
        <f t="shared" si="257"/>
        <v>31.23</v>
      </c>
      <c r="H644" s="216" t="s">
        <v>32</v>
      </c>
      <c r="I644" s="421">
        <f t="shared" ref="I644:I707" si="270">IF(H644="IN",I643+G644,I643)</f>
        <v>18807.540000000019</v>
      </c>
      <c r="J644" s="215">
        <f t="shared" si="268"/>
        <v>2573.4599999999809</v>
      </c>
      <c r="K644" s="217">
        <f t="shared" si="263"/>
        <v>542.08496728800651</v>
      </c>
      <c r="L644" s="507"/>
      <c r="M644" s="593"/>
      <c r="N644" s="594"/>
      <c r="O644" s="37"/>
      <c r="P644" s="47"/>
    </row>
    <row r="645" spans="1:16" ht="21" customHeight="1">
      <c r="A645" s="561"/>
      <c r="B645" s="569"/>
      <c r="C645" s="599" t="s">
        <v>74</v>
      </c>
      <c r="D645" s="599"/>
      <c r="E645" s="599"/>
      <c r="F645" s="215">
        <v>31.22</v>
      </c>
      <c r="G645" s="215">
        <f t="shared" si="257"/>
        <v>31.22</v>
      </c>
      <c r="H645" s="216" t="s">
        <v>32</v>
      </c>
      <c r="I645" s="421">
        <f t="shared" si="270"/>
        <v>18838.76000000002</v>
      </c>
      <c r="J645" s="215">
        <f t="shared" si="268"/>
        <v>2542.2399999999798</v>
      </c>
      <c r="K645" s="217">
        <f t="shared" si="263"/>
        <v>542.82711605806003</v>
      </c>
      <c r="L645" s="507"/>
      <c r="M645" s="593"/>
      <c r="N645" s="594"/>
      <c r="O645" s="37"/>
      <c r="P645" s="47"/>
    </row>
    <row r="646" spans="1:16" ht="21" customHeight="1">
      <c r="A646" s="561">
        <f t="shared" ref="A646" si="271">A643+1</f>
        <v>104</v>
      </c>
      <c r="B646" s="568" t="s">
        <v>474</v>
      </c>
      <c r="C646" s="571" t="s">
        <v>74</v>
      </c>
      <c r="D646" s="571"/>
      <c r="E646" s="571"/>
      <c r="F646" s="207">
        <v>31.23</v>
      </c>
      <c r="G646" s="207">
        <f t="shared" si="257"/>
        <v>31.23</v>
      </c>
      <c r="H646" s="208" t="s">
        <v>32</v>
      </c>
      <c r="I646" s="282">
        <f t="shared" si="270"/>
        <v>18869.99000000002</v>
      </c>
      <c r="J646" s="207">
        <f t="shared" ref="J646:J709" si="272">IF(I646="","",$M$9-I646)</f>
        <v>2511.0099999999802</v>
      </c>
      <c r="K646" s="209">
        <f t="shared" si="263"/>
        <v>543.56950254392711</v>
      </c>
      <c r="L646" s="496"/>
      <c r="M646" s="593"/>
      <c r="N646" s="594"/>
      <c r="O646" s="37"/>
      <c r="P646" s="47"/>
    </row>
    <row r="647" spans="1:16" ht="21" customHeight="1">
      <c r="A647" s="561"/>
      <c r="B647" s="568"/>
      <c r="C647" s="571" t="s">
        <v>74</v>
      </c>
      <c r="D647" s="571"/>
      <c r="E647" s="571"/>
      <c r="F647" s="207">
        <v>30.81</v>
      </c>
      <c r="G647" s="207">
        <f t="shared" si="257"/>
        <v>30.81</v>
      </c>
      <c r="H647" s="208" t="s">
        <v>32</v>
      </c>
      <c r="I647" s="282">
        <f t="shared" si="270"/>
        <v>18900.800000000021</v>
      </c>
      <c r="J647" s="207">
        <f t="shared" si="272"/>
        <v>2480.1999999999789</v>
      </c>
      <c r="K647" s="209">
        <f t="shared" si="263"/>
        <v>544.30190496562318</v>
      </c>
      <c r="L647" s="496"/>
      <c r="M647" s="593"/>
      <c r="N647" s="594"/>
      <c r="O647" s="37"/>
      <c r="P647" s="47"/>
    </row>
    <row r="648" spans="1:16" ht="21" customHeight="1">
      <c r="A648" s="561"/>
      <c r="B648" s="568"/>
      <c r="C648" s="571" t="s">
        <v>74</v>
      </c>
      <c r="D648" s="571"/>
      <c r="E648" s="571"/>
      <c r="F648" s="207">
        <v>31.08</v>
      </c>
      <c r="G648" s="207">
        <f t="shared" si="257"/>
        <v>31.08</v>
      </c>
      <c r="H648" s="208" t="s">
        <v>32</v>
      </c>
      <c r="I648" s="282">
        <f t="shared" si="270"/>
        <v>18931.880000000023</v>
      </c>
      <c r="J648" s="207">
        <f t="shared" si="272"/>
        <v>2449.1199999999772</v>
      </c>
      <c r="K648" s="209">
        <f t="shared" si="263"/>
        <v>545.04072571428628</v>
      </c>
      <c r="L648" s="496"/>
      <c r="M648" s="593"/>
      <c r="N648" s="594"/>
      <c r="O648" s="37"/>
      <c r="P648" s="47"/>
    </row>
    <row r="649" spans="1:16" ht="21" customHeight="1">
      <c r="A649" s="561">
        <f t="shared" ref="A649" si="273">A646+1</f>
        <v>105</v>
      </c>
      <c r="B649" s="569" t="s">
        <v>475</v>
      </c>
      <c r="C649" s="599" t="s">
        <v>74</v>
      </c>
      <c r="D649" s="599"/>
      <c r="E649" s="599"/>
      <c r="F649" s="215">
        <v>30.99</v>
      </c>
      <c r="G649" s="215">
        <f t="shared" si="257"/>
        <v>30.99</v>
      </c>
      <c r="H649" s="216" t="s">
        <v>32</v>
      </c>
      <c r="I649" s="421">
        <f t="shared" si="270"/>
        <v>18962.870000000024</v>
      </c>
      <c r="J649" s="215">
        <f t="shared" si="272"/>
        <v>2418.1299999999756</v>
      </c>
      <c r="K649" s="217">
        <f t="shared" si="263"/>
        <v>545.77740702062692</v>
      </c>
      <c r="L649" s="507"/>
      <c r="M649" s="593"/>
      <c r="N649" s="594"/>
      <c r="O649" s="37"/>
      <c r="P649" s="47"/>
    </row>
    <row r="650" spans="1:16" ht="21" customHeight="1">
      <c r="A650" s="561"/>
      <c r="B650" s="569"/>
      <c r="C650" s="599" t="s">
        <v>74</v>
      </c>
      <c r="D650" s="599"/>
      <c r="E650" s="599"/>
      <c r="F650" s="215">
        <v>31.16</v>
      </c>
      <c r="G650" s="215">
        <f t="shared" si="257"/>
        <v>31.16</v>
      </c>
      <c r="H650" s="216" t="s">
        <v>32</v>
      </c>
      <c r="I650" s="421">
        <f t="shared" si="270"/>
        <v>18994.030000000024</v>
      </c>
      <c r="J650" s="215">
        <f t="shared" si="272"/>
        <v>2386.9699999999757</v>
      </c>
      <c r="K650" s="217">
        <f t="shared" si="263"/>
        <v>546.51812949579892</v>
      </c>
      <c r="L650" s="507"/>
      <c r="M650" s="593"/>
      <c r="N650" s="594"/>
      <c r="O650" s="37"/>
      <c r="P650" s="47"/>
    </row>
    <row r="651" spans="1:16" ht="21" customHeight="1">
      <c r="A651" s="561"/>
      <c r="B651" s="569"/>
      <c r="C651" s="599" t="s">
        <v>74</v>
      </c>
      <c r="D651" s="599"/>
      <c r="E651" s="599"/>
      <c r="F651" s="215">
        <v>31.19</v>
      </c>
      <c r="G651" s="215">
        <f t="shared" si="257"/>
        <v>31.19</v>
      </c>
      <c r="H651" s="216" t="s">
        <v>32</v>
      </c>
      <c r="I651" s="421">
        <f t="shared" si="270"/>
        <v>19025.220000000023</v>
      </c>
      <c r="J651" s="215">
        <f t="shared" si="272"/>
        <v>2355.779999999977</v>
      </c>
      <c r="K651" s="217">
        <f t="shared" si="263"/>
        <v>547.25956511841162</v>
      </c>
      <c r="L651" s="507"/>
      <c r="M651" s="593"/>
      <c r="N651" s="594"/>
      <c r="O651" s="37"/>
      <c r="P651" s="47"/>
    </row>
    <row r="652" spans="1:16" ht="21" customHeight="1">
      <c r="A652" s="561">
        <f t="shared" ref="A652" si="274">A649+1</f>
        <v>106</v>
      </c>
      <c r="B652" s="568" t="s">
        <v>476</v>
      </c>
      <c r="C652" s="571" t="s">
        <v>74</v>
      </c>
      <c r="D652" s="571"/>
      <c r="E652" s="571"/>
      <c r="F652" s="207">
        <v>31.18</v>
      </c>
      <c r="G652" s="207">
        <f t="shared" si="257"/>
        <v>31.18</v>
      </c>
      <c r="H652" s="208" t="s">
        <v>32</v>
      </c>
      <c r="I652" s="282">
        <f t="shared" si="270"/>
        <v>19056.400000000023</v>
      </c>
      <c r="J652" s="207">
        <f t="shared" si="272"/>
        <v>2324.5999999999767</v>
      </c>
      <c r="K652" s="209">
        <f t="shared" si="263"/>
        <v>548.00076302521063</v>
      </c>
      <c r="L652" s="496"/>
      <c r="M652" s="593"/>
      <c r="N652" s="594"/>
      <c r="O652" s="37"/>
      <c r="P652" s="47"/>
    </row>
    <row r="653" spans="1:16" ht="21" customHeight="1">
      <c r="A653" s="561"/>
      <c r="B653" s="568"/>
      <c r="C653" s="571" t="s">
        <v>74</v>
      </c>
      <c r="D653" s="571"/>
      <c r="E653" s="571"/>
      <c r="F653" s="207">
        <v>31.02</v>
      </c>
      <c r="G653" s="207">
        <f t="shared" si="257"/>
        <v>31.02</v>
      </c>
      <c r="H653" s="208" t="s">
        <v>32</v>
      </c>
      <c r="I653" s="282">
        <f t="shared" si="270"/>
        <v>19087.420000000024</v>
      </c>
      <c r="J653" s="207">
        <f t="shared" si="272"/>
        <v>2293.5799999999763</v>
      </c>
      <c r="K653" s="209">
        <f t="shared" si="263"/>
        <v>548.73815747899221</v>
      </c>
      <c r="L653" s="496"/>
      <c r="M653" s="593"/>
      <c r="N653" s="594"/>
      <c r="O653" s="37"/>
      <c r="P653" s="47"/>
    </row>
    <row r="654" spans="1:16" ht="21" customHeight="1">
      <c r="A654" s="561"/>
      <c r="B654" s="568"/>
      <c r="C654" s="571" t="s">
        <v>74</v>
      </c>
      <c r="D654" s="571"/>
      <c r="E654" s="571"/>
      <c r="F654" s="207">
        <v>31.18</v>
      </c>
      <c r="G654" s="207">
        <f t="shared" si="257"/>
        <v>31.18</v>
      </c>
      <c r="H654" s="208" t="s">
        <v>32</v>
      </c>
      <c r="I654" s="282">
        <f t="shared" si="270"/>
        <v>19118.600000000024</v>
      </c>
      <c r="J654" s="207">
        <f t="shared" si="272"/>
        <v>2262.399999999976</v>
      </c>
      <c r="K654" s="209">
        <f t="shared" si="263"/>
        <v>549.47935538579122</v>
      </c>
      <c r="L654" s="496"/>
      <c r="M654" s="593"/>
      <c r="N654" s="594"/>
      <c r="O654" s="37"/>
      <c r="P654" s="47"/>
    </row>
    <row r="655" spans="1:16" ht="21" customHeight="1">
      <c r="A655" s="561">
        <f t="shared" ref="A655" si="275">A652+1</f>
        <v>107</v>
      </c>
      <c r="B655" s="569" t="s">
        <v>477</v>
      </c>
      <c r="C655" s="599" t="s">
        <v>74</v>
      </c>
      <c r="D655" s="599"/>
      <c r="E655" s="599"/>
      <c r="F655" s="215">
        <v>31.22</v>
      </c>
      <c r="G655" s="215">
        <f t="shared" si="257"/>
        <v>31.22</v>
      </c>
      <c r="H655" s="216" t="s">
        <v>32</v>
      </c>
      <c r="I655" s="421">
        <f t="shared" si="270"/>
        <v>19149.820000000025</v>
      </c>
      <c r="J655" s="215">
        <f t="shared" si="272"/>
        <v>2231.1799999999748</v>
      </c>
      <c r="K655" s="217">
        <f t="shared" si="263"/>
        <v>550.22150415584474</v>
      </c>
      <c r="L655" s="507"/>
      <c r="M655" s="593"/>
      <c r="N655" s="594"/>
      <c r="O655" s="37"/>
      <c r="P655" s="47"/>
    </row>
    <row r="656" spans="1:16" ht="21" customHeight="1">
      <c r="A656" s="561"/>
      <c r="B656" s="569"/>
      <c r="C656" s="599" t="s">
        <v>74</v>
      </c>
      <c r="D656" s="599"/>
      <c r="E656" s="599"/>
      <c r="F656" s="215">
        <v>31.1</v>
      </c>
      <c r="G656" s="215">
        <f t="shared" si="257"/>
        <v>31.1</v>
      </c>
      <c r="H656" s="216" t="s">
        <v>32</v>
      </c>
      <c r="I656" s="421">
        <f t="shared" si="270"/>
        <v>19180.920000000024</v>
      </c>
      <c r="J656" s="215">
        <f t="shared" si="272"/>
        <v>2200.0799999999763</v>
      </c>
      <c r="K656" s="217">
        <f t="shared" si="263"/>
        <v>550.96080033613498</v>
      </c>
      <c r="L656" s="507"/>
      <c r="M656" s="593"/>
      <c r="N656" s="594"/>
      <c r="O656" s="37"/>
      <c r="P656" s="47"/>
    </row>
    <row r="657" spans="1:16" ht="21" customHeight="1">
      <c r="A657" s="561"/>
      <c r="B657" s="569"/>
      <c r="C657" s="599" t="s">
        <v>74</v>
      </c>
      <c r="D657" s="599"/>
      <c r="E657" s="599"/>
      <c r="F657" s="215">
        <v>31.33</v>
      </c>
      <c r="G657" s="215">
        <f t="shared" si="257"/>
        <v>31.33</v>
      </c>
      <c r="H657" s="216" t="s">
        <v>32</v>
      </c>
      <c r="I657" s="421">
        <f t="shared" si="270"/>
        <v>19212.250000000025</v>
      </c>
      <c r="J657" s="215">
        <f t="shared" si="272"/>
        <v>2168.7499999999745</v>
      </c>
      <c r="K657" s="217">
        <f t="shared" si="263"/>
        <v>551.70556398013809</v>
      </c>
      <c r="L657" s="507"/>
      <c r="M657" s="593"/>
      <c r="N657" s="594"/>
      <c r="O657" s="37"/>
      <c r="P657" s="47"/>
    </row>
    <row r="658" spans="1:16" ht="21" customHeight="1">
      <c r="A658" s="561">
        <f t="shared" ref="A658" si="276">A655+1</f>
        <v>108</v>
      </c>
      <c r="B658" s="568" t="s">
        <v>478</v>
      </c>
      <c r="C658" s="571" t="s">
        <v>74</v>
      </c>
      <c r="D658" s="571"/>
      <c r="E658" s="571"/>
      <c r="F658" s="207">
        <v>31.08</v>
      </c>
      <c r="G658" s="207">
        <f t="shared" si="257"/>
        <v>31.08</v>
      </c>
      <c r="H658" s="208" t="s">
        <v>32</v>
      </c>
      <c r="I658" s="282">
        <f t="shared" si="270"/>
        <v>19243.330000000027</v>
      </c>
      <c r="J658" s="207">
        <f t="shared" si="272"/>
        <v>2137.6699999999728</v>
      </c>
      <c r="K658" s="209">
        <f t="shared" si="263"/>
        <v>552.4443847288012</v>
      </c>
      <c r="L658" s="496"/>
      <c r="M658" s="593"/>
      <c r="N658" s="594"/>
      <c r="O658" s="37"/>
      <c r="P658" s="47"/>
    </row>
    <row r="659" spans="1:16" ht="21" customHeight="1">
      <c r="A659" s="561"/>
      <c r="B659" s="568"/>
      <c r="C659" s="571" t="s">
        <v>74</v>
      </c>
      <c r="D659" s="571"/>
      <c r="E659" s="571"/>
      <c r="F659" s="207">
        <v>31.13</v>
      </c>
      <c r="G659" s="207">
        <f t="shared" si="257"/>
        <v>31.13</v>
      </c>
      <c r="H659" s="208" t="s">
        <v>32</v>
      </c>
      <c r="I659" s="282">
        <f t="shared" si="270"/>
        <v>19274.460000000028</v>
      </c>
      <c r="J659" s="207">
        <f t="shared" si="272"/>
        <v>2106.5399999999718</v>
      </c>
      <c r="K659" s="209">
        <f t="shared" si="263"/>
        <v>553.18439405653237</v>
      </c>
      <c r="L659" s="496"/>
      <c r="M659" s="593"/>
      <c r="N659" s="594"/>
      <c r="O659" s="37"/>
      <c r="P659" s="47"/>
    </row>
    <row r="660" spans="1:16" ht="21" customHeight="1">
      <c r="A660" s="561"/>
      <c r="B660" s="568"/>
      <c r="C660" s="571" t="s">
        <v>74</v>
      </c>
      <c r="D660" s="571"/>
      <c r="E660" s="571"/>
      <c r="F660" s="207">
        <v>31.19</v>
      </c>
      <c r="G660" s="207">
        <f t="shared" si="257"/>
        <v>31.19</v>
      </c>
      <c r="H660" s="208" t="s">
        <v>32</v>
      </c>
      <c r="I660" s="282">
        <f t="shared" si="270"/>
        <v>19305.650000000027</v>
      </c>
      <c r="J660" s="207">
        <f t="shared" si="272"/>
        <v>2075.3499999999731</v>
      </c>
      <c r="K660" s="209">
        <f t="shared" si="263"/>
        <v>553.92582967914507</v>
      </c>
      <c r="L660" s="496"/>
      <c r="M660" s="593"/>
      <c r="N660" s="594"/>
      <c r="O660" s="37"/>
      <c r="P660" s="47"/>
    </row>
    <row r="661" spans="1:16" ht="21" customHeight="1">
      <c r="A661" s="561">
        <f t="shared" ref="A661" si="277">A658+1</f>
        <v>109</v>
      </c>
      <c r="B661" s="569" t="s">
        <v>479</v>
      </c>
      <c r="C661" s="599" t="s">
        <v>74</v>
      </c>
      <c r="D661" s="599"/>
      <c r="E661" s="599"/>
      <c r="F661" s="215">
        <v>31.24</v>
      </c>
      <c r="G661" s="215">
        <f t="shared" si="257"/>
        <v>31.24</v>
      </c>
      <c r="H661" s="216" t="s">
        <v>32</v>
      </c>
      <c r="I661" s="421">
        <f t="shared" si="270"/>
        <v>19336.890000000029</v>
      </c>
      <c r="J661" s="215">
        <f t="shared" si="272"/>
        <v>2044.1099999999715</v>
      </c>
      <c r="K661" s="217">
        <f t="shared" si="263"/>
        <v>554.66845388082584</v>
      </c>
      <c r="L661" s="507"/>
      <c r="M661" s="593"/>
      <c r="N661" s="594"/>
      <c r="O661" s="37"/>
      <c r="P661" s="47"/>
    </row>
    <row r="662" spans="1:16" ht="21" customHeight="1">
      <c r="A662" s="561"/>
      <c r="B662" s="569"/>
      <c r="C662" s="599" t="s">
        <v>74</v>
      </c>
      <c r="D662" s="599"/>
      <c r="E662" s="599"/>
      <c r="F662" s="215">
        <v>31</v>
      </c>
      <c r="G662" s="215">
        <f t="shared" si="257"/>
        <v>31</v>
      </c>
      <c r="H662" s="216" t="s">
        <v>32</v>
      </c>
      <c r="I662" s="421">
        <f t="shared" si="270"/>
        <v>19367.890000000029</v>
      </c>
      <c r="J662" s="215">
        <f t="shared" si="272"/>
        <v>2013.1099999999715</v>
      </c>
      <c r="K662" s="217">
        <f t="shared" si="263"/>
        <v>555.40537290298005</v>
      </c>
      <c r="L662" s="507"/>
      <c r="M662" s="593"/>
      <c r="N662" s="594"/>
      <c r="O662" s="37"/>
      <c r="P662" s="47"/>
    </row>
    <row r="663" spans="1:16" ht="21" customHeight="1">
      <c r="A663" s="561"/>
      <c r="B663" s="569"/>
      <c r="C663" s="599" t="s">
        <v>74</v>
      </c>
      <c r="D663" s="599"/>
      <c r="E663" s="599"/>
      <c r="F663" s="215">
        <v>31.08</v>
      </c>
      <c r="G663" s="215">
        <f t="shared" si="257"/>
        <v>31.08</v>
      </c>
      <c r="H663" s="216" t="s">
        <v>32</v>
      </c>
      <c r="I663" s="421">
        <f t="shared" si="270"/>
        <v>19398.97000000003</v>
      </c>
      <c r="J663" s="215">
        <f t="shared" si="272"/>
        <v>1982.0299999999697</v>
      </c>
      <c r="K663" s="217">
        <f t="shared" si="263"/>
        <v>556.14419365164315</v>
      </c>
      <c r="L663" s="507"/>
      <c r="M663" s="593"/>
      <c r="N663" s="594"/>
      <c r="O663" s="37"/>
      <c r="P663" s="47"/>
    </row>
    <row r="664" spans="1:16" ht="21" customHeight="1">
      <c r="A664" s="561">
        <f t="shared" ref="A664" si="278">A661+1</f>
        <v>110</v>
      </c>
      <c r="B664" s="568" t="s">
        <v>480</v>
      </c>
      <c r="C664" s="571" t="s">
        <v>74</v>
      </c>
      <c r="D664" s="571"/>
      <c r="E664" s="571"/>
      <c r="F664" s="207">
        <v>30.93</v>
      </c>
      <c r="G664" s="207">
        <f t="shared" si="257"/>
        <v>30.93</v>
      </c>
      <c r="H664" s="208" t="s">
        <v>32</v>
      </c>
      <c r="I664" s="282">
        <f t="shared" si="270"/>
        <v>19429.900000000031</v>
      </c>
      <c r="J664" s="207">
        <f t="shared" si="272"/>
        <v>1951.0999999999694</v>
      </c>
      <c r="K664" s="209">
        <f t="shared" si="263"/>
        <v>556.87944866310227</v>
      </c>
      <c r="L664" s="496"/>
      <c r="M664" s="593"/>
      <c r="N664" s="594"/>
      <c r="O664" s="37"/>
      <c r="P664" s="47"/>
    </row>
    <row r="665" spans="1:16" ht="21" customHeight="1">
      <c r="A665" s="561"/>
      <c r="B665" s="568"/>
      <c r="C665" s="571" t="s">
        <v>74</v>
      </c>
      <c r="D665" s="571"/>
      <c r="E665" s="571"/>
      <c r="F665" s="207">
        <v>31.1</v>
      </c>
      <c r="G665" s="207">
        <f t="shared" si="257"/>
        <v>31.1</v>
      </c>
      <c r="H665" s="208" t="s">
        <v>32</v>
      </c>
      <c r="I665" s="282">
        <f t="shared" si="270"/>
        <v>19461.000000000029</v>
      </c>
      <c r="J665" s="207">
        <f t="shared" si="272"/>
        <v>1919.9999999999709</v>
      </c>
      <c r="K665" s="209">
        <f t="shared" si="263"/>
        <v>557.61874484339251</v>
      </c>
      <c r="L665" s="496"/>
      <c r="M665" s="593"/>
      <c r="N665" s="594"/>
      <c r="O665" s="37"/>
      <c r="P665" s="47"/>
    </row>
    <row r="666" spans="1:16" ht="21" customHeight="1">
      <c r="A666" s="561"/>
      <c r="B666" s="568"/>
      <c r="C666" s="571" t="s">
        <v>74</v>
      </c>
      <c r="D666" s="571"/>
      <c r="E666" s="571"/>
      <c r="F666" s="207">
        <v>30.88</v>
      </c>
      <c r="G666" s="207">
        <f t="shared" si="257"/>
        <v>30.88</v>
      </c>
      <c r="H666" s="208" t="s">
        <v>32</v>
      </c>
      <c r="I666" s="282">
        <f t="shared" si="270"/>
        <v>19491.88000000003</v>
      </c>
      <c r="J666" s="207">
        <f t="shared" si="272"/>
        <v>1889.1199999999699</v>
      </c>
      <c r="K666" s="209">
        <f t="shared" si="263"/>
        <v>558.35281127578378</v>
      </c>
      <c r="L666" s="496"/>
      <c r="M666" s="593"/>
      <c r="N666" s="594"/>
      <c r="O666" s="37"/>
      <c r="P666" s="47"/>
    </row>
    <row r="667" spans="1:16" ht="21" customHeight="1">
      <c r="A667" s="561">
        <f t="shared" ref="A667" si="279">A664+1</f>
        <v>111</v>
      </c>
      <c r="B667" s="569" t="s">
        <v>481</v>
      </c>
      <c r="C667" s="599" t="s">
        <v>74</v>
      </c>
      <c r="D667" s="599"/>
      <c r="E667" s="599"/>
      <c r="F667" s="215">
        <v>30.99</v>
      </c>
      <c r="G667" s="215">
        <f t="shared" si="257"/>
        <v>30.99</v>
      </c>
      <c r="H667" s="216" t="s">
        <v>32</v>
      </c>
      <c r="I667" s="421">
        <f t="shared" si="270"/>
        <v>19522.870000000032</v>
      </c>
      <c r="J667" s="215">
        <f t="shared" si="272"/>
        <v>1858.1299999999683</v>
      </c>
      <c r="K667" s="217">
        <f t="shared" si="263"/>
        <v>559.08949258212454</v>
      </c>
      <c r="L667" s="507"/>
      <c r="M667" s="593"/>
      <c r="N667" s="594"/>
      <c r="O667" s="37"/>
      <c r="P667" s="47"/>
    </row>
    <row r="668" spans="1:16" ht="21" customHeight="1">
      <c r="A668" s="561"/>
      <c r="B668" s="569"/>
      <c r="C668" s="599" t="s">
        <v>74</v>
      </c>
      <c r="D668" s="599"/>
      <c r="E668" s="599"/>
      <c r="F668" s="215">
        <v>30.85</v>
      </c>
      <c r="G668" s="215">
        <f t="shared" si="257"/>
        <v>30.85</v>
      </c>
      <c r="H668" s="216" t="s">
        <v>32</v>
      </c>
      <c r="I668" s="421">
        <f t="shared" si="270"/>
        <v>19553.72000000003</v>
      </c>
      <c r="J668" s="215">
        <f t="shared" si="272"/>
        <v>1827.2799999999697</v>
      </c>
      <c r="K668" s="217">
        <f t="shared" si="263"/>
        <v>559.82284586707488</v>
      </c>
      <c r="L668" s="507"/>
      <c r="M668" s="593"/>
      <c r="N668" s="594"/>
      <c r="O668" s="37"/>
      <c r="P668" s="47"/>
    </row>
    <row r="669" spans="1:16" ht="21" customHeight="1">
      <c r="A669" s="561"/>
      <c r="B669" s="569"/>
      <c r="C669" s="599" t="s">
        <v>74</v>
      </c>
      <c r="D669" s="599"/>
      <c r="E669" s="599"/>
      <c r="F669" s="215">
        <v>31.16</v>
      </c>
      <c r="G669" s="215">
        <f t="shared" si="257"/>
        <v>31.16</v>
      </c>
      <c r="H669" s="216" t="s">
        <v>32</v>
      </c>
      <c r="I669" s="421">
        <f t="shared" si="270"/>
        <v>19584.88000000003</v>
      </c>
      <c r="J669" s="215">
        <f t="shared" si="272"/>
        <v>1796.1199999999699</v>
      </c>
      <c r="K669" s="217">
        <f t="shared" si="263"/>
        <v>560.56356834224675</v>
      </c>
      <c r="L669" s="507"/>
      <c r="M669" s="593"/>
      <c r="N669" s="594"/>
      <c r="O669" s="37"/>
      <c r="P669" s="47"/>
    </row>
    <row r="670" spans="1:16" ht="21" customHeight="1">
      <c r="A670" s="561">
        <f t="shared" ref="A670" si="280">A667+1</f>
        <v>112</v>
      </c>
      <c r="B670" s="568" t="s">
        <v>482</v>
      </c>
      <c r="C670" s="571" t="s">
        <v>74</v>
      </c>
      <c r="D670" s="571"/>
      <c r="E670" s="571"/>
      <c r="F670" s="207">
        <v>31.14</v>
      </c>
      <c r="G670" s="207">
        <f t="shared" si="257"/>
        <v>31.14</v>
      </c>
      <c r="H670" s="208" t="s">
        <v>32</v>
      </c>
      <c r="I670" s="282">
        <f t="shared" si="270"/>
        <v>19616.02000000003</v>
      </c>
      <c r="J670" s="207">
        <f t="shared" si="272"/>
        <v>1764.9799999999705</v>
      </c>
      <c r="K670" s="209">
        <f t="shared" si="263"/>
        <v>561.30381538579149</v>
      </c>
      <c r="L670" s="496"/>
      <c r="M670" s="593"/>
      <c r="N670" s="594"/>
      <c r="O670" s="37"/>
      <c r="P670" s="47"/>
    </row>
    <row r="671" spans="1:16" ht="21" customHeight="1">
      <c r="A671" s="561"/>
      <c r="B671" s="568"/>
      <c r="C671" s="571" t="s">
        <v>74</v>
      </c>
      <c r="D671" s="571"/>
      <c r="E671" s="571"/>
      <c r="F671" s="207">
        <v>31.36</v>
      </c>
      <c r="G671" s="207">
        <f t="shared" si="257"/>
        <v>31.36</v>
      </c>
      <c r="H671" s="208" t="s">
        <v>32</v>
      </c>
      <c r="I671" s="282">
        <f t="shared" si="270"/>
        <v>19647.38000000003</v>
      </c>
      <c r="J671" s="207">
        <f t="shared" si="272"/>
        <v>1733.6199999999699</v>
      </c>
      <c r="K671" s="209">
        <f t="shared" si="263"/>
        <v>562.0492921772352</v>
      </c>
      <c r="L671" s="496"/>
      <c r="M671" s="593"/>
      <c r="N671" s="594"/>
      <c r="O671" s="37"/>
      <c r="P671" s="47"/>
    </row>
    <row r="672" spans="1:16" ht="21" customHeight="1">
      <c r="A672" s="561"/>
      <c r="B672" s="568"/>
      <c r="C672" s="571" t="s">
        <v>74</v>
      </c>
      <c r="D672" s="571"/>
      <c r="E672" s="571"/>
      <c r="F672" s="207">
        <v>31.23</v>
      </c>
      <c r="G672" s="207">
        <f t="shared" si="257"/>
        <v>31.23</v>
      </c>
      <c r="H672" s="208" t="s">
        <v>32</v>
      </c>
      <c r="I672" s="282">
        <f t="shared" si="270"/>
        <v>19678.61000000003</v>
      </c>
      <c r="J672" s="207">
        <f t="shared" si="272"/>
        <v>1702.3899999999703</v>
      </c>
      <c r="K672" s="209">
        <f t="shared" si="263"/>
        <v>562.7916786631024</v>
      </c>
      <c r="L672" s="496"/>
      <c r="M672" s="593"/>
      <c r="N672" s="594"/>
      <c r="O672" s="37"/>
      <c r="P672" s="47"/>
    </row>
    <row r="673" spans="1:16" ht="21" customHeight="1">
      <c r="A673" s="561">
        <f t="shared" ref="A673" si="281">A670+1</f>
        <v>113</v>
      </c>
      <c r="B673" s="569" t="s">
        <v>483</v>
      </c>
      <c r="C673" s="599" t="s">
        <v>74</v>
      </c>
      <c r="D673" s="599"/>
      <c r="E673" s="599"/>
      <c r="F673" s="215">
        <v>30.85</v>
      </c>
      <c r="G673" s="215">
        <f t="shared" si="257"/>
        <v>30.85</v>
      </c>
      <c r="H673" s="216" t="s">
        <v>32</v>
      </c>
      <c r="I673" s="421">
        <f t="shared" si="270"/>
        <v>19709.460000000028</v>
      </c>
      <c r="J673" s="215">
        <f t="shared" si="272"/>
        <v>1671.5399999999718</v>
      </c>
      <c r="K673" s="217">
        <f t="shared" si="263"/>
        <v>563.52503194805263</v>
      </c>
      <c r="L673" s="507"/>
      <c r="M673" s="593"/>
      <c r="N673" s="594"/>
      <c r="O673" s="37"/>
      <c r="P673" s="47"/>
    </row>
    <row r="674" spans="1:16" ht="21" customHeight="1">
      <c r="A674" s="561"/>
      <c r="B674" s="569"/>
      <c r="C674" s="599" t="s">
        <v>74</v>
      </c>
      <c r="D674" s="599"/>
      <c r="E674" s="599"/>
      <c r="F674" s="215">
        <v>31.14</v>
      </c>
      <c r="G674" s="215">
        <f t="shared" si="257"/>
        <v>31.14</v>
      </c>
      <c r="H674" s="216" t="s">
        <v>32</v>
      </c>
      <c r="I674" s="421">
        <f t="shared" si="270"/>
        <v>19740.600000000028</v>
      </c>
      <c r="J674" s="215">
        <f t="shared" si="272"/>
        <v>1640.3999999999724</v>
      </c>
      <c r="K674" s="217">
        <f t="shared" si="263"/>
        <v>564.26527899159737</v>
      </c>
      <c r="L674" s="507"/>
      <c r="M674" s="593"/>
      <c r="N674" s="594"/>
      <c r="O674" s="37"/>
      <c r="P674" s="47"/>
    </row>
    <row r="675" spans="1:16" ht="21" customHeight="1">
      <c r="A675" s="561"/>
      <c r="B675" s="569"/>
      <c r="C675" s="599" t="s">
        <v>74</v>
      </c>
      <c r="D675" s="599"/>
      <c r="E675" s="599"/>
      <c r="F675" s="215">
        <v>31.01</v>
      </c>
      <c r="G675" s="215">
        <f t="shared" si="257"/>
        <v>31.01</v>
      </c>
      <c r="H675" s="216" t="s">
        <v>32</v>
      </c>
      <c r="I675" s="421">
        <f t="shared" si="270"/>
        <v>19771.610000000026</v>
      </c>
      <c r="J675" s="215">
        <f t="shared" si="272"/>
        <v>1609.389999999974</v>
      </c>
      <c r="K675" s="217">
        <f t="shared" si="263"/>
        <v>565.00243572956515</v>
      </c>
      <c r="L675" s="507"/>
      <c r="M675" s="593"/>
      <c r="N675" s="594"/>
      <c r="O675" s="37"/>
      <c r="P675" s="47"/>
    </row>
    <row r="676" spans="1:16" ht="21" customHeight="1">
      <c r="A676" s="561">
        <f t="shared" ref="A676" si="282">A673+1</f>
        <v>114</v>
      </c>
      <c r="B676" s="568" t="s">
        <v>484</v>
      </c>
      <c r="C676" s="571" t="s">
        <v>74</v>
      </c>
      <c r="D676" s="571"/>
      <c r="E676" s="571"/>
      <c r="F676" s="207">
        <v>30.96</v>
      </c>
      <c r="G676" s="207">
        <f t="shared" si="257"/>
        <v>30.96</v>
      </c>
      <c r="H676" s="208" t="s">
        <v>32</v>
      </c>
      <c r="I676" s="282">
        <f t="shared" si="270"/>
        <v>19802.570000000025</v>
      </c>
      <c r="J676" s="207">
        <f t="shared" si="272"/>
        <v>1578.4299999999748</v>
      </c>
      <c r="K676" s="209">
        <f t="shared" si="263"/>
        <v>565.73840388846509</v>
      </c>
      <c r="L676" s="496"/>
      <c r="M676" s="593"/>
      <c r="N676" s="594"/>
      <c r="O676" s="37"/>
      <c r="P676" s="47"/>
    </row>
    <row r="677" spans="1:16" ht="21" customHeight="1">
      <c r="A677" s="561"/>
      <c r="B677" s="568"/>
      <c r="C677" s="571" t="s">
        <v>74</v>
      </c>
      <c r="D677" s="571"/>
      <c r="E677" s="571"/>
      <c r="F677" s="207">
        <v>30.93</v>
      </c>
      <c r="G677" s="207">
        <f t="shared" si="257"/>
        <v>30.93</v>
      </c>
      <c r="H677" s="208" t="s">
        <v>32</v>
      </c>
      <c r="I677" s="282">
        <f t="shared" si="270"/>
        <v>19833.500000000025</v>
      </c>
      <c r="J677" s="207">
        <f t="shared" si="272"/>
        <v>1547.4999999999745</v>
      </c>
      <c r="K677" s="209">
        <f t="shared" si="263"/>
        <v>566.4736588999242</v>
      </c>
      <c r="L677" s="496"/>
      <c r="M677" s="593"/>
      <c r="N677" s="594"/>
      <c r="O677" s="37"/>
      <c r="P677" s="47"/>
    </row>
    <row r="678" spans="1:16" ht="21" customHeight="1">
      <c r="A678" s="561"/>
      <c r="B678" s="568"/>
      <c r="C678" s="571" t="s">
        <v>74</v>
      </c>
      <c r="D678" s="571"/>
      <c r="E678" s="571"/>
      <c r="F678" s="207">
        <v>31.11</v>
      </c>
      <c r="G678" s="207">
        <f t="shared" si="257"/>
        <v>31.11</v>
      </c>
      <c r="H678" s="208" t="s">
        <v>32</v>
      </c>
      <c r="I678" s="282">
        <f t="shared" si="270"/>
        <v>19864.610000000026</v>
      </c>
      <c r="J678" s="207">
        <f t="shared" si="272"/>
        <v>1516.389999999974</v>
      </c>
      <c r="K678" s="209">
        <f t="shared" si="263"/>
        <v>567.21319279602812</v>
      </c>
      <c r="L678" s="496"/>
      <c r="M678" s="593"/>
      <c r="N678" s="594"/>
      <c r="O678" s="37"/>
      <c r="P678" s="47"/>
    </row>
    <row r="679" spans="1:16" ht="21" customHeight="1">
      <c r="A679" s="561">
        <f t="shared" ref="A679" si="283">A676+1</f>
        <v>115</v>
      </c>
      <c r="B679" s="569" t="s">
        <v>485</v>
      </c>
      <c r="C679" s="599" t="s">
        <v>74</v>
      </c>
      <c r="D679" s="599"/>
      <c r="E679" s="599"/>
      <c r="F679" s="215">
        <v>31.09</v>
      </c>
      <c r="G679" s="215">
        <f t="shared" si="257"/>
        <v>31.09</v>
      </c>
      <c r="H679" s="216" t="s">
        <v>32</v>
      </c>
      <c r="I679" s="421">
        <f t="shared" si="270"/>
        <v>19895.700000000026</v>
      </c>
      <c r="J679" s="215">
        <f t="shared" si="272"/>
        <v>1485.2999999999738</v>
      </c>
      <c r="K679" s="217">
        <f t="shared" si="263"/>
        <v>567.95225126050491</v>
      </c>
      <c r="L679" s="507"/>
      <c r="M679" s="593"/>
      <c r="N679" s="594"/>
      <c r="O679" s="37"/>
      <c r="P679" s="47"/>
    </row>
    <row r="680" spans="1:16" ht="21" customHeight="1">
      <c r="A680" s="561"/>
      <c r="B680" s="569"/>
      <c r="C680" s="599" t="s">
        <v>74</v>
      </c>
      <c r="D680" s="599"/>
      <c r="E680" s="599"/>
      <c r="F680" s="215">
        <v>30.94</v>
      </c>
      <c r="G680" s="215">
        <f t="shared" si="257"/>
        <v>30.94</v>
      </c>
      <c r="H680" s="216" t="s">
        <v>32</v>
      </c>
      <c r="I680" s="421">
        <f t="shared" si="270"/>
        <v>19926.640000000025</v>
      </c>
      <c r="J680" s="215">
        <f t="shared" si="272"/>
        <v>1454.3599999999751</v>
      </c>
      <c r="K680" s="217">
        <f t="shared" si="263"/>
        <v>568.68774398777759</v>
      </c>
      <c r="L680" s="507"/>
      <c r="M680" s="593"/>
      <c r="N680" s="594"/>
      <c r="O680" s="37"/>
      <c r="P680" s="47"/>
    </row>
    <row r="681" spans="1:16" ht="21" customHeight="1">
      <c r="A681" s="561"/>
      <c r="B681" s="569"/>
      <c r="C681" s="599" t="s">
        <v>74</v>
      </c>
      <c r="D681" s="599"/>
      <c r="E681" s="599"/>
      <c r="F681" s="215">
        <v>30.95</v>
      </c>
      <c r="G681" s="215">
        <f t="shared" si="257"/>
        <v>30.95</v>
      </c>
      <c r="H681" s="216" t="s">
        <v>32</v>
      </c>
      <c r="I681" s="421">
        <f t="shared" si="270"/>
        <v>19957.590000000026</v>
      </c>
      <c r="J681" s="215">
        <f t="shared" si="272"/>
        <v>1423.4099999999744</v>
      </c>
      <c r="K681" s="217">
        <f t="shared" si="263"/>
        <v>569.42347443086396</v>
      </c>
      <c r="L681" s="507"/>
      <c r="M681" s="593"/>
      <c r="N681" s="594"/>
      <c r="O681" s="37"/>
      <c r="P681" s="47"/>
    </row>
    <row r="682" spans="1:16" ht="21" customHeight="1">
      <c r="A682" s="561">
        <f t="shared" ref="A682" si="284">A679+1</f>
        <v>116</v>
      </c>
      <c r="B682" s="568" t="s">
        <v>486</v>
      </c>
      <c r="C682" s="571" t="s">
        <v>74</v>
      </c>
      <c r="D682" s="571"/>
      <c r="E682" s="571"/>
      <c r="F682" s="207">
        <v>31.3</v>
      </c>
      <c r="G682" s="207">
        <f t="shared" si="257"/>
        <v>31.3</v>
      </c>
      <c r="H682" s="208" t="s">
        <v>32</v>
      </c>
      <c r="I682" s="282">
        <f t="shared" si="270"/>
        <v>19988.890000000025</v>
      </c>
      <c r="J682" s="207">
        <f t="shared" si="272"/>
        <v>1392.1099999999751</v>
      </c>
      <c r="K682" s="209">
        <f t="shared" si="263"/>
        <v>570.16752492742614</v>
      </c>
      <c r="L682" s="496"/>
      <c r="M682" s="593"/>
      <c r="N682" s="594"/>
      <c r="O682" s="37"/>
      <c r="P682" s="47"/>
    </row>
    <row r="683" spans="1:16" ht="21" customHeight="1">
      <c r="A683" s="561"/>
      <c r="B683" s="568"/>
      <c r="C683" s="571" t="s">
        <v>74</v>
      </c>
      <c r="D683" s="571"/>
      <c r="E683" s="571"/>
      <c r="F683" s="207">
        <v>31.29</v>
      </c>
      <c r="G683" s="207">
        <f t="shared" si="257"/>
        <v>31.29</v>
      </c>
      <c r="H683" s="208" t="s">
        <v>32</v>
      </c>
      <c r="I683" s="282">
        <f t="shared" si="270"/>
        <v>20020.180000000026</v>
      </c>
      <c r="J683" s="207">
        <f t="shared" si="272"/>
        <v>1360.8199999999742</v>
      </c>
      <c r="K683" s="209">
        <f t="shared" si="263"/>
        <v>570.91133770817487</v>
      </c>
      <c r="L683" s="496"/>
      <c r="M683" s="593"/>
      <c r="N683" s="594"/>
      <c r="O683" s="37"/>
      <c r="P683" s="47"/>
    </row>
    <row r="684" spans="1:16" ht="21" customHeight="1">
      <c r="A684" s="561"/>
      <c r="B684" s="568"/>
      <c r="C684" s="571" t="s">
        <v>74</v>
      </c>
      <c r="D684" s="571"/>
      <c r="E684" s="571"/>
      <c r="F684" s="207">
        <v>31.19</v>
      </c>
      <c r="G684" s="207">
        <f t="shared" si="257"/>
        <v>31.19</v>
      </c>
      <c r="H684" s="208" t="s">
        <v>32</v>
      </c>
      <c r="I684" s="282">
        <f t="shared" si="270"/>
        <v>20051.370000000024</v>
      </c>
      <c r="J684" s="207">
        <f t="shared" si="272"/>
        <v>1329.6299999999756</v>
      </c>
      <c r="K684" s="209">
        <f t="shared" si="263"/>
        <v>571.65277333078745</v>
      </c>
      <c r="L684" s="496"/>
      <c r="M684" s="593"/>
      <c r="N684" s="594"/>
      <c r="O684" s="37"/>
      <c r="P684" s="47"/>
    </row>
    <row r="685" spans="1:16" ht="21" customHeight="1">
      <c r="A685" s="561">
        <f t="shared" ref="A685" si="285">A682+1</f>
        <v>117</v>
      </c>
      <c r="B685" s="569" t="s">
        <v>487</v>
      </c>
      <c r="C685" s="599" t="s">
        <v>74</v>
      </c>
      <c r="D685" s="599"/>
      <c r="E685" s="599"/>
      <c r="F685" s="215">
        <v>30.97</v>
      </c>
      <c r="G685" s="215">
        <f t="shared" si="257"/>
        <v>30.97</v>
      </c>
      <c r="H685" s="216" t="s">
        <v>32</v>
      </c>
      <c r="I685" s="421">
        <f t="shared" si="270"/>
        <v>20082.340000000026</v>
      </c>
      <c r="J685" s="215">
        <f t="shared" si="272"/>
        <v>1298.6599999999744</v>
      </c>
      <c r="K685" s="217">
        <f t="shared" si="263"/>
        <v>572.38897920550107</v>
      </c>
      <c r="L685" s="507"/>
      <c r="M685" s="593"/>
      <c r="N685" s="594"/>
      <c r="O685" s="37"/>
      <c r="P685" s="47"/>
    </row>
    <row r="686" spans="1:16" ht="21" customHeight="1">
      <c r="A686" s="561"/>
      <c r="B686" s="569"/>
      <c r="C686" s="599" t="s">
        <v>74</v>
      </c>
      <c r="D686" s="599"/>
      <c r="E686" s="599"/>
      <c r="F686" s="215">
        <v>31.31</v>
      </c>
      <c r="G686" s="215">
        <f t="shared" si="257"/>
        <v>31.31</v>
      </c>
      <c r="H686" s="216" t="s">
        <v>32</v>
      </c>
      <c r="I686" s="421">
        <f t="shared" si="270"/>
        <v>20113.650000000027</v>
      </c>
      <c r="J686" s="215">
        <f t="shared" si="272"/>
        <v>1267.3499999999731</v>
      </c>
      <c r="K686" s="217">
        <f t="shared" si="263"/>
        <v>573.13326741787694</v>
      </c>
      <c r="L686" s="507"/>
      <c r="M686" s="593"/>
      <c r="N686" s="594"/>
      <c r="O686" s="37"/>
      <c r="P686" s="47"/>
    </row>
    <row r="687" spans="1:16" ht="21" customHeight="1">
      <c r="A687" s="561"/>
      <c r="B687" s="569"/>
      <c r="C687" s="599" t="s">
        <v>74</v>
      </c>
      <c r="D687" s="599"/>
      <c r="E687" s="599"/>
      <c r="F687" s="215">
        <v>30.98</v>
      </c>
      <c r="G687" s="215">
        <f t="shared" si="257"/>
        <v>30.98</v>
      </c>
      <c r="H687" s="216" t="s">
        <v>32</v>
      </c>
      <c r="I687" s="421">
        <f t="shared" si="270"/>
        <v>20144.630000000026</v>
      </c>
      <c r="J687" s="215">
        <f t="shared" si="272"/>
        <v>1236.3699999999735</v>
      </c>
      <c r="K687" s="217">
        <f t="shared" si="263"/>
        <v>573.86971100840401</v>
      </c>
      <c r="L687" s="507"/>
      <c r="M687" s="593"/>
      <c r="N687" s="594"/>
      <c r="O687" s="37"/>
      <c r="P687" s="47"/>
    </row>
    <row r="688" spans="1:16" ht="21" customHeight="1">
      <c r="A688" s="561">
        <f t="shared" ref="A688" si="286">A685+1</f>
        <v>118</v>
      </c>
      <c r="B688" s="568" t="s">
        <v>488</v>
      </c>
      <c r="C688" s="571" t="s">
        <v>74</v>
      </c>
      <c r="D688" s="571"/>
      <c r="E688" s="571"/>
      <c r="F688" s="207">
        <v>31.18</v>
      </c>
      <c r="G688" s="207">
        <f t="shared" si="257"/>
        <v>31.18</v>
      </c>
      <c r="H688" s="208" t="s">
        <v>32</v>
      </c>
      <c r="I688" s="282">
        <f t="shared" si="270"/>
        <v>20175.810000000027</v>
      </c>
      <c r="J688" s="207">
        <f t="shared" si="272"/>
        <v>1205.1899999999732</v>
      </c>
      <c r="K688" s="209">
        <f t="shared" si="263"/>
        <v>574.61090891520314</v>
      </c>
      <c r="L688" s="496"/>
      <c r="M688" s="593"/>
      <c r="N688" s="594"/>
      <c r="O688" s="37"/>
      <c r="P688" s="47"/>
    </row>
    <row r="689" spans="1:16" ht="21" customHeight="1">
      <c r="A689" s="561"/>
      <c r="B689" s="568"/>
      <c r="C689" s="571" t="s">
        <v>74</v>
      </c>
      <c r="D689" s="571"/>
      <c r="E689" s="571"/>
      <c r="F689" s="207">
        <v>31.05</v>
      </c>
      <c r="G689" s="207">
        <f t="shared" si="257"/>
        <v>31.05</v>
      </c>
      <c r="H689" s="208" t="s">
        <v>32</v>
      </c>
      <c r="I689" s="282">
        <f t="shared" si="270"/>
        <v>20206.860000000026</v>
      </c>
      <c r="J689" s="207">
        <f t="shared" si="272"/>
        <v>1174.139999999974</v>
      </c>
      <c r="K689" s="209">
        <f t="shared" si="263"/>
        <v>575.34901651642542</v>
      </c>
      <c r="L689" s="496"/>
      <c r="M689" s="593"/>
      <c r="N689" s="594"/>
      <c r="O689" s="37"/>
      <c r="P689" s="47"/>
    </row>
    <row r="690" spans="1:16" ht="21" customHeight="1">
      <c r="A690" s="561"/>
      <c r="B690" s="568"/>
      <c r="C690" s="571" t="s">
        <v>74</v>
      </c>
      <c r="D690" s="571"/>
      <c r="E690" s="571"/>
      <c r="F690" s="207">
        <v>31.09</v>
      </c>
      <c r="G690" s="207">
        <f t="shared" si="257"/>
        <v>31.09</v>
      </c>
      <c r="H690" s="208" t="s">
        <v>32</v>
      </c>
      <c r="I690" s="282">
        <f t="shared" si="270"/>
        <v>20237.950000000026</v>
      </c>
      <c r="J690" s="207">
        <f t="shared" si="272"/>
        <v>1143.0499999999738</v>
      </c>
      <c r="K690" s="209">
        <f t="shared" si="263"/>
        <v>576.08807498090209</v>
      </c>
      <c r="L690" s="496"/>
      <c r="M690" s="593"/>
      <c r="N690" s="594"/>
      <c r="O690" s="37"/>
      <c r="P690" s="47"/>
    </row>
    <row r="691" spans="1:16" ht="21" customHeight="1">
      <c r="A691" s="561">
        <f t="shared" ref="A691" si="287">A688+1</f>
        <v>119</v>
      </c>
      <c r="B691" s="569" t="s">
        <v>489</v>
      </c>
      <c r="C691" s="599" t="s">
        <v>74</v>
      </c>
      <c r="D691" s="599"/>
      <c r="E691" s="599"/>
      <c r="F691" s="215">
        <v>31.16</v>
      </c>
      <c r="G691" s="215">
        <f t="shared" si="257"/>
        <v>31.16</v>
      </c>
      <c r="H691" s="216" t="s">
        <v>32</v>
      </c>
      <c r="I691" s="421">
        <f t="shared" si="270"/>
        <v>20269.110000000026</v>
      </c>
      <c r="J691" s="215">
        <f t="shared" si="272"/>
        <v>1111.889999999974</v>
      </c>
      <c r="K691" s="217">
        <f t="shared" si="263"/>
        <v>576.82879745607397</v>
      </c>
      <c r="L691" s="507"/>
      <c r="M691" s="593"/>
      <c r="N691" s="594"/>
      <c r="O691" s="37"/>
      <c r="P691" s="47"/>
    </row>
    <row r="692" spans="1:16" ht="21" customHeight="1">
      <c r="A692" s="561"/>
      <c r="B692" s="569"/>
      <c r="C692" s="599" t="s">
        <v>74</v>
      </c>
      <c r="D692" s="599"/>
      <c r="E692" s="599"/>
      <c r="F692" s="215">
        <v>31.94</v>
      </c>
      <c r="G692" s="215">
        <f t="shared" si="257"/>
        <v>31.94</v>
      </c>
      <c r="H692" s="216" t="s">
        <v>32</v>
      </c>
      <c r="I692" s="421">
        <f t="shared" si="270"/>
        <v>20301.050000000025</v>
      </c>
      <c r="J692" s="215">
        <f t="shared" si="272"/>
        <v>1079.9499999999753</v>
      </c>
      <c r="K692" s="217">
        <f t="shared" si="263"/>
        <v>577.58806176470648</v>
      </c>
      <c r="L692" s="507"/>
      <c r="M692" s="593"/>
      <c r="N692" s="594"/>
      <c r="O692" s="37"/>
      <c r="P692" s="47"/>
    </row>
    <row r="693" spans="1:16" ht="21" customHeight="1">
      <c r="A693" s="561"/>
      <c r="B693" s="569"/>
      <c r="C693" s="599" t="s">
        <v>74</v>
      </c>
      <c r="D693" s="599"/>
      <c r="E693" s="599"/>
      <c r="F693" s="215">
        <v>31.22</v>
      </c>
      <c r="G693" s="215">
        <f t="shared" si="257"/>
        <v>31.22</v>
      </c>
      <c r="H693" s="216" t="s">
        <v>32</v>
      </c>
      <c r="I693" s="421">
        <f t="shared" si="270"/>
        <v>20332.270000000026</v>
      </c>
      <c r="J693" s="215">
        <f t="shared" si="272"/>
        <v>1048.7299999999741</v>
      </c>
      <c r="K693" s="217">
        <f t="shared" si="263"/>
        <v>578.33021053476</v>
      </c>
      <c r="L693" s="507"/>
      <c r="M693" s="593"/>
      <c r="N693" s="594"/>
      <c r="O693" s="37"/>
      <c r="P693" s="47"/>
    </row>
    <row r="694" spans="1:16" ht="21" customHeight="1">
      <c r="A694" s="561">
        <f t="shared" ref="A694" si="288">A691+1</f>
        <v>120</v>
      </c>
      <c r="B694" s="568" t="s">
        <v>490</v>
      </c>
      <c r="C694" s="571" t="s">
        <v>74</v>
      </c>
      <c r="D694" s="571"/>
      <c r="E694" s="571"/>
      <c r="F694" s="207">
        <v>31.2</v>
      </c>
      <c r="G694" s="207">
        <f t="shared" si="257"/>
        <v>31.2</v>
      </c>
      <c r="H694" s="208" t="s">
        <v>32</v>
      </c>
      <c r="I694" s="282">
        <f t="shared" si="270"/>
        <v>20363.470000000027</v>
      </c>
      <c r="J694" s="207">
        <f t="shared" si="272"/>
        <v>1017.5299999999734</v>
      </c>
      <c r="K694" s="209">
        <f t="shared" si="263"/>
        <v>579.07188387318638</v>
      </c>
      <c r="L694" s="496"/>
      <c r="M694" s="593"/>
      <c r="N694" s="594"/>
      <c r="O694" s="37"/>
      <c r="P694" s="47"/>
    </row>
    <row r="695" spans="1:16" ht="21" customHeight="1">
      <c r="A695" s="561"/>
      <c r="B695" s="568"/>
      <c r="C695" s="571" t="s">
        <v>74</v>
      </c>
      <c r="D695" s="571"/>
      <c r="E695" s="571"/>
      <c r="F695" s="207">
        <v>31.04</v>
      </c>
      <c r="G695" s="207">
        <f t="shared" si="257"/>
        <v>31.04</v>
      </c>
      <c r="H695" s="208" t="s">
        <v>32</v>
      </c>
      <c r="I695" s="282">
        <f t="shared" si="270"/>
        <v>20394.510000000028</v>
      </c>
      <c r="J695" s="207">
        <f t="shared" si="272"/>
        <v>986.4899999999725</v>
      </c>
      <c r="K695" s="209">
        <f t="shared" ref="K695:K757" si="289">$H$8+(I695*$E$9*$E$15/1000)</f>
        <v>579.80975375859498</v>
      </c>
      <c r="L695" s="496"/>
      <c r="M695" s="593"/>
      <c r="N695" s="594"/>
      <c r="O695" s="37"/>
      <c r="P695" s="47"/>
    </row>
    <row r="696" spans="1:16" ht="21" customHeight="1">
      <c r="A696" s="561"/>
      <c r="B696" s="568"/>
      <c r="C696" s="571" t="s">
        <v>74</v>
      </c>
      <c r="D696" s="571"/>
      <c r="E696" s="571"/>
      <c r="F696" s="207">
        <v>31.15</v>
      </c>
      <c r="G696" s="207">
        <f t="shared" si="257"/>
        <v>31.15</v>
      </c>
      <c r="H696" s="208" t="s">
        <v>32</v>
      </c>
      <c r="I696" s="282">
        <f t="shared" si="270"/>
        <v>20425.660000000029</v>
      </c>
      <c r="J696" s="207">
        <f t="shared" si="272"/>
        <v>955.33999999997104</v>
      </c>
      <c r="K696" s="209">
        <f t="shared" si="289"/>
        <v>580.55023851795329</v>
      </c>
      <c r="L696" s="496"/>
      <c r="M696" s="593"/>
      <c r="N696" s="594"/>
      <c r="O696" s="37"/>
      <c r="P696" s="47"/>
    </row>
    <row r="697" spans="1:16" ht="21" customHeight="1">
      <c r="A697" s="561">
        <f t="shared" ref="A697" si="290">A694+1</f>
        <v>121</v>
      </c>
      <c r="B697" s="569" t="s">
        <v>491</v>
      </c>
      <c r="C697" s="599" t="s">
        <v>74</v>
      </c>
      <c r="D697" s="599"/>
      <c r="E697" s="599"/>
      <c r="F697" s="215">
        <v>31.94</v>
      </c>
      <c r="G697" s="215">
        <f t="shared" si="257"/>
        <v>31.94</v>
      </c>
      <c r="H697" s="216" t="s">
        <v>32</v>
      </c>
      <c r="I697" s="421">
        <f t="shared" si="270"/>
        <v>20457.600000000028</v>
      </c>
      <c r="J697" s="215">
        <f t="shared" si="272"/>
        <v>923.39999999997235</v>
      </c>
      <c r="K697" s="217">
        <f t="shared" si="289"/>
        <v>581.30950282658591</v>
      </c>
      <c r="L697" s="507"/>
      <c r="M697" s="593"/>
      <c r="N697" s="594"/>
      <c r="O697" s="37"/>
      <c r="P697" s="47"/>
    </row>
    <row r="698" spans="1:16" ht="21" customHeight="1">
      <c r="A698" s="561"/>
      <c r="B698" s="569"/>
      <c r="C698" s="599" t="s">
        <v>74</v>
      </c>
      <c r="D698" s="599"/>
      <c r="E698" s="599"/>
      <c r="F698" s="215">
        <v>31.21</v>
      </c>
      <c r="G698" s="215">
        <f t="shared" si="257"/>
        <v>31.21</v>
      </c>
      <c r="H698" s="216" t="s">
        <v>32</v>
      </c>
      <c r="I698" s="421">
        <f t="shared" si="270"/>
        <v>20488.810000000027</v>
      </c>
      <c r="J698" s="215">
        <f t="shared" si="272"/>
        <v>892.18999999997322</v>
      </c>
      <c r="K698" s="217">
        <f t="shared" si="289"/>
        <v>582.05141388082575</v>
      </c>
      <c r="L698" s="507"/>
      <c r="M698" s="593"/>
      <c r="N698" s="594"/>
      <c r="O698" s="37"/>
      <c r="P698" s="47"/>
    </row>
    <row r="699" spans="1:16" ht="21" customHeight="1">
      <c r="A699" s="561"/>
      <c r="B699" s="569"/>
      <c r="C699" s="599" t="s">
        <v>74</v>
      </c>
      <c r="D699" s="599"/>
      <c r="E699" s="599"/>
      <c r="F699" s="215">
        <v>30.92</v>
      </c>
      <c r="G699" s="215">
        <f t="shared" si="257"/>
        <v>30.92</v>
      </c>
      <c r="H699" s="216" t="s">
        <v>32</v>
      </c>
      <c r="I699" s="421">
        <f t="shared" si="270"/>
        <v>20519.730000000025</v>
      </c>
      <c r="J699" s="215">
        <f t="shared" si="272"/>
        <v>861.26999999997497</v>
      </c>
      <c r="K699" s="217">
        <f t="shared" si="289"/>
        <v>582.7864311764713</v>
      </c>
      <c r="L699" s="507"/>
      <c r="M699" s="593"/>
      <c r="N699" s="594"/>
      <c r="O699" s="37"/>
      <c r="P699" s="47"/>
    </row>
    <row r="700" spans="1:16" ht="21" customHeight="1">
      <c r="A700" s="561">
        <f t="shared" ref="A700" si="291">A697+1</f>
        <v>122</v>
      </c>
      <c r="B700" s="568" t="s">
        <v>492</v>
      </c>
      <c r="C700" s="571" t="s">
        <v>74</v>
      </c>
      <c r="D700" s="571"/>
      <c r="E700" s="571"/>
      <c r="F700" s="207">
        <v>30.49</v>
      </c>
      <c r="G700" s="207">
        <f t="shared" si="257"/>
        <v>30.49</v>
      </c>
      <c r="H700" s="208" t="s">
        <v>32</v>
      </c>
      <c r="I700" s="282">
        <f t="shared" si="270"/>
        <v>20550.220000000027</v>
      </c>
      <c r="J700" s="207">
        <f t="shared" si="272"/>
        <v>830.77999999997337</v>
      </c>
      <c r="K700" s="209">
        <f t="shared" si="289"/>
        <v>583.51122669213214</v>
      </c>
      <c r="L700" s="496"/>
      <c r="M700" s="593"/>
      <c r="N700" s="594"/>
      <c r="O700" s="37"/>
      <c r="P700" s="47"/>
    </row>
    <row r="701" spans="1:16" ht="21" customHeight="1">
      <c r="A701" s="561"/>
      <c r="B701" s="568"/>
      <c r="C701" s="571" t="s">
        <v>74</v>
      </c>
      <c r="D701" s="571"/>
      <c r="E701" s="571"/>
      <c r="F701" s="207">
        <v>30.77</v>
      </c>
      <c r="G701" s="207">
        <f t="shared" si="257"/>
        <v>30.77</v>
      </c>
      <c r="H701" s="208" t="s">
        <v>32</v>
      </c>
      <c r="I701" s="282">
        <f t="shared" si="270"/>
        <v>20580.990000000027</v>
      </c>
      <c r="J701" s="207">
        <f t="shared" si="272"/>
        <v>800.00999999997293</v>
      </c>
      <c r="K701" s="209">
        <f t="shared" si="289"/>
        <v>584.24267825057359</v>
      </c>
      <c r="L701" s="496"/>
      <c r="M701" s="593"/>
      <c r="N701" s="594"/>
      <c r="O701" s="37"/>
      <c r="P701" s="47"/>
    </row>
    <row r="702" spans="1:16" ht="21" customHeight="1">
      <c r="A702" s="561"/>
      <c r="B702" s="568"/>
      <c r="C702" s="571" t="s">
        <v>74</v>
      </c>
      <c r="D702" s="571"/>
      <c r="E702" s="571"/>
      <c r="F702" s="207">
        <v>30.99</v>
      </c>
      <c r="G702" s="207">
        <f t="shared" si="257"/>
        <v>30.99</v>
      </c>
      <c r="H702" s="208" t="s">
        <v>32</v>
      </c>
      <c r="I702" s="282">
        <f t="shared" si="270"/>
        <v>20611.980000000029</v>
      </c>
      <c r="J702" s="207">
        <f t="shared" si="272"/>
        <v>769.01999999997133</v>
      </c>
      <c r="K702" s="209">
        <f t="shared" si="289"/>
        <v>584.97935955691435</v>
      </c>
      <c r="L702" s="496"/>
      <c r="M702" s="593"/>
      <c r="N702" s="594"/>
      <c r="O702" s="37"/>
      <c r="P702" s="47"/>
    </row>
    <row r="703" spans="1:16" ht="21" hidden="1" customHeight="1">
      <c r="A703" s="561"/>
      <c r="B703" s="569" t="s">
        <v>493</v>
      </c>
      <c r="C703" s="599" t="s">
        <v>74</v>
      </c>
      <c r="D703" s="599"/>
      <c r="E703" s="599"/>
      <c r="F703" s="215">
        <v>30.52</v>
      </c>
      <c r="G703" s="215">
        <f t="shared" si="257"/>
        <v>30.52</v>
      </c>
      <c r="H703" s="373" t="s">
        <v>35</v>
      </c>
      <c r="I703" s="421">
        <f t="shared" si="270"/>
        <v>20611.980000000029</v>
      </c>
      <c r="J703" s="215">
        <f t="shared" si="272"/>
        <v>769.01999999997133</v>
      </c>
      <c r="K703" s="217">
        <f t="shared" si="289"/>
        <v>584.97935955691435</v>
      </c>
      <c r="L703" s="507"/>
      <c r="M703" s="593"/>
      <c r="N703" s="594"/>
      <c r="O703" s="37"/>
      <c r="P703" s="47"/>
    </row>
    <row r="704" spans="1:16" ht="21" hidden="1" customHeight="1">
      <c r="A704" s="561"/>
      <c r="B704" s="569"/>
      <c r="C704" s="599" t="s">
        <v>74</v>
      </c>
      <c r="D704" s="599"/>
      <c r="E704" s="599"/>
      <c r="F704" s="215">
        <v>31.18</v>
      </c>
      <c r="G704" s="215">
        <f t="shared" si="257"/>
        <v>31.18</v>
      </c>
      <c r="H704" s="373" t="s">
        <v>35</v>
      </c>
      <c r="I704" s="421">
        <f t="shared" si="270"/>
        <v>20611.980000000029</v>
      </c>
      <c r="J704" s="215">
        <f t="shared" si="272"/>
        <v>769.01999999997133</v>
      </c>
      <c r="K704" s="217">
        <f t="shared" si="289"/>
        <v>584.97935955691435</v>
      </c>
      <c r="L704" s="507"/>
      <c r="M704" s="593"/>
      <c r="N704" s="594"/>
      <c r="O704" s="37"/>
      <c r="P704" s="47"/>
    </row>
    <row r="705" spans="1:16" ht="21" hidden="1" customHeight="1">
      <c r="A705" s="561"/>
      <c r="B705" s="569"/>
      <c r="C705" s="599" t="s">
        <v>74</v>
      </c>
      <c r="D705" s="599"/>
      <c r="E705" s="599"/>
      <c r="F705" s="215">
        <v>31.19</v>
      </c>
      <c r="G705" s="215">
        <f t="shared" si="257"/>
        <v>31.19</v>
      </c>
      <c r="H705" s="373" t="s">
        <v>35</v>
      </c>
      <c r="I705" s="421">
        <f t="shared" si="270"/>
        <v>20611.980000000029</v>
      </c>
      <c r="J705" s="215">
        <f t="shared" si="272"/>
        <v>769.01999999997133</v>
      </c>
      <c r="K705" s="217">
        <f t="shared" si="289"/>
        <v>584.97935955691435</v>
      </c>
      <c r="L705" s="507"/>
      <c r="M705" s="593"/>
      <c r="N705" s="594"/>
      <c r="O705" s="37"/>
      <c r="P705" s="47"/>
    </row>
    <row r="706" spans="1:16" ht="21" hidden="1" customHeight="1">
      <c r="A706" s="561"/>
      <c r="B706" s="568" t="s">
        <v>494</v>
      </c>
      <c r="C706" s="571" t="s">
        <v>74</v>
      </c>
      <c r="D706" s="571"/>
      <c r="E706" s="571"/>
      <c r="F706" s="207">
        <v>30.79</v>
      </c>
      <c r="G706" s="207">
        <f t="shared" si="257"/>
        <v>30.79</v>
      </c>
      <c r="H706" s="297" t="s">
        <v>35</v>
      </c>
      <c r="I706" s="282">
        <f t="shared" si="270"/>
        <v>20611.980000000029</v>
      </c>
      <c r="J706" s="207">
        <f t="shared" si="272"/>
        <v>769.01999999997133</v>
      </c>
      <c r="K706" s="209">
        <f t="shared" si="289"/>
        <v>584.97935955691435</v>
      </c>
      <c r="L706" s="496"/>
      <c r="M706" s="593"/>
      <c r="N706" s="594"/>
      <c r="O706" s="37"/>
      <c r="P706" s="47"/>
    </row>
    <row r="707" spans="1:16" ht="21" hidden="1" customHeight="1">
      <c r="A707" s="561"/>
      <c r="B707" s="568"/>
      <c r="C707" s="571" t="s">
        <v>74</v>
      </c>
      <c r="D707" s="571"/>
      <c r="E707" s="571"/>
      <c r="F707" s="207">
        <v>31.1</v>
      </c>
      <c r="G707" s="207">
        <f t="shared" si="257"/>
        <v>31.1</v>
      </c>
      <c r="H707" s="297" t="s">
        <v>35</v>
      </c>
      <c r="I707" s="282">
        <f t="shared" si="270"/>
        <v>20611.980000000029</v>
      </c>
      <c r="J707" s="207">
        <f t="shared" si="272"/>
        <v>769.01999999997133</v>
      </c>
      <c r="K707" s="209">
        <f t="shared" si="289"/>
        <v>584.97935955691435</v>
      </c>
      <c r="L707" s="496"/>
      <c r="M707" s="593"/>
      <c r="N707" s="594"/>
      <c r="O707" s="37"/>
      <c r="P707" s="47"/>
    </row>
    <row r="708" spans="1:16" ht="21" hidden="1" customHeight="1">
      <c r="A708" s="561"/>
      <c r="B708" s="568"/>
      <c r="C708" s="571" t="s">
        <v>74</v>
      </c>
      <c r="D708" s="571"/>
      <c r="E708" s="571"/>
      <c r="F708" s="207">
        <v>30.93</v>
      </c>
      <c r="G708" s="207">
        <f t="shared" si="257"/>
        <v>30.93</v>
      </c>
      <c r="H708" s="297" t="s">
        <v>35</v>
      </c>
      <c r="I708" s="282">
        <f t="shared" ref="I708:I739" si="292">IF(H708="IN",I707+G708,I707)</f>
        <v>20611.980000000029</v>
      </c>
      <c r="J708" s="207">
        <f t="shared" si="272"/>
        <v>769.01999999997133</v>
      </c>
      <c r="K708" s="209">
        <f t="shared" si="289"/>
        <v>584.97935955691435</v>
      </c>
      <c r="L708" s="496"/>
      <c r="M708" s="593"/>
      <c r="N708" s="594"/>
      <c r="O708" s="37"/>
      <c r="P708" s="47"/>
    </row>
    <row r="709" spans="1:16" ht="21" hidden="1" customHeight="1">
      <c r="A709" s="561"/>
      <c r="B709" s="569" t="s">
        <v>495</v>
      </c>
      <c r="C709" s="599" t="s">
        <v>74</v>
      </c>
      <c r="D709" s="599"/>
      <c r="E709" s="599"/>
      <c r="F709" s="215">
        <v>30.81</v>
      </c>
      <c r="G709" s="215">
        <f t="shared" si="257"/>
        <v>30.81</v>
      </c>
      <c r="H709" s="373" t="s">
        <v>35</v>
      </c>
      <c r="I709" s="421">
        <f t="shared" si="292"/>
        <v>20611.980000000029</v>
      </c>
      <c r="J709" s="215">
        <f t="shared" si="272"/>
        <v>769.01999999997133</v>
      </c>
      <c r="K709" s="217">
        <f t="shared" si="289"/>
        <v>584.97935955691435</v>
      </c>
      <c r="L709" s="507"/>
      <c r="M709" s="593"/>
      <c r="N709" s="594"/>
      <c r="O709" s="37"/>
      <c r="P709" s="47"/>
    </row>
    <row r="710" spans="1:16" ht="21" hidden="1" customHeight="1">
      <c r="A710" s="561"/>
      <c r="B710" s="569"/>
      <c r="C710" s="599" t="s">
        <v>74</v>
      </c>
      <c r="D710" s="599"/>
      <c r="E710" s="599"/>
      <c r="F710" s="215">
        <v>30.96</v>
      </c>
      <c r="G710" s="215">
        <f t="shared" si="257"/>
        <v>30.96</v>
      </c>
      <c r="H710" s="373" t="s">
        <v>35</v>
      </c>
      <c r="I710" s="421">
        <f t="shared" si="292"/>
        <v>20611.980000000029</v>
      </c>
      <c r="J710" s="215">
        <f t="shared" ref="J710:J739" si="293">IF(I710="","",$M$9-I710)</f>
        <v>769.01999999997133</v>
      </c>
      <c r="K710" s="217">
        <f t="shared" si="289"/>
        <v>584.97935955691435</v>
      </c>
      <c r="L710" s="507"/>
      <c r="M710" s="593"/>
      <c r="N710" s="594"/>
      <c r="O710" s="37"/>
      <c r="P710" s="47"/>
    </row>
    <row r="711" spans="1:16" ht="21" hidden="1" customHeight="1">
      <c r="A711" s="561"/>
      <c r="B711" s="569"/>
      <c r="C711" s="599" t="s">
        <v>74</v>
      </c>
      <c r="D711" s="599"/>
      <c r="E711" s="599"/>
      <c r="F711" s="215">
        <v>31.09</v>
      </c>
      <c r="G711" s="215">
        <f t="shared" si="257"/>
        <v>31.09</v>
      </c>
      <c r="H711" s="373" t="s">
        <v>35</v>
      </c>
      <c r="I711" s="421">
        <f t="shared" si="292"/>
        <v>20611.980000000029</v>
      </c>
      <c r="J711" s="215">
        <f t="shared" si="293"/>
        <v>769.01999999997133</v>
      </c>
      <c r="K711" s="217">
        <f t="shared" si="289"/>
        <v>584.97935955691435</v>
      </c>
      <c r="L711" s="507"/>
      <c r="M711" s="593"/>
      <c r="N711" s="594"/>
      <c r="O711" s="37"/>
      <c r="P711" s="47"/>
    </row>
    <row r="712" spans="1:16" ht="21" hidden="1" customHeight="1">
      <c r="A712" s="561"/>
      <c r="B712" s="568" t="s">
        <v>496</v>
      </c>
      <c r="C712" s="571" t="s">
        <v>74</v>
      </c>
      <c r="D712" s="571"/>
      <c r="E712" s="571"/>
      <c r="F712" s="207">
        <v>31.22</v>
      </c>
      <c r="G712" s="207">
        <f t="shared" si="257"/>
        <v>31.22</v>
      </c>
      <c r="H712" s="297" t="s">
        <v>35</v>
      </c>
      <c r="I712" s="282">
        <f t="shared" si="292"/>
        <v>20611.980000000029</v>
      </c>
      <c r="J712" s="207">
        <f t="shared" si="293"/>
        <v>769.01999999997133</v>
      </c>
      <c r="K712" s="209">
        <f t="shared" si="289"/>
        <v>584.97935955691435</v>
      </c>
      <c r="L712" s="496"/>
      <c r="M712" s="593"/>
      <c r="N712" s="594"/>
      <c r="O712" s="37"/>
      <c r="P712" s="47"/>
    </row>
    <row r="713" spans="1:16" ht="21" hidden="1" customHeight="1">
      <c r="A713" s="561"/>
      <c r="B713" s="568"/>
      <c r="C713" s="571" t="s">
        <v>74</v>
      </c>
      <c r="D713" s="571"/>
      <c r="E713" s="571"/>
      <c r="F713" s="207">
        <v>31.11</v>
      </c>
      <c r="G713" s="207">
        <f t="shared" si="257"/>
        <v>31.11</v>
      </c>
      <c r="H713" s="297" t="s">
        <v>35</v>
      </c>
      <c r="I713" s="282">
        <f t="shared" si="292"/>
        <v>20611.980000000029</v>
      </c>
      <c r="J713" s="207">
        <f t="shared" si="293"/>
        <v>769.01999999997133</v>
      </c>
      <c r="K713" s="209">
        <f t="shared" si="289"/>
        <v>584.97935955691435</v>
      </c>
      <c r="L713" s="496"/>
      <c r="M713" s="593"/>
      <c r="N713" s="594"/>
      <c r="O713" s="37"/>
      <c r="P713" s="47"/>
    </row>
    <row r="714" spans="1:16" ht="21" hidden="1" customHeight="1">
      <c r="A714" s="561"/>
      <c r="B714" s="568"/>
      <c r="C714" s="571" t="s">
        <v>74</v>
      </c>
      <c r="D714" s="571"/>
      <c r="E714" s="571"/>
      <c r="F714" s="207">
        <v>31.17</v>
      </c>
      <c r="G714" s="207">
        <f t="shared" si="257"/>
        <v>31.17</v>
      </c>
      <c r="H714" s="297" t="s">
        <v>35</v>
      </c>
      <c r="I714" s="282">
        <f t="shared" si="292"/>
        <v>20611.980000000029</v>
      </c>
      <c r="J714" s="207">
        <f t="shared" si="293"/>
        <v>769.01999999997133</v>
      </c>
      <c r="K714" s="209">
        <f t="shared" si="289"/>
        <v>584.97935955691435</v>
      </c>
      <c r="L714" s="496"/>
      <c r="M714" s="593"/>
      <c r="N714" s="594"/>
      <c r="O714" s="37"/>
      <c r="P714" s="47"/>
    </row>
    <row r="715" spans="1:16" ht="21" hidden="1" customHeight="1">
      <c r="A715" s="561"/>
      <c r="B715" s="569" t="s">
        <v>497</v>
      </c>
      <c r="C715" s="599" t="s">
        <v>74</v>
      </c>
      <c r="D715" s="599"/>
      <c r="E715" s="599"/>
      <c r="F715" s="215">
        <v>31.18</v>
      </c>
      <c r="G715" s="215">
        <f t="shared" si="257"/>
        <v>31.18</v>
      </c>
      <c r="H715" s="373" t="s">
        <v>35</v>
      </c>
      <c r="I715" s="421">
        <f t="shared" si="292"/>
        <v>20611.980000000029</v>
      </c>
      <c r="J715" s="215">
        <f t="shared" si="293"/>
        <v>769.01999999997133</v>
      </c>
      <c r="K715" s="217">
        <f t="shared" si="289"/>
        <v>584.97935955691435</v>
      </c>
      <c r="L715" s="507"/>
      <c r="M715" s="593"/>
      <c r="N715" s="594"/>
      <c r="O715" s="37"/>
      <c r="P715" s="47"/>
    </row>
    <row r="716" spans="1:16" ht="21" hidden="1" customHeight="1">
      <c r="A716" s="561"/>
      <c r="B716" s="569"/>
      <c r="C716" s="599" t="s">
        <v>74</v>
      </c>
      <c r="D716" s="599"/>
      <c r="E716" s="599"/>
      <c r="F716" s="215">
        <v>31.36</v>
      </c>
      <c r="G716" s="215">
        <f t="shared" si="257"/>
        <v>31.36</v>
      </c>
      <c r="H716" s="373" t="s">
        <v>35</v>
      </c>
      <c r="I716" s="421">
        <f t="shared" si="292"/>
        <v>20611.980000000029</v>
      </c>
      <c r="J716" s="215">
        <f t="shared" si="293"/>
        <v>769.01999999997133</v>
      </c>
      <c r="K716" s="217">
        <f t="shared" si="289"/>
        <v>584.97935955691435</v>
      </c>
      <c r="L716" s="507"/>
      <c r="M716" s="593"/>
      <c r="N716" s="594"/>
      <c r="O716" s="37"/>
      <c r="P716" s="47"/>
    </row>
    <row r="717" spans="1:16" ht="21" hidden="1" customHeight="1">
      <c r="A717" s="561"/>
      <c r="B717" s="569"/>
      <c r="C717" s="599" t="s">
        <v>74</v>
      </c>
      <c r="D717" s="599"/>
      <c r="E717" s="599"/>
      <c r="F717" s="215">
        <v>31.02</v>
      </c>
      <c r="G717" s="215">
        <f t="shared" si="257"/>
        <v>31.02</v>
      </c>
      <c r="H717" s="373" t="s">
        <v>35</v>
      </c>
      <c r="I717" s="421">
        <f t="shared" si="292"/>
        <v>20611.980000000029</v>
      </c>
      <c r="J717" s="215">
        <f t="shared" si="293"/>
        <v>769.01999999997133</v>
      </c>
      <c r="K717" s="217">
        <f t="shared" si="289"/>
        <v>584.97935955691435</v>
      </c>
      <c r="L717" s="507"/>
      <c r="M717" s="593"/>
      <c r="N717" s="594"/>
      <c r="O717" s="37"/>
      <c r="P717" s="47"/>
    </row>
    <row r="718" spans="1:16" ht="21" hidden="1" customHeight="1">
      <c r="A718" s="561"/>
      <c r="B718" s="568" t="s">
        <v>498</v>
      </c>
      <c r="C718" s="571" t="s">
        <v>74</v>
      </c>
      <c r="D718" s="571"/>
      <c r="E718" s="571"/>
      <c r="F718" s="207">
        <v>30.98</v>
      </c>
      <c r="G718" s="207">
        <f t="shared" si="257"/>
        <v>30.98</v>
      </c>
      <c r="H718" s="297" t="s">
        <v>35</v>
      </c>
      <c r="I718" s="282">
        <f t="shared" si="292"/>
        <v>20611.980000000029</v>
      </c>
      <c r="J718" s="207">
        <f t="shared" si="293"/>
        <v>769.01999999997133</v>
      </c>
      <c r="K718" s="209">
        <f t="shared" si="289"/>
        <v>584.97935955691435</v>
      </c>
      <c r="L718" s="496"/>
      <c r="M718" s="593"/>
      <c r="N718" s="594"/>
      <c r="O718" s="37"/>
      <c r="P718" s="47"/>
    </row>
    <row r="719" spans="1:16" ht="21" hidden="1" customHeight="1">
      <c r="A719" s="561"/>
      <c r="B719" s="568"/>
      <c r="C719" s="571" t="s">
        <v>74</v>
      </c>
      <c r="D719" s="571"/>
      <c r="E719" s="571"/>
      <c r="F719" s="207">
        <v>31.09</v>
      </c>
      <c r="G719" s="207">
        <f t="shared" si="257"/>
        <v>31.09</v>
      </c>
      <c r="H719" s="297" t="s">
        <v>35</v>
      </c>
      <c r="I719" s="282">
        <f t="shared" si="292"/>
        <v>20611.980000000029</v>
      </c>
      <c r="J719" s="207">
        <f t="shared" si="293"/>
        <v>769.01999999997133</v>
      </c>
      <c r="K719" s="209">
        <f t="shared" si="289"/>
        <v>584.97935955691435</v>
      </c>
      <c r="L719" s="496"/>
      <c r="M719" s="593"/>
      <c r="N719" s="594"/>
      <c r="O719" s="37"/>
      <c r="P719" s="47"/>
    </row>
    <row r="720" spans="1:16" ht="21" hidden="1" customHeight="1">
      <c r="A720" s="561"/>
      <c r="B720" s="568"/>
      <c r="C720" s="571" t="s">
        <v>74</v>
      </c>
      <c r="D720" s="571"/>
      <c r="E720" s="571"/>
      <c r="F720" s="207">
        <v>31.41</v>
      </c>
      <c r="G720" s="207">
        <f t="shared" si="257"/>
        <v>31.41</v>
      </c>
      <c r="H720" s="297" t="s">
        <v>35</v>
      </c>
      <c r="I720" s="282">
        <f t="shared" si="292"/>
        <v>20611.980000000029</v>
      </c>
      <c r="J720" s="207">
        <f t="shared" si="293"/>
        <v>769.01999999997133</v>
      </c>
      <c r="K720" s="209">
        <f t="shared" si="289"/>
        <v>584.97935955691435</v>
      </c>
      <c r="L720" s="496"/>
      <c r="M720" s="593"/>
      <c r="N720" s="594"/>
      <c r="O720" s="37"/>
      <c r="P720" s="47"/>
    </row>
    <row r="721" spans="1:16" ht="21" hidden="1" customHeight="1">
      <c r="A721" s="561"/>
      <c r="B721" s="569" t="s">
        <v>499</v>
      </c>
      <c r="C721" s="599" t="s">
        <v>74</v>
      </c>
      <c r="D721" s="599"/>
      <c r="E721" s="599"/>
      <c r="F721" s="215">
        <v>31.42</v>
      </c>
      <c r="G721" s="215">
        <f t="shared" si="257"/>
        <v>31.42</v>
      </c>
      <c r="H721" s="373" t="s">
        <v>35</v>
      </c>
      <c r="I721" s="421">
        <f t="shared" si="292"/>
        <v>20611.980000000029</v>
      </c>
      <c r="J721" s="215">
        <f t="shared" si="293"/>
        <v>769.01999999997133</v>
      </c>
      <c r="K721" s="217">
        <f t="shared" si="289"/>
        <v>584.97935955691435</v>
      </c>
      <c r="L721" s="507"/>
      <c r="M721" s="593"/>
      <c r="N721" s="594"/>
      <c r="O721" s="37"/>
      <c r="P721" s="47"/>
    </row>
    <row r="722" spans="1:16" ht="21" hidden="1" customHeight="1">
      <c r="A722" s="561"/>
      <c r="B722" s="569"/>
      <c r="C722" s="599" t="s">
        <v>74</v>
      </c>
      <c r="D722" s="599"/>
      <c r="E722" s="599"/>
      <c r="F722" s="215">
        <v>31.04</v>
      </c>
      <c r="G722" s="215">
        <f t="shared" si="257"/>
        <v>31.04</v>
      </c>
      <c r="H722" s="373" t="s">
        <v>35</v>
      </c>
      <c r="I722" s="421">
        <f t="shared" si="292"/>
        <v>20611.980000000029</v>
      </c>
      <c r="J722" s="215">
        <f t="shared" si="293"/>
        <v>769.01999999997133</v>
      </c>
      <c r="K722" s="217">
        <f t="shared" si="289"/>
        <v>584.97935955691435</v>
      </c>
      <c r="L722" s="507"/>
      <c r="M722" s="593"/>
      <c r="N722" s="594"/>
      <c r="O722" s="37"/>
      <c r="P722" s="47"/>
    </row>
    <row r="723" spans="1:16" ht="21" hidden="1" customHeight="1">
      <c r="A723" s="561"/>
      <c r="B723" s="569"/>
      <c r="C723" s="599" t="s">
        <v>74</v>
      </c>
      <c r="D723" s="599"/>
      <c r="E723" s="599"/>
      <c r="F723" s="215">
        <v>31.32</v>
      </c>
      <c r="G723" s="215">
        <f t="shared" si="257"/>
        <v>31.32</v>
      </c>
      <c r="H723" s="373" t="s">
        <v>35</v>
      </c>
      <c r="I723" s="421">
        <f t="shared" si="292"/>
        <v>20611.980000000029</v>
      </c>
      <c r="J723" s="215">
        <f t="shared" si="293"/>
        <v>769.01999999997133</v>
      </c>
      <c r="K723" s="217">
        <f t="shared" si="289"/>
        <v>584.97935955691435</v>
      </c>
      <c r="L723" s="507"/>
      <c r="M723" s="593"/>
      <c r="N723" s="594"/>
      <c r="O723" s="37"/>
      <c r="P723" s="47"/>
    </row>
    <row r="724" spans="1:16" ht="21" hidden="1" customHeight="1">
      <c r="A724" s="561"/>
      <c r="B724" s="568" t="s">
        <v>500</v>
      </c>
      <c r="C724" s="571" t="s">
        <v>74</v>
      </c>
      <c r="D724" s="571"/>
      <c r="E724" s="571"/>
      <c r="F724" s="207">
        <v>31.24</v>
      </c>
      <c r="G724" s="207">
        <f t="shared" si="257"/>
        <v>31.24</v>
      </c>
      <c r="H724" s="297" t="s">
        <v>35</v>
      </c>
      <c r="I724" s="282">
        <f t="shared" si="292"/>
        <v>20611.980000000029</v>
      </c>
      <c r="J724" s="207">
        <f t="shared" si="293"/>
        <v>769.01999999997133</v>
      </c>
      <c r="K724" s="209">
        <f t="shared" si="289"/>
        <v>584.97935955691435</v>
      </c>
      <c r="L724" s="496"/>
      <c r="M724" s="593"/>
      <c r="N724" s="594"/>
      <c r="O724" s="37"/>
      <c r="P724" s="47"/>
    </row>
    <row r="725" spans="1:16" ht="21" hidden="1" customHeight="1">
      <c r="A725" s="561"/>
      <c r="B725" s="568"/>
      <c r="C725" s="571" t="s">
        <v>74</v>
      </c>
      <c r="D725" s="571"/>
      <c r="E725" s="571"/>
      <c r="F725" s="207">
        <v>30.81</v>
      </c>
      <c r="G725" s="207">
        <f t="shared" si="257"/>
        <v>30.81</v>
      </c>
      <c r="H725" s="297" t="s">
        <v>35</v>
      </c>
      <c r="I725" s="282">
        <f t="shared" si="292"/>
        <v>20611.980000000029</v>
      </c>
      <c r="J725" s="207">
        <f t="shared" si="293"/>
        <v>769.01999999997133</v>
      </c>
      <c r="K725" s="209">
        <f t="shared" si="289"/>
        <v>584.97935955691435</v>
      </c>
      <c r="L725" s="496"/>
      <c r="M725" s="593"/>
      <c r="N725" s="594"/>
      <c r="O725" s="37"/>
      <c r="P725" s="47"/>
    </row>
    <row r="726" spans="1:16" ht="21" hidden="1" customHeight="1">
      <c r="A726" s="561"/>
      <c r="B726" s="568"/>
      <c r="C726" s="571" t="s">
        <v>74</v>
      </c>
      <c r="D726" s="571"/>
      <c r="E726" s="571"/>
      <c r="F726" s="207">
        <v>30.97</v>
      </c>
      <c r="G726" s="207">
        <f t="shared" si="257"/>
        <v>30.97</v>
      </c>
      <c r="H726" s="297" t="s">
        <v>35</v>
      </c>
      <c r="I726" s="282">
        <f t="shared" ref="I726:I727" si="294">IF(H726="IN",I725+G726,I725)</f>
        <v>20611.980000000029</v>
      </c>
      <c r="J726" s="207">
        <f t="shared" ref="J726:J727" si="295">IF(I726="","",$M$9-I726)</f>
        <v>769.01999999997133</v>
      </c>
      <c r="K726" s="209">
        <f t="shared" si="289"/>
        <v>584.97935955691435</v>
      </c>
      <c r="L726" s="496"/>
      <c r="M726" s="593"/>
      <c r="N726" s="594"/>
      <c r="O726" s="37"/>
      <c r="P726" s="47"/>
    </row>
    <row r="727" spans="1:16" ht="21" hidden="1" customHeight="1">
      <c r="A727" s="561"/>
      <c r="B727" s="569" t="s">
        <v>501</v>
      </c>
      <c r="C727" s="599" t="s">
        <v>74</v>
      </c>
      <c r="D727" s="599"/>
      <c r="E727" s="599"/>
      <c r="F727" s="215">
        <v>30.3</v>
      </c>
      <c r="G727" s="215">
        <f t="shared" si="257"/>
        <v>30.3</v>
      </c>
      <c r="H727" s="373" t="s">
        <v>35</v>
      </c>
      <c r="I727" s="421">
        <f t="shared" si="294"/>
        <v>20611.980000000029</v>
      </c>
      <c r="J727" s="215">
        <f t="shared" si="295"/>
        <v>769.01999999997133</v>
      </c>
      <c r="K727" s="217">
        <f t="shared" si="289"/>
        <v>584.97935955691435</v>
      </c>
      <c r="L727" s="507"/>
      <c r="M727" s="593"/>
      <c r="N727" s="594"/>
      <c r="O727" s="37"/>
      <c r="P727" s="47"/>
    </row>
    <row r="728" spans="1:16" ht="21" hidden="1" customHeight="1">
      <c r="A728" s="561"/>
      <c r="B728" s="569"/>
      <c r="C728" s="599" t="s">
        <v>74</v>
      </c>
      <c r="D728" s="599"/>
      <c r="E728" s="599"/>
      <c r="F728" s="215">
        <v>31.15</v>
      </c>
      <c r="G728" s="215">
        <f t="shared" si="257"/>
        <v>31.15</v>
      </c>
      <c r="H728" s="373" t="s">
        <v>35</v>
      </c>
      <c r="I728" s="421">
        <f t="shared" si="292"/>
        <v>20611.980000000029</v>
      </c>
      <c r="J728" s="215">
        <f t="shared" si="293"/>
        <v>769.01999999997133</v>
      </c>
      <c r="K728" s="217">
        <f t="shared" si="289"/>
        <v>584.97935955691435</v>
      </c>
      <c r="L728" s="507"/>
      <c r="M728" s="593"/>
      <c r="N728" s="594"/>
      <c r="O728" s="37"/>
      <c r="P728" s="47"/>
    </row>
    <row r="729" spans="1:16" ht="21" hidden="1" customHeight="1">
      <c r="A729" s="561"/>
      <c r="B729" s="569"/>
      <c r="C729" s="599" t="s">
        <v>74</v>
      </c>
      <c r="D729" s="599"/>
      <c r="E729" s="599"/>
      <c r="F729" s="215">
        <v>31.08</v>
      </c>
      <c r="G729" s="215">
        <f t="shared" si="257"/>
        <v>31.08</v>
      </c>
      <c r="H729" s="373" t="s">
        <v>35</v>
      </c>
      <c r="I729" s="421">
        <f t="shared" si="292"/>
        <v>20611.980000000029</v>
      </c>
      <c r="J729" s="215">
        <f t="shared" si="293"/>
        <v>769.01999999997133</v>
      </c>
      <c r="K729" s="217">
        <f t="shared" si="289"/>
        <v>584.97935955691435</v>
      </c>
      <c r="L729" s="507"/>
      <c r="M729" s="593"/>
      <c r="N729" s="594"/>
      <c r="O729" s="37"/>
      <c r="P729" s="47"/>
    </row>
    <row r="730" spans="1:16" ht="21" hidden="1" customHeight="1">
      <c r="A730" s="561"/>
      <c r="B730" s="568" t="s">
        <v>502</v>
      </c>
      <c r="C730" s="571" t="s">
        <v>74</v>
      </c>
      <c r="D730" s="571"/>
      <c r="E730" s="571"/>
      <c r="F730" s="207">
        <v>31.01</v>
      </c>
      <c r="G730" s="207">
        <f t="shared" si="257"/>
        <v>31.01</v>
      </c>
      <c r="H730" s="297" t="s">
        <v>35</v>
      </c>
      <c r="I730" s="282">
        <f t="shared" si="292"/>
        <v>20611.980000000029</v>
      </c>
      <c r="J730" s="207">
        <f t="shared" si="293"/>
        <v>769.01999999997133</v>
      </c>
      <c r="K730" s="209">
        <f t="shared" si="289"/>
        <v>584.97935955691435</v>
      </c>
      <c r="L730" s="496"/>
      <c r="M730" s="593"/>
      <c r="N730" s="594"/>
      <c r="O730" s="37"/>
      <c r="P730" s="47"/>
    </row>
    <row r="731" spans="1:16" ht="21" hidden="1" customHeight="1">
      <c r="A731" s="561"/>
      <c r="B731" s="568"/>
      <c r="C731" s="571" t="s">
        <v>74</v>
      </c>
      <c r="D731" s="571"/>
      <c r="E731" s="571"/>
      <c r="F731" s="207">
        <v>31.14</v>
      </c>
      <c r="G731" s="207">
        <f t="shared" si="257"/>
        <v>31.14</v>
      </c>
      <c r="H731" s="297" t="s">
        <v>35</v>
      </c>
      <c r="I731" s="282">
        <f t="shared" si="292"/>
        <v>20611.980000000029</v>
      </c>
      <c r="J731" s="207">
        <f t="shared" si="293"/>
        <v>769.01999999997133</v>
      </c>
      <c r="K731" s="209">
        <f t="shared" si="289"/>
        <v>584.97935955691435</v>
      </c>
      <c r="L731" s="496"/>
      <c r="M731" s="671"/>
      <c r="N731" s="672"/>
      <c r="O731" s="37"/>
      <c r="P731" s="47"/>
    </row>
    <row r="732" spans="1:16" ht="21" hidden="1" customHeight="1">
      <c r="A732" s="561"/>
      <c r="B732" s="568"/>
      <c r="C732" s="571" t="s">
        <v>74</v>
      </c>
      <c r="D732" s="571"/>
      <c r="E732" s="571"/>
      <c r="F732" s="207">
        <v>31</v>
      </c>
      <c r="G732" s="207">
        <f t="shared" si="257"/>
        <v>31</v>
      </c>
      <c r="H732" s="297" t="s">
        <v>35</v>
      </c>
      <c r="I732" s="282">
        <f t="shared" ref="I732:I738" si="296">IF(H732="IN",I731+G732,I731)</f>
        <v>20611.980000000029</v>
      </c>
      <c r="J732" s="207">
        <f t="shared" ref="J732:J738" si="297">IF(I732="","",$M$9-I732)</f>
        <v>769.01999999997133</v>
      </c>
      <c r="K732" s="209">
        <f t="shared" si="289"/>
        <v>584.97935955691435</v>
      </c>
      <c r="L732" s="496"/>
      <c r="M732" s="293"/>
      <c r="N732" s="326"/>
      <c r="O732" s="37"/>
      <c r="P732" s="47"/>
    </row>
    <row r="733" spans="1:16" ht="21" hidden="1" customHeight="1">
      <c r="A733" s="425"/>
      <c r="B733" s="426"/>
      <c r="C733" s="589"/>
      <c r="D733" s="590"/>
      <c r="E733" s="591"/>
      <c r="F733" s="249"/>
      <c r="G733" s="249"/>
      <c r="H733" s="250" t="s">
        <v>35</v>
      </c>
      <c r="I733" s="420">
        <f t="shared" si="296"/>
        <v>20611.980000000029</v>
      </c>
      <c r="J733" s="249">
        <f t="shared" si="297"/>
        <v>769.01999999997133</v>
      </c>
      <c r="K733" s="251">
        <f t="shared" si="289"/>
        <v>584.97935955691435</v>
      </c>
      <c r="L733" s="501"/>
      <c r="M733" s="293"/>
      <c r="N733" s="326"/>
      <c r="O733" s="37"/>
      <c r="P733" s="47"/>
    </row>
    <row r="734" spans="1:16" ht="21" customHeight="1">
      <c r="A734" s="561">
        <f>A700+1</f>
        <v>123</v>
      </c>
      <c r="B734" s="562" t="s">
        <v>616</v>
      </c>
      <c r="C734" s="573" t="s">
        <v>74</v>
      </c>
      <c r="D734" s="573"/>
      <c r="E734" s="573"/>
      <c r="F734" s="300">
        <v>31.1</v>
      </c>
      <c r="G734" s="300">
        <f t="shared" ref="G734:G736" si="298">F734</f>
        <v>31.1</v>
      </c>
      <c r="H734" s="301" t="s">
        <v>32</v>
      </c>
      <c r="I734" s="418">
        <f t="shared" si="296"/>
        <v>20643.080000000027</v>
      </c>
      <c r="J734" s="300">
        <f t="shared" si="297"/>
        <v>737.91999999997279</v>
      </c>
      <c r="K734" s="302">
        <f t="shared" si="289"/>
        <v>585.71865573720459</v>
      </c>
      <c r="L734" s="499"/>
      <c r="M734" s="293"/>
      <c r="N734" s="326"/>
      <c r="O734" s="37"/>
      <c r="P734" s="47"/>
    </row>
    <row r="735" spans="1:16" ht="21" customHeight="1">
      <c r="A735" s="561"/>
      <c r="B735" s="563"/>
      <c r="C735" s="573" t="s">
        <v>74</v>
      </c>
      <c r="D735" s="573"/>
      <c r="E735" s="573"/>
      <c r="F735" s="300">
        <v>31.02</v>
      </c>
      <c r="G735" s="300">
        <f t="shared" si="298"/>
        <v>31.02</v>
      </c>
      <c r="H735" s="301" t="s">
        <v>32</v>
      </c>
      <c r="I735" s="418">
        <f t="shared" si="296"/>
        <v>20674.100000000028</v>
      </c>
      <c r="J735" s="300">
        <f t="shared" si="297"/>
        <v>706.89999999997235</v>
      </c>
      <c r="K735" s="302">
        <f t="shared" si="289"/>
        <v>586.45605019098616</v>
      </c>
      <c r="L735" s="499"/>
      <c r="M735" s="593"/>
      <c r="N735" s="594"/>
      <c r="O735" s="37"/>
      <c r="P735" s="47"/>
    </row>
    <row r="736" spans="1:16" ht="21" customHeight="1">
      <c r="A736" s="561"/>
      <c r="B736" s="564"/>
      <c r="C736" s="573" t="s">
        <v>74</v>
      </c>
      <c r="D736" s="573"/>
      <c r="E736" s="573"/>
      <c r="F736" s="300">
        <v>31.07</v>
      </c>
      <c r="G736" s="300">
        <f t="shared" si="298"/>
        <v>31.07</v>
      </c>
      <c r="H736" s="301" t="s">
        <v>32</v>
      </c>
      <c r="I736" s="418">
        <f t="shared" si="296"/>
        <v>20705.170000000027</v>
      </c>
      <c r="J736" s="300">
        <f t="shared" si="297"/>
        <v>675.82999999997264</v>
      </c>
      <c r="K736" s="302">
        <f t="shared" si="289"/>
        <v>587.19463322383558</v>
      </c>
      <c r="L736" s="499"/>
      <c r="M736" s="593"/>
      <c r="N736" s="594"/>
      <c r="O736" s="37"/>
      <c r="P736" s="47"/>
    </row>
    <row r="737" spans="1:16" ht="21" customHeight="1">
      <c r="A737" s="561">
        <f>A734+1</f>
        <v>124</v>
      </c>
      <c r="B737" s="565" t="s">
        <v>617</v>
      </c>
      <c r="C737" s="574" t="s">
        <v>74</v>
      </c>
      <c r="D737" s="574"/>
      <c r="E737" s="574"/>
      <c r="F737" s="246">
        <v>31.01</v>
      </c>
      <c r="G737" s="246">
        <f t="shared" si="257"/>
        <v>31.01</v>
      </c>
      <c r="H737" s="247" t="s">
        <v>32</v>
      </c>
      <c r="I737" s="282">
        <f t="shared" si="296"/>
        <v>20736.180000000026</v>
      </c>
      <c r="J737" s="207">
        <f t="shared" si="297"/>
        <v>644.81999999997424</v>
      </c>
      <c r="K737" s="209">
        <f t="shared" si="289"/>
        <v>587.93178996180359</v>
      </c>
      <c r="L737" s="496"/>
      <c r="M737" s="593"/>
      <c r="N737" s="594"/>
      <c r="O737" s="37"/>
      <c r="P737" s="47"/>
    </row>
    <row r="738" spans="1:16" ht="21" customHeight="1">
      <c r="A738" s="561"/>
      <c r="B738" s="566"/>
      <c r="C738" s="574" t="s">
        <v>74</v>
      </c>
      <c r="D738" s="574"/>
      <c r="E738" s="574"/>
      <c r="F738" s="246">
        <v>31.28</v>
      </c>
      <c r="G738" s="246">
        <f t="shared" si="257"/>
        <v>31.28</v>
      </c>
      <c r="H738" s="247" t="s">
        <v>32</v>
      </c>
      <c r="I738" s="282">
        <f t="shared" si="296"/>
        <v>20767.460000000025</v>
      </c>
      <c r="J738" s="207">
        <f t="shared" si="297"/>
        <v>613.53999999997541</v>
      </c>
      <c r="K738" s="209">
        <f t="shared" si="289"/>
        <v>588.67536502673852</v>
      </c>
      <c r="L738" s="496"/>
      <c r="M738" s="593"/>
      <c r="N738" s="594"/>
      <c r="O738" s="37"/>
      <c r="P738" s="47"/>
    </row>
    <row r="739" spans="1:16" ht="21" customHeight="1">
      <c r="A739" s="561"/>
      <c r="B739" s="567"/>
      <c r="C739" s="574" t="s">
        <v>74</v>
      </c>
      <c r="D739" s="574"/>
      <c r="E739" s="574"/>
      <c r="F739" s="246">
        <v>31.06</v>
      </c>
      <c r="G739" s="246">
        <f t="shared" si="257"/>
        <v>31.06</v>
      </c>
      <c r="H739" s="247" t="s">
        <v>32</v>
      </c>
      <c r="I739" s="419">
        <f t="shared" si="292"/>
        <v>20798.520000000026</v>
      </c>
      <c r="J739" s="246">
        <f t="shared" si="293"/>
        <v>582.4799999999741</v>
      </c>
      <c r="K739" s="209">
        <f t="shared" si="289"/>
        <v>589.41371034377448</v>
      </c>
      <c r="L739" s="496"/>
      <c r="M739" s="593"/>
      <c r="N739" s="594"/>
      <c r="O739" s="37"/>
      <c r="P739" s="47"/>
    </row>
    <row r="740" spans="1:16" ht="21" customHeight="1">
      <c r="A740" s="561">
        <f t="shared" ref="A740" si="299">A737+1</f>
        <v>125</v>
      </c>
      <c r="B740" s="562" t="s">
        <v>618</v>
      </c>
      <c r="C740" s="573" t="s">
        <v>74</v>
      </c>
      <c r="D740" s="573"/>
      <c r="E740" s="573"/>
      <c r="F740" s="300">
        <v>31.38</v>
      </c>
      <c r="G740" s="300">
        <f t="shared" si="257"/>
        <v>31.38</v>
      </c>
      <c r="H740" s="301" t="s">
        <v>32</v>
      </c>
      <c r="I740" s="418">
        <f t="shared" ref="I740:I750" si="300">IF(H740="IN",I739+G740,I739)</f>
        <v>20829.900000000027</v>
      </c>
      <c r="J740" s="300">
        <f t="shared" ref="J740:J750" si="301">IF(I740="","",$M$9-I740)</f>
        <v>551.09999999997308</v>
      </c>
      <c r="K740" s="302">
        <f t="shared" si="289"/>
        <v>590.15966256684555</v>
      </c>
      <c r="L740" s="499"/>
      <c r="M740" s="593"/>
      <c r="N740" s="594"/>
      <c r="O740" s="37"/>
      <c r="P740" s="47"/>
    </row>
    <row r="741" spans="1:16" ht="21" customHeight="1">
      <c r="A741" s="561"/>
      <c r="B741" s="563"/>
      <c r="C741" s="573" t="s">
        <v>74</v>
      </c>
      <c r="D741" s="573"/>
      <c r="E741" s="573"/>
      <c r="F741" s="300">
        <v>31.25</v>
      </c>
      <c r="G741" s="300">
        <f t="shared" si="257"/>
        <v>31.25</v>
      </c>
      <c r="H741" s="301" t="s">
        <v>32</v>
      </c>
      <c r="I741" s="418">
        <f t="shared" si="300"/>
        <v>20861.150000000027</v>
      </c>
      <c r="J741" s="300">
        <f t="shared" si="301"/>
        <v>519.84999999997308</v>
      </c>
      <c r="K741" s="302">
        <f t="shared" si="289"/>
        <v>590.90252448433989</v>
      </c>
      <c r="L741" s="499"/>
      <c r="M741" s="593"/>
      <c r="N741" s="594"/>
      <c r="O741" s="37"/>
      <c r="P741" s="47"/>
    </row>
    <row r="742" spans="1:16" ht="21" customHeight="1">
      <c r="A742" s="561"/>
      <c r="B742" s="564"/>
      <c r="C742" s="573" t="s">
        <v>74</v>
      </c>
      <c r="D742" s="573"/>
      <c r="E742" s="573"/>
      <c r="F742" s="300">
        <v>31.24</v>
      </c>
      <c r="G742" s="300">
        <f t="shared" si="257"/>
        <v>31.24</v>
      </c>
      <c r="H742" s="301" t="s">
        <v>32</v>
      </c>
      <c r="I742" s="418">
        <f t="shared" si="300"/>
        <v>20892.390000000029</v>
      </c>
      <c r="J742" s="300">
        <f t="shared" si="301"/>
        <v>488.60999999997148</v>
      </c>
      <c r="K742" s="302">
        <f t="shared" si="289"/>
        <v>591.64514868602055</v>
      </c>
      <c r="L742" s="499"/>
      <c r="M742" s="593"/>
      <c r="N742" s="594"/>
      <c r="O742" s="37"/>
      <c r="P742" s="47"/>
    </row>
    <row r="743" spans="1:16" ht="21" customHeight="1">
      <c r="A743" s="561">
        <f t="shared" ref="A743" si="302">A740+1</f>
        <v>126</v>
      </c>
      <c r="B743" s="565" t="s">
        <v>619</v>
      </c>
      <c r="C743" s="574" t="s">
        <v>74</v>
      </c>
      <c r="D743" s="574"/>
      <c r="E743" s="574"/>
      <c r="F743" s="246">
        <v>31.24</v>
      </c>
      <c r="G743" s="246">
        <f t="shared" si="257"/>
        <v>31.24</v>
      </c>
      <c r="H743" s="247" t="s">
        <v>32</v>
      </c>
      <c r="I743" s="419">
        <f t="shared" si="300"/>
        <v>20923.63000000003</v>
      </c>
      <c r="J743" s="246">
        <f t="shared" si="301"/>
        <v>457.36999999996988</v>
      </c>
      <c r="K743" s="209">
        <f t="shared" si="289"/>
        <v>592.3877728877012</v>
      </c>
      <c r="L743" s="496"/>
      <c r="M743" s="593"/>
      <c r="N743" s="594"/>
      <c r="O743" s="37"/>
      <c r="P743" s="47"/>
    </row>
    <row r="744" spans="1:16" ht="21" customHeight="1">
      <c r="A744" s="561"/>
      <c r="B744" s="566"/>
      <c r="C744" s="574" t="s">
        <v>74</v>
      </c>
      <c r="D744" s="574"/>
      <c r="E744" s="574"/>
      <c r="F744" s="246">
        <v>31.03</v>
      </c>
      <c r="G744" s="246">
        <f t="shared" si="257"/>
        <v>31.03</v>
      </c>
      <c r="H744" s="247" t="s">
        <v>32</v>
      </c>
      <c r="I744" s="419">
        <f t="shared" si="300"/>
        <v>20954.660000000029</v>
      </c>
      <c r="J744" s="246">
        <f t="shared" si="301"/>
        <v>426.33999999997104</v>
      </c>
      <c r="K744" s="209">
        <f t="shared" si="289"/>
        <v>593.12540505729635</v>
      </c>
      <c r="L744" s="496"/>
      <c r="M744" s="593"/>
      <c r="N744" s="594"/>
      <c r="O744" s="37"/>
      <c r="P744" s="47"/>
    </row>
    <row r="745" spans="1:16" ht="21" customHeight="1">
      <c r="A745" s="561"/>
      <c r="B745" s="567"/>
      <c r="C745" s="574" t="s">
        <v>74</v>
      </c>
      <c r="D745" s="574"/>
      <c r="E745" s="574"/>
      <c r="F745" s="246">
        <v>31.15</v>
      </c>
      <c r="G745" s="246">
        <f t="shared" si="257"/>
        <v>31.15</v>
      </c>
      <c r="H745" s="247" t="s">
        <v>32</v>
      </c>
      <c r="I745" s="419">
        <f t="shared" si="300"/>
        <v>20985.81000000003</v>
      </c>
      <c r="J745" s="246">
        <f t="shared" si="301"/>
        <v>395.18999999996959</v>
      </c>
      <c r="K745" s="209">
        <f t="shared" si="289"/>
        <v>593.86588981665477</v>
      </c>
      <c r="L745" s="496"/>
      <c r="M745" s="593"/>
      <c r="N745" s="594"/>
      <c r="O745" s="37"/>
      <c r="P745" s="47"/>
    </row>
    <row r="746" spans="1:16" ht="21" customHeight="1">
      <c r="A746" s="561">
        <f t="shared" ref="A746" si="303">A743+1</f>
        <v>127</v>
      </c>
      <c r="B746" s="562" t="s">
        <v>620</v>
      </c>
      <c r="C746" s="573" t="s">
        <v>74</v>
      </c>
      <c r="D746" s="573"/>
      <c r="E746" s="573"/>
      <c r="F746" s="300">
        <v>31.24</v>
      </c>
      <c r="G746" s="300">
        <f t="shared" si="257"/>
        <v>31.24</v>
      </c>
      <c r="H746" s="301" t="s">
        <v>32</v>
      </c>
      <c r="I746" s="418">
        <f t="shared" si="300"/>
        <v>21017.050000000032</v>
      </c>
      <c r="J746" s="300">
        <f t="shared" si="301"/>
        <v>363.94999999996799</v>
      </c>
      <c r="K746" s="302">
        <f t="shared" si="289"/>
        <v>594.60851401833531</v>
      </c>
      <c r="L746" s="499"/>
      <c r="M746" s="593"/>
      <c r="N746" s="594"/>
      <c r="O746" s="37"/>
      <c r="P746" s="47"/>
    </row>
    <row r="747" spans="1:16" ht="21" customHeight="1">
      <c r="A747" s="561"/>
      <c r="B747" s="563"/>
      <c r="C747" s="573" t="s">
        <v>74</v>
      </c>
      <c r="D747" s="573"/>
      <c r="E747" s="573"/>
      <c r="F747" s="300">
        <v>30.92</v>
      </c>
      <c r="G747" s="300">
        <f t="shared" si="257"/>
        <v>30.92</v>
      </c>
      <c r="H747" s="301" t="s">
        <v>32</v>
      </c>
      <c r="I747" s="418">
        <f t="shared" si="300"/>
        <v>21047.97000000003</v>
      </c>
      <c r="J747" s="300">
        <f t="shared" si="301"/>
        <v>333.02999999996973</v>
      </c>
      <c r="K747" s="302">
        <f t="shared" si="289"/>
        <v>595.34353131398075</v>
      </c>
      <c r="L747" s="499"/>
      <c r="M747" s="593"/>
      <c r="N747" s="594"/>
      <c r="O747" s="37"/>
      <c r="P747" s="47"/>
    </row>
    <row r="748" spans="1:16" ht="21" customHeight="1">
      <c r="A748" s="561"/>
      <c r="B748" s="564"/>
      <c r="C748" s="573" t="s">
        <v>74</v>
      </c>
      <c r="D748" s="573"/>
      <c r="E748" s="573"/>
      <c r="F748" s="300">
        <v>31.02</v>
      </c>
      <c r="G748" s="300">
        <f t="shared" si="257"/>
        <v>31.02</v>
      </c>
      <c r="H748" s="301" t="s">
        <v>32</v>
      </c>
      <c r="I748" s="418">
        <f t="shared" si="300"/>
        <v>21078.990000000031</v>
      </c>
      <c r="J748" s="300">
        <f t="shared" si="301"/>
        <v>302.0099999999693</v>
      </c>
      <c r="K748" s="302">
        <f t="shared" si="289"/>
        <v>596.08092576776244</v>
      </c>
      <c r="L748" s="499"/>
      <c r="M748" s="593"/>
      <c r="N748" s="594"/>
      <c r="O748" s="195"/>
      <c r="P748" s="47"/>
    </row>
    <row r="749" spans="1:16" ht="21" customHeight="1">
      <c r="A749" s="561">
        <f t="shared" ref="A749" si="304">A746+1</f>
        <v>128</v>
      </c>
      <c r="B749" s="565" t="s">
        <v>621</v>
      </c>
      <c r="C749" s="574" t="s">
        <v>74</v>
      </c>
      <c r="D749" s="574"/>
      <c r="E749" s="574"/>
      <c r="F749" s="246">
        <v>30.96</v>
      </c>
      <c r="G749" s="246">
        <f t="shared" si="257"/>
        <v>30.96</v>
      </c>
      <c r="H749" s="247" t="s">
        <v>32</v>
      </c>
      <c r="I749" s="419">
        <f t="shared" si="300"/>
        <v>21109.95000000003</v>
      </c>
      <c r="J749" s="246">
        <f t="shared" si="301"/>
        <v>271.04999999997017</v>
      </c>
      <c r="K749" s="209">
        <f t="shared" si="289"/>
        <v>596.81689392666226</v>
      </c>
      <c r="L749" s="496"/>
      <c r="M749" s="593"/>
      <c r="N749" s="594"/>
      <c r="O749" s="195"/>
      <c r="P749" s="47"/>
    </row>
    <row r="750" spans="1:16" ht="21" customHeight="1">
      <c r="A750" s="561"/>
      <c r="B750" s="566"/>
      <c r="C750" s="574" t="s">
        <v>74</v>
      </c>
      <c r="D750" s="574"/>
      <c r="E750" s="574"/>
      <c r="F750" s="246">
        <v>31.07</v>
      </c>
      <c r="G750" s="246">
        <f t="shared" si="257"/>
        <v>31.07</v>
      </c>
      <c r="H750" s="247" t="s">
        <v>32</v>
      </c>
      <c r="I750" s="419">
        <f t="shared" si="300"/>
        <v>21141.02000000003</v>
      </c>
      <c r="J750" s="246">
        <f t="shared" si="301"/>
        <v>239.97999999997046</v>
      </c>
      <c r="K750" s="209">
        <f t="shared" si="289"/>
        <v>597.55547695951179</v>
      </c>
      <c r="L750" s="496"/>
      <c r="M750" s="593"/>
      <c r="N750" s="594"/>
      <c r="O750" s="195"/>
      <c r="P750" s="47"/>
    </row>
    <row r="751" spans="1:16" ht="21" customHeight="1">
      <c r="A751" s="561"/>
      <c r="B751" s="567"/>
      <c r="C751" s="595" t="s">
        <v>74</v>
      </c>
      <c r="D751" s="595"/>
      <c r="E751" s="595"/>
      <c r="F751" s="275">
        <v>31.02</v>
      </c>
      <c r="G751" s="275">
        <f t="shared" si="257"/>
        <v>31.02</v>
      </c>
      <c r="H751" s="276" t="s">
        <v>32</v>
      </c>
      <c r="I751" s="419">
        <f t="shared" ref="I751:I752" si="305">IF(H751="IN",I750+G751,I750)</f>
        <v>21172.04000000003</v>
      </c>
      <c r="J751" s="246">
        <f t="shared" ref="J751:J752" si="306">IF(I751="","",$M$9-I751)</f>
        <v>208.95999999997002</v>
      </c>
      <c r="K751" s="209">
        <f t="shared" si="289"/>
        <v>598.29287141329337</v>
      </c>
      <c r="L751" s="496"/>
      <c r="M751" s="593"/>
      <c r="N751" s="594"/>
      <c r="O751" s="195"/>
      <c r="P751" s="47"/>
    </row>
    <row r="752" spans="1:16" ht="21" customHeight="1" thickBot="1">
      <c r="A752" s="561">
        <f t="shared" ref="A752" si="307">A749+1</f>
        <v>129</v>
      </c>
      <c r="B752" s="562" t="s">
        <v>622</v>
      </c>
      <c r="C752" s="573" t="s">
        <v>74</v>
      </c>
      <c r="D752" s="573"/>
      <c r="E752" s="573"/>
      <c r="F752" s="300">
        <v>31.15</v>
      </c>
      <c r="G752" s="300">
        <f t="shared" ref="G752:G757" si="308">F752</f>
        <v>31.15</v>
      </c>
      <c r="H752" s="301" t="s">
        <v>32</v>
      </c>
      <c r="I752" s="418">
        <f t="shared" si="305"/>
        <v>21203.190000000031</v>
      </c>
      <c r="J752" s="300">
        <f t="shared" si="306"/>
        <v>177.80999999996857</v>
      </c>
      <c r="K752" s="302">
        <f t="shared" si="289"/>
        <v>599.03335617265168</v>
      </c>
      <c r="L752" s="499"/>
      <c r="M752" s="593"/>
      <c r="N752" s="594"/>
      <c r="O752" s="197"/>
      <c r="P752" s="47"/>
    </row>
    <row r="753" spans="1:27" ht="21" customHeight="1">
      <c r="A753" s="561"/>
      <c r="B753" s="563"/>
      <c r="C753" s="573" t="s">
        <v>74</v>
      </c>
      <c r="D753" s="573"/>
      <c r="E753" s="573"/>
      <c r="F753" s="300">
        <v>30.86</v>
      </c>
      <c r="G753" s="300">
        <f t="shared" si="308"/>
        <v>30.86</v>
      </c>
      <c r="H753" s="301" t="s">
        <v>32</v>
      </c>
      <c r="I753" s="418">
        <f t="shared" ref="I753:I757" si="309">IF(H753="IN",I752+G753,I752)</f>
        <v>21234.050000000032</v>
      </c>
      <c r="J753" s="300">
        <f t="shared" ref="J753:J757" si="310">IF(I753="","",$M$9-I753)</f>
        <v>146.94999999996799</v>
      </c>
      <c r="K753" s="302">
        <f t="shared" si="289"/>
        <v>599.76694717341559</v>
      </c>
      <c r="L753" s="499"/>
      <c r="M753" s="593"/>
      <c r="N753" s="594"/>
      <c r="O753" s="196"/>
      <c r="P753" s="47"/>
      <c r="Q753" s="799" t="s">
        <v>396</v>
      </c>
      <c r="R753" s="800"/>
    </row>
    <row r="754" spans="1:27" ht="21" customHeight="1">
      <c r="A754" s="561"/>
      <c r="B754" s="564"/>
      <c r="C754" s="573" t="s">
        <v>74</v>
      </c>
      <c r="D754" s="573"/>
      <c r="E754" s="573"/>
      <c r="F754" s="300">
        <v>30.92</v>
      </c>
      <c r="G754" s="300">
        <f t="shared" si="308"/>
        <v>30.92</v>
      </c>
      <c r="H754" s="301" t="s">
        <v>32</v>
      </c>
      <c r="I754" s="418">
        <f t="shared" si="309"/>
        <v>21264.97000000003</v>
      </c>
      <c r="J754" s="300">
        <f t="shared" si="310"/>
        <v>116.02999999996973</v>
      </c>
      <c r="K754" s="302">
        <f t="shared" si="289"/>
        <v>600.50196446906102</v>
      </c>
      <c r="L754" s="499"/>
      <c r="M754" s="593"/>
      <c r="N754" s="594"/>
      <c r="O754" s="196"/>
      <c r="P754" s="47"/>
      <c r="Q754" s="801"/>
      <c r="R754" s="802"/>
    </row>
    <row r="755" spans="1:27" ht="21" customHeight="1">
      <c r="A755" s="561">
        <f t="shared" ref="A755" si="311">A752+1</f>
        <v>130</v>
      </c>
      <c r="B755" s="565" t="s">
        <v>623</v>
      </c>
      <c r="C755" s="574" t="s">
        <v>74</v>
      </c>
      <c r="D755" s="574"/>
      <c r="E755" s="574"/>
      <c r="F755" s="246">
        <v>31.35</v>
      </c>
      <c r="G755" s="246">
        <f t="shared" si="308"/>
        <v>31.35</v>
      </c>
      <c r="H755" s="247" t="s">
        <v>32</v>
      </c>
      <c r="I755" s="419">
        <f t="shared" si="309"/>
        <v>21296.320000000029</v>
      </c>
      <c r="J755" s="246">
        <f t="shared" si="310"/>
        <v>84.679999999971187</v>
      </c>
      <c r="K755" s="209">
        <f t="shared" si="289"/>
        <v>601.24720354469127</v>
      </c>
      <c r="L755" s="497"/>
      <c r="M755" s="374"/>
      <c r="N755" s="375"/>
      <c r="O755" s="196"/>
      <c r="P755" s="47"/>
      <c r="Q755" s="376"/>
      <c r="R755" s="377"/>
    </row>
    <row r="756" spans="1:27" ht="21" customHeight="1">
      <c r="A756" s="561"/>
      <c r="B756" s="566"/>
      <c r="C756" s="574" t="s">
        <v>74</v>
      </c>
      <c r="D756" s="574"/>
      <c r="E756" s="574"/>
      <c r="F756" s="246">
        <v>31.3</v>
      </c>
      <c r="G756" s="246">
        <f t="shared" si="308"/>
        <v>31.3</v>
      </c>
      <c r="H756" s="247" t="s">
        <v>32</v>
      </c>
      <c r="I756" s="419">
        <f t="shared" si="309"/>
        <v>21327.620000000028</v>
      </c>
      <c r="J756" s="246">
        <f t="shared" si="310"/>
        <v>53.379999999971915</v>
      </c>
      <c r="K756" s="209">
        <f t="shared" si="289"/>
        <v>601.99125404125357</v>
      </c>
      <c r="L756" s="497"/>
      <c r="M756" s="374"/>
      <c r="N756" s="375"/>
      <c r="O756" s="196"/>
      <c r="P756" s="47"/>
      <c r="Q756" s="376"/>
      <c r="R756" s="377"/>
    </row>
    <row r="757" spans="1:27" ht="21" customHeight="1">
      <c r="A757" s="561"/>
      <c r="B757" s="567"/>
      <c r="C757" s="595" t="s">
        <v>74</v>
      </c>
      <c r="D757" s="595"/>
      <c r="E757" s="595"/>
      <c r="F757" s="275">
        <v>31.08</v>
      </c>
      <c r="G757" s="275">
        <f t="shared" si="308"/>
        <v>31.08</v>
      </c>
      <c r="H757" s="276" t="s">
        <v>32</v>
      </c>
      <c r="I757" s="419">
        <f t="shared" si="309"/>
        <v>21358.70000000003</v>
      </c>
      <c r="J757" s="246">
        <f t="shared" si="310"/>
        <v>22.299999999970169</v>
      </c>
      <c r="K757" s="209">
        <f t="shared" si="289"/>
        <v>602.73007478991667</v>
      </c>
      <c r="L757" s="497"/>
      <c r="M757" s="374"/>
      <c r="N757" s="375"/>
      <c r="O757" s="196"/>
      <c r="P757" s="47"/>
      <c r="Q757" s="376"/>
      <c r="R757" s="377"/>
    </row>
    <row r="758" spans="1:27" ht="21" customHeight="1">
      <c r="A758" s="388" t="s">
        <v>628</v>
      </c>
      <c r="B758" s="554" t="s">
        <v>562</v>
      </c>
      <c r="C758" s="555"/>
      <c r="D758" s="555"/>
      <c r="E758" s="556"/>
      <c r="F758" s="246">
        <v>14.95</v>
      </c>
      <c r="G758" s="246">
        <f t="shared" ref="G758:G759" si="312">F758</f>
        <v>14.95</v>
      </c>
      <c r="H758" s="246" t="s">
        <v>32</v>
      </c>
      <c r="I758" s="419">
        <f t="shared" ref="I758" si="313">IF(H758="IN",I757+G758,I757)</f>
        <v>21373.650000000031</v>
      </c>
      <c r="J758" s="246">
        <f t="shared" ref="J758" si="314">IF(I758="","",$M$9-I758)</f>
        <v>7.349999999969441</v>
      </c>
      <c r="K758" s="209">
        <f t="shared" ref="K758" si="315">$H$8+(I758*$E$9*$E$15/1000)</f>
        <v>603.08545993124608</v>
      </c>
      <c r="L758" s="496"/>
      <c r="M758" s="557"/>
      <c r="N758" s="558"/>
      <c r="O758" s="196"/>
      <c r="P758" s="48"/>
    </row>
    <row r="759" spans="1:27" ht="21" customHeight="1">
      <c r="A759" s="388" t="s">
        <v>628</v>
      </c>
      <c r="B759" s="554" t="s">
        <v>562</v>
      </c>
      <c r="C759" s="555"/>
      <c r="D759" s="555"/>
      <c r="E759" s="556"/>
      <c r="F759" s="246">
        <v>10.15</v>
      </c>
      <c r="G759" s="246">
        <f t="shared" si="312"/>
        <v>10.15</v>
      </c>
      <c r="H759" s="246" t="s">
        <v>32</v>
      </c>
      <c r="I759" s="419">
        <f t="shared" ref="I759:I761" si="316">IF(H759="IN",I758+G759,I758)</f>
        <v>21383.800000000032</v>
      </c>
      <c r="J759" s="246">
        <f t="shared" ref="J759:J761" si="317">IF(I759="","",$M$9-I759)</f>
        <v>-2.8000000000320142</v>
      </c>
      <c r="K759" s="248">
        <f t="shared" ref="K759:K761" si="318">$H$8+(I759*$E$9*$E$15/1000)</f>
        <v>603.32674148204819</v>
      </c>
      <c r="L759" s="508"/>
      <c r="M759" s="557"/>
      <c r="N759" s="558"/>
      <c r="O759" s="196"/>
      <c r="P759" s="48"/>
    </row>
    <row r="760" spans="1:27" ht="21" hidden="1" customHeight="1">
      <c r="A760" s="388"/>
      <c r="B760" s="554"/>
      <c r="C760" s="555"/>
      <c r="D760" s="555"/>
      <c r="E760" s="556"/>
      <c r="F760" s="409"/>
      <c r="G760" s="409"/>
      <c r="H760" s="410" t="s">
        <v>35</v>
      </c>
      <c r="I760" s="422">
        <f t="shared" si="316"/>
        <v>21383.800000000032</v>
      </c>
      <c r="J760" s="275">
        <f t="shared" si="317"/>
        <v>-2.8000000000320142</v>
      </c>
      <c r="K760" s="412">
        <f t="shared" si="318"/>
        <v>603.32674148204819</v>
      </c>
      <c r="L760" s="509"/>
      <c r="M760" s="559"/>
      <c r="N760" s="560"/>
      <c r="O760" s="196"/>
      <c r="P760" s="48"/>
    </row>
    <row r="761" spans="1:27" ht="15" hidden="1" customHeight="1">
      <c r="A761" s="388"/>
      <c r="B761" s="554"/>
      <c r="C761" s="555"/>
      <c r="D761" s="555"/>
      <c r="E761" s="556"/>
      <c r="F761" s="409"/>
      <c r="G761" s="409"/>
      <c r="H761" s="410" t="s">
        <v>35</v>
      </c>
      <c r="I761" s="419">
        <f t="shared" si="316"/>
        <v>21383.800000000032</v>
      </c>
      <c r="J761" s="246">
        <f t="shared" si="317"/>
        <v>-2.8000000000320142</v>
      </c>
      <c r="K761" s="248">
        <f t="shared" si="318"/>
        <v>603.32674148204819</v>
      </c>
      <c r="L761" s="510"/>
      <c r="M761" s="298" t="s">
        <v>568</v>
      </c>
      <c r="N761" s="299">
        <f>M10</f>
        <v>21386</v>
      </c>
      <c r="O761" s="197"/>
      <c r="P761" s="48"/>
    </row>
    <row r="762" spans="1:27" ht="15" hidden="1" customHeight="1">
      <c r="A762" s="632" t="s">
        <v>395</v>
      </c>
      <c r="B762" s="633"/>
      <c r="C762" s="629"/>
      <c r="D762" s="629"/>
      <c r="E762" s="629"/>
      <c r="F762" s="413"/>
      <c r="G762" s="411"/>
      <c r="H762" s="414" t="s">
        <v>35</v>
      </c>
      <c r="I762" s="423">
        <f t="shared" ref="I762" si="319">IF(H762="IN",I761+G762,I761)</f>
        <v>21383.800000000032</v>
      </c>
      <c r="J762" s="411">
        <f t="shared" ref="J762" si="320">IF(I762="","",$M$9-I762)</f>
        <v>-2.8000000000320142</v>
      </c>
      <c r="K762" s="467">
        <f t="shared" ref="K762" si="321">$H$8+(I762*$E$9*$E$15/1000)</f>
        <v>603.32674148204819</v>
      </c>
      <c r="L762" s="506"/>
      <c r="M762" s="320" t="s">
        <v>87</v>
      </c>
      <c r="N762" s="321"/>
      <c r="O762" s="529"/>
      <c r="P762" s="48"/>
    </row>
    <row r="763" spans="1:27" ht="15" customHeight="1">
      <c r="A763" s="632"/>
      <c r="B763" s="633"/>
      <c r="C763" s="630" t="s">
        <v>563</v>
      </c>
      <c r="D763" s="630"/>
      <c r="E763" s="630"/>
      <c r="F763" s="300">
        <v>3.5</v>
      </c>
      <c r="G763" s="300">
        <f>F763</f>
        <v>3.5</v>
      </c>
      <c r="H763" s="303" t="s">
        <v>32</v>
      </c>
      <c r="I763" s="418">
        <f t="shared" si="266"/>
        <v>21387.300000000032</v>
      </c>
      <c r="J763" s="304">
        <f t="shared" si="252"/>
        <v>-6.3000000000320142</v>
      </c>
      <c r="K763" s="626" t="s">
        <v>76</v>
      </c>
      <c r="L763" s="511"/>
      <c r="M763" s="636"/>
      <c r="N763" s="637"/>
      <c r="O763" s="4"/>
      <c r="P763" s="49"/>
    </row>
    <row r="764" spans="1:27" ht="15" customHeight="1">
      <c r="A764" s="632"/>
      <c r="B764" s="633"/>
      <c r="C764" s="630" t="s">
        <v>564</v>
      </c>
      <c r="D764" s="630"/>
      <c r="E764" s="630"/>
      <c r="F764" s="300">
        <v>3.8</v>
      </c>
      <c r="G764" s="300">
        <f t="shared" ref="G764:G768" si="322">F764</f>
        <v>3.8</v>
      </c>
      <c r="H764" s="303" t="s">
        <v>32</v>
      </c>
      <c r="I764" s="418">
        <f t="shared" si="266"/>
        <v>21391.100000000031</v>
      </c>
      <c r="J764" s="305">
        <f t="shared" si="252"/>
        <v>-10.100000000031287</v>
      </c>
      <c r="K764" s="627"/>
      <c r="L764" s="511"/>
      <c r="M764" s="636"/>
      <c r="N764" s="637"/>
      <c r="O764" s="4"/>
      <c r="P764" s="49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ht="15" customHeight="1">
      <c r="A765" s="632"/>
      <c r="B765" s="633"/>
      <c r="C765" s="630" t="s">
        <v>565</v>
      </c>
      <c r="D765" s="630"/>
      <c r="E765" s="630"/>
      <c r="F765" s="300">
        <v>14.9</v>
      </c>
      <c r="G765" s="300">
        <f t="shared" si="322"/>
        <v>14.9</v>
      </c>
      <c r="H765" s="303" t="s">
        <v>32</v>
      </c>
      <c r="I765" s="418">
        <f t="shared" si="266"/>
        <v>21406.000000000033</v>
      </c>
      <c r="J765" s="305">
        <f t="shared" si="252"/>
        <v>-25.000000000032742</v>
      </c>
      <c r="K765" s="627"/>
      <c r="L765" s="511"/>
      <c r="M765" s="636"/>
      <c r="N765" s="637"/>
      <c r="O765" s="33"/>
      <c r="P765" s="49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ht="15" customHeight="1">
      <c r="A766" s="632"/>
      <c r="B766" s="633"/>
      <c r="C766" s="630" t="s">
        <v>566</v>
      </c>
      <c r="D766" s="630"/>
      <c r="E766" s="630"/>
      <c r="F766" s="300">
        <v>3.5</v>
      </c>
      <c r="G766" s="300">
        <f t="shared" si="322"/>
        <v>3.5</v>
      </c>
      <c r="H766" s="303" t="s">
        <v>32</v>
      </c>
      <c r="I766" s="418">
        <f t="shared" si="266"/>
        <v>21409.500000000033</v>
      </c>
      <c r="J766" s="305">
        <f t="shared" si="252"/>
        <v>-28.500000000032742</v>
      </c>
      <c r="K766" s="627"/>
      <c r="L766" s="511"/>
      <c r="M766" s="320"/>
      <c r="N766" s="321"/>
      <c r="O766" s="53"/>
      <c r="P766" s="50"/>
    </row>
    <row r="767" spans="1:27" ht="15" customHeight="1" thickBot="1">
      <c r="A767" s="632"/>
      <c r="B767" s="633"/>
      <c r="C767" s="630" t="s">
        <v>563</v>
      </c>
      <c r="D767" s="630"/>
      <c r="E767" s="630"/>
      <c r="F767" s="300">
        <v>3.5</v>
      </c>
      <c r="G767" s="300">
        <f t="shared" si="322"/>
        <v>3.5</v>
      </c>
      <c r="H767" s="303" t="s">
        <v>32</v>
      </c>
      <c r="I767" s="418">
        <f t="shared" si="266"/>
        <v>21413.000000000033</v>
      </c>
      <c r="J767" s="305">
        <f t="shared" si="252"/>
        <v>-32.000000000032742</v>
      </c>
      <c r="K767" s="627"/>
      <c r="L767" s="511"/>
      <c r="M767" s="669"/>
      <c r="N767" s="670"/>
      <c r="O767" s="53"/>
      <c r="P767" s="51"/>
    </row>
    <row r="768" spans="1:27" ht="15.75" thickBot="1">
      <c r="A768" s="634"/>
      <c r="B768" s="635"/>
      <c r="C768" s="631" t="s">
        <v>567</v>
      </c>
      <c r="D768" s="631"/>
      <c r="E768" s="631"/>
      <c r="F768" s="306">
        <v>10.1</v>
      </c>
      <c r="G768" s="306">
        <f t="shared" si="322"/>
        <v>10.1</v>
      </c>
      <c r="H768" s="307" t="s">
        <v>32</v>
      </c>
      <c r="I768" s="424">
        <f t="shared" si="266"/>
        <v>21423.100000000031</v>
      </c>
      <c r="J768" s="308">
        <f t="shared" si="252"/>
        <v>-42.100000000031287</v>
      </c>
      <c r="K768" s="628"/>
      <c r="L768" s="511"/>
      <c r="M768" s="685"/>
      <c r="N768" s="686"/>
      <c r="O768" s="53"/>
      <c r="P768" s="4"/>
    </row>
    <row r="769" spans="1:18">
      <c r="A769" s="662" t="s">
        <v>55</v>
      </c>
      <c r="B769" s="663"/>
      <c r="C769" s="663"/>
      <c r="D769" s="663"/>
      <c r="E769" s="664"/>
      <c r="F769" s="378">
        <f>SUM(F763:F768)</f>
        <v>39.299999999999997</v>
      </c>
      <c r="G769" s="379"/>
      <c r="H769" s="380"/>
      <c r="I769" s="380"/>
      <c r="J769" s="380"/>
      <c r="K769" s="380"/>
      <c r="L769" s="380"/>
      <c r="N769" s="449"/>
      <c r="O769" s="53"/>
      <c r="P769" s="4"/>
    </row>
    <row r="770" spans="1:18" ht="15.75" hidden="1" thickBot="1">
      <c r="A770" s="450"/>
      <c r="B770" s="451"/>
      <c r="C770" s="451"/>
      <c r="D770" s="452"/>
      <c r="E770" s="453"/>
      <c r="F770" s="453"/>
      <c r="G770" s="453"/>
      <c r="H770" s="453"/>
      <c r="I770" s="453"/>
      <c r="J770" s="453"/>
      <c r="K770" s="451"/>
      <c r="L770" s="451"/>
      <c r="M770" s="454"/>
      <c r="N770" s="455"/>
      <c r="O770" s="53"/>
      <c r="P770" s="52"/>
    </row>
    <row r="771" spans="1:18" ht="16.5" hidden="1" thickTop="1" thickBot="1">
      <c r="A771" s="381"/>
      <c r="B771" s="382"/>
      <c r="C771" s="383"/>
      <c r="D771" s="384"/>
      <c r="E771" s="385"/>
      <c r="F771" s="385"/>
      <c r="G771" s="385"/>
      <c r="H771" s="386"/>
      <c r="I771" s="386"/>
      <c r="J771" s="386"/>
      <c r="K771" s="386"/>
      <c r="L771" s="386"/>
      <c r="M771" s="386" t="s">
        <v>645</v>
      </c>
      <c r="N771" s="478">
        <f>N14</f>
        <v>0.12</v>
      </c>
      <c r="O771" s="53"/>
      <c r="P771" s="53"/>
    </row>
    <row r="772" spans="1:18" ht="24" hidden="1">
      <c r="A772" s="665" t="s">
        <v>39</v>
      </c>
      <c r="B772" s="666"/>
      <c r="C772" s="666"/>
      <c r="D772" s="666"/>
      <c r="E772" s="666"/>
      <c r="F772" s="162" t="s">
        <v>59</v>
      </c>
      <c r="G772" s="162" t="s">
        <v>58</v>
      </c>
      <c r="H772" s="699" t="s">
        <v>40</v>
      </c>
      <c r="I772" s="700"/>
      <c r="J772" s="163" t="s">
        <v>45</v>
      </c>
      <c r="K772" s="164" t="s">
        <v>41</v>
      </c>
      <c r="L772" s="512"/>
      <c r="M772" s="701" t="s">
        <v>42</v>
      </c>
      <c r="N772" s="702"/>
      <c r="O772" s="198"/>
      <c r="P772" s="53"/>
      <c r="R772" s="32">
        <f>1/0.1187</f>
        <v>8.4245998315080026</v>
      </c>
    </row>
    <row r="773" spans="1:18" hidden="1">
      <c r="A773" s="655" t="s">
        <v>74</v>
      </c>
      <c r="B773" s="656"/>
      <c r="C773" s="656"/>
      <c r="D773" s="656"/>
      <c r="E773" s="656"/>
      <c r="F773" s="160">
        <v>4</v>
      </c>
      <c r="G773" s="458">
        <f>SUM(G336:G368,G402:G500,G505:G702,G734:G757,G758:G765)</f>
        <v>11055.919999999998</v>
      </c>
      <c r="H773" s="676">
        <v>2.01E-2</v>
      </c>
      <c r="I773" s="676"/>
      <c r="J773" s="459">
        <f>H773*G773</f>
        <v>222.22399199999995</v>
      </c>
      <c r="K773" s="460">
        <f t="shared" ref="K773:K778" si="323">J773/$N$14</f>
        <v>1851.8665999999996</v>
      </c>
      <c r="L773" s="460"/>
      <c r="M773" s="647">
        <f>K773</f>
        <v>1851.8665999999996</v>
      </c>
      <c r="N773" s="648"/>
      <c r="O773" s="198"/>
      <c r="P773" s="53"/>
    </row>
    <row r="774" spans="1:18" hidden="1">
      <c r="A774" s="655" t="s">
        <v>423</v>
      </c>
      <c r="B774" s="656"/>
      <c r="C774" s="656"/>
      <c r="D774" s="656"/>
      <c r="E774" s="656"/>
      <c r="F774" s="160">
        <v>4</v>
      </c>
      <c r="G774" s="458">
        <f>SUM(G332:G334,G370:G384)</f>
        <v>547.57000000000005</v>
      </c>
      <c r="H774" s="676">
        <v>1.03E-2</v>
      </c>
      <c r="I774" s="676"/>
      <c r="J774" s="459">
        <f>H774*G774</f>
        <v>5.639971000000001</v>
      </c>
      <c r="K774" s="460">
        <f t="shared" si="323"/>
        <v>46.99975833333334</v>
      </c>
      <c r="L774" s="460"/>
      <c r="M774" s="647">
        <f>K774+M773</f>
        <v>1898.866358333333</v>
      </c>
      <c r="N774" s="648"/>
      <c r="O774" s="198"/>
      <c r="P774" s="53"/>
      <c r="R774" s="32">
        <f>R772*2</f>
        <v>16.849199663016005</v>
      </c>
    </row>
    <row r="775" spans="1:18" hidden="1">
      <c r="A775" s="655" t="s">
        <v>572</v>
      </c>
      <c r="B775" s="656"/>
      <c r="C775" s="656"/>
      <c r="D775" s="656"/>
      <c r="E775" s="656"/>
      <c r="F775" s="160">
        <v>4</v>
      </c>
      <c r="G775" s="458">
        <f>SUM(G385:G401)</f>
        <v>464.40999999999991</v>
      </c>
      <c r="H775" s="676">
        <v>1.4500000000000001E-2</v>
      </c>
      <c r="I775" s="676"/>
      <c r="J775" s="459">
        <f>H775*G775</f>
        <v>6.7339449999999994</v>
      </c>
      <c r="K775" s="460">
        <f t="shared" ref="K775" si="324">J775/$N$14</f>
        <v>56.116208333333333</v>
      </c>
      <c r="L775" s="460"/>
      <c r="M775" s="647">
        <f>K775+M774</f>
        <v>1954.9825666666663</v>
      </c>
      <c r="N775" s="648"/>
      <c r="O775" s="198"/>
      <c r="P775" s="53"/>
    </row>
    <row r="776" spans="1:18" hidden="1">
      <c r="A776" s="655" t="s">
        <v>66</v>
      </c>
      <c r="B776" s="656"/>
      <c r="C776" s="656"/>
      <c r="D776" s="656"/>
      <c r="E776" s="656"/>
      <c r="F776" s="160">
        <v>3</v>
      </c>
      <c r="G776" s="458">
        <v>52.2</v>
      </c>
      <c r="H776" s="677" t="s">
        <v>44</v>
      </c>
      <c r="I776" s="677"/>
      <c r="J776" s="459">
        <v>0.63</v>
      </c>
      <c r="K776" s="460">
        <f t="shared" si="323"/>
        <v>5.25</v>
      </c>
      <c r="L776" s="460"/>
      <c r="M776" s="647">
        <f>K776+M775</f>
        <v>1960.2325666666663</v>
      </c>
      <c r="N776" s="648"/>
      <c r="O776" s="198"/>
      <c r="P776" s="53"/>
    </row>
    <row r="777" spans="1:18" hidden="1">
      <c r="A777" s="655" t="s">
        <v>53</v>
      </c>
      <c r="B777" s="656"/>
      <c r="C777" s="656"/>
      <c r="D777" s="656"/>
      <c r="E777" s="656"/>
      <c r="F777" s="160">
        <v>6.22</v>
      </c>
      <c r="G777" s="458">
        <f>SUM(G27:G277,G278:G283)</f>
        <v>9100.0924999999988</v>
      </c>
      <c r="H777" s="678">
        <f>(F777^2)/1029.4</f>
        <v>3.7583446667961908E-2</v>
      </c>
      <c r="I777" s="678"/>
      <c r="J777" s="459">
        <f>H777*G777</f>
        <v>342.01284114727008</v>
      </c>
      <c r="K777" s="460">
        <f t="shared" si="323"/>
        <v>2850.1070095605842</v>
      </c>
      <c r="L777" s="460"/>
      <c r="M777" s="647">
        <f>K777+M776</f>
        <v>4810.3395762272503</v>
      </c>
      <c r="N777" s="648"/>
      <c r="O777" s="198"/>
      <c r="P777" s="53"/>
    </row>
    <row r="778" spans="1:18" ht="15.75" hidden="1" thickBot="1">
      <c r="A778" s="657" t="s">
        <v>54</v>
      </c>
      <c r="B778" s="658"/>
      <c r="C778" s="658"/>
      <c r="D778" s="658"/>
      <c r="E778" s="658"/>
      <c r="F778" s="161">
        <v>6.22</v>
      </c>
      <c r="G778" s="461">
        <f>I24</f>
        <v>101.86499999999999</v>
      </c>
      <c r="H778" s="646">
        <f>(F778^2)/1029.4</f>
        <v>3.7583446667961908E-2</v>
      </c>
      <c r="I778" s="646"/>
      <c r="J778" s="462">
        <f>H778*G778</f>
        <v>3.8284377948319395</v>
      </c>
      <c r="K778" s="463">
        <f t="shared" si="323"/>
        <v>31.903648290266162</v>
      </c>
      <c r="L778" s="463"/>
      <c r="M778" s="697">
        <f>K778+M777</f>
        <v>4842.2432245175169</v>
      </c>
      <c r="N778" s="698"/>
      <c r="O778" s="198"/>
      <c r="P778" s="54"/>
    </row>
    <row r="779" spans="1:18" ht="15.75" hidden="1" thickBot="1">
      <c r="A779" s="673" t="s">
        <v>397</v>
      </c>
      <c r="B779" s="674"/>
      <c r="C779" s="674"/>
      <c r="D779" s="674"/>
      <c r="E779" s="674"/>
      <c r="F779" s="674"/>
      <c r="G779" s="674"/>
      <c r="H779" s="674"/>
      <c r="I779" s="675"/>
      <c r="J779" s="649">
        <f>(J773+J774+J775+J776)*0.6</f>
        <v>141.13674479999997</v>
      </c>
      <c r="K779" s="650"/>
      <c r="L779" s="513"/>
      <c r="M779" s="651">
        <f t="shared" ref="M779:M786" si="325">J779/$N$14</f>
        <v>1176.1395399999999</v>
      </c>
      <c r="N779" s="652"/>
      <c r="O779" s="198"/>
      <c r="P779" s="54"/>
    </row>
    <row r="780" spans="1:18" ht="15.75" hidden="1" thickBot="1">
      <c r="A780" s="679" t="s">
        <v>64</v>
      </c>
      <c r="B780" s="680"/>
      <c r="C780" s="680"/>
      <c r="D780" s="680"/>
      <c r="E780" s="680"/>
      <c r="F780" s="680"/>
      <c r="G780" s="680"/>
      <c r="H780" s="680"/>
      <c r="I780" s="681"/>
      <c r="J780" s="667">
        <f>SUM(J773:J776)</f>
        <v>235.22790799999996</v>
      </c>
      <c r="K780" s="668"/>
      <c r="L780" s="514"/>
      <c r="M780" s="653">
        <f t="shared" si="325"/>
        <v>1960.2325666666663</v>
      </c>
      <c r="N780" s="654"/>
      <c r="O780" s="4"/>
      <c r="P780" s="54"/>
    </row>
    <row r="781" spans="1:18" ht="15.75" hidden="1" thickBot="1">
      <c r="A781" s="679" t="s">
        <v>57</v>
      </c>
      <c r="B781" s="680"/>
      <c r="C781" s="680"/>
      <c r="D781" s="680"/>
      <c r="E781" s="680"/>
      <c r="F781" s="680"/>
      <c r="G781" s="680"/>
      <c r="H781" s="680"/>
      <c r="I781" s="681"/>
      <c r="J781" s="649">
        <f>SUM(J773:J778)</f>
        <v>581.06918694210196</v>
      </c>
      <c r="K781" s="650"/>
      <c r="L781" s="514"/>
      <c r="M781" s="653">
        <f t="shared" si="325"/>
        <v>4842.2432245175169</v>
      </c>
      <c r="N781" s="654"/>
      <c r="O781" s="4"/>
      <c r="P781" s="54"/>
    </row>
    <row r="782" spans="1:18" ht="15.75" hidden="1" thickBot="1">
      <c r="A782" s="679" t="s">
        <v>60</v>
      </c>
      <c r="B782" s="680"/>
      <c r="C782" s="680"/>
      <c r="D782" s="680"/>
      <c r="E782" s="680"/>
      <c r="F782" s="680"/>
      <c r="G782" s="680"/>
      <c r="H782" s="680"/>
      <c r="I782" s="681"/>
      <c r="J782" s="649">
        <f>SUM(J773:J777)</f>
        <v>577.24074914726998</v>
      </c>
      <c r="K782" s="650"/>
      <c r="L782" s="514"/>
      <c r="M782" s="653">
        <f t="shared" si="325"/>
        <v>4810.3395762272503</v>
      </c>
      <c r="N782" s="654"/>
      <c r="O782" s="4"/>
      <c r="P782" s="54"/>
    </row>
    <row r="783" spans="1:18" ht="15.75" hidden="1" thickBot="1">
      <c r="A783" s="679" t="s">
        <v>62</v>
      </c>
      <c r="B783" s="680"/>
      <c r="C783" s="680"/>
      <c r="D783" s="680"/>
      <c r="E783" s="680"/>
      <c r="F783" s="680"/>
      <c r="G783" s="680"/>
      <c r="H783" s="680"/>
      <c r="I783" s="681"/>
      <c r="J783" s="649">
        <f>J778/2</f>
        <v>1.9142188974159697</v>
      </c>
      <c r="K783" s="650"/>
      <c r="L783" s="514"/>
      <c r="M783" s="653">
        <f t="shared" si="325"/>
        <v>15.951824145133081</v>
      </c>
      <c r="N783" s="654"/>
      <c r="O783" s="4"/>
      <c r="P783" s="54"/>
    </row>
    <row r="784" spans="1:18" ht="15.75" hidden="1" thickBot="1">
      <c r="A784" s="679" t="s">
        <v>63</v>
      </c>
      <c r="B784" s="680"/>
      <c r="C784" s="680"/>
      <c r="D784" s="680"/>
      <c r="E784" s="680"/>
      <c r="F784" s="680"/>
      <c r="G784" s="680"/>
      <c r="H784" s="680"/>
      <c r="I784" s="681"/>
      <c r="J784" s="649">
        <f>((J782+J783)*2500*2.5/1000000)</f>
        <v>3.6197185502792872</v>
      </c>
      <c r="K784" s="650"/>
      <c r="L784" s="514"/>
      <c r="M784" s="653">
        <f t="shared" si="325"/>
        <v>30.164321252327394</v>
      </c>
      <c r="N784" s="654"/>
      <c r="O784" s="4"/>
      <c r="P784" s="55"/>
    </row>
    <row r="785" spans="1:16" ht="15.75" hidden="1" thickBot="1">
      <c r="A785" s="682" t="s">
        <v>65</v>
      </c>
      <c r="B785" s="683"/>
      <c r="C785" s="683"/>
      <c r="D785" s="683"/>
      <c r="E785" s="683"/>
      <c r="F785" s="683"/>
      <c r="G785" s="683"/>
      <c r="H785" s="683"/>
      <c r="I785" s="684"/>
      <c r="J785" s="649">
        <f>SUM(J782:K784)</f>
        <v>582.77468659496515</v>
      </c>
      <c r="K785" s="650"/>
      <c r="L785" s="514"/>
      <c r="M785" s="653">
        <f t="shared" si="325"/>
        <v>4856.4557216247094</v>
      </c>
      <c r="N785" s="654"/>
      <c r="O785" s="4"/>
      <c r="P785" s="4"/>
    </row>
    <row r="786" spans="1:16" ht="15.75" hidden="1" thickBot="1">
      <c r="A786" s="659" t="s">
        <v>390</v>
      </c>
      <c r="B786" s="660"/>
      <c r="C786" s="660"/>
      <c r="D786" s="660"/>
      <c r="E786" s="660"/>
      <c r="F786" s="660"/>
      <c r="G786" s="660"/>
      <c r="H786" s="660"/>
      <c r="I786" s="661"/>
      <c r="J786" s="667">
        <f>J785-10</f>
        <v>572.77468659496515</v>
      </c>
      <c r="K786" s="668"/>
      <c r="L786" s="514"/>
      <c r="M786" s="653">
        <f t="shared" si="325"/>
        <v>4773.1223882913764</v>
      </c>
      <c r="N786" s="654"/>
      <c r="P786" s="4"/>
    </row>
    <row r="787" spans="1:16" ht="15.75" hidden="1" thickBot="1">
      <c r="A787" s="456"/>
      <c r="B787" s="4"/>
      <c r="C787" s="4"/>
      <c r="D787" s="6"/>
      <c r="E787" s="4"/>
      <c r="F787" s="4"/>
      <c r="G787" s="4"/>
      <c r="H787" s="4"/>
      <c r="I787" s="4"/>
      <c r="J787" s="4"/>
      <c r="K787" s="4"/>
      <c r="L787" s="4"/>
      <c r="N787" s="457"/>
      <c r="P787" s="4"/>
    </row>
    <row r="788" spans="1:16" ht="15.75" hidden="1" thickBot="1">
      <c r="A788" s="813" t="s">
        <v>632</v>
      </c>
      <c r="B788" s="813"/>
      <c r="C788" s="813"/>
      <c r="D788" s="813"/>
      <c r="E788" s="813"/>
      <c r="F788" s="813"/>
      <c r="G788" s="813"/>
      <c r="H788" s="813"/>
      <c r="I788" s="813"/>
      <c r="J788" s="814">
        <f>Q431</f>
        <v>518.76191841315301</v>
      </c>
      <c r="K788" s="814"/>
      <c r="L788" s="481"/>
      <c r="M788" s="815">
        <f t="shared" ref="M788:M789" si="326">J788/$N$14</f>
        <v>4323.015986776275</v>
      </c>
      <c r="N788" s="815"/>
      <c r="P788" s="4"/>
    </row>
    <row r="789" spans="1:16" ht="15.75" hidden="1" thickBot="1">
      <c r="A789" s="813" t="s">
        <v>633</v>
      </c>
      <c r="B789" s="813"/>
      <c r="C789" s="813"/>
      <c r="D789" s="813"/>
      <c r="E789" s="813"/>
      <c r="F789" s="813"/>
      <c r="G789" s="813"/>
      <c r="H789" s="813"/>
      <c r="I789" s="813"/>
      <c r="J789" s="814" t="e">
        <f>#REF!</f>
        <v>#REF!</v>
      </c>
      <c r="K789" s="814"/>
      <c r="L789" s="481"/>
      <c r="M789" s="815" t="e">
        <f t="shared" si="326"/>
        <v>#REF!</v>
      </c>
      <c r="N789" s="815"/>
      <c r="P789" s="4"/>
    </row>
    <row r="790" spans="1:16" hidden="1">
      <c r="B790" s="4"/>
      <c r="C790" s="4"/>
      <c r="D790" s="6"/>
      <c r="E790" s="4"/>
      <c r="F790" s="4"/>
      <c r="G790" s="4"/>
      <c r="H790" s="4"/>
      <c r="I790" s="4"/>
      <c r="J790" s="4"/>
      <c r="K790" s="4"/>
      <c r="L790" s="4"/>
      <c r="N790" s="4"/>
      <c r="P790" s="4"/>
    </row>
    <row r="791" spans="1:16" hidden="1">
      <c r="B791" s="4"/>
      <c r="C791" s="4"/>
      <c r="D791" s="6"/>
      <c r="E791" s="4"/>
      <c r="F791" s="4"/>
      <c r="G791" s="4"/>
      <c r="H791" s="4"/>
      <c r="I791" s="4"/>
      <c r="J791" s="4"/>
      <c r="K791" s="4"/>
      <c r="L791" s="4"/>
      <c r="N791" s="4"/>
    </row>
    <row r="792" spans="1:16" hidden="1">
      <c r="B792" s="4"/>
      <c r="C792" s="4"/>
      <c r="D792" s="6"/>
      <c r="E792" s="4"/>
      <c r="F792" s="4"/>
      <c r="G792" s="4"/>
      <c r="H792" s="4"/>
      <c r="I792" s="4"/>
      <c r="J792" s="4"/>
      <c r="K792" s="4"/>
      <c r="L792" s="4"/>
      <c r="N792" s="4"/>
    </row>
    <row r="793" spans="1:16" hidden="1">
      <c r="B793" s="4"/>
      <c r="C793" s="32"/>
      <c r="D793" s="7"/>
      <c r="E793" s="32"/>
      <c r="F793" s="32"/>
      <c r="G793" s="32"/>
      <c r="H793" s="32"/>
      <c r="I793" s="32"/>
      <c r="J793" s="32"/>
      <c r="K793" s="32"/>
      <c r="L793" s="32"/>
      <c r="M793" s="32"/>
    </row>
    <row r="794" spans="1:16" hidden="1">
      <c r="B794" s="32"/>
      <c r="C794" s="32"/>
      <c r="D794" s="7"/>
      <c r="E794" s="32"/>
      <c r="F794" s="32"/>
      <c r="G794" s="32"/>
      <c r="H794" s="32"/>
      <c r="I794" s="32"/>
      <c r="J794" s="32"/>
      <c r="K794" s="32"/>
      <c r="L794" s="32"/>
      <c r="M794" s="32"/>
    </row>
    <row r="795" spans="1:16" hidden="1">
      <c r="B795" s="32"/>
      <c r="C795" s="32"/>
      <c r="D795" s="7"/>
      <c r="E795" s="32"/>
      <c r="F795" s="32"/>
      <c r="G795" s="32"/>
      <c r="H795" s="32"/>
      <c r="I795" s="32"/>
      <c r="J795" s="32"/>
      <c r="K795" s="32"/>
      <c r="L795" s="32"/>
      <c r="M795" s="32"/>
    </row>
    <row r="796" spans="1:16">
      <c r="B796" s="32"/>
      <c r="C796" s="32"/>
      <c r="D796" s="7"/>
      <c r="E796" s="32"/>
      <c r="F796" s="32"/>
      <c r="G796" s="32"/>
      <c r="H796" s="32"/>
      <c r="I796" s="32"/>
      <c r="J796" s="32"/>
      <c r="K796" s="32"/>
      <c r="L796" s="32"/>
      <c r="M796" s="32"/>
    </row>
    <row r="797" spans="1:16">
      <c r="B797" s="32"/>
      <c r="C797" s="32"/>
      <c r="D797" s="7"/>
      <c r="E797" s="32"/>
      <c r="F797" s="32"/>
      <c r="G797" s="32"/>
      <c r="H797" s="32"/>
      <c r="I797" s="32"/>
      <c r="J797" s="32"/>
      <c r="K797" s="32"/>
      <c r="L797" s="32"/>
      <c r="M797" s="32"/>
    </row>
    <row r="798" spans="1:16">
      <c r="B798" s="32"/>
      <c r="C798" s="32"/>
      <c r="D798" s="7"/>
      <c r="E798" s="32"/>
      <c r="F798" s="32"/>
      <c r="G798" s="32"/>
      <c r="H798" s="32"/>
      <c r="I798" s="32"/>
      <c r="J798" s="32"/>
      <c r="K798" s="32"/>
      <c r="L798" s="32"/>
      <c r="M798" s="32"/>
    </row>
    <row r="799" spans="1:16">
      <c r="B799" s="32"/>
      <c r="C799" s="32"/>
      <c r="D799" s="7"/>
      <c r="E799" s="32"/>
      <c r="F799" s="32"/>
      <c r="G799" s="32"/>
      <c r="H799" s="32"/>
      <c r="I799" s="32"/>
      <c r="J799" s="32"/>
      <c r="K799" s="32"/>
      <c r="L799" s="32"/>
      <c r="M799" s="32"/>
    </row>
    <row r="800" spans="1:16">
      <c r="B800" s="32"/>
      <c r="C800" s="32"/>
      <c r="D800" s="7"/>
      <c r="E800" s="32"/>
      <c r="F800" s="32"/>
      <c r="G800" s="32"/>
      <c r="H800" s="32"/>
      <c r="I800" s="32"/>
      <c r="J800" s="32"/>
      <c r="K800" s="32"/>
      <c r="L800" s="32"/>
      <c r="M800" s="32"/>
    </row>
    <row r="801" spans="2:13">
      <c r="B801" s="32"/>
      <c r="C801" s="32"/>
      <c r="D801" s="7"/>
      <c r="E801" s="32"/>
      <c r="F801" s="32"/>
      <c r="G801" s="32"/>
      <c r="H801" s="32"/>
      <c r="I801" s="32"/>
      <c r="J801" s="32"/>
      <c r="K801" s="32"/>
      <c r="L801" s="32"/>
      <c r="M801" s="32"/>
    </row>
    <row r="802" spans="2:13">
      <c r="B802" s="32"/>
      <c r="C802" s="32"/>
      <c r="D802" s="7"/>
      <c r="E802" s="32"/>
      <c r="F802" s="32"/>
      <c r="G802" s="32"/>
      <c r="H802" s="32"/>
      <c r="I802" s="32"/>
      <c r="J802" s="32"/>
      <c r="K802" s="32"/>
      <c r="L802" s="32"/>
      <c r="M802" s="32"/>
    </row>
    <row r="803" spans="2:13">
      <c r="B803" s="32"/>
      <c r="C803" s="32"/>
      <c r="D803" s="7"/>
      <c r="E803" s="32"/>
      <c r="F803" s="32"/>
      <c r="G803" s="32"/>
      <c r="H803" s="32"/>
      <c r="I803" s="32"/>
      <c r="J803" s="32"/>
      <c r="K803" s="32"/>
      <c r="L803" s="32"/>
      <c r="M803" s="32"/>
    </row>
    <row r="804" spans="2:13">
      <c r="B804" s="32"/>
    </row>
    <row r="805" spans="2:13">
      <c r="B805" s="8"/>
    </row>
    <row r="806" spans="2:13">
      <c r="B806" s="8"/>
    </row>
    <row r="807" spans="2:13">
      <c r="B807" s="8"/>
    </row>
    <row r="808" spans="2:13">
      <c r="B808" s="8"/>
    </row>
    <row r="809" spans="2:13">
      <c r="B809" s="8"/>
    </row>
    <row r="810" spans="2:13">
      <c r="B810" s="8"/>
    </row>
    <row r="811" spans="2:13">
      <c r="B811" s="8"/>
    </row>
    <row r="812" spans="2:13">
      <c r="B812" s="8"/>
    </row>
    <row r="813" spans="2:13">
      <c r="B813" s="8"/>
    </row>
    <row r="814" spans="2:13">
      <c r="B814" s="8"/>
    </row>
    <row r="815" spans="2:13">
      <c r="B815" s="8"/>
    </row>
    <row r="816" spans="2:13">
      <c r="B816" s="8"/>
    </row>
    <row r="817" spans="2:2">
      <c r="B817" s="8"/>
    </row>
    <row r="818" spans="2:2">
      <c r="B818" s="8"/>
    </row>
    <row r="819" spans="2:2">
      <c r="B819" s="8"/>
    </row>
    <row r="820" spans="2:2">
      <c r="B820" s="8"/>
    </row>
    <row r="821" spans="2:2">
      <c r="B821" s="8"/>
    </row>
    <row r="822" spans="2:2">
      <c r="B822" s="8"/>
    </row>
    <row r="823" spans="2:2">
      <c r="B823" s="8"/>
    </row>
    <row r="824" spans="2:2">
      <c r="B824" s="8"/>
    </row>
    <row r="825" spans="2:2">
      <c r="B825" s="8"/>
    </row>
    <row r="826" spans="2:2">
      <c r="B826" s="8"/>
    </row>
    <row r="827" spans="2:2">
      <c r="B827" s="8"/>
    </row>
    <row r="828" spans="2:2">
      <c r="B828" s="8"/>
    </row>
    <row r="829" spans="2:2">
      <c r="B829" s="8"/>
    </row>
    <row r="830" spans="2:2">
      <c r="B830" s="8"/>
    </row>
    <row r="831" spans="2:2">
      <c r="B831" s="8"/>
    </row>
    <row r="832" spans="2:2">
      <c r="B832" s="8"/>
    </row>
    <row r="833" spans="2:2">
      <c r="B833" s="8"/>
    </row>
    <row r="834" spans="2:2">
      <c r="B834" s="8"/>
    </row>
    <row r="835" spans="2:2">
      <c r="B835" s="8"/>
    </row>
    <row r="836" spans="2:2">
      <c r="B836" s="8"/>
    </row>
    <row r="837" spans="2:2">
      <c r="B837" s="8"/>
    </row>
    <row r="838" spans="2:2">
      <c r="B838" s="8"/>
    </row>
    <row r="839" spans="2:2">
      <c r="B839" s="8"/>
    </row>
    <row r="840" spans="2:2">
      <c r="B840" s="8"/>
    </row>
    <row r="841" spans="2:2">
      <c r="B841" s="8"/>
    </row>
    <row r="842" spans="2:2">
      <c r="B842" s="8"/>
    </row>
    <row r="843" spans="2:2">
      <c r="B843" s="8"/>
    </row>
    <row r="844" spans="2:2">
      <c r="B844" s="8"/>
    </row>
    <row r="845" spans="2:2">
      <c r="B845" s="8"/>
    </row>
    <row r="846" spans="2:2">
      <c r="B846" s="8"/>
    </row>
    <row r="847" spans="2:2">
      <c r="B847" s="8"/>
    </row>
    <row r="848" spans="2:2">
      <c r="B848" s="8"/>
    </row>
    <row r="849" spans="2:2">
      <c r="B849" s="8"/>
    </row>
    <row r="850" spans="2:2">
      <c r="B850" s="8"/>
    </row>
    <row r="851" spans="2:2">
      <c r="B851" s="8"/>
    </row>
    <row r="852" spans="2:2">
      <c r="B852" s="8"/>
    </row>
    <row r="853" spans="2:2">
      <c r="B853" s="8"/>
    </row>
    <row r="854" spans="2:2">
      <c r="B854" s="8"/>
    </row>
    <row r="855" spans="2:2">
      <c r="B855" s="8"/>
    </row>
    <row r="856" spans="2:2">
      <c r="B856" s="8"/>
    </row>
    <row r="857" spans="2:2">
      <c r="B857" s="8"/>
    </row>
    <row r="858" spans="2:2">
      <c r="B858" s="8"/>
    </row>
    <row r="859" spans="2:2">
      <c r="B859" s="8"/>
    </row>
    <row r="860" spans="2:2">
      <c r="B860" s="8"/>
    </row>
    <row r="861" spans="2:2">
      <c r="B861" s="8"/>
    </row>
    <row r="862" spans="2:2">
      <c r="B862" s="8"/>
    </row>
    <row r="863" spans="2:2">
      <c r="B863" s="8"/>
    </row>
    <row r="864" spans="2:2">
      <c r="B864" s="8"/>
    </row>
    <row r="865" spans="2:2">
      <c r="B865" s="8"/>
    </row>
    <row r="866" spans="2:2">
      <c r="B866" s="8"/>
    </row>
    <row r="867" spans="2:2">
      <c r="B867" s="8"/>
    </row>
    <row r="868" spans="2:2">
      <c r="B868" s="8"/>
    </row>
    <row r="869" spans="2:2">
      <c r="B869" s="8"/>
    </row>
    <row r="870" spans="2:2">
      <c r="B870" s="8"/>
    </row>
    <row r="871" spans="2:2">
      <c r="B871" s="8"/>
    </row>
    <row r="872" spans="2:2">
      <c r="B872" s="8"/>
    </row>
    <row r="873" spans="2:2">
      <c r="B873" s="8"/>
    </row>
    <row r="874" spans="2:2">
      <c r="B874" s="8"/>
    </row>
    <row r="875" spans="2:2">
      <c r="B875" s="8"/>
    </row>
    <row r="876" spans="2:2">
      <c r="B876" s="8"/>
    </row>
    <row r="877" spans="2:2">
      <c r="B877" s="8"/>
    </row>
    <row r="878" spans="2:2">
      <c r="B878" s="8"/>
    </row>
    <row r="879" spans="2:2">
      <c r="B879" s="8"/>
    </row>
    <row r="880" spans="2:2">
      <c r="B880" s="8"/>
    </row>
    <row r="881" spans="2:2">
      <c r="B881" s="8"/>
    </row>
    <row r="882" spans="2:2">
      <c r="B882" s="8"/>
    </row>
    <row r="883" spans="2:2">
      <c r="B883" s="8"/>
    </row>
    <row r="884" spans="2:2">
      <c r="B884" s="8"/>
    </row>
    <row r="885" spans="2:2">
      <c r="B885" s="8"/>
    </row>
    <row r="886" spans="2:2">
      <c r="B886" s="8"/>
    </row>
    <row r="887" spans="2:2">
      <c r="B887" s="8"/>
    </row>
    <row r="888" spans="2:2">
      <c r="B888" s="8"/>
    </row>
    <row r="889" spans="2:2">
      <c r="B889" s="8"/>
    </row>
    <row r="890" spans="2:2">
      <c r="B890" s="8"/>
    </row>
    <row r="891" spans="2:2">
      <c r="B891" s="8"/>
    </row>
    <row r="892" spans="2:2">
      <c r="B892" s="8"/>
    </row>
    <row r="893" spans="2:2">
      <c r="B893" s="8"/>
    </row>
    <row r="894" spans="2:2">
      <c r="B894" s="8"/>
    </row>
    <row r="895" spans="2:2">
      <c r="B895" s="8"/>
    </row>
    <row r="896" spans="2:2">
      <c r="B896" s="8"/>
    </row>
    <row r="897" spans="2:2">
      <c r="B897" s="8"/>
    </row>
    <row r="898" spans="2:2">
      <c r="B898" s="8"/>
    </row>
    <row r="899" spans="2:2">
      <c r="B899" s="8"/>
    </row>
    <row r="900" spans="2:2">
      <c r="B900" s="8"/>
    </row>
    <row r="901" spans="2:2">
      <c r="B901" s="8"/>
    </row>
    <row r="902" spans="2:2">
      <c r="B902" s="8"/>
    </row>
    <row r="903" spans="2:2">
      <c r="B903" s="8"/>
    </row>
    <row r="904" spans="2:2">
      <c r="B904" s="8"/>
    </row>
    <row r="905" spans="2:2">
      <c r="B905" s="8"/>
    </row>
    <row r="906" spans="2:2">
      <c r="B906" s="8"/>
    </row>
    <row r="907" spans="2:2">
      <c r="B907" s="8"/>
    </row>
    <row r="908" spans="2:2">
      <c r="B908" s="8"/>
    </row>
    <row r="909" spans="2:2">
      <c r="B909" s="8"/>
    </row>
    <row r="910" spans="2:2">
      <c r="B910" s="8"/>
    </row>
    <row r="911" spans="2:2">
      <c r="B911" s="8"/>
    </row>
    <row r="912" spans="2:2">
      <c r="B912" s="8"/>
    </row>
    <row r="913" spans="2:2">
      <c r="B913" s="8"/>
    </row>
    <row r="914" spans="2:2">
      <c r="B914" s="8"/>
    </row>
    <row r="915" spans="2:2">
      <c r="B915" s="8"/>
    </row>
    <row r="916" spans="2:2">
      <c r="B916" s="8"/>
    </row>
    <row r="917" spans="2:2">
      <c r="B917" s="8"/>
    </row>
    <row r="918" spans="2:2">
      <c r="B918" s="8"/>
    </row>
    <row r="919" spans="2:2">
      <c r="B919" s="8"/>
    </row>
    <row r="920" spans="2:2">
      <c r="B920" s="8"/>
    </row>
    <row r="921" spans="2:2">
      <c r="B921" s="8"/>
    </row>
    <row r="922" spans="2:2">
      <c r="B922" s="8"/>
    </row>
    <row r="923" spans="2:2">
      <c r="B923" s="8"/>
    </row>
    <row r="924" spans="2:2">
      <c r="B924" s="8"/>
    </row>
    <row r="925" spans="2:2">
      <c r="B925" s="8"/>
    </row>
    <row r="926" spans="2:2">
      <c r="B926" s="8"/>
    </row>
    <row r="927" spans="2:2">
      <c r="B927" s="8"/>
    </row>
    <row r="928" spans="2:2">
      <c r="B928" s="8"/>
    </row>
    <row r="929" spans="2:2">
      <c r="B929" s="8"/>
    </row>
    <row r="930" spans="2:2">
      <c r="B930" s="8"/>
    </row>
    <row r="931" spans="2:2">
      <c r="B931" s="8"/>
    </row>
    <row r="932" spans="2:2">
      <c r="B932" s="8"/>
    </row>
    <row r="933" spans="2:2">
      <c r="B933" s="8"/>
    </row>
    <row r="934" spans="2:2">
      <c r="B934" s="8"/>
    </row>
    <row r="935" spans="2:2">
      <c r="B935" s="8"/>
    </row>
    <row r="936" spans="2:2">
      <c r="B936" s="8"/>
    </row>
    <row r="937" spans="2:2">
      <c r="B937" s="8"/>
    </row>
    <row r="938" spans="2:2">
      <c r="B938" s="8"/>
    </row>
    <row r="939" spans="2:2">
      <c r="B939" s="8"/>
    </row>
    <row r="940" spans="2:2">
      <c r="B940" s="8"/>
    </row>
    <row r="941" spans="2:2">
      <c r="B941" s="8"/>
    </row>
    <row r="942" spans="2:2">
      <c r="B942" s="8"/>
    </row>
    <row r="943" spans="2:2">
      <c r="B943" s="8"/>
    </row>
    <row r="944" spans="2:2">
      <c r="B944" s="8"/>
    </row>
    <row r="945" spans="2:2">
      <c r="B945" s="8"/>
    </row>
    <row r="946" spans="2:2">
      <c r="B946" s="8"/>
    </row>
    <row r="947" spans="2:2">
      <c r="B947" s="8"/>
    </row>
    <row r="948" spans="2:2">
      <c r="B948" s="8"/>
    </row>
    <row r="949" spans="2:2">
      <c r="B949" s="8"/>
    </row>
    <row r="950" spans="2:2">
      <c r="B950" s="8"/>
    </row>
    <row r="951" spans="2:2">
      <c r="B951" s="8"/>
    </row>
    <row r="952" spans="2:2">
      <c r="B952" s="8"/>
    </row>
    <row r="953" spans="2:2">
      <c r="B953" s="8"/>
    </row>
    <row r="954" spans="2:2">
      <c r="B954" s="8"/>
    </row>
    <row r="955" spans="2:2">
      <c r="B955" s="8"/>
    </row>
    <row r="956" spans="2:2">
      <c r="B956" s="8"/>
    </row>
    <row r="957" spans="2:2">
      <c r="B957" s="8"/>
    </row>
    <row r="958" spans="2:2">
      <c r="B958" s="8"/>
    </row>
    <row r="959" spans="2:2">
      <c r="B959" s="8"/>
    </row>
    <row r="960" spans="2:2">
      <c r="B960" s="8"/>
    </row>
    <row r="961" spans="2:2">
      <c r="B961" s="8"/>
    </row>
    <row r="962" spans="2:2">
      <c r="B962" s="8"/>
    </row>
    <row r="963" spans="2:2">
      <c r="B963" s="8"/>
    </row>
    <row r="964" spans="2:2">
      <c r="B964" s="8"/>
    </row>
    <row r="965" spans="2:2">
      <c r="B965" s="8"/>
    </row>
    <row r="966" spans="2:2">
      <c r="B966" s="8"/>
    </row>
    <row r="967" spans="2:2">
      <c r="B967" s="8"/>
    </row>
    <row r="968" spans="2:2">
      <c r="B968" s="8"/>
    </row>
    <row r="969" spans="2:2">
      <c r="B969" s="8"/>
    </row>
    <row r="970" spans="2:2">
      <c r="B970" s="8"/>
    </row>
    <row r="971" spans="2:2">
      <c r="B971" s="8"/>
    </row>
    <row r="972" spans="2:2">
      <c r="B972" s="8"/>
    </row>
    <row r="973" spans="2:2">
      <c r="B973" s="8"/>
    </row>
    <row r="974" spans="2:2">
      <c r="B974" s="8"/>
    </row>
    <row r="975" spans="2:2">
      <c r="B975" s="8"/>
    </row>
    <row r="976" spans="2:2">
      <c r="B976" s="8"/>
    </row>
    <row r="977" spans="2:2">
      <c r="B977" s="8"/>
    </row>
    <row r="978" spans="2:2">
      <c r="B978" s="8"/>
    </row>
    <row r="979" spans="2:2">
      <c r="B979" s="8"/>
    </row>
    <row r="980" spans="2:2">
      <c r="B980" s="8"/>
    </row>
    <row r="981" spans="2:2">
      <c r="B981" s="8"/>
    </row>
    <row r="982" spans="2:2">
      <c r="B982" s="8"/>
    </row>
    <row r="983" spans="2:2">
      <c r="B983" s="8"/>
    </row>
    <row r="984" spans="2:2">
      <c r="B984" s="8"/>
    </row>
    <row r="985" spans="2:2">
      <c r="B985" s="8"/>
    </row>
    <row r="986" spans="2:2">
      <c r="B986" s="8"/>
    </row>
    <row r="987" spans="2:2">
      <c r="B987" s="8"/>
    </row>
    <row r="988" spans="2:2">
      <c r="B988" s="8"/>
    </row>
    <row r="989" spans="2:2">
      <c r="B989" s="8"/>
    </row>
    <row r="990" spans="2:2">
      <c r="B990" s="8"/>
    </row>
    <row r="991" spans="2:2">
      <c r="B991" s="8"/>
    </row>
    <row r="992" spans="2:2">
      <c r="B992" s="8"/>
    </row>
    <row r="993" spans="2:2">
      <c r="B993" s="8"/>
    </row>
    <row r="994" spans="2:2">
      <c r="B994" s="8"/>
    </row>
    <row r="995" spans="2:2">
      <c r="B995" s="8"/>
    </row>
    <row r="996" spans="2:2">
      <c r="B996" s="8"/>
    </row>
    <row r="997" spans="2:2">
      <c r="B997" s="8"/>
    </row>
    <row r="998" spans="2:2">
      <c r="B998" s="8"/>
    </row>
    <row r="999" spans="2:2">
      <c r="B999" s="8"/>
    </row>
    <row r="1000" spans="2:2">
      <c r="B1000" s="8"/>
    </row>
    <row r="1001" spans="2:2">
      <c r="B1001" s="8"/>
    </row>
    <row r="1002" spans="2:2">
      <c r="B1002" s="8"/>
    </row>
    <row r="1003" spans="2:2">
      <c r="B1003" s="8"/>
    </row>
    <row r="1004" spans="2:2">
      <c r="B1004" s="8"/>
    </row>
    <row r="1005" spans="2:2">
      <c r="B1005" s="8"/>
    </row>
    <row r="1006" spans="2:2">
      <c r="B1006" s="8"/>
    </row>
    <row r="1007" spans="2:2">
      <c r="B1007" s="8"/>
    </row>
    <row r="1008" spans="2:2">
      <c r="B1008" s="8"/>
    </row>
    <row r="1009" spans="2:2">
      <c r="B1009" s="8"/>
    </row>
    <row r="1010" spans="2:2">
      <c r="B1010" s="8"/>
    </row>
    <row r="1011" spans="2:2">
      <c r="B1011" s="8"/>
    </row>
    <row r="1012" spans="2:2">
      <c r="B1012" s="8"/>
    </row>
    <row r="1013" spans="2:2">
      <c r="B1013" s="8"/>
    </row>
    <row r="1014" spans="2:2">
      <c r="B1014" s="8"/>
    </row>
    <row r="1015" spans="2:2">
      <c r="B1015" s="8"/>
    </row>
    <row r="1016" spans="2:2">
      <c r="B1016" s="8"/>
    </row>
    <row r="1017" spans="2:2">
      <c r="B1017" s="8"/>
    </row>
    <row r="1018" spans="2:2">
      <c r="B1018" s="8"/>
    </row>
    <row r="1019" spans="2:2">
      <c r="B1019" s="8"/>
    </row>
    <row r="1020" spans="2:2">
      <c r="B1020" s="8"/>
    </row>
    <row r="1021" spans="2:2">
      <c r="B1021" s="8"/>
    </row>
    <row r="1022" spans="2:2">
      <c r="B1022" s="8"/>
    </row>
    <row r="1023" spans="2:2">
      <c r="B1023" s="8"/>
    </row>
    <row r="1024" spans="2:2">
      <c r="B1024" s="8"/>
    </row>
    <row r="1025" spans="2:2">
      <c r="B1025" s="8"/>
    </row>
    <row r="1026" spans="2:2">
      <c r="B1026" s="8"/>
    </row>
    <row r="1027" spans="2:2">
      <c r="B1027" s="8"/>
    </row>
    <row r="1028" spans="2:2">
      <c r="B1028" s="8"/>
    </row>
    <row r="1029" spans="2:2">
      <c r="B1029" s="8"/>
    </row>
    <row r="1030" spans="2:2">
      <c r="B1030" s="8"/>
    </row>
    <row r="1031" spans="2:2">
      <c r="B1031" s="8"/>
    </row>
    <row r="1032" spans="2:2">
      <c r="B1032" s="8"/>
    </row>
    <row r="1033" spans="2:2">
      <c r="B1033" s="8"/>
    </row>
    <row r="1034" spans="2:2">
      <c r="B1034" s="8"/>
    </row>
    <row r="1035" spans="2:2">
      <c r="B1035" s="8"/>
    </row>
    <row r="1036" spans="2:2">
      <c r="B1036" s="8"/>
    </row>
    <row r="1037" spans="2:2">
      <c r="B1037" s="8"/>
    </row>
    <row r="1038" spans="2:2">
      <c r="B1038" s="8"/>
    </row>
    <row r="1039" spans="2:2">
      <c r="B1039" s="8"/>
    </row>
    <row r="1040" spans="2:2">
      <c r="B1040" s="8"/>
    </row>
    <row r="1041" spans="2:2">
      <c r="B1041" s="8"/>
    </row>
    <row r="1042" spans="2:2">
      <c r="B1042" s="8"/>
    </row>
    <row r="1043" spans="2:2">
      <c r="B1043" s="8"/>
    </row>
    <row r="1044" spans="2:2">
      <c r="B1044" s="8"/>
    </row>
    <row r="1045" spans="2:2">
      <c r="B1045" s="8"/>
    </row>
    <row r="1046" spans="2:2">
      <c r="B1046" s="8"/>
    </row>
    <row r="1047" spans="2:2">
      <c r="B1047" s="8"/>
    </row>
    <row r="1048" spans="2:2">
      <c r="B1048" s="8"/>
    </row>
    <row r="1049" spans="2:2">
      <c r="B1049" s="8"/>
    </row>
    <row r="1050" spans="2:2">
      <c r="B1050" s="8"/>
    </row>
    <row r="1051" spans="2:2">
      <c r="B1051" s="8"/>
    </row>
    <row r="1052" spans="2:2">
      <c r="B1052" s="8"/>
    </row>
    <row r="1053" spans="2:2">
      <c r="B1053" s="8"/>
    </row>
    <row r="1054" spans="2:2">
      <c r="B1054" s="8"/>
    </row>
    <row r="1055" spans="2:2">
      <c r="B1055" s="8"/>
    </row>
    <row r="1056" spans="2:2">
      <c r="B1056" s="8"/>
    </row>
    <row r="1057" spans="2:2">
      <c r="B1057" s="8"/>
    </row>
    <row r="1058" spans="2:2">
      <c r="B1058" s="8"/>
    </row>
    <row r="1059" spans="2:2">
      <c r="B1059" s="8"/>
    </row>
    <row r="1060" spans="2:2">
      <c r="B1060" s="8"/>
    </row>
    <row r="1061" spans="2:2">
      <c r="B1061" s="8"/>
    </row>
    <row r="1062" spans="2:2">
      <c r="B1062" s="8"/>
    </row>
    <row r="1063" spans="2:2">
      <c r="B1063" s="8"/>
    </row>
    <row r="1064" spans="2:2">
      <c r="B1064" s="8"/>
    </row>
    <row r="1065" spans="2:2">
      <c r="B1065" s="8"/>
    </row>
    <row r="1066" spans="2:2">
      <c r="B1066" s="8"/>
    </row>
    <row r="1067" spans="2:2">
      <c r="B1067" s="8"/>
    </row>
    <row r="1068" spans="2:2">
      <c r="B1068" s="8"/>
    </row>
    <row r="1069" spans="2:2">
      <c r="B1069" s="8"/>
    </row>
    <row r="1070" spans="2:2">
      <c r="B1070" s="8"/>
    </row>
    <row r="1071" spans="2:2">
      <c r="B1071" s="8"/>
    </row>
    <row r="1072" spans="2:2">
      <c r="B1072" s="8"/>
    </row>
    <row r="1073" spans="2:2">
      <c r="B1073" s="8"/>
    </row>
    <row r="1074" spans="2:2">
      <c r="B1074" s="8"/>
    </row>
    <row r="1075" spans="2:2">
      <c r="B1075" s="8"/>
    </row>
    <row r="1076" spans="2:2">
      <c r="B1076" s="8"/>
    </row>
    <row r="1077" spans="2:2">
      <c r="B1077" s="8"/>
    </row>
    <row r="1078" spans="2:2">
      <c r="B1078" s="8"/>
    </row>
    <row r="1079" spans="2:2">
      <c r="B1079" s="8"/>
    </row>
    <row r="1080" spans="2:2">
      <c r="B1080" s="8"/>
    </row>
    <row r="1081" spans="2:2">
      <c r="B1081" s="8"/>
    </row>
    <row r="1082" spans="2:2">
      <c r="B1082" s="8"/>
    </row>
    <row r="1083" spans="2:2">
      <c r="B1083" s="8"/>
    </row>
    <row r="1084" spans="2:2">
      <c r="B1084" s="8"/>
    </row>
    <row r="1085" spans="2:2">
      <c r="B1085" s="8"/>
    </row>
    <row r="1086" spans="2:2">
      <c r="B1086" s="8"/>
    </row>
    <row r="1087" spans="2:2">
      <c r="B1087" s="8"/>
    </row>
    <row r="1088" spans="2:2">
      <c r="B1088" s="8"/>
    </row>
    <row r="1089" spans="2:2">
      <c r="B1089" s="8"/>
    </row>
    <row r="1090" spans="2:2">
      <c r="B1090" s="8"/>
    </row>
    <row r="1091" spans="2:2">
      <c r="B1091" s="8"/>
    </row>
    <row r="1092" spans="2:2">
      <c r="B1092" s="8"/>
    </row>
    <row r="1093" spans="2:2">
      <c r="B1093" s="8"/>
    </row>
    <row r="1094" spans="2:2">
      <c r="B1094" s="8"/>
    </row>
    <row r="1095" spans="2:2">
      <c r="B1095" s="8"/>
    </row>
    <row r="1096" spans="2:2">
      <c r="B1096" s="8"/>
    </row>
    <row r="1097" spans="2:2">
      <c r="B1097" s="8"/>
    </row>
    <row r="1098" spans="2:2">
      <c r="B1098" s="8"/>
    </row>
    <row r="1099" spans="2:2">
      <c r="B1099" s="8"/>
    </row>
    <row r="1100" spans="2:2">
      <c r="B1100" s="8"/>
    </row>
    <row r="1101" spans="2:2">
      <c r="B1101" s="8"/>
    </row>
    <row r="1102" spans="2:2">
      <c r="B1102" s="8"/>
    </row>
    <row r="1103" spans="2:2">
      <c r="B1103" s="8"/>
    </row>
    <row r="1104" spans="2:2">
      <c r="B1104" s="8"/>
    </row>
    <row r="1105" spans="2:2">
      <c r="B1105" s="8"/>
    </row>
    <row r="1106" spans="2:2">
      <c r="B1106" s="8"/>
    </row>
    <row r="1107" spans="2:2">
      <c r="B1107" s="8"/>
    </row>
    <row r="1108" spans="2:2">
      <c r="B1108" s="8"/>
    </row>
    <row r="1109" spans="2:2">
      <c r="B1109" s="8"/>
    </row>
    <row r="1110" spans="2:2">
      <c r="B1110" s="8"/>
    </row>
    <row r="1111" spans="2:2">
      <c r="B1111" s="8"/>
    </row>
    <row r="1112" spans="2:2">
      <c r="B1112" s="8"/>
    </row>
    <row r="1113" spans="2:2">
      <c r="B1113" s="8"/>
    </row>
    <row r="1114" spans="2:2">
      <c r="B1114" s="8"/>
    </row>
    <row r="1115" spans="2:2">
      <c r="B1115" s="8"/>
    </row>
    <row r="1116" spans="2:2">
      <c r="B1116" s="8"/>
    </row>
    <row r="1117" spans="2:2">
      <c r="B1117" s="8"/>
    </row>
    <row r="1118" spans="2:2">
      <c r="B1118" s="8"/>
    </row>
    <row r="1119" spans="2:2">
      <c r="B1119" s="8"/>
    </row>
    <row r="1120" spans="2:2">
      <c r="B1120" s="8"/>
    </row>
    <row r="1121" spans="2:2">
      <c r="B1121" s="8"/>
    </row>
    <row r="1122" spans="2:2">
      <c r="B1122" s="8"/>
    </row>
    <row r="1123" spans="2:2">
      <c r="B1123" s="8"/>
    </row>
    <row r="1124" spans="2:2">
      <c r="B1124" s="8"/>
    </row>
    <row r="1125" spans="2:2">
      <c r="B1125" s="8"/>
    </row>
    <row r="1126" spans="2:2">
      <c r="B1126" s="8"/>
    </row>
    <row r="1127" spans="2:2">
      <c r="B1127" s="8"/>
    </row>
    <row r="1128" spans="2:2">
      <c r="B1128" s="8"/>
    </row>
    <row r="1129" spans="2:2">
      <c r="B1129" s="8"/>
    </row>
    <row r="1130" spans="2:2">
      <c r="B1130" s="8"/>
    </row>
    <row r="1131" spans="2:2">
      <c r="B1131" s="8"/>
    </row>
    <row r="1132" spans="2:2">
      <c r="B1132" s="8"/>
    </row>
    <row r="1133" spans="2:2">
      <c r="B1133" s="8"/>
    </row>
    <row r="1134" spans="2:2">
      <c r="B1134" s="8"/>
    </row>
    <row r="1135" spans="2:2">
      <c r="B1135" s="8"/>
    </row>
    <row r="1136" spans="2:2">
      <c r="B1136" s="8"/>
    </row>
    <row r="1137" spans="2:2">
      <c r="B1137" s="8"/>
    </row>
    <row r="1138" spans="2:2">
      <c r="B1138" s="8"/>
    </row>
    <row r="1139" spans="2:2">
      <c r="B1139" s="8"/>
    </row>
    <row r="1140" spans="2:2">
      <c r="B1140" s="8"/>
    </row>
    <row r="1141" spans="2:2">
      <c r="B1141" s="8"/>
    </row>
    <row r="1142" spans="2:2">
      <c r="B1142" s="8"/>
    </row>
    <row r="1143" spans="2:2">
      <c r="B1143" s="8"/>
    </row>
    <row r="1144" spans="2:2">
      <c r="B1144" s="8"/>
    </row>
    <row r="1145" spans="2:2">
      <c r="B1145" s="8"/>
    </row>
    <row r="1146" spans="2:2">
      <c r="B1146" s="8"/>
    </row>
    <row r="1147" spans="2:2">
      <c r="B1147" s="8"/>
    </row>
    <row r="1148" spans="2:2">
      <c r="B1148" s="8"/>
    </row>
    <row r="1149" spans="2:2">
      <c r="B1149" s="8"/>
    </row>
    <row r="1150" spans="2:2">
      <c r="B1150" s="8"/>
    </row>
    <row r="1151" spans="2:2">
      <c r="B1151" s="8"/>
    </row>
    <row r="1152" spans="2:2">
      <c r="B1152" s="8"/>
    </row>
    <row r="1153" spans="2:2">
      <c r="B1153" s="8"/>
    </row>
    <row r="1154" spans="2:2">
      <c r="B1154" s="8"/>
    </row>
    <row r="1155" spans="2:2">
      <c r="B1155" s="8"/>
    </row>
    <row r="1156" spans="2:2">
      <c r="B1156" s="8"/>
    </row>
    <row r="1157" spans="2:2">
      <c r="B1157" s="8"/>
    </row>
    <row r="1158" spans="2:2">
      <c r="B1158" s="8"/>
    </row>
    <row r="1159" spans="2:2">
      <c r="B1159" s="8"/>
    </row>
    <row r="1160" spans="2:2">
      <c r="B1160" s="8"/>
    </row>
    <row r="1161" spans="2:2">
      <c r="B1161" s="8"/>
    </row>
    <row r="1162" spans="2:2">
      <c r="B1162" s="8"/>
    </row>
    <row r="1163" spans="2:2">
      <c r="B1163" s="8"/>
    </row>
    <row r="1164" spans="2:2">
      <c r="B1164" s="8"/>
    </row>
    <row r="1165" spans="2:2">
      <c r="B1165" s="8"/>
    </row>
    <row r="1166" spans="2:2">
      <c r="B1166" s="8"/>
    </row>
    <row r="1167" spans="2:2">
      <c r="B1167" s="8"/>
    </row>
    <row r="1168" spans="2:2">
      <c r="B1168" s="8"/>
    </row>
    <row r="1169" spans="2:2">
      <c r="B1169" s="8"/>
    </row>
    <row r="1170" spans="2:2">
      <c r="B1170" s="8"/>
    </row>
    <row r="1171" spans="2:2">
      <c r="B1171" s="8"/>
    </row>
    <row r="1172" spans="2:2">
      <c r="B1172" s="8"/>
    </row>
    <row r="1173" spans="2:2">
      <c r="B1173" s="8"/>
    </row>
    <row r="1174" spans="2:2">
      <c r="B1174" s="8"/>
    </row>
    <row r="1175" spans="2:2">
      <c r="B1175" s="8"/>
    </row>
    <row r="1176" spans="2:2">
      <c r="B1176" s="8"/>
    </row>
    <row r="1177" spans="2:2">
      <c r="B1177" s="8"/>
    </row>
    <row r="1178" spans="2:2">
      <c r="B1178" s="8"/>
    </row>
    <row r="1179" spans="2:2">
      <c r="B1179" s="8"/>
    </row>
    <row r="1180" spans="2:2">
      <c r="B1180" s="8"/>
    </row>
    <row r="1181" spans="2:2">
      <c r="B1181" s="8"/>
    </row>
    <row r="1182" spans="2:2">
      <c r="B1182" s="8"/>
    </row>
    <row r="1183" spans="2:2">
      <c r="B1183" s="8"/>
    </row>
    <row r="1184" spans="2:2">
      <c r="B1184" s="8"/>
    </row>
    <row r="1185" spans="2:2">
      <c r="B1185" s="8"/>
    </row>
    <row r="1186" spans="2:2">
      <c r="B1186" s="8"/>
    </row>
    <row r="1187" spans="2:2">
      <c r="B1187" s="8"/>
    </row>
    <row r="1188" spans="2:2">
      <c r="B1188" s="8"/>
    </row>
    <row r="1189" spans="2:2">
      <c r="B1189" s="8"/>
    </row>
    <row r="1190" spans="2:2">
      <c r="B1190" s="8"/>
    </row>
    <row r="1191" spans="2:2">
      <c r="B1191" s="8"/>
    </row>
    <row r="1192" spans="2:2">
      <c r="B1192" s="8"/>
    </row>
    <row r="1193" spans="2:2">
      <c r="B1193" s="8"/>
    </row>
    <row r="1194" spans="2:2">
      <c r="B1194" s="8"/>
    </row>
    <row r="1195" spans="2:2">
      <c r="B1195" s="8"/>
    </row>
    <row r="1196" spans="2:2">
      <c r="B1196" s="8"/>
    </row>
    <row r="1197" spans="2:2">
      <c r="B1197" s="8"/>
    </row>
    <row r="1198" spans="2:2">
      <c r="B1198" s="8"/>
    </row>
    <row r="1199" spans="2:2">
      <c r="B1199" s="8"/>
    </row>
    <row r="1200" spans="2:2">
      <c r="B1200" s="8"/>
    </row>
    <row r="1201" spans="2:2">
      <c r="B1201" s="8"/>
    </row>
    <row r="1202" spans="2:2">
      <c r="B1202" s="8"/>
    </row>
    <row r="1203" spans="2:2">
      <c r="B1203" s="8"/>
    </row>
    <row r="1204" spans="2:2">
      <c r="B1204" s="8"/>
    </row>
    <row r="1205" spans="2:2">
      <c r="B1205" s="8"/>
    </row>
    <row r="1206" spans="2:2">
      <c r="B1206" s="8"/>
    </row>
    <row r="1207" spans="2:2">
      <c r="B1207" s="8"/>
    </row>
    <row r="1208" spans="2:2">
      <c r="B1208" s="8"/>
    </row>
    <row r="1209" spans="2:2">
      <c r="B1209" s="8"/>
    </row>
    <row r="1210" spans="2:2">
      <c r="B1210" s="8"/>
    </row>
    <row r="1211" spans="2:2">
      <c r="B1211" s="8"/>
    </row>
    <row r="1212" spans="2:2">
      <c r="B1212" s="8"/>
    </row>
    <row r="1213" spans="2:2">
      <c r="B1213" s="8"/>
    </row>
    <row r="1214" spans="2:2">
      <c r="B1214" s="8"/>
    </row>
    <row r="1215" spans="2:2">
      <c r="B1215" s="8"/>
    </row>
    <row r="1216" spans="2:2">
      <c r="B1216" s="8"/>
    </row>
    <row r="1217" spans="2:2">
      <c r="B1217" s="8"/>
    </row>
    <row r="1218" spans="2:2">
      <c r="B1218" s="8"/>
    </row>
    <row r="1219" spans="2:2">
      <c r="B1219" s="8"/>
    </row>
    <row r="1220" spans="2:2">
      <c r="B1220" s="8"/>
    </row>
    <row r="1221" spans="2:2">
      <c r="B1221" s="8"/>
    </row>
    <row r="1222" spans="2:2">
      <c r="B1222" s="8"/>
    </row>
    <row r="1223" spans="2:2">
      <c r="B1223" s="8"/>
    </row>
    <row r="1224" spans="2:2">
      <c r="B1224" s="8"/>
    </row>
    <row r="1225" spans="2:2">
      <c r="B1225" s="8"/>
    </row>
    <row r="1226" spans="2:2">
      <c r="B1226" s="8"/>
    </row>
    <row r="1227" spans="2:2">
      <c r="B1227" s="8"/>
    </row>
    <row r="1228" spans="2:2">
      <c r="B1228" s="8"/>
    </row>
    <row r="1229" spans="2:2">
      <c r="B1229" s="8"/>
    </row>
    <row r="1230" spans="2:2">
      <c r="B1230" s="8"/>
    </row>
    <row r="1231" spans="2:2">
      <c r="B1231" s="8"/>
    </row>
    <row r="1232" spans="2:2">
      <c r="B1232" s="8"/>
    </row>
    <row r="1233" spans="2:2">
      <c r="B1233" s="8"/>
    </row>
    <row r="1234" spans="2:2">
      <c r="B1234" s="8"/>
    </row>
    <row r="1235" spans="2:2">
      <c r="B1235" s="8"/>
    </row>
    <row r="1236" spans="2:2">
      <c r="B1236" s="8"/>
    </row>
    <row r="1237" spans="2:2">
      <c r="B1237" s="8"/>
    </row>
    <row r="1238" spans="2:2">
      <c r="B1238" s="8"/>
    </row>
    <row r="1239" spans="2:2">
      <c r="B1239" s="8"/>
    </row>
    <row r="1240" spans="2:2">
      <c r="B1240" s="8"/>
    </row>
    <row r="1241" spans="2:2">
      <c r="B1241" s="8"/>
    </row>
    <row r="1242" spans="2:2">
      <c r="B1242" s="8"/>
    </row>
    <row r="1243" spans="2:2">
      <c r="B1243" s="8"/>
    </row>
    <row r="1244" spans="2:2">
      <c r="B1244" s="8"/>
    </row>
    <row r="1245" spans="2:2">
      <c r="B1245" s="8"/>
    </row>
    <row r="1246" spans="2:2">
      <c r="B1246" s="8"/>
    </row>
    <row r="1247" spans="2:2">
      <c r="B1247" s="8"/>
    </row>
    <row r="1248" spans="2:2">
      <c r="B1248" s="8"/>
    </row>
    <row r="1249" spans="2:2">
      <c r="B1249" s="8"/>
    </row>
    <row r="1250" spans="2:2">
      <c r="B1250" s="8"/>
    </row>
    <row r="1251" spans="2:2">
      <c r="B1251" s="8"/>
    </row>
    <row r="1252" spans="2:2">
      <c r="B1252" s="8"/>
    </row>
    <row r="1253" spans="2:2">
      <c r="B1253" s="8"/>
    </row>
    <row r="1254" spans="2:2">
      <c r="B1254" s="8"/>
    </row>
    <row r="1255" spans="2:2">
      <c r="B1255" s="8"/>
    </row>
    <row r="1256" spans="2:2">
      <c r="B1256" s="8"/>
    </row>
    <row r="1257" spans="2:2">
      <c r="B1257" s="8"/>
    </row>
    <row r="1258" spans="2:2">
      <c r="B1258" s="8"/>
    </row>
    <row r="1259" spans="2:2">
      <c r="B1259" s="8"/>
    </row>
    <row r="1260" spans="2:2">
      <c r="B1260" s="8"/>
    </row>
    <row r="1261" spans="2:2">
      <c r="B1261" s="8"/>
    </row>
    <row r="1262" spans="2:2">
      <c r="B1262" s="8"/>
    </row>
    <row r="1263" spans="2:2">
      <c r="B1263" s="8"/>
    </row>
    <row r="1264" spans="2:2">
      <c r="B1264" s="8"/>
    </row>
    <row r="1265" spans="2:2">
      <c r="B1265" s="8"/>
    </row>
    <row r="1266" spans="2:2">
      <c r="B1266" s="8"/>
    </row>
    <row r="1267" spans="2:2">
      <c r="B1267" s="8"/>
    </row>
    <row r="1268" spans="2:2">
      <c r="B1268" s="8"/>
    </row>
    <row r="1269" spans="2:2">
      <c r="B1269" s="8"/>
    </row>
    <row r="1270" spans="2:2">
      <c r="B1270" s="8"/>
    </row>
    <row r="1271" spans="2:2">
      <c r="B1271" s="8"/>
    </row>
    <row r="1272" spans="2:2">
      <c r="B1272" s="8"/>
    </row>
    <row r="1273" spans="2:2">
      <c r="B1273" s="8"/>
    </row>
    <row r="1274" spans="2:2">
      <c r="B1274" s="8"/>
    </row>
    <row r="1275" spans="2:2">
      <c r="B1275" s="8"/>
    </row>
    <row r="1276" spans="2:2">
      <c r="B1276" s="8"/>
    </row>
    <row r="1277" spans="2:2">
      <c r="B1277" s="8"/>
    </row>
    <row r="1278" spans="2:2">
      <c r="B1278" s="8"/>
    </row>
    <row r="1279" spans="2:2">
      <c r="B1279" s="8"/>
    </row>
    <row r="1280" spans="2:2">
      <c r="B1280" s="8"/>
    </row>
    <row r="1281" spans="2:2">
      <c r="B1281" s="8"/>
    </row>
    <row r="1282" spans="2:2">
      <c r="B1282" s="8"/>
    </row>
    <row r="1283" spans="2:2">
      <c r="B1283" s="8"/>
    </row>
    <row r="1284" spans="2:2">
      <c r="B1284" s="8"/>
    </row>
    <row r="1285" spans="2:2">
      <c r="B1285" s="8"/>
    </row>
    <row r="1286" spans="2:2">
      <c r="B1286" s="8"/>
    </row>
    <row r="1287" spans="2:2">
      <c r="B1287" s="8"/>
    </row>
    <row r="1288" spans="2:2">
      <c r="B1288" s="8"/>
    </row>
    <row r="1289" spans="2:2">
      <c r="B1289" s="8"/>
    </row>
    <row r="1290" spans="2:2">
      <c r="B1290" s="8"/>
    </row>
    <row r="1291" spans="2:2">
      <c r="B1291" s="8"/>
    </row>
    <row r="1292" spans="2:2">
      <c r="B1292" s="8"/>
    </row>
    <row r="1293" spans="2:2">
      <c r="B1293" s="8"/>
    </row>
    <row r="1294" spans="2:2">
      <c r="B1294" s="8"/>
    </row>
    <row r="1295" spans="2:2">
      <c r="B1295" s="8"/>
    </row>
    <row r="1296" spans="2:2">
      <c r="B1296" s="8"/>
    </row>
    <row r="1297" spans="2:2">
      <c r="B1297" s="8"/>
    </row>
    <row r="1298" spans="2:2">
      <c r="B1298" s="8"/>
    </row>
    <row r="1299" spans="2:2">
      <c r="B1299" s="8"/>
    </row>
    <row r="1300" spans="2:2">
      <c r="B1300" s="8"/>
    </row>
    <row r="1301" spans="2:2">
      <c r="B1301" s="8"/>
    </row>
    <row r="1302" spans="2:2">
      <c r="B1302" s="8"/>
    </row>
    <row r="1303" spans="2:2">
      <c r="B1303" s="8"/>
    </row>
    <row r="1304" spans="2:2">
      <c r="B1304" s="8"/>
    </row>
    <row r="1305" spans="2:2">
      <c r="B1305" s="8"/>
    </row>
    <row r="1306" spans="2:2">
      <c r="B1306" s="8"/>
    </row>
    <row r="1307" spans="2:2">
      <c r="B1307" s="8"/>
    </row>
    <row r="1308" spans="2:2">
      <c r="B1308" s="8"/>
    </row>
    <row r="1309" spans="2:2">
      <c r="B1309" s="8"/>
    </row>
    <row r="1310" spans="2:2">
      <c r="B1310" s="8"/>
    </row>
    <row r="1311" spans="2:2">
      <c r="B1311" s="8"/>
    </row>
    <row r="1312" spans="2:2">
      <c r="B1312" s="8"/>
    </row>
    <row r="1313" spans="2:2">
      <c r="B1313" s="8"/>
    </row>
    <row r="1314" spans="2:2">
      <c r="B1314" s="8"/>
    </row>
    <row r="1315" spans="2:2">
      <c r="B1315" s="8"/>
    </row>
    <row r="1316" spans="2:2">
      <c r="B1316" s="8"/>
    </row>
    <row r="1317" spans="2:2">
      <c r="B1317" s="8"/>
    </row>
    <row r="1318" spans="2:2">
      <c r="B1318" s="8"/>
    </row>
    <row r="1319" spans="2:2">
      <c r="B1319" s="8"/>
    </row>
    <row r="1320" spans="2:2">
      <c r="B1320" s="8"/>
    </row>
    <row r="1321" spans="2:2">
      <c r="B1321" s="8"/>
    </row>
    <row r="1322" spans="2:2">
      <c r="B1322" s="8"/>
    </row>
    <row r="1323" spans="2:2">
      <c r="B1323" s="8"/>
    </row>
    <row r="1324" spans="2:2">
      <c r="B1324" s="8"/>
    </row>
    <row r="1325" spans="2:2">
      <c r="B1325" s="8"/>
    </row>
    <row r="1326" spans="2:2">
      <c r="B1326" s="8"/>
    </row>
    <row r="1327" spans="2:2">
      <c r="B1327" s="8"/>
    </row>
    <row r="1328" spans="2:2">
      <c r="B1328" s="8"/>
    </row>
    <row r="1329" spans="2:2">
      <c r="B1329" s="8"/>
    </row>
    <row r="1330" spans="2:2">
      <c r="B1330" s="8"/>
    </row>
    <row r="1331" spans="2:2">
      <c r="B1331" s="8"/>
    </row>
    <row r="1332" spans="2:2">
      <c r="B1332" s="8"/>
    </row>
    <row r="1333" spans="2:2">
      <c r="B1333" s="8"/>
    </row>
    <row r="1334" spans="2:2">
      <c r="B1334" s="8"/>
    </row>
    <row r="1335" spans="2:2">
      <c r="B1335" s="8"/>
    </row>
    <row r="1336" spans="2:2">
      <c r="B1336" s="8"/>
    </row>
    <row r="1337" spans="2:2">
      <c r="B1337" s="8"/>
    </row>
    <row r="1338" spans="2:2">
      <c r="B1338" s="8"/>
    </row>
    <row r="1339" spans="2:2">
      <c r="B1339" s="8"/>
    </row>
    <row r="1340" spans="2:2">
      <c r="B1340" s="8"/>
    </row>
    <row r="1341" spans="2:2">
      <c r="B1341" s="8"/>
    </row>
    <row r="1342" spans="2:2">
      <c r="B1342" s="8"/>
    </row>
    <row r="1343" spans="2:2">
      <c r="B1343" s="8"/>
    </row>
    <row r="1344" spans="2:2">
      <c r="B1344" s="8"/>
    </row>
    <row r="1345" spans="2:2">
      <c r="B1345" s="8"/>
    </row>
    <row r="1346" spans="2:2">
      <c r="B1346" s="8"/>
    </row>
    <row r="1347" spans="2:2">
      <c r="B1347" s="8"/>
    </row>
    <row r="1348" spans="2:2">
      <c r="B1348" s="8"/>
    </row>
    <row r="1349" spans="2:2">
      <c r="B1349" s="8"/>
    </row>
    <row r="1350" spans="2:2">
      <c r="B1350" s="8"/>
    </row>
    <row r="1351" spans="2:2">
      <c r="B1351" s="8"/>
    </row>
    <row r="1352" spans="2:2">
      <c r="B1352" s="8"/>
    </row>
    <row r="1353" spans="2:2">
      <c r="B1353" s="8"/>
    </row>
    <row r="1354" spans="2:2">
      <c r="B1354" s="8"/>
    </row>
    <row r="1355" spans="2:2">
      <c r="B1355" s="8"/>
    </row>
    <row r="1356" spans="2:2">
      <c r="B1356" s="8"/>
    </row>
    <row r="1357" spans="2:2">
      <c r="B1357" s="8"/>
    </row>
    <row r="1358" spans="2:2">
      <c r="B1358" s="8"/>
    </row>
    <row r="1359" spans="2:2">
      <c r="B1359" s="8"/>
    </row>
    <row r="1360" spans="2:2">
      <c r="B1360" s="8"/>
    </row>
    <row r="1361" spans="2:2">
      <c r="B1361" s="8"/>
    </row>
    <row r="1362" spans="2:2">
      <c r="B1362" s="8"/>
    </row>
    <row r="1363" spans="2:2">
      <c r="B1363" s="8"/>
    </row>
    <row r="1364" spans="2:2">
      <c r="B1364" s="8"/>
    </row>
    <row r="1365" spans="2:2">
      <c r="B1365" s="8"/>
    </row>
    <row r="1366" spans="2:2">
      <c r="B1366" s="8"/>
    </row>
    <row r="1367" spans="2:2">
      <c r="B1367" s="8"/>
    </row>
    <row r="1368" spans="2:2">
      <c r="B1368" s="8"/>
    </row>
    <row r="1369" spans="2:2">
      <c r="B1369" s="8"/>
    </row>
    <row r="1370" spans="2:2">
      <c r="B1370" s="8"/>
    </row>
    <row r="1371" spans="2:2">
      <c r="B1371" s="8"/>
    </row>
    <row r="1372" spans="2:2">
      <c r="B1372" s="8"/>
    </row>
    <row r="1373" spans="2:2">
      <c r="B1373" s="8"/>
    </row>
    <row r="1374" spans="2:2">
      <c r="B1374" s="8"/>
    </row>
    <row r="1375" spans="2:2">
      <c r="B1375" s="8"/>
    </row>
    <row r="1376" spans="2:2">
      <c r="B1376" s="8"/>
    </row>
    <row r="1377" spans="2:2">
      <c r="B1377" s="8"/>
    </row>
    <row r="1378" spans="2:2">
      <c r="B1378" s="8"/>
    </row>
    <row r="1379" spans="2:2">
      <c r="B1379" s="8"/>
    </row>
    <row r="1380" spans="2:2">
      <c r="B1380" s="8"/>
    </row>
    <row r="1381" spans="2:2">
      <c r="B1381" s="8"/>
    </row>
    <row r="1382" spans="2:2">
      <c r="B1382" s="8"/>
    </row>
    <row r="1383" spans="2:2">
      <c r="B1383" s="8"/>
    </row>
    <row r="1384" spans="2:2">
      <c r="B1384" s="8"/>
    </row>
    <row r="1385" spans="2:2">
      <c r="B1385" s="8"/>
    </row>
    <row r="1386" spans="2:2">
      <c r="B1386" s="8"/>
    </row>
    <row r="1387" spans="2:2">
      <c r="B1387" s="8"/>
    </row>
    <row r="1388" spans="2:2">
      <c r="B1388" s="8"/>
    </row>
    <row r="1389" spans="2:2">
      <c r="B1389" s="8"/>
    </row>
    <row r="1390" spans="2:2">
      <c r="B1390" s="8"/>
    </row>
    <row r="1391" spans="2:2">
      <c r="B1391" s="8"/>
    </row>
    <row r="1392" spans="2:2">
      <c r="B1392" s="8"/>
    </row>
    <row r="1393" spans="2:2">
      <c r="B1393" s="8"/>
    </row>
    <row r="1394" spans="2:2">
      <c r="B1394" s="8"/>
    </row>
    <row r="1395" spans="2:2">
      <c r="B1395" s="8"/>
    </row>
    <row r="1396" spans="2:2">
      <c r="B1396" s="8"/>
    </row>
    <row r="1397" spans="2:2">
      <c r="B1397" s="8"/>
    </row>
    <row r="1398" spans="2:2">
      <c r="B1398" s="8"/>
    </row>
    <row r="1399" spans="2:2">
      <c r="B1399" s="8"/>
    </row>
    <row r="1400" spans="2:2">
      <c r="B1400" s="8"/>
    </row>
    <row r="1401" spans="2:2">
      <c r="B1401" s="8"/>
    </row>
    <row r="1402" spans="2:2">
      <c r="B1402" s="8"/>
    </row>
    <row r="1403" spans="2:2">
      <c r="B1403" s="8"/>
    </row>
    <row r="1404" spans="2:2">
      <c r="B1404" s="8"/>
    </row>
    <row r="1405" spans="2:2">
      <c r="B1405" s="8"/>
    </row>
    <row r="1406" spans="2:2">
      <c r="B1406" s="8"/>
    </row>
    <row r="1407" spans="2:2">
      <c r="B1407" s="8"/>
    </row>
    <row r="1408" spans="2:2">
      <c r="B1408" s="8"/>
    </row>
    <row r="1409" spans="2:2">
      <c r="B1409" s="8"/>
    </row>
    <row r="1410" spans="2:2">
      <c r="B1410" s="8"/>
    </row>
    <row r="1411" spans="2:2">
      <c r="B1411" s="8"/>
    </row>
    <row r="1412" spans="2:2">
      <c r="B1412" s="8"/>
    </row>
    <row r="1413" spans="2:2">
      <c r="B1413" s="8"/>
    </row>
    <row r="1414" spans="2:2">
      <c r="B1414" s="8"/>
    </row>
    <row r="1415" spans="2:2">
      <c r="B1415" s="8"/>
    </row>
    <row r="1416" spans="2:2">
      <c r="B1416" s="8"/>
    </row>
    <row r="1417" spans="2:2">
      <c r="B1417" s="8"/>
    </row>
    <row r="1418" spans="2:2">
      <c r="B1418" s="8"/>
    </row>
    <row r="1419" spans="2:2">
      <c r="B1419" s="8"/>
    </row>
    <row r="1420" spans="2:2">
      <c r="B1420" s="8"/>
    </row>
    <row r="1421" spans="2:2">
      <c r="B1421" s="8"/>
    </row>
    <row r="1422" spans="2:2">
      <c r="B1422" s="8"/>
    </row>
    <row r="1423" spans="2:2">
      <c r="B1423" s="8"/>
    </row>
    <row r="1424" spans="2:2">
      <c r="B1424" s="8"/>
    </row>
    <row r="1425" spans="2:2">
      <c r="B1425" s="8"/>
    </row>
    <row r="1426" spans="2:2">
      <c r="B1426" s="8"/>
    </row>
    <row r="1427" spans="2:2">
      <c r="B1427" s="8"/>
    </row>
    <row r="1428" spans="2:2">
      <c r="B1428" s="8"/>
    </row>
    <row r="1429" spans="2:2">
      <c r="B1429" s="8"/>
    </row>
    <row r="1430" spans="2:2">
      <c r="B1430" s="8"/>
    </row>
    <row r="1431" spans="2:2">
      <c r="B1431" s="8"/>
    </row>
    <row r="1432" spans="2:2">
      <c r="B1432" s="8"/>
    </row>
    <row r="1433" spans="2:2">
      <c r="B1433" s="8"/>
    </row>
    <row r="1434" spans="2:2">
      <c r="B1434" s="8"/>
    </row>
    <row r="1435" spans="2:2">
      <c r="B1435" s="8"/>
    </row>
    <row r="1436" spans="2:2">
      <c r="B1436" s="8"/>
    </row>
    <row r="1437" spans="2:2">
      <c r="B1437" s="8"/>
    </row>
    <row r="1438" spans="2:2">
      <c r="B1438" s="8"/>
    </row>
    <row r="1439" spans="2:2">
      <c r="B1439" s="8"/>
    </row>
    <row r="1440" spans="2:2">
      <c r="B1440" s="8"/>
    </row>
    <row r="1441" spans="2:2">
      <c r="B1441" s="8"/>
    </row>
    <row r="1442" spans="2:2">
      <c r="B1442" s="8"/>
    </row>
    <row r="1443" spans="2:2">
      <c r="B1443" s="8"/>
    </row>
    <row r="1444" spans="2:2">
      <c r="B1444" s="8"/>
    </row>
    <row r="1445" spans="2:2">
      <c r="B1445" s="8"/>
    </row>
    <row r="1446" spans="2:2">
      <c r="B1446" s="8"/>
    </row>
    <row r="1447" spans="2:2">
      <c r="B1447" s="8"/>
    </row>
    <row r="1448" spans="2:2">
      <c r="B1448" s="8"/>
    </row>
    <row r="1449" spans="2:2">
      <c r="B1449" s="8"/>
    </row>
    <row r="1450" spans="2:2">
      <c r="B1450" s="8"/>
    </row>
    <row r="1451" spans="2:2">
      <c r="B1451" s="8"/>
    </row>
    <row r="1452" spans="2:2">
      <c r="B1452" s="8"/>
    </row>
    <row r="1453" spans="2:2">
      <c r="B1453" s="8"/>
    </row>
    <row r="1454" spans="2:2">
      <c r="B1454" s="8"/>
    </row>
    <row r="1455" spans="2:2">
      <c r="B1455" s="8"/>
    </row>
    <row r="1456" spans="2:2">
      <c r="B1456" s="8"/>
    </row>
    <row r="1457" spans="2:2">
      <c r="B1457" s="8"/>
    </row>
    <row r="1458" spans="2:2">
      <c r="B1458" s="8"/>
    </row>
    <row r="1459" spans="2:2">
      <c r="B1459" s="8"/>
    </row>
    <row r="1460" spans="2:2">
      <c r="B1460" s="8"/>
    </row>
    <row r="1461" spans="2:2">
      <c r="B1461" s="8"/>
    </row>
    <row r="1462" spans="2:2">
      <c r="B1462" s="8"/>
    </row>
    <row r="1463" spans="2:2">
      <c r="B1463" s="8"/>
    </row>
    <row r="1464" spans="2:2">
      <c r="B1464" s="8"/>
    </row>
    <row r="1465" spans="2:2">
      <c r="B1465" s="8"/>
    </row>
    <row r="1466" spans="2:2">
      <c r="B1466" s="8"/>
    </row>
    <row r="1467" spans="2:2">
      <c r="B1467" s="8"/>
    </row>
    <row r="1468" spans="2:2">
      <c r="B1468" s="8"/>
    </row>
    <row r="1469" spans="2:2">
      <c r="B1469" s="8"/>
    </row>
    <row r="1470" spans="2:2">
      <c r="B1470" s="8"/>
    </row>
    <row r="1471" spans="2:2">
      <c r="B1471" s="8"/>
    </row>
    <row r="1472" spans="2:2">
      <c r="B1472" s="8"/>
    </row>
    <row r="1473" spans="2:2">
      <c r="B1473" s="8"/>
    </row>
    <row r="1474" spans="2:2">
      <c r="B1474" s="8"/>
    </row>
    <row r="1475" spans="2:2">
      <c r="B1475" s="8"/>
    </row>
    <row r="1476" spans="2:2">
      <c r="B1476" s="8"/>
    </row>
    <row r="1477" spans="2:2">
      <c r="B1477" s="8"/>
    </row>
    <row r="1478" spans="2:2">
      <c r="B1478" s="8"/>
    </row>
    <row r="1479" spans="2:2">
      <c r="B1479" s="8"/>
    </row>
    <row r="1480" spans="2:2">
      <c r="B1480" s="8"/>
    </row>
    <row r="1481" spans="2:2">
      <c r="B1481" s="8"/>
    </row>
    <row r="1482" spans="2:2">
      <c r="B1482" s="8"/>
    </row>
    <row r="1483" spans="2:2">
      <c r="B1483" s="8"/>
    </row>
    <row r="1484" spans="2:2">
      <c r="B1484" s="8"/>
    </row>
    <row r="1485" spans="2:2">
      <c r="B1485" s="8"/>
    </row>
    <row r="1486" spans="2:2">
      <c r="B1486" s="8"/>
    </row>
    <row r="1487" spans="2:2">
      <c r="B1487" s="8"/>
    </row>
    <row r="1488" spans="2:2">
      <c r="B1488" s="8"/>
    </row>
    <row r="1489" spans="2:2">
      <c r="B1489" s="8"/>
    </row>
    <row r="1490" spans="2:2">
      <c r="B1490" s="8"/>
    </row>
    <row r="1491" spans="2:2">
      <c r="B1491" s="8"/>
    </row>
    <row r="1492" spans="2:2">
      <c r="B1492" s="8"/>
    </row>
    <row r="1493" spans="2:2">
      <c r="B1493" s="8"/>
    </row>
    <row r="1494" spans="2:2">
      <c r="B1494" s="8"/>
    </row>
    <row r="1495" spans="2:2">
      <c r="B1495" s="8"/>
    </row>
    <row r="1496" spans="2:2">
      <c r="B1496" s="8"/>
    </row>
    <row r="1497" spans="2:2">
      <c r="B1497" s="8"/>
    </row>
    <row r="1498" spans="2:2">
      <c r="B1498" s="8"/>
    </row>
    <row r="1499" spans="2:2">
      <c r="B1499" s="8"/>
    </row>
    <row r="1500" spans="2:2">
      <c r="B1500" s="8"/>
    </row>
    <row r="1501" spans="2:2">
      <c r="B1501" s="8"/>
    </row>
    <row r="1502" spans="2:2">
      <c r="B1502" s="8"/>
    </row>
    <row r="1503" spans="2:2">
      <c r="B1503" s="8"/>
    </row>
    <row r="1504" spans="2:2">
      <c r="B1504" s="8"/>
    </row>
    <row r="1505" spans="2:2">
      <c r="B1505" s="8"/>
    </row>
    <row r="1506" spans="2:2">
      <c r="B1506" s="8"/>
    </row>
    <row r="1507" spans="2:2">
      <c r="B1507" s="8"/>
    </row>
    <row r="1508" spans="2:2">
      <c r="B1508" s="8"/>
    </row>
    <row r="1509" spans="2:2">
      <c r="B1509" s="8"/>
    </row>
    <row r="1510" spans="2:2">
      <c r="B1510" s="8"/>
    </row>
    <row r="1511" spans="2:2">
      <c r="B1511" s="8"/>
    </row>
    <row r="1512" spans="2:2">
      <c r="B1512" s="8"/>
    </row>
    <row r="1513" spans="2:2">
      <c r="B1513" s="8"/>
    </row>
    <row r="1514" spans="2:2">
      <c r="B1514" s="8"/>
    </row>
    <row r="1515" spans="2:2">
      <c r="B1515" s="8"/>
    </row>
    <row r="1516" spans="2:2">
      <c r="B1516" s="8"/>
    </row>
    <row r="1517" spans="2:2">
      <c r="B1517" s="8"/>
    </row>
    <row r="1518" spans="2:2">
      <c r="B1518" s="8"/>
    </row>
    <row r="1519" spans="2:2">
      <c r="B1519" s="8"/>
    </row>
    <row r="1520" spans="2:2">
      <c r="B1520" s="8"/>
    </row>
    <row r="1521" spans="2:2">
      <c r="B1521" s="8"/>
    </row>
    <row r="1522" spans="2:2">
      <c r="B1522" s="8"/>
    </row>
    <row r="1523" spans="2:2">
      <c r="B1523" s="8"/>
    </row>
    <row r="1524" spans="2:2">
      <c r="B1524" s="8"/>
    </row>
    <row r="1525" spans="2:2">
      <c r="B1525" s="8"/>
    </row>
    <row r="1526" spans="2:2">
      <c r="B1526" s="8"/>
    </row>
    <row r="1527" spans="2:2">
      <c r="B1527" s="8"/>
    </row>
    <row r="1528" spans="2:2">
      <c r="B1528" s="8"/>
    </row>
    <row r="1529" spans="2:2">
      <c r="B1529" s="8"/>
    </row>
    <row r="1530" spans="2:2">
      <c r="B1530" s="8"/>
    </row>
    <row r="1531" spans="2:2">
      <c r="B1531" s="8"/>
    </row>
    <row r="1532" spans="2:2">
      <c r="B1532" s="8"/>
    </row>
    <row r="1533" spans="2:2">
      <c r="B1533" s="8"/>
    </row>
    <row r="1534" spans="2:2">
      <c r="B1534" s="8"/>
    </row>
    <row r="1535" spans="2:2">
      <c r="B1535" s="8"/>
    </row>
    <row r="1536" spans="2:2">
      <c r="B1536" s="8"/>
    </row>
    <row r="1537" spans="2:2">
      <c r="B1537" s="8"/>
    </row>
    <row r="1538" spans="2:2">
      <c r="B1538" s="8"/>
    </row>
    <row r="1539" spans="2:2">
      <c r="B1539" s="8"/>
    </row>
    <row r="1540" spans="2:2">
      <c r="B1540" s="8"/>
    </row>
    <row r="1541" spans="2:2">
      <c r="B1541" s="8"/>
    </row>
    <row r="1542" spans="2:2">
      <c r="B1542" s="8"/>
    </row>
    <row r="1543" spans="2:2">
      <c r="B1543" s="8"/>
    </row>
    <row r="1544" spans="2:2">
      <c r="B1544" s="8"/>
    </row>
    <row r="1545" spans="2:2">
      <c r="B1545" s="8"/>
    </row>
    <row r="1546" spans="2:2">
      <c r="B1546" s="8"/>
    </row>
    <row r="1547" spans="2:2">
      <c r="B1547" s="8"/>
    </row>
    <row r="1548" spans="2:2">
      <c r="B1548" s="8"/>
    </row>
    <row r="1549" spans="2:2">
      <c r="B1549" s="8"/>
    </row>
    <row r="1550" spans="2:2">
      <c r="B1550" s="8"/>
    </row>
    <row r="1551" spans="2:2">
      <c r="B1551" s="8"/>
    </row>
    <row r="1552" spans="2:2">
      <c r="B1552" s="8"/>
    </row>
    <row r="1553" spans="2:2">
      <c r="B1553" s="8"/>
    </row>
    <row r="1554" spans="2:2">
      <c r="B1554" s="8"/>
    </row>
    <row r="1555" spans="2:2">
      <c r="B1555" s="8"/>
    </row>
    <row r="1556" spans="2:2">
      <c r="B1556" s="8"/>
    </row>
    <row r="1557" spans="2:2">
      <c r="B1557" s="8"/>
    </row>
    <row r="1558" spans="2:2">
      <c r="B1558" s="8"/>
    </row>
    <row r="1559" spans="2:2">
      <c r="B1559" s="8"/>
    </row>
    <row r="1560" spans="2:2">
      <c r="B1560" s="8"/>
    </row>
    <row r="1561" spans="2:2">
      <c r="B1561" s="8"/>
    </row>
    <row r="1562" spans="2:2">
      <c r="B1562" s="8"/>
    </row>
    <row r="1563" spans="2:2">
      <c r="B1563" s="8"/>
    </row>
    <row r="1564" spans="2:2">
      <c r="B1564" s="8"/>
    </row>
    <row r="1565" spans="2:2">
      <c r="B1565" s="8"/>
    </row>
    <row r="1566" spans="2:2">
      <c r="B1566" s="8"/>
    </row>
    <row r="1567" spans="2:2">
      <c r="B1567" s="8"/>
    </row>
    <row r="1568" spans="2:2">
      <c r="B1568" s="8"/>
    </row>
    <row r="1569" spans="2:2">
      <c r="B1569" s="8"/>
    </row>
    <row r="1570" spans="2:2">
      <c r="B1570" s="8"/>
    </row>
    <row r="1571" spans="2:2">
      <c r="B1571" s="8"/>
    </row>
    <row r="1572" spans="2:2">
      <c r="B1572" s="8"/>
    </row>
    <row r="1573" spans="2:2">
      <c r="B1573" s="8"/>
    </row>
    <row r="1574" spans="2:2">
      <c r="B1574" s="8"/>
    </row>
    <row r="1575" spans="2:2">
      <c r="B1575" s="8"/>
    </row>
    <row r="1576" spans="2:2">
      <c r="B1576" s="8"/>
    </row>
    <row r="1577" spans="2:2">
      <c r="B1577" s="8"/>
    </row>
    <row r="1578" spans="2:2">
      <c r="B1578" s="8"/>
    </row>
    <row r="1579" spans="2:2">
      <c r="B1579" s="8"/>
    </row>
    <row r="1580" spans="2:2">
      <c r="B1580" s="8"/>
    </row>
    <row r="1581" spans="2:2">
      <c r="B1581" s="8"/>
    </row>
    <row r="1582" spans="2:2">
      <c r="B1582" s="8"/>
    </row>
    <row r="1583" spans="2:2">
      <c r="B1583" s="8"/>
    </row>
    <row r="1584" spans="2:2">
      <c r="B1584" s="8"/>
    </row>
    <row r="1585" spans="2:2">
      <c r="B1585" s="8"/>
    </row>
    <row r="1586" spans="2:2">
      <c r="B1586" s="8"/>
    </row>
    <row r="1587" spans="2:2">
      <c r="B1587" s="8"/>
    </row>
    <row r="1588" spans="2:2">
      <c r="B1588" s="8"/>
    </row>
    <row r="1589" spans="2:2">
      <c r="B1589" s="8"/>
    </row>
    <row r="1590" spans="2:2">
      <c r="B1590" s="8"/>
    </row>
    <row r="1591" spans="2:2">
      <c r="B1591" s="8"/>
    </row>
    <row r="1592" spans="2:2">
      <c r="B1592" s="8"/>
    </row>
    <row r="1593" spans="2:2">
      <c r="B1593" s="8"/>
    </row>
    <row r="1594" spans="2:2">
      <c r="B1594" s="8"/>
    </row>
    <row r="1595" spans="2:2">
      <c r="B1595" s="8"/>
    </row>
    <row r="1596" spans="2:2">
      <c r="B1596" s="8"/>
    </row>
    <row r="1597" spans="2:2">
      <c r="B1597" s="8"/>
    </row>
    <row r="1598" spans="2:2">
      <c r="B1598" s="8"/>
    </row>
    <row r="1599" spans="2:2">
      <c r="B1599" s="8"/>
    </row>
    <row r="1600" spans="2:2">
      <c r="B1600" s="8"/>
    </row>
    <row r="1601" spans="2:2">
      <c r="B1601" s="8"/>
    </row>
    <row r="1602" spans="2:2">
      <c r="B1602" s="8"/>
    </row>
    <row r="1603" spans="2:2">
      <c r="B1603" s="8"/>
    </row>
    <row r="1604" spans="2:2">
      <c r="B1604" s="8"/>
    </row>
    <row r="1605" spans="2:2">
      <c r="B1605" s="8"/>
    </row>
    <row r="1606" spans="2:2">
      <c r="B1606" s="8"/>
    </row>
    <row r="1607" spans="2:2">
      <c r="B1607" s="8"/>
    </row>
    <row r="1608" spans="2:2">
      <c r="B1608" s="8"/>
    </row>
    <row r="1609" spans="2:2">
      <c r="B1609" s="8"/>
    </row>
    <row r="1610" spans="2:2">
      <c r="B1610" s="8"/>
    </row>
    <row r="1611" spans="2:2">
      <c r="B1611" s="8"/>
    </row>
    <row r="1612" spans="2:2">
      <c r="B1612" s="8"/>
    </row>
    <row r="1613" spans="2:2">
      <c r="B1613" s="8"/>
    </row>
    <row r="1614" spans="2:2">
      <c r="B1614" s="8"/>
    </row>
    <row r="1615" spans="2:2">
      <c r="B1615" s="8"/>
    </row>
    <row r="1616" spans="2:2">
      <c r="B1616" s="8"/>
    </row>
    <row r="1617" spans="2:2">
      <c r="B1617" s="8"/>
    </row>
    <row r="1618" spans="2:2">
      <c r="B1618" s="8"/>
    </row>
    <row r="1619" spans="2:2">
      <c r="B1619" s="8"/>
    </row>
    <row r="1620" spans="2:2">
      <c r="B1620" s="8"/>
    </row>
    <row r="1621" spans="2:2">
      <c r="B1621" s="8"/>
    </row>
    <row r="1622" spans="2:2">
      <c r="B1622" s="8"/>
    </row>
    <row r="1623" spans="2:2">
      <c r="B1623" s="8"/>
    </row>
    <row r="1624" spans="2:2">
      <c r="B1624" s="8"/>
    </row>
    <row r="1625" spans="2:2">
      <c r="B1625" s="8"/>
    </row>
    <row r="1626" spans="2:2">
      <c r="B1626" s="8"/>
    </row>
    <row r="1627" spans="2:2">
      <c r="B1627" s="8"/>
    </row>
    <row r="1628" spans="2:2">
      <c r="B1628" s="8"/>
    </row>
    <row r="1629" spans="2:2">
      <c r="B1629" s="8"/>
    </row>
    <row r="1630" spans="2:2">
      <c r="B1630" s="8"/>
    </row>
    <row r="1631" spans="2:2">
      <c r="B1631" s="8"/>
    </row>
    <row r="1632" spans="2:2">
      <c r="B1632" s="8"/>
    </row>
    <row r="1633" spans="2:2">
      <c r="B1633" s="8"/>
    </row>
    <row r="1634" spans="2:2">
      <c r="B1634" s="8"/>
    </row>
    <row r="1635" spans="2:2">
      <c r="B1635" s="8"/>
    </row>
    <row r="1636" spans="2:2">
      <c r="B1636" s="8"/>
    </row>
    <row r="1637" spans="2:2">
      <c r="B1637" s="8"/>
    </row>
    <row r="1638" spans="2:2">
      <c r="B1638" s="8"/>
    </row>
    <row r="1639" spans="2:2">
      <c r="B1639" s="8"/>
    </row>
    <row r="1640" spans="2:2">
      <c r="B1640" s="8"/>
    </row>
    <row r="1641" spans="2:2">
      <c r="B1641" s="8"/>
    </row>
    <row r="1642" spans="2:2">
      <c r="B1642" s="8"/>
    </row>
    <row r="1643" spans="2:2">
      <c r="B1643" s="8"/>
    </row>
    <row r="1644" spans="2:2">
      <c r="B1644" s="8"/>
    </row>
    <row r="1645" spans="2:2">
      <c r="B1645" s="8"/>
    </row>
    <row r="1646" spans="2:2">
      <c r="B1646" s="8"/>
    </row>
    <row r="1647" spans="2:2">
      <c r="B1647" s="8"/>
    </row>
    <row r="1648" spans="2:2">
      <c r="B1648" s="8"/>
    </row>
    <row r="1649" spans="2:2">
      <c r="B1649" s="8"/>
    </row>
    <row r="1650" spans="2:2">
      <c r="B1650" s="8"/>
    </row>
    <row r="1651" spans="2:2">
      <c r="B1651" s="8"/>
    </row>
    <row r="1652" spans="2:2">
      <c r="B1652" s="8"/>
    </row>
    <row r="1653" spans="2:2">
      <c r="B1653" s="8"/>
    </row>
    <row r="1654" spans="2:2">
      <c r="B1654" s="8"/>
    </row>
    <row r="1655" spans="2:2">
      <c r="B1655" s="8"/>
    </row>
    <row r="1656" spans="2:2">
      <c r="B1656" s="8"/>
    </row>
    <row r="1657" spans="2:2">
      <c r="B1657" s="8"/>
    </row>
    <row r="1658" spans="2:2">
      <c r="B1658" s="8"/>
    </row>
    <row r="1659" spans="2:2">
      <c r="B1659" s="8"/>
    </row>
    <row r="1660" spans="2:2">
      <c r="B1660" s="8"/>
    </row>
    <row r="1661" spans="2:2">
      <c r="B1661" s="8"/>
    </row>
    <row r="1662" spans="2:2">
      <c r="B1662" s="8"/>
    </row>
    <row r="1663" spans="2:2">
      <c r="B1663" s="8"/>
    </row>
    <row r="1664" spans="2:2">
      <c r="B1664" s="8"/>
    </row>
    <row r="1665" spans="2:2">
      <c r="B1665" s="8"/>
    </row>
    <row r="1666" spans="2:2">
      <c r="B1666" s="8"/>
    </row>
    <row r="1667" spans="2:2">
      <c r="B1667" s="8"/>
    </row>
    <row r="1668" spans="2:2">
      <c r="B1668" s="8"/>
    </row>
    <row r="1669" spans="2:2">
      <c r="B1669" s="8"/>
    </row>
    <row r="1670" spans="2:2">
      <c r="B1670" s="8"/>
    </row>
    <row r="1671" spans="2:2">
      <c r="B1671" s="8"/>
    </row>
    <row r="1672" spans="2:2">
      <c r="B1672" s="8"/>
    </row>
    <row r="1673" spans="2:2">
      <c r="B1673" s="8"/>
    </row>
    <row r="1674" spans="2:2">
      <c r="B1674" s="8"/>
    </row>
    <row r="1675" spans="2:2">
      <c r="B1675" s="8"/>
    </row>
    <row r="1676" spans="2:2">
      <c r="B1676" s="8"/>
    </row>
    <row r="1677" spans="2:2">
      <c r="B1677" s="8"/>
    </row>
    <row r="1678" spans="2:2">
      <c r="B1678" s="8"/>
    </row>
    <row r="1679" spans="2:2">
      <c r="B1679" s="8"/>
    </row>
    <row r="1680" spans="2:2">
      <c r="B1680" s="8"/>
    </row>
    <row r="1681" spans="2:2">
      <c r="B1681" s="8"/>
    </row>
    <row r="1682" spans="2:2">
      <c r="B1682" s="8"/>
    </row>
    <row r="1683" spans="2:2">
      <c r="B1683" s="8"/>
    </row>
    <row r="1684" spans="2:2">
      <c r="B1684" s="8"/>
    </row>
    <row r="1685" spans="2:2">
      <c r="B1685" s="8"/>
    </row>
    <row r="1686" spans="2:2">
      <c r="B1686" s="8"/>
    </row>
    <row r="1687" spans="2:2">
      <c r="B1687" s="8"/>
    </row>
    <row r="1688" spans="2:2">
      <c r="B1688" s="8"/>
    </row>
    <row r="1689" spans="2:2">
      <c r="B1689" s="8"/>
    </row>
    <row r="1690" spans="2:2">
      <c r="B1690" s="8"/>
    </row>
    <row r="1691" spans="2:2">
      <c r="B1691" s="8"/>
    </row>
    <row r="1692" spans="2:2">
      <c r="B1692" s="8"/>
    </row>
    <row r="1693" spans="2:2">
      <c r="B1693" s="8"/>
    </row>
    <row r="1694" spans="2:2">
      <c r="B1694" s="8"/>
    </row>
    <row r="1695" spans="2:2">
      <c r="B1695" s="8"/>
    </row>
    <row r="1696" spans="2:2">
      <c r="B1696" s="8"/>
    </row>
    <row r="1697" spans="2:2">
      <c r="B1697" s="8"/>
    </row>
    <row r="1698" spans="2:2">
      <c r="B1698" s="8"/>
    </row>
    <row r="1699" spans="2:2">
      <c r="B1699" s="8"/>
    </row>
    <row r="1700" spans="2:2">
      <c r="B1700" s="8"/>
    </row>
    <row r="1701" spans="2:2">
      <c r="B1701" s="8"/>
    </row>
    <row r="1702" spans="2:2">
      <c r="B1702" s="8"/>
    </row>
    <row r="1703" spans="2:2">
      <c r="B1703" s="8"/>
    </row>
    <row r="1704" spans="2:2">
      <c r="B1704" s="8"/>
    </row>
    <row r="1705" spans="2:2">
      <c r="B1705" s="8"/>
    </row>
    <row r="1706" spans="2:2">
      <c r="B1706" s="8"/>
    </row>
    <row r="1707" spans="2:2">
      <c r="B1707" s="8"/>
    </row>
    <row r="1708" spans="2:2">
      <c r="B1708" s="8"/>
    </row>
    <row r="1709" spans="2:2">
      <c r="B1709" s="8"/>
    </row>
    <row r="1710" spans="2:2">
      <c r="B1710" s="8"/>
    </row>
    <row r="1711" spans="2:2">
      <c r="B1711" s="8"/>
    </row>
    <row r="1712" spans="2:2">
      <c r="B1712" s="8"/>
    </row>
    <row r="1713" spans="2:2">
      <c r="B1713" s="8"/>
    </row>
    <row r="1714" spans="2:2">
      <c r="B1714" s="8"/>
    </row>
    <row r="1715" spans="2:2">
      <c r="B1715" s="8"/>
    </row>
    <row r="1716" spans="2:2">
      <c r="B1716" s="8"/>
    </row>
    <row r="1717" spans="2:2">
      <c r="B1717" s="8"/>
    </row>
    <row r="1718" spans="2:2">
      <c r="B1718" s="8"/>
    </row>
    <row r="1719" spans="2:2">
      <c r="B1719" s="8"/>
    </row>
    <row r="1720" spans="2:2">
      <c r="B1720" s="8"/>
    </row>
    <row r="1721" spans="2:2">
      <c r="B1721" s="8"/>
    </row>
    <row r="1722" spans="2:2">
      <c r="B1722" s="8"/>
    </row>
    <row r="1723" spans="2:2">
      <c r="B1723" s="8"/>
    </row>
    <row r="1724" spans="2:2">
      <c r="B1724" s="8"/>
    </row>
    <row r="1725" spans="2:2">
      <c r="B1725" s="8"/>
    </row>
    <row r="1726" spans="2:2">
      <c r="B1726" s="8"/>
    </row>
    <row r="1727" spans="2:2">
      <c r="B1727" s="8"/>
    </row>
    <row r="1728" spans="2:2">
      <c r="B1728" s="8"/>
    </row>
    <row r="1729" spans="2:2">
      <c r="B1729" s="8"/>
    </row>
    <row r="1730" spans="2:2">
      <c r="B1730" s="8"/>
    </row>
    <row r="1731" spans="2:2">
      <c r="B1731" s="8"/>
    </row>
    <row r="1732" spans="2:2">
      <c r="B1732" s="8"/>
    </row>
    <row r="1733" spans="2:2">
      <c r="B1733" s="8"/>
    </row>
    <row r="1734" spans="2:2">
      <c r="B1734" s="8"/>
    </row>
    <row r="1735" spans="2:2">
      <c r="B1735" s="8"/>
    </row>
    <row r="1736" spans="2:2">
      <c r="B1736" s="8"/>
    </row>
    <row r="1737" spans="2:2">
      <c r="B1737" s="8"/>
    </row>
    <row r="1738" spans="2:2">
      <c r="B1738" s="8"/>
    </row>
    <row r="1739" spans="2:2">
      <c r="B1739" s="8"/>
    </row>
    <row r="1740" spans="2:2">
      <c r="B1740" s="8"/>
    </row>
    <row r="1741" spans="2:2">
      <c r="B1741" s="8"/>
    </row>
    <row r="1742" spans="2:2">
      <c r="B1742" s="8"/>
    </row>
    <row r="1743" spans="2:2">
      <c r="B1743" s="8"/>
    </row>
    <row r="1744" spans="2:2">
      <c r="B1744" s="8"/>
    </row>
    <row r="1745" spans="2:2">
      <c r="B1745" s="8"/>
    </row>
    <row r="1746" spans="2:2">
      <c r="B1746" s="8"/>
    </row>
    <row r="1747" spans="2:2">
      <c r="B1747" s="8"/>
    </row>
    <row r="1748" spans="2:2">
      <c r="B1748" s="8"/>
    </row>
    <row r="1749" spans="2:2">
      <c r="B1749" s="8"/>
    </row>
    <row r="1750" spans="2:2">
      <c r="B1750" s="8"/>
    </row>
    <row r="1751" spans="2:2">
      <c r="B1751" s="8"/>
    </row>
    <row r="1752" spans="2:2">
      <c r="B1752" s="8"/>
    </row>
    <row r="1753" spans="2:2">
      <c r="B1753" s="8"/>
    </row>
    <row r="1754" spans="2:2">
      <c r="B1754" s="8"/>
    </row>
    <row r="1755" spans="2:2">
      <c r="B1755" s="8"/>
    </row>
    <row r="1756" spans="2:2">
      <c r="B1756" s="8"/>
    </row>
    <row r="1757" spans="2:2">
      <c r="B1757" s="8"/>
    </row>
    <row r="1758" spans="2:2">
      <c r="B1758" s="8"/>
    </row>
    <row r="1759" spans="2:2">
      <c r="B1759" s="8"/>
    </row>
    <row r="1760" spans="2:2">
      <c r="B1760" s="8"/>
    </row>
    <row r="1761" spans="2:2">
      <c r="B1761" s="8"/>
    </row>
    <row r="1762" spans="2:2">
      <c r="B1762" s="8"/>
    </row>
    <row r="1763" spans="2:2">
      <c r="B1763" s="8"/>
    </row>
    <row r="1764" spans="2:2">
      <c r="B1764" s="8"/>
    </row>
    <row r="1765" spans="2:2">
      <c r="B1765" s="8"/>
    </row>
    <row r="1766" spans="2:2">
      <c r="B1766" s="8"/>
    </row>
    <row r="1767" spans="2:2">
      <c r="B1767" s="8"/>
    </row>
    <row r="1768" spans="2:2">
      <c r="B1768" s="8"/>
    </row>
    <row r="1769" spans="2:2">
      <c r="B1769" s="8"/>
    </row>
    <row r="1770" spans="2:2">
      <c r="B1770" s="8"/>
    </row>
    <row r="1771" spans="2:2">
      <c r="B1771" s="8"/>
    </row>
    <row r="1772" spans="2:2">
      <c r="B1772" s="8"/>
    </row>
    <row r="1773" spans="2:2">
      <c r="B1773" s="8"/>
    </row>
    <row r="1774" spans="2:2">
      <c r="B1774" s="8"/>
    </row>
    <row r="1775" spans="2:2">
      <c r="B1775" s="8"/>
    </row>
    <row r="1776" spans="2:2">
      <c r="B1776" s="8"/>
    </row>
    <row r="1777" spans="2:2">
      <c r="B1777" s="8"/>
    </row>
    <row r="1778" spans="2:2">
      <c r="B1778" s="8"/>
    </row>
    <row r="1779" spans="2:2">
      <c r="B1779" s="8"/>
    </row>
    <row r="1780" spans="2:2">
      <c r="B1780" s="8"/>
    </row>
    <row r="1781" spans="2:2">
      <c r="B1781" s="8"/>
    </row>
    <row r="1782" spans="2:2">
      <c r="B1782" s="8"/>
    </row>
    <row r="1783" spans="2:2">
      <c r="B1783" s="8"/>
    </row>
    <row r="1784" spans="2:2">
      <c r="B1784" s="8"/>
    </row>
    <row r="1785" spans="2:2">
      <c r="B1785" s="8"/>
    </row>
    <row r="1786" spans="2:2">
      <c r="B1786" s="8"/>
    </row>
    <row r="1787" spans="2:2">
      <c r="B1787" s="8"/>
    </row>
    <row r="1788" spans="2:2">
      <c r="B1788" s="8"/>
    </row>
    <row r="1789" spans="2:2">
      <c r="B1789" s="8"/>
    </row>
    <row r="1790" spans="2:2">
      <c r="B1790" s="8"/>
    </row>
    <row r="1791" spans="2:2">
      <c r="B1791" s="8"/>
    </row>
    <row r="1792" spans="2:2">
      <c r="B1792" s="8"/>
    </row>
    <row r="1793" spans="2:2">
      <c r="B1793" s="8"/>
    </row>
    <row r="1794" spans="2:2">
      <c r="B1794" s="8"/>
    </row>
    <row r="1795" spans="2:2">
      <c r="B1795" s="8"/>
    </row>
    <row r="1796" spans="2:2">
      <c r="B1796" s="8"/>
    </row>
    <row r="1797" spans="2:2">
      <c r="B1797" s="8"/>
    </row>
    <row r="1798" spans="2:2">
      <c r="B1798" s="8"/>
    </row>
    <row r="1799" spans="2:2">
      <c r="B1799" s="8"/>
    </row>
    <row r="1800" spans="2:2">
      <c r="B1800" s="8"/>
    </row>
    <row r="1801" spans="2:2">
      <c r="B1801" s="8"/>
    </row>
    <row r="1802" spans="2:2">
      <c r="B1802" s="8"/>
    </row>
    <row r="1803" spans="2:2">
      <c r="B1803" s="8"/>
    </row>
    <row r="1804" spans="2:2">
      <c r="B1804" s="8"/>
    </row>
    <row r="1805" spans="2:2">
      <c r="B1805" s="8"/>
    </row>
    <row r="1806" spans="2:2">
      <c r="B1806" s="8"/>
    </row>
    <row r="1807" spans="2:2">
      <c r="B1807" s="8"/>
    </row>
    <row r="1808" spans="2:2">
      <c r="B1808" s="8"/>
    </row>
    <row r="1809" spans="2:2">
      <c r="B1809" s="8"/>
    </row>
    <row r="1810" spans="2:2">
      <c r="B1810" s="8"/>
    </row>
    <row r="1811" spans="2:2">
      <c r="B1811" s="8"/>
    </row>
    <row r="1812" spans="2:2">
      <c r="B1812" s="8"/>
    </row>
    <row r="1813" spans="2:2">
      <c r="B1813" s="8"/>
    </row>
    <row r="1814" spans="2:2">
      <c r="B1814" s="8"/>
    </row>
    <row r="1815" spans="2:2">
      <c r="B1815" s="8"/>
    </row>
    <row r="1816" spans="2:2">
      <c r="B1816" s="8"/>
    </row>
    <row r="1817" spans="2:2">
      <c r="B1817" s="8"/>
    </row>
    <row r="1818" spans="2:2">
      <c r="B1818" s="8"/>
    </row>
    <row r="1819" spans="2:2">
      <c r="B1819" s="8"/>
    </row>
    <row r="1820" spans="2:2">
      <c r="B1820" s="8"/>
    </row>
    <row r="1821" spans="2:2">
      <c r="B1821" s="8"/>
    </row>
    <row r="1822" spans="2:2">
      <c r="B1822" s="8"/>
    </row>
    <row r="1823" spans="2:2">
      <c r="B1823" s="8"/>
    </row>
    <row r="1824" spans="2:2">
      <c r="B1824" s="8"/>
    </row>
    <row r="1825" spans="2:2">
      <c r="B1825" s="8"/>
    </row>
    <row r="1826" spans="2:2">
      <c r="B1826" s="8"/>
    </row>
    <row r="1827" spans="2:2">
      <c r="B1827" s="8"/>
    </row>
    <row r="1828" spans="2:2">
      <c r="B1828" s="8"/>
    </row>
    <row r="1829" spans="2:2">
      <c r="B1829" s="8"/>
    </row>
    <row r="1830" spans="2:2">
      <c r="B1830" s="8"/>
    </row>
    <row r="1831" spans="2:2">
      <c r="B1831" s="8"/>
    </row>
    <row r="1832" spans="2:2">
      <c r="B1832" s="8"/>
    </row>
    <row r="1833" spans="2:2">
      <c r="B1833" s="8"/>
    </row>
    <row r="1834" spans="2:2">
      <c r="B1834" s="8"/>
    </row>
    <row r="1835" spans="2:2">
      <c r="B1835" s="8"/>
    </row>
    <row r="1836" spans="2:2">
      <c r="B1836" s="8"/>
    </row>
    <row r="1837" spans="2:2">
      <c r="B1837" s="8"/>
    </row>
    <row r="1838" spans="2:2">
      <c r="B1838" s="8"/>
    </row>
    <row r="1839" spans="2:2">
      <c r="B1839" s="8"/>
    </row>
    <row r="1840" spans="2:2">
      <c r="B1840" s="8"/>
    </row>
    <row r="1841" spans="2:2">
      <c r="B1841" s="8"/>
    </row>
  </sheetData>
  <mergeCells count="1415">
    <mergeCell ref="A456:A458"/>
    <mergeCell ref="M106:N106"/>
    <mergeCell ref="M144:N144"/>
    <mergeCell ref="C382:E382"/>
    <mergeCell ref="M330:N330"/>
    <mergeCell ref="M273:N273"/>
    <mergeCell ref="M274:N274"/>
    <mergeCell ref="A788:I788"/>
    <mergeCell ref="J788:K788"/>
    <mergeCell ref="M788:N788"/>
    <mergeCell ref="A789:I789"/>
    <mergeCell ref="J789:K789"/>
    <mergeCell ref="M789:N789"/>
    <mergeCell ref="M280:N280"/>
    <mergeCell ref="Q429:R430"/>
    <mergeCell ref="M437:N437"/>
    <mergeCell ref="C479:E479"/>
    <mergeCell ref="A775:E775"/>
    <mergeCell ref="H775:I775"/>
    <mergeCell ref="M775:N77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8:E468"/>
    <mergeCell ref="C469:E469"/>
    <mergeCell ref="M142:N143"/>
    <mergeCell ref="M174:N174"/>
    <mergeCell ref="M177:N178"/>
    <mergeCell ref="M185:N186"/>
    <mergeCell ref="M211:N212"/>
    <mergeCell ref="M232:N233"/>
    <mergeCell ref="M240:N241"/>
    <mergeCell ref="M251:N252"/>
    <mergeCell ref="A444:A446"/>
    <mergeCell ref="B444:B446"/>
    <mergeCell ref="M160:N160"/>
    <mergeCell ref="M162:N162"/>
    <mergeCell ref="M170:N170"/>
    <mergeCell ref="M179:N179"/>
    <mergeCell ref="M380:N380"/>
    <mergeCell ref="C413:E413"/>
    <mergeCell ref="M386:N386"/>
    <mergeCell ref="C398:E398"/>
    <mergeCell ref="C406:E406"/>
    <mergeCell ref="M311:N311"/>
    <mergeCell ref="M301:N301"/>
    <mergeCell ref="M270:N270"/>
    <mergeCell ref="M302:N302"/>
    <mergeCell ref="M323:N323"/>
    <mergeCell ref="C345:E345"/>
    <mergeCell ref="C346:E346"/>
    <mergeCell ref="C347:E347"/>
    <mergeCell ref="C348:E348"/>
    <mergeCell ref="C349:E349"/>
    <mergeCell ref="M204:N204"/>
    <mergeCell ref="C392:E392"/>
    <mergeCell ref="M305:N305"/>
    <mergeCell ref="M244:N244"/>
    <mergeCell ref="Q753:R754"/>
    <mergeCell ref="M262:N262"/>
    <mergeCell ref="H5:I5"/>
    <mergeCell ref="H8:I8"/>
    <mergeCell ref="M125:N125"/>
    <mergeCell ref="M126:N126"/>
    <mergeCell ref="M246:N246"/>
    <mergeCell ref="M53:N53"/>
    <mergeCell ref="M66:N66"/>
    <mergeCell ref="M68:N68"/>
    <mergeCell ref="M51:N51"/>
    <mergeCell ref="M62:N62"/>
    <mergeCell ref="M65:N65"/>
    <mergeCell ref="M38:N38"/>
    <mergeCell ref="M42:N42"/>
    <mergeCell ref="M43:N43"/>
    <mergeCell ref="M18:N19"/>
    <mergeCell ref="M57:N57"/>
    <mergeCell ref="H6:I6"/>
    <mergeCell ref="M537:N537"/>
    <mergeCell ref="M226:N226"/>
    <mergeCell ref="M227:N227"/>
    <mergeCell ref="M216:N216"/>
    <mergeCell ref="M217:N217"/>
    <mergeCell ref="M223:N223"/>
    <mergeCell ref="M123:N123"/>
    <mergeCell ref="M124:N124"/>
    <mergeCell ref="M572:N572"/>
    <mergeCell ref="M391:N391"/>
    <mergeCell ref="M529:N529"/>
    <mergeCell ref="M71:N71"/>
    <mergeCell ref="M75:N75"/>
    <mergeCell ref="B16:B17"/>
    <mergeCell ref="M105:N105"/>
    <mergeCell ref="M96:N96"/>
    <mergeCell ref="M103:N103"/>
    <mergeCell ref="M56:N56"/>
    <mergeCell ref="M58:N58"/>
    <mergeCell ref="M83:N83"/>
    <mergeCell ref="M80:N80"/>
    <mergeCell ref="M149:N149"/>
    <mergeCell ref="M150:N150"/>
    <mergeCell ref="M151:N151"/>
    <mergeCell ref="M208:N208"/>
    <mergeCell ref="M107:N107"/>
    <mergeCell ref="M108:N108"/>
    <mergeCell ref="M135:N135"/>
    <mergeCell ref="M127:N127"/>
    <mergeCell ref="M139:N139"/>
    <mergeCell ref="M137:N137"/>
    <mergeCell ref="M203:N203"/>
    <mergeCell ref="M122:N122"/>
    <mergeCell ref="M200:N200"/>
    <mergeCell ref="M76:N76"/>
    <mergeCell ref="D24:E24"/>
    <mergeCell ref="D25:E25"/>
    <mergeCell ref="D23:E23"/>
    <mergeCell ref="M84:N84"/>
    <mergeCell ref="M86:N86"/>
    <mergeCell ref="A18:B19"/>
    <mergeCell ref="A20:B22"/>
    <mergeCell ref="A23:B26"/>
    <mergeCell ref="M39:N39"/>
    <mergeCell ref="M36:N36"/>
    <mergeCell ref="K1:M4"/>
    <mergeCell ref="R24:R26"/>
    <mergeCell ref="Q24:Q26"/>
    <mergeCell ref="M97:N97"/>
    <mergeCell ref="M23:N26"/>
    <mergeCell ref="C526:E526"/>
    <mergeCell ref="M522:N522"/>
    <mergeCell ref="C515:E515"/>
    <mergeCell ref="C505:E505"/>
    <mergeCell ref="C407:E407"/>
    <mergeCell ref="C410:E410"/>
    <mergeCell ref="C512:E512"/>
    <mergeCell ref="C513:E513"/>
    <mergeCell ref="M408:N408"/>
    <mergeCell ref="C506:E506"/>
    <mergeCell ref="M261:N261"/>
    <mergeCell ref="H13:I13"/>
    <mergeCell ref="H14:I14"/>
    <mergeCell ref="M59:N59"/>
    <mergeCell ref="M69:N69"/>
    <mergeCell ref="M27:N27"/>
    <mergeCell ref="M50:N50"/>
    <mergeCell ref="M54:N54"/>
    <mergeCell ref="M41:N41"/>
    <mergeCell ref="M28:N28"/>
    <mergeCell ref="M509:N509"/>
    <mergeCell ref="D20:E20"/>
    <mergeCell ref="M20:N22"/>
    <mergeCell ref="D21:E21"/>
    <mergeCell ref="M37:N37"/>
    <mergeCell ref="C412:E412"/>
    <mergeCell ref="M29:N29"/>
    <mergeCell ref="C579:E579"/>
    <mergeCell ref="C546:E546"/>
    <mergeCell ref="C537:E537"/>
    <mergeCell ref="M542:N542"/>
    <mergeCell ref="M538:N538"/>
    <mergeCell ref="M575:N575"/>
    <mergeCell ref="M545:N545"/>
    <mergeCell ref="M539:N539"/>
    <mergeCell ref="M541:N541"/>
    <mergeCell ref="M576:N576"/>
    <mergeCell ref="M577:N577"/>
    <mergeCell ref="C571:E571"/>
    <mergeCell ref="C556:E556"/>
    <mergeCell ref="C552:E552"/>
    <mergeCell ref="C540:E540"/>
    <mergeCell ref="C541:E541"/>
    <mergeCell ref="M561:N561"/>
    <mergeCell ref="C573:E573"/>
    <mergeCell ref="C570:E570"/>
    <mergeCell ref="M579:N579"/>
    <mergeCell ref="C575:E575"/>
    <mergeCell ref="C576:E576"/>
    <mergeCell ref="M548:N548"/>
    <mergeCell ref="C558:E558"/>
    <mergeCell ref="C560:E560"/>
    <mergeCell ref="C538:E538"/>
    <mergeCell ref="M566:N566"/>
    <mergeCell ref="C550:E550"/>
    <mergeCell ref="C564:E564"/>
    <mergeCell ref="C547:E547"/>
    <mergeCell ref="C549:E549"/>
    <mergeCell ref="C539:E539"/>
    <mergeCell ref="M562:N562"/>
    <mergeCell ref="M554:N554"/>
    <mergeCell ref="M559:N559"/>
    <mergeCell ref="C534:E534"/>
    <mergeCell ref="M550:N550"/>
    <mergeCell ref="C565:E565"/>
    <mergeCell ref="M552:N552"/>
    <mergeCell ref="M553:N553"/>
    <mergeCell ref="C542:E542"/>
    <mergeCell ref="C563:E563"/>
    <mergeCell ref="C557:E557"/>
    <mergeCell ref="C543:E543"/>
    <mergeCell ref="M578:N578"/>
    <mergeCell ref="M564:N564"/>
    <mergeCell ref="M546:N546"/>
    <mergeCell ref="C566:E566"/>
    <mergeCell ref="C559:E559"/>
    <mergeCell ref="M560:N560"/>
    <mergeCell ref="M557:N557"/>
    <mergeCell ref="M551:N551"/>
    <mergeCell ref="M544:N544"/>
    <mergeCell ref="M540:N540"/>
    <mergeCell ref="C555:E555"/>
    <mergeCell ref="M556:N556"/>
    <mergeCell ref="M567:N567"/>
    <mergeCell ref="C578:E578"/>
    <mergeCell ref="C568:E568"/>
    <mergeCell ref="C567:E567"/>
    <mergeCell ref="C553:E553"/>
    <mergeCell ref="C554:E554"/>
    <mergeCell ref="M549:N549"/>
    <mergeCell ref="C569:E569"/>
    <mergeCell ref="C572:E572"/>
    <mergeCell ref="M543:N543"/>
    <mergeCell ref="C544:E544"/>
    <mergeCell ref="C561:E561"/>
    <mergeCell ref="C562:E562"/>
    <mergeCell ref="M565:N565"/>
    <mergeCell ref="C545:E545"/>
    <mergeCell ref="C548:E548"/>
    <mergeCell ref="M536:N536"/>
    <mergeCell ref="M525:N525"/>
    <mergeCell ref="M286:N286"/>
    <mergeCell ref="M299:N299"/>
    <mergeCell ref="M298:N298"/>
    <mergeCell ref="C332:E332"/>
    <mergeCell ref="M317:N317"/>
    <mergeCell ref="M332:N332"/>
    <mergeCell ref="M324:N324"/>
    <mergeCell ref="C511:E511"/>
    <mergeCell ref="C383:E383"/>
    <mergeCell ref="M358:N358"/>
    <mergeCell ref="M397:N397"/>
    <mergeCell ref="M398:N398"/>
    <mergeCell ref="M389:N389"/>
    <mergeCell ref="M405:N405"/>
    <mergeCell ref="M407:N407"/>
    <mergeCell ref="M512:N512"/>
    <mergeCell ref="M530:N530"/>
    <mergeCell ref="M379:N379"/>
    <mergeCell ref="M523:N523"/>
    <mergeCell ref="M394:N394"/>
    <mergeCell ref="M510:N510"/>
    <mergeCell ref="C536:E536"/>
    <mergeCell ref="D22:E22"/>
    <mergeCell ref="D18:E18"/>
    <mergeCell ref="M87:N87"/>
    <mergeCell ref="M131:N131"/>
    <mergeCell ref="M128:N128"/>
    <mergeCell ref="M95:N95"/>
    <mergeCell ref="M154:N154"/>
    <mergeCell ref="M222:N222"/>
    <mergeCell ref="M34:N34"/>
    <mergeCell ref="M70:N70"/>
    <mergeCell ref="M45:N45"/>
    <mergeCell ref="M85:N85"/>
    <mergeCell ref="M156:N156"/>
    <mergeCell ref="M32:N33"/>
    <mergeCell ref="M67:N67"/>
    <mergeCell ref="M88:N88"/>
    <mergeCell ref="M155:N155"/>
    <mergeCell ref="M61:N61"/>
    <mergeCell ref="M112:N112"/>
    <mergeCell ref="M130:N130"/>
    <mergeCell ref="M79:N79"/>
    <mergeCell ref="M129:N129"/>
    <mergeCell ref="M110:N110"/>
    <mergeCell ref="M146:N146"/>
    <mergeCell ref="M152:N152"/>
    <mergeCell ref="M111:N111"/>
    <mergeCell ref="M136:N136"/>
    <mergeCell ref="M132:N132"/>
    <mergeCell ref="M163:N163"/>
    <mergeCell ref="M169:N169"/>
    <mergeCell ref="M195:N195"/>
    <mergeCell ref="M164:N164"/>
    <mergeCell ref="M520:N520"/>
    <mergeCell ref="M513:N513"/>
    <mergeCell ref="M64:N64"/>
    <mergeCell ref="M63:N63"/>
    <mergeCell ref="M40:N40"/>
    <mergeCell ref="M48:N48"/>
    <mergeCell ref="M307:N307"/>
    <mergeCell ref="M287:N287"/>
    <mergeCell ref="M304:N304"/>
    <mergeCell ref="C450:E450"/>
    <mergeCell ref="C451:E451"/>
    <mergeCell ref="C452:E452"/>
    <mergeCell ref="C453:E453"/>
    <mergeCell ref="C454:E454"/>
    <mergeCell ref="C455:E455"/>
    <mergeCell ref="C415:E415"/>
    <mergeCell ref="C416:E416"/>
    <mergeCell ref="C417:E417"/>
    <mergeCell ref="C418:E418"/>
    <mergeCell ref="C419:E419"/>
    <mergeCell ref="C420:E420"/>
    <mergeCell ref="M319:N319"/>
    <mergeCell ref="M294:N294"/>
    <mergeCell ref="M253:N253"/>
    <mergeCell ref="M255:N255"/>
    <mergeCell ref="M256:N256"/>
    <mergeCell ref="M257:N257"/>
    <mergeCell ref="M258:N258"/>
    <mergeCell ref="M318:N318"/>
    <mergeCell ref="M504:N504"/>
    <mergeCell ref="M505:N505"/>
    <mergeCell ref="C470:E470"/>
    <mergeCell ref="M533:N533"/>
    <mergeCell ref="M190:N190"/>
    <mergeCell ref="M201:N201"/>
    <mergeCell ref="M199:N199"/>
    <mergeCell ref="C471:E471"/>
    <mergeCell ref="C472:E472"/>
    <mergeCell ref="M46:N46"/>
    <mergeCell ref="M381:N381"/>
    <mergeCell ref="M399:N399"/>
    <mergeCell ref="M400:N400"/>
    <mergeCell ref="M388:N388"/>
    <mergeCell ref="M297:N297"/>
    <mergeCell ref="M320:N320"/>
    <mergeCell ref="M278:N279"/>
    <mergeCell ref="M321:N321"/>
    <mergeCell ref="M322:N322"/>
    <mergeCell ref="M342:N342"/>
    <mergeCell ref="M331:N331"/>
    <mergeCell ref="M340:N340"/>
    <mergeCell ref="M272:N272"/>
    <mergeCell ref="M367:N367"/>
    <mergeCell ref="M315:N315"/>
    <mergeCell ref="M237:N237"/>
    <mergeCell ref="M189:N189"/>
    <mergeCell ref="M225:N225"/>
    <mergeCell ref="M147:N147"/>
    <mergeCell ref="M284:N284"/>
    <mergeCell ref="M166:N166"/>
    <mergeCell ref="M167:N167"/>
    <mergeCell ref="M159:N159"/>
    <mergeCell ref="M153:N153"/>
    <mergeCell ref="M517:N517"/>
    <mergeCell ref="C16:D16"/>
    <mergeCell ref="M16:N17"/>
    <mergeCell ref="M78:N78"/>
    <mergeCell ref="M52:N52"/>
    <mergeCell ref="M109:N109"/>
    <mergeCell ref="M104:N104"/>
    <mergeCell ref="M263:N263"/>
    <mergeCell ref="M266:N266"/>
    <mergeCell ref="M269:N269"/>
    <mergeCell ref="M313:N313"/>
    <mergeCell ref="M100:N100"/>
    <mergeCell ref="M93:N93"/>
    <mergeCell ref="M98:N98"/>
    <mergeCell ref="M99:N99"/>
    <mergeCell ref="D19:E19"/>
    <mergeCell ref="M282:N282"/>
    <mergeCell ref="M283:N283"/>
    <mergeCell ref="M161:N161"/>
    <mergeCell ref="M265:N265"/>
    <mergeCell ref="M134:N134"/>
    <mergeCell ref="M247:N247"/>
    <mergeCell ref="M288:N288"/>
    <mergeCell ref="M289:N289"/>
    <mergeCell ref="M165:N165"/>
    <mergeCell ref="M157:N157"/>
    <mergeCell ref="M158:N158"/>
    <mergeCell ref="M191:N191"/>
    <mergeCell ref="M60:N60"/>
    <mergeCell ref="M77:N77"/>
    <mergeCell ref="M82:N82"/>
    <mergeCell ref="M49:N49"/>
    <mergeCell ref="M55:N55"/>
    <mergeCell ref="M555:N555"/>
    <mergeCell ref="M402:N402"/>
    <mergeCell ref="C577:E577"/>
    <mergeCell ref="C587:E587"/>
    <mergeCell ref="M338:N338"/>
    <mergeCell ref="C525:E525"/>
    <mergeCell ref="C521:E521"/>
    <mergeCell ref="M518:N518"/>
    <mergeCell ref="C394:E394"/>
    <mergeCell ref="C400:E400"/>
    <mergeCell ref="C373:E373"/>
    <mergeCell ref="M354:N354"/>
    <mergeCell ref="M385:N385"/>
    <mergeCell ref="C404:E404"/>
    <mergeCell ref="C374:E374"/>
    <mergeCell ref="C375:E375"/>
    <mergeCell ref="M372:N372"/>
    <mergeCell ref="M375:N375"/>
    <mergeCell ref="M393:N393"/>
    <mergeCell ref="M511:N511"/>
    <mergeCell ref="M515:N515"/>
    <mergeCell ref="M507:N507"/>
    <mergeCell ref="M516:N516"/>
    <mergeCell ref="M387:N387"/>
    <mergeCell ref="M406:N406"/>
    <mergeCell ref="C504:E504"/>
    <mergeCell ref="C411:E411"/>
    <mergeCell ref="M395:N395"/>
    <mergeCell ref="C402:E402"/>
    <mergeCell ref="M519:N519"/>
    <mergeCell ref="C532:E532"/>
    <mergeCell ref="C535:E535"/>
    <mergeCell ref="M506:N506"/>
    <mergeCell ref="C517:E517"/>
    <mergeCell ref="C518:E518"/>
    <mergeCell ref="C403:E403"/>
    <mergeCell ref="Q326:Q327"/>
    <mergeCell ref="R326:R327"/>
    <mergeCell ref="C334:E334"/>
    <mergeCell ref="C329:E329"/>
    <mergeCell ref="C326:E326"/>
    <mergeCell ref="C330:D330"/>
    <mergeCell ref="M326:N326"/>
    <mergeCell ref="C371:E371"/>
    <mergeCell ref="C387:E387"/>
    <mergeCell ref="M341:N341"/>
    <mergeCell ref="C376:E376"/>
    <mergeCell ref="C370:E370"/>
    <mergeCell ref="C473:E473"/>
    <mergeCell ref="C474:E474"/>
    <mergeCell ref="C475:E475"/>
    <mergeCell ref="C476:E476"/>
    <mergeCell ref="C477:E477"/>
    <mergeCell ref="C478:E47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327:E327"/>
    <mergeCell ref="C328:E328"/>
    <mergeCell ref="M600:N600"/>
    <mergeCell ref="C618:E618"/>
    <mergeCell ref="C606:E606"/>
    <mergeCell ref="C610:E610"/>
    <mergeCell ref="C593:E593"/>
    <mergeCell ref="M616:N616"/>
    <mergeCell ref="C597:E597"/>
    <mergeCell ref="C598:E598"/>
    <mergeCell ref="C584:E584"/>
    <mergeCell ref="C602:E602"/>
    <mergeCell ref="C600:E600"/>
    <mergeCell ref="M527:N527"/>
    <mergeCell ref="M526:N526"/>
    <mergeCell ref="M314:N314"/>
    <mergeCell ref="M316:N316"/>
    <mergeCell ref="M312:N312"/>
    <mergeCell ref="C591:E591"/>
    <mergeCell ref="M589:N589"/>
    <mergeCell ref="C601:E601"/>
    <mergeCell ref="C582:E582"/>
    <mergeCell ref="C574:E574"/>
    <mergeCell ref="C595:E595"/>
    <mergeCell ref="M594:N594"/>
    <mergeCell ref="M595:N595"/>
    <mergeCell ref="C609:E609"/>
    <mergeCell ref="C325:E325"/>
    <mergeCell ref="M325:N325"/>
    <mergeCell ref="C324:E324"/>
    <mergeCell ref="M390:N390"/>
    <mergeCell ref="M396:N396"/>
    <mergeCell ref="M508:N508"/>
    <mergeCell ref="C447:E447"/>
    <mergeCell ref="M784:N784"/>
    <mergeCell ref="M640:N640"/>
    <mergeCell ref="M637:N637"/>
    <mergeCell ref="C581:E581"/>
    <mergeCell ref="M563:N563"/>
    <mergeCell ref="C637:E637"/>
    <mergeCell ref="C530:E530"/>
    <mergeCell ref="M524:N524"/>
    <mergeCell ref="C528:E528"/>
    <mergeCell ref="M531:N531"/>
    <mergeCell ref="M588:N588"/>
    <mergeCell ref="M633:N633"/>
    <mergeCell ref="C607:E607"/>
    <mergeCell ref="M624:N624"/>
    <mergeCell ref="M625:N625"/>
    <mergeCell ref="M597:N597"/>
    <mergeCell ref="M591:N591"/>
    <mergeCell ref="M623:N623"/>
    <mergeCell ref="M628:N628"/>
    <mergeCell ref="M629:N629"/>
    <mergeCell ref="M585:N585"/>
    <mergeCell ref="C583:E583"/>
    <mergeCell ref="C586:E586"/>
    <mergeCell ref="C589:E589"/>
    <mergeCell ref="M609:N609"/>
    <mergeCell ref="M606:N606"/>
    <mergeCell ref="M604:N604"/>
    <mergeCell ref="M605:N605"/>
    <mergeCell ref="M607:N607"/>
    <mergeCell ref="M617:N617"/>
    <mergeCell ref="M614:N614"/>
    <mergeCell ref="M615:N615"/>
    <mergeCell ref="C644:E644"/>
    <mergeCell ref="C669:E669"/>
    <mergeCell ref="C660:E660"/>
    <mergeCell ref="C730:E730"/>
    <mergeCell ref="C731:E731"/>
    <mergeCell ref="C732:E732"/>
    <mergeCell ref="M688:N688"/>
    <mergeCell ref="M689:N689"/>
    <mergeCell ref="C691:E691"/>
    <mergeCell ref="C692:E692"/>
    <mergeCell ref="C628:E628"/>
    <mergeCell ref="M569:N569"/>
    <mergeCell ref="M570:N570"/>
    <mergeCell ref="C642:E642"/>
    <mergeCell ref="M773:N773"/>
    <mergeCell ref="C633:E633"/>
    <mergeCell ref="C614:E614"/>
    <mergeCell ref="M620:N620"/>
    <mergeCell ref="M621:N621"/>
    <mergeCell ref="M626:N626"/>
    <mergeCell ref="M627:N627"/>
    <mergeCell ref="M618:N618"/>
    <mergeCell ref="M619:N619"/>
    <mergeCell ref="C641:E641"/>
    <mergeCell ref="M632:N632"/>
    <mergeCell ref="M643:N643"/>
    <mergeCell ref="C585:E585"/>
    <mergeCell ref="M584:N584"/>
    <mergeCell ref="M580:N580"/>
    <mergeCell ref="C616:E616"/>
    <mergeCell ref="M586:N586"/>
    <mergeCell ref="C592:E592"/>
    <mergeCell ref="C640:E640"/>
    <mergeCell ref="C604:E604"/>
    <mergeCell ref="M602:N602"/>
    <mergeCell ref="M603:N603"/>
    <mergeCell ref="M612:N612"/>
    <mergeCell ref="M634:N634"/>
    <mergeCell ref="C635:E635"/>
    <mergeCell ref="C620:E620"/>
    <mergeCell ref="C605:E605"/>
    <mergeCell ref="C405:E405"/>
    <mergeCell ref="C580:E580"/>
    <mergeCell ref="M587:N587"/>
    <mergeCell ref="M573:N573"/>
    <mergeCell ref="M574:N574"/>
    <mergeCell ref="M528:N528"/>
    <mergeCell ref="C619:E619"/>
    <mergeCell ref="M568:N568"/>
    <mergeCell ref="M582:N582"/>
    <mergeCell ref="M583:N583"/>
    <mergeCell ref="M581:N581"/>
    <mergeCell ref="M596:N596"/>
    <mergeCell ref="C622:E622"/>
    <mergeCell ref="C588:E588"/>
    <mergeCell ref="C621:E621"/>
    <mergeCell ref="M613:N613"/>
    <mergeCell ref="M610:N610"/>
    <mergeCell ref="M608:N608"/>
    <mergeCell ref="M593:N593"/>
    <mergeCell ref="M592:N592"/>
    <mergeCell ref="M598:N598"/>
    <mergeCell ref="M590:N590"/>
    <mergeCell ref="M601:N601"/>
    <mergeCell ref="J786:K786"/>
    <mergeCell ref="M639:N639"/>
    <mergeCell ref="M780:N780"/>
    <mergeCell ref="M641:N641"/>
    <mergeCell ref="M781:N781"/>
    <mergeCell ref="C623:E623"/>
    <mergeCell ref="M778:N778"/>
    <mergeCell ref="H772:I772"/>
    <mergeCell ref="M772:N772"/>
    <mergeCell ref="H773:I773"/>
    <mergeCell ref="J784:K784"/>
    <mergeCell ref="C639:E639"/>
    <mergeCell ref="C636:E636"/>
    <mergeCell ref="M638:N638"/>
    <mergeCell ref="M636:N636"/>
    <mergeCell ref="M647:N647"/>
    <mergeCell ref="M648:N648"/>
    <mergeCell ref="M649:N649"/>
    <mergeCell ref="M650:N650"/>
    <mergeCell ref="M651:N651"/>
    <mergeCell ref="M652:N652"/>
    <mergeCell ref="C655:E655"/>
    <mergeCell ref="C656:E656"/>
    <mergeCell ref="C657:E657"/>
    <mergeCell ref="C667:E667"/>
    <mergeCell ref="C668:E668"/>
    <mergeCell ref="C658:E658"/>
    <mergeCell ref="M635:N635"/>
    <mergeCell ref="C675:E675"/>
    <mergeCell ref="C643:E643"/>
    <mergeCell ref="M642:N642"/>
    <mergeCell ref="C638:E638"/>
    <mergeCell ref="M267:N267"/>
    <mergeCell ref="M296:N296"/>
    <mergeCell ref="M205:N205"/>
    <mergeCell ref="M206:N206"/>
    <mergeCell ref="M207:N207"/>
    <mergeCell ref="M213:N213"/>
    <mergeCell ref="M359:N359"/>
    <mergeCell ref="M382:N382"/>
    <mergeCell ref="M383:N383"/>
    <mergeCell ref="M384:N384"/>
    <mergeCell ref="M366:N366"/>
    <mergeCell ref="M300:N300"/>
    <mergeCell ref="M306:N306"/>
    <mergeCell ref="M357:N357"/>
    <mergeCell ref="M292:N292"/>
    <mergeCell ref="M309:N309"/>
    <mergeCell ref="M310:N310"/>
    <mergeCell ref="M260:N260"/>
    <mergeCell ref="M221:N221"/>
    <mergeCell ref="M220:N220"/>
    <mergeCell ref="E2:J2"/>
    <mergeCell ref="M268:N268"/>
    <mergeCell ref="M101:N101"/>
    <mergeCell ref="M102:N102"/>
    <mergeCell ref="M138:N138"/>
    <mergeCell ref="M148:N148"/>
    <mergeCell ref="M308:N308"/>
    <mergeCell ref="M224:N224"/>
    <mergeCell ref="A324:B330"/>
    <mergeCell ref="A331:B331"/>
    <mergeCell ref="M44:N44"/>
    <mergeCell ref="M47:N47"/>
    <mergeCell ref="D26:E26"/>
    <mergeCell ref="M81:N81"/>
    <mergeCell ref="M271:N271"/>
    <mergeCell ref="A335:B335"/>
    <mergeCell ref="B357:B359"/>
    <mergeCell ref="M349:N349"/>
    <mergeCell ref="M348:N348"/>
    <mergeCell ref="M347:N347"/>
    <mergeCell ref="M89:N89"/>
    <mergeCell ref="M90:N90"/>
    <mergeCell ref="M91:N91"/>
    <mergeCell ref="M92:N92"/>
    <mergeCell ref="M94:N94"/>
    <mergeCell ref="C350:E350"/>
    <mergeCell ref="M245:N245"/>
    <mergeCell ref="M259:N259"/>
    <mergeCell ref="M248:N248"/>
    <mergeCell ref="M285:N285"/>
    <mergeCell ref="M196:N196"/>
    <mergeCell ref="M197:N197"/>
    <mergeCell ref="M198:N198"/>
    <mergeCell ref="M374:N374"/>
    <mergeCell ref="M373:N373"/>
    <mergeCell ref="M293:N293"/>
    <mergeCell ref="M370:N370"/>
    <mergeCell ref="M202:N202"/>
    <mergeCell ref="M187:N187"/>
    <mergeCell ref="M303:N303"/>
    <mergeCell ref="M236:N236"/>
    <mergeCell ref="M228:N228"/>
    <mergeCell ref="M229:N229"/>
    <mergeCell ref="M295:N295"/>
    <mergeCell ref="M242:N242"/>
    <mergeCell ref="C388:E388"/>
    <mergeCell ref="M360:N360"/>
    <mergeCell ref="M361:N361"/>
    <mergeCell ref="M362:N362"/>
    <mergeCell ref="M350:N350"/>
    <mergeCell ref="M356:N356"/>
    <mergeCell ref="M355:N355"/>
    <mergeCell ref="M353:N353"/>
    <mergeCell ref="M352:N352"/>
    <mergeCell ref="M351:N351"/>
    <mergeCell ref="M369:N369"/>
    <mergeCell ref="C335:E335"/>
    <mergeCell ref="C372:E372"/>
    <mergeCell ref="C380:E380"/>
    <mergeCell ref="M219:N219"/>
    <mergeCell ref="M215:N215"/>
    <mergeCell ref="M290:N290"/>
    <mergeCell ref="M291:N291"/>
    <mergeCell ref="M264:N264"/>
    <mergeCell ref="C650:E650"/>
    <mergeCell ref="C533:E533"/>
    <mergeCell ref="C629:E629"/>
    <mergeCell ref="C634:E634"/>
    <mergeCell ref="C608:E608"/>
    <mergeCell ref="C631:E631"/>
    <mergeCell ref="C632:E632"/>
    <mergeCell ref="C611:E611"/>
    <mergeCell ref="M630:N630"/>
    <mergeCell ref="C625:E625"/>
    <mergeCell ref="C626:E626"/>
    <mergeCell ref="C627:E627"/>
    <mergeCell ref="M622:N622"/>
    <mergeCell ref="M631:N631"/>
    <mergeCell ref="C613:E613"/>
    <mergeCell ref="C615:E615"/>
    <mergeCell ref="C617:E617"/>
    <mergeCell ref="M571:N571"/>
    <mergeCell ref="C630:E630"/>
    <mergeCell ref="C645:E645"/>
    <mergeCell ref="C646:E646"/>
    <mergeCell ref="C647:E647"/>
    <mergeCell ref="C596:E596"/>
    <mergeCell ref="C603:E603"/>
    <mergeCell ref="M547:N547"/>
    <mergeCell ref="M534:N534"/>
    <mergeCell ref="M535:N535"/>
    <mergeCell ref="C551:E551"/>
    <mergeCell ref="C624:E624"/>
    <mergeCell ref="M558:N558"/>
    <mergeCell ref="M599:N599"/>
    <mergeCell ref="C599:E599"/>
    <mergeCell ref="C651:E651"/>
    <mergeCell ref="C652:E652"/>
    <mergeCell ref="M653:N653"/>
    <mergeCell ref="M654:N654"/>
    <mergeCell ref="M655:N655"/>
    <mergeCell ref="C664:E664"/>
    <mergeCell ref="C665:E665"/>
    <mergeCell ref="C666:E666"/>
    <mergeCell ref="C653:E653"/>
    <mergeCell ref="M657:N657"/>
    <mergeCell ref="M658:N658"/>
    <mergeCell ref="C662:E662"/>
    <mergeCell ref="C663:E663"/>
    <mergeCell ref="C654:E654"/>
    <mergeCell ref="M661:N661"/>
    <mergeCell ref="M662:N662"/>
    <mergeCell ref="M663:N663"/>
    <mergeCell ref="M664:N664"/>
    <mergeCell ref="M665:N665"/>
    <mergeCell ref="M666:N666"/>
    <mergeCell ref="C659:E659"/>
    <mergeCell ref="M659:N659"/>
    <mergeCell ref="M660:N660"/>
    <mergeCell ref="M719:N719"/>
    <mergeCell ref="C740:E740"/>
    <mergeCell ref="C741:E741"/>
    <mergeCell ref="C742:E742"/>
    <mergeCell ref="C743:E743"/>
    <mergeCell ref="A784:I784"/>
    <mergeCell ref="A785:I785"/>
    <mergeCell ref="M714:N714"/>
    <mergeCell ref="M715:N715"/>
    <mergeCell ref="M716:N716"/>
    <mergeCell ref="M717:N717"/>
    <mergeCell ref="C706:E706"/>
    <mergeCell ref="C707:E707"/>
    <mergeCell ref="C708:E708"/>
    <mergeCell ref="C709:E709"/>
    <mergeCell ref="C710:E710"/>
    <mergeCell ref="C711:E711"/>
    <mergeCell ref="C715:E715"/>
    <mergeCell ref="C716:E716"/>
    <mergeCell ref="C717:E717"/>
    <mergeCell ref="C718:E718"/>
    <mergeCell ref="C719:E719"/>
    <mergeCell ref="C728:E728"/>
    <mergeCell ref="C729:E729"/>
    <mergeCell ref="A780:I780"/>
    <mergeCell ref="A781:I781"/>
    <mergeCell ref="A782:I782"/>
    <mergeCell ref="A783:I783"/>
    <mergeCell ref="M721:N721"/>
    <mergeCell ref="M777:N777"/>
    <mergeCell ref="M768:N768"/>
    <mergeCell ref="M713:N713"/>
    <mergeCell ref="M723:N723"/>
    <mergeCell ref="A786:I786"/>
    <mergeCell ref="M742:N742"/>
    <mergeCell ref="M743:N743"/>
    <mergeCell ref="M744:N744"/>
    <mergeCell ref="M745:N745"/>
    <mergeCell ref="M746:N746"/>
    <mergeCell ref="A769:E769"/>
    <mergeCell ref="A772:E772"/>
    <mergeCell ref="A773:E773"/>
    <mergeCell ref="A774:E774"/>
    <mergeCell ref="M782:N782"/>
    <mergeCell ref="M783:N783"/>
    <mergeCell ref="J780:K780"/>
    <mergeCell ref="J781:K781"/>
    <mergeCell ref="J782:K782"/>
    <mergeCell ref="J783:K783"/>
    <mergeCell ref="M763:N763"/>
    <mergeCell ref="M767:N767"/>
    <mergeCell ref="C724:E724"/>
    <mergeCell ref="M731:N731"/>
    <mergeCell ref="C737:E737"/>
    <mergeCell ref="C738:E738"/>
    <mergeCell ref="C739:E739"/>
    <mergeCell ref="A779:I779"/>
    <mergeCell ref="A730:A732"/>
    <mergeCell ref="B730:B732"/>
    <mergeCell ref="H774:I774"/>
    <mergeCell ref="M774:N774"/>
    <mergeCell ref="H776:I776"/>
    <mergeCell ref="J785:K785"/>
    <mergeCell ref="H777:I777"/>
    <mergeCell ref="C722:E722"/>
    <mergeCell ref="C723:E723"/>
    <mergeCell ref="C725:E725"/>
    <mergeCell ref="C726:E726"/>
    <mergeCell ref="H778:I778"/>
    <mergeCell ref="C747:E747"/>
    <mergeCell ref="C748:E748"/>
    <mergeCell ref="M776:N776"/>
    <mergeCell ref="J779:K779"/>
    <mergeCell ref="M779:N779"/>
    <mergeCell ref="M785:N785"/>
    <mergeCell ref="A776:E776"/>
    <mergeCell ref="A777:E777"/>
    <mergeCell ref="A778:E778"/>
    <mergeCell ref="M786:N786"/>
    <mergeCell ref="M724:N724"/>
    <mergeCell ref="M725:N725"/>
    <mergeCell ref="M726:N726"/>
    <mergeCell ref="M727:N727"/>
    <mergeCell ref="M728:N728"/>
    <mergeCell ref="M729:N729"/>
    <mergeCell ref="M730:N730"/>
    <mergeCell ref="M735:N735"/>
    <mergeCell ref="M736:N736"/>
    <mergeCell ref="M737:N737"/>
    <mergeCell ref="M738:N738"/>
    <mergeCell ref="M739:N739"/>
    <mergeCell ref="C745:E745"/>
    <mergeCell ref="C746:E746"/>
    <mergeCell ref="C727:E727"/>
    <mergeCell ref="C733:E733"/>
    <mergeCell ref="M722:N722"/>
    <mergeCell ref="Q331:Q332"/>
    <mergeCell ref="R331:R332"/>
    <mergeCell ref="M335:N335"/>
    <mergeCell ref="M339:N339"/>
    <mergeCell ref="C749:E749"/>
    <mergeCell ref="C750:E750"/>
    <mergeCell ref="C751:E751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40:N740"/>
    <mergeCell ref="M741:N741"/>
    <mergeCell ref="M704:N704"/>
    <mergeCell ref="M707:N707"/>
    <mergeCell ref="M690:N690"/>
    <mergeCell ref="M718:N718"/>
    <mergeCell ref="C720:E720"/>
    <mergeCell ref="C712:E712"/>
    <mergeCell ref="M720:N720"/>
    <mergeCell ref="M656:N656"/>
    <mergeCell ref="C699:E699"/>
    <mergeCell ref="C700:E700"/>
    <mergeCell ref="Q335:R335"/>
    <mergeCell ref="K763:K768"/>
    <mergeCell ref="C762:E762"/>
    <mergeCell ref="C763:E763"/>
    <mergeCell ref="C764:E764"/>
    <mergeCell ref="C765:E765"/>
    <mergeCell ref="C766:E766"/>
    <mergeCell ref="C767:E767"/>
    <mergeCell ref="C768:E768"/>
    <mergeCell ref="A762:B768"/>
    <mergeCell ref="M751:N751"/>
    <mergeCell ref="M750:N750"/>
    <mergeCell ref="M747:N747"/>
    <mergeCell ref="M748:N748"/>
    <mergeCell ref="M749:N749"/>
    <mergeCell ref="C752:E752"/>
    <mergeCell ref="C753:E753"/>
    <mergeCell ref="C754:E754"/>
    <mergeCell ref="C682:E682"/>
    <mergeCell ref="C683:E683"/>
    <mergeCell ref="M670:N670"/>
    <mergeCell ref="M671:N671"/>
    <mergeCell ref="M672:N672"/>
    <mergeCell ref="M673:N673"/>
    <mergeCell ref="C744:E744"/>
    <mergeCell ref="M752:N752"/>
    <mergeCell ref="C734:E734"/>
    <mergeCell ref="C735:E735"/>
    <mergeCell ref="C736:E736"/>
    <mergeCell ref="M765:N765"/>
    <mergeCell ref="M764:N764"/>
    <mergeCell ref="C721:E721"/>
    <mergeCell ref="C649:E649"/>
    <mergeCell ref="M644:N644"/>
    <mergeCell ref="M645:N645"/>
    <mergeCell ref="M646:N646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M514:N514"/>
    <mergeCell ref="C516:E516"/>
    <mergeCell ref="M521:N521"/>
    <mergeCell ref="C529:E529"/>
    <mergeCell ref="C531:E531"/>
    <mergeCell ref="M376:N376"/>
    <mergeCell ref="M377:N377"/>
    <mergeCell ref="M346:N346"/>
    <mergeCell ref="C391:E391"/>
    <mergeCell ref="C390:E390"/>
    <mergeCell ref="C384:E384"/>
    <mergeCell ref="M368:N368"/>
    <mergeCell ref="C377:E377"/>
    <mergeCell ref="M404:N404"/>
    <mergeCell ref="M403:N403"/>
    <mergeCell ref="C590:E590"/>
    <mergeCell ref="C594:E594"/>
    <mergeCell ref="C612:E612"/>
    <mergeCell ref="M611:N611"/>
    <mergeCell ref="C713:E713"/>
    <mergeCell ref="C714:E714"/>
    <mergeCell ref="M709:N709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C701:E701"/>
    <mergeCell ref="C702:E702"/>
    <mergeCell ref="C703:E703"/>
    <mergeCell ref="C705:E705"/>
    <mergeCell ref="C704:E704"/>
    <mergeCell ref="C679:E679"/>
    <mergeCell ref="C680:E680"/>
    <mergeCell ref="C696:E696"/>
    <mergeCell ref="C693:E693"/>
    <mergeCell ref="C694:E694"/>
    <mergeCell ref="C695:E695"/>
    <mergeCell ref="C681:E681"/>
    <mergeCell ref="C684:E684"/>
    <mergeCell ref="C685:E685"/>
    <mergeCell ref="C686:E686"/>
    <mergeCell ref="C687:E687"/>
    <mergeCell ref="C688:E688"/>
    <mergeCell ref="C697:E697"/>
    <mergeCell ref="C698:E698"/>
    <mergeCell ref="M710:N710"/>
    <mergeCell ref="M711:N711"/>
    <mergeCell ref="M712:N712"/>
    <mergeCell ref="C690:E690"/>
    <mergeCell ref="M705:N705"/>
    <mergeCell ref="M706:N706"/>
    <mergeCell ref="M708:N708"/>
    <mergeCell ref="C661:E661"/>
    <mergeCell ref="C676:E676"/>
    <mergeCell ref="C677:E677"/>
    <mergeCell ref="C678:E678"/>
    <mergeCell ref="C689:E689"/>
    <mergeCell ref="M668:N668"/>
    <mergeCell ref="M669:N669"/>
    <mergeCell ref="C670:E670"/>
    <mergeCell ref="C671:E671"/>
    <mergeCell ref="C672:E672"/>
    <mergeCell ref="M674:N674"/>
    <mergeCell ref="M675:N675"/>
    <mergeCell ref="M676:N676"/>
    <mergeCell ref="M667:N667"/>
    <mergeCell ref="C673:E673"/>
    <mergeCell ref="C674:E674"/>
    <mergeCell ref="C648:E648"/>
    <mergeCell ref="C522:E522"/>
    <mergeCell ref="C414:E414"/>
    <mergeCell ref="C524:E524"/>
    <mergeCell ref="C514:E514"/>
    <mergeCell ref="E13:F13"/>
    <mergeCell ref="A401:B401"/>
    <mergeCell ref="C401:E401"/>
    <mergeCell ref="M401:N401"/>
    <mergeCell ref="A385:B385"/>
    <mergeCell ref="C385:E385"/>
    <mergeCell ref="M72:N72"/>
    <mergeCell ref="M73:N73"/>
    <mergeCell ref="M74:N74"/>
    <mergeCell ref="M113:N113"/>
    <mergeCell ref="M114:N114"/>
    <mergeCell ref="M115:N115"/>
    <mergeCell ref="M120:N120"/>
    <mergeCell ref="M171:N171"/>
    <mergeCell ref="M172:N172"/>
    <mergeCell ref="M173:N173"/>
    <mergeCell ref="M192:N192"/>
    <mergeCell ref="M193:N193"/>
    <mergeCell ref="M194:N194"/>
    <mergeCell ref="C389:E389"/>
    <mergeCell ref="C381:E381"/>
    <mergeCell ref="C386:E386"/>
    <mergeCell ref="M364:N364"/>
    <mergeCell ref="M363:N363"/>
    <mergeCell ref="M133:N133"/>
    <mergeCell ref="M168:N168"/>
    <mergeCell ref="M181:N181"/>
    <mergeCell ref="M182:N182"/>
    <mergeCell ref="M218:N218"/>
    <mergeCell ref="M234:N234"/>
    <mergeCell ref="C508:E508"/>
    <mergeCell ref="C520:E520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489:E489"/>
    <mergeCell ref="C490:E490"/>
    <mergeCell ref="C510:E510"/>
    <mergeCell ref="C408:E408"/>
    <mergeCell ref="C393:E393"/>
    <mergeCell ref="C507:E507"/>
    <mergeCell ref="C509:E509"/>
    <mergeCell ref="C491:E491"/>
    <mergeCell ref="C503:E503"/>
    <mergeCell ref="C519:E519"/>
    <mergeCell ref="C448:E448"/>
    <mergeCell ref="M365:N365"/>
    <mergeCell ref="C331:E331"/>
    <mergeCell ref="M371:N371"/>
    <mergeCell ref="M753:N753"/>
    <mergeCell ref="M754:N754"/>
    <mergeCell ref="C755:E755"/>
    <mergeCell ref="C756:E756"/>
    <mergeCell ref="C757:E757"/>
    <mergeCell ref="B332:B334"/>
    <mergeCell ref="A332:A334"/>
    <mergeCell ref="B336:B338"/>
    <mergeCell ref="A336:A338"/>
    <mergeCell ref="B339:B341"/>
    <mergeCell ref="A339:A341"/>
    <mergeCell ref="B342:B344"/>
    <mergeCell ref="A342:A344"/>
    <mergeCell ref="A345:A347"/>
    <mergeCell ref="B345:B347"/>
    <mergeCell ref="A348:A350"/>
    <mergeCell ref="B348:B350"/>
    <mergeCell ref="A351:A353"/>
    <mergeCell ref="B351:B353"/>
    <mergeCell ref="A354:A356"/>
    <mergeCell ref="B354:B356"/>
    <mergeCell ref="M392:N392"/>
    <mergeCell ref="M532:N532"/>
    <mergeCell ref="C395:E395"/>
    <mergeCell ref="C396:E396"/>
    <mergeCell ref="C397:E397"/>
    <mergeCell ref="C399:E399"/>
    <mergeCell ref="C523:E523"/>
    <mergeCell ref="C378:E378"/>
    <mergeCell ref="C379:E379"/>
    <mergeCell ref="M378:N378"/>
    <mergeCell ref="C333:E333"/>
    <mergeCell ref="C527:E527"/>
    <mergeCell ref="A357:A359"/>
    <mergeCell ref="C351:E351"/>
    <mergeCell ref="C352:E352"/>
    <mergeCell ref="B366:B368"/>
    <mergeCell ref="A366:A368"/>
    <mergeCell ref="B370:B372"/>
    <mergeCell ref="B373:B375"/>
    <mergeCell ref="B376:B378"/>
    <mergeCell ref="B379:B381"/>
    <mergeCell ref="B382:B384"/>
    <mergeCell ref="A370:A372"/>
    <mergeCell ref="A373:A375"/>
    <mergeCell ref="A376:A378"/>
    <mergeCell ref="A379:A381"/>
    <mergeCell ref="A382:A384"/>
    <mergeCell ref="B389:B391"/>
    <mergeCell ref="A389:A391"/>
    <mergeCell ref="A360:A362"/>
    <mergeCell ref="B360:B362"/>
    <mergeCell ref="B363:B365"/>
    <mergeCell ref="A363:A365"/>
    <mergeCell ref="C366:E366"/>
    <mergeCell ref="C367:E367"/>
    <mergeCell ref="C368:E368"/>
    <mergeCell ref="A369:B369"/>
    <mergeCell ref="C369:E369"/>
    <mergeCell ref="B392:B394"/>
    <mergeCell ref="A392:A394"/>
    <mergeCell ref="B395:B397"/>
    <mergeCell ref="A395:A397"/>
    <mergeCell ref="B398:B400"/>
    <mergeCell ref="A398:A400"/>
    <mergeCell ref="B386:B388"/>
    <mergeCell ref="A386:A388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A480:A482"/>
    <mergeCell ref="B480:B482"/>
    <mergeCell ref="A483:A485"/>
    <mergeCell ref="B483:B485"/>
    <mergeCell ref="A486:A488"/>
    <mergeCell ref="B486:B488"/>
    <mergeCell ref="C409:E409"/>
    <mergeCell ref="A426:A428"/>
    <mergeCell ref="B426:B428"/>
    <mergeCell ref="A429:A431"/>
    <mergeCell ref="B429:B431"/>
    <mergeCell ref="A432:A434"/>
    <mergeCell ref="B432:B434"/>
    <mergeCell ref="A435:A437"/>
    <mergeCell ref="B435:B437"/>
    <mergeCell ref="A438:A440"/>
    <mergeCell ref="B438:B440"/>
    <mergeCell ref="A441:A443"/>
    <mergeCell ref="B441:B443"/>
    <mergeCell ref="C421:E421"/>
    <mergeCell ref="B456:B458"/>
    <mergeCell ref="A459:A461"/>
    <mergeCell ref="B459:B461"/>
    <mergeCell ref="A462:A464"/>
    <mergeCell ref="B462:B464"/>
    <mergeCell ref="A465:A467"/>
    <mergeCell ref="B465:B467"/>
    <mergeCell ref="A468:A470"/>
    <mergeCell ref="B468:B470"/>
    <mergeCell ref="C426:E426"/>
    <mergeCell ref="C427:E427"/>
    <mergeCell ref="C428:E428"/>
    <mergeCell ref="C466:E466"/>
    <mergeCell ref="C467:E467"/>
    <mergeCell ref="C441:E441"/>
    <mergeCell ref="C442:E442"/>
    <mergeCell ref="C443:E443"/>
    <mergeCell ref="C444:E444"/>
    <mergeCell ref="C445:E445"/>
    <mergeCell ref="C446:E446"/>
    <mergeCell ref="B447:B449"/>
    <mergeCell ref="A450:A452"/>
    <mergeCell ref="B450:B452"/>
    <mergeCell ref="A453:A455"/>
    <mergeCell ref="C449:E449"/>
    <mergeCell ref="C437:E437"/>
    <mergeCell ref="C438:E438"/>
    <mergeCell ref="C439:E439"/>
    <mergeCell ref="C440:E440"/>
    <mergeCell ref="C465:E465"/>
    <mergeCell ref="A447:A449"/>
    <mergeCell ref="B453:B455"/>
    <mergeCell ref="A471:A473"/>
    <mergeCell ref="B471:B473"/>
    <mergeCell ref="A474:A476"/>
    <mergeCell ref="B474:B476"/>
    <mergeCell ref="A477:A479"/>
    <mergeCell ref="B477:B479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A489:A491"/>
    <mergeCell ref="B489:B491"/>
    <mergeCell ref="A492:A494"/>
    <mergeCell ref="B492:B494"/>
    <mergeCell ref="A495:A497"/>
    <mergeCell ref="B495:B497"/>
    <mergeCell ref="A498:A500"/>
    <mergeCell ref="B498:B500"/>
    <mergeCell ref="A501:A503"/>
    <mergeCell ref="B501:B503"/>
    <mergeCell ref="A402:A404"/>
    <mergeCell ref="B402:B404"/>
    <mergeCell ref="A405:A407"/>
    <mergeCell ref="B405:B407"/>
    <mergeCell ref="A408:A410"/>
    <mergeCell ref="B408:B410"/>
    <mergeCell ref="A411:A413"/>
    <mergeCell ref="B411:B413"/>
    <mergeCell ref="A414:A416"/>
    <mergeCell ref="B414:B416"/>
    <mergeCell ref="A417:A419"/>
    <mergeCell ref="B417:B419"/>
    <mergeCell ref="A420:A422"/>
    <mergeCell ref="B420:B422"/>
    <mergeCell ref="A423:A425"/>
    <mergeCell ref="B423:B425"/>
    <mergeCell ref="C425:E425"/>
    <mergeCell ref="C422:E422"/>
    <mergeCell ref="C423:E423"/>
    <mergeCell ref="C424:E424"/>
    <mergeCell ref="A505:A507"/>
    <mergeCell ref="B505:B507"/>
    <mergeCell ref="A508:A510"/>
    <mergeCell ref="B508:B510"/>
    <mergeCell ref="B514:B516"/>
    <mergeCell ref="A517:A519"/>
    <mergeCell ref="B517:B519"/>
    <mergeCell ref="A511:A513"/>
    <mergeCell ref="B511:B513"/>
    <mergeCell ref="A514:A516"/>
    <mergeCell ref="A520:A522"/>
    <mergeCell ref="B520:B522"/>
    <mergeCell ref="A523:A525"/>
    <mergeCell ref="B523:B525"/>
    <mergeCell ref="A526:A528"/>
    <mergeCell ref="B526:B528"/>
    <mergeCell ref="A529:A531"/>
    <mergeCell ref="B529:B531"/>
    <mergeCell ref="A532:A534"/>
    <mergeCell ref="B532:B534"/>
    <mergeCell ref="A535:A537"/>
    <mergeCell ref="B535:B537"/>
    <mergeCell ref="A538:A540"/>
    <mergeCell ref="B538:B540"/>
    <mergeCell ref="A541:A543"/>
    <mergeCell ref="B541:B543"/>
    <mergeCell ref="A544:A546"/>
    <mergeCell ref="B544:B546"/>
    <mergeCell ref="A547:A549"/>
    <mergeCell ref="B547:B549"/>
    <mergeCell ref="A550:A552"/>
    <mergeCell ref="B550:B552"/>
    <mergeCell ref="A553:A555"/>
    <mergeCell ref="B553:B555"/>
    <mergeCell ref="A556:A558"/>
    <mergeCell ref="B556:B558"/>
    <mergeCell ref="A559:A561"/>
    <mergeCell ref="B559:B561"/>
    <mergeCell ref="A562:A564"/>
    <mergeCell ref="B562:B564"/>
    <mergeCell ref="A565:A567"/>
    <mergeCell ref="B565:B567"/>
    <mergeCell ref="A568:A570"/>
    <mergeCell ref="B568:B570"/>
    <mergeCell ref="A571:A573"/>
    <mergeCell ref="B571:B573"/>
    <mergeCell ref="A574:A576"/>
    <mergeCell ref="B574:B576"/>
    <mergeCell ref="A577:A579"/>
    <mergeCell ref="B577:B579"/>
    <mergeCell ref="A580:A582"/>
    <mergeCell ref="B580:B582"/>
    <mergeCell ref="A583:A585"/>
    <mergeCell ref="B583:B585"/>
    <mergeCell ref="A586:A588"/>
    <mergeCell ref="B586:B588"/>
    <mergeCell ref="A589:A591"/>
    <mergeCell ref="B589:B591"/>
    <mergeCell ref="A592:A594"/>
    <mergeCell ref="B592:B594"/>
    <mergeCell ref="A595:A597"/>
    <mergeCell ref="B595:B597"/>
    <mergeCell ref="A598:A600"/>
    <mergeCell ref="B598:B600"/>
    <mergeCell ref="A601:A603"/>
    <mergeCell ref="B601:B603"/>
    <mergeCell ref="A604:A606"/>
    <mergeCell ref="B604:B606"/>
    <mergeCell ref="A607:A609"/>
    <mergeCell ref="B607:B609"/>
    <mergeCell ref="A610:A612"/>
    <mergeCell ref="B610:B612"/>
    <mergeCell ref="A613:A615"/>
    <mergeCell ref="B613:B615"/>
    <mergeCell ref="A616:A618"/>
    <mergeCell ref="B616:B618"/>
    <mergeCell ref="A619:A621"/>
    <mergeCell ref="B619:B621"/>
    <mergeCell ref="A622:A624"/>
    <mergeCell ref="B622:B624"/>
    <mergeCell ref="A625:A627"/>
    <mergeCell ref="B625:B627"/>
    <mergeCell ref="A628:A630"/>
    <mergeCell ref="B628:B630"/>
    <mergeCell ref="A631:A633"/>
    <mergeCell ref="B631:B633"/>
    <mergeCell ref="A634:A636"/>
    <mergeCell ref="B634:B636"/>
    <mergeCell ref="A637:A639"/>
    <mergeCell ref="B637:B639"/>
    <mergeCell ref="B700:B702"/>
    <mergeCell ref="A640:A642"/>
    <mergeCell ref="B640:B642"/>
    <mergeCell ref="A643:A645"/>
    <mergeCell ref="B643:B645"/>
    <mergeCell ref="A646:A648"/>
    <mergeCell ref="B646:B648"/>
    <mergeCell ref="A703:A705"/>
    <mergeCell ref="B703:B705"/>
    <mergeCell ref="A649:A651"/>
    <mergeCell ref="B649:B651"/>
    <mergeCell ref="A652:A654"/>
    <mergeCell ref="B652:B654"/>
    <mergeCell ref="A655:A657"/>
    <mergeCell ref="B655:B657"/>
    <mergeCell ref="A658:A660"/>
    <mergeCell ref="B658:B660"/>
    <mergeCell ref="A661:A663"/>
    <mergeCell ref="B661:B663"/>
    <mergeCell ref="A664:A666"/>
    <mergeCell ref="B664:B666"/>
    <mergeCell ref="A667:A669"/>
    <mergeCell ref="B667:B669"/>
    <mergeCell ref="A670:A672"/>
    <mergeCell ref="B670:B672"/>
    <mergeCell ref="A676:A678"/>
    <mergeCell ref="B676:B678"/>
    <mergeCell ref="B706:B708"/>
    <mergeCell ref="A673:A675"/>
    <mergeCell ref="B673:B675"/>
    <mergeCell ref="A709:A711"/>
    <mergeCell ref="B709:B711"/>
    <mergeCell ref="A712:A714"/>
    <mergeCell ref="B712:B714"/>
    <mergeCell ref="A715:A717"/>
    <mergeCell ref="B715:B717"/>
    <mergeCell ref="A718:A720"/>
    <mergeCell ref="B718:B720"/>
    <mergeCell ref="A721:A723"/>
    <mergeCell ref="B721:B723"/>
    <mergeCell ref="A724:A726"/>
    <mergeCell ref="B724:B726"/>
    <mergeCell ref="A727:A729"/>
    <mergeCell ref="B727:B729"/>
    <mergeCell ref="A679:A681"/>
    <mergeCell ref="B679:B681"/>
    <mergeCell ref="A682:A684"/>
    <mergeCell ref="B682:B684"/>
    <mergeCell ref="A685:A687"/>
    <mergeCell ref="B685:B687"/>
    <mergeCell ref="A688:A690"/>
    <mergeCell ref="B688:B690"/>
    <mergeCell ref="A691:A693"/>
    <mergeCell ref="B691:B693"/>
    <mergeCell ref="A694:A696"/>
    <mergeCell ref="B694:B696"/>
    <mergeCell ref="A697:A699"/>
    <mergeCell ref="B697:B699"/>
    <mergeCell ref="A700:A702"/>
    <mergeCell ref="O16:O17"/>
    <mergeCell ref="M116:N116"/>
    <mergeCell ref="M118:N118"/>
    <mergeCell ref="L16:L17"/>
    <mergeCell ref="P16:P17"/>
    <mergeCell ref="Q16:Q17"/>
    <mergeCell ref="R16:R17"/>
    <mergeCell ref="M434:N434"/>
    <mergeCell ref="B761:E761"/>
    <mergeCell ref="B758:E758"/>
    <mergeCell ref="B759:E759"/>
    <mergeCell ref="B760:E760"/>
    <mergeCell ref="M758:N758"/>
    <mergeCell ref="M759:N759"/>
    <mergeCell ref="M760:N760"/>
    <mergeCell ref="A734:A736"/>
    <mergeCell ref="B734:B736"/>
    <mergeCell ref="A737:A739"/>
    <mergeCell ref="B737:B739"/>
    <mergeCell ref="A740:A742"/>
    <mergeCell ref="B740:B742"/>
    <mergeCell ref="A743:A745"/>
    <mergeCell ref="B743:B745"/>
    <mergeCell ref="A746:A748"/>
    <mergeCell ref="B746:B748"/>
    <mergeCell ref="A749:A751"/>
    <mergeCell ref="B749:B751"/>
    <mergeCell ref="A752:A754"/>
    <mergeCell ref="B752:B754"/>
    <mergeCell ref="A755:A757"/>
    <mergeCell ref="B755:B757"/>
    <mergeCell ref="A706:A708"/>
  </mergeCells>
  <phoneticPr fontId="23" type="noConversion"/>
  <printOptions horizontalCentered="1" gridLines="1"/>
  <pageMargins left="0.2" right="0.2" top="0.75" bottom="0.5" header="0" footer="0"/>
  <pageSetup paperSize="9" scale="73" fitToHeight="14" orientation="portrait" r:id="rId1"/>
  <headerFooter>
    <oddHeader>&amp;L&amp;"Calibri"&amp;9&amp;K000000Classification: Internal&amp;1#</oddHeader>
    <oddFooter>&amp;CPage &amp;P of &amp;N_x000D_&amp;1#&amp;"Poppins"&amp;10&amp;K018374 Baker Hughes Confidential</oddFooter>
  </headerFooter>
  <rowBreaks count="11" manualBreakCount="11">
    <brk id="81" max="16383" man="1"/>
    <brk id="170" max="16383" man="1"/>
    <brk id="256" max="16383" man="1"/>
    <brk id="331" max="16383" man="1"/>
    <brk id="404" max="16383" man="1"/>
    <brk id="473" max="16383" man="1"/>
    <brk id="546" max="16383" man="1"/>
    <brk id="567" max="16383" man="1"/>
    <brk id="612" max="16383" man="1"/>
    <brk id="663" max="16383" man="1"/>
    <brk id="733" max="16383" man="1"/>
  </rowBreaks>
  <ignoredErrors>
    <ignoredError sqref="G23 G2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AAE7-B6C7-4CFD-9390-06C2ADF272B4}">
  <sheetPr>
    <tabColor rgb="FF017362"/>
  </sheetPr>
  <dimension ref="A1:Q331"/>
  <sheetViews>
    <sheetView tabSelected="1" topLeftCell="A3" zoomScale="85" zoomScaleNormal="85" workbookViewId="0">
      <selection activeCell="C255" sqref="C6:C255"/>
    </sheetView>
  </sheetViews>
  <sheetFormatPr defaultColWidth="8.7109375" defaultRowHeight="14.25"/>
  <cols>
    <col min="1" max="1" width="4.42578125" style="277" customWidth="1"/>
    <col min="2" max="2" width="16.7109375" style="58" customWidth="1"/>
    <col min="3" max="3" width="15.7109375" style="58" customWidth="1"/>
    <col min="4" max="4" width="24.28515625" style="58" customWidth="1"/>
    <col min="5" max="5" width="5.28515625" style="58" customWidth="1"/>
    <col min="6" max="6" width="16.7109375" style="58" customWidth="1"/>
    <col min="7" max="7" width="15.7109375" style="58" customWidth="1"/>
    <col min="8" max="8" width="24.28515625" style="58" customWidth="1"/>
    <col min="9" max="9" width="5.28515625" style="58" customWidth="1"/>
    <col min="10" max="10" width="16.28515625" style="58" customWidth="1"/>
    <col min="11" max="11" width="14.42578125" style="58" customWidth="1"/>
    <col min="12" max="12" width="16" style="58" customWidth="1"/>
    <col min="13" max="13" width="7.28515625" style="58" customWidth="1"/>
    <col min="14" max="14" width="35.28515625" style="58" customWidth="1"/>
    <col min="15" max="15" width="14.5703125" style="58" customWidth="1"/>
    <col min="16" max="16" width="31.28515625" style="58" customWidth="1"/>
    <col min="17" max="16384" width="8.7109375" style="58"/>
  </cols>
  <sheetData>
    <row r="1" spans="1:17" ht="5.65" customHeight="1"/>
    <row r="2" spans="1:17" s="59" customFormat="1" ht="26.25">
      <c r="A2" s="277"/>
      <c r="B2" s="840" t="s">
        <v>416</v>
      </c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</row>
    <row r="3" spans="1:17" ht="15.75" thickBot="1">
      <c r="B3" s="60"/>
      <c r="C3" s="60"/>
      <c r="D3" s="60"/>
    </row>
    <row r="4" spans="1:17" ht="16.5" customHeight="1" thickBot="1">
      <c r="B4" s="844" t="s">
        <v>424</v>
      </c>
      <c r="C4" s="845"/>
      <c r="D4" s="846"/>
      <c r="E4" s="61"/>
      <c r="F4" s="844" t="s">
        <v>424</v>
      </c>
      <c r="G4" s="845"/>
      <c r="H4" s="846"/>
      <c r="I4" s="61"/>
      <c r="J4" s="844" t="s">
        <v>415</v>
      </c>
      <c r="K4" s="845"/>
      <c r="L4" s="846"/>
      <c r="M4" s="61"/>
      <c r="N4" s="842" t="s">
        <v>389</v>
      </c>
      <c r="O4" s="843"/>
      <c r="P4" s="823" t="s">
        <v>388</v>
      </c>
      <c r="Q4" s="61"/>
    </row>
    <row r="5" spans="1:17" ht="16.5" thickBot="1">
      <c r="B5" s="140" t="s">
        <v>387</v>
      </c>
      <c r="C5" s="140" t="s">
        <v>58</v>
      </c>
      <c r="D5" s="138" t="s">
        <v>79</v>
      </c>
      <c r="E5" s="61"/>
      <c r="F5" s="140" t="s">
        <v>387</v>
      </c>
      <c r="G5" s="140" t="s">
        <v>58</v>
      </c>
      <c r="H5" s="138" t="s">
        <v>79</v>
      </c>
      <c r="I5" s="61"/>
      <c r="J5" s="199" t="s">
        <v>78</v>
      </c>
      <c r="K5" s="199" t="s">
        <v>58</v>
      </c>
      <c r="L5" s="138" t="s">
        <v>79</v>
      </c>
      <c r="M5" s="61"/>
      <c r="N5" s="136" t="s">
        <v>80</v>
      </c>
      <c r="O5" s="137" t="s">
        <v>58</v>
      </c>
      <c r="P5" s="824"/>
      <c r="Q5" s="61"/>
    </row>
    <row r="6" spans="1:17" ht="15.75">
      <c r="A6" s="278">
        <v>1</v>
      </c>
      <c r="B6" s="65" t="s">
        <v>101</v>
      </c>
      <c r="C6" s="66">
        <v>36.57</v>
      </c>
      <c r="D6" s="98"/>
      <c r="E6" s="62">
        <v>1</v>
      </c>
      <c r="F6" s="63"/>
      <c r="G6" s="64"/>
      <c r="H6" s="118"/>
      <c r="I6" s="62">
        <v>1</v>
      </c>
      <c r="J6" s="368" t="s">
        <v>398</v>
      </c>
      <c r="K6" s="85">
        <v>8.2200000000000006</v>
      </c>
      <c r="L6" s="203"/>
      <c r="M6" s="61"/>
      <c r="N6" s="83" t="s">
        <v>47</v>
      </c>
      <c r="O6" s="84">
        <v>3.39</v>
      </c>
      <c r="P6" s="818" t="s">
        <v>414</v>
      </c>
      <c r="Q6" s="61"/>
    </row>
    <row r="7" spans="1:17" ht="15.75">
      <c r="A7" s="278">
        <f>A6+1</f>
        <v>2</v>
      </c>
      <c r="B7" s="65" t="s">
        <v>102</v>
      </c>
      <c r="C7" s="66">
        <v>37.229999999999997</v>
      </c>
      <c r="D7" s="100"/>
      <c r="E7" s="62">
        <f>E6+1</f>
        <v>2</v>
      </c>
      <c r="F7" s="65"/>
      <c r="G7" s="66"/>
      <c r="H7" s="100"/>
      <c r="I7" s="62">
        <f>I6+1</f>
        <v>2</v>
      </c>
      <c r="J7" s="365" t="s">
        <v>399</v>
      </c>
      <c r="K7" s="87">
        <v>8.2200000000000006</v>
      </c>
      <c r="L7" s="204"/>
      <c r="M7" s="61"/>
      <c r="N7" s="71" t="s">
        <v>33</v>
      </c>
      <c r="O7" s="72">
        <v>36.86</v>
      </c>
      <c r="P7" s="819"/>
      <c r="Q7" s="61"/>
    </row>
    <row r="8" spans="1:17" ht="15.75">
      <c r="A8" s="278">
        <f t="shared" ref="A8:A71" si="0">A7+1</f>
        <v>3</v>
      </c>
      <c r="B8" s="65" t="s">
        <v>103</v>
      </c>
      <c r="C8" s="66">
        <v>37</v>
      </c>
      <c r="D8" s="100"/>
      <c r="E8" s="62">
        <f t="shared" ref="E8:E71" si="1">E7+1</f>
        <v>3</v>
      </c>
      <c r="F8" s="65"/>
      <c r="G8" s="66"/>
      <c r="H8" s="100"/>
      <c r="I8" s="62">
        <f t="shared" ref="I8:I19" si="2">I7+1</f>
        <v>3</v>
      </c>
      <c r="J8" s="365" t="s">
        <v>400</v>
      </c>
      <c r="K8" s="87">
        <v>6.11</v>
      </c>
      <c r="L8" s="67"/>
      <c r="M8" s="73"/>
      <c r="N8" s="74"/>
      <c r="O8" s="75"/>
      <c r="P8" s="76"/>
      <c r="Q8" s="61"/>
    </row>
    <row r="9" spans="1:17" ht="15.75">
      <c r="A9" s="278">
        <f t="shared" si="0"/>
        <v>4</v>
      </c>
      <c r="B9" s="65" t="s">
        <v>104</v>
      </c>
      <c r="C9" s="66">
        <v>36.159999999999997</v>
      </c>
      <c r="D9" s="100"/>
      <c r="E9" s="62">
        <f t="shared" si="1"/>
        <v>4</v>
      </c>
      <c r="F9" s="65"/>
      <c r="G9" s="66"/>
      <c r="H9" s="100"/>
      <c r="I9" s="62">
        <f t="shared" si="2"/>
        <v>4</v>
      </c>
      <c r="J9" s="365" t="s">
        <v>401</v>
      </c>
      <c r="K9" s="87">
        <v>10.25</v>
      </c>
      <c r="L9" s="67"/>
      <c r="M9" s="73"/>
      <c r="N9" s="71" t="s">
        <v>81</v>
      </c>
      <c r="O9" s="72">
        <v>18.510000000000002</v>
      </c>
      <c r="P9" s="819" t="s">
        <v>417</v>
      </c>
      <c r="Q9" s="61"/>
    </row>
    <row r="10" spans="1:17" ht="15.75">
      <c r="A10" s="278">
        <f t="shared" si="0"/>
        <v>5</v>
      </c>
      <c r="B10" s="65" t="s">
        <v>105</v>
      </c>
      <c r="C10" s="66">
        <v>36.909999999999997</v>
      </c>
      <c r="D10" s="100"/>
      <c r="E10" s="62">
        <f t="shared" si="1"/>
        <v>5</v>
      </c>
      <c r="F10" s="65"/>
      <c r="G10" s="66"/>
      <c r="H10" s="100"/>
      <c r="I10" s="62">
        <f t="shared" si="2"/>
        <v>5</v>
      </c>
      <c r="J10" s="365" t="s">
        <v>402</v>
      </c>
      <c r="K10" s="87">
        <v>6.11</v>
      </c>
      <c r="L10" s="67"/>
      <c r="M10" s="73"/>
      <c r="N10" s="77" t="s">
        <v>46</v>
      </c>
      <c r="O10" s="72">
        <v>2.91</v>
      </c>
      <c r="P10" s="819"/>
      <c r="Q10" s="61"/>
    </row>
    <row r="11" spans="1:17" ht="15.75">
      <c r="A11" s="278">
        <f t="shared" si="0"/>
        <v>6</v>
      </c>
      <c r="B11" s="65" t="s">
        <v>106</v>
      </c>
      <c r="C11" s="66">
        <v>35.36</v>
      </c>
      <c r="D11" s="100"/>
      <c r="E11" s="62">
        <f t="shared" si="1"/>
        <v>6</v>
      </c>
      <c r="F11" s="65"/>
      <c r="G11" s="66"/>
      <c r="H11" s="100"/>
      <c r="I11" s="62">
        <f t="shared" si="2"/>
        <v>6</v>
      </c>
      <c r="J11" s="252" t="s">
        <v>403</v>
      </c>
      <c r="K11" s="87">
        <v>4.3899999999999997</v>
      </c>
      <c r="L11" s="67"/>
      <c r="M11" s="73"/>
      <c r="N11" s="71" t="s">
        <v>82</v>
      </c>
      <c r="O11" s="72">
        <v>17.53</v>
      </c>
      <c r="P11" s="819"/>
      <c r="Q11" s="61"/>
    </row>
    <row r="12" spans="1:17" ht="16.5" thickBot="1">
      <c r="A12" s="278">
        <f t="shared" si="0"/>
        <v>7</v>
      </c>
      <c r="B12" s="65" t="s">
        <v>107</v>
      </c>
      <c r="C12" s="66">
        <v>36.409999999999997</v>
      </c>
      <c r="D12" s="100"/>
      <c r="E12" s="62">
        <f t="shared" si="1"/>
        <v>7</v>
      </c>
      <c r="F12" s="65"/>
      <c r="G12" s="66"/>
      <c r="H12" s="100"/>
      <c r="I12" s="62">
        <f t="shared" si="2"/>
        <v>7</v>
      </c>
      <c r="J12" s="252" t="s">
        <v>404</v>
      </c>
      <c r="K12" s="87">
        <v>4.1100000000000003</v>
      </c>
      <c r="L12" s="204"/>
      <c r="M12" s="73"/>
      <c r="N12" s="121"/>
      <c r="O12" s="122"/>
      <c r="P12" s="123"/>
      <c r="Q12" s="61"/>
    </row>
    <row r="13" spans="1:17" ht="15.75">
      <c r="A13" s="278">
        <f t="shared" si="0"/>
        <v>8</v>
      </c>
      <c r="B13" s="65" t="s">
        <v>108</v>
      </c>
      <c r="C13" s="66">
        <v>36.6</v>
      </c>
      <c r="D13" s="100"/>
      <c r="E13" s="62">
        <f t="shared" si="1"/>
        <v>8</v>
      </c>
      <c r="F13" s="65"/>
      <c r="G13" s="66"/>
      <c r="H13" s="100"/>
      <c r="I13" s="62">
        <f t="shared" si="2"/>
        <v>8</v>
      </c>
      <c r="J13" s="365" t="s">
        <v>405</v>
      </c>
      <c r="K13" s="87">
        <v>18.25</v>
      </c>
      <c r="L13" s="204"/>
      <c r="M13" s="73"/>
      <c r="N13" s="124" t="s">
        <v>83</v>
      </c>
      <c r="O13" s="84">
        <v>18.18</v>
      </c>
      <c r="P13" s="818" t="s">
        <v>418</v>
      </c>
      <c r="Q13" s="61"/>
    </row>
    <row r="14" spans="1:17" ht="15.75">
      <c r="A14" s="278">
        <f t="shared" si="0"/>
        <v>9</v>
      </c>
      <c r="B14" s="65" t="s">
        <v>109</v>
      </c>
      <c r="C14" s="66">
        <v>36.479999999999997</v>
      </c>
      <c r="D14" s="100"/>
      <c r="E14" s="62">
        <f t="shared" si="1"/>
        <v>9</v>
      </c>
      <c r="F14" s="65"/>
      <c r="G14" s="66"/>
      <c r="H14" s="100"/>
      <c r="I14" s="62">
        <f t="shared" si="2"/>
        <v>9</v>
      </c>
      <c r="J14" s="365" t="s">
        <v>406</v>
      </c>
      <c r="K14" s="87">
        <v>10.25</v>
      </c>
      <c r="L14" s="204"/>
      <c r="M14" s="73"/>
      <c r="N14" s="77" t="s">
        <v>48</v>
      </c>
      <c r="O14" s="72">
        <v>5.16</v>
      </c>
      <c r="P14" s="819"/>
      <c r="Q14" s="61"/>
    </row>
    <row r="15" spans="1:17" ht="15.75">
      <c r="A15" s="278">
        <f t="shared" si="0"/>
        <v>10</v>
      </c>
      <c r="B15" s="139" t="s">
        <v>110</v>
      </c>
      <c r="C15" s="141">
        <v>36.369999999999997</v>
      </c>
      <c r="D15" s="100"/>
      <c r="E15" s="62">
        <f t="shared" si="1"/>
        <v>10</v>
      </c>
      <c r="F15" s="65"/>
      <c r="G15" s="66"/>
      <c r="H15" s="100"/>
      <c r="I15" s="62">
        <f t="shared" si="2"/>
        <v>10</v>
      </c>
      <c r="J15" s="365" t="s">
        <v>407</v>
      </c>
      <c r="K15" s="87">
        <v>18.46</v>
      </c>
      <c r="L15" s="67"/>
      <c r="M15" s="73"/>
      <c r="N15" s="71" t="s">
        <v>84</v>
      </c>
      <c r="O15" s="72">
        <v>18.59</v>
      </c>
      <c r="P15" s="819"/>
      <c r="Q15" s="61"/>
    </row>
    <row r="16" spans="1:17" ht="16.5" customHeight="1" thickBot="1">
      <c r="A16" s="278">
        <f t="shared" si="0"/>
        <v>11</v>
      </c>
      <c r="B16" s="65" t="s">
        <v>111</v>
      </c>
      <c r="C16" s="66">
        <v>36.15</v>
      </c>
      <c r="D16" s="100"/>
      <c r="E16" s="62">
        <f t="shared" si="1"/>
        <v>11</v>
      </c>
      <c r="F16" s="65"/>
      <c r="G16" s="66"/>
      <c r="H16" s="100"/>
      <c r="I16" s="62">
        <f t="shared" si="2"/>
        <v>11</v>
      </c>
      <c r="J16" s="252" t="s">
        <v>408</v>
      </c>
      <c r="K16" s="87">
        <v>6.26</v>
      </c>
      <c r="L16" s="67"/>
      <c r="M16" s="73"/>
      <c r="N16" s="78"/>
      <c r="O16" s="79"/>
      <c r="P16" s="820"/>
      <c r="Q16" s="61"/>
    </row>
    <row r="17" spans="1:17" ht="16.5" thickBot="1">
      <c r="A17" s="278">
        <f t="shared" si="0"/>
        <v>12</v>
      </c>
      <c r="B17" s="65" t="s">
        <v>112</v>
      </c>
      <c r="C17" s="66">
        <v>34.869999999999997</v>
      </c>
      <c r="D17" s="100"/>
      <c r="E17" s="62">
        <f t="shared" si="1"/>
        <v>12</v>
      </c>
      <c r="F17" s="65"/>
      <c r="G17" s="66"/>
      <c r="H17" s="100"/>
      <c r="I17" s="62">
        <f t="shared" si="2"/>
        <v>12</v>
      </c>
      <c r="J17" s="252" t="s">
        <v>409</v>
      </c>
      <c r="K17" s="87">
        <v>6.24</v>
      </c>
      <c r="L17" s="67"/>
      <c r="M17" s="73"/>
      <c r="N17" s="61"/>
      <c r="O17" s="61"/>
      <c r="P17" s="80"/>
      <c r="Q17" s="61"/>
    </row>
    <row r="18" spans="1:17" ht="15" customHeight="1">
      <c r="A18" s="278">
        <f t="shared" si="0"/>
        <v>13</v>
      </c>
      <c r="B18" s="65" t="s">
        <v>113</v>
      </c>
      <c r="C18" s="66">
        <v>36.68</v>
      </c>
      <c r="D18" s="100"/>
      <c r="E18" s="62">
        <f t="shared" si="1"/>
        <v>13</v>
      </c>
      <c r="F18" s="65"/>
      <c r="G18" s="66"/>
      <c r="H18" s="100"/>
      <c r="I18" s="62">
        <f t="shared" si="2"/>
        <v>13</v>
      </c>
      <c r="J18" s="365" t="s">
        <v>522</v>
      </c>
      <c r="K18" s="87">
        <v>10.23</v>
      </c>
      <c r="L18" s="67"/>
      <c r="M18" s="73"/>
      <c r="N18" s="821" t="s">
        <v>88</v>
      </c>
      <c r="O18" s="822"/>
      <c r="P18" s="823" t="s">
        <v>388</v>
      </c>
      <c r="Q18" s="61"/>
    </row>
    <row r="19" spans="1:17" ht="16.5" thickBot="1">
      <c r="A19" s="278">
        <f t="shared" si="0"/>
        <v>14</v>
      </c>
      <c r="B19" s="65" t="s">
        <v>114</v>
      </c>
      <c r="C19" s="66">
        <v>36.659999999999997</v>
      </c>
      <c r="D19" s="100"/>
      <c r="E19" s="62">
        <f t="shared" si="1"/>
        <v>14</v>
      </c>
      <c r="F19" s="65"/>
      <c r="G19" s="66"/>
      <c r="H19" s="100"/>
      <c r="I19" s="62">
        <f t="shared" si="2"/>
        <v>14</v>
      </c>
      <c r="J19" s="369" t="s">
        <v>523</v>
      </c>
      <c r="K19" s="119">
        <v>10.26</v>
      </c>
      <c r="L19" s="120"/>
      <c r="M19" s="73"/>
      <c r="N19" s="68" t="s">
        <v>80</v>
      </c>
      <c r="O19" s="69" t="s">
        <v>58</v>
      </c>
      <c r="P19" s="824"/>
      <c r="Q19" s="61"/>
    </row>
    <row r="20" spans="1:17" ht="15.75">
      <c r="A20" s="278">
        <f t="shared" si="0"/>
        <v>15</v>
      </c>
      <c r="B20" s="65" t="s">
        <v>115</v>
      </c>
      <c r="C20" s="66">
        <v>36.049999999999997</v>
      </c>
      <c r="D20" s="100"/>
      <c r="E20" s="62">
        <f t="shared" si="1"/>
        <v>15</v>
      </c>
      <c r="F20" s="65"/>
      <c r="G20" s="66"/>
      <c r="H20" s="100"/>
      <c r="I20" s="61"/>
      <c r="M20" s="73"/>
      <c r="N20" s="70" t="s">
        <v>47</v>
      </c>
      <c r="O20" s="285">
        <v>3.42</v>
      </c>
      <c r="P20" s="830" t="s">
        <v>519</v>
      </c>
      <c r="Q20" s="61"/>
    </row>
    <row r="21" spans="1:17" ht="15.75">
      <c r="A21" s="278">
        <f t="shared" si="0"/>
        <v>16</v>
      </c>
      <c r="B21" s="65" t="s">
        <v>116</v>
      </c>
      <c r="C21" s="66">
        <v>36.61</v>
      </c>
      <c r="D21" s="100"/>
      <c r="E21" s="62">
        <f t="shared" si="1"/>
        <v>16</v>
      </c>
      <c r="F21" s="65"/>
      <c r="G21" s="66"/>
      <c r="H21" s="100"/>
      <c r="I21" s="61"/>
      <c r="M21" s="73"/>
      <c r="N21" s="71" t="s">
        <v>33</v>
      </c>
      <c r="O21" s="283">
        <v>36.380000000000003</v>
      </c>
      <c r="P21" s="831"/>
      <c r="Q21" s="61"/>
    </row>
    <row r="22" spans="1:17" ht="15.75">
      <c r="A22" s="278">
        <f t="shared" si="0"/>
        <v>17</v>
      </c>
      <c r="B22" s="65" t="s">
        <v>117</v>
      </c>
      <c r="C22" s="66">
        <v>36.42</v>
      </c>
      <c r="D22" s="100"/>
      <c r="E22" s="62">
        <f t="shared" si="1"/>
        <v>17</v>
      </c>
      <c r="F22" s="65"/>
      <c r="G22" s="66"/>
      <c r="H22" s="100"/>
      <c r="I22" s="61"/>
      <c r="M22" s="73"/>
      <c r="N22" s="74"/>
      <c r="O22" s="279"/>
      <c r="P22" s="76"/>
      <c r="Q22" s="61"/>
    </row>
    <row r="23" spans="1:17" ht="15.75">
      <c r="A23" s="278">
        <f t="shared" si="0"/>
        <v>18</v>
      </c>
      <c r="B23" s="65" t="s">
        <v>118</v>
      </c>
      <c r="C23" s="66">
        <v>36.67</v>
      </c>
      <c r="D23" s="100"/>
      <c r="E23" s="62">
        <f t="shared" si="1"/>
        <v>18</v>
      </c>
      <c r="F23" s="65"/>
      <c r="G23" s="66"/>
      <c r="H23" s="100"/>
      <c r="I23" s="61"/>
      <c r="M23" s="73"/>
      <c r="N23" s="71" t="s">
        <v>81</v>
      </c>
      <c r="O23" s="283">
        <v>18.190000000000001</v>
      </c>
      <c r="P23" s="831" t="s">
        <v>520</v>
      </c>
      <c r="Q23" s="61"/>
    </row>
    <row r="24" spans="1:17" ht="15.75">
      <c r="A24" s="278">
        <f t="shared" si="0"/>
        <v>19</v>
      </c>
      <c r="B24" s="65" t="s">
        <v>119</v>
      </c>
      <c r="C24" s="66">
        <v>35.130000000000003</v>
      </c>
      <c r="D24" s="100"/>
      <c r="E24" s="62">
        <f t="shared" si="1"/>
        <v>19</v>
      </c>
      <c r="F24" s="65"/>
      <c r="G24" s="66"/>
      <c r="H24" s="100"/>
      <c r="I24" s="61"/>
      <c r="M24" s="73"/>
      <c r="N24" s="77" t="s">
        <v>46</v>
      </c>
      <c r="O24" s="284">
        <v>2.92</v>
      </c>
      <c r="P24" s="831"/>
      <c r="Q24" s="61"/>
    </row>
    <row r="25" spans="1:17" ht="15.75">
      <c r="A25" s="278">
        <f t="shared" si="0"/>
        <v>20</v>
      </c>
      <c r="B25" s="65" t="s">
        <v>120</v>
      </c>
      <c r="C25" s="66">
        <v>35.21</v>
      </c>
      <c r="D25" s="100"/>
      <c r="E25" s="62">
        <f t="shared" si="1"/>
        <v>20</v>
      </c>
      <c r="F25" s="65"/>
      <c r="G25" s="66"/>
      <c r="H25" s="100"/>
      <c r="I25" s="61"/>
      <c r="M25" s="73"/>
      <c r="N25" s="71" t="s">
        <v>82</v>
      </c>
      <c r="O25" s="284">
        <v>18</v>
      </c>
      <c r="P25" s="831"/>
      <c r="Q25" s="61"/>
    </row>
    <row r="26" spans="1:17" ht="16.5" thickBot="1">
      <c r="A26" s="278">
        <f t="shared" si="0"/>
        <v>21</v>
      </c>
      <c r="B26" s="65" t="s">
        <v>121</v>
      </c>
      <c r="C26" s="66">
        <v>35.159999999999997</v>
      </c>
      <c r="D26" s="100"/>
      <c r="E26" s="62">
        <f t="shared" si="1"/>
        <v>21</v>
      </c>
      <c r="F26" s="65"/>
      <c r="G26" s="66"/>
      <c r="H26" s="100"/>
      <c r="I26" s="61"/>
      <c r="M26" s="73"/>
      <c r="N26" s="121"/>
      <c r="O26" s="280"/>
      <c r="P26" s="125"/>
      <c r="Q26" s="61"/>
    </row>
    <row r="27" spans="1:17" ht="15.75">
      <c r="A27" s="278">
        <f t="shared" si="0"/>
        <v>22</v>
      </c>
      <c r="B27" s="65" t="s">
        <v>122</v>
      </c>
      <c r="C27" s="66">
        <v>35.17</v>
      </c>
      <c r="D27" s="100"/>
      <c r="E27" s="62">
        <f t="shared" si="1"/>
        <v>22</v>
      </c>
      <c r="F27" s="65"/>
      <c r="G27" s="66"/>
      <c r="H27" s="100"/>
      <c r="I27" s="61"/>
      <c r="M27" s="73"/>
      <c r="N27" s="124" t="s">
        <v>83</v>
      </c>
      <c r="O27" s="281">
        <v>18.420000000000002</v>
      </c>
      <c r="P27" s="823" t="s">
        <v>521</v>
      </c>
      <c r="Q27" s="61"/>
    </row>
    <row r="28" spans="1:17" ht="15.75">
      <c r="A28" s="278">
        <f t="shared" si="0"/>
        <v>23</v>
      </c>
      <c r="B28" s="65" t="s">
        <v>123</v>
      </c>
      <c r="C28" s="66">
        <v>35.61</v>
      </c>
      <c r="D28" s="100"/>
      <c r="E28" s="62">
        <f t="shared" si="1"/>
        <v>23</v>
      </c>
      <c r="F28" s="65"/>
      <c r="G28" s="66"/>
      <c r="H28" s="100"/>
      <c r="I28" s="61"/>
      <c r="M28" s="73"/>
      <c r="N28" s="77" t="s">
        <v>48</v>
      </c>
      <c r="O28" s="282">
        <v>5.16</v>
      </c>
      <c r="P28" s="832"/>
      <c r="Q28" s="61"/>
    </row>
    <row r="29" spans="1:17" ht="15.75">
      <c r="A29" s="278">
        <f t="shared" si="0"/>
        <v>24</v>
      </c>
      <c r="B29" s="65" t="s">
        <v>124</v>
      </c>
      <c r="C29" s="66">
        <v>35.46</v>
      </c>
      <c r="D29" s="100"/>
      <c r="E29" s="62">
        <f t="shared" si="1"/>
        <v>24</v>
      </c>
      <c r="F29" s="65"/>
      <c r="G29" s="66"/>
      <c r="H29" s="100"/>
      <c r="I29" s="61"/>
      <c r="M29" s="73"/>
      <c r="N29" s="71" t="s">
        <v>84</v>
      </c>
      <c r="O29" s="282">
        <v>17.95</v>
      </c>
      <c r="P29" s="832"/>
      <c r="Q29" s="61"/>
    </row>
    <row r="30" spans="1:17" ht="16.5" thickBot="1">
      <c r="A30" s="278">
        <f t="shared" si="0"/>
        <v>25</v>
      </c>
      <c r="B30" s="65" t="s">
        <v>125</v>
      </c>
      <c r="C30" s="66">
        <v>34.479999999999997</v>
      </c>
      <c r="D30" s="100"/>
      <c r="E30" s="62">
        <f t="shared" si="1"/>
        <v>25</v>
      </c>
      <c r="F30" s="65"/>
      <c r="G30" s="66"/>
      <c r="H30" s="100"/>
      <c r="I30" s="61"/>
      <c r="M30" s="73"/>
      <c r="N30" s="78"/>
      <c r="O30" s="126"/>
      <c r="P30" s="824"/>
      <c r="Q30" s="61"/>
    </row>
    <row r="31" spans="1:17" ht="16.5" thickBot="1">
      <c r="A31" s="278">
        <f t="shared" si="0"/>
        <v>26</v>
      </c>
      <c r="B31" s="65" t="s">
        <v>126</v>
      </c>
      <c r="C31" s="66">
        <v>34.44</v>
      </c>
      <c r="D31" s="100"/>
      <c r="E31" s="62">
        <f t="shared" si="1"/>
        <v>26</v>
      </c>
      <c r="F31" s="65"/>
      <c r="G31" s="66"/>
      <c r="H31" s="100"/>
      <c r="I31" s="61"/>
      <c r="M31" s="73"/>
      <c r="N31" s="61"/>
      <c r="O31" s="61"/>
      <c r="P31" s="61"/>
      <c r="Q31" s="61"/>
    </row>
    <row r="32" spans="1:17" ht="16.5" thickBot="1">
      <c r="A32" s="278">
        <f t="shared" si="0"/>
        <v>27</v>
      </c>
      <c r="B32" s="65" t="s">
        <v>127</v>
      </c>
      <c r="C32" s="66">
        <v>35.630000000000003</v>
      </c>
      <c r="D32" s="100"/>
      <c r="E32" s="62">
        <f t="shared" si="1"/>
        <v>27</v>
      </c>
      <c r="F32" s="65"/>
      <c r="G32" s="66"/>
      <c r="H32" s="100"/>
      <c r="I32" s="61"/>
      <c r="M32" s="73"/>
      <c r="N32" s="833"/>
      <c r="O32" s="834"/>
      <c r="P32" s="835"/>
      <c r="Q32" s="61"/>
    </row>
    <row r="33" spans="1:17" ht="15.75">
      <c r="A33" s="278">
        <f t="shared" si="0"/>
        <v>28</v>
      </c>
      <c r="B33" s="65" t="s">
        <v>128</v>
      </c>
      <c r="C33" s="66">
        <v>36.479999999999997</v>
      </c>
      <c r="D33" s="100"/>
      <c r="E33" s="62">
        <f t="shared" si="1"/>
        <v>28</v>
      </c>
      <c r="F33" s="65"/>
      <c r="G33" s="66"/>
      <c r="H33" s="100"/>
      <c r="I33" s="61"/>
      <c r="M33" s="73"/>
      <c r="N33" s="127"/>
      <c r="O33" s="128"/>
      <c r="P33" s="836"/>
      <c r="Q33" s="61"/>
    </row>
    <row r="34" spans="1:17" ht="15.75">
      <c r="A34" s="278">
        <f t="shared" si="0"/>
        <v>29</v>
      </c>
      <c r="B34" s="65" t="s">
        <v>129</v>
      </c>
      <c r="C34" s="66">
        <v>35.74</v>
      </c>
      <c r="D34" s="100"/>
      <c r="E34" s="62">
        <f t="shared" si="1"/>
        <v>29</v>
      </c>
      <c r="F34" s="65"/>
      <c r="G34" s="66"/>
      <c r="H34" s="100"/>
      <c r="I34" s="61"/>
      <c r="M34" s="61"/>
      <c r="N34" s="828"/>
      <c r="O34" s="129"/>
      <c r="P34" s="837"/>
      <c r="Q34" s="61"/>
    </row>
    <row r="35" spans="1:17" ht="15.75">
      <c r="A35" s="278">
        <f t="shared" si="0"/>
        <v>30</v>
      </c>
      <c r="B35" s="65" t="s">
        <v>130</v>
      </c>
      <c r="C35" s="66">
        <v>35.92</v>
      </c>
      <c r="D35" s="100"/>
      <c r="E35" s="62">
        <f t="shared" si="1"/>
        <v>30</v>
      </c>
      <c r="F35" s="65"/>
      <c r="G35" s="66"/>
      <c r="H35" s="100"/>
      <c r="I35" s="61"/>
      <c r="M35" s="61"/>
      <c r="N35" s="828"/>
      <c r="O35" s="130"/>
      <c r="P35" s="837"/>
      <c r="Q35" s="61"/>
    </row>
    <row r="36" spans="1:17" ht="16.5" thickBot="1">
      <c r="A36" s="278">
        <f t="shared" si="0"/>
        <v>31</v>
      </c>
      <c r="B36" s="65" t="s">
        <v>131</v>
      </c>
      <c r="C36" s="66">
        <v>35.65</v>
      </c>
      <c r="D36" s="100"/>
      <c r="E36" s="62">
        <f t="shared" si="1"/>
        <v>31</v>
      </c>
      <c r="F36" s="65"/>
      <c r="G36" s="66"/>
      <c r="H36" s="100"/>
      <c r="I36" s="61"/>
      <c r="L36" s="61"/>
      <c r="M36" s="61"/>
      <c r="N36" s="839"/>
      <c r="O36" s="131"/>
      <c r="P36" s="838"/>
      <c r="Q36" s="61"/>
    </row>
    <row r="37" spans="1:17" ht="16.5" thickBot="1">
      <c r="A37" s="278">
        <f t="shared" si="0"/>
        <v>32</v>
      </c>
      <c r="B37" s="65" t="s">
        <v>132</v>
      </c>
      <c r="C37" s="66">
        <v>36.15</v>
      </c>
      <c r="D37" s="100"/>
      <c r="E37" s="62">
        <f t="shared" si="1"/>
        <v>32</v>
      </c>
      <c r="F37" s="65"/>
      <c r="G37" s="66"/>
      <c r="H37" s="100"/>
      <c r="I37" s="61"/>
      <c r="L37" s="61"/>
      <c r="M37" s="61"/>
      <c r="N37" s="132"/>
      <c r="O37" s="133"/>
      <c r="P37" s="134"/>
      <c r="Q37" s="61"/>
    </row>
    <row r="38" spans="1:17" ht="15.75">
      <c r="A38" s="278">
        <f t="shared" si="0"/>
        <v>33</v>
      </c>
      <c r="B38" s="65" t="s">
        <v>133</v>
      </c>
      <c r="C38" s="66">
        <v>35.880000000000003</v>
      </c>
      <c r="D38" s="100"/>
      <c r="E38" s="62">
        <f t="shared" si="1"/>
        <v>33</v>
      </c>
      <c r="F38" s="65"/>
      <c r="G38" s="66"/>
      <c r="H38" s="100"/>
      <c r="I38" s="61"/>
      <c r="J38" s="61"/>
      <c r="K38" s="61"/>
      <c r="L38" s="61"/>
      <c r="M38" s="61"/>
      <c r="N38" s="127"/>
      <c r="O38" s="128"/>
      <c r="P38" s="825"/>
      <c r="Q38" s="61"/>
    </row>
    <row r="39" spans="1:17" ht="14.65" customHeight="1">
      <c r="A39" s="278">
        <f t="shared" si="0"/>
        <v>34</v>
      </c>
      <c r="B39" s="65" t="s">
        <v>134</v>
      </c>
      <c r="C39" s="66">
        <v>36.49</v>
      </c>
      <c r="D39" s="100"/>
      <c r="E39" s="62">
        <f t="shared" si="1"/>
        <v>34</v>
      </c>
      <c r="F39" s="65"/>
      <c r="G39" s="66"/>
      <c r="H39" s="100"/>
      <c r="I39" s="61"/>
      <c r="J39" s="61"/>
      <c r="K39" s="61"/>
      <c r="L39" s="61"/>
      <c r="M39" s="61"/>
      <c r="N39" s="828"/>
      <c r="O39" s="129"/>
      <c r="P39" s="826"/>
      <c r="Q39" s="61"/>
    </row>
    <row r="40" spans="1:17" ht="15.75">
      <c r="A40" s="278">
        <f t="shared" si="0"/>
        <v>35</v>
      </c>
      <c r="B40" s="65" t="s">
        <v>135</v>
      </c>
      <c r="C40" s="66">
        <v>36.39</v>
      </c>
      <c r="D40" s="100"/>
      <c r="E40" s="62">
        <f t="shared" si="1"/>
        <v>35</v>
      </c>
      <c r="F40" s="65"/>
      <c r="G40" s="66"/>
      <c r="H40" s="100"/>
      <c r="I40" s="61"/>
      <c r="J40" s="61"/>
      <c r="K40" s="61"/>
      <c r="L40" s="61"/>
      <c r="M40" s="61"/>
      <c r="N40" s="828"/>
      <c r="O40" s="130"/>
      <c r="P40" s="826"/>
      <c r="Q40" s="61"/>
    </row>
    <row r="41" spans="1:17" ht="16.5" thickBot="1">
      <c r="A41" s="278">
        <f t="shared" si="0"/>
        <v>36</v>
      </c>
      <c r="B41" s="65" t="s">
        <v>136</v>
      </c>
      <c r="C41" s="66">
        <v>36.03</v>
      </c>
      <c r="D41" s="100"/>
      <c r="E41" s="62">
        <f t="shared" si="1"/>
        <v>36</v>
      </c>
      <c r="F41" s="65"/>
      <c r="G41" s="66"/>
      <c r="H41" s="100"/>
      <c r="I41" s="61"/>
      <c r="J41" s="61"/>
      <c r="K41" s="61"/>
      <c r="L41" s="61"/>
      <c r="M41" s="61"/>
      <c r="N41" s="829"/>
      <c r="O41" s="135"/>
      <c r="P41" s="827"/>
      <c r="Q41" s="61"/>
    </row>
    <row r="42" spans="1:17" ht="15.75">
      <c r="A42" s="278">
        <f t="shared" si="0"/>
        <v>37</v>
      </c>
      <c r="B42" s="65" t="s">
        <v>137</v>
      </c>
      <c r="C42" s="66">
        <v>37.369999999999997</v>
      </c>
      <c r="D42" s="100"/>
      <c r="E42" s="62">
        <f t="shared" si="1"/>
        <v>37</v>
      </c>
      <c r="F42" s="65"/>
      <c r="G42" s="66"/>
      <c r="H42" s="100"/>
      <c r="I42" s="61"/>
      <c r="J42" s="61"/>
      <c r="K42" s="61"/>
      <c r="L42" s="61"/>
      <c r="M42" s="61"/>
      <c r="N42" s="61"/>
      <c r="O42" s="61"/>
      <c r="P42" s="61"/>
      <c r="Q42" s="61"/>
    </row>
    <row r="43" spans="1:17" ht="15.75">
      <c r="A43" s="278">
        <f t="shared" si="0"/>
        <v>38</v>
      </c>
      <c r="B43" s="65" t="s">
        <v>138</v>
      </c>
      <c r="C43" s="66">
        <v>34.42</v>
      </c>
      <c r="D43" s="100"/>
      <c r="E43" s="62">
        <f t="shared" si="1"/>
        <v>38</v>
      </c>
      <c r="F43" s="65"/>
      <c r="G43" s="66"/>
      <c r="H43" s="100"/>
      <c r="I43" s="61"/>
      <c r="J43" s="61"/>
      <c r="K43" s="61"/>
      <c r="L43" s="61"/>
      <c r="M43" s="61"/>
      <c r="N43" s="61"/>
      <c r="O43" s="61"/>
      <c r="P43" s="61"/>
      <c r="Q43" s="61"/>
    </row>
    <row r="44" spans="1:17" ht="15.75">
      <c r="A44" s="278">
        <f t="shared" si="0"/>
        <v>39</v>
      </c>
      <c r="B44" s="65" t="s">
        <v>139</v>
      </c>
      <c r="C44" s="66">
        <v>35.200000000000003</v>
      </c>
      <c r="D44" s="100"/>
      <c r="E44" s="62">
        <f t="shared" si="1"/>
        <v>39</v>
      </c>
      <c r="F44" s="65"/>
      <c r="G44" s="66"/>
      <c r="H44" s="100"/>
      <c r="I44" s="61"/>
      <c r="J44" s="61"/>
      <c r="K44" s="61"/>
      <c r="L44" s="61"/>
      <c r="M44" s="61"/>
      <c r="N44" s="61"/>
      <c r="O44" s="61"/>
      <c r="P44" s="61"/>
      <c r="Q44" s="61"/>
    </row>
    <row r="45" spans="1:17" ht="15.75">
      <c r="A45" s="278">
        <f t="shared" si="0"/>
        <v>40</v>
      </c>
      <c r="B45" s="65" t="s">
        <v>140</v>
      </c>
      <c r="C45" s="66">
        <v>36.93</v>
      </c>
      <c r="D45" s="100"/>
      <c r="E45" s="62">
        <f t="shared" si="1"/>
        <v>40</v>
      </c>
      <c r="F45" s="65"/>
      <c r="G45" s="66"/>
      <c r="H45" s="100"/>
      <c r="I45" s="61"/>
      <c r="J45" s="61"/>
      <c r="K45" s="61"/>
      <c r="L45" s="61"/>
      <c r="M45" s="61"/>
      <c r="N45" s="61"/>
      <c r="O45" s="61"/>
      <c r="P45" s="61"/>
      <c r="Q45" s="61"/>
    </row>
    <row r="46" spans="1:17" ht="15.75">
      <c r="A46" s="278">
        <f t="shared" si="0"/>
        <v>41</v>
      </c>
      <c r="B46" s="65" t="s">
        <v>141</v>
      </c>
      <c r="C46" s="66">
        <v>37.47</v>
      </c>
      <c r="D46" s="100"/>
      <c r="E46" s="62">
        <f t="shared" si="1"/>
        <v>41</v>
      </c>
      <c r="F46" s="65"/>
      <c r="G46" s="66"/>
      <c r="H46" s="100"/>
      <c r="I46" s="61"/>
      <c r="J46" s="61"/>
      <c r="K46" s="61"/>
      <c r="L46" s="61"/>
      <c r="M46" s="61"/>
      <c r="N46" s="61"/>
      <c r="O46" s="61"/>
      <c r="P46" s="61"/>
      <c r="Q46" s="61"/>
    </row>
    <row r="47" spans="1:17" ht="15.75">
      <c r="A47" s="278">
        <f t="shared" si="0"/>
        <v>42</v>
      </c>
      <c r="B47" s="65" t="s">
        <v>142</v>
      </c>
      <c r="C47" s="66">
        <v>37.53</v>
      </c>
      <c r="D47" s="100"/>
      <c r="E47" s="62">
        <f t="shared" si="1"/>
        <v>42</v>
      </c>
      <c r="F47" s="65"/>
      <c r="G47" s="66"/>
      <c r="H47" s="100"/>
      <c r="I47" s="61"/>
      <c r="J47" s="61"/>
      <c r="K47" s="61"/>
      <c r="L47" s="61"/>
      <c r="M47" s="61"/>
      <c r="N47" s="61"/>
      <c r="O47" s="61"/>
      <c r="P47" s="61"/>
      <c r="Q47" s="61"/>
    </row>
    <row r="48" spans="1:17" ht="15.75">
      <c r="A48" s="278">
        <f t="shared" si="0"/>
        <v>43</v>
      </c>
      <c r="B48" s="65" t="s">
        <v>143</v>
      </c>
      <c r="C48" s="66">
        <v>36.06</v>
      </c>
      <c r="D48" s="100"/>
      <c r="E48" s="62">
        <f t="shared" si="1"/>
        <v>43</v>
      </c>
      <c r="F48" s="65"/>
      <c r="G48" s="66"/>
      <c r="H48" s="100"/>
      <c r="I48" s="61"/>
      <c r="J48" s="61"/>
      <c r="K48" s="61"/>
      <c r="L48" s="61"/>
      <c r="M48" s="61"/>
      <c r="N48" s="61"/>
      <c r="O48" s="61"/>
      <c r="P48" s="61"/>
      <c r="Q48" s="61"/>
    </row>
    <row r="49" spans="1:17" ht="15.75">
      <c r="A49" s="278">
        <f t="shared" si="0"/>
        <v>44</v>
      </c>
      <c r="B49" s="65" t="s">
        <v>144</v>
      </c>
      <c r="C49" s="66">
        <v>35.65</v>
      </c>
      <c r="D49" s="100"/>
      <c r="E49" s="62">
        <f t="shared" si="1"/>
        <v>44</v>
      </c>
      <c r="F49" s="65"/>
      <c r="G49" s="66"/>
      <c r="H49" s="100"/>
      <c r="I49" s="61"/>
      <c r="J49" s="61"/>
      <c r="K49" s="61"/>
      <c r="L49" s="61"/>
      <c r="M49" s="61"/>
      <c r="N49" s="61"/>
      <c r="O49" s="61"/>
      <c r="P49" s="61"/>
      <c r="Q49" s="61"/>
    </row>
    <row r="50" spans="1:17" ht="15.75">
      <c r="A50" s="278">
        <f t="shared" si="0"/>
        <v>45</v>
      </c>
      <c r="B50" s="65" t="s">
        <v>145</v>
      </c>
      <c r="C50" s="66">
        <v>36.630000000000003</v>
      </c>
      <c r="D50" s="100"/>
      <c r="E50" s="62">
        <f t="shared" si="1"/>
        <v>45</v>
      </c>
      <c r="F50" s="65"/>
      <c r="G50" s="66"/>
      <c r="H50" s="100"/>
      <c r="I50" s="61"/>
      <c r="J50" s="61"/>
      <c r="K50" s="61"/>
      <c r="L50" s="61"/>
      <c r="M50" s="61"/>
      <c r="N50" s="61"/>
      <c r="O50" s="61"/>
      <c r="P50" s="61"/>
      <c r="Q50" s="61"/>
    </row>
    <row r="51" spans="1:17" ht="15.75">
      <c r="A51" s="278">
        <f t="shared" si="0"/>
        <v>46</v>
      </c>
      <c r="B51" s="65" t="s">
        <v>146</v>
      </c>
      <c r="C51" s="66">
        <v>37.520000000000003</v>
      </c>
      <c r="D51" s="100"/>
      <c r="E51" s="62">
        <f t="shared" si="1"/>
        <v>46</v>
      </c>
      <c r="F51" s="65"/>
      <c r="G51" s="66"/>
      <c r="H51" s="100"/>
      <c r="I51" s="61"/>
      <c r="J51" s="61"/>
      <c r="K51" s="61"/>
      <c r="L51" s="61"/>
      <c r="M51" s="61"/>
      <c r="N51" s="61"/>
      <c r="O51" s="61"/>
      <c r="P51" s="61"/>
      <c r="Q51" s="61"/>
    </row>
    <row r="52" spans="1:17" ht="15.75">
      <c r="A52" s="278">
        <f t="shared" si="0"/>
        <v>47</v>
      </c>
      <c r="B52" s="65" t="s">
        <v>147</v>
      </c>
      <c r="C52" s="66">
        <v>37.409999999999997</v>
      </c>
      <c r="D52" s="100"/>
      <c r="E52" s="62">
        <f t="shared" si="1"/>
        <v>47</v>
      </c>
      <c r="F52" s="65"/>
      <c r="G52" s="66"/>
      <c r="H52" s="100"/>
      <c r="I52" s="61"/>
      <c r="J52" s="61"/>
      <c r="K52" s="61"/>
      <c r="L52" s="61"/>
      <c r="M52" s="61"/>
      <c r="N52" s="61"/>
      <c r="O52" s="61"/>
      <c r="P52" s="61"/>
      <c r="Q52" s="61"/>
    </row>
    <row r="53" spans="1:17" ht="15.75">
      <c r="A53" s="278">
        <f t="shared" si="0"/>
        <v>48</v>
      </c>
      <c r="B53" s="65" t="s">
        <v>148</v>
      </c>
      <c r="C53" s="66">
        <v>37.229999999999997</v>
      </c>
      <c r="D53" s="100"/>
      <c r="E53" s="62">
        <f t="shared" si="1"/>
        <v>48</v>
      </c>
      <c r="F53" s="65"/>
      <c r="G53" s="66"/>
      <c r="H53" s="100"/>
      <c r="I53" s="61"/>
      <c r="J53" s="61"/>
      <c r="K53" s="61"/>
      <c r="L53" s="61"/>
      <c r="M53" s="61"/>
      <c r="N53" s="61"/>
      <c r="O53" s="61"/>
      <c r="P53" s="61"/>
      <c r="Q53" s="61"/>
    </row>
    <row r="54" spans="1:17" ht="15.75">
      <c r="A54" s="278">
        <f t="shared" si="0"/>
        <v>49</v>
      </c>
      <c r="B54" s="65" t="s">
        <v>149</v>
      </c>
      <c r="C54" s="66">
        <v>36.68</v>
      </c>
      <c r="D54" s="100"/>
      <c r="E54" s="62">
        <f t="shared" si="1"/>
        <v>49</v>
      </c>
      <c r="F54" s="65"/>
      <c r="G54" s="66"/>
      <c r="H54" s="100"/>
      <c r="I54" s="61"/>
      <c r="J54" s="61"/>
      <c r="K54" s="61"/>
      <c r="L54" s="61"/>
      <c r="M54" s="61"/>
      <c r="N54" s="61"/>
      <c r="O54" s="61"/>
      <c r="P54" s="61"/>
      <c r="Q54" s="61"/>
    </row>
    <row r="55" spans="1:17" ht="15.75">
      <c r="A55" s="278">
        <f t="shared" si="0"/>
        <v>50</v>
      </c>
      <c r="B55" s="65" t="s">
        <v>150</v>
      </c>
      <c r="C55" s="66">
        <v>36.29</v>
      </c>
      <c r="D55" s="101"/>
      <c r="E55" s="62">
        <f t="shared" si="1"/>
        <v>50</v>
      </c>
      <c r="F55" s="65"/>
      <c r="G55" s="66"/>
      <c r="H55" s="100"/>
      <c r="I55" s="61"/>
      <c r="J55" s="61"/>
      <c r="K55" s="61"/>
      <c r="L55" s="61"/>
      <c r="M55" s="61"/>
      <c r="N55" s="61"/>
      <c r="O55" s="61"/>
      <c r="P55" s="61"/>
      <c r="Q55" s="61"/>
    </row>
    <row r="56" spans="1:17" ht="15.75">
      <c r="A56" s="278">
        <f t="shared" si="0"/>
        <v>51</v>
      </c>
      <c r="B56" s="65" t="s">
        <v>151</v>
      </c>
      <c r="C56" s="66">
        <v>37.200000000000003</v>
      </c>
      <c r="D56" s="99"/>
      <c r="E56" s="62">
        <f t="shared" si="1"/>
        <v>51</v>
      </c>
      <c r="F56" s="65"/>
      <c r="G56" s="66"/>
      <c r="H56" s="100"/>
      <c r="I56" s="61"/>
      <c r="J56" s="61"/>
      <c r="K56" s="61"/>
      <c r="L56" s="61"/>
      <c r="M56" s="61"/>
      <c r="N56" s="61"/>
      <c r="O56" s="61"/>
      <c r="P56" s="61"/>
      <c r="Q56" s="61"/>
    </row>
    <row r="57" spans="1:17" ht="15.75">
      <c r="A57" s="278">
        <f t="shared" si="0"/>
        <v>52</v>
      </c>
      <c r="B57" s="65" t="s">
        <v>152</v>
      </c>
      <c r="C57" s="66">
        <v>35.74</v>
      </c>
      <c r="D57" s="100"/>
      <c r="E57" s="62">
        <f t="shared" si="1"/>
        <v>52</v>
      </c>
      <c r="F57" s="65"/>
      <c r="G57" s="66"/>
      <c r="H57" s="100"/>
      <c r="I57" s="61"/>
      <c r="J57" s="61"/>
      <c r="K57" s="61"/>
      <c r="L57" s="61"/>
      <c r="M57" s="61"/>
      <c r="N57" s="61"/>
      <c r="O57" s="61"/>
      <c r="P57" s="61"/>
      <c r="Q57" s="61"/>
    </row>
    <row r="58" spans="1:17" ht="15.75">
      <c r="A58" s="278">
        <f t="shared" si="0"/>
        <v>53</v>
      </c>
      <c r="B58" s="65" t="s">
        <v>153</v>
      </c>
      <c r="C58" s="66">
        <v>35.880000000000003</v>
      </c>
      <c r="D58" s="100"/>
      <c r="E58" s="62">
        <f t="shared" si="1"/>
        <v>53</v>
      </c>
      <c r="F58" s="65"/>
      <c r="G58" s="66"/>
      <c r="H58" s="100"/>
      <c r="I58" s="61"/>
      <c r="J58" s="61"/>
      <c r="K58" s="61"/>
      <c r="L58" s="61"/>
      <c r="M58" s="61"/>
      <c r="N58" s="61"/>
      <c r="O58" s="61"/>
      <c r="P58" s="61"/>
      <c r="Q58" s="61"/>
    </row>
    <row r="59" spans="1:17" ht="15.75">
      <c r="A59" s="278">
        <f t="shared" si="0"/>
        <v>54</v>
      </c>
      <c r="B59" s="65" t="s">
        <v>154</v>
      </c>
      <c r="C59" s="66">
        <v>36.19</v>
      </c>
      <c r="D59" s="100"/>
      <c r="E59" s="62">
        <f t="shared" si="1"/>
        <v>54</v>
      </c>
      <c r="F59" s="65"/>
      <c r="G59" s="66"/>
      <c r="H59" s="100"/>
      <c r="I59" s="61"/>
      <c r="J59" s="61"/>
      <c r="K59" s="61"/>
      <c r="L59" s="61"/>
      <c r="M59" s="61"/>
      <c r="N59" s="61"/>
      <c r="O59" s="61"/>
      <c r="P59" s="61"/>
      <c r="Q59" s="61"/>
    </row>
    <row r="60" spans="1:17" ht="15.75">
      <c r="A60" s="278">
        <f t="shared" si="0"/>
        <v>55</v>
      </c>
      <c r="B60" s="65" t="s">
        <v>155</v>
      </c>
      <c r="C60" s="66">
        <v>36.35</v>
      </c>
      <c r="D60" s="100"/>
      <c r="E60" s="62">
        <f t="shared" si="1"/>
        <v>55</v>
      </c>
      <c r="F60" s="65"/>
      <c r="G60" s="66"/>
      <c r="H60" s="100"/>
      <c r="I60" s="61"/>
      <c r="J60" s="61"/>
      <c r="K60" s="61"/>
      <c r="L60" s="61"/>
      <c r="M60" s="61"/>
      <c r="N60" s="61"/>
      <c r="O60" s="61"/>
      <c r="P60" s="61"/>
      <c r="Q60" s="61"/>
    </row>
    <row r="61" spans="1:17" ht="15.75">
      <c r="A61" s="278">
        <f t="shared" si="0"/>
        <v>56</v>
      </c>
      <c r="B61" s="65" t="s">
        <v>156</v>
      </c>
      <c r="C61" s="66">
        <v>37.450000000000003</v>
      </c>
      <c r="D61" s="100"/>
      <c r="E61" s="62">
        <f t="shared" si="1"/>
        <v>56</v>
      </c>
      <c r="F61" s="65"/>
      <c r="G61" s="66"/>
      <c r="H61" s="100"/>
      <c r="I61" s="61"/>
      <c r="J61" s="61"/>
      <c r="K61" s="61"/>
      <c r="L61" s="61"/>
      <c r="M61" s="61"/>
      <c r="N61" s="61"/>
      <c r="O61" s="61"/>
      <c r="P61" s="61"/>
      <c r="Q61" s="61"/>
    </row>
    <row r="62" spans="1:17" ht="15.75">
      <c r="A62" s="278">
        <f t="shared" si="0"/>
        <v>57</v>
      </c>
      <c r="B62" s="65" t="s">
        <v>157</v>
      </c>
      <c r="C62" s="66">
        <v>36.840000000000003</v>
      </c>
      <c r="D62" s="100"/>
      <c r="E62" s="62">
        <f t="shared" si="1"/>
        <v>57</v>
      </c>
      <c r="F62" s="65"/>
      <c r="G62" s="66"/>
      <c r="H62" s="100"/>
      <c r="I62" s="61"/>
      <c r="J62" s="61"/>
      <c r="K62" s="61"/>
      <c r="L62" s="61"/>
      <c r="M62" s="61"/>
      <c r="N62" s="61"/>
      <c r="O62" s="61"/>
      <c r="P62" s="61"/>
      <c r="Q62" s="61"/>
    </row>
    <row r="63" spans="1:17" ht="15.75">
      <c r="A63" s="278">
        <f t="shared" si="0"/>
        <v>58</v>
      </c>
      <c r="B63" s="65" t="s">
        <v>158</v>
      </c>
      <c r="C63" s="66">
        <v>35.96</v>
      </c>
      <c r="D63" s="100"/>
      <c r="E63" s="62">
        <f t="shared" si="1"/>
        <v>58</v>
      </c>
      <c r="F63" s="65"/>
      <c r="G63" s="66"/>
      <c r="H63" s="100"/>
      <c r="I63" s="61"/>
      <c r="L63" s="61"/>
      <c r="M63" s="61"/>
      <c r="N63" s="61"/>
      <c r="O63" s="61"/>
      <c r="P63" s="61"/>
      <c r="Q63" s="61"/>
    </row>
    <row r="64" spans="1:17" ht="15.75">
      <c r="A64" s="278">
        <f t="shared" si="0"/>
        <v>59</v>
      </c>
      <c r="B64" s="65" t="s">
        <v>159</v>
      </c>
      <c r="C64" s="66">
        <v>36.76</v>
      </c>
      <c r="D64" s="100"/>
      <c r="E64" s="62">
        <f t="shared" si="1"/>
        <v>59</v>
      </c>
      <c r="F64" s="65"/>
      <c r="G64" s="66"/>
      <c r="H64" s="100"/>
      <c r="I64" s="61"/>
      <c r="L64" s="61"/>
      <c r="M64" s="61"/>
      <c r="N64" s="61"/>
      <c r="O64" s="61"/>
      <c r="P64" s="61"/>
      <c r="Q64" s="61"/>
    </row>
    <row r="65" spans="1:17" ht="15.75">
      <c r="A65" s="278">
        <f t="shared" si="0"/>
        <v>60</v>
      </c>
      <c r="B65" s="65" t="s">
        <v>160</v>
      </c>
      <c r="C65" s="66">
        <v>36.44</v>
      </c>
      <c r="D65" s="100"/>
      <c r="E65" s="62">
        <f t="shared" si="1"/>
        <v>60</v>
      </c>
      <c r="F65" s="65"/>
      <c r="G65" s="66"/>
      <c r="H65" s="100"/>
      <c r="I65" s="61"/>
      <c r="L65" s="61"/>
      <c r="M65" s="61"/>
      <c r="N65" s="61"/>
      <c r="O65" s="61"/>
      <c r="P65" s="61"/>
      <c r="Q65" s="61"/>
    </row>
    <row r="66" spans="1:17" ht="15.75">
      <c r="A66" s="278">
        <f t="shared" si="0"/>
        <v>61</v>
      </c>
      <c r="B66" s="65" t="s">
        <v>161</v>
      </c>
      <c r="C66" s="66">
        <v>36.97</v>
      </c>
      <c r="D66" s="100"/>
      <c r="E66" s="62">
        <f t="shared" si="1"/>
        <v>61</v>
      </c>
      <c r="F66" s="65"/>
      <c r="G66" s="66"/>
      <c r="H66" s="100"/>
      <c r="I66" s="61"/>
      <c r="J66" s="61"/>
      <c r="K66" s="61"/>
      <c r="L66" s="61"/>
      <c r="M66" s="61"/>
      <c r="N66" s="61"/>
      <c r="O66" s="61"/>
      <c r="P66" s="61"/>
      <c r="Q66" s="61"/>
    </row>
    <row r="67" spans="1:17" ht="15.75">
      <c r="A67" s="278">
        <f t="shared" si="0"/>
        <v>62</v>
      </c>
      <c r="B67" s="65" t="s">
        <v>162</v>
      </c>
      <c r="C67" s="66">
        <v>36.31</v>
      </c>
      <c r="D67" s="100"/>
      <c r="E67" s="62">
        <f t="shared" si="1"/>
        <v>62</v>
      </c>
      <c r="F67" s="65"/>
      <c r="G67" s="66"/>
      <c r="H67" s="100"/>
      <c r="I67" s="61"/>
      <c r="J67" s="61"/>
      <c r="K67" s="61"/>
      <c r="L67" s="61"/>
      <c r="M67" s="61"/>
      <c r="N67" s="61"/>
      <c r="O67" s="61"/>
      <c r="P67" s="61"/>
      <c r="Q67" s="61"/>
    </row>
    <row r="68" spans="1:17" ht="15.75">
      <c r="A68" s="278">
        <f t="shared" si="0"/>
        <v>63</v>
      </c>
      <c r="B68" s="65" t="s">
        <v>163</v>
      </c>
      <c r="C68" s="66">
        <v>36.94</v>
      </c>
      <c r="D68" s="100"/>
      <c r="E68" s="62">
        <f t="shared" si="1"/>
        <v>63</v>
      </c>
      <c r="F68" s="65"/>
      <c r="G68" s="66"/>
      <c r="H68" s="100"/>
      <c r="I68" s="61"/>
      <c r="J68" s="61"/>
      <c r="K68" s="61"/>
      <c r="L68" s="61"/>
      <c r="M68" s="61"/>
      <c r="N68" s="61"/>
      <c r="O68" s="61"/>
      <c r="P68" s="61"/>
      <c r="Q68" s="61"/>
    </row>
    <row r="69" spans="1:17" ht="15.75">
      <c r="A69" s="278">
        <f t="shared" si="0"/>
        <v>64</v>
      </c>
      <c r="B69" s="65" t="s">
        <v>164</v>
      </c>
      <c r="C69" s="66">
        <v>36.68</v>
      </c>
      <c r="D69" s="100"/>
      <c r="E69" s="62">
        <f t="shared" si="1"/>
        <v>64</v>
      </c>
      <c r="F69" s="65"/>
      <c r="G69" s="66"/>
      <c r="H69" s="100"/>
      <c r="I69" s="61"/>
      <c r="J69" s="61"/>
      <c r="K69" s="61"/>
      <c r="L69" s="61"/>
      <c r="M69" s="61"/>
      <c r="N69" s="61"/>
      <c r="O69" s="61"/>
      <c r="P69" s="61"/>
      <c r="Q69" s="61"/>
    </row>
    <row r="70" spans="1:17" ht="15.75">
      <c r="A70" s="278">
        <f t="shared" si="0"/>
        <v>65</v>
      </c>
      <c r="B70" s="65" t="s">
        <v>165</v>
      </c>
      <c r="C70" s="66">
        <v>36.58</v>
      </c>
      <c r="D70" s="100"/>
      <c r="E70" s="62">
        <f t="shared" si="1"/>
        <v>65</v>
      </c>
      <c r="F70" s="65"/>
      <c r="G70" s="66"/>
      <c r="H70" s="100"/>
      <c r="I70" s="61"/>
      <c r="L70" s="61"/>
      <c r="M70" s="61"/>
      <c r="N70" s="61"/>
      <c r="O70" s="61"/>
      <c r="P70" s="61"/>
      <c r="Q70" s="61"/>
    </row>
    <row r="71" spans="1:17" ht="15.75">
      <c r="A71" s="278">
        <f t="shared" si="0"/>
        <v>66</v>
      </c>
      <c r="B71" s="65" t="s">
        <v>166</v>
      </c>
      <c r="C71" s="66">
        <v>36.36</v>
      </c>
      <c r="D71" s="100"/>
      <c r="E71" s="62">
        <f t="shared" si="1"/>
        <v>66</v>
      </c>
      <c r="F71" s="65"/>
      <c r="G71" s="66"/>
      <c r="H71" s="100"/>
      <c r="I71" s="61"/>
      <c r="J71" s="61"/>
      <c r="K71" s="61"/>
      <c r="L71" s="61"/>
      <c r="M71" s="61"/>
      <c r="N71" s="61"/>
      <c r="O71" s="61"/>
      <c r="P71" s="61"/>
      <c r="Q71" s="61"/>
    </row>
    <row r="72" spans="1:17" ht="15.75">
      <c r="A72" s="278">
        <f t="shared" ref="A72:A135" si="3">A71+1</f>
        <v>67</v>
      </c>
      <c r="B72" s="65" t="s">
        <v>167</v>
      </c>
      <c r="C72" s="66">
        <v>37.08</v>
      </c>
      <c r="D72" s="100"/>
      <c r="E72" s="62">
        <f t="shared" ref="E72:E86" si="4">E71+1</f>
        <v>67</v>
      </c>
      <c r="F72" s="65"/>
      <c r="G72" s="66"/>
      <c r="H72" s="100"/>
      <c r="I72" s="61"/>
      <c r="L72" s="61"/>
      <c r="M72" s="61"/>
      <c r="N72" s="61"/>
      <c r="O72" s="61"/>
      <c r="P72" s="61"/>
      <c r="Q72" s="61"/>
    </row>
    <row r="73" spans="1:17" ht="15.75">
      <c r="A73" s="278">
        <f t="shared" si="3"/>
        <v>68</v>
      </c>
      <c r="B73" s="65" t="s">
        <v>168</v>
      </c>
      <c r="C73" s="66">
        <v>34.61</v>
      </c>
      <c r="D73" s="100"/>
      <c r="E73" s="62">
        <f t="shared" si="4"/>
        <v>68</v>
      </c>
      <c r="F73" s="65"/>
      <c r="G73" s="66"/>
      <c r="H73" s="100"/>
      <c r="I73" s="61"/>
      <c r="J73" s="61"/>
      <c r="K73" s="61"/>
      <c r="L73" s="61"/>
      <c r="M73" s="61"/>
      <c r="N73" s="61"/>
      <c r="O73" s="61"/>
      <c r="P73" s="61"/>
      <c r="Q73" s="61"/>
    </row>
    <row r="74" spans="1:17" ht="15.75">
      <c r="A74" s="278">
        <f t="shared" si="3"/>
        <v>69</v>
      </c>
      <c r="B74" s="65" t="s">
        <v>169</v>
      </c>
      <c r="C74" s="66">
        <v>35.04</v>
      </c>
      <c r="D74" s="100"/>
      <c r="E74" s="62">
        <f t="shared" si="4"/>
        <v>69</v>
      </c>
      <c r="F74" s="65"/>
      <c r="G74" s="66"/>
      <c r="H74" s="100"/>
      <c r="I74" s="61"/>
      <c r="L74" s="61"/>
      <c r="M74" s="61"/>
      <c r="N74" s="61"/>
      <c r="O74" s="61"/>
      <c r="P74" s="61"/>
      <c r="Q74" s="61"/>
    </row>
    <row r="75" spans="1:17" ht="15.75">
      <c r="A75" s="278">
        <f t="shared" si="3"/>
        <v>70</v>
      </c>
      <c r="B75" s="65" t="s">
        <v>170</v>
      </c>
      <c r="C75" s="66">
        <v>36.83</v>
      </c>
      <c r="D75" s="100"/>
      <c r="E75" s="62">
        <f t="shared" si="4"/>
        <v>70</v>
      </c>
      <c r="F75" s="258"/>
      <c r="G75" s="259"/>
      <c r="H75" s="260"/>
      <c r="I75" s="61"/>
      <c r="J75" s="61"/>
      <c r="K75" s="61"/>
      <c r="L75" s="61"/>
      <c r="M75" s="61"/>
      <c r="N75" s="61"/>
      <c r="O75" s="61"/>
      <c r="P75" s="61"/>
      <c r="Q75" s="61"/>
    </row>
    <row r="76" spans="1:17" ht="15.75">
      <c r="A76" s="278">
        <f t="shared" si="3"/>
        <v>71</v>
      </c>
      <c r="B76" s="65" t="s">
        <v>171</v>
      </c>
      <c r="C76" s="66">
        <v>36.74</v>
      </c>
      <c r="D76" s="100"/>
      <c r="E76" s="62">
        <f t="shared" si="4"/>
        <v>71</v>
      </c>
      <c r="F76" s="258"/>
      <c r="G76" s="259"/>
      <c r="H76" s="260"/>
      <c r="I76" s="61"/>
      <c r="L76" s="61"/>
      <c r="M76" s="61"/>
      <c r="N76" s="61"/>
      <c r="O76" s="61"/>
      <c r="P76" s="61"/>
      <c r="Q76" s="61"/>
    </row>
    <row r="77" spans="1:17" ht="15.75">
      <c r="A77" s="278">
        <f t="shared" si="3"/>
        <v>72</v>
      </c>
      <c r="B77" s="65" t="s">
        <v>172</v>
      </c>
      <c r="C77" s="66">
        <v>35.46</v>
      </c>
      <c r="D77" s="100"/>
      <c r="E77" s="62">
        <f t="shared" si="4"/>
        <v>72</v>
      </c>
      <c r="F77" s="258"/>
      <c r="G77" s="259"/>
      <c r="H77" s="260"/>
      <c r="I77" s="61"/>
      <c r="J77" s="61"/>
      <c r="K77" s="61"/>
      <c r="L77" s="61"/>
      <c r="M77" s="61"/>
      <c r="N77" s="61"/>
      <c r="O77" s="61"/>
      <c r="P77" s="61"/>
      <c r="Q77" s="61"/>
    </row>
    <row r="78" spans="1:17" ht="15.75">
      <c r="A78" s="278">
        <f t="shared" si="3"/>
        <v>73</v>
      </c>
      <c r="B78" s="65" t="s">
        <v>173</v>
      </c>
      <c r="C78" s="66">
        <v>36.76</v>
      </c>
      <c r="D78" s="100"/>
      <c r="E78" s="62">
        <f t="shared" si="4"/>
        <v>73</v>
      </c>
      <c r="F78" s="258"/>
      <c r="G78" s="259"/>
      <c r="H78" s="260"/>
      <c r="I78" s="61"/>
      <c r="L78" s="61"/>
      <c r="M78" s="61"/>
      <c r="N78" s="61"/>
      <c r="O78" s="61"/>
      <c r="P78" s="61"/>
      <c r="Q78" s="61"/>
    </row>
    <row r="79" spans="1:17" ht="15.75">
      <c r="A79" s="278">
        <f t="shared" si="3"/>
        <v>74</v>
      </c>
      <c r="B79" s="65" t="s">
        <v>174</v>
      </c>
      <c r="C79" s="66">
        <v>37.06</v>
      </c>
      <c r="D79" s="100"/>
      <c r="E79" s="62">
        <f t="shared" si="4"/>
        <v>74</v>
      </c>
      <c r="F79" s="258"/>
      <c r="G79" s="259"/>
      <c r="H79" s="260"/>
      <c r="I79" s="61"/>
      <c r="J79" s="61"/>
      <c r="K79" s="61"/>
      <c r="L79" s="61"/>
      <c r="M79" s="61"/>
      <c r="N79" s="61"/>
      <c r="O79" s="61"/>
      <c r="P79" s="61"/>
      <c r="Q79" s="61"/>
    </row>
    <row r="80" spans="1:17" ht="15.75">
      <c r="A80" s="278">
        <f t="shared" si="3"/>
        <v>75</v>
      </c>
      <c r="B80" s="65" t="s">
        <v>175</v>
      </c>
      <c r="C80" s="66">
        <v>36.69</v>
      </c>
      <c r="D80" s="100"/>
      <c r="E80" s="62">
        <f t="shared" si="4"/>
        <v>75</v>
      </c>
      <c r="F80" s="258"/>
      <c r="G80" s="259"/>
      <c r="H80" s="260"/>
      <c r="I80" s="61"/>
      <c r="J80" s="61"/>
      <c r="K80" s="61"/>
      <c r="L80" s="61"/>
      <c r="M80" s="61"/>
      <c r="N80" s="61"/>
      <c r="O80" s="61"/>
      <c r="P80" s="61"/>
      <c r="Q80" s="61"/>
    </row>
    <row r="81" spans="1:17" ht="15.75">
      <c r="A81" s="278">
        <f t="shared" si="3"/>
        <v>76</v>
      </c>
      <c r="B81" s="65" t="s">
        <v>176</v>
      </c>
      <c r="C81" s="66">
        <v>37.29</v>
      </c>
      <c r="D81" s="100"/>
      <c r="E81" s="62">
        <f t="shared" si="4"/>
        <v>76</v>
      </c>
      <c r="F81" s="258"/>
      <c r="G81" s="259"/>
      <c r="H81" s="260"/>
      <c r="I81" s="61"/>
      <c r="J81" s="61"/>
      <c r="K81" s="61"/>
      <c r="L81" s="61"/>
      <c r="M81" s="61"/>
      <c r="N81" s="61"/>
      <c r="O81" s="61"/>
      <c r="P81" s="61"/>
      <c r="Q81" s="61"/>
    </row>
    <row r="82" spans="1:17" ht="15.75">
      <c r="A82" s="278">
        <f t="shared" si="3"/>
        <v>77</v>
      </c>
      <c r="B82" s="65" t="s">
        <v>177</v>
      </c>
      <c r="C82" s="66">
        <v>37.21</v>
      </c>
      <c r="D82" s="100"/>
      <c r="E82" s="62">
        <f t="shared" si="4"/>
        <v>77</v>
      </c>
      <c r="F82" s="258"/>
      <c r="G82" s="259"/>
      <c r="H82" s="260"/>
      <c r="I82" s="61"/>
      <c r="J82" s="61"/>
      <c r="K82" s="61"/>
      <c r="L82" s="61"/>
      <c r="M82" s="61"/>
      <c r="N82" s="61"/>
      <c r="O82" s="61"/>
      <c r="P82" s="61"/>
      <c r="Q82" s="61"/>
    </row>
    <row r="83" spans="1:17" ht="15.75">
      <c r="A83" s="278">
        <f t="shared" si="3"/>
        <v>78</v>
      </c>
      <c r="B83" s="65" t="s">
        <v>178</v>
      </c>
      <c r="C83" s="66">
        <v>37.619999999999997</v>
      </c>
      <c r="D83" s="100"/>
      <c r="E83" s="62">
        <f t="shared" si="4"/>
        <v>78</v>
      </c>
      <c r="F83" s="258"/>
      <c r="G83" s="259"/>
      <c r="H83" s="260"/>
      <c r="I83" s="61"/>
      <c r="J83" s="61"/>
      <c r="K83" s="61"/>
      <c r="L83" s="61"/>
      <c r="M83" s="61"/>
      <c r="N83" s="61"/>
      <c r="O83" s="61"/>
      <c r="P83" s="61"/>
      <c r="Q83" s="61"/>
    </row>
    <row r="84" spans="1:17" ht="15.75">
      <c r="A84" s="278">
        <f t="shared" si="3"/>
        <v>79</v>
      </c>
      <c r="B84" s="65" t="s">
        <v>179</v>
      </c>
      <c r="C84" s="66">
        <v>36.630000000000003</v>
      </c>
      <c r="D84" s="100"/>
      <c r="E84" s="62">
        <f t="shared" si="4"/>
        <v>79</v>
      </c>
      <c r="F84" s="258"/>
      <c r="G84" s="259"/>
      <c r="H84" s="260"/>
      <c r="I84" s="61"/>
      <c r="J84" s="61"/>
      <c r="K84" s="61"/>
      <c r="L84" s="61"/>
      <c r="M84" s="61"/>
      <c r="N84" s="61"/>
      <c r="O84" s="61"/>
      <c r="P84" s="61"/>
      <c r="Q84" s="61"/>
    </row>
    <row r="85" spans="1:17" ht="15.75">
      <c r="A85" s="278">
        <f t="shared" si="3"/>
        <v>80</v>
      </c>
      <c r="B85" s="65" t="s">
        <v>180</v>
      </c>
      <c r="C85" s="66">
        <v>36.78</v>
      </c>
      <c r="D85" s="100"/>
      <c r="E85" s="62">
        <f t="shared" si="4"/>
        <v>80</v>
      </c>
      <c r="F85" s="258"/>
      <c r="G85" s="259"/>
      <c r="H85" s="260"/>
      <c r="I85" s="61"/>
      <c r="J85" s="61"/>
      <c r="K85" s="61"/>
      <c r="L85" s="61"/>
      <c r="M85" s="61"/>
      <c r="N85" s="61"/>
      <c r="O85" s="61"/>
      <c r="P85" s="61"/>
      <c r="Q85" s="61"/>
    </row>
    <row r="86" spans="1:17" ht="15.75">
      <c r="A86" s="278">
        <f t="shared" si="3"/>
        <v>81</v>
      </c>
      <c r="B86" s="65" t="s">
        <v>181</v>
      </c>
      <c r="C86" s="66">
        <v>36.520000000000003</v>
      </c>
      <c r="D86" s="100"/>
      <c r="E86" s="62">
        <f t="shared" si="4"/>
        <v>81</v>
      </c>
      <c r="F86" s="258"/>
      <c r="G86" s="259"/>
      <c r="H86" s="260"/>
      <c r="I86" s="61"/>
      <c r="J86" s="61"/>
      <c r="K86" s="61"/>
      <c r="L86" s="61"/>
      <c r="M86" s="61"/>
      <c r="N86" s="61"/>
      <c r="O86" s="61"/>
      <c r="P86" s="61"/>
      <c r="Q86" s="61"/>
    </row>
    <row r="87" spans="1:17" ht="15.75">
      <c r="A87" s="278">
        <f t="shared" si="3"/>
        <v>82</v>
      </c>
      <c r="B87" s="65" t="s">
        <v>182</v>
      </c>
      <c r="C87" s="66">
        <v>36.25</v>
      </c>
      <c r="D87" s="100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</row>
    <row r="88" spans="1:17" ht="15.75">
      <c r="A88" s="278">
        <f t="shared" si="3"/>
        <v>83</v>
      </c>
      <c r="B88" s="65" t="s">
        <v>183</v>
      </c>
      <c r="C88" s="66">
        <v>36.03</v>
      </c>
      <c r="D88" s="100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</row>
    <row r="89" spans="1:17" ht="15.75">
      <c r="A89" s="278">
        <f t="shared" si="3"/>
        <v>84</v>
      </c>
      <c r="B89" s="65" t="s">
        <v>184</v>
      </c>
      <c r="C89" s="66">
        <v>34.58</v>
      </c>
      <c r="D89" s="100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</row>
    <row r="90" spans="1:17" ht="15.75">
      <c r="A90" s="278">
        <f t="shared" si="3"/>
        <v>85</v>
      </c>
      <c r="B90" s="65" t="s">
        <v>185</v>
      </c>
      <c r="C90" s="66">
        <v>36.35</v>
      </c>
      <c r="D90" s="100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</row>
    <row r="91" spans="1:17" ht="15.75">
      <c r="A91" s="278">
        <f t="shared" si="3"/>
        <v>86</v>
      </c>
      <c r="B91" s="65" t="s">
        <v>186</v>
      </c>
      <c r="C91" s="66">
        <v>36.24</v>
      </c>
      <c r="D91" s="100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</row>
    <row r="92" spans="1:17" ht="15.75">
      <c r="A92" s="278">
        <f t="shared" si="3"/>
        <v>87</v>
      </c>
      <c r="B92" s="65" t="s">
        <v>187</v>
      </c>
      <c r="C92" s="66">
        <v>36.36</v>
      </c>
      <c r="D92" s="100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spans="1:17" ht="15.75">
      <c r="A93" s="278">
        <f t="shared" si="3"/>
        <v>88</v>
      </c>
      <c r="B93" s="65" t="s">
        <v>188</v>
      </c>
      <c r="C93" s="66">
        <v>36.869999999999997</v>
      </c>
      <c r="D93" s="100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</row>
    <row r="94" spans="1:17" ht="15.75">
      <c r="A94" s="278">
        <f t="shared" si="3"/>
        <v>89</v>
      </c>
      <c r="B94" s="65" t="s">
        <v>189</v>
      </c>
      <c r="C94" s="66">
        <v>34.78</v>
      </c>
      <c r="D94" s="100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</row>
    <row r="95" spans="1:17" ht="15.75">
      <c r="A95" s="278">
        <f t="shared" si="3"/>
        <v>90</v>
      </c>
      <c r="B95" s="65" t="s">
        <v>190</v>
      </c>
      <c r="C95" s="66">
        <v>36.130000000000003</v>
      </c>
      <c r="D95" s="100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</row>
    <row r="96" spans="1:17" ht="15.75">
      <c r="A96" s="278">
        <f t="shared" si="3"/>
        <v>91</v>
      </c>
      <c r="B96" s="65" t="s">
        <v>191</v>
      </c>
      <c r="C96" s="66">
        <v>36.64</v>
      </c>
      <c r="D96" s="100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</row>
    <row r="97" spans="1:17" ht="15.75">
      <c r="A97" s="278">
        <f t="shared" si="3"/>
        <v>92</v>
      </c>
      <c r="B97" s="65" t="s">
        <v>192</v>
      </c>
      <c r="C97" s="66">
        <v>36.21</v>
      </c>
      <c r="D97" s="100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</row>
    <row r="98" spans="1:17" ht="15.75">
      <c r="A98" s="278">
        <f t="shared" si="3"/>
        <v>93</v>
      </c>
      <c r="B98" s="65" t="s">
        <v>193</v>
      </c>
      <c r="C98" s="66">
        <v>36.5</v>
      </c>
      <c r="D98" s="100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</row>
    <row r="99" spans="1:17" ht="15.75">
      <c r="A99" s="278">
        <f t="shared" si="3"/>
        <v>94</v>
      </c>
      <c r="B99" s="65" t="s">
        <v>194</v>
      </c>
      <c r="C99" s="66">
        <v>36.64</v>
      </c>
      <c r="D99" s="100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</row>
    <row r="100" spans="1:17" ht="15.75">
      <c r="A100" s="278">
        <f t="shared" si="3"/>
        <v>95</v>
      </c>
      <c r="B100" s="65" t="s">
        <v>195</v>
      </c>
      <c r="C100" s="66">
        <v>36.47</v>
      </c>
      <c r="D100" s="100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spans="1:17" ht="15.75">
      <c r="A101" s="278">
        <f t="shared" si="3"/>
        <v>96</v>
      </c>
      <c r="B101" s="65" t="s">
        <v>196</v>
      </c>
      <c r="C101" s="66">
        <v>36.47</v>
      </c>
      <c r="D101" s="100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</row>
    <row r="102" spans="1:17" ht="15.75">
      <c r="A102" s="278">
        <f t="shared" si="3"/>
        <v>97</v>
      </c>
      <c r="B102" s="65" t="s">
        <v>197</v>
      </c>
      <c r="C102" s="66">
        <v>36.590000000000003</v>
      </c>
      <c r="D102" s="100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spans="1:17" ht="15.75">
      <c r="A103" s="278">
        <f t="shared" si="3"/>
        <v>98</v>
      </c>
      <c r="B103" s="65" t="s">
        <v>198</v>
      </c>
      <c r="C103" s="66">
        <v>36.58</v>
      </c>
      <c r="D103" s="100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</row>
    <row r="104" spans="1:17" ht="15.75">
      <c r="A104" s="278">
        <f t="shared" si="3"/>
        <v>99</v>
      </c>
      <c r="B104" s="65" t="s">
        <v>199</v>
      </c>
      <c r="C104" s="66">
        <v>36.479999999999997</v>
      </c>
      <c r="D104" s="100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</row>
    <row r="105" spans="1:17" ht="15.75">
      <c r="A105" s="278">
        <f t="shared" si="3"/>
        <v>100</v>
      </c>
      <c r="B105" s="65" t="s">
        <v>200</v>
      </c>
      <c r="C105" s="66">
        <v>36.86</v>
      </c>
      <c r="D105" s="100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</row>
    <row r="106" spans="1:17" ht="15.75">
      <c r="A106" s="278">
        <f t="shared" si="3"/>
        <v>101</v>
      </c>
      <c r="B106" s="65" t="s">
        <v>201</v>
      </c>
      <c r="C106" s="66">
        <v>36.53</v>
      </c>
      <c r="D106" s="100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spans="1:17" ht="15.75">
      <c r="A107" s="278">
        <f t="shared" si="3"/>
        <v>102</v>
      </c>
      <c r="B107" s="65" t="s">
        <v>202</v>
      </c>
      <c r="C107" s="66">
        <v>36.5</v>
      </c>
      <c r="D107" s="100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</row>
    <row r="108" spans="1:17" ht="15.75">
      <c r="A108" s="278">
        <f t="shared" si="3"/>
        <v>103</v>
      </c>
      <c r="B108" s="65" t="s">
        <v>203</v>
      </c>
      <c r="C108" s="66">
        <v>36.89</v>
      </c>
      <c r="D108" s="100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</row>
    <row r="109" spans="1:17" ht="15.75">
      <c r="A109" s="278">
        <f t="shared" si="3"/>
        <v>104</v>
      </c>
      <c r="B109" s="65" t="s">
        <v>204</v>
      </c>
      <c r="C109" s="66">
        <v>36.46</v>
      </c>
      <c r="D109" s="100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</row>
    <row r="110" spans="1:17" ht="15.75">
      <c r="A110" s="278">
        <f t="shared" si="3"/>
        <v>105</v>
      </c>
      <c r="B110" s="65" t="s">
        <v>205</v>
      </c>
      <c r="C110" s="66">
        <v>35.89</v>
      </c>
      <c r="D110" s="100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</row>
    <row r="111" spans="1:17" ht="15.75">
      <c r="A111" s="278">
        <f t="shared" si="3"/>
        <v>106</v>
      </c>
      <c r="B111" s="65" t="s">
        <v>206</v>
      </c>
      <c r="C111" s="66">
        <v>36.99</v>
      </c>
      <c r="D111" s="100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</row>
    <row r="112" spans="1:17" ht="15.75">
      <c r="A112" s="278">
        <f t="shared" si="3"/>
        <v>107</v>
      </c>
      <c r="B112" s="65" t="s">
        <v>207</v>
      </c>
      <c r="C112" s="66">
        <v>34.57</v>
      </c>
      <c r="D112" s="100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</row>
    <row r="113" spans="1:17" ht="15.75">
      <c r="A113" s="278">
        <f t="shared" si="3"/>
        <v>108</v>
      </c>
      <c r="B113" s="65" t="s">
        <v>208</v>
      </c>
      <c r="C113" s="66">
        <v>36.72</v>
      </c>
      <c r="D113" s="100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</row>
    <row r="114" spans="1:17" ht="15.75">
      <c r="A114" s="278">
        <f t="shared" si="3"/>
        <v>109</v>
      </c>
      <c r="B114" s="65" t="s">
        <v>209</v>
      </c>
      <c r="C114" s="66">
        <v>36.49</v>
      </c>
      <c r="D114" s="100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</row>
    <row r="115" spans="1:17" ht="15.75">
      <c r="A115" s="278">
        <f t="shared" si="3"/>
        <v>110</v>
      </c>
      <c r="B115" s="65" t="s">
        <v>210</v>
      </c>
      <c r="C115" s="66">
        <v>35.72</v>
      </c>
      <c r="D115" s="100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</row>
    <row r="116" spans="1:17" ht="15.75">
      <c r="A116" s="278">
        <f t="shared" si="3"/>
        <v>111</v>
      </c>
      <c r="B116" s="65" t="s">
        <v>211</v>
      </c>
      <c r="C116" s="66">
        <v>35.65</v>
      </c>
      <c r="D116" s="100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</row>
    <row r="117" spans="1:17" ht="15.75">
      <c r="A117" s="278">
        <f t="shared" si="3"/>
        <v>112</v>
      </c>
      <c r="B117" s="65" t="s">
        <v>212</v>
      </c>
      <c r="C117" s="66">
        <v>36.69</v>
      </c>
      <c r="D117" s="100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</row>
    <row r="118" spans="1:17" ht="15.75">
      <c r="A118" s="278">
        <f t="shared" si="3"/>
        <v>113</v>
      </c>
      <c r="B118" s="65" t="s">
        <v>213</v>
      </c>
      <c r="C118" s="66">
        <v>36.450000000000003</v>
      </c>
      <c r="D118" s="100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spans="1:17" ht="15.75">
      <c r="A119" s="278">
        <f t="shared" si="3"/>
        <v>114</v>
      </c>
      <c r="B119" s="65" t="s">
        <v>214</v>
      </c>
      <c r="C119" s="66">
        <v>36.57</v>
      </c>
      <c r="D119" s="100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spans="1:17" ht="15.75">
      <c r="A120" s="278">
        <f t="shared" si="3"/>
        <v>115</v>
      </c>
      <c r="B120" s="65" t="s">
        <v>215</v>
      </c>
      <c r="C120" s="66">
        <v>36.880000000000003</v>
      </c>
      <c r="D120" s="100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</row>
    <row r="121" spans="1:17" ht="15.75">
      <c r="A121" s="278">
        <f t="shared" si="3"/>
        <v>116</v>
      </c>
      <c r="B121" s="65" t="s">
        <v>216</v>
      </c>
      <c r="C121" s="66">
        <v>36.71</v>
      </c>
      <c r="D121" s="100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</row>
    <row r="122" spans="1:17" ht="15.75">
      <c r="A122" s="278">
        <f t="shared" si="3"/>
        <v>117</v>
      </c>
      <c r="B122" s="65" t="s">
        <v>217</v>
      </c>
      <c r="C122" s="66">
        <v>36.590000000000003</v>
      </c>
      <c r="D122" s="100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</row>
    <row r="123" spans="1:17" ht="15.75">
      <c r="A123" s="278">
        <f t="shared" si="3"/>
        <v>118</v>
      </c>
      <c r="B123" s="65" t="s">
        <v>218</v>
      </c>
      <c r="C123" s="66">
        <v>35.950000000000003</v>
      </c>
      <c r="D123" s="100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</row>
    <row r="124" spans="1:17" ht="15.75">
      <c r="A124" s="278">
        <f t="shared" si="3"/>
        <v>119</v>
      </c>
      <c r="B124" s="65" t="s">
        <v>219</v>
      </c>
      <c r="C124" s="66">
        <v>36.28</v>
      </c>
      <c r="D124" s="100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spans="1:17" ht="15.75">
      <c r="A125" s="278">
        <f t="shared" si="3"/>
        <v>120</v>
      </c>
      <c r="B125" s="65" t="s">
        <v>220</v>
      </c>
      <c r="C125" s="66">
        <v>36.450000000000003</v>
      </c>
      <c r="D125" s="100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</row>
    <row r="126" spans="1:17" ht="15.75">
      <c r="A126" s="278">
        <f t="shared" si="3"/>
        <v>121</v>
      </c>
      <c r="B126" s="65" t="s">
        <v>221</v>
      </c>
      <c r="C126" s="66">
        <v>36.46</v>
      </c>
      <c r="D126" s="100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</row>
    <row r="127" spans="1:17" ht="15.75">
      <c r="A127" s="278">
        <f t="shared" si="3"/>
        <v>122</v>
      </c>
      <c r="B127" s="65" t="s">
        <v>222</v>
      </c>
      <c r="C127" s="66">
        <v>36.28</v>
      </c>
      <c r="D127" s="100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</row>
    <row r="128" spans="1:17" ht="15.75">
      <c r="A128" s="278">
        <f t="shared" si="3"/>
        <v>123</v>
      </c>
      <c r="B128" s="65" t="s">
        <v>223</v>
      </c>
      <c r="C128" s="66">
        <v>36.659999999999997</v>
      </c>
      <c r="D128" s="100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</row>
    <row r="129" spans="1:17" ht="15.75">
      <c r="A129" s="278">
        <f t="shared" si="3"/>
        <v>124</v>
      </c>
      <c r="B129" s="65" t="s">
        <v>224</v>
      </c>
      <c r="C129" s="66">
        <v>36.06</v>
      </c>
      <c r="D129" s="100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</row>
    <row r="130" spans="1:17" ht="15.75">
      <c r="A130" s="278">
        <f t="shared" si="3"/>
        <v>125</v>
      </c>
      <c r="B130" s="65" t="s">
        <v>225</v>
      </c>
      <c r="C130" s="66">
        <v>36.130000000000003</v>
      </c>
      <c r="D130" s="100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spans="1:17" ht="15.75">
      <c r="A131" s="278">
        <f t="shared" si="3"/>
        <v>126</v>
      </c>
      <c r="B131" s="65" t="s">
        <v>226</v>
      </c>
      <c r="C131" s="66">
        <v>35.75</v>
      </c>
      <c r="D131" s="100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</row>
    <row r="132" spans="1:17" ht="15.75">
      <c r="A132" s="278">
        <f t="shared" si="3"/>
        <v>127</v>
      </c>
      <c r="B132" s="65" t="s">
        <v>227</v>
      </c>
      <c r="C132" s="66">
        <v>36.840000000000003</v>
      </c>
      <c r="D132" s="100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</row>
    <row r="133" spans="1:17" ht="15.75">
      <c r="A133" s="278">
        <f t="shared" si="3"/>
        <v>128</v>
      </c>
      <c r="B133" s="65" t="s">
        <v>228</v>
      </c>
      <c r="C133" s="66">
        <v>36.9</v>
      </c>
      <c r="D133" s="100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</row>
    <row r="134" spans="1:17" ht="15.75">
      <c r="A134" s="278">
        <f t="shared" si="3"/>
        <v>129</v>
      </c>
      <c r="B134" s="65" t="s">
        <v>229</v>
      </c>
      <c r="C134" s="66">
        <v>36.840000000000003</v>
      </c>
      <c r="D134" s="100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</row>
    <row r="135" spans="1:17" ht="15.75">
      <c r="A135" s="278">
        <f t="shared" si="3"/>
        <v>130</v>
      </c>
      <c r="B135" s="65" t="s">
        <v>230</v>
      </c>
      <c r="C135" s="66">
        <v>36.74</v>
      </c>
      <c r="D135" s="100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</row>
    <row r="136" spans="1:17" ht="15.75">
      <c r="A136" s="278">
        <f t="shared" ref="A136:A199" si="5">A135+1</f>
        <v>131</v>
      </c>
      <c r="B136" s="65" t="s">
        <v>231</v>
      </c>
      <c r="C136" s="66">
        <v>35.1</v>
      </c>
      <c r="D136" s="100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</row>
    <row r="137" spans="1:17" ht="15.75">
      <c r="A137" s="278">
        <f t="shared" si="5"/>
        <v>132</v>
      </c>
      <c r="B137" s="65" t="s">
        <v>232</v>
      </c>
      <c r="C137" s="66">
        <v>36.880000000000003</v>
      </c>
      <c r="D137" s="100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</row>
    <row r="138" spans="1:17" ht="15.75">
      <c r="A138" s="278">
        <f t="shared" si="5"/>
        <v>133</v>
      </c>
      <c r="B138" s="65" t="s">
        <v>233</v>
      </c>
      <c r="C138" s="66">
        <v>37.29</v>
      </c>
      <c r="D138" s="100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</row>
    <row r="139" spans="1:17" ht="15.75">
      <c r="A139" s="278">
        <f t="shared" si="5"/>
        <v>134</v>
      </c>
      <c r="B139" s="65" t="s">
        <v>234</v>
      </c>
      <c r="C139" s="66">
        <v>36.979999999999997</v>
      </c>
      <c r="D139" s="100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</row>
    <row r="140" spans="1:17" ht="15.75">
      <c r="A140" s="278">
        <f t="shared" si="5"/>
        <v>135</v>
      </c>
      <c r="B140" s="65" t="s">
        <v>235</v>
      </c>
      <c r="C140" s="66">
        <v>35.130000000000003</v>
      </c>
      <c r="D140" s="100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</row>
    <row r="141" spans="1:17" ht="15.75">
      <c r="A141" s="278">
        <f t="shared" si="5"/>
        <v>136</v>
      </c>
      <c r="B141" s="65" t="s">
        <v>236</v>
      </c>
      <c r="C141" s="66">
        <v>36.14</v>
      </c>
      <c r="D141" s="100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</row>
    <row r="142" spans="1:17" ht="15.75">
      <c r="A142" s="278">
        <f t="shared" si="5"/>
        <v>137</v>
      </c>
      <c r="B142" s="65" t="s">
        <v>237</v>
      </c>
      <c r="C142" s="66">
        <v>37.79</v>
      </c>
      <c r="D142" s="100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</row>
    <row r="143" spans="1:17" ht="15.75">
      <c r="A143" s="278">
        <f t="shared" si="5"/>
        <v>138</v>
      </c>
      <c r="B143" s="65" t="s">
        <v>238</v>
      </c>
      <c r="C143" s="66">
        <v>36.270000000000003</v>
      </c>
      <c r="D143" s="100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</row>
    <row r="144" spans="1:17" ht="15.75">
      <c r="A144" s="278">
        <f t="shared" si="5"/>
        <v>139</v>
      </c>
      <c r="B144" s="65" t="s">
        <v>239</v>
      </c>
      <c r="C144" s="66">
        <v>36.17</v>
      </c>
      <c r="D144" s="100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</row>
    <row r="145" spans="1:17" ht="15.75">
      <c r="A145" s="278">
        <f t="shared" si="5"/>
        <v>140</v>
      </c>
      <c r="B145" s="65" t="s">
        <v>240</v>
      </c>
      <c r="C145" s="66">
        <v>35.54</v>
      </c>
      <c r="D145" s="100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</row>
    <row r="146" spans="1:17" ht="15.75">
      <c r="A146" s="278">
        <f t="shared" si="5"/>
        <v>141</v>
      </c>
      <c r="B146" s="65" t="s">
        <v>241</v>
      </c>
      <c r="C146" s="66">
        <v>36.24</v>
      </c>
      <c r="D146" s="100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</row>
    <row r="147" spans="1:17" ht="15.75">
      <c r="A147" s="278">
        <f t="shared" si="5"/>
        <v>142</v>
      </c>
      <c r="B147" s="65" t="s">
        <v>242</v>
      </c>
      <c r="C147" s="66">
        <v>35.29</v>
      </c>
      <c r="D147" s="100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</row>
    <row r="148" spans="1:17" ht="15.75">
      <c r="A148" s="278">
        <f t="shared" si="5"/>
        <v>143</v>
      </c>
      <c r="B148" s="65" t="s">
        <v>243</v>
      </c>
      <c r="C148" s="66">
        <v>36.35</v>
      </c>
      <c r="D148" s="100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</row>
    <row r="149" spans="1:17" ht="15.75">
      <c r="A149" s="278">
        <f t="shared" si="5"/>
        <v>144</v>
      </c>
      <c r="B149" s="65" t="s">
        <v>244</v>
      </c>
      <c r="C149" s="66">
        <v>36.21</v>
      </c>
      <c r="D149" s="100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</row>
    <row r="150" spans="1:17" ht="15.75">
      <c r="A150" s="278">
        <f t="shared" si="5"/>
        <v>145</v>
      </c>
      <c r="B150" s="65" t="s">
        <v>245</v>
      </c>
      <c r="C150" s="66">
        <v>37.46</v>
      </c>
      <c r="D150" s="100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</row>
    <row r="151" spans="1:17" ht="15.75">
      <c r="A151" s="278">
        <f t="shared" si="5"/>
        <v>146</v>
      </c>
      <c r="B151" s="65" t="s">
        <v>246</v>
      </c>
      <c r="C151" s="66">
        <v>36.75</v>
      </c>
      <c r="D151" s="100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</row>
    <row r="152" spans="1:17" ht="15.75">
      <c r="A152" s="278">
        <f t="shared" si="5"/>
        <v>147</v>
      </c>
      <c r="B152" s="65" t="s">
        <v>247</v>
      </c>
      <c r="C152" s="66">
        <v>37.22</v>
      </c>
      <c r="D152" s="100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</row>
    <row r="153" spans="1:17" ht="15.75">
      <c r="A153" s="278">
        <f t="shared" si="5"/>
        <v>148</v>
      </c>
      <c r="B153" s="65" t="s">
        <v>248</v>
      </c>
      <c r="C153" s="66">
        <v>36.76</v>
      </c>
      <c r="D153" s="100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</row>
    <row r="154" spans="1:17" ht="15.75">
      <c r="A154" s="278">
        <f t="shared" si="5"/>
        <v>149</v>
      </c>
      <c r="B154" s="65" t="s">
        <v>249</v>
      </c>
      <c r="C154" s="66">
        <v>37.22</v>
      </c>
      <c r="D154" s="100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</row>
    <row r="155" spans="1:17" ht="15.75">
      <c r="A155" s="278">
        <f t="shared" si="5"/>
        <v>150</v>
      </c>
      <c r="B155" s="65" t="s">
        <v>250</v>
      </c>
      <c r="C155" s="66">
        <v>35.58</v>
      </c>
      <c r="D155" s="100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</row>
    <row r="156" spans="1:17" ht="15.75">
      <c r="A156" s="278">
        <f t="shared" si="5"/>
        <v>151</v>
      </c>
      <c r="B156" s="65" t="s">
        <v>251</v>
      </c>
      <c r="C156" s="66">
        <v>36.979999999999997</v>
      </c>
      <c r="D156" s="100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</row>
    <row r="157" spans="1:17" ht="15.75">
      <c r="A157" s="278">
        <f t="shared" si="5"/>
        <v>152</v>
      </c>
      <c r="B157" s="65" t="s">
        <v>252</v>
      </c>
      <c r="C157" s="66">
        <v>36.97</v>
      </c>
      <c r="D157" s="100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</row>
    <row r="158" spans="1:17" ht="15.75">
      <c r="A158" s="278">
        <f t="shared" si="5"/>
        <v>153</v>
      </c>
      <c r="B158" s="65" t="s">
        <v>253</v>
      </c>
      <c r="C158" s="66">
        <v>37.03</v>
      </c>
      <c r="D158" s="100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</row>
    <row r="159" spans="1:17" ht="15.75">
      <c r="A159" s="278">
        <f t="shared" si="5"/>
        <v>154</v>
      </c>
      <c r="B159" s="86" t="s">
        <v>254</v>
      </c>
      <c r="C159" s="87">
        <v>36.130000000000003</v>
      </c>
      <c r="D159" s="100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</row>
    <row r="160" spans="1:17" ht="15.75">
      <c r="A160" s="278">
        <f t="shared" si="5"/>
        <v>155</v>
      </c>
      <c r="B160" s="86" t="s">
        <v>255</v>
      </c>
      <c r="C160" s="87">
        <v>37.32</v>
      </c>
      <c r="D160" s="100"/>
      <c r="E160" s="81"/>
      <c r="F160" s="81"/>
      <c r="G160" s="81"/>
      <c r="H160" s="81"/>
      <c r="I160" s="81"/>
      <c r="J160" s="61"/>
      <c r="K160" s="61"/>
      <c r="L160" s="61"/>
      <c r="M160" s="61"/>
      <c r="N160" s="61"/>
      <c r="O160" s="61"/>
      <c r="P160" s="61"/>
      <c r="Q160" s="61"/>
    </row>
    <row r="161" spans="1:17" ht="15.75">
      <c r="A161" s="278">
        <f t="shared" si="5"/>
        <v>156</v>
      </c>
      <c r="B161" s="86" t="s">
        <v>256</v>
      </c>
      <c r="C161" s="87">
        <v>37.29</v>
      </c>
      <c r="D161" s="100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</row>
    <row r="162" spans="1:17" ht="15.75">
      <c r="A162" s="278">
        <f t="shared" si="5"/>
        <v>157</v>
      </c>
      <c r="B162" s="86" t="s">
        <v>257</v>
      </c>
      <c r="C162" s="87">
        <v>37.270000000000003</v>
      </c>
      <c r="D162" s="100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</row>
    <row r="163" spans="1:17" ht="15.75">
      <c r="A163" s="278">
        <f t="shared" si="5"/>
        <v>158</v>
      </c>
      <c r="B163" s="86" t="s">
        <v>258</v>
      </c>
      <c r="C163" s="87">
        <v>37.119999999999997</v>
      </c>
      <c r="D163" s="100"/>
      <c r="E163" s="82"/>
      <c r="F163" s="82"/>
      <c r="G163" s="82"/>
      <c r="H163" s="82"/>
      <c r="I163" s="82"/>
      <c r="J163" s="61"/>
      <c r="K163" s="61"/>
      <c r="L163" s="61"/>
      <c r="M163" s="61"/>
      <c r="N163" s="61"/>
      <c r="O163" s="61"/>
      <c r="P163" s="61"/>
      <c r="Q163" s="61"/>
    </row>
    <row r="164" spans="1:17" ht="15.75">
      <c r="A164" s="278">
        <f t="shared" si="5"/>
        <v>159</v>
      </c>
      <c r="B164" s="86" t="s">
        <v>259</v>
      </c>
      <c r="C164" s="87">
        <v>36.69</v>
      </c>
      <c r="D164" s="100"/>
      <c r="E164" s="82"/>
      <c r="F164" s="82"/>
      <c r="G164" s="82"/>
      <c r="H164" s="82"/>
      <c r="I164" s="82"/>
      <c r="J164" s="61"/>
      <c r="K164" s="61"/>
      <c r="L164" s="61"/>
      <c r="M164" s="61"/>
      <c r="N164" s="61"/>
      <c r="O164" s="61"/>
      <c r="P164" s="61"/>
      <c r="Q164" s="61"/>
    </row>
    <row r="165" spans="1:17" ht="15.75">
      <c r="A165" s="278">
        <f t="shared" si="5"/>
        <v>160</v>
      </c>
      <c r="B165" s="86" t="s">
        <v>260</v>
      </c>
      <c r="C165" s="87">
        <v>36.49</v>
      </c>
      <c r="D165" s="100"/>
      <c r="E165" s="82"/>
      <c r="F165" s="82"/>
      <c r="G165" s="82"/>
      <c r="H165" s="82"/>
      <c r="I165" s="82"/>
      <c r="J165" s="61"/>
      <c r="K165" s="61"/>
      <c r="L165" s="61"/>
      <c r="M165" s="61"/>
      <c r="N165" s="61"/>
      <c r="O165" s="61"/>
      <c r="P165" s="61"/>
      <c r="Q165" s="61"/>
    </row>
    <row r="166" spans="1:17" ht="15.75">
      <c r="A166" s="278">
        <f t="shared" si="5"/>
        <v>161</v>
      </c>
      <c r="B166" s="86" t="s">
        <v>261</v>
      </c>
      <c r="C166" s="87">
        <v>36.6</v>
      </c>
      <c r="D166" s="100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</row>
    <row r="167" spans="1:17" ht="15.75">
      <c r="A167" s="278">
        <f t="shared" si="5"/>
        <v>162</v>
      </c>
      <c r="B167" s="86" t="s">
        <v>262</v>
      </c>
      <c r="C167" s="87">
        <v>36.42</v>
      </c>
      <c r="D167" s="100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</row>
    <row r="168" spans="1:17" ht="15.75">
      <c r="A168" s="278">
        <f t="shared" si="5"/>
        <v>163</v>
      </c>
      <c r="B168" s="86" t="s">
        <v>263</v>
      </c>
      <c r="C168" s="87">
        <v>36.630000000000003</v>
      </c>
      <c r="D168" s="100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</row>
    <row r="169" spans="1:17" ht="15.75">
      <c r="A169" s="278">
        <f t="shared" si="5"/>
        <v>164</v>
      </c>
      <c r="B169" s="86" t="s">
        <v>264</v>
      </c>
      <c r="C169" s="87">
        <v>36.61</v>
      </c>
      <c r="D169" s="100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</row>
    <row r="170" spans="1:17" ht="15.75">
      <c r="A170" s="278">
        <f t="shared" si="5"/>
        <v>165</v>
      </c>
      <c r="B170" s="86" t="s">
        <v>265</v>
      </c>
      <c r="C170" s="87">
        <v>36.51</v>
      </c>
      <c r="D170" s="100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</row>
    <row r="171" spans="1:17" ht="15.75">
      <c r="A171" s="278">
        <f t="shared" si="5"/>
        <v>166</v>
      </c>
      <c r="B171" s="86" t="s">
        <v>266</v>
      </c>
      <c r="C171" s="87">
        <v>36.9</v>
      </c>
      <c r="D171" s="100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</row>
    <row r="172" spans="1:17" ht="15.75">
      <c r="A172" s="278">
        <f t="shared" si="5"/>
        <v>167</v>
      </c>
      <c r="B172" s="86" t="s">
        <v>267</v>
      </c>
      <c r="C172" s="87">
        <v>36.79</v>
      </c>
      <c r="D172" s="100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</row>
    <row r="173" spans="1:17" ht="15.75">
      <c r="A173" s="278">
        <f t="shared" si="5"/>
        <v>168</v>
      </c>
      <c r="B173" s="86" t="s">
        <v>268</v>
      </c>
      <c r="C173" s="87">
        <v>36.700000000000003</v>
      </c>
      <c r="D173" s="100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</row>
    <row r="174" spans="1:17" ht="15.75">
      <c r="A174" s="278">
        <f t="shared" si="5"/>
        <v>169</v>
      </c>
      <c r="B174" s="86" t="s">
        <v>269</v>
      </c>
      <c r="C174" s="87">
        <v>37.299999999999997</v>
      </c>
      <c r="D174" s="100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</row>
    <row r="175" spans="1:17" ht="15.75">
      <c r="A175" s="278">
        <f t="shared" si="5"/>
        <v>170</v>
      </c>
      <c r="B175" s="86" t="s">
        <v>270</v>
      </c>
      <c r="C175" s="87">
        <v>35.450000000000003</v>
      </c>
      <c r="D175" s="100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</row>
    <row r="176" spans="1:17" ht="15.75">
      <c r="A176" s="278">
        <f t="shared" si="5"/>
        <v>171</v>
      </c>
      <c r="B176" s="86" t="s">
        <v>271</v>
      </c>
      <c r="C176" s="87">
        <v>36.75</v>
      </c>
      <c r="D176" s="100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</row>
    <row r="177" spans="1:17" ht="15.75">
      <c r="A177" s="278">
        <f t="shared" si="5"/>
        <v>172</v>
      </c>
      <c r="B177" s="86" t="s">
        <v>272</v>
      </c>
      <c r="C177" s="87">
        <v>37.590000000000003</v>
      </c>
      <c r="D177" s="100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</row>
    <row r="178" spans="1:17" ht="15.75">
      <c r="A178" s="278">
        <f t="shared" si="5"/>
        <v>173</v>
      </c>
      <c r="B178" s="86" t="s">
        <v>273</v>
      </c>
      <c r="C178" s="87">
        <v>37.35</v>
      </c>
      <c r="D178" s="100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</row>
    <row r="179" spans="1:17" ht="15.75">
      <c r="A179" s="278">
        <f t="shared" si="5"/>
        <v>174</v>
      </c>
      <c r="B179" s="86" t="s">
        <v>274</v>
      </c>
      <c r="C179" s="87">
        <v>35.770000000000003</v>
      </c>
      <c r="D179" s="100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</row>
    <row r="180" spans="1:17" ht="15.75">
      <c r="A180" s="278">
        <f t="shared" si="5"/>
        <v>175</v>
      </c>
      <c r="B180" s="86" t="s">
        <v>275</v>
      </c>
      <c r="C180" s="87">
        <v>36.9</v>
      </c>
      <c r="D180" s="100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</row>
    <row r="181" spans="1:17" ht="15.75">
      <c r="A181" s="278">
        <f t="shared" si="5"/>
        <v>176</v>
      </c>
      <c r="B181" s="86" t="s">
        <v>276</v>
      </c>
      <c r="C181" s="87">
        <v>34.619999999999997</v>
      </c>
      <c r="D181" s="100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</row>
    <row r="182" spans="1:17" ht="15.75">
      <c r="A182" s="278">
        <f t="shared" si="5"/>
        <v>177</v>
      </c>
      <c r="B182" s="86" t="s">
        <v>277</v>
      </c>
      <c r="C182" s="87">
        <v>37.32</v>
      </c>
      <c r="D182" s="100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</row>
    <row r="183" spans="1:17" ht="15.75">
      <c r="A183" s="278">
        <f t="shared" si="5"/>
        <v>178</v>
      </c>
      <c r="B183" s="86" t="s">
        <v>278</v>
      </c>
      <c r="C183" s="87">
        <v>36.74</v>
      </c>
      <c r="D183" s="100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</row>
    <row r="184" spans="1:17" ht="15.75">
      <c r="A184" s="278">
        <f t="shared" si="5"/>
        <v>179</v>
      </c>
      <c r="B184" s="86" t="s">
        <v>279</v>
      </c>
      <c r="C184" s="87">
        <v>36.83</v>
      </c>
      <c r="D184" s="100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</row>
    <row r="185" spans="1:17" ht="15.75">
      <c r="A185" s="278">
        <f t="shared" si="5"/>
        <v>180</v>
      </c>
      <c r="B185" s="86" t="s">
        <v>280</v>
      </c>
      <c r="C185" s="87">
        <v>36.799999999999997</v>
      </c>
      <c r="D185" s="100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</row>
    <row r="186" spans="1:17" ht="15.75">
      <c r="A186" s="278">
        <f t="shared" si="5"/>
        <v>181</v>
      </c>
      <c r="B186" s="86" t="s">
        <v>281</v>
      </c>
      <c r="C186" s="66">
        <v>36.630000000000003</v>
      </c>
      <c r="D186" s="100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</row>
    <row r="187" spans="1:17" ht="15.75">
      <c r="A187" s="278">
        <f t="shared" si="5"/>
        <v>182</v>
      </c>
      <c r="B187" s="86" t="s">
        <v>282</v>
      </c>
      <c r="C187" s="66">
        <v>36.369999999999997</v>
      </c>
      <c r="D187" s="100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</row>
    <row r="188" spans="1:17" ht="15.75">
      <c r="A188" s="278">
        <f t="shared" si="5"/>
        <v>183</v>
      </c>
      <c r="B188" s="86" t="s">
        <v>283</v>
      </c>
      <c r="C188" s="66">
        <v>37.08</v>
      </c>
      <c r="D188" s="100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</row>
    <row r="189" spans="1:17" ht="15.75">
      <c r="A189" s="278">
        <f t="shared" si="5"/>
        <v>184</v>
      </c>
      <c r="B189" s="86" t="s">
        <v>284</v>
      </c>
      <c r="C189" s="66">
        <v>36.26</v>
      </c>
      <c r="D189" s="100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</row>
    <row r="190" spans="1:17" ht="15.75">
      <c r="A190" s="278">
        <f t="shared" si="5"/>
        <v>185</v>
      </c>
      <c r="B190" s="86" t="s">
        <v>285</v>
      </c>
      <c r="C190" s="66">
        <v>36.46</v>
      </c>
      <c r="D190" s="100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</row>
    <row r="191" spans="1:17" ht="15.75">
      <c r="A191" s="278">
        <f t="shared" si="5"/>
        <v>186</v>
      </c>
      <c r="B191" s="86" t="s">
        <v>286</v>
      </c>
      <c r="C191" s="66">
        <v>36.700000000000003</v>
      </c>
      <c r="D191" s="100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</row>
    <row r="192" spans="1:17" ht="15.75">
      <c r="A192" s="278">
        <f t="shared" si="5"/>
        <v>187</v>
      </c>
      <c r="B192" s="86" t="s">
        <v>287</v>
      </c>
      <c r="C192" s="66">
        <v>36.29</v>
      </c>
      <c r="D192" s="100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</row>
    <row r="193" spans="1:17" ht="15.75">
      <c r="A193" s="278">
        <f t="shared" si="5"/>
        <v>188</v>
      </c>
      <c r="B193" s="86" t="s">
        <v>288</v>
      </c>
      <c r="C193" s="66">
        <v>36.4</v>
      </c>
      <c r="D193" s="100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</row>
    <row r="194" spans="1:17" ht="15.75">
      <c r="A194" s="278">
        <f t="shared" si="5"/>
        <v>189</v>
      </c>
      <c r="B194" s="86" t="s">
        <v>289</v>
      </c>
      <c r="C194" s="66">
        <v>36.22</v>
      </c>
      <c r="D194" s="100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</row>
    <row r="195" spans="1:17" ht="15.75">
      <c r="A195" s="278">
        <f t="shared" si="5"/>
        <v>190</v>
      </c>
      <c r="B195" s="86" t="s">
        <v>290</v>
      </c>
      <c r="C195" s="66">
        <v>36.659999999999997</v>
      </c>
      <c r="D195" s="100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</row>
    <row r="196" spans="1:17" ht="15.75">
      <c r="A196" s="278">
        <f t="shared" si="5"/>
        <v>191</v>
      </c>
      <c r="B196" s="86" t="s">
        <v>291</v>
      </c>
      <c r="C196" s="66">
        <v>36.99</v>
      </c>
      <c r="D196" s="100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</row>
    <row r="197" spans="1:17" ht="15.75">
      <c r="A197" s="278">
        <f t="shared" si="5"/>
        <v>192</v>
      </c>
      <c r="B197" s="86" t="s">
        <v>292</v>
      </c>
      <c r="C197" s="66">
        <v>36.26</v>
      </c>
      <c r="D197" s="100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</row>
    <row r="198" spans="1:17" ht="15.75">
      <c r="A198" s="278">
        <f t="shared" si="5"/>
        <v>193</v>
      </c>
      <c r="B198" s="86" t="s">
        <v>293</v>
      </c>
      <c r="C198" s="66">
        <v>36.96</v>
      </c>
      <c r="D198" s="100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</row>
    <row r="199" spans="1:17" ht="15.75">
      <c r="A199" s="278">
        <f t="shared" si="5"/>
        <v>194</v>
      </c>
      <c r="B199" s="86" t="s">
        <v>294</v>
      </c>
      <c r="C199" s="66">
        <v>36.69</v>
      </c>
      <c r="D199" s="100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</row>
    <row r="200" spans="1:17" ht="15.75">
      <c r="A200" s="278">
        <f t="shared" ref="A200:A254" si="6">A199+1</f>
        <v>195</v>
      </c>
      <c r="B200" s="86" t="s">
        <v>295</v>
      </c>
      <c r="C200" s="66">
        <v>36.71</v>
      </c>
      <c r="D200" s="100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</row>
    <row r="201" spans="1:17" ht="15.75">
      <c r="A201" s="278">
        <f t="shared" si="6"/>
        <v>196</v>
      </c>
      <c r="B201" s="86" t="s">
        <v>296</v>
      </c>
      <c r="C201" s="66">
        <v>36.33</v>
      </c>
      <c r="D201" s="100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</row>
    <row r="202" spans="1:17" ht="16.149999999999999" customHeight="1">
      <c r="A202" s="278">
        <f t="shared" si="6"/>
        <v>197</v>
      </c>
      <c r="B202" s="86" t="s">
        <v>297</v>
      </c>
      <c r="C202" s="66">
        <v>36.06</v>
      </c>
      <c r="D202" s="100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</row>
    <row r="203" spans="1:17" ht="16.5" customHeight="1">
      <c r="A203" s="278">
        <f t="shared" si="6"/>
        <v>198</v>
      </c>
      <c r="B203" s="86" t="s">
        <v>298</v>
      </c>
      <c r="C203" s="66">
        <v>36.42</v>
      </c>
      <c r="D203" s="100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</row>
    <row r="204" spans="1:17" ht="16.5" customHeight="1">
      <c r="A204" s="278">
        <f>A203+1</f>
        <v>199</v>
      </c>
      <c r="B204" s="86" t="s">
        <v>510</v>
      </c>
      <c r="C204" s="66">
        <v>35.56</v>
      </c>
      <c r="D204" s="100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</row>
    <row r="205" spans="1:17" ht="15.75" customHeight="1">
      <c r="A205" s="278">
        <f t="shared" si="6"/>
        <v>200</v>
      </c>
      <c r="B205" s="86" t="s">
        <v>511</v>
      </c>
      <c r="C205" s="66">
        <v>36.340000000000003</v>
      </c>
      <c r="D205" s="100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</row>
    <row r="206" spans="1:17" ht="15.75" customHeight="1">
      <c r="A206" s="278">
        <f t="shared" si="6"/>
        <v>201</v>
      </c>
      <c r="B206" s="86" t="s">
        <v>512</v>
      </c>
      <c r="C206" s="66">
        <v>36.880000000000003</v>
      </c>
      <c r="D206" s="100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</row>
    <row r="207" spans="1:17" ht="15.75" customHeight="1">
      <c r="A207" s="278">
        <f t="shared" si="6"/>
        <v>202</v>
      </c>
      <c r="B207" s="86" t="s">
        <v>513</v>
      </c>
      <c r="C207" s="66">
        <v>36.01</v>
      </c>
      <c r="D207" s="100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</row>
    <row r="208" spans="1:17" ht="15.75" customHeight="1">
      <c r="A208" s="278">
        <f t="shared" si="6"/>
        <v>203</v>
      </c>
      <c r="B208" s="86" t="s">
        <v>514</v>
      </c>
      <c r="C208" s="66">
        <v>36.81</v>
      </c>
      <c r="D208" s="100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</row>
    <row r="209" spans="1:17" ht="15.75" customHeight="1">
      <c r="A209" s="278">
        <f t="shared" si="6"/>
        <v>204</v>
      </c>
      <c r="B209" s="86" t="s">
        <v>515</v>
      </c>
      <c r="C209" s="66">
        <v>35.700000000000003</v>
      </c>
      <c r="D209" s="102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</row>
    <row r="210" spans="1:17" ht="15.75" customHeight="1">
      <c r="A210" s="278">
        <f t="shared" si="6"/>
        <v>205</v>
      </c>
      <c r="B210" s="86" t="s">
        <v>516</v>
      </c>
      <c r="C210" s="66">
        <v>34.979999999999997</v>
      </c>
      <c r="D210" s="102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</row>
    <row r="211" spans="1:17" ht="15.75" customHeight="1">
      <c r="A211" s="278">
        <f t="shared" si="6"/>
        <v>206</v>
      </c>
      <c r="B211" s="86" t="s">
        <v>517</v>
      </c>
      <c r="C211" s="66">
        <v>35.54</v>
      </c>
      <c r="D211" s="102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</row>
    <row r="212" spans="1:17" ht="15.75" customHeight="1">
      <c r="A212" s="278">
        <f t="shared" si="6"/>
        <v>207</v>
      </c>
      <c r="B212" s="86" t="s">
        <v>518</v>
      </c>
      <c r="C212" s="66">
        <v>36.24</v>
      </c>
      <c r="D212" s="102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</row>
    <row r="213" spans="1:17" ht="15.75">
      <c r="A213" s="278">
        <f t="shared" si="6"/>
        <v>208</v>
      </c>
      <c r="B213" s="86" t="s">
        <v>299</v>
      </c>
      <c r="C213" s="66">
        <v>37.15</v>
      </c>
      <c r="D213" s="102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</row>
    <row r="214" spans="1:17" ht="15.75">
      <c r="A214" s="278">
        <f t="shared" si="6"/>
        <v>209</v>
      </c>
      <c r="B214" s="86" t="s">
        <v>300</v>
      </c>
      <c r="C214" s="66">
        <v>36.729999999999997</v>
      </c>
      <c r="D214" s="102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</row>
    <row r="215" spans="1:17" ht="15.75">
      <c r="A215" s="278">
        <f t="shared" si="6"/>
        <v>210</v>
      </c>
      <c r="B215" s="86" t="s">
        <v>301</v>
      </c>
      <c r="C215" s="66">
        <v>36.96</v>
      </c>
      <c r="D215" s="102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</row>
    <row r="216" spans="1:17" ht="15.75">
      <c r="A216" s="278">
        <f t="shared" si="6"/>
        <v>211</v>
      </c>
      <c r="B216" s="86" t="s">
        <v>302</v>
      </c>
      <c r="C216" s="66">
        <v>36.9</v>
      </c>
      <c r="D216" s="102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</row>
    <row r="217" spans="1:17" ht="15.75">
      <c r="A217" s="278">
        <f t="shared" si="6"/>
        <v>212</v>
      </c>
      <c r="B217" s="86" t="s">
        <v>303</v>
      </c>
      <c r="C217" s="66">
        <v>35.92</v>
      </c>
      <c r="D217" s="102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</row>
    <row r="218" spans="1:17" ht="15.75">
      <c r="A218" s="278">
        <f t="shared" si="6"/>
        <v>213</v>
      </c>
      <c r="B218" s="86" t="s">
        <v>304</v>
      </c>
      <c r="C218" s="66">
        <v>36.96</v>
      </c>
      <c r="D218" s="102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</row>
    <row r="219" spans="1:17" ht="15.75">
      <c r="A219" s="278">
        <f t="shared" si="6"/>
        <v>214</v>
      </c>
      <c r="B219" s="86" t="s">
        <v>305</v>
      </c>
      <c r="C219" s="66">
        <v>36.26</v>
      </c>
      <c r="D219" s="102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</row>
    <row r="220" spans="1:17" ht="15.75">
      <c r="A220" s="278">
        <f t="shared" si="6"/>
        <v>215</v>
      </c>
      <c r="B220" s="86" t="s">
        <v>306</v>
      </c>
      <c r="C220" s="66">
        <v>36.65</v>
      </c>
      <c r="D220" s="102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</row>
    <row r="221" spans="1:17" ht="15.75">
      <c r="A221" s="278">
        <f t="shared" si="6"/>
        <v>216</v>
      </c>
      <c r="B221" s="86" t="s">
        <v>307</v>
      </c>
      <c r="C221" s="66">
        <v>35.549999999999997</v>
      </c>
      <c r="D221" s="102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</row>
    <row r="222" spans="1:17" ht="15.75">
      <c r="A222" s="278">
        <f t="shared" si="6"/>
        <v>217</v>
      </c>
      <c r="B222" s="86" t="s">
        <v>308</v>
      </c>
      <c r="C222" s="66">
        <v>36.79</v>
      </c>
      <c r="D222" s="102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</row>
    <row r="223" spans="1:17" ht="15.75">
      <c r="A223" s="278">
        <f t="shared" si="6"/>
        <v>218</v>
      </c>
      <c r="B223" s="86" t="s">
        <v>309</v>
      </c>
      <c r="C223" s="66">
        <v>36.78</v>
      </c>
      <c r="D223" s="102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</row>
    <row r="224" spans="1:17" ht="15.75">
      <c r="A224" s="278">
        <f t="shared" si="6"/>
        <v>219</v>
      </c>
      <c r="B224" s="86" t="s">
        <v>310</v>
      </c>
      <c r="C224" s="66">
        <v>36.729999999999997</v>
      </c>
      <c r="D224" s="102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</row>
    <row r="225" spans="1:17" ht="15.75">
      <c r="A225" s="278">
        <f t="shared" si="6"/>
        <v>220</v>
      </c>
      <c r="B225" s="86" t="s">
        <v>311</v>
      </c>
      <c r="C225" s="66">
        <v>36.06</v>
      </c>
      <c r="D225" s="102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</row>
    <row r="226" spans="1:17" ht="15.75">
      <c r="A226" s="278">
        <f t="shared" si="6"/>
        <v>221</v>
      </c>
      <c r="B226" s="86" t="s">
        <v>312</v>
      </c>
      <c r="C226" s="66">
        <v>35.86</v>
      </c>
      <c r="D226" s="102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</row>
    <row r="227" spans="1:17" ht="15.75">
      <c r="A227" s="278">
        <f t="shared" si="6"/>
        <v>222</v>
      </c>
      <c r="B227" s="86" t="s">
        <v>313</v>
      </c>
      <c r="C227" s="66">
        <v>36.54</v>
      </c>
      <c r="D227" s="102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</row>
    <row r="228" spans="1:17" ht="15.75">
      <c r="A228" s="278">
        <f t="shared" si="6"/>
        <v>223</v>
      </c>
      <c r="B228" s="86" t="s">
        <v>314</v>
      </c>
      <c r="C228" s="66">
        <v>35.47</v>
      </c>
      <c r="D228" s="102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</row>
    <row r="229" spans="1:17" ht="15.75">
      <c r="A229" s="278">
        <f t="shared" si="6"/>
        <v>224</v>
      </c>
      <c r="B229" s="86" t="s">
        <v>315</v>
      </c>
      <c r="C229" s="66">
        <v>36.409999999999997</v>
      </c>
      <c r="D229" s="102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</row>
    <row r="230" spans="1:17" ht="15.75">
      <c r="A230" s="278">
        <f t="shared" si="6"/>
        <v>225</v>
      </c>
      <c r="B230" s="86" t="s">
        <v>316</v>
      </c>
      <c r="C230" s="66">
        <v>36.369999999999997</v>
      </c>
      <c r="D230" s="102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</row>
    <row r="231" spans="1:17" ht="15.75">
      <c r="A231" s="278">
        <f t="shared" si="6"/>
        <v>226</v>
      </c>
      <c r="B231" s="86" t="s">
        <v>317</v>
      </c>
      <c r="C231" s="66">
        <v>36.53</v>
      </c>
      <c r="D231" s="102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</row>
    <row r="232" spans="1:17" ht="15.75">
      <c r="A232" s="278">
        <f t="shared" si="6"/>
        <v>227</v>
      </c>
      <c r="B232" s="86" t="s">
        <v>318</v>
      </c>
      <c r="C232" s="66">
        <v>36.090000000000003</v>
      </c>
      <c r="D232" s="102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</row>
    <row r="233" spans="1:17" ht="15.75">
      <c r="A233" s="278">
        <f t="shared" si="6"/>
        <v>228</v>
      </c>
      <c r="B233" s="86" t="s">
        <v>319</v>
      </c>
      <c r="C233" s="66">
        <v>36.36</v>
      </c>
      <c r="D233" s="102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</row>
    <row r="234" spans="1:17" ht="16.5" thickBot="1">
      <c r="A234" s="278">
        <f t="shared" si="6"/>
        <v>229</v>
      </c>
      <c r="B234" s="86" t="s">
        <v>320</v>
      </c>
      <c r="C234" s="66">
        <v>36.39</v>
      </c>
      <c r="D234" s="102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</row>
    <row r="235" spans="1:17" ht="15.75">
      <c r="A235" s="278">
        <f t="shared" si="6"/>
        <v>230</v>
      </c>
      <c r="B235" s="86" t="s">
        <v>321</v>
      </c>
      <c r="C235" s="66">
        <v>36.54</v>
      </c>
      <c r="D235" s="102"/>
      <c r="E235" s="61"/>
      <c r="F235" s="61"/>
      <c r="G235" s="169">
        <f>A293</f>
        <v>288</v>
      </c>
      <c r="H235" s="61"/>
      <c r="I235" s="61"/>
      <c r="J235" s="61"/>
      <c r="K235" s="61"/>
      <c r="L235" s="61"/>
      <c r="M235" s="61"/>
      <c r="N235" s="61"/>
      <c r="O235" s="61"/>
      <c r="P235" s="61"/>
      <c r="Q235" s="61"/>
    </row>
    <row r="236" spans="1:17" ht="15.75">
      <c r="A236" s="278">
        <f t="shared" si="6"/>
        <v>231</v>
      </c>
      <c r="B236" s="86" t="s">
        <v>322</v>
      </c>
      <c r="C236" s="66">
        <v>36.36</v>
      </c>
      <c r="D236" s="102"/>
      <c r="E236" s="61"/>
      <c r="F236" s="61"/>
      <c r="G236" s="286">
        <v>250</v>
      </c>
      <c r="H236" s="61"/>
      <c r="I236" s="61"/>
      <c r="J236" s="61"/>
      <c r="K236" s="61"/>
      <c r="L236" s="61"/>
      <c r="M236" s="61"/>
      <c r="N236" s="61"/>
      <c r="O236" s="61"/>
      <c r="P236" s="61"/>
      <c r="Q236" s="61"/>
    </row>
    <row r="237" spans="1:17" ht="16.5" thickBot="1">
      <c r="A237" s="278">
        <f t="shared" si="6"/>
        <v>232</v>
      </c>
      <c r="B237" s="86" t="s">
        <v>323</v>
      </c>
      <c r="C237" s="253">
        <v>35.42</v>
      </c>
      <c r="D237" s="254"/>
      <c r="E237" s="61"/>
      <c r="F237" s="61"/>
      <c r="G237" s="435">
        <f>G235-G236</f>
        <v>38</v>
      </c>
      <c r="H237" s="61"/>
      <c r="I237" s="61"/>
      <c r="J237" s="61"/>
      <c r="K237" s="61"/>
      <c r="L237" s="61"/>
      <c r="M237" s="61"/>
      <c r="N237" s="61"/>
      <c r="O237" s="61"/>
      <c r="P237" s="61"/>
      <c r="Q237" s="61"/>
    </row>
    <row r="238" spans="1:17" ht="15.75">
      <c r="A238" s="278">
        <f t="shared" si="6"/>
        <v>233</v>
      </c>
      <c r="B238" s="86" t="s">
        <v>324</v>
      </c>
      <c r="C238" s="253">
        <v>36.6</v>
      </c>
      <c r="D238" s="254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</row>
    <row r="239" spans="1:17" ht="15.75">
      <c r="A239" s="278">
        <f t="shared" si="6"/>
        <v>234</v>
      </c>
      <c r="B239" s="86" t="s">
        <v>325</v>
      </c>
      <c r="C239" s="253">
        <v>36.909999999999997</v>
      </c>
      <c r="D239" s="254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</row>
    <row r="240" spans="1:17" ht="15.75">
      <c r="A240" s="278">
        <f t="shared" si="6"/>
        <v>235</v>
      </c>
      <c r="B240" s="86" t="s">
        <v>326</v>
      </c>
      <c r="C240" s="253">
        <v>36.49</v>
      </c>
      <c r="D240" s="254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</row>
    <row r="241" spans="1:17" ht="15.75">
      <c r="A241" s="278">
        <f t="shared" si="6"/>
        <v>236</v>
      </c>
      <c r="B241" s="86" t="s">
        <v>327</v>
      </c>
      <c r="C241" s="253">
        <v>36.22</v>
      </c>
      <c r="D241" s="254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</row>
    <row r="242" spans="1:17" ht="15.75">
      <c r="A242" s="278">
        <f t="shared" si="6"/>
        <v>237</v>
      </c>
      <c r="B242" s="86" t="s">
        <v>328</v>
      </c>
      <c r="C242" s="253">
        <v>36.71</v>
      </c>
      <c r="D242" s="254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</row>
    <row r="243" spans="1:17" ht="15.75">
      <c r="A243" s="278">
        <f t="shared" si="6"/>
        <v>238</v>
      </c>
      <c r="B243" s="86" t="s">
        <v>329</v>
      </c>
      <c r="C243" s="253">
        <v>35.369999999999997</v>
      </c>
      <c r="D243" s="254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</row>
    <row r="244" spans="1:17" ht="15.75">
      <c r="A244" s="278">
        <f t="shared" si="6"/>
        <v>239</v>
      </c>
      <c r="B244" s="86" t="s">
        <v>330</v>
      </c>
      <c r="C244" s="253">
        <v>36.270000000000003</v>
      </c>
      <c r="D244" s="254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</row>
    <row r="245" spans="1:17" ht="15.75">
      <c r="A245" s="278">
        <f t="shared" si="6"/>
        <v>240</v>
      </c>
      <c r="B245" s="86" t="s">
        <v>331</v>
      </c>
      <c r="C245" s="253">
        <v>35.950000000000003</v>
      </c>
      <c r="D245" s="254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</row>
    <row r="246" spans="1:17" ht="15.75">
      <c r="A246" s="278">
        <f t="shared" si="6"/>
        <v>241</v>
      </c>
      <c r="B246" s="252" t="s">
        <v>332</v>
      </c>
      <c r="C246" s="253">
        <v>36.97</v>
      </c>
      <c r="D246" s="254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</row>
    <row r="247" spans="1:17" ht="15.75">
      <c r="A247" s="278">
        <f t="shared" si="6"/>
        <v>242</v>
      </c>
      <c r="B247" s="252" t="s">
        <v>333</v>
      </c>
      <c r="C247" s="253">
        <v>34.94</v>
      </c>
      <c r="D247" s="254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</row>
    <row r="248" spans="1:17" ht="15.75">
      <c r="A248" s="278">
        <f t="shared" si="6"/>
        <v>243</v>
      </c>
      <c r="B248" s="252" t="s">
        <v>334</v>
      </c>
      <c r="C248" s="253">
        <v>36.61</v>
      </c>
      <c r="D248" s="254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</row>
    <row r="249" spans="1:17" ht="15.75">
      <c r="A249" s="278">
        <f t="shared" si="6"/>
        <v>244</v>
      </c>
      <c r="B249" s="252" t="s">
        <v>335</v>
      </c>
      <c r="C249" s="253">
        <v>36.83</v>
      </c>
      <c r="D249" s="254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</row>
    <row r="250" spans="1:17" ht="15.75" customHeight="1">
      <c r="A250" s="278">
        <f t="shared" si="6"/>
        <v>245</v>
      </c>
      <c r="B250" s="252" t="s">
        <v>336</v>
      </c>
      <c r="C250" s="253">
        <v>36.979999999999997</v>
      </c>
      <c r="D250" s="254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</row>
    <row r="251" spans="1:17" ht="15.75">
      <c r="A251" s="278">
        <f t="shared" si="6"/>
        <v>246</v>
      </c>
      <c r="B251" s="252" t="s">
        <v>337</v>
      </c>
      <c r="C251" s="253">
        <v>37.14</v>
      </c>
      <c r="D251" s="254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</row>
    <row r="252" spans="1:17" ht="15.75">
      <c r="A252" s="278">
        <f t="shared" si="6"/>
        <v>247</v>
      </c>
      <c r="B252" s="252" t="s">
        <v>338</v>
      </c>
      <c r="C252" s="253">
        <v>36.770000000000003</v>
      </c>
      <c r="D252" s="254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</row>
    <row r="253" spans="1:17" ht="15.75">
      <c r="A253" s="278">
        <f t="shared" si="6"/>
        <v>248</v>
      </c>
      <c r="B253" s="252" t="s">
        <v>339</v>
      </c>
      <c r="C253" s="253">
        <v>36.74</v>
      </c>
      <c r="D253" s="254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</row>
    <row r="254" spans="1:17" ht="15.75">
      <c r="A254" s="278">
        <f t="shared" si="6"/>
        <v>249</v>
      </c>
      <c r="B254" s="252" t="s">
        <v>340</v>
      </c>
      <c r="C254" s="253">
        <v>36.770000000000003</v>
      </c>
      <c r="D254" s="254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</row>
    <row r="255" spans="1:17" ht="15.75">
      <c r="A255" s="278">
        <f t="shared" ref="A255:A302" si="7">A254+1</f>
        <v>250</v>
      </c>
      <c r="B255" s="252" t="s">
        <v>341</v>
      </c>
      <c r="C255" s="253">
        <v>36.799999999999997</v>
      </c>
      <c r="D255" s="254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</row>
    <row r="256" spans="1:17" ht="15.75">
      <c r="A256" s="278">
        <f t="shared" si="7"/>
        <v>251</v>
      </c>
      <c r="B256" s="252" t="s">
        <v>342</v>
      </c>
      <c r="C256" s="253">
        <v>36.020000000000003</v>
      </c>
      <c r="D256" s="254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</row>
    <row r="257" spans="1:17" ht="15.75">
      <c r="A257" s="278">
        <f t="shared" si="7"/>
        <v>252</v>
      </c>
      <c r="B257" s="252" t="s">
        <v>343</v>
      </c>
      <c r="C257" s="253">
        <v>36.729999999999997</v>
      </c>
      <c r="D257" s="254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</row>
    <row r="258" spans="1:17" ht="15.75">
      <c r="A258" s="278">
        <f t="shared" si="7"/>
        <v>253</v>
      </c>
      <c r="B258" s="252" t="s">
        <v>344</v>
      </c>
      <c r="C258" s="253">
        <v>36.36</v>
      </c>
      <c r="D258" s="254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</row>
    <row r="259" spans="1:17" ht="15.75">
      <c r="A259" s="278">
        <f t="shared" si="7"/>
        <v>254</v>
      </c>
      <c r="B259" s="252" t="s">
        <v>345</v>
      </c>
      <c r="C259" s="253">
        <v>37.299999999999997</v>
      </c>
      <c r="D259" s="254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</row>
    <row r="260" spans="1:17" ht="15.75">
      <c r="A260" s="278">
        <f t="shared" si="7"/>
        <v>255</v>
      </c>
      <c r="B260" s="252" t="s">
        <v>346</v>
      </c>
      <c r="C260" s="253">
        <v>36.39</v>
      </c>
      <c r="D260" s="254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</row>
    <row r="261" spans="1:17" ht="15.75">
      <c r="A261" s="278">
        <f t="shared" si="7"/>
        <v>256</v>
      </c>
      <c r="B261" s="252" t="s">
        <v>347</v>
      </c>
      <c r="C261" s="253">
        <v>36.72</v>
      </c>
      <c r="D261" s="254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</row>
    <row r="262" spans="1:17" ht="15.75">
      <c r="A262" s="278">
        <f t="shared" si="7"/>
        <v>257</v>
      </c>
      <c r="B262" s="252" t="s">
        <v>348</v>
      </c>
      <c r="C262" s="253">
        <v>35.130000000000003</v>
      </c>
      <c r="D262" s="254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</row>
    <row r="263" spans="1:17" ht="15.75">
      <c r="A263" s="278">
        <f t="shared" si="7"/>
        <v>258</v>
      </c>
      <c r="B263" s="252" t="s">
        <v>349</v>
      </c>
      <c r="C263" s="253">
        <v>35.46</v>
      </c>
      <c r="D263" s="254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</row>
    <row r="264" spans="1:17" ht="15.75">
      <c r="A264" s="278">
        <f t="shared" si="7"/>
        <v>259</v>
      </c>
      <c r="B264" s="252" t="s">
        <v>350</v>
      </c>
      <c r="C264" s="253">
        <v>35.1</v>
      </c>
      <c r="D264" s="254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</row>
    <row r="265" spans="1:17" ht="15.75">
      <c r="A265" s="278">
        <f t="shared" si="7"/>
        <v>260</v>
      </c>
      <c r="B265" s="252" t="s">
        <v>351</v>
      </c>
      <c r="C265" s="253">
        <v>36.909999999999997</v>
      </c>
      <c r="D265" s="254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</row>
    <row r="266" spans="1:17" ht="15.75">
      <c r="A266" s="278">
        <f t="shared" si="7"/>
        <v>261</v>
      </c>
      <c r="B266" s="252" t="s">
        <v>352</v>
      </c>
      <c r="C266" s="253">
        <v>36.86</v>
      </c>
      <c r="D266" s="254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</row>
    <row r="267" spans="1:17" ht="15.75">
      <c r="A267" s="278">
        <f t="shared" si="7"/>
        <v>262</v>
      </c>
      <c r="B267" s="252" t="s">
        <v>353</v>
      </c>
      <c r="C267" s="253">
        <v>34.89</v>
      </c>
      <c r="D267" s="254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</row>
    <row r="268" spans="1:17" ht="15.75">
      <c r="A268" s="278">
        <f t="shared" si="7"/>
        <v>263</v>
      </c>
      <c r="B268" s="252" t="s">
        <v>354</v>
      </c>
      <c r="C268" s="253">
        <v>35.450000000000003</v>
      </c>
      <c r="D268" s="254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</row>
    <row r="269" spans="1:17" ht="15.75">
      <c r="A269" s="278">
        <f t="shared" si="7"/>
        <v>264</v>
      </c>
      <c r="B269" s="252" t="s">
        <v>355</v>
      </c>
      <c r="C269" s="253">
        <v>36.020000000000003</v>
      </c>
      <c r="D269" s="254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</row>
    <row r="270" spans="1:17" ht="15.75">
      <c r="A270" s="278">
        <f t="shared" si="7"/>
        <v>265</v>
      </c>
      <c r="B270" s="252" t="s">
        <v>356</v>
      </c>
      <c r="C270" s="253">
        <v>35.64</v>
      </c>
      <c r="D270" s="254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</row>
    <row r="271" spans="1:17" ht="15.75">
      <c r="A271" s="278">
        <f t="shared" si="7"/>
        <v>266</v>
      </c>
      <c r="B271" s="252" t="s">
        <v>357</v>
      </c>
      <c r="C271" s="253">
        <v>36.56</v>
      </c>
      <c r="D271" s="254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</row>
    <row r="272" spans="1:17" ht="15.75">
      <c r="A272" s="278">
        <f t="shared" si="7"/>
        <v>267</v>
      </c>
      <c r="B272" s="252" t="s">
        <v>358</v>
      </c>
      <c r="C272" s="253">
        <v>36.159999999999997</v>
      </c>
      <c r="D272" s="254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</row>
    <row r="273" spans="1:17" ht="15.75">
      <c r="A273" s="278">
        <f t="shared" si="7"/>
        <v>268</v>
      </c>
      <c r="B273" s="252" t="s">
        <v>359</v>
      </c>
      <c r="C273" s="253">
        <v>35.340000000000003</v>
      </c>
      <c r="D273" s="254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</row>
    <row r="274" spans="1:17" ht="15.75">
      <c r="A274" s="278">
        <f t="shared" si="7"/>
        <v>269</v>
      </c>
      <c r="B274" s="252" t="s">
        <v>360</v>
      </c>
      <c r="C274" s="253">
        <v>34.69</v>
      </c>
      <c r="D274" s="254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</row>
    <row r="275" spans="1:17" ht="15.75">
      <c r="A275" s="278">
        <f t="shared" si="7"/>
        <v>270</v>
      </c>
      <c r="B275" s="252" t="s">
        <v>361</v>
      </c>
      <c r="C275" s="253">
        <v>35.24</v>
      </c>
      <c r="D275" s="254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</row>
    <row r="276" spans="1:17" ht="15.75">
      <c r="A276" s="278">
        <f t="shared" si="7"/>
        <v>271</v>
      </c>
      <c r="B276" s="252" t="s">
        <v>362</v>
      </c>
      <c r="C276" s="253">
        <v>36.72</v>
      </c>
      <c r="D276" s="254"/>
      <c r="E276" s="61"/>
      <c r="F276" s="61"/>
      <c r="G276" s="61"/>
      <c r="H276" s="61"/>
      <c r="I276" s="61"/>
      <c r="L276" s="61"/>
      <c r="M276" s="61"/>
      <c r="N276" s="61"/>
      <c r="O276" s="61"/>
      <c r="P276" s="61"/>
      <c r="Q276" s="61"/>
    </row>
    <row r="277" spans="1:17" ht="15.75">
      <c r="A277" s="278">
        <f t="shared" si="7"/>
        <v>272</v>
      </c>
      <c r="B277" s="252" t="s">
        <v>363</v>
      </c>
      <c r="C277" s="253">
        <v>36.79</v>
      </c>
      <c r="D277" s="254"/>
      <c r="F277" s="61"/>
    </row>
    <row r="278" spans="1:17" ht="15.75">
      <c r="A278" s="278">
        <f t="shared" si="7"/>
        <v>273</v>
      </c>
      <c r="B278" s="252" t="s">
        <v>364</v>
      </c>
      <c r="C278" s="253">
        <v>36.82</v>
      </c>
      <c r="D278" s="254"/>
      <c r="F278" s="61"/>
    </row>
    <row r="279" spans="1:17" ht="15.75">
      <c r="A279" s="278">
        <f t="shared" si="7"/>
        <v>274</v>
      </c>
      <c r="B279" s="252" t="s">
        <v>365</v>
      </c>
      <c r="C279" s="253">
        <v>36.299999999999997</v>
      </c>
      <c r="D279" s="254"/>
      <c r="F279" s="61"/>
    </row>
    <row r="280" spans="1:17" ht="15.75">
      <c r="A280" s="278">
        <f t="shared" si="7"/>
        <v>275</v>
      </c>
      <c r="B280" s="252" t="s">
        <v>366</v>
      </c>
      <c r="C280" s="253">
        <v>36.700000000000003</v>
      </c>
      <c r="D280" s="254"/>
      <c r="F280" s="61"/>
    </row>
    <row r="281" spans="1:17" ht="15.75">
      <c r="A281" s="278">
        <f t="shared" si="7"/>
        <v>276</v>
      </c>
      <c r="B281" s="252" t="s">
        <v>367</v>
      </c>
      <c r="C281" s="253">
        <v>36.89</v>
      </c>
      <c r="D281" s="254"/>
      <c r="F281" s="61"/>
    </row>
    <row r="282" spans="1:17" ht="15.75">
      <c r="A282" s="278">
        <f t="shared" si="7"/>
        <v>277</v>
      </c>
      <c r="B282" s="252" t="s">
        <v>368</v>
      </c>
      <c r="C282" s="253">
        <v>37.1</v>
      </c>
      <c r="D282" s="254"/>
      <c r="F282" s="61"/>
    </row>
    <row r="283" spans="1:17" ht="15.75">
      <c r="A283" s="278">
        <f t="shared" si="7"/>
        <v>278</v>
      </c>
      <c r="B283" s="252" t="s">
        <v>369</v>
      </c>
      <c r="C283" s="253">
        <v>36.729999999999997</v>
      </c>
      <c r="D283" s="254"/>
      <c r="F283" s="61"/>
    </row>
    <row r="284" spans="1:17" ht="15.75">
      <c r="A284" s="278">
        <f t="shared" si="7"/>
        <v>279</v>
      </c>
      <c r="B284" s="252" t="s">
        <v>370</v>
      </c>
      <c r="C284" s="253">
        <v>36.97</v>
      </c>
      <c r="D284" s="254"/>
      <c r="F284" s="61"/>
    </row>
    <row r="285" spans="1:17" ht="15.75">
      <c r="A285" s="278">
        <f t="shared" si="7"/>
        <v>280</v>
      </c>
      <c r="B285" s="252" t="s">
        <v>371</v>
      </c>
      <c r="C285" s="253">
        <v>36.64</v>
      </c>
      <c r="D285" s="254"/>
      <c r="F285" s="61"/>
    </row>
    <row r="286" spans="1:17" ht="15.75">
      <c r="A286" s="278">
        <f t="shared" si="7"/>
        <v>281</v>
      </c>
      <c r="B286" s="252" t="s">
        <v>372</v>
      </c>
      <c r="C286" s="253">
        <v>36.03</v>
      </c>
      <c r="D286" s="254"/>
      <c r="F286" s="61"/>
    </row>
    <row r="287" spans="1:17" ht="15.75">
      <c r="A287" s="278">
        <f t="shared" si="7"/>
        <v>282</v>
      </c>
      <c r="B287" s="252" t="s">
        <v>373</v>
      </c>
      <c r="C287" s="253">
        <v>37.19</v>
      </c>
      <c r="D287" s="254"/>
      <c r="F287" s="61"/>
    </row>
    <row r="288" spans="1:17" ht="15.75">
      <c r="A288" s="278">
        <f t="shared" si="7"/>
        <v>283</v>
      </c>
      <c r="B288" s="252" t="s">
        <v>374</v>
      </c>
      <c r="C288" s="253">
        <v>37.15</v>
      </c>
      <c r="D288" s="254"/>
      <c r="F288" s="61"/>
    </row>
    <row r="289" spans="1:6" ht="15.75">
      <c r="A289" s="278">
        <f t="shared" si="7"/>
        <v>284</v>
      </c>
      <c r="B289" s="252" t="s">
        <v>375</v>
      </c>
      <c r="C289" s="253">
        <v>37.450000000000003</v>
      </c>
      <c r="D289" s="254"/>
      <c r="F289" s="61"/>
    </row>
    <row r="290" spans="1:6" ht="15.75">
      <c r="A290" s="278">
        <f t="shared" si="7"/>
        <v>285</v>
      </c>
      <c r="B290" s="252" t="s">
        <v>376</v>
      </c>
      <c r="C290" s="253">
        <v>37.090000000000003</v>
      </c>
      <c r="D290" s="254"/>
      <c r="F290" s="61"/>
    </row>
    <row r="291" spans="1:6" ht="15.75">
      <c r="A291" s="278">
        <f t="shared" si="7"/>
        <v>286</v>
      </c>
      <c r="B291" s="252" t="s">
        <v>377</v>
      </c>
      <c r="C291" s="253">
        <v>36.93</v>
      </c>
      <c r="D291" s="254"/>
      <c r="F291" s="61"/>
    </row>
    <row r="292" spans="1:6" ht="15.75">
      <c r="A292" s="278">
        <f t="shared" si="7"/>
        <v>287</v>
      </c>
      <c r="B292" s="252" t="s">
        <v>378</v>
      </c>
      <c r="C292" s="253">
        <v>36.700000000000003</v>
      </c>
      <c r="D292" s="254"/>
      <c r="F292" s="61"/>
    </row>
    <row r="293" spans="1:6" ht="15.75">
      <c r="A293" s="278">
        <f t="shared" si="7"/>
        <v>288</v>
      </c>
      <c r="B293" s="252" t="s">
        <v>379</v>
      </c>
      <c r="C293" s="253">
        <v>36.82</v>
      </c>
      <c r="D293" s="254"/>
      <c r="F293" s="61"/>
    </row>
    <row r="294" spans="1:6" ht="15.75">
      <c r="A294" s="278">
        <f t="shared" si="7"/>
        <v>289</v>
      </c>
      <c r="B294" s="252"/>
      <c r="C294" s="253"/>
      <c r="D294" s="254"/>
      <c r="F294" s="61"/>
    </row>
    <row r="295" spans="1:6" ht="15.75">
      <c r="A295" s="278">
        <f t="shared" si="7"/>
        <v>290</v>
      </c>
      <c r="B295" s="252"/>
      <c r="C295" s="253"/>
      <c r="D295" s="254"/>
      <c r="F295" s="61"/>
    </row>
    <row r="296" spans="1:6" ht="15.75">
      <c r="A296" s="278">
        <f t="shared" si="7"/>
        <v>291</v>
      </c>
      <c r="B296" s="252"/>
      <c r="C296" s="253"/>
      <c r="D296" s="254"/>
      <c r="F296" s="61"/>
    </row>
    <row r="297" spans="1:6" ht="15.75">
      <c r="A297" s="278">
        <f t="shared" si="7"/>
        <v>292</v>
      </c>
      <c r="B297" s="252"/>
      <c r="C297" s="253"/>
      <c r="D297" s="254"/>
      <c r="F297" s="61"/>
    </row>
    <row r="298" spans="1:6" ht="15.75">
      <c r="A298" s="278">
        <f t="shared" si="7"/>
        <v>293</v>
      </c>
      <c r="B298" s="252"/>
      <c r="C298" s="253"/>
      <c r="D298" s="254"/>
      <c r="F298" s="61"/>
    </row>
    <row r="299" spans="1:6" ht="15.75">
      <c r="A299" s="278">
        <f t="shared" si="7"/>
        <v>294</v>
      </c>
      <c r="B299" s="252"/>
      <c r="C299" s="253"/>
      <c r="D299" s="254"/>
      <c r="F299" s="61"/>
    </row>
    <row r="300" spans="1:6" ht="15.75">
      <c r="A300" s="278">
        <f t="shared" si="7"/>
        <v>295</v>
      </c>
      <c r="B300" s="252"/>
      <c r="C300" s="253"/>
      <c r="D300" s="254"/>
      <c r="F300" s="61"/>
    </row>
    <row r="301" spans="1:6" ht="15.75">
      <c r="A301" s="278">
        <f t="shared" si="7"/>
        <v>296</v>
      </c>
      <c r="B301" s="252"/>
      <c r="C301" s="253"/>
      <c r="D301" s="254"/>
      <c r="F301" s="61"/>
    </row>
    <row r="302" spans="1:6" ht="16.5" thickBot="1">
      <c r="A302" s="278">
        <f t="shared" si="7"/>
        <v>297</v>
      </c>
      <c r="B302" s="255"/>
      <c r="C302" s="256"/>
      <c r="D302" s="257"/>
      <c r="F302" s="61"/>
    </row>
    <row r="303" spans="1:6" ht="15">
      <c r="F303" s="61"/>
    </row>
    <row r="304" spans="1:6" ht="15">
      <c r="F304" s="61"/>
    </row>
    <row r="305" spans="6:6" ht="15">
      <c r="F305" s="61"/>
    </row>
    <row r="306" spans="6:6" ht="15">
      <c r="F306" s="61"/>
    </row>
    <row r="307" spans="6:6" ht="15">
      <c r="F307" s="61"/>
    </row>
    <row r="308" spans="6:6" ht="15">
      <c r="F308" s="61"/>
    </row>
    <row r="309" spans="6:6" ht="15">
      <c r="F309" s="61"/>
    </row>
    <row r="310" spans="6:6" ht="15">
      <c r="F310" s="61"/>
    </row>
    <row r="311" spans="6:6" ht="15">
      <c r="F311" s="61"/>
    </row>
    <row r="312" spans="6:6" ht="15">
      <c r="F312" s="61"/>
    </row>
    <row r="313" spans="6:6" ht="15">
      <c r="F313" s="61"/>
    </row>
    <row r="314" spans="6:6" ht="15">
      <c r="F314" s="61"/>
    </row>
    <row r="315" spans="6:6" ht="15">
      <c r="F315" s="61"/>
    </row>
    <row r="316" spans="6:6" ht="15">
      <c r="F316" s="61"/>
    </row>
    <row r="317" spans="6:6" ht="15">
      <c r="F317" s="61"/>
    </row>
    <row r="318" spans="6:6" ht="15">
      <c r="F318" s="61"/>
    </row>
    <row r="319" spans="6:6" ht="15">
      <c r="F319" s="61"/>
    </row>
    <row r="320" spans="6:6" ht="15">
      <c r="F320" s="61"/>
    </row>
    <row r="321" spans="6:6" ht="15">
      <c r="F321" s="61"/>
    </row>
    <row r="322" spans="6:6" ht="15">
      <c r="F322" s="61"/>
    </row>
    <row r="323" spans="6:6" ht="15">
      <c r="F323" s="61"/>
    </row>
    <row r="324" spans="6:6" ht="15">
      <c r="F324" s="61"/>
    </row>
    <row r="325" spans="6:6" ht="15">
      <c r="F325" s="61"/>
    </row>
    <row r="326" spans="6:6" ht="15">
      <c r="F326" s="61"/>
    </row>
    <row r="327" spans="6:6" ht="15">
      <c r="F327" s="61"/>
    </row>
    <row r="328" spans="6:6" ht="15">
      <c r="F328" s="61"/>
    </row>
    <row r="329" spans="6:6" ht="15">
      <c r="F329" s="61"/>
    </row>
    <row r="330" spans="6:6" ht="15">
      <c r="F330" s="61"/>
    </row>
    <row r="331" spans="6:6" ht="15">
      <c r="F331" s="61"/>
    </row>
  </sheetData>
  <mergeCells count="19">
    <mergeCell ref="P9:P11"/>
    <mergeCell ref="P6:P7"/>
    <mergeCell ref="B2:P2"/>
    <mergeCell ref="P4:P5"/>
    <mergeCell ref="N4:O4"/>
    <mergeCell ref="B4:D4"/>
    <mergeCell ref="J4:L4"/>
    <mergeCell ref="F4:H4"/>
    <mergeCell ref="P13:P16"/>
    <mergeCell ref="N18:O18"/>
    <mergeCell ref="P18:P19"/>
    <mergeCell ref="P38:P41"/>
    <mergeCell ref="N39:N41"/>
    <mergeCell ref="P20:P21"/>
    <mergeCell ref="P23:P25"/>
    <mergeCell ref="P27:P30"/>
    <mergeCell ref="N32:P32"/>
    <mergeCell ref="P33:P36"/>
    <mergeCell ref="N34:N36"/>
  </mergeCells>
  <phoneticPr fontId="23" type="noConversion"/>
  <pageMargins left="0.7" right="0.7" top="0.75" bottom="0.75" header="0.3" footer="0.3"/>
  <pageSetup orientation="portrait" r:id="rId1"/>
  <headerFooter>
    <oddFooter>&amp;C_x000D_&amp;1#&amp;"Poppins"&amp;10&amp;K018374 Baker Hughes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EE6EF89A0D6E4D9184E1DFB74C5A06" ma:contentTypeVersion="26" ma:contentTypeDescription="Opprett et nytt dokument." ma:contentTypeScope="" ma:versionID="83c3dd6c071fa2ffce083dbdf21648d2">
  <xsd:schema xmlns:xsd="http://www.w3.org/2001/XMLSchema" xmlns:xs="http://www.w3.org/2001/XMLSchema" xmlns:p="http://schemas.microsoft.com/office/2006/metadata/properties" xmlns:ns2="0ccf2437-1e8f-465b-aae2-fe9b5c1cdf7a" xmlns:ns3="288f54a1-4820-4a7d-b109-5bc94542fec7" targetNamespace="http://schemas.microsoft.com/office/2006/metadata/properties" ma:root="true" ma:fieldsID="86525303fd8312c2d741f1446459c765" ns2:_="" ns3:_="">
    <xsd:import namespace="0ccf2437-1e8f-465b-aae2-fe9b5c1cdf7a"/>
    <xsd:import namespace="288f54a1-4820-4a7d-b109-5bc94542fe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f2437-1e8f-465b-aae2-fe9b5c1cdf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f4c9e119-7fb3-494c-9a92-27f7f4978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f54a1-4820-4a7d-b109-5bc94542fec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d5eab4-5b37-4666-adba-52cc7120f92c}" ma:internalName="TaxCatchAll" ma:showField="CatchAllData" ma:web="288f54a1-4820-4a7d-b109-5bc94542fe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cf2437-1e8f-465b-aae2-fe9b5c1cdf7a">
      <Terms xmlns="http://schemas.microsoft.com/office/infopath/2007/PartnerControls"/>
    </lcf76f155ced4ddcb4097134ff3c332f>
    <TaxCatchAll xmlns="288f54a1-4820-4a7d-b109-5bc94542fec7" xsi:nil="true"/>
  </documentManagement>
</p:properties>
</file>

<file path=customXml/itemProps1.xml><?xml version="1.0" encoding="utf-8"?>
<ds:datastoreItem xmlns:ds="http://schemas.openxmlformats.org/officeDocument/2006/customXml" ds:itemID="{55F3526C-4DA1-49B9-BED5-DACEBDF51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cf2437-1e8f-465b-aae2-fe9b5c1cdf7a"/>
    <ds:schemaRef ds:uri="288f54a1-4820-4a7d-b109-5bc94542f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BC8544-6A69-4470-8A2C-F3ACD1B70D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2D3589-EE72-4E6E-9FBC-C5BCAE4C3573}">
  <ds:schemaRefs>
    <ds:schemaRef ds:uri="http://schemas.microsoft.com/office/2006/metadata/properties"/>
    <ds:schemaRef ds:uri="http://schemas.microsoft.com/office/infopath/2007/PartnerControls"/>
    <ds:schemaRef ds:uri="0ccf2437-1e8f-465b-aae2-fe9b5c1cdf7a"/>
    <ds:schemaRef ds:uri="288f54a1-4820-4a7d-b109-5bc94542fe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7" Liner Tally NFQ17-8A</vt:lpstr>
      <vt:lpstr>DECK TALLY</vt:lpstr>
      <vt:lpstr>'7" Liner Tally NFQ17-8A'!Заголовки_для_печати</vt:lpstr>
      <vt:lpstr>'7" Liner Tally NFQ17-8A'!Область_печати</vt:lpstr>
    </vt:vector>
  </TitlesOfParts>
  <Company>Baker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MuhamadFirdaus.Ismail@bakerhughes.com</dc:creator>
  <cp:lastModifiedBy>Maxim Kiselev</cp:lastModifiedBy>
  <cp:lastPrinted>2024-09-24T10:38:16Z</cp:lastPrinted>
  <dcterms:created xsi:type="dcterms:W3CDTF">2021-05-01T05:11:09Z</dcterms:created>
  <dcterms:modified xsi:type="dcterms:W3CDTF">2026-01-25T16:46:36Z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8fbde5-0dd0-43d5-aca2-2bbc289e3948_Enabled">
    <vt:lpwstr>true</vt:lpwstr>
  </property>
  <property fmtid="{D5CDD505-2E9C-101B-9397-08002B2CF9AE}" pid="3" name="MSIP_Label_668fbde5-0dd0-43d5-aca2-2bbc289e3948_SetDate">
    <vt:lpwstr>2022-10-29T05:15:48Z</vt:lpwstr>
  </property>
  <property fmtid="{D5CDD505-2E9C-101B-9397-08002B2CF9AE}" pid="4" name="MSIP_Label_668fbde5-0dd0-43d5-aca2-2bbc289e3948_Method">
    <vt:lpwstr>Privileged</vt:lpwstr>
  </property>
  <property fmtid="{D5CDD505-2E9C-101B-9397-08002B2CF9AE}" pid="5" name="MSIP_Label_668fbde5-0dd0-43d5-aca2-2bbc289e3948_Name">
    <vt:lpwstr>668fbde5-0dd0-43d5-aca2-2bbc289e3948</vt:lpwstr>
  </property>
  <property fmtid="{D5CDD505-2E9C-101B-9397-08002B2CF9AE}" pid="6" name="MSIP_Label_668fbde5-0dd0-43d5-aca2-2bbc289e3948_SiteId">
    <vt:lpwstr>de2c0330-f2e8-4149-a927-0c5a8592f0da</vt:lpwstr>
  </property>
  <property fmtid="{D5CDD505-2E9C-101B-9397-08002B2CF9AE}" pid="7" name="MSIP_Label_668fbde5-0dd0-43d5-aca2-2bbc289e3948_ActionId">
    <vt:lpwstr>c40f1569-2618-4d73-bf15-e2f7c5b4b0c4</vt:lpwstr>
  </property>
  <property fmtid="{D5CDD505-2E9C-101B-9397-08002B2CF9AE}" pid="8" name="MSIP_Label_668fbde5-0dd0-43d5-aca2-2bbc289e3948_ContentBits">
    <vt:lpwstr>1</vt:lpwstr>
  </property>
  <property fmtid="{D5CDD505-2E9C-101B-9397-08002B2CF9AE}" pid="9" name="MSIP_Label_5e9b8670-7aa7-46fe-bc5d-db51cd81d267_Enabled">
    <vt:lpwstr>true</vt:lpwstr>
  </property>
  <property fmtid="{D5CDD505-2E9C-101B-9397-08002B2CF9AE}" pid="10" name="MSIP_Label_5e9b8670-7aa7-46fe-bc5d-db51cd81d267_SetDate">
    <vt:lpwstr>2024-09-08T16:34:50Z</vt:lpwstr>
  </property>
  <property fmtid="{D5CDD505-2E9C-101B-9397-08002B2CF9AE}" pid="11" name="MSIP_Label_5e9b8670-7aa7-46fe-bc5d-db51cd81d267_Method">
    <vt:lpwstr>Standard</vt:lpwstr>
  </property>
  <property fmtid="{D5CDD505-2E9C-101B-9397-08002B2CF9AE}" pid="12" name="MSIP_Label_5e9b8670-7aa7-46fe-bc5d-db51cd81d267_Name">
    <vt:lpwstr>Baker Hughes Confidential - Not Encrypted</vt:lpwstr>
  </property>
  <property fmtid="{D5CDD505-2E9C-101B-9397-08002B2CF9AE}" pid="13" name="MSIP_Label_5e9b8670-7aa7-46fe-bc5d-db51cd81d267_SiteId">
    <vt:lpwstr>d584a4b7-b1f2-4714-a578-fd4d43c146a6</vt:lpwstr>
  </property>
  <property fmtid="{D5CDD505-2E9C-101B-9397-08002B2CF9AE}" pid="14" name="MSIP_Label_5e9b8670-7aa7-46fe-bc5d-db51cd81d267_ActionId">
    <vt:lpwstr>00a58f49-23f3-4a19-85a9-1d29b937978e</vt:lpwstr>
  </property>
  <property fmtid="{D5CDD505-2E9C-101B-9397-08002B2CF9AE}" pid="15" name="MSIP_Label_5e9b8670-7aa7-46fe-bc5d-db51cd81d267_ContentBits">
    <vt:lpwstr>2</vt:lpwstr>
  </property>
  <property fmtid="{D5CDD505-2E9C-101B-9397-08002B2CF9AE}" pid="16" name="ContentTypeId">
    <vt:lpwstr>0x010100BE6A0DC3B56C494E81B01879E1F078A5</vt:lpwstr>
  </property>
</Properties>
</file>