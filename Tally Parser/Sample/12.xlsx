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309FC1C3-6463-4ABA-9AE0-EAAC36F6EDC1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xxxxxx" sheetId="1" state="veryHidden" r:id="rId1"/>
    <sheet name="Liner Tally NFQ20-6" sheetId="9" r:id="rId2"/>
    <sheet name="Deck Tally" sheetId="7" r:id="rId3"/>
  </sheets>
  <definedNames>
    <definedName name="EKIKO2" localSheetId="1">'Liner Tally NFQ20-6'!$E$5</definedName>
    <definedName name="EKIKO2">#REF!</definedName>
    <definedName name="_xlnm.Print_Titles" localSheetId="1">'Liner Tally NFQ20-6'!$2:$16</definedName>
    <definedName name="_xlnm.Print_Area" localSheetId="1">'Liner Tally NFQ20-6'!$A$2:$L$715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9" l="1"/>
  <c r="N291" i="9" l="1"/>
  <c r="E26" i="9"/>
  <c r="E27" i="9"/>
  <c r="E301" i="9"/>
  <c r="F301" i="9" s="1"/>
  <c r="E300" i="9"/>
  <c r="F300" i="9" s="1"/>
  <c r="E299" i="9"/>
  <c r="F299" i="9" s="1"/>
  <c r="E298" i="9"/>
  <c r="F298" i="9" s="1"/>
  <c r="E297" i="9"/>
  <c r="F297" i="9" s="1"/>
  <c r="E296" i="9"/>
  <c r="F296" i="9" s="1"/>
  <c r="E295" i="9"/>
  <c r="F295" i="9" s="1"/>
  <c r="F216" i="9"/>
  <c r="E215" i="9"/>
  <c r="F215" i="9" s="1"/>
  <c r="F214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E201" i="9" l="1"/>
  <c r="E144" i="9"/>
  <c r="E29" i="9"/>
  <c r="E294" i="9"/>
  <c r="F294" i="9" s="1"/>
  <c r="E293" i="9"/>
  <c r="F293" i="9" s="1"/>
  <c r="E292" i="9"/>
  <c r="F292" i="9" s="1"/>
  <c r="E291" i="9"/>
  <c r="F291" i="9" s="1"/>
  <c r="E290" i="9"/>
  <c r="F290" i="9" s="1"/>
  <c r="E289" i="9"/>
  <c r="F289" i="9" s="1"/>
  <c r="E288" i="9"/>
  <c r="F288" i="9" s="1"/>
  <c r="E287" i="9"/>
  <c r="F287" i="9" s="1"/>
  <c r="E286" i="9"/>
  <c r="F286" i="9" s="1"/>
  <c r="E285" i="9"/>
  <c r="F285" i="9" s="1"/>
  <c r="E284" i="9"/>
  <c r="F284" i="9" s="1"/>
  <c r="E283" i="9"/>
  <c r="F283" i="9" s="1"/>
  <c r="E282" i="9"/>
  <c r="F282" i="9" s="1"/>
  <c r="E281" i="9"/>
  <c r="F281" i="9" s="1"/>
  <c r="E280" i="9"/>
  <c r="F280" i="9" s="1"/>
  <c r="E279" i="9"/>
  <c r="F279" i="9" s="1"/>
  <c r="E302" i="9" l="1"/>
  <c r="E303" i="9"/>
  <c r="E304" i="9"/>
  <c r="E305" i="9"/>
  <c r="E306" i="9"/>
  <c r="F690" i="9"/>
  <c r="F393" i="9" l="1"/>
  <c r="F392" i="9"/>
  <c r="F391" i="9"/>
  <c r="F390" i="9"/>
  <c r="F581" i="9" l="1"/>
  <c r="F580" i="9"/>
  <c r="F579" i="9"/>
  <c r="F578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14" i="9"/>
  <c r="F641" i="9" l="1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394" i="9"/>
  <c r="E278" i="9" l="1"/>
  <c r="F278" i="9" s="1"/>
  <c r="E277" i="9"/>
  <c r="E212" i="9" l="1"/>
  <c r="F202" i="9"/>
  <c r="F201" i="9"/>
  <c r="F200" i="9"/>
  <c r="F145" i="9"/>
  <c r="F144" i="9"/>
  <c r="F143" i="9"/>
  <c r="F30" i="9"/>
  <c r="F29" i="9"/>
  <c r="F28" i="9"/>
  <c r="E265" i="9"/>
  <c r="F265" i="9" s="1"/>
  <c r="E266" i="9"/>
  <c r="F266" i="9" s="1"/>
  <c r="E267" i="9"/>
  <c r="F267" i="9" s="1"/>
  <c r="E268" i="9"/>
  <c r="F268" i="9" s="1"/>
  <c r="E269" i="9"/>
  <c r="F269" i="9" s="1"/>
  <c r="E270" i="9"/>
  <c r="F270" i="9" s="1"/>
  <c r="E271" i="9"/>
  <c r="F271" i="9" s="1"/>
  <c r="E272" i="9"/>
  <c r="F272" i="9" s="1"/>
  <c r="E273" i="9"/>
  <c r="F273" i="9" s="1"/>
  <c r="E274" i="9"/>
  <c r="F274" i="9" s="1"/>
  <c r="E275" i="9"/>
  <c r="F275" i="9" s="1"/>
  <c r="E276" i="9"/>
  <c r="F276" i="9" s="1"/>
  <c r="F277" i="9"/>
  <c r="E232" i="9"/>
  <c r="F232" i="9" s="1"/>
  <c r="E233" i="9"/>
  <c r="F233" i="9" s="1"/>
  <c r="E234" i="9"/>
  <c r="F234" i="9" s="1"/>
  <c r="E235" i="9"/>
  <c r="F235" i="9" s="1"/>
  <c r="E236" i="9"/>
  <c r="F236" i="9" s="1"/>
  <c r="E237" i="9"/>
  <c r="F237" i="9" s="1"/>
  <c r="E238" i="9"/>
  <c r="F238" i="9" s="1"/>
  <c r="E239" i="9"/>
  <c r="F239" i="9" s="1"/>
  <c r="E240" i="9"/>
  <c r="F240" i="9" s="1"/>
  <c r="E241" i="9"/>
  <c r="F241" i="9" s="1"/>
  <c r="E242" i="9"/>
  <c r="F242" i="9" s="1"/>
  <c r="E243" i="9"/>
  <c r="F243" i="9" s="1"/>
  <c r="E244" i="9"/>
  <c r="F244" i="9" s="1"/>
  <c r="E245" i="9"/>
  <c r="F245" i="9" s="1"/>
  <c r="E246" i="9"/>
  <c r="F246" i="9" s="1"/>
  <c r="E247" i="9"/>
  <c r="F247" i="9" s="1"/>
  <c r="E248" i="9"/>
  <c r="F248" i="9" s="1"/>
  <c r="E249" i="9"/>
  <c r="F249" i="9" s="1"/>
  <c r="E250" i="9"/>
  <c r="F250" i="9" s="1"/>
  <c r="E251" i="9"/>
  <c r="F251" i="9" s="1"/>
  <c r="E252" i="9"/>
  <c r="F252" i="9" s="1"/>
  <c r="E253" i="9"/>
  <c r="F253" i="9" s="1"/>
  <c r="E254" i="9"/>
  <c r="F254" i="9" s="1"/>
  <c r="E255" i="9"/>
  <c r="F255" i="9" s="1"/>
  <c r="E256" i="9"/>
  <c r="F256" i="9" s="1"/>
  <c r="E257" i="9"/>
  <c r="F257" i="9" s="1"/>
  <c r="E258" i="9"/>
  <c r="F258" i="9" s="1"/>
  <c r="E259" i="9"/>
  <c r="F259" i="9" s="1"/>
  <c r="E260" i="9"/>
  <c r="F260" i="9" s="1"/>
  <c r="E261" i="9"/>
  <c r="F261" i="9" s="1"/>
  <c r="E262" i="9"/>
  <c r="F262" i="9" s="1"/>
  <c r="E263" i="9"/>
  <c r="F263" i="9" s="1"/>
  <c r="E264" i="9"/>
  <c r="F264" i="9" s="1"/>
  <c r="F311" i="9"/>
  <c r="F312" i="9"/>
  <c r="F313" i="9"/>
  <c r="F310" i="9"/>
  <c r="F309" i="9" l="1"/>
  <c r="G309" i="9"/>
  <c r="F691" i="9" l="1"/>
  <c r="F692" i="9"/>
  <c r="G692" i="9"/>
  <c r="F693" i="9"/>
  <c r="G693" i="9"/>
  <c r="F694" i="9"/>
  <c r="G694" i="9"/>
  <c r="F695" i="9"/>
  <c r="G695" i="9"/>
  <c r="F696" i="9"/>
  <c r="G696" i="9"/>
  <c r="E697" i="9"/>
  <c r="I700" i="9"/>
  <c r="I701" i="9"/>
  <c r="J701" i="9" s="1"/>
  <c r="J702" i="9"/>
  <c r="E703" i="9"/>
  <c r="G703" i="9" s="1"/>
  <c r="I703" i="9" s="1"/>
  <c r="E704" i="9"/>
  <c r="G704" i="9" s="1"/>
  <c r="I704" i="9" s="1"/>
  <c r="I705" i="9" l="1"/>
  <c r="I706" i="9"/>
  <c r="I708" i="9"/>
  <c r="J704" i="9"/>
  <c r="J703" i="9"/>
  <c r="I707" i="9"/>
  <c r="J700" i="9"/>
  <c r="K700" i="9" s="1"/>
  <c r="K701" i="9" s="1"/>
  <c r="K702" i="9" s="1"/>
  <c r="I709" i="9" l="1"/>
  <c r="I710" i="9" s="1"/>
  <c r="K703" i="9"/>
  <c r="K704" i="9" s="1"/>
  <c r="E113" i="9" l="1"/>
  <c r="F113" i="9" s="1"/>
  <c r="F302" i="9" l="1"/>
  <c r="F19" i="9" l="1"/>
  <c r="F24" i="9"/>
  <c r="D14" i="9" l="1"/>
  <c r="F212" i="9" l="1"/>
  <c r="E48" i="9" l="1"/>
  <c r="F48" i="9" s="1"/>
  <c r="F303" i="9" l="1"/>
  <c r="E199" i="9" l="1"/>
  <c r="F199" i="9" s="1"/>
  <c r="E203" i="9"/>
  <c r="F203" i="9" s="1"/>
  <c r="E204" i="9"/>
  <c r="F204" i="9" s="1"/>
  <c r="E205" i="9"/>
  <c r="F205" i="9" s="1"/>
  <c r="E163" i="9"/>
  <c r="F163" i="9" s="1"/>
  <c r="E164" i="9"/>
  <c r="F164" i="9" s="1"/>
  <c r="E165" i="9"/>
  <c r="F165" i="9" s="1"/>
  <c r="E166" i="9"/>
  <c r="F166" i="9" s="1"/>
  <c r="E167" i="9"/>
  <c r="F167" i="9" s="1"/>
  <c r="E168" i="9"/>
  <c r="F168" i="9" s="1"/>
  <c r="E169" i="9"/>
  <c r="F169" i="9" s="1"/>
  <c r="E170" i="9"/>
  <c r="F170" i="9" s="1"/>
  <c r="E171" i="9"/>
  <c r="F171" i="9" s="1"/>
  <c r="E172" i="9"/>
  <c r="F172" i="9" s="1"/>
  <c r="E173" i="9"/>
  <c r="F173" i="9" s="1"/>
  <c r="E174" i="9"/>
  <c r="F174" i="9" s="1"/>
  <c r="E175" i="9"/>
  <c r="F175" i="9" s="1"/>
  <c r="F22" i="9" l="1"/>
  <c r="F26" i="9" l="1"/>
  <c r="E31" i="9" l="1"/>
  <c r="F31" i="9" s="1"/>
  <c r="F27" i="9" l="1"/>
  <c r="F304" i="9" l="1"/>
  <c r="F305" i="9"/>
  <c r="G308" i="9" l="1"/>
  <c r="F308" i="9"/>
  <c r="G307" i="9"/>
  <c r="F307" i="9"/>
  <c r="F306" i="9"/>
  <c r="G23" i="9"/>
  <c r="F23" i="9"/>
  <c r="G22" i="9"/>
  <c r="G21" i="9"/>
  <c r="F21" i="9"/>
  <c r="G20" i="9"/>
  <c r="F20" i="9"/>
  <c r="G19" i="9"/>
  <c r="G18" i="9"/>
  <c r="F18" i="9"/>
  <c r="G17" i="9"/>
  <c r="H17" i="9"/>
  <c r="G10" i="9"/>
  <c r="K8" i="9"/>
  <c r="H18" i="9" l="1"/>
  <c r="H19" i="9" s="1"/>
  <c r="H20" i="9" s="1"/>
  <c r="E32" i="9"/>
  <c r="F32" i="9" s="1"/>
  <c r="I17" i="9"/>
  <c r="G306" i="9"/>
  <c r="J17" i="9"/>
  <c r="J18" i="9" l="1"/>
  <c r="I18" i="9"/>
  <c r="J20" i="9"/>
  <c r="I20" i="9"/>
  <c r="H21" i="9"/>
  <c r="I19" i="9"/>
  <c r="J19" i="9"/>
  <c r="E33" i="9"/>
  <c r="F33" i="9" s="1"/>
  <c r="I21" i="9" l="1"/>
  <c r="J21" i="9"/>
  <c r="H22" i="9"/>
  <c r="E34" i="9"/>
  <c r="F34" i="9" s="1"/>
  <c r="J22" i="9" l="1"/>
  <c r="I22" i="9"/>
  <c r="H23" i="9"/>
  <c r="E35" i="9"/>
  <c r="F35" i="9" s="1"/>
  <c r="H24" i="9" l="1"/>
  <c r="J23" i="9"/>
  <c r="I23" i="9"/>
  <c r="E36" i="9"/>
  <c r="F36" i="9" s="1"/>
  <c r="I24" i="9" l="1"/>
  <c r="J24" i="9"/>
  <c r="E37" i="9"/>
  <c r="F37" i="9" s="1"/>
  <c r="E38" i="9" l="1"/>
  <c r="F38" i="9" s="1"/>
  <c r="E39" i="9" l="1"/>
  <c r="F39" i="9" s="1"/>
  <c r="E40" i="9" l="1"/>
  <c r="F40" i="9" s="1"/>
  <c r="E41" i="9" l="1"/>
  <c r="F41" i="9" s="1"/>
  <c r="E118" i="9" l="1"/>
  <c r="F118" i="9" s="1"/>
  <c r="E60" i="9"/>
  <c r="F60" i="9" s="1"/>
  <c r="E56" i="9"/>
  <c r="F56" i="9" s="1"/>
  <c r="E66" i="9"/>
  <c r="F66" i="9" s="1"/>
  <c r="E51" i="9"/>
  <c r="F51" i="9" s="1"/>
  <c r="E44" i="9"/>
  <c r="F44" i="9" s="1"/>
  <c r="E72" i="9"/>
  <c r="F72" i="9" s="1"/>
  <c r="E77" i="9"/>
  <c r="F77" i="9" s="1"/>
  <c r="E54" i="9"/>
  <c r="F54" i="9" s="1"/>
  <c r="E79" i="9"/>
  <c r="F79" i="9" s="1"/>
  <c r="E45" i="9"/>
  <c r="F45" i="9" s="1"/>
  <c r="E78" i="9"/>
  <c r="F78" i="9" s="1"/>
  <c r="E76" i="9"/>
  <c r="F76" i="9" s="1"/>
  <c r="E70" i="9"/>
  <c r="F70" i="9" s="1"/>
  <c r="E62" i="9"/>
  <c r="F62" i="9" s="1"/>
  <c r="E43" i="9"/>
  <c r="F43" i="9" s="1"/>
  <c r="E49" i="9"/>
  <c r="F49" i="9" s="1"/>
  <c r="E74" i="9"/>
  <c r="F74" i="9" s="1"/>
  <c r="E67" i="9"/>
  <c r="F67" i="9" s="1"/>
  <c r="E61" i="9"/>
  <c r="F61" i="9" s="1"/>
  <c r="E53" i="9"/>
  <c r="F53" i="9" s="1"/>
  <c r="E47" i="9"/>
  <c r="F47" i="9" s="1"/>
  <c r="E55" i="9"/>
  <c r="F55" i="9" s="1"/>
  <c r="E73" i="9"/>
  <c r="F73" i="9" s="1"/>
  <c r="E65" i="9"/>
  <c r="F65" i="9" s="1"/>
  <c r="E46" i="9"/>
  <c r="F46" i="9" s="1"/>
  <c r="E71" i="9"/>
  <c r="F71" i="9" s="1"/>
  <c r="E50" i="9"/>
  <c r="F50" i="9" s="1"/>
  <c r="E75" i="9"/>
  <c r="F75" i="9" s="1"/>
  <c r="E25" i="9"/>
  <c r="E69" i="9"/>
  <c r="F69" i="9" s="1"/>
  <c r="E52" i="9"/>
  <c r="F52" i="9" s="1"/>
  <c r="E59" i="9"/>
  <c r="F59" i="9" s="1"/>
  <c r="E112" i="9"/>
  <c r="F112" i="9" s="1"/>
  <c r="E64" i="9"/>
  <c r="F64" i="9" s="1"/>
  <c r="E68" i="9"/>
  <c r="F68" i="9" s="1"/>
  <c r="E63" i="9"/>
  <c r="F63" i="9" s="1"/>
  <c r="E58" i="9"/>
  <c r="F58" i="9" s="1"/>
  <c r="E42" i="9"/>
  <c r="F42" i="9" s="1"/>
  <c r="E57" i="9"/>
  <c r="F57" i="9" s="1"/>
  <c r="F25" i="9" l="1"/>
  <c r="H25" i="9" s="1"/>
  <c r="E133" i="9"/>
  <c r="F133" i="9" s="1"/>
  <c r="E119" i="9"/>
  <c r="F119" i="9" s="1"/>
  <c r="E132" i="9"/>
  <c r="F132" i="9" s="1"/>
  <c r="E120" i="9"/>
  <c r="F120" i="9" s="1"/>
  <c r="E81" i="9"/>
  <c r="F81" i="9" s="1"/>
  <c r="E80" i="9"/>
  <c r="F80" i="9" s="1"/>
  <c r="I25" i="9" l="1"/>
  <c r="J25" i="9"/>
  <c r="H26" i="9"/>
  <c r="H27" i="9" s="1"/>
  <c r="H28" i="9" s="1"/>
  <c r="E134" i="9"/>
  <c r="F134" i="9" s="1"/>
  <c r="E121" i="9"/>
  <c r="F121" i="9" s="1"/>
  <c r="E82" i="9"/>
  <c r="F82" i="9" s="1"/>
  <c r="I28" i="9" l="1"/>
  <c r="H29" i="9"/>
  <c r="I27" i="9"/>
  <c r="I26" i="9"/>
  <c r="J26" i="9"/>
  <c r="E135" i="9"/>
  <c r="F135" i="9" s="1"/>
  <c r="E122" i="9"/>
  <c r="F122" i="9" s="1"/>
  <c r="E83" i="9"/>
  <c r="F83" i="9" s="1"/>
  <c r="I29" i="9" l="1"/>
  <c r="H30" i="9"/>
  <c r="J27" i="9"/>
  <c r="E136" i="9"/>
  <c r="F136" i="9" s="1"/>
  <c r="E123" i="9"/>
  <c r="F123" i="9" s="1"/>
  <c r="E84" i="9"/>
  <c r="F84" i="9" s="1"/>
  <c r="I30" i="9" l="1"/>
  <c r="H31" i="9"/>
  <c r="E137" i="9"/>
  <c r="F137" i="9" s="1"/>
  <c r="E124" i="9"/>
  <c r="F124" i="9" s="1"/>
  <c r="H32" i="9" l="1"/>
  <c r="I31" i="9"/>
  <c r="J28" i="9"/>
  <c r="E138" i="9"/>
  <c r="F138" i="9" s="1"/>
  <c r="E125" i="9"/>
  <c r="F125" i="9" s="1"/>
  <c r="E85" i="9"/>
  <c r="F85" i="9" s="1"/>
  <c r="H33" i="9" l="1"/>
  <c r="I32" i="9"/>
  <c r="J31" i="9"/>
  <c r="J29" i="9"/>
  <c r="E139" i="9"/>
  <c r="F139" i="9" s="1"/>
  <c r="E126" i="9"/>
  <c r="F126" i="9" s="1"/>
  <c r="E86" i="9"/>
  <c r="F86" i="9" s="1"/>
  <c r="I33" i="9" l="1"/>
  <c r="H34" i="9"/>
  <c r="J30" i="9"/>
  <c r="E127" i="9"/>
  <c r="F127" i="9" s="1"/>
  <c r="E87" i="9"/>
  <c r="F87" i="9" s="1"/>
  <c r="H35" i="9" l="1"/>
  <c r="I34" i="9"/>
  <c r="J33" i="9"/>
  <c r="E128" i="9"/>
  <c r="F128" i="9" s="1"/>
  <c r="E88" i="9"/>
  <c r="F88" i="9" s="1"/>
  <c r="H36" i="9" l="1"/>
  <c r="I35" i="9"/>
  <c r="J34" i="9"/>
  <c r="E129" i="9"/>
  <c r="F129" i="9" s="1"/>
  <c r="E109" i="9"/>
  <c r="F109" i="9" s="1"/>
  <c r="I36" i="9" l="1"/>
  <c r="H37" i="9"/>
  <c r="E140" i="9"/>
  <c r="F140" i="9" s="1"/>
  <c r="E130" i="9"/>
  <c r="F130" i="9" s="1"/>
  <c r="E131" i="9"/>
  <c r="F131" i="9" s="1"/>
  <c r="E89" i="9"/>
  <c r="F89" i="9" s="1"/>
  <c r="I37" i="9" l="1"/>
  <c r="H38" i="9"/>
  <c r="E141" i="9"/>
  <c r="F141" i="9" s="1"/>
  <c r="E90" i="9"/>
  <c r="F90" i="9" s="1"/>
  <c r="H39" i="9" l="1"/>
  <c r="I38" i="9"/>
  <c r="E142" i="9"/>
  <c r="F142" i="9" s="1"/>
  <c r="E91" i="9"/>
  <c r="F91" i="9" s="1"/>
  <c r="H40" i="9" l="1"/>
  <c r="I39" i="9"/>
  <c r="E146" i="9"/>
  <c r="F146" i="9" s="1"/>
  <c r="E92" i="9"/>
  <c r="F92" i="9" s="1"/>
  <c r="I40" i="9" l="1"/>
  <c r="H41" i="9"/>
  <c r="E147" i="9"/>
  <c r="F147" i="9" s="1"/>
  <c r="E93" i="9"/>
  <c r="F93" i="9" s="1"/>
  <c r="I41" i="9" l="1"/>
  <c r="H42" i="9"/>
  <c r="E149" i="9"/>
  <c r="F149" i="9" s="1"/>
  <c r="E148" i="9"/>
  <c r="F148" i="9" s="1"/>
  <c r="E94" i="9"/>
  <c r="F94" i="9" s="1"/>
  <c r="H43" i="9" l="1"/>
  <c r="I42" i="9"/>
  <c r="E95" i="9"/>
  <c r="F95" i="9" s="1"/>
  <c r="H44" i="9" l="1"/>
  <c r="I43" i="9"/>
  <c r="E96" i="9"/>
  <c r="F96" i="9" s="1"/>
  <c r="I44" i="9" l="1"/>
  <c r="H45" i="9"/>
  <c r="E97" i="9"/>
  <c r="F97" i="9" s="1"/>
  <c r="I45" i="9" l="1"/>
  <c r="H46" i="9"/>
  <c r="E98" i="9"/>
  <c r="F98" i="9" s="1"/>
  <c r="H47" i="9" l="1"/>
  <c r="I46" i="9"/>
  <c r="E99" i="9"/>
  <c r="F99" i="9" s="1"/>
  <c r="I47" i="9" l="1"/>
  <c r="H48" i="9"/>
  <c r="E100" i="9"/>
  <c r="F100" i="9" s="1"/>
  <c r="H49" i="9" l="1"/>
  <c r="I48" i="9"/>
  <c r="E101" i="9"/>
  <c r="F101" i="9" s="1"/>
  <c r="H50" i="9" l="1"/>
  <c r="I49" i="9"/>
  <c r="E103" i="9"/>
  <c r="F103" i="9" s="1"/>
  <c r="E102" i="9"/>
  <c r="F102" i="9" s="1"/>
  <c r="I50" i="9" l="1"/>
  <c r="H51" i="9"/>
  <c r="E104" i="9"/>
  <c r="F104" i="9" s="1"/>
  <c r="I51" i="9" l="1"/>
  <c r="H52" i="9"/>
  <c r="E105" i="9"/>
  <c r="F105" i="9" s="1"/>
  <c r="H53" i="9" l="1"/>
  <c r="I52" i="9"/>
  <c r="E106" i="9"/>
  <c r="F106" i="9" s="1"/>
  <c r="I53" i="9" l="1"/>
  <c r="H54" i="9"/>
  <c r="E107" i="9"/>
  <c r="F107" i="9" s="1"/>
  <c r="I54" i="9" l="1"/>
  <c r="H55" i="9"/>
  <c r="E108" i="9"/>
  <c r="F108" i="9" s="1"/>
  <c r="H56" i="9" l="1"/>
  <c r="I55" i="9"/>
  <c r="E110" i="9"/>
  <c r="F110" i="9" s="1"/>
  <c r="I56" i="9" l="1"/>
  <c r="H57" i="9"/>
  <c r="E111" i="9"/>
  <c r="F111" i="9" s="1"/>
  <c r="I57" i="9" l="1"/>
  <c r="H58" i="9"/>
  <c r="E114" i="9"/>
  <c r="F114" i="9" s="1"/>
  <c r="H59" i="9" l="1"/>
  <c r="I58" i="9"/>
  <c r="E150" i="9"/>
  <c r="F150" i="9" s="1"/>
  <c r="H60" i="9" l="1"/>
  <c r="I59" i="9"/>
  <c r="E115" i="9"/>
  <c r="F115" i="9" s="1"/>
  <c r="E151" i="9"/>
  <c r="F151" i="9" s="1"/>
  <c r="I60" i="9" l="1"/>
  <c r="H61" i="9"/>
  <c r="E116" i="9"/>
  <c r="F116" i="9" s="1"/>
  <c r="E152" i="9"/>
  <c r="F152" i="9" s="1"/>
  <c r="I61" i="9" l="1"/>
  <c r="H62" i="9"/>
  <c r="E117" i="9"/>
  <c r="F117" i="9" s="1"/>
  <c r="E153" i="9"/>
  <c r="F153" i="9" s="1"/>
  <c r="I62" i="9" l="1"/>
  <c r="H63" i="9"/>
  <c r="E154" i="9"/>
  <c r="F154" i="9" s="1"/>
  <c r="H64" i="9" l="1"/>
  <c r="I63" i="9"/>
  <c r="E160" i="9"/>
  <c r="F160" i="9" s="1"/>
  <c r="E155" i="9"/>
  <c r="F155" i="9" s="1"/>
  <c r="I64" i="9" l="1"/>
  <c r="H65" i="9"/>
  <c r="E156" i="9"/>
  <c r="F156" i="9" s="1"/>
  <c r="I65" i="9" l="1"/>
  <c r="H66" i="9"/>
  <c r="E157" i="9"/>
  <c r="F157" i="9" s="1"/>
  <c r="H67" i="9" l="1"/>
  <c r="I66" i="9"/>
  <c r="E158" i="9"/>
  <c r="F158" i="9" s="1"/>
  <c r="I67" i="9" l="1"/>
  <c r="H68" i="9"/>
  <c r="E159" i="9"/>
  <c r="F159" i="9" s="1"/>
  <c r="H69" i="9" l="1"/>
  <c r="I68" i="9"/>
  <c r="E161" i="9"/>
  <c r="F161" i="9" s="1"/>
  <c r="H70" i="9" l="1"/>
  <c r="I69" i="9"/>
  <c r="E162" i="9"/>
  <c r="F162" i="9" s="1"/>
  <c r="H71" i="9" l="1"/>
  <c r="I70" i="9"/>
  <c r="E176" i="9"/>
  <c r="F176" i="9" s="1"/>
  <c r="I71" i="9" l="1"/>
  <c r="H72" i="9"/>
  <c r="E177" i="9"/>
  <c r="F177" i="9" s="1"/>
  <c r="I72" i="9" l="1"/>
  <c r="H73" i="9"/>
  <c r="E178" i="9"/>
  <c r="F178" i="9" s="1"/>
  <c r="I73" i="9" l="1"/>
  <c r="H74" i="9"/>
  <c r="E179" i="9"/>
  <c r="F179" i="9" s="1"/>
  <c r="I74" i="9" l="1"/>
  <c r="H75" i="9"/>
  <c r="E180" i="9"/>
  <c r="F180" i="9" s="1"/>
  <c r="H76" i="9" l="1"/>
  <c r="I75" i="9"/>
  <c r="E181" i="9"/>
  <c r="F181" i="9" s="1"/>
  <c r="I76" i="9" l="1"/>
  <c r="H77" i="9"/>
  <c r="E182" i="9"/>
  <c r="F182" i="9" s="1"/>
  <c r="I77" i="9" l="1"/>
  <c r="H78" i="9"/>
  <c r="E183" i="9"/>
  <c r="F183" i="9" s="1"/>
  <c r="I78" i="9" l="1"/>
  <c r="H79" i="9"/>
  <c r="E184" i="9"/>
  <c r="F184" i="9" s="1"/>
  <c r="H80" i="9" l="1"/>
  <c r="I79" i="9"/>
  <c r="E185" i="9"/>
  <c r="F185" i="9" s="1"/>
  <c r="I80" i="9" l="1"/>
  <c r="H81" i="9"/>
  <c r="E186" i="9"/>
  <c r="F186" i="9" s="1"/>
  <c r="I81" i="9" l="1"/>
  <c r="H82" i="9"/>
  <c r="E187" i="9"/>
  <c r="F187" i="9" s="1"/>
  <c r="H83" i="9" l="1"/>
  <c r="I82" i="9"/>
  <c r="E188" i="9"/>
  <c r="F188" i="9" s="1"/>
  <c r="H84" i="9" l="1"/>
  <c r="I83" i="9"/>
  <c r="E189" i="9"/>
  <c r="F189" i="9" s="1"/>
  <c r="I84" i="9" l="1"/>
  <c r="H85" i="9"/>
  <c r="E190" i="9"/>
  <c r="F190" i="9" s="1"/>
  <c r="I85" i="9" l="1"/>
  <c r="H86" i="9"/>
  <c r="E191" i="9"/>
  <c r="F191" i="9" s="1"/>
  <c r="I86" i="9" l="1"/>
  <c r="H87" i="9"/>
  <c r="E192" i="9"/>
  <c r="F192" i="9" s="1"/>
  <c r="H88" i="9" l="1"/>
  <c r="I87" i="9"/>
  <c r="L89" i="9" s="1"/>
  <c r="N88" i="9" s="1"/>
  <c r="E193" i="9"/>
  <c r="F193" i="9" s="1"/>
  <c r="I88" i="9" l="1"/>
  <c r="H89" i="9"/>
  <c r="E194" i="9"/>
  <c r="F194" i="9" s="1"/>
  <c r="I89" i="9" l="1"/>
  <c r="H90" i="9"/>
  <c r="E195" i="9"/>
  <c r="F195" i="9" s="1"/>
  <c r="H91" i="9" l="1"/>
  <c r="I90" i="9"/>
  <c r="E196" i="9"/>
  <c r="F196" i="9" s="1"/>
  <c r="H92" i="9" l="1"/>
  <c r="I91" i="9"/>
  <c r="E197" i="9"/>
  <c r="F197" i="9" s="1"/>
  <c r="I92" i="9" l="1"/>
  <c r="H93" i="9"/>
  <c r="E198" i="9"/>
  <c r="F198" i="9" s="1"/>
  <c r="I93" i="9" l="1"/>
  <c r="H94" i="9"/>
  <c r="E206" i="9"/>
  <c r="F206" i="9" s="1"/>
  <c r="H95" i="9" l="1"/>
  <c r="I94" i="9"/>
  <c r="E207" i="9"/>
  <c r="F207" i="9" s="1"/>
  <c r="H96" i="9" l="1"/>
  <c r="I95" i="9"/>
  <c r="E208" i="9"/>
  <c r="F208" i="9" s="1"/>
  <c r="I96" i="9" l="1"/>
  <c r="H97" i="9"/>
  <c r="E209" i="9"/>
  <c r="F209" i="9" s="1"/>
  <c r="I97" i="9" l="1"/>
  <c r="H98" i="9"/>
  <c r="E210" i="9"/>
  <c r="F210" i="9" s="1"/>
  <c r="I98" i="9" l="1"/>
  <c r="H99" i="9"/>
  <c r="E218" i="9"/>
  <c r="F218" i="9" s="1"/>
  <c r="H100" i="9" l="1"/>
  <c r="I99" i="9"/>
  <c r="E211" i="9"/>
  <c r="F211" i="9" s="1"/>
  <c r="I100" i="9" l="1"/>
  <c r="H101" i="9"/>
  <c r="E213" i="9"/>
  <c r="F213" i="9" s="1"/>
  <c r="I101" i="9" l="1"/>
  <c r="H102" i="9"/>
  <c r="E217" i="9"/>
  <c r="F217" i="9" s="1"/>
  <c r="I102" i="9" l="1"/>
  <c r="H103" i="9"/>
  <c r="E220" i="9"/>
  <c r="F220" i="9" s="1"/>
  <c r="E219" i="9"/>
  <c r="F219" i="9" s="1"/>
  <c r="H104" i="9" l="1"/>
  <c r="I103" i="9"/>
  <c r="E221" i="9"/>
  <c r="F221" i="9" s="1"/>
  <c r="I104" i="9" l="1"/>
  <c r="H105" i="9"/>
  <c r="E222" i="9"/>
  <c r="F222" i="9" s="1"/>
  <c r="I105" i="9" l="1"/>
  <c r="H106" i="9"/>
  <c r="E223" i="9"/>
  <c r="F223" i="9" s="1"/>
  <c r="H107" i="9" l="1"/>
  <c r="I106" i="9"/>
  <c r="E224" i="9"/>
  <c r="F224" i="9" s="1"/>
  <c r="I107" i="9" l="1"/>
  <c r="H108" i="9"/>
  <c r="E225" i="9"/>
  <c r="F225" i="9" s="1"/>
  <c r="I108" i="9" l="1"/>
  <c r="H109" i="9"/>
  <c r="E226" i="9"/>
  <c r="F226" i="9" s="1"/>
  <c r="I109" i="9" l="1"/>
  <c r="H110" i="9"/>
  <c r="E227" i="9"/>
  <c r="F227" i="9" s="1"/>
  <c r="I110" i="9" l="1"/>
  <c r="H111" i="9"/>
  <c r="E228" i="9"/>
  <c r="F228" i="9" s="1"/>
  <c r="H112" i="9" l="1"/>
  <c r="I111" i="9"/>
  <c r="E229" i="9"/>
  <c r="F229" i="9" s="1"/>
  <c r="I112" i="9" l="1"/>
  <c r="H113" i="9"/>
  <c r="E230" i="9"/>
  <c r="F230" i="9" s="1"/>
  <c r="I113" i="9" l="1"/>
  <c r="H114" i="9"/>
  <c r="E231" i="9"/>
  <c r="F231" i="9" s="1"/>
  <c r="H115" i="9" l="1"/>
  <c r="I114" i="9"/>
  <c r="L30" i="9"/>
  <c r="N29" i="9" s="1"/>
  <c r="J32" i="9"/>
  <c r="H116" i="9" l="1"/>
  <c r="I115" i="9"/>
  <c r="J35" i="9"/>
  <c r="I116" i="9" l="1"/>
  <c r="H117" i="9"/>
  <c r="J36" i="9"/>
  <c r="I117" i="9" l="1"/>
  <c r="H118" i="9"/>
  <c r="J37" i="9"/>
  <c r="H119" i="9" l="1"/>
  <c r="I118" i="9"/>
  <c r="J38" i="9"/>
  <c r="H120" i="9" l="1"/>
  <c r="I119" i="9"/>
  <c r="J39" i="9"/>
  <c r="I120" i="9" l="1"/>
  <c r="H121" i="9"/>
  <c r="J40" i="9"/>
  <c r="I121" i="9" l="1"/>
  <c r="H122" i="9"/>
  <c r="J41" i="9"/>
  <c r="H123" i="9" l="1"/>
  <c r="I122" i="9"/>
  <c r="J42" i="9"/>
  <c r="H124" i="9" l="1"/>
  <c r="I123" i="9"/>
  <c r="J43" i="9"/>
  <c r="I124" i="9" l="1"/>
  <c r="H125" i="9"/>
  <c r="J44" i="9"/>
  <c r="I125" i="9" l="1"/>
  <c r="H126" i="9"/>
  <c r="J45" i="9"/>
  <c r="H127" i="9" l="1"/>
  <c r="I126" i="9"/>
  <c r="J46" i="9"/>
  <c r="I127" i="9" l="1"/>
  <c r="H128" i="9"/>
  <c r="J47" i="9"/>
  <c r="I128" i="9" l="1"/>
  <c r="H129" i="9"/>
  <c r="J48" i="9"/>
  <c r="I129" i="9" l="1"/>
  <c r="H130" i="9"/>
  <c r="J49" i="9"/>
  <c r="H131" i="9" l="1"/>
  <c r="I130" i="9"/>
  <c r="J50" i="9"/>
  <c r="H132" i="9" l="1"/>
  <c r="I131" i="9"/>
  <c r="J51" i="9"/>
  <c r="H133" i="9" l="1"/>
  <c r="I132" i="9"/>
  <c r="J52" i="9"/>
  <c r="I133" i="9" l="1"/>
  <c r="H134" i="9"/>
  <c r="J53" i="9"/>
  <c r="H135" i="9" l="1"/>
  <c r="I134" i="9"/>
  <c r="J54" i="9"/>
  <c r="H136" i="9" l="1"/>
  <c r="I135" i="9"/>
  <c r="J55" i="9"/>
  <c r="I136" i="9" l="1"/>
  <c r="H137" i="9"/>
  <c r="J56" i="9"/>
  <c r="I137" i="9" l="1"/>
  <c r="H138" i="9"/>
  <c r="J57" i="9"/>
  <c r="I138" i="9" l="1"/>
  <c r="H139" i="9"/>
  <c r="J58" i="9"/>
  <c r="H140" i="9" l="1"/>
  <c r="I139" i="9"/>
  <c r="J59" i="9"/>
  <c r="I140" i="9" l="1"/>
  <c r="H141" i="9"/>
  <c r="J60" i="9"/>
  <c r="I141" i="9" l="1"/>
  <c r="H142" i="9"/>
  <c r="I142" i="9" s="1"/>
  <c r="J61" i="9"/>
  <c r="J62" i="9" l="1"/>
  <c r="J63" i="9" l="1"/>
  <c r="J64" i="9" l="1"/>
  <c r="J65" i="9" l="1"/>
  <c r="J66" i="9" l="1"/>
  <c r="J67" i="9" l="1"/>
  <c r="J68" i="9" l="1"/>
  <c r="J69" i="9" l="1"/>
  <c r="J70" i="9" l="1"/>
  <c r="J71" i="9" l="1"/>
  <c r="J72" i="9" l="1"/>
  <c r="J73" i="9" l="1"/>
  <c r="J74" i="9" l="1"/>
  <c r="J75" i="9" l="1"/>
  <c r="J76" i="9" l="1"/>
  <c r="J77" i="9" l="1"/>
  <c r="J78" i="9" l="1"/>
  <c r="J79" i="9" l="1"/>
  <c r="J82" i="9" l="1"/>
  <c r="J81" i="9"/>
  <c r="J80" i="9"/>
  <c r="J83" i="9" l="1"/>
  <c r="J84" i="9" l="1"/>
  <c r="J85" i="9" l="1"/>
  <c r="J86" i="9" l="1"/>
  <c r="J87" i="9" l="1"/>
  <c r="J88" i="9" l="1"/>
  <c r="J89" i="9" l="1"/>
  <c r="J90" i="9" l="1"/>
  <c r="J91" i="9" l="1"/>
  <c r="J92" i="9" l="1"/>
  <c r="J93" i="9" l="1"/>
  <c r="J94" i="9" l="1"/>
  <c r="J95" i="9" l="1"/>
  <c r="J96" i="9" l="1"/>
  <c r="J97" i="9" l="1"/>
  <c r="J98" i="9" l="1"/>
  <c r="J99" i="9" l="1"/>
  <c r="J100" i="9" l="1"/>
  <c r="J101" i="9" l="1"/>
  <c r="J102" i="9" l="1"/>
  <c r="J103" i="9" l="1"/>
  <c r="J104" i="9" l="1"/>
  <c r="J105" i="9" l="1"/>
  <c r="J106" i="9" l="1"/>
  <c r="J107" i="9" l="1"/>
  <c r="J108" i="9" l="1"/>
  <c r="J109" i="9" l="1"/>
  <c r="J111" i="9" l="1"/>
  <c r="J110" i="9"/>
  <c r="J112" i="9" l="1"/>
  <c r="J113" i="9" l="1"/>
  <c r="J114" i="9" l="1"/>
  <c r="J115" i="9" l="1"/>
  <c r="J116" i="9" l="1"/>
  <c r="J117" i="9" l="1"/>
  <c r="J118" i="9" l="1"/>
  <c r="J119" i="9" l="1"/>
  <c r="J120" i="9" l="1"/>
  <c r="J121" i="9" l="1"/>
  <c r="J122" i="9" l="1"/>
  <c r="J123" i="9" l="1"/>
  <c r="J124" i="9" l="1"/>
  <c r="J125" i="9" l="1"/>
  <c r="J126" i="9" l="1"/>
  <c r="J127" i="9" l="1"/>
  <c r="J128" i="9" l="1"/>
  <c r="J129" i="9" l="1"/>
  <c r="J130" i="9" l="1"/>
  <c r="J131" i="9" l="1"/>
  <c r="J132" i="9" l="1"/>
  <c r="J133" i="9" l="1"/>
  <c r="J134" i="9" l="1"/>
  <c r="J135" i="9" l="1"/>
  <c r="J136" i="9" l="1"/>
  <c r="J137" i="9" l="1"/>
  <c r="J139" i="9" l="1"/>
  <c r="J138" i="9"/>
  <c r="J140" i="9" l="1"/>
  <c r="H143" i="9" l="1"/>
  <c r="J141" i="9"/>
  <c r="I143" i="9" l="1"/>
  <c r="L145" i="9" s="1"/>
  <c r="N144" i="9" s="1"/>
  <c r="H144" i="9"/>
  <c r="J143" i="9"/>
  <c r="H145" i="9" l="1"/>
  <c r="I144" i="9"/>
  <c r="J144" i="9"/>
  <c r="I145" i="9" l="1"/>
  <c r="H146" i="9"/>
  <c r="J145" i="9"/>
  <c r="I146" i="9" l="1"/>
  <c r="H147" i="9"/>
  <c r="I147" i="9" s="1"/>
  <c r="J142" i="9"/>
  <c r="J146" i="9" l="1"/>
  <c r="H148" i="9" l="1"/>
  <c r="J147" i="9"/>
  <c r="H149" i="9" l="1"/>
  <c r="J148" i="9"/>
  <c r="I148" i="9"/>
  <c r="H150" i="9" l="1"/>
  <c r="I149" i="9"/>
  <c r="J149" i="9"/>
  <c r="H151" i="9" l="1"/>
  <c r="H152" i="9" s="1"/>
  <c r="I150" i="9"/>
  <c r="J150" i="9"/>
  <c r="I152" i="9" l="1"/>
  <c r="H153" i="9"/>
  <c r="I151" i="9"/>
  <c r="J151" i="9"/>
  <c r="H154" i="9" l="1"/>
  <c r="I153" i="9"/>
  <c r="J152" i="9"/>
  <c r="I154" i="9" l="1"/>
  <c r="H155" i="9"/>
  <c r="J153" i="9"/>
  <c r="J154" i="9"/>
  <c r="H156" i="9" l="1"/>
  <c r="I155" i="9"/>
  <c r="J155" i="9"/>
  <c r="I156" i="9" l="1"/>
  <c r="H157" i="9"/>
  <c r="J156" i="9"/>
  <c r="I157" i="9" l="1"/>
  <c r="H158" i="9"/>
  <c r="J157" i="9"/>
  <c r="I158" i="9" l="1"/>
  <c r="H159" i="9"/>
  <c r="I159" i="9" s="1"/>
  <c r="J158" i="9"/>
  <c r="J159" i="9" l="1"/>
  <c r="H160" i="9"/>
  <c r="I160" i="9" l="1"/>
  <c r="H161" i="9"/>
  <c r="J160" i="9"/>
  <c r="H162" i="9" l="1"/>
  <c r="I161" i="9"/>
  <c r="J161" i="9"/>
  <c r="I162" i="9" l="1"/>
  <c r="H163" i="9"/>
  <c r="J162" i="9"/>
  <c r="I163" i="9" l="1"/>
  <c r="J163" i="9"/>
  <c r="H164" i="9"/>
  <c r="H165" i="9" l="1"/>
  <c r="J164" i="9"/>
  <c r="I164" i="9"/>
  <c r="J165" i="9" l="1"/>
  <c r="H166" i="9"/>
  <c r="I165" i="9"/>
  <c r="J166" i="9" l="1"/>
  <c r="I166" i="9"/>
  <c r="H167" i="9"/>
  <c r="J167" i="9" l="1"/>
  <c r="I167" i="9"/>
  <c r="H168" i="9"/>
  <c r="H169" i="9" l="1"/>
  <c r="J168" i="9"/>
  <c r="I168" i="9"/>
  <c r="H170" i="9" l="1"/>
  <c r="I169" i="9"/>
  <c r="J169" i="9"/>
  <c r="J170" i="9" l="1"/>
  <c r="I170" i="9"/>
  <c r="H171" i="9"/>
  <c r="J171" i="9" l="1"/>
  <c r="H172" i="9"/>
  <c r="I171" i="9"/>
  <c r="I172" i="9" l="1"/>
  <c r="H173" i="9"/>
  <c r="J172" i="9"/>
  <c r="J173" i="9" l="1"/>
  <c r="I173" i="9"/>
  <c r="H174" i="9"/>
  <c r="I174" i="9" l="1"/>
  <c r="J174" i="9"/>
  <c r="H175" i="9"/>
  <c r="H176" i="9" l="1"/>
  <c r="I175" i="9"/>
  <c r="J175" i="9"/>
  <c r="J176" i="9" l="1"/>
  <c r="H177" i="9"/>
  <c r="I176" i="9"/>
  <c r="H178" i="9" l="1"/>
  <c r="J177" i="9"/>
  <c r="I177" i="9"/>
  <c r="I178" i="9" l="1"/>
  <c r="H179" i="9"/>
  <c r="J178" i="9"/>
  <c r="J179" i="9" l="1"/>
  <c r="I179" i="9"/>
  <c r="H180" i="9"/>
  <c r="I180" i="9" l="1"/>
  <c r="H181" i="9"/>
  <c r="J180" i="9"/>
  <c r="J181" i="9" l="1"/>
  <c r="H182" i="9"/>
  <c r="I181" i="9"/>
  <c r="I182" i="9" l="1"/>
  <c r="J182" i="9"/>
  <c r="H183" i="9"/>
  <c r="J183" i="9" l="1"/>
  <c r="H184" i="9"/>
  <c r="I183" i="9"/>
  <c r="I184" i="9" l="1"/>
  <c r="H185" i="9"/>
  <c r="J184" i="9"/>
  <c r="H186" i="9" l="1"/>
  <c r="J185" i="9"/>
  <c r="I185" i="9"/>
  <c r="I186" i="9" l="1"/>
  <c r="J186" i="9"/>
  <c r="H187" i="9"/>
  <c r="J187" i="9" l="1"/>
  <c r="I187" i="9"/>
  <c r="H188" i="9"/>
  <c r="I188" i="9" l="1"/>
  <c r="H189" i="9"/>
  <c r="J188" i="9"/>
  <c r="J189" i="9" l="1"/>
  <c r="H190" i="9"/>
  <c r="I189" i="9"/>
  <c r="I190" i="9" l="1"/>
  <c r="J190" i="9"/>
  <c r="H191" i="9"/>
  <c r="J191" i="9" l="1"/>
  <c r="I191" i="9"/>
  <c r="H192" i="9"/>
  <c r="I192" i="9" l="1"/>
  <c r="H193" i="9"/>
  <c r="J192" i="9"/>
  <c r="H194" i="9" l="1"/>
  <c r="H195" i="9" s="1"/>
  <c r="J193" i="9"/>
  <c r="I193" i="9"/>
  <c r="I195" i="9" l="1"/>
  <c r="H196" i="9"/>
  <c r="J195" i="9"/>
  <c r="I194" i="9"/>
  <c r="J194" i="9"/>
  <c r="J196" i="9" l="1"/>
  <c r="H197" i="9"/>
  <c r="H198" i="9" s="1"/>
  <c r="I196" i="9"/>
  <c r="I198" i="9" l="1"/>
  <c r="H199" i="9"/>
  <c r="J197" i="9"/>
  <c r="I197" i="9"/>
  <c r="I199" i="9" l="1"/>
  <c r="H200" i="9"/>
  <c r="J198" i="9"/>
  <c r="H201" i="9" l="1"/>
  <c r="I200" i="9"/>
  <c r="J199" i="9"/>
  <c r="H202" i="9" l="1"/>
  <c r="I201" i="9"/>
  <c r="L202" i="9"/>
  <c r="N201" i="9" s="1"/>
  <c r="J200" i="9"/>
  <c r="I202" i="9" l="1"/>
  <c r="H203" i="9"/>
  <c r="I203" i="9" s="1"/>
  <c r="J201" i="9"/>
  <c r="J202" i="9" l="1"/>
  <c r="H204" i="9" l="1"/>
  <c r="J203" i="9"/>
  <c r="H205" i="9" l="1"/>
  <c r="J204" i="9"/>
  <c r="I204" i="9"/>
  <c r="H206" i="9" l="1"/>
  <c r="J205" i="9"/>
  <c r="I205" i="9"/>
  <c r="I206" i="9" l="1"/>
  <c r="J206" i="9"/>
  <c r="H207" i="9"/>
  <c r="J207" i="9" l="1"/>
  <c r="H208" i="9"/>
  <c r="I207" i="9"/>
  <c r="I208" i="9" l="1"/>
  <c r="J208" i="9"/>
  <c r="H209" i="9"/>
  <c r="H210" i="9" s="1"/>
  <c r="I210" i="9" l="1"/>
  <c r="H211" i="9"/>
  <c r="H212" i="9" s="1"/>
  <c r="H213" i="9" s="1"/>
  <c r="J210" i="9"/>
  <c r="J209" i="9"/>
  <c r="I209" i="9"/>
  <c r="I213" i="9" l="1"/>
  <c r="H214" i="9"/>
  <c r="J212" i="9"/>
  <c r="I212" i="9"/>
  <c r="J211" i="9"/>
  <c r="I211" i="9"/>
  <c r="I214" i="9" l="1"/>
  <c r="H215" i="9"/>
  <c r="J214" i="9"/>
  <c r="J213" i="9"/>
  <c r="L216" i="9" l="1"/>
  <c r="N215" i="9" s="1"/>
  <c r="I215" i="9"/>
  <c r="H216" i="9"/>
  <c r="J215" i="9"/>
  <c r="H217" i="9" l="1"/>
  <c r="I216" i="9"/>
  <c r="J216" i="9"/>
  <c r="I217" i="9" l="1"/>
  <c r="H218" i="9"/>
  <c r="J217" i="9"/>
  <c r="I218" i="9" l="1"/>
  <c r="J218" i="9"/>
  <c r="H219" i="9"/>
  <c r="H220" i="9" l="1"/>
  <c r="J219" i="9"/>
  <c r="I219" i="9"/>
  <c r="H221" i="9" l="1"/>
  <c r="J220" i="9"/>
  <c r="I220" i="9"/>
  <c r="J221" i="9" l="1"/>
  <c r="H222" i="9"/>
  <c r="I221" i="9"/>
  <c r="J222" i="9" l="1"/>
  <c r="H223" i="9"/>
  <c r="I222" i="9"/>
  <c r="I223" i="9" l="1"/>
  <c r="H224" i="9"/>
  <c r="J223" i="9"/>
  <c r="I224" i="9" l="1"/>
  <c r="J224" i="9"/>
  <c r="H225" i="9"/>
  <c r="H226" i="9" l="1"/>
  <c r="I225" i="9"/>
  <c r="J225" i="9"/>
  <c r="H227" i="9" l="1"/>
  <c r="I226" i="9"/>
  <c r="J226" i="9"/>
  <c r="H228" i="9" l="1"/>
  <c r="I227" i="9"/>
  <c r="J227" i="9"/>
  <c r="J228" i="9" l="1"/>
  <c r="H229" i="9"/>
  <c r="I228" i="9"/>
  <c r="H230" i="9" l="1"/>
  <c r="J229" i="9"/>
  <c r="I229" i="9"/>
  <c r="H231" i="9" l="1"/>
  <c r="I230" i="9"/>
  <c r="J230" i="9"/>
  <c r="J231" i="9" l="1"/>
  <c r="H232" i="9"/>
  <c r="I231" i="9"/>
  <c r="H233" i="9" l="1"/>
  <c r="J232" i="9"/>
  <c r="I232" i="9"/>
  <c r="I233" i="9" l="1"/>
  <c r="J233" i="9"/>
  <c r="H234" i="9"/>
  <c r="J234" i="9" l="1"/>
  <c r="I234" i="9"/>
  <c r="H235" i="9"/>
  <c r="H236" i="9" l="1"/>
  <c r="J235" i="9"/>
  <c r="I235" i="9"/>
  <c r="I236" i="9" l="1"/>
  <c r="J236" i="9"/>
  <c r="H237" i="9"/>
  <c r="I237" i="9" l="1"/>
  <c r="J237" i="9"/>
  <c r="H238" i="9"/>
  <c r="I238" i="9" l="1"/>
  <c r="J238" i="9"/>
  <c r="H239" i="9"/>
  <c r="J239" i="9" l="1"/>
  <c r="H240" i="9"/>
  <c r="I239" i="9"/>
  <c r="I240" i="9" l="1"/>
  <c r="J240" i="9"/>
  <c r="H241" i="9"/>
  <c r="J241" i="9" l="1"/>
  <c r="I241" i="9"/>
  <c r="H242" i="9"/>
  <c r="I242" i="9" l="1"/>
  <c r="J242" i="9"/>
  <c r="H243" i="9"/>
  <c r="I243" i="9" l="1"/>
  <c r="J243" i="9"/>
  <c r="H244" i="9"/>
  <c r="H245" i="9" l="1"/>
  <c r="J244" i="9"/>
  <c r="I244" i="9"/>
  <c r="J245" i="9" l="1"/>
  <c r="I245" i="9"/>
  <c r="H246" i="9"/>
  <c r="H247" i="9" l="1"/>
  <c r="J246" i="9"/>
  <c r="I246" i="9"/>
  <c r="H248" i="9" l="1"/>
  <c r="J247" i="9"/>
  <c r="I247" i="9"/>
  <c r="J248" i="9" l="1"/>
  <c r="H249" i="9"/>
  <c r="I248" i="9"/>
  <c r="J249" i="9" l="1"/>
  <c r="I249" i="9"/>
  <c r="H250" i="9"/>
  <c r="J250" i="9" l="1"/>
  <c r="I250" i="9"/>
  <c r="H251" i="9"/>
  <c r="H252" i="9" l="1"/>
  <c r="I251" i="9"/>
  <c r="J251" i="9"/>
  <c r="J252" i="9" l="1"/>
  <c r="I252" i="9"/>
  <c r="H253" i="9"/>
  <c r="H254" i="9" s="1"/>
  <c r="I254" i="9" l="1"/>
  <c r="J254" i="9"/>
  <c r="H255" i="9"/>
  <c r="I253" i="9"/>
  <c r="J253" i="9"/>
  <c r="J255" i="9" l="1"/>
  <c r="I255" i="9"/>
  <c r="H256" i="9"/>
  <c r="J256" i="9" l="1"/>
  <c r="I256" i="9"/>
  <c r="H257" i="9"/>
  <c r="H258" i="9" l="1"/>
  <c r="I257" i="9"/>
  <c r="J257" i="9"/>
  <c r="I258" i="9" l="1"/>
  <c r="J258" i="9"/>
  <c r="H259" i="9"/>
  <c r="H260" i="9" l="1"/>
  <c r="I259" i="9"/>
  <c r="L261" i="9" s="1"/>
  <c r="N259" i="9" s="1"/>
  <c r="J259" i="9"/>
  <c r="J260" i="9" l="1"/>
  <c r="H261" i="9"/>
  <c r="I260" i="9"/>
  <c r="J261" i="9" l="1"/>
  <c r="I261" i="9"/>
  <c r="H262" i="9"/>
  <c r="J262" i="9" l="1"/>
  <c r="I262" i="9"/>
  <c r="H263" i="9"/>
  <c r="I263" i="9" l="1"/>
  <c r="J263" i="9"/>
  <c r="H264" i="9"/>
  <c r="J264" i="9" l="1"/>
  <c r="I264" i="9"/>
  <c r="H265" i="9"/>
  <c r="H266" i="9" l="1"/>
  <c r="J265" i="9"/>
  <c r="I265" i="9"/>
  <c r="I266" i="9" l="1"/>
  <c r="H267" i="9"/>
  <c r="J266" i="9"/>
  <c r="H268" i="9" l="1"/>
  <c r="I267" i="9"/>
  <c r="J267" i="9"/>
  <c r="H269" i="9" l="1"/>
  <c r="J268" i="9"/>
  <c r="I268" i="9"/>
  <c r="H270" i="9" l="1"/>
  <c r="I269" i="9"/>
  <c r="J269" i="9"/>
  <c r="H271" i="9" l="1"/>
  <c r="J270" i="9"/>
  <c r="I270" i="9"/>
  <c r="J271" i="9" l="1"/>
  <c r="H272" i="9"/>
  <c r="I271" i="9"/>
  <c r="J272" i="9" l="1"/>
  <c r="H273" i="9"/>
  <c r="I272" i="9"/>
  <c r="J273" i="9" l="1"/>
  <c r="H274" i="9"/>
  <c r="I273" i="9"/>
  <c r="I274" i="9" l="1"/>
  <c r="J274" i="9"/>
  <c r="H275" i="9"/>
  <c r="I275" i="9" l="1"/>
  <c r="J275" i="9"/>
  <c r="H276" i="9"/>
  <c r="I276" i="9" l="1"/>
  <c r="J276" i="9"/>
  <c r="H277" i="9"/>
  <c r="J277" i="9" l="1"/>
  <c r="H278" i="9"/>
  <c r="I277" i="9"/>
  <c r="H279" i="9" l="1"/>
  <c r="I278" i="9"/>
  <c r="J278" i="9"/>
  <c r="H280" i="9" l="1"/>
  <c r="J279" i="9"/>
  <c r="I279" i="9"/>
  <c r="L281" i="9" s="1"/>
  <c r="H281" i="9" l="1"/>
  <c r="J280" i="9"/>
  <c r="I280" i="9"/>
  <c r="I281" i="9" l="1"/>
  <c r="N279" i="9" s="1"/>
  <c r="J281" i="9"/>
  <c r="H282" i="9"/>
  <c r="I282" i="9" l="1"/>
  <c r="H283" i="9"/>
  <c r="J282" i="9"/>
  <c r="I283" i="9" l="1"/>
  <c r="J283" i="9"/>
  <c r="H284" i="9"/>
  <c r="H285" i="9" l="1"/>
  <c r="J284" i="9"/>
  <c r="I284" i="9"/>
  <c r="J285" i="9" l="1"/>
  <c r="I285" i="9"/>
  <c r="H286" i="9"/>
  <c r="J286" i="9" l="1"/>
  <c r="H287" i="9"/>
  <c r="I286" i="9"/>
  <c r="I287" i="9" l="1"/>
  <c r="J287" i="9"/>
  <c r="H288" i="9"/>
  <c r="J288" i="9" l="1"/>
  <c r="I288" i="9"/>
  <c r="H289" i="9"/>
  <c r="I289" i="9" l="1"/>
  <c r="J289" i="9"/>
  <c r="H290" i="9"/>
  <c r="J290" i="9" l="1"/>
  <c r="H291" i="9"/>
  <c r="I290" i="9"/>
  <c r="H292" i="9" l="1"/>
  <c r="I291" i="9"/>
  <c r="J291" i="9"/>
  <c r="I292" i="9" l="1"/>
  <c r="H293" i="9"/>
  <c r="J292" i="9"/>
  <c r="I293" i="9" l="1"/>
  <c r="H294" i="9"/>
  <c r="J293" i="9"/>
  <c r="H295" i="9" l="1"/>
  <c r="I294" i="9"/>
  <c r="J294" i="9"/>
  <c r="I295" i="9" l="1"/>
  <c r="J295" i="9"/>
  <c r="H296" i="9"/>
  <c r="I296" i="9" l="1"/>
  <c r="J296" i="9"/>
  <c r="H297" i="9"/>
  <c r="J297" i="9" l="1"/>
  <c r="H298" i="9"/>
  <c r="I297" i="9"/>
  <c r="H299" i="9" l="1"/>
  <c r="I298" i="9"/>
  <c r="J298" i="9"/>
  <c r="I299" i="9" l="1"/>
  <c r="J299" i="9"/>
  <c r="H300" i="9"/>
  <c r="J300" i="9" l="1"/>
  <c r="H301" i="9"/>
  <c r="I300" i="9"/>
  <c r="J301" i="9" l="1"/>
  <c r="I301" i="9"/>
  <c r="H302" i="9"/>
  <c r="J302" i="9" l="1"/>
  <c r="H303" i="9"/>
  <c r="I302" i="9"/>
  <c r="J303" i="9" l="1"/>
  <c r="I303" i="9"/>
  <c r="L310" i="9" s="1"/>
  <c r="H304" i="9"/>
  <c r="N310" i="9" l="1"/>
  <c r="O310" i="9"/>
  <c r="I304" i="9"/>
  <c r="J304" i="9"/>
  <c r="H305" i="9"/>
  <c r="J305" i="9" l="1"/>
  <c r="H306" i="9"/>
  <c r="I305" i="9"/>
  <c r="L311" i="9" s="1"/>
  <c r="H307" i="9" l="1"/>
  <c r="J306" i="9"/>
  <c r="I306" i="9"/>
  <c r="N311" i="9"/>
  <c r="O311" i="9"/>
  <c r="H308" i="9" l="1"/>
  <c r="L305" i="9"/>
  <c r="I307" i="9"/>
  <c r="J307" i="9"/>
  <c r="L313" i="9" l="1"/>
  <c r="K11" i="9"/>
  <c r="L314" i="9"/>
  <c r="L307" i="9"/>
  <c r="L306" i="9"/>
  <c r="J308" i="9"/>
  <c r="I308" i="9"/>
  <c r="H309" i="9"/>
  <c r="H310" i="9" l="1"/>
  <c r="I309" i="9"/>
  <c r="O314" i="9"/>
  <c r="N314" i="9"/>
  <c r="O313" i="9"/>
  <c r="N313" i="9"/>
  <c r="I310" i="9" l="1"/>
  <c r="H311" i="9"/>
  <c r="H312" i="9" l="1"/>
  <c r="I311" i="9"/>
  <c r="I312" i="9" l="1"/>
  <c r="H313" i="9"/>
  <c r="H314" i="9" l="1"/>
  <c r="I313" i="9"/>
  <c r="I314" i="9" l="1"/>
  <c r="H315" i="9"/>
  <c r="I315" i="9" l="1"/>
  <c r="H316" i="9"/>
  <c r="H317" i="9" l="1"/>
  <c r="I316" i="9"/>
  <c r="I317" i="9" l="1"/>
  <c r="H318" i="9"/>
  <c r="H319" i="9" l="1"/>
  <c r="I318" i="9"/>
  <c r="I319" i="9" l="1"/>
  <c r="H320" i="9"/>
  <c r="H321" i="9" l="1"/>
  <c r="I320" i="9"/>
  <c r="H322" i="9" l="1"/>
  <c r="I321" i="9"/>
  <c r="H323" i="9" l="1"/>
  <c r="I322" i="9"/>
  <c r="H324" i="9" l="1"/>
  <c r="I323" i="9"/>
  <c r="H325" i="9" l="1"/>
  <c r="I324" i="9"/>
  <c r="H326" i="9" l="1"/>
  <c r="I325" i="9"/>
  <c r="I326" i="9" l="1"/>
  <c r="H327" i="9"/>
  <c r="I327" i="9" l="1"/>
  <c r="H328" i="9"/>
  <c r="I328" i="9" l="1"/>
  <c r="H329" i="9"/>
  <c r="H330" i="9" l="1"/>
  <c r="I329" i="9"/>
  <c r="I330" i="9" l="1"/>
  <c r="H331" i="9"/>
  <c r="I331" i="9" l="1"/>
  <c r="H332" i="9"/>
  <c r="I332" i="9" l="1"/>
  <c r="H333" i="9"/>
  <c r="I333" i="9" l="1"/>
  <c r="H334" i="9"/>
  <c r="H335" i="9" l="1"/>
  <c r="I334" i="9"/>
  <c r="H336" i="9" l="1"/>
  <c r="I335" i="9"/>
  <c r="I336" i="9" l="1"/>
  <c r="H337" i="9"/>
  <c r="I337" i="9" l="1"/>
  <c r="H338" i="9"/>
  <c r="I338" i="9" l="1"/>
  <c r="H339" i="9"/>
  <c r="H340" i="9" l="1"/>
  <c r="I339" i="9"/>
  <c r="I340" i="9" l="1"/>
  <c r="H341" i="9"/>
  <c r="H342" i="9" l="1"/>
  <c r="I341" i="9"/>
  <c r="H343" i="9" l="1"/>
  <c r="I342" i="9"/>
  <c r="H344" i="9" l="1"/>
  <c r="I343" i="9"/>
  <c r="H345" i="9" l="1"/>
  <c r="I344" i="9"/>
  <c r="I345" i="9" l="1"/>
  <c r="H346" i="9"/>
  <c r="H347" i="9" l="1"/>
  <c r="I346" i="9"/>
  <c r="H348" i="9" l="1"/>
  <c r="I347" i="9"/>
  <c r="I348" i="9" l="1"/>
  <c r="H349" i="9"/>
  <c r="I349" i="9" l="1"/>
  <c r="H350" i="9"/>
  <c r="I350" i="9" l="1"/>
  <c r="H351" i="9"/>
  <c r="I351" i="9" l="1"/>
  <c r="H352" i="9"/>
  <c r="H353" i="9" l="1"/>
  <c r="I352" i="9"/>
  <c r="I353" i="9" l="1"/>
  <c r="H354" i="9"/>
  <c r="I354" i="9" l="1"/>
  <c r="H355" i="9"/>
  <c r="H356" i="9" l="1"/>
  <c r="I355" i="9"/>
  <c r="I356" i="9" l="1"/>
  <c r="H357" i="9"/>
  <c r="I357" i="9" l="1"/>
  <c r="H358" i="9"/>
  <c r="I358" i="9" l="1"/>
  <c r="H359" i="9"/>
  <c r="H360" i="9" l="1"/>
  <c r="I359" i="9"/>
  <c r="I360" i="9" l="1"/>
  <c r="H361" i="9"/>
  <c r="H362" i="9" l="1"/>
  <c r="I361" i="9"/>
  <c r="H363" i="9" l="1"/>
  <c r="I362" i="9"/>
  <c r="I363" i="9" l="1"/>
  <c r="H364" i="9"/>
  <c r="H365" i="9" l="1"/>
  <c r="I364" i="9"/>
  <c r="I365" i="9" l="1"/>
  <c r="H366" i="9"/>
  <c r="H367" i="9" l="1"/>
  <c r="I366" i="9"/>
  <c r="I367" i="9" l="1"/>
  <c r="H368" i="9"/>
  <c r="H369" i="9" l="1"/>
  <c r="I368" i="9"/>
  <c r="I369" i="9" l="1"/>
  <c r="H370" i="9"/>
  <c r="I370" i="9" l="1"/>
  <c r="H371" i="9"/>
  <c r="H372" i="9" l="1"/>
  <c r="I371" i="9"/>
  <c r="I372" i="9" l="1"/>
  <c r="H373" i="9"/>
  <c r="H374" i="9" l="1"/>
  <c r="I373" i="9"/>
  <c r="I374" i="9" l="1"/>
  <c r="H375" i="9"/>
  <c r="H376" i="9" l="1"/>
  <c r="I375" i="9"/>
  <c r="H377" i="9" l="1"/>
  <c r="I376" i="9"/>
  <c r="H378" i="9" l="1"/>
  <c r="I377" i="9"/>
  <c r="I378" i="9" l="1"/>
  <c r="H379" i="9"/>
  <c r="I379" i="9" l="1"/>
  <c r="H380" i="9"/>
  <c r="I380" i="9" l="1"/>
  <c r="H381" i="9"/>
  <c r="H382" i="9" l="1"/>
  <c r="I381" i="9"/>
  <c r="I382" i="9" l="1"/>
  <c r="H383" i="9"/>
  <c r="H384" i="9" l="1"/>
  <c r="I383" i="9"/>
  <c r="I384" i="9" l="1"/>
  <c r="H385" i="9"/>
  <c r="H386" i="9" l="1"/>
  <c r="I385" i="9"/>
  <c r="I386" i="9" l="1"/>
  <c r="H387" i="9"/>
  <c r="H388" i="9" l="1"/>
  <c r="I387" i="9"/>
  <c r="H389" i="9" l="1"/>
  <c r="I388" i="9"/>
  <c r="H390" i="9" l="1"/>
  <c r="I389" i="9"/>
  <c r="I390" i="9" l="1"/>
  <c r="H391" i="9"/>
  <c r="I391" i="9" l="1"/>
  <c r="H392" i="9"/>
  <c r="I392" i="9" l="1"/>
  <c r="H393" i="9"/>
  <c r="I393" i="9" l="1"/>
  <c r="H394" i="9"/>
  <c r="I394" i="9" l="1"/>
  <c r="H395" i="9"/>
  <c r="H396" i="9" l="1"/>
  <c r="I395" i="9"/>
  <c r="H397" i="9" l="1"/>
  <c r="I396" i="9"/>
  <c r="I397" i="9" l="1"/>
  <c r="H398" i="9"/>
  <c r="I398" i="9" l="1"/>
  <c r="H399" i="9"/>
  <c r="H400" i="9" l="1"/>
  <c r="I399" i="9"/>
  <c r="I400" i="9" l="1"/>
  <c r="H401" i="9"/>
  <c r="H402" i="9" l="1"/>
  <c r="I401" i="9"/>
  <c r="I402" i="9" l="1"/>
  <c r="H403" i="9"/>
  <c r="I403" i="9" l="1"/>
  <c r="H404" i="9"/>
  <c r="H405" i="9" l="1"/>
  <c r="I404" i="9"/>
  <c r="H406" i="9" l="1"/>
  <c r="I405" i="9"/>
  <c r="H407" i="9" l="1"/>
  <c r="I406" i="9"/>
  <c r="I407" i="9" l="1"/>
  <c r="H408" i="9"/>
  <c r="H409" i="9" l="1"/>
  <c r="I408" i="9"/>
  <c r="I409" i="9" l="1"/>
  <c r="H410" i="9"/>
  <c r="I410" i="9" l="1"/>
  <c r="H411" i="9"/>
  <c r="I411" i="9" l="1"/>
  <c r="H412" i="9"/>
  <c r="H413" i="9" l="1"/>
  <c r="I412" i="9"/>
  <c r="H414" i="9" l="1"/>
  <c r="I413" i="9"/>
  <c r="I414" i="9" l="1"/>
  <c r="H415" i="9"/>
  <c r="H416" i="9" l="1"/>
  <c r="I415" i="9"/>
  <c r="I416" i="9" l="1"/>
  <c r="H417" i="9"/>
  <c r="H418" i="9" l="1"/>
  <c r="I417" i="9"/>
  <c r="H419" i="9" l="1"/>
  <c r="I418" i="9"/>
  <c r="I419" i="9" l="1"/>
  <c r="H420" i="9"/>
  <c r="H421" i="9" l="1"/>
  <c r="I420" i="9"/>
  <c r="I421" i="9" l="1"/>
  <c r="H422" i="9"/>
  <c r="I422" i="9" l="1"/>
  <c r="H423" i="9"/>
  <c r="I423" i="9" l="1"/>
  <c r="H424" i="9"/>
  <c r="H425" i="9" l="1"/>
  <c r="I424" i="9"/>
  <c r="I425" i="9" l="1"/>
  <c r="H426" i="9"/>
  <c r="I426" i="9" l="1"/>
  <c r="H427" i="9"/>
  <c r="H428" i="9" l="1"/>
  <c r="I427" i="9"/>
  <c r="I428" i="9" l="1"/>
  <c r="H429" i="9"/>
  <c r="H430" i="9" l="1"/>
  <c r="I429" i="9"/>
  <c r="I430" i="9" l="1"/>
  <c r="H431" i="9"/>
  <c r="H432" i="9" l="1"/>
  <c r="I431" i="9"/>
  <c r="H433" i="9" l="1"/>
  <c r="I432" i="9"/>
  <c r="H434" i="9" l="1"/>
  <c r="I433" i="9"/>
  <c r="H435" i="9" l="1"/>
  <c r="I434" i="9"/>
  <c r="I435" i="9" l="1"/>
  <c r="H436" i="9"/>
  <c r="I436" i="9" l="1"/>
  <c r="H437" i="9"/>
  <c r="H438" i="9" l="1"/>
  <c r="I437" i="9"/>
  <c r="I438" i="9" l="1"/>
  <c r="H439" i="9"/>
  <c r="H440" i="9" l="1"/>
  <c r="I439" i="9"/>
  <c r="I440" i="9" l="1"/>
  <c r="H441" i="9"/>
  <c r="H442" i="9" l="1"/>
  <c r="I441" i="9"/>
  <c r="I442" i="9" l="1"/>
  <c r="H443" i="9"/>
  <c r="H444" i="9" l="1"/>
  <c r="I443" i="9"/>
  <c r="I444" i="9" l="1"/>
  <c r="H445" i="9"/>
  <c r="I445" i="9" l="1"/>
  <c r="H446" i="9"/>
  <c r="H447" i="9" l="1"/>
  <c r="I446" i="9"/>
  <c r="I447" i="9" l="1"/>
  <c r="H448" i="9"/>
  <c r="H449" i="9" l="1"/>
  <c r="I448" i="9"/>
  <c r="I449" i="9" l="1"/>
  <c r="H450" i="9"/>
  <c r="I450" i="9" l="1"/>
  <c r="H451" i="9"/>
  <c r="I451" i="9" l="1"/>
  <c r="H452" i="9"/>
  <c r="I452" i="9" l="1"/>
  <c r="H453" i="9"/>
  <c r="I453" i="9" l="1"/>
  <c r="H454" i="9"/>
  <c r="I454" i="9" l="1"/>
  <c r="H455" i="9"/>
  <c r="I455" i="9" l="1"/>
  <c r="H456" i="9"/>
  <c r="H457" i="9" l="1"/>
  <c r="I456" i="9"/>
  <c r="H458" i="9" l="1"/>
  <c r="I457" i="9"/>
  <c r="I458" i="9" l="1"/>
  <c r="H459" i="9"/>
  <c r="I459" i="9" l="1"/>
  <c r="H460" i="9"/>
  <c r="I460" i="9" l="1"/>
  <c r="H461" i="9"/>
  <c r="I461" i="9" l="1"/>
  <c r="H462" i="9"/>
  <c r="I462" i="9" l="1"/>
  <c r="H463" i="9"/>
  <c r="H464" i="9" l="1"/>
  <c r="I463" i="9"/>
  <c r="I464" i="9" l="1"/>
  <c r="H465" i="9"/>
  <c r="H466" i="9" l="1"/>
  <c r="I465" i="9"/>
  <c r="I466" i="9" l="1"/>
  <c r="H467" i="9"/>
  <c r="H468" i="9" l="1"/>
  <c r="I467" i="9"/>
  <c r="I468" i="9" l="1"/>
  <c r="H469" i="9"/>
  <c r="I469" i="9" l="1"/>
  <c r="H470" i="9"/>
  <c r="H471" i="9" l="1"/>
  <c r="I470" i="9"/>
  <c r="I471" i="9" l="1"/>
  <c r="H472" i="9"/>
  <c r="H473" i="9" l="1"/>
  <c r="I472" i="9"/>
  <c r="I473" i="9" l="1"/>
  <c r="H474" i="9"/>
  <c r="I474" i="9" l="1"/>
  <c r="H475" i="9"/>
  <c r="I475" i="9" l="1"/>
  <c r="H476" i="9"/>
  <c r="I476" i="9" l="1"/>
  <c r="H477" i="9"/>
  <c r="I477" i="9" l="1"/>
  <c r="H478" i="9"/>
  <c r="I478" i="9" l="1"/>
  <c r="H479" i="9"/>
  <c r="H480" i="9" l="1"/>
  <c r="I479" i="9"/>
  <c r="H481" i="9" l="1"/>
  <c r="I480" i="9"/>
  <c r="H482" i="9" l="1"/>
  <c r="I481" i="9"/>
  <c r="I482" i="9" l="1"/>
  <c r="H483" i="9"/>
  <c r="I483" i="9" l="1"/>
  <c r="H484" i="9"/>
  <c r="I484" i="9" l="1"/>
  <c r="H485" i="9"/>
  <c r="H486" i="9" l="1"/>
  <c r="I485" i="9"/>
  <c r="H487" i="9" l="1"/>
  <c r="I486" i="9"/>
  <c r="H488" i="9" l="1"/>
  <c r="I487" i="9"/>
  <c r="I488" i="9" l="1"/>
  <c r="H489" i="9"/>
  <c r="H490" i="9" l="1"/>
  <c r="I489" i="9"/>
  <c r="H491" i="9" l="1"/>
  <c r="I490" i="9"/>
  <c r="H492" i="9" l="1"/>
  <c r="I491" i="9"/>
  <c r="H493" i="9" l="1"/>
  <c r="I492" i="9"/>
  <c r="I493" i="9" l="1"/>
  <c r="H494" i="9"/>
  <c r="I494" i="9" l="1"/>
  <c r="H495" i="9"/>
  <c r="I495" i="9" l="1"/>
  <c r="H496" i="9"/>
  <c r="H497" i="9" l="1"/>
  <c r="I496" i="9"/>
  <c r="H498" i="9" l="1"/>
  <c r="I497" i="9"/>
  <c r="I498" i="9" l="1"/>
  <c r="H499" i="9"/>
  <c r="H500" i="9" l="1"/>
  <c r="I499" i="9"/>
  <c r="I500" i="9" l="1"/>
  <c r="H501" i="9"/>
  <c r="I501" i="9" l="1"/>
  <c r="H502" i="9"/>
  <c r="I502" i="9" l="1"/>
  <c r="H503" i="9"/>
  <c r="H504" i="9" l="1"/>
  <c r="I503" i="9"/>
  <c r="I504" i="9" l="1"/>
  <c r="H505" i="9"/>
  <c r="H506" i="9" l="1"/>
  <c r="I505" i="9"/>
  <c r="I506" i="9" l="1"/>
  <c r="H507" i="9"/>
  <c r="I507" i="9" l="1"/>
  <c r="H508" i="9"/>
  <c r="I508" i="9" l="1"/>
  <c r="H509" i="9"/>
  <c r="H510" i="9" l="1"/>
  <c r="I509" i="9"/>
  <c r="H511" i="9" l="1"/>
  <c r="I510" i="9"/>
  <c r="H512" i="9" l="1"/>
  <c r="I511" i="9"/>
  <c r="H513" i="9" l="1"/>
  <c r="I512" i="9"/>
  <c r="I513" i="9" l="1"/>
  <c r="H514" i="9"/>
  <c r="H515" i="9" l="1"/>
  <c r="I514" i="9"/>
  <c r="H516" i="9" l="1"/>
  <c r="I515" i="9"/>
  <c r="I516" i="9" l="1"/>
  <c r="H517" i="9"/>
  <c r="I517" i="9" l="1"/>
  <c r="H518" i="9"/>
  <c r="I518" i="9" l="1"/>
  <c r="H519" i="9"/>
  <c r="H520" i="9" l="1"/>
  <c r="I519" i="9"/>
  <c r="H521" i="9" l="1"/>
  <c r="I520" i="9"/>
  <c r="H522" i="9" l="1"/>
  <c r="I521" i="9"/>
  <c r="H523" i="9" l="1"/>
  <c r="I522" i="9"/>
  <c r="I523" i="9" l="1"/>
  <c r="H524" i="9"/>
  <c r="H525" i="9" l="1"/>
  <c r="I524" i="9"/>
  <c r="H526" i="9" l="1"/>
  <c r="I525" i="9"/>
  <c r="H527" i="9" l="1"/>
  <c r="I526" i="9"/>
  <c r="H528" i="9" l="1"/>
  <c r="I527" i="9"/>
  <c r="H529" i="9" l="1"/>
  <c r="I528" i="9"/>
  <c r="H530" i="9" l="1"/>
  <c r="I529" i="9"/>
  <c r="I530" i="9" l="1"/>
  <c r="H531" i="9"/>
  <c r="H532" i="9" l="1"/>
  <c r="I531" i="9"/>
  <c r="I532" i="9" l="1"/>
  <c r="H533" i="9"/>
  <c r="I533" i="9" l="1"/>
  <c r="H534" i="9"/>
  <c r="I534" i="9" l="1"/>
  <c r="H535" i="9"/>
  <c r="I535" i="9" l="1"/>
  <c r="H536" i="9"/>
  <c r="I536" i="9" l="1"/>
  <c r="H537" i="9"/>
  <c r="H538" i="9" l="1"/>
  <c r="I537" i="9"/>
  <c r="I538" i="9" l="1"/>
  <c r="H539" i="9"/>
  <c r="I539" i="9" l="1"/>
  <c r="H540" i="9"/>
  <c r="I540" i="9" l="1"/>
  <c r="H541" i="9"/>
  <c r="H542" i="9" l="1"/>
  <c r="I541" i="9"/>
  <c r="H543" i="9" l="1"/>
  <c r="I542" i="9"/>
  <c r="I543" i="9" l="1"/>
  <c r="H544" i="9"/>
  <c r="I544" i="9" l="1"/>
  <c r="H545" i="9"/>
  <c r="I545" i="9" l="1"/>
  <c r="H546" i="9"/>
  <c r="I546" i="9" l="1"/>
  <c r="H547" i="9"/>
  <c r="H548" i="9" l="1"/>
  <c r="I547" i="9"/>
  <c r="H549" i="9" l="1"/>
  <c r="I548" i="9"/>
  <c r="I549" i="9" l="1"/>
  <c r="H550" i="9"/>
  <c r="I550" i="9" l="1"/>
  <c r="H551" i="9"/>
  <c r="H552" i="9" l="1"/>
  <c r="I551" i="9"/>
  <c r="H553" i="9" l="1"/>
  <c r="I552" i="9"/>
  <c r="H554" i="9" l="1"/>
  <c r="I553" i="9"/>
  <c r="I554" i="9" l="1"/>
  <c r="H555" i="9"/>
  <c r="I555" i="9" l="1"/>
  <c r="H556" i="9"/>
  <c r="I556" i="9" l="1"/>
  <c r="H557" i="9"/>
  <c r="H558" i="9" l="1"/>
  <c r="I557" i="9"/>
  <c r="H559" i="9" l="1"/>
  <c r="I558" i="9"/>
  <c r="H560" i="9" l="1"/>
  <c r="I559" i="9"/>
  <c r="I560" i="9" l="1"/>
  <c r="H561" i="9"/>
  <c r="I561" i="9" l="1"/>
  <c r="H562" i="9"/>
  <c r="I562" i="9" l="1"/>
  <c r="H563" i="9"/>
  <c r="H564" i="9" l="1"/>
  <c r="I563" i="9"/>
  <c r="I564" i="9" l="1"/>
  <c r="H565" i="9"/>
  <c r="I565" i="9" l="1"/>
  <c r="H566" i="9"/>
  <c r="I566" i="9" l="1"/>
  <c r="H567" i="9"/>
  <c r="I567" i="9" l="1"/>
  <c r="H568" i="9"/>
  <c r="H569" i="9" l="1"/>
  <c r="I568" i="9"/>
  <c r="H570" i="9" l="1"/>
  <c r="I569" i="9"/>
  <c r="H571" i="9" l="1"/>
  <c r="I570" i="9"/>
  <c r="I571" i="9" l="1"/>
  <c r="H572" i="9"/>
  <c r="H573" i="9" l="1"/>
  <c r="I572" i="9"/>
  <c r="I573" i="9" l="1"/>
  <c r="H574" i="9"/>
  <c r="H575" i="9" l="1"/>
  <c r="I574" i="9"/>
  <c r="H576" i="9" l="1"/>
  <c r="I575" i="9"/>
  <c r="I576" i="9" l="1"/>
  <c r="H577" i="9"/>
  <c r="H578" i="9" l="1"/>
  <c r="I577" i="9"/>
  <c r="H579" i="9" l="1"/>
  <c r="I578" i="9"/>
  <c r="I579" i="9" l="1"/>
  <c r="H580" i="9"/>
  <c r="I580" i="9" l="1"/>
  <c r="H581" i="9"/>
  <c r="H582" i="9" l="1"/>
  <c r="I581" i="9"/>
  <c r="H583" i="9" l="1"/>
  <c r="I582" i="9"/>
  <c r="I583" i="9" l="1"/>
  <c r="H584" i="9"/>
  <c r="H585" i="9" l="1"/>
  <c r="I584" i="9"/>
  <c r="I585" i="9" l="1"/>
  <c r="H586" i="9"/>
  <c r="I586" i="9" l="1"/>
  <c r="H587" i="9"/>
  <c r="H588" i="9" l="1"/>
  <c r="I587" i="9"/>
  <c r="I588" i="9" l="1"/>
  <c r="H589" i="9"/>
  <c r="I589" i="9" l="1"/>
  <c r="H590" i="9"/>
  <c r="I590" i="9" l="1"/>
  <c r="H591" i="9"/>
  <c r="I591" i="9" l="1"/>
  <c r="H592" i="9"/>
  <c r="I592" i="9" l="1"/>
  <c r="H593" i="9"/>
  <c r="H594" i="9" l="1"/>
  <c r="I593" i="9"/>
  <c r="I594" i="9" l="1"/>
  <c r="H595" i="9"/>
  <c r="I595" i="9" l="1"/>
  <c r="H596" i="9"/>
  <c r="I596" i="9" l="1"/>
  <c r="H597" i="9"/>
  <c r="I597" i="9" l="1"/>
  <c r="H598" i="9"/>
  <c r="I598" i="9" l="1"/>
  <c r="H599" i="9"/>
  <c r="I599" i="9" l="1"/>
  <c r="H600" i="9"/>
  <c r="H601" i="9" l="1"/>
  <c r="I600" i="9"/>
  <c r="I601" i="9" l="1"/>
  <c r="H602" i="9"/>
  <c r="I602" i="9" l="1"/>
  <c r="H603" i="9"/>
  <c r="I603" i="9" l="1"/>
  <c r="H604" i="9"/>
  <c r="I604" i="9" l="1"/>
  <c r="H605" i="9"/>
  <c r="H606" i="9" l="1"/>
  <c r="I605" i="9"/>
  <c r="I606" i="9" l="1"/>
  <c r="H607" i="9"/>
  <c r="I607" i="9" l="1"/>
  <c r="H608" i="9"/>
  <c r="I608" i="9" l="1"/>
  <c r="H609" i="9"/>
  <c r="H610" i="9" l="1"/>
  <c r="I609" i="9"/>
  <c r="I610" i="9" l="1"/>
  <c r="H611" i="9"/>
  <c r="I611" i="9" l="1"/>
  <c r="H612" i="9"/>
  <c r="I612" i="9" l="1"/>
  <c r="H613" i="9"/>
  <c r="I613" i="9" l="1"/>
  <c r="H614" i="9"/>
  <c r="I614" i="9" l="1"/>
  <c r="H615" i="9"/>
  <c r="I615" i="9" l="1"/>
  <c r="H616" i="9"/>
  <c r="H617" i="9" l="1"/>
  <c r="I616" i="9"/>
  <c r="I617" i="9" l="1"/>
  <c r="H618" i="9"/>
  <c r="I618" i="9" l="1"/>
  <c r="H619" i="9"/>
  <c r="H620" i="9" l="1"/>
  <c r="I619" i="9"/>
  <c r="H621" i="9" l="1"/>
  <c r="I620" i="9"/>
  <c r="I621" i="9" l="1"/>
  <c r="H622" i="9"/>
  <c r="I622" i="9" l="1"/>
  <c r="H623" i="9"/>
  <c r="I623" i="9" l="1"/>
  <c r="H624" i="9"/>
  <c r="I624" i="9" l="1"/>
  <c r="H625" i="9"/>
  <c r="I625" i="9" l="1"/>
  <c r="H626" i="9"/>
  <c r="H627" i="9" l="1"/>
  <c r="I626" i="9"/>
  <c r="I627" i="9" l="1"/>
  <c r="H628" i="9"/>
  <c r="I628" i="9" l="1"/>
  <c r="H629" i="9"/>
  <c r="H630" i="9" l="1"/>
  <c r="I629" i="9"/>
  <c r="H631" i="9" l="1"/>
  <c r="I630" i="9"/>
  <c r="I631" i="9" l="1"/>
  <c r="H632" i="9"/>
  <c r="H633" i="9" l="1"/>
  <c r="I632" i="9"/>
  <c r="H634" i="9" l="1"/>
  <c r="I633" i="9"/>
  <c r="H635" i="9" l="1"/>
  <c r="I634" i="9"/>
  <c r="H636" i="9" l="1"/>
  <c r="I635" i="9"/>
  <c r="I636" i="9" l="1"/>
  <c r="H637" i="9"/>
  <c r="H638" i="9" l="1"/>
  <c r="I637" i="9"/>
  <c r="I638" i="9" l="1"/>
  <c r="H639" i="9"/>
  <c r="I639" i="9" l="1"/>
  <c r="H640" i="9"/>
  <c r="H641" i="9" l="1"/>
  <c r="I640" i="9"/>
  <c r="H642" i="9" l="1"/>
  <c r="I641" i="9"/>
  <c r="I642" i="9" l="1"/>
  <c r="H643" i="9"/>
  <c r="H644" i="9" l="1"/>
  <c r="I643" i="9"/>
  <c r="H645" i="9" l="1"/>
  <c r="I644" i="9"/>
  <c r="I645" i="9" l="1"/>
  <c r="H646" i="9"/>
  <c r="H647" i="9" l="1"/>
  <c r="I646" i="9"/>
  <c r="I647" i="9" l="1"/>
  <c r="H648" i="9"/>
  <c r="H649" i="9" l="1"/>
  <c r="I648" i="9"/>
  <c r="I649" i="9" l="1"/>
  <c r="H650" i="9"/>
  <c r="I650" i="9" l="1"/>
  <c r="H651" i="9"/>
  <c r="I651" i="9" l="1"/>
  <c r="H652" i="9"/>
  <c r="I652" i="9" l="1"/>
  <c r="H653" i="9"/>
  <c r="I653" i="9" l="1"/>
  <c r="H654" i="9"/>
  <c r="I654" i="9" l="1"/>
  <c r="H655" i="9"/>
  <c r="I655" i="9" l="1"/>
  <c r="H656" i="9"/>
  <c r="H657" i="9" l="1"/>
  <c r="I656" i="9"/>
  <c r="H658" i="9" l="1"/>
  <c r="I657" i="9"/>
  <c r="H659" i="9" l="1"/>
  <c r="I658" i="9"/>
  <c r="I659" i="9" l="1"/>
  <c r="H660" i="9"/>
  <c r="I660" i="9" l="1"/>
  <c r="H661" i="9"/>
  <c r="H662" i="9" l="1"/>
  <c r="I661" i="9"/>
  <c r="H663" i="9" l="1"/>
  <c r="I662" i="9"/>
  <c r="I663" i="9" l="1"/>
  <c r="H664" i="9"/>
  <c r="H665" i="9" l="1"/>
  <c r="I664" i="9"/>
  <c r="I665" i="9" l="1"/>
  <c r="H666" i="9"/>
  <c r="H667" i="9" l="1"/>
  <c r="I666" i="9"/>
  <c r="H668" i="9" l="1"/>
  <c r="I667" i="9"/>
  <c r="I668" i="9" l="1"/>
  <c r="H669" i="9"/>
  <c r="I669" i="9" l="1"/>
  <c r="H670" i="9"/>
  <c r="I670" i="9" l="1"/>
  <c r="H671" i="9"/>
  <c r="I671" i="9" l="1"/>
  <c r="H672" i="9"/>
  <c r="H673" i="9" l="1"/>
  <c r="I672" i="9"/>
  <c r="H674" i="9" l="1"/>
  <c r="I673" i="9"/>
  <c r="H675" i="9" l="1"/>
  <c r="I674" i="9"/>
  <c r="H676" i="9" l="1"/>
  <c r="I675" i="9"/>
  <c r="I676" i="9" l="1"/>
  <c r="H677" i="9"/>
  <c r="I677" i="9" l="1"/>
  <c r="H678" i="9"/>
  <c r="H679" i="9" l="1"/>
  <c r="I678" i="9"/>
  <c r="I679" i="9" l="1"/>
  <c r="H680" i="9"/>
  <c r="H681" i="9" l="1"/>
  <c r="I680" i="9"/>
  <c r="I681" i="9" l="1"/>
  <c r="H682" i="9"/>
  <c r="H683" i="9" l="1"/>
  <c r="I682" i="9"/>
  <c r="I683" i="9" l="1"/>
  <c r="H684" i="9"/>
  <c r="H685" i="9" l="1"/>
  <c r="I684" i="9"/>
  <c r="I685" i="9" l="1"/>
  <c r="H686" i="9"/>
  <c r="I686" i="9" l="1"/>
  <c r="H687" i="9"/>
  <c r="I687" i="9" l="1"/>
  <c r="H688" i="9"/>
  <c r="H689" i="9" s="1"/>
  <c r="I689" i="9" l="1"/>
  <c r="H690" i="9"/>
  <c r="I688" i="9"/>
  <c r="I690" i="9" l="1"/>
  <c r="H691" i="9"/>
  <c r="I691" i="9" s="1"/>
  <c r="H692" i="9"/>
  <c r="H693" i="9" l="1"/>
  <c r="I692" i="9"/>
  <c r="I693" i="9" l="1"/>
  <c r="H694" i="9"/>
  <c r="H695" i="9" l="1"/>
  <c r="I694" i="9"/>
  <c r="I695" i="9" l="1"/>
  <c r="H696" i="9"/>
  <c r="I696" i="9" s="1"/>
</calcChain>
</file>

<file path=xl/sharedStrings.xml><?xml version="1.0" encoding="utf-8"?>
<sst xmlns="http://schemas.openxmlformats.org/spreadsheetml/2006/main" count="1642" uniqueCount="289">
  <si>
    <t>Baker Hughes</t>
  </si>
  <si>
    <t>7" LINER TALLY</t>
  </si>
  <si>
    <t>Tension:</t>
  </si>
  <si>
    <t>Well:</t>
  </si>
  <si>
    <t>Date:</t>
  </si>
  <si>
    <t>Burst:</t>
  </si>
  <si>
    <t>Rig:</t>
  </si>
  <si>
    <t>Shelf Drilling Odyssey</t>
  </si>
  <si>
    <t>QE LNG Representative:</t>
  </si>
  <si>
    <t>Collapse:</t>
  </si>
  <si>
    <t>Liner Run # :</t>
  </si>
  <si>
    <t>Baker Representative:</t>
  </si>
  <si>
    <t>Casing Size:</t>
  </si>
  <si>
    <t>Block Weight:</t>
  </si>
  <si>
    <t>7" Shoe Depth:</t>
  </si>
  <si>
    <t>Weight:</t>
  </si>
  <si>
    <t>Mud Weight:</t>
  </si>
  <si>
    <t>Total Depth:</t>
  </si>
  <si>
    <t>Grade:</t>
  </si>
  <si>
    <t>SM2535-110</t>
  </si>
  <si>
    <t>Bouyancy Factor:</t>
  </si>
  <si>
    <t>Rat Hole:</t>
  </si>
  <si>
    <t>VAM21 M/Up Loss:</t>
  </si>
  <si>
    <t>Casing ID:</t>
  </si>
  <si>
    <t>7" Liner Top:</t>
  </si>
  <si>
    <t>TSH M/Up Loss:</t>
  </si>
  <si>
    <t>Connection 1:</t>
  </si>
  <si>
    <t>TSH Wedge 563 DPLS</t>
  </si>
  <si>
    <t>9-5/8" Shoe:</t>
  </si>
  <si>
    <t>Drift:</t>
  </si>
  <si>
    <t>Connection 2:</t>
  </si>
  <si>
    <t>9-5/8" x 10-3/4" Crossover:</t>
  </si>
  <si>
    <t>Centralizers:</t>
  </si>
  <si>
    <t>Centralizer Type:</t>
  </si>
  <si>
    <t>Bow Spring</t>
  </si>
  <si>
    <t>JOINTS</t>
  </si>
  <si>
    <t>CENTRALIZERS/DESC</t>
  </si>
  <si>
    <t>JOINT</t>
  </si>
  <si>
    <t>EFFECTIVE</t>
  </si>
  <si>
    <t>TOTAL</t>
  </si>
  <si>
    <t>DEPTH OF</t>
  </si>
  <si>
    <t xml:space="preserve">EST STRG </t>
  </si>
  <si>
    <t xml:space="preserve">        COMMENTS</t>
  </si>
  <si>
    <t>RUN</t>
  </si>
  <si>
    <t>NO</t>
  </si>
  <si>
    <t>TYPE</t>
  </si>
  <si>
    <t>NUMBER</t>
  </si>
  <si>
    <t>LENGTH</t>
  </si>
  <si>
    <t>IN/OUT</t>
  </si>
  <si>
    <t>TOP OF JT</t>
  </si>
  <si>
    <t>WEIGHT</t>
  </si>
  <si>
    <t>-</t>
  </si>
  <si>
    <t>Float Shoe - DV</t>
  </si>
  <si>
    <t xml:space="preserve">Shoe Joint </t>
  </si>
  <si>
    <t xml:space="preserve">FC Pup Joint </t>
  </si>
  <si>
    <t>Float Collar - DV</t>
  </si>
  <si>
    <t>Pup Joint</t>
  </si>
  <si>
    <t xml:space="preserve">LFC Landing Collar </t>
  </si>
  <si>
    <t>IN</t>
  </si>
  <si>
    <t>WEDGE 563 DPLS</t>
  </si>
  <si>
    <t>**BakerLok first 3ea connections</t>
  </si>
  <si>
    <t xml:space="preserve">20 ft PUP </t>
  </si>
  <si>
    <t>ft. Difference</t>
  </si>
  <si>
    <t>4 FT above pin</t>
  </si>
  <si>
    <t xml:space="preserve">10 ft PUP </t>
  </si>
  <si>
    <t xml:space="preserve">4 ft above pin </t>
  </si>
  <si>
    <t xml:space="preserve">  </t>
  </si>
  <si>
    <t>Bottom Pup Joint</t>
  </si>
  <si>
    <t>UNIFLEX PRO CS HANGER PACKER</t>
  </si>
  <si>
    <t>CSL Hanger (MID-SLIPS)</t>
  </si>
  <si>
    <t>H293690016GRG1</t>
  </si>
  <si>
    <t>ZXP Packer (MID-SLIPS)</t>
  </si>
  <si>
    <t>ZXP Packer (MID-ELEMENT)</t>
  </si>
  <si>
    <t>Liner Length :</t>
  </si>
  <si>
    <t>Bottom PBR</t>
  </si>
  <si>
    <t>Liner Lap :</t>
  </si>
  <si>
    <t>Liner Hanger PBR</t>
  </si>
  <si>
    <t>Top of Liner :</t>
  </si>
  <si>
    <t>Running Tool Stick Up</t>
  </si>
  <si>
    <t>XT-57 B</t>
  </si>
  <si>
    <t>SDO</t>
  </si>
  <si>
    <t>XO, 5-7/8" Delta576 B x XT57 P</t>
  </si>
  <si>
    <t xml:space="preserve">7" UNIFLEX-PRO CSL Hanger </t>
  </si>
  <si>
    <t>Top Collar</t>
  </si>
  <si>
    <t>Bottom Collar</t>
  </si>
  <si>
    <t>HWDP Std#1</t>
  </si>
  <si>
    <t>5 7/8 HWDP SINGLE</t>
  </si>
  <si>
    <t>Mid Hanger Slips</t>
  </si>
  <si>
    <t>Mid Packer</t>
  </si>
  <si>
    <t>7" ZXP Tieback Packer</t>
  </si>
  <si>
    <t>DP Std#1</t>
  </si>
  <si>
    <t>5 7/8 DP SINGLE</t>
  </si>
  <si>
    <t>Mid Packer Slips</t>
  </si>
  <si>
    <t>9-5/8" Casing Collars @</t>
  </si>
  <si>
    <t>DP Std#2</t>
  </si>
  <si>
    <t>DP Std#3</t>
  </si>
  <si>
    <t>DP Std#4</t>
  </si>
  <si>
    <t>DP Std#5</t>
  </si>
  <si>
    <t>DP Std#6</t>
  </si>
  <si>
    <t>DP Std#8</t>
  </si>
  <si>
    <t>DP Std#9</t>
  </si>
  <si>
    <t>DP Std#10</t>
  </si>
  <si>
    <t>DP Std#11</t>
  </si>
  <si>
    <t>DP Std#12</t>
  </si>
  <si>
    <t>HWDP Std#2</t>
  </si>
  <si>
    <t>HWDP Std#3</t>
  </si>
  <si>
    <t>HWDP Std#4</t>
  </si>
  <si>
    <t>HWDP Std#5</t>
  </si>
  <si>
    <t>HWDP Std#6</t>
  </si>
  <si>
    <t>HWDP Std#7</t>
  </si>
  <si>
    <t>HWDP Std#8</t>
  </si>
  <si>
    <t>6 7/8 HWDP SINGLE</t>
  </si>
  <si>
    <t>7 7/8 HWDP SINGLE</t>
  </si>
  <si>
    <t>DP Std#13</t>
  </si>
  <si>
    <t>DP Std#15</t>
  </si>
  <si>
    <t>DP Std#16</t>
  </si>
  <si>
    <t>DP Std#17</t>
  </si>
  <si>
    <t>DP Std#18</t>
  </si>
  <si>
    <t xml:space="preserve"> </t>
  </si>
  <si>
    <t>DP Std#19</t>
  </si>
  <si>
    <t>DP Std#20</t>
  </si>
  <si>
    <t>DP Std#22</t>
  </si>
  <si>
    <t>DP Std#23</t>
  </si>
  <si>
    <t>DP Std#24</t>
  </si>
  <si>
    <t>DP Std#25</t>
  </si>
  <si>
    <t>DP Std#26</t>
  </si>
  <si>
    <t>DP Std#27</t>
  </si>
  <si>
    <t>DP Std#64</t>
  </si>
  <si>
    <t>DP Std#65</t>
  </si>
  <si>
    <t>DP Std#67</t>
  </si>
  <si>
    <t>DP Std#69</t>
  </si>
  <si>
    <t>DP Std#71</t>
  </si>
  <si>
    <t>DP Std#73</t>
  </si>
  <si>
    <t>DP Std#76</t>
  </si>
  <si>
    <t>DP Std#77</t>
  </si>
  <si>
    <t>Halliburton
Cement Head</t>
  </si>
  <si>
    <t>XO,  6-5/8" FH Box x Delta 576 Pin</t>
  </si>
  <si>
    <t>+/- 15000 LBS</t>
  </si>
  <si>
    <t>**1st ball - 1.500” - Set liner hanger</t>
  </si>
  <si>
    <t>Lower FOSV</t>
  </si>
  <si>
    <t>**2nd ball - 1.625” - Release RT</t>
  </si>
  <si>
    <t>Halliburton Cement Head</t>
  </si>
  <si>
    <t>1.844" LFC Lead Plug Shear: 1,431 psi</t>
  </si>
  <si>
    <t>Upper FOSV</t>
  </si>
  <si>
    <t>Upper KV</t>
  </si>
  <si>
    <t>2.280" LFC Follow Plug Shear: 1,206 psi</t>
  </si>
  <si>
    <t>XO, Delta 567 Box x 6-5/8" FH Pin</t>
  </si>
  <si>
    <t>5.5" DP PUP JOINT (RIG)</t>
  </si>
  <si>
    <t>5-1/2" PUP JNT</t>
  </si>
  <si>
    <t>TOTAL CMT HEAD LENGTH</t>
  </si>
  <si>
    <t>Pump Output:</t>
  </si>
  <si>
    <t>VOLUME</t>
  </si>
  <si>
    <t>ID (in)</t>
  </si>
  <si>
    <t>Length (ft)</t>
  </si>
  <si>
    <t>Capacity Factor</t>
  </si>
  <si>
    <t>VOLUME (bbls)</t>
  </si>
  <si>
    <t>STKS</t>
  </si>
  <si>
    <t>TOTAL DISPLACEMENT</t>
  </si>
  <si>
    <t>5 7/8" DP ID (In):</t>
  </si>
  <si>
    <t>5 7/8" HWDP ID (In)</t>
  </si>
  <si>
    <t>LINER Running Tool:</t>
  </si>
  <si>
    <t>7" 29# - LFC to LC VOLUME (Bbls):</t>
  </si>
  <si>
    <t>7" 29# - SHOE TRACK VOLUME (Bbls):</t>
  </si>
  <si>
    <t xml:space="preserve"> TOTAL VOLUME TO LATCH &amp; SHEAR THE LINER WIPER PLUG:</t>
  </si>
  <si>
    <t xml:space="preserve"> TOTAL STRING VOLUME:</t>
  </si>
  <si>
    <t>TOTAL VOLUME TO BUMP THE PLUG:</t>
  </si>
  <si>
    <t>HALF SHOE TRACK VOLUME:</t>
  </si>
  <si>
    <t>COMPRESSIBILTY FACTOR:</t>
  </si>
  <si>
    <t>TOTAL DISPLACMENT TO BUMP + 1/2 SHOE TRACK + COMPRESSIBILTY FACTOR:</t>
  </si>
  <si>
    <t>7" 29# TSH Wedge563 CSG JOINTS (2xCentralizers)</t>
  </si>
  <si>
    <r>
      <t xml:space="preserve">7" 29# TSH Wedge563 </t>
    </r>
    <r>
      <rPr>
        <b/>
        <sz val="11"/>
        <color rgb="FFFFFF00"/>
        <rFont val="Geneva"/>
      </rPr>
      <t>PUP JOINTS</t>
    </r>
  </si>
  <si>
    <t>Joint Number</t>
  </si>
  <si>
    <t>Note</t>
  </si>
  <si>
    <t>Deck #</t>
  </si>
  <si>
    <t>Location</t>
  </si>
  <si>
    <t>DP Std#78</t>
  </si>
  <si>
    <t>DP Std#79</t>
  </si>
  <si>
    <t>DP Std#80</t>
  </si>
  <si>
    <t>DP Std#81</t>
  </si>
  <si>
    <t>DP Std#83</t>
  </si>
  <si>
    <t>DP Std#84</t>
  </si>
  <si>
    <t>DP Std#85</t>
  </si>
  <si>
    <t>DP Std#86</t>
  </si>
  <si>
    <t>DP Std#87</t>
  </si>
  <si>
    <t>NOV Crossover</t>
  </si>
  <si>
    <t>Wire Pin x No Wire Box</t>
  </si>
  <si>
    <t>NFQ20-6</t>
  </si>
  <si>
    <t>QELNG-7IN-FC-159-NFE</t>
  </si>
  <si>
    <t>Nurlan/JonCruz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</si>
  <si>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</si>
  <si>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</si>
  <si>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</si>
  <si>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</si>
  <si>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</si>
  <si>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</si>
  <si>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</si>
  <si>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</si>
  <si>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</si>
  <si>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OLD</t>
  </si>
  <si>
    <t>QG-7IN-LC-5KLC-02</t>
  </si>
  <si>
    <t>LFC Landing Collar: 
PN: H274120438GRG1
SN:108285477-02</t>
  </si>
  <si>
    <t>DV Float Collar: 
PN: H101890295GRG1
SN: 110696-110679-3</t>
  </si>
  <si>
    <t>Baker Hughes 
LH Assy 
QELNG-7IN-CSLH-107-NFE</t>
  </si>
  <si>
    <t>S/N: 108511666-01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</si>
  <si>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</si>
  <si>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</si>
  <si>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</si>
  <si>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</si>
  <si>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</si>
  <si>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</si>
  <si>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</si>
  <si>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</si>
  <si>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</si>
  <si>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</si>
  <si>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</si>
  <si>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</si>
  <si>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</si>
  <si>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Planned PIP @21637ft</t>
  </si>
  <si>
    <t>INSTALL PIP TAG #1ON JT #266</t>
  </si>
  <si>
    <t>Planned PIP 17457ft</t>
  </si>
  <si>
    <t>Planned PIP @ 15417ft</t>
  </si>
  <si>
    <t>Used</t>
  </si>
  <si>
    <t>Planned PIP @13270 ft</t>
  </si>
  <si>
    <t>Planned PIP @12562 ft</t>
  </si>
  <si>
    <t>DP Std#7</t>
  </si>
  <si>
    <t>OH @ 12370ft.</t>
  </si>
  <si>
    <t>DP Std#14</t>
  </si>
  <si>
    <t>DP Std#21</t>
  </si>
  <si>
    <t>DP Std#28</t>
  </si>
  <si>
    <t>DP Std#29</t>
  </si>
  <si>
    <t>DP Std#30</t>
  </si>
  <si>
    <t>DP Std#31</t>
  </si>
  <si>
    <t>DP Std#32</t>
  </si>
  <si>
    <t>DP Std#33</t>
  </si>
  <si>
    <t>DP Std#34</t>
  </si>
  <si>
    <t>DP Std#35</t>
  </si>
  <si>
    <t>DP Std#36</t>
  </si>
  <si>
    <t>DP Std#37</t>
  </si>
  <si>
    <t>DP Std#38</t>
  </si>
  <si>
    <t>DP Std#39</t>
  </si>
  <si>
    <t>DP Std#40</t>
  </si>
  <si>
    <t>DP Std#41</t>
  </si>
  <si>
    <t>DP Std#42</t>
  </si>
  <si>
    <t>DP Std#43</t>
  </si>
  <si>
    <t>DP Std#44</t>
  </si>
  <si>
    <t>DP Std#45</t>
  </si>
  <si>
    <t>DP Std#46</t>
  </si>
  <si>
    <t>DP Std#47</t>
  </si>
  <si>
    <t>DP Std#48</t>
  </si>
  <si>
    <t>DP Std#49</t>
  </si>
  <si>
    <t>DP Std#50</t>
  </si>
  <si>
    <t>DP Std#51</t>
  </si>
  <si>
    <t>DP Std#52</t>
  </si>
  <si>
    <t>DP Std#53</t>
  </si>
  <si>
    <t>DP Std#54</t>
  </si>
  <si>
    <t>DP Std#55</t>
  </si>
  <si>
    <t>DP Std#56</t>
  </si>
  <si>
    <t>DP Std#57</t>
  </si>
  <si>
    <t>DP Std#58</t>
  </si>
  <si>
    <t>DP Std#59</t>
  </si>
  <si>
    <t>DP Std#60</t>
  </si>
  <si>
    <t>DP Std#61</t>
  </si>
  <si>
    <t>DP Std#62</t>
  </si>
  <si>
    <t>DP Std#63</t>
  </si>
  <si>
    <t>DP Std#66</t>
  </si>
  <si>
    <t>DP Std#68</t>
  </si>
  <si>
    <t>DP Std#70</t>
  </si>
  <si>
    <t>DP Std#72</t>
  </si>
  <si>
    <t>DP Std#74</t>
  </si>
  <si>
    <t>DP Std#75</t>
  </si>
  <si>
    <t>DP Std#82</t>
  </si>
  <si>
    <t>Cody/Ivan/ Ahmad</t>
  </si>
  <si>
    <t>Planned PIP 14914ft</t>
  </si>
  <si>
    <t>OUT</t>
  </si>
  <si>
    <t>DP Std #12- Circulate before entering OH &amp; Take Parameters</t>
  </si>
  <si>
    <t>Pip Tag 100ft below TOL</t>
  </si>
  <si>
    <t>Planned PIP @19497 ft</t>
  </si>
  <si>
    <t>INSTALL PIP TAG #2 ON JT #208</t>
  </si>
  <si>
    <t>INSTALL PIP TAG #3 ON JT #153</t>
  </si>
  <si>
    <t>INSTALL PIP TAG #4 ON JT #98</t>
  </si>
  <si>
    <t>INSTALL PIP TAG #5 ON JT #86</t>
  </si>
  <si>
    <t>12009.19ft, 12050.44ft, 12094.89ft.</t>
  </si>
  <si>
    <t>INSTALL PIP TAG #8 ON JT #11</t>
  </si>
  <si>
    <t>INSTALL PIP TAG #7 ON JT #22</t>
  </si>
  <si>
    <t>INSTALL PIP TAG #6 ON JT #42</t>
  </si>
  <si>
    <t>QELNG-7IN-FS-169-NFE</t>
  </si>
  <si>
    <t>DV Float Shoe:                                              SN: 112206-112230-3
PN: H100950451GRG1</t>
  </si>
  <si>
    <t>25 ft Pup joint</t>
  </si>
  <si>
    <t>Final As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</si>
</sst>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00"/>
    <numFmt numFmtId="166" formatCode="0\ &quot;K&quot;"/>
    <numFmt numFmtId="167" formatCode="0.00\ &quot;ft&quot;"/>
    <numFmt numFmtId="168" formatCode="0.00\ &quot;ppf&quot;"/>
    <numFmt numFmtId="169" formatCode="0.000\ &quot;in&quot;"/>
    <numFmt numFmtId="170" formatCode="0\ &quot;psi&quot;"/>
    <numFmt numFmtId="171" formatCode="0.0\ &quot;ppg&quot;"/>
    <numFmt numFmtId="172" formatCode="0\ &quot;klbs&quot;"/>
    <numFmt numFmtId="173" formatCode="0\ &quot;nos&quot;"/>
    <numFmt numFmtId="174" formatCode="0.00000"/>
    <numFmt numFmtId="175" formatCode="0.00\ &quot;bbls&quot;"/>
    <numFmt numFmtId="176" formatCode="0\ &quot;Strokes&quot;"/>
    <numFmt numFmtId="177" formatCode="0\ &quot;ft depth&quot;"/>
    <numFmt numFmtId="178" formatCode="0.0000\ &quot;bbls/stk&quot;"/>
    <numFmt numFmtId="179" formatCode="0.000\ &quot;in (Calipered)&quot;"/>
    <numFmt numFmtId="180" formatCode="0.0000"/>
  </numFmts>
  <fonts count="87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u/>
      <sz val="9"/>
      <name val="Geneva"/>
    </font>
    <font>
      <sz val="8"/>
      <name val="Geneva"/>
    </font>
    <font>
      <sz val="10"/>
      <name val="Arial"/>
      <family val="2"/>
    </font>
    <font>
      <b/>
      <sz val="12"/>
      <color indexed="10"/>
      <name val="Geneva"/>
    </font>
    <font>
      <b/>
      <sz val="9"/>
      <color indexed="10"/>
      <name val="Geneva"/>
    </font>
    <font>
      <sz val="10"/>
      <color indexed="8"/>
      <name val="Geneva"/>
    </font>
    <font>
      <i/>
      <sz val="10"/>
      <color indexed="8"/>
      <name val="Geneva"/>
    </font>
    <font>
      <i/>
      <sz val="10"/>
      <color indexed="56"/>
      <name val="Geneva"/>
    </font>
    <font>
      <b/>
      <sz val="7"/>
      <name val="Geneva"/>
    </font>
    <font>
      <sz val="7"/>
      <name val="Geneva"/>
    </font>
    <font>
      <sz val="12"/>
      <name val="Osaka"/>
      <family val="3"/>
      <charset val="128"/>
    </font>
    <font>
      <sz val="11"/>
      <color theme="1"/>
      <name val="Calibri"/>
      <family val="2"/>
      <scheme val="minor"/>
    </font>
    <font>
      <b/>
      <sz val="9"/>
      <color theme="0"/>
      <name val="Geneva"/>
    </font>
    <font>
      <b/>
      <sz val="9"/>
      <color rgb="FFFF0000"/>
      <name val="Geneva"/>
    </font>
    <font>
      <b/>
      <sz val="10"/>
      <color rgb="FFFF0000"/>
      <name val="Geneva"/>
    </font>
    <font>
      <sz val="7"/>
      <color theme="0"/>
      <name val="Geneva"/>
    </font>
    <font>
      <b/>
      <sz val="11"/>
      <name val="Geneva"/>
    </font>
    <font>
      <sz val="5"/>
      <color rgb="FFC00000"/>
      <name val="Geneva"/>
    </font>
    <font>
      <sz val="11"/>
      <name val="Geneva"/>
    </font>
    <font>
      <b/>
      <sz val="10"/>
      <color rgb="FFC00000"/>
      <name val="Geneva"/>
    </font>
    <font>
      <sz val="10"/>
      <name val="MS Sans Serif"/>
    </font>
    <font>
      <sz val="11"/>
      <name val="Arial Nova"/>
      <family val="2"/>
    </font>
    <font>
      <sz val="12.5"/>
      <name val="Arial Nova"/>
      <family val="2"/>
    </font>
    <font>
      <sz val="11"/>
      <color theme="1"/>
      <name val="Arial Nova"/>
      <family val="2"/>
    </font>
    <font>
      <b/>
      <sz val="9"/>
      <name val="Arial Nova"/>
      <family val="2"/>
    </font>
    <font>
      <sz val="9"/>
      <name val="Arial Nova"/>
      <family val="2"/>
    </font>
    <font>
      <b/>
      <sz val="9.5"/>
      <name val="Arial Nova"/>
      <family val="2"/>
    </font>
    <font>
      <sz val="9.5"/>
      <name val="Arial Nova"/>
      <family val="2"/>
    </font>
    <font>
      <b/>
      <sz val="9.5"/>
      <color indexed="12"/>
      <name val="Arial Nova"/>
      <family val="2"/>
    </font>
    <font>
      <b/>
      <sz val="9.5"/>
      <color theme="0"/>
      <name val="Arial Nova"/>
      <family val="2"/>
    </font>
    <font>
      <sz val="9.5"/>
      <color rgb="FFFF0000"/>
      <name val="Arial Nova"/>
      <family val="2"/>
    </font>
    <font>
      <b/>
      <sz val="14"/>
      <name val="Arial Nova"/>
      <family val="2"/>
    </font>
    <font>
      <b/>
      <sz val="10"/>
      <name val="Arial Nova"/>
      <family val="2"/>
    </font>
    <font>
      <b/>
      <sz val="11"/>
      <name val="Arial Nova"/>
      <family val="2"/>
    </font>
    <font>
      <sz val="11"/>
      <color theme="0"/>
      <name val="Arial Nova"/>
      <family val="2"/>
    </font>
    <font>
      <sz val="13"/>
      <name val="Arial Nova"/>
      <family val="2"/>
    </font>
    <font>
      <sz val="12.5"/>
      <color theme="1"/>
      <name val="Arial Nova"/>
      <family val="2"/>
    </font>
    <font>
      <sz val="12.5"/>
      <color theme="0"/>
      <name val="Arial Nova"/>
      <family val="2"/>
    </font>
    <font>
      <sz val="12.5"/>
      <color rgb="FFFF0000"/>
      <name val="Arial Nova"/>
      <family val="2"/>
    </font>
    <font>
      <sz val="12.5"/>
      <color rgb="FF0070C0"/>
      <name val="Arial Nova"/>
      <family val="2"/>
    </font>
    <font>
      <sz val="13"/>
      <color theme="1"/>
      <name val="Arial Nova"/>
      <family val="2"/>
    </font>
    <font>
      <sz val="10"/>
      <name val="Arial Nova"/>
      <family val="2"/>
    </font>
    <font>
      <b/>
      <sz val="9"/>
      <color indexed="10"/>
      <name val="Arial Nova"/>
      <family val="2"/>
    </font>
    <font>
      <sz val="14"/>
      <color theme="1"/>
      <name val="Calibri"/>
      <family val="2"/>
      <scheme val="minor"/>
    </font>
    <font>
      <b/>
      <sz val="11"/>
      <color theme="0"/>
      <name val="Arial Nova"/>
      <family val="2"/>
    </font>
    <font>
      <b/>
      <sz val="11"/>
      <color theme="1"/>
      <name val="Arial Nova"/>
      <family val="2"/>
    </font>
    <font>
      <b/>
      <i/>
      <sz val="11"/>
      <color indexed="8"/>
      <name val="Arial Nova"/>
      <family val="2"/>
    </font>
    <font>
      <b/>
      <i/>
      <sz val="11"/>
      <color rgb="FF0070C0"/>
      <name val="Arial Nova"/>
      <family val="2"/>
    </font>
    <font>
      <b/>
      <sz val="11"/>
      <color theme="4"/>
      <name val="Arial Nova"/>
      <family val="2"/>
    </font>
    <font>
      <b/>
      <sz val="11"/>
      <color rgb="FFFF0000"/>
      <name val="Arial Nova"/>
      <family val="2"/>
    </font>
    <font>
      <b/>
      <sz val="12.5"/>
      <color theme="0"/>
      <name val="Arial Nova"/>
      <family val="2"/>
    </font>
    <font>
      <b/>
      <sz val="12.5"/>
      <name val="Arial Nova"/>
      <family val="2"/>
    </font>
    <font>
      <b/>
      <sz val="7"/>
      <color rgb="FFFF0000"/>
      <name val="Geneva"/>
    </font>
    <font>
      <b/>
      <sz val="11"/>
      <color theme="0"/>
      <name val="Geneva"/>
    </font>
    <font>
      <b/>
      <sz val="12"/>
      <color theme="1"/>
      <name val="Geneva"/>
    </font>
    <font>
      <sz val="12"/>
      <color theme="1"/>
      <name val="Geneva"/>
    </font>
    <font>
      <b/>
      <sz val="12"/>
      <color theme="1"/>
      <name val="Calibri"/>
      <family val="2"/>
      <scheme val="minor"/>
    </font>
    <font>
      <b/>
      <sz val="11"/>
      <color rgb="FFFFFF00"/>
      <name val="Geneva"/>
    </font>
    <font>
      <sz val="12"/>
      <name val="Geneva"/>
    </font>
    <font>
      <b/>
      <sz val="10"/>
      <color theme="5" tint="-0.249977111117893"/>
      <name val="Geneva"/>
    </font>
    <font>
      <sz val="12"/>
      <color rgb="FFC00000"/>
      <name val="Geneva"/>
    </font>
    <font>
      <sz val="10"/>
      <color theme="0"/>
      <name val="Geneva"/>
    </font>
    <font>
      <b/>
      <sz val="12"/>
      <name val="Arial Nova"/>
      <family val="2"/>
    </font>
    <font>
      <b/>
      <sz val="12.5"/>
      <color theme="1"/>
      <name val="Arial Nova"/>
      <family val="2"/>
    </font>
    <font>
      <b/>
      <sz val="10.5"/>
      <name val="Arial Nova"/>
      <family val="2"/>
    </font>
    <font>
      <b/>
      <sz val="12"/>
      <color theme="0"/>
      <name val="Arial Nova"/>
      <family val="2"/>
    </font>
    <font>
      <b/>
      <sz val="12"/>
      <color theme="0"/>
      <name val="Geneva"/>
    </font>
    <font>
      <sz val="11"/>
      <color indexed="8"/>
      <name val="宋体"/>
      <family val="2"/>
      <charset val="134"/>
    </font>
    <font>
      <sz val="11"/>
      <color indexed="60"/>
      <name val="Calibri"/>
      <family val="2"/>
    </font>
    <font>
      <b/>
      <sz val="14"/>
      <color rgb="FFFF0000"/>
      <name val="Arial Nova"/>
      <family val="2"/>
    </font>
    <font>
      <b/>
      <sz val="12"/>
      <color rgb="FFFF0000"/>
      <name val="Arial Nova"/>
      <family val="2"/>
    </font>
    <font>
      <b/>
      <sz val="12.5"/>
      <color rgb="FFFF0000"/>
      <name val="Arial Nova"/>
      <family val="2"/>
    </font>
    <font>
      <sz val="10"/>
      <color rgb="FFFF0000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rgb="FFFF0000"/>
      </left>
      <right style="hair">
        <color rgb="FFFF0000"/>
      </right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/>
      <top/>
      <bottom/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medium">
        <color indexed="64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rgb="FFFF0000"/>
      </left>
      <right style="hair">
        <color rgb="FFFF0000"/>
      </right>
      <top/>
      <bottom style="medium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indexed="64"/>
      </bottom>
      <diagonal/>
    </border>
    <border>
      <left style="hair">
        <color rgb="FFFF0000"/>
      </left>
      <right style="hair">
        <color auto="1"/>
      </right>
      <top style="hair">
        <color rgb="FFFF0000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indexed="64"/>
      </right>
      <top style="thin">
        <color rgb="FFFF0000"/>
      </top>
      <bottom style="thin">
        <color rgb="FFFF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</borders>
  <cellStyleXfs count="26">
    <xf numFmtId="0" fontId="0" fillId="0" borderId="0"/>
    <xf numFmtId="0" fontId="25" fillId="0" borderId="0"/>
    <xf numFmtId="0" fontId="16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24" fillId="0" borderId="0"/>
    <xf numFmtId="0" fontId="6" fillId="0" borderId="0"/>
    <xf numFmtId="164" fontId="8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4" fillId="0" borderId="0"/>
    <xf numFmtId="0" fontId="34" fillId="0" borderId="0"/>
    <xf numFmtId="0" fontId="57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3" fillId="0" borderId="0"/>
    <xf numFmtId="0" fontId="2" fillId="0" borderId="0"/>
    <xf numFmtId="0" fontId="81" fillId="0" borderId="0"/>
    <xf numFmtId="0" fontId="82" fillId="17" borderId="0" applyNumberFormat="0" applyBorder="0" applyAlignment="0" applyProtection="0"/>
    <xf numFmtId="0" fontId="1" fillId="0" borderId="0"/>
  </cellStyleXfs>
  <cellXfs count="559">
    <xf numFmtId="0" fontId="0" fillId="0" borderId="0" xfId="0"/>
    <xf numFmtId="2" fontId="10" fillId="3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left" vertical="center"/>
    </xf>
    <xf numFmtId="2" fontId="11" fillId="3" borderId="0" xfId="0" applyNumberFormat="1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" fontId="1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1" fontId="20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5" fontId="17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2" fontId="10" fillId="3" borderId="0" xfId="0" applyNumberFormat="1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4" borderId="5" xfId="0" applyFont="1" applyFill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65" fontId="12" fillId="3" borderId="11" xfId="0" applyNumberFormat="1" applyFont="1" applyFill="1" applyBorder="1" applyAlignment="1">
      <alignment horizontal="center" vertical="center"/>
    </xf>
    <xf numFmtId="2" fontId="12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right" vertical="center"/>
    </xf>
    <xf numFmtId="2" fontId="10" fillId="3" borderId="11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vertical="center" wrapText="1"/>
    </xf>
    <xf numFmtId="2" fontId="22" fillId="0" borderId="0" xfId="0" applyNumberFormat="1" applyFont="1" applyAlignment="1">
      <alignment vertical="center" wrapText="1"/>
    </xf>
    <xf numFmtId="2" fontId="23" fillId="0" borderId="0" xfId="0" applyNumberFormat="1" applyFont="1" applyAlignment="1">
      <alignment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/>
    <xf numFmtId="4" fontId="32" fillId="0" borderId="35" xfId="0" applyNumberFormat="1" applyFont="1" applyBorder="1" applyAlignment="1">
      <alignment vertical="center" wrapText="1"/>
    </xf>
    <xf numFmtId="0" fontId="7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33" fillId="0" borderId="0" xfId="0" applyNumberFormat="1" applyFont="1" applyAlignment="1">
      <alignment horizontal="center" vertical="center" wrapText="1"/>
    </xf>
    <xf numFmtId="177" fontId="23" fillId="0" borderId="0" xfId="0" applyNumberFormat="1" applyFont="1" applyAlignment="1">
      <alignment vertical="center" wrapText="1"/>
    </xf>
    <xf numFmtId="4" fontId="32" fillId="0" borderId="2" xfId="0" applyNumberFormat="1" applyFont="1" applyBorder="1" applyAlignment="1">
      <alignment horizontal="center"/>
    </xf>
    <xf numFmtId="2" fontId="0" fillId="0" borderId="0" xfId="0" applyNumberFormat="1"/>
    <xf numFmtId="0" fontId="30" fillId="0" borderId="34" xfId="0" applyFont="1" applyBorder="1" applyAlignment="1">
      <alignment horizontal="center"/>
    </xf>
    <xf numFmtId="2" fontId="36" fillId="0" borderId="5" xfId="0" applyNumberFormat="1" applyFont="1" applyBorder="1" applyAlignment="1">
      <alignment horizontal="center" vertical="center"/>
    </xf>
    <xf numFmtId="1" fontId="40" fillId="3" borderId="0" xfId="0" applyNumberFormat="1" applyFont="1" applyFill="1" applyAlignment="1">
      <alignment horizontal="right" vertical="center"/>
    </xf>
    <xf numFmtId="172" fontId="41" fillId="3" borderId="0" xfId="0" applyNumberFormat="1" applyFont="1" applyFill="1" applyAlignment="1">
      <alignment horizontal="left" vertical="center"/>
    </xf>
    <xf numFmtId="2" fontId="40" fillId="3" borderId="0" xfId="0" applyNumberFormat="1" applyFont="1" applyFill="1" applyAlignment="1">
      <alignment horizontal="center" vertical="center"/>
    </xf>
    <xf numFmtId="2" fontId="40" fillId="3" borderId="0" xfId="0" applyNumberFormat="1" applyFont="1" applyFill="1" applyAlignment="1">
      <alignment horizontal="right" vertical="center"/>
    </xf>
    <xf numFmtId="2" fontId="42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center" vertical="center"/>
    </xf>
    <xf numFmtId="0" fontId="40" fillId="3" borderId="0" xfId="0" applyFont="1" applyFill="1" applyAlignment="1">
      <alignment horizontal="right" vertical="center"/>
    </xf>
    <xf numFmtId="15" fontId="40" fillId="3" borderId="0" xfId="0" applyNumberFormat="1" applyFont="1" applyFill="1" applyAlignment="1">
      <alignment horizontal="left" vertical="center" wrapText="1"/>
    </xf>
    <xf numFmtId="170" fontId="41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right" vertical="center"/>
    </xf>
    <xf numFmtId="0" fontId="41" fillId="3" borderId="0" xfId="0" applyFont="1" applyFill="1" applyAlignment="1">
      <alignment horizontal="center" vertical="center"/>
    </xf>
    <xf numFmtId="1" fontId="43" fillId="4" borderId="2" xfId="0" applyNumberFormat="1" applyFont="1" applyFill="1" applyBorder="1" applyAlignment="1">
      <alignment horizontal="center" vertical="center"/>
    </xf>
    <xf numFmtId="169" fontId="41" fillId="3" borderId="0" xfId="0" applyNumberFormat="1" applyFont="1" applyFill="1" applyAlignment="1">
      <alignment horizontal="left" vertical="center"/>
    </xf>
    <xf numFmtId="2" fontId="40" fillId="3" borderId="0" xfId="0" applyNumberFormat="1" applyFont="1" applyFill="1" applyAlignment="1">
      <alignment horizontal="left" vertical="center"/>
    </xf>
    <xf numFmtId="2" fontId="44" fillId="3" borderId="0" xfId="0" applyNumberFormat="1" applyFont="1" applyFill="1" applyAlignment="1">
      <alignment horizontal="left" vertical="center"/>
    </xf>
    <xf numFmtId="168" fontId="41" fillId="3" borderId="0" xfId="0" applyNumberFormat="1" applyFont="1" applyFill="1" applyAlignment="1">
      <alignment horizontal="left" vertical="center"/>
    </xf>
    <xf numFmtId="165" fontId="41" fillId="3" borderId="0" xfId="0" applyNumberFormat="1" applyFont="1" applyFill="1" applyAlignment="1">
      <alignment horizontal="center" vertical="center"/>
    </xf>
    <xf numFmtId="165" fontId="41" fillId="3" borderId="0" xfId="0" applyNumberFormat="1" applyFont="1" applyFill="1" applyAlignment="1">
      <alignment horizontal="left" vertical="center"/>
    </xf>
    <xf numFmtId="169" fontId="41" fillId="0" borderId="0" xfId="0" applyNumberFormat="1" applyFont="1" applyAlignment="1">
      <alignment horizontal="left" vertical="center"/>
    </xf>
    <xf numFmtId="173" fontId="41" fillId="3" borderId="0" xfId="0" applyNumberFormat="1" applyFont="1" applyFill="1" applyAlignment="1">
      <alignment horizontal="left" vertical="center"/>
    </xf>
    <xf numFmtId="2" fontId="45" fillId="3" borderId="8" xfId="0" applyNumberFormat="1" applyFont="1" applyFill="1" applyBorder="1" applyAlignment="1">
      <alignment horizontal="center" vertical="center"/>
    </xf>
    <xf numFmtId="2" fontId="45" fillId="3" borderId="0" xfId="0" applyNumberFormat="1" applyFont="1" applyFill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" fontId="46" fillId="0" borderId="5" xfId="0" applyNumberFormat="1" applyFont="1" applyBorder="1" applyAlignment="1">
      <alignment horizontal="center" vertical="center"/>
    </xf>
    <xf numFmtId="2" fontId="46" fillId="0" borderId="5" xfId="0" applyNumberFormat="1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2" fontId="50" fillId="7" borderId="5" xfId="0" applyNumberFormat="1" applyFont="1" applyFill="1" applyBorder="1" applyAlignment="1">
      <alignment horizontal="center" vertical="center"/>
    </xf>
    <xf numFmtId="2" fontId="36" fillId="7" borderId="5" xfId="0" applyNumberFormat="1" applyFont="1" applyFill="1" applyBorder="1" applyAlignment="1">
      <alignment horizontal="center" vertical="center"/>
    </xf>
    <xf numFmtId="166" fontId="36" fillId="7" borderId="5" xfId="0" applyNumberFormat="1" applyFont="1" applyFill="1" applyBorder="1" applyAlignment="1">
      <alignment horizontal="center" vertical="center"/>
    </xf>
    <xf numFmtId="1" fontId="36" fillId="0" borderId="5" xfId="0" applyNumberFormat="1" applyFont="1" applyBorder="1" applyAlignment="1">
      <alignment horizontal="center" vertical="center"/>
    </xf>
    <xf numFmtId="2" fontId="36" fillId="3" borderId="5" xfId="0" applyNumberFormat="1" applyFont="1" applyFill="1" applyBorder="1" applyAlignment="1">
      <alignment horizontal="center" vertical="center"/>
    </xf>
    <xf numFmtId="166" fontId="36" fillId="3" borderId="5" xfId="0" applyNumberFormat="1" applyFont="1" applyFill="1" applyBorder="1" applyAlignment="1">
      <alignment horizontal="center" vertical="center"/>
    </xf>
    <xf numFmtId="2" fontId="50" fillId="0" borderId="5" xfId="0" applyNumberFormat="1" applyFont="1" applyBorder="1" applyAlignment="1">
      <alignment horizontal="center" vertical="center"/>
    </xf>
    <xf numFmtId="166" fontId="50" fillId="0" borderId="5" xfId="0" applyNumberFormat="1" applyFont="1" applyBorder="1" applyAlignment="1">
      <alignment horizontal="center" vertical="center"/>
    </xf>
    <xf numFmtId="166" fontId="36" fillId="0" borderId="5" xfId="0" applyNumberFormat="1" applyFont="1" applyBorder="1" applyAlignment="1">
      <alignment horizontal="center" vertical="center"/>
    </xf>
    <xf numFmtId="0" fontId="35" fillId="3" borderId="5" xfId="0" applyFont="1" applyFill="1" applyBorder="1" applyAlignment="1">
      <alignment vertical="center"/>
    </xf>
    <xf numFmtId="2" fontId="52" fillId="3" borderId="22" xfId="0" applyNumberFormat="1" applyFont="1" applyFill="1" applyBorder="1" applyAlignment="1">
      <alignment horizontal="left" vertical="center"/>
    </xf>
    <xf numFmtId="2" fontId="50" fillId="3" borderId="22" xfId="0" applyNumberFormat="1" applyFont="1" applyFill="1" applyBorder="1" applyAlignment="1">
      <alignment horizontal="center" vertical="center"/>
    </xf>
    <xf numFmtId="2" fontId="36" fillId="3" borderId="22" xfId="0" applyNumberFormat="1" applyFont="1" applyFill="1" applyBorder="1" applyAlignment="1">
      <alignment horizontal="center" vertical="center"/>
    </xf>
    <xf numFmtId="166" fontId="36" fillId="3" borderId="22" xfId="0" applyNumberFormat="1" applyFont="1" applyFill="1" applyBorder="1" applyAlignment="1">
      <alignment horizontal="center" vertical="center"/>
    </xf>
    <xf numFmtId="2" fontId="51" fillId="4" borderId="22" xfId="0" applyNumberFormat="1" applyFont="1" applyFill="1" applyBorder="1" applyAlignment="1">
      <alignment horizontal="center" vertical="center"/>
    </xf>
    <xf numFmtId="2" fontId="49" fillId="3" borderId="5" xfId="0" applyNumberFormat="1" applyFont="1" applyFill="1" applyBorder="1" applyAlignment="1">
      <alignment horizontal="center" vertical="center"/>
    </xf>
    <xf numFmtId="2" fontId="54" fillId="0" borderId="5" xfId="0" applyNumberFormat="1" applyFont="1" applyBorder="1" applyAlignment="1">
      <alignment horizontal="center" vertical="center"/>
    </xf>
    <xf numFmtId="2" fontId="58" fillId="8" borderId="26" xfId="0" applyNumberFormat="1" applyFont="1" applyFill="1" applyBorder="1" applyAlignment="1">
      <alignment horizontal="center" vertical="center" wrapText="1"/>
    </xf>
    <xf numFmtId="166" fontId="58" fillId="8" borderId="26" xfId="0" applyNumberFormat="1" applyFont="1" applyFill="1" applyBorder="1" applyAlignment="1">
      <alignment horizontal="center" vertical="center"/>
    </xf>
    <xf numFmtId="165" fontId="35" fillId="9" borderId="5" xfId="0" applyNumberFormat="1" applyFont="1" applyFill="1" applyBorder="1" applyAlignment="1">
      <alignment horizontal="center" vertical="center"/>
    </xf>
    <xf numFmtId="164" fontId="35" fillId="8" borderId="5" xfId="11" applyFont="1" applyFill="1" applyBorder="1" applyAlignment="1">
      <alignment vertical="center"/>
    </xf>
    <xf numFmtId="2" fontId="35" fillId="9" borderId="5" xfId="0" applyNumberFormat="1" applyFont="1" applyFill="1" applyBorder="1" applyAlignment="1">
      <alignment horizontal="center" vertical="center"/>
    </xf>
    <xf numFmtId="1" fontId="35" fillId="9" borderId="5" xfId="0" applyNumberFormat="1" applyFont="1" applyFill="1" applyBorder="1" applyAlignment="1">
      <alignment horizontal="center" vertical="center"/>
    </xf>
    <xf numFmtId="167" fontId="35" fillId="3" borderId="7" xfId="0" applyNumberFormat="1" applyFont="1" applyFill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1" fontId="46" fillId="0" borderId="21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2" fontId="36" fillId="3" borderId="24" xfId="0" applyNumberFormat="1" applyFont="1" applyFill="1" applyBorder="1" applyAlignment="1">
      <alignment horizontal="center" vertical="center"/>
    </xf>
    <xf numFmtId="166" fontId="36" fillId="3" borderId="2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0" fillId="0" borderId="0" xfId="0" applyFont="1" applyAlignment="1">
      <alignment horizontal="center"/>
    </xf>
    <xf numFmtId="4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vertical="center" wrapText="1"/>
    </xf>
    <xf numFmtId="0" fontId="30" fillId="5" borderId="68" xfId="0" applyFont="1" applyFill="1" applyBorder="1" applyAlignment="1">
      <alignment horizontal="center"/>
    </xf>
    <xf numFmtId="4" fontId="30" fillId="5" borderId="70" xfId="0" applyNumberFormat="1" applyFont="1" applyFill="1" applyBorder="1" applyAlignment="1">
      <alignment horizontal="center"/>
    </xf>
    <xf numFmtId="0" fontId="7" fillId="5" borderId="69" xfId="0" applyFont="1" applyFill="1" applyBorder="1" applyAlignment="1">
      <alignment horizontal="center" vertical="center" wrapText="1"/>
    </xf>
    <xf numFmtId="2" fontId="55" fillId="5" borderId="5" xfId="0" applyNumberFormat="1" applyFont="1" applyFill="1" applyBorder="1" applyAlignment="1">
      <alignment horizontal="center" vertical="center"/>
    </xf>
    <xf numFmtId="2" fontId="55" fillId="5" borderId="7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35" fillId="0" borderId="52" xfId="0" applyFont="1" applyBorder="1" applyAlignment="1">
      <alignment horizontal="center" vertical="center" wrapText="1"/>
    </xf>
    <xf numFmtId="177" fontId="35" fillId="0" borderId="53" xfId="0" applyNumberFormat="1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0" fillId="0" borderId="71" xfId="0" applyBorder="1"/>
    <xf numFmtId="0" fontId="27" fillId="0" borderId="34" xfId="0" applyFont="1" applyBorder="1" applyAlignment="1">
      <alignment horizontal="center" vertical="center"/>
    </xf>
    <xf numFmtId="0" fontId="0" fillId="0" borderId="35" xfId="0" applyBorder="1"/>
    <xf numFmtId="0" fontId="36" fillId="3" borderId="19" xfId="0" applyFont="1" applyFill="1" applyBorder="1" applyAlignment="1">
      <alignment horizontal="center" vertical="center" wrapText="1"/>
    </xf>
    <xf numFmtId="0" fontId="36" fillId="3" borderId="20" xfId="0" applyFont="1" applyFill="1" applyBorder="1" applyAlignment="1">
      <alignment horizontal="center" vertical="center" wrapText="1"/>
    </xf>
    <xf numFmtId="0" fontId="30" fillId="0" borderId="73" xfId="0" applyFont="1" applyBorder="1" applyAlignment="1">
      <alignment horizontal="center"/>
    </xf>
    <xf numFmtId="4" fontId="32" fillId="0" borderId="74" xfId="0" applyNumberFormat="1" applyFont="1" applyBorder="1" applyAlignment="1">
      <alignment horizontal="center"/>
    </xf>
    <xf numFmtId="4" fontId="32" fillId="0" borderId="75" xfId="0" applyNumberFormat="1" applyFont="1" applyBorder="1" applyAlignment="1">
      <alignment vertical="center" wrapText="1"/>
    </xf>
    <xf numFmtId="1" fontId="23" fillId="0" borderId="0" xfId="0" applyNumberFormat="1" applyFont="1" applyAlignment="1">
      <alignment vertical="center" wrapText="1"/>
    </xf>
    <xf numFmtId="2" fontId="58" fillId="8" borderId="26" xfId="0" applyNumberFormat="1" applyFont="1" applyFill="1" applyBorder="1" applyAlignment="1">
      <alignment horizontal="center" vertical="center"/>
    </xf>
    <xf numFmtId="0" fontId="68" fillId="0" borderId="34" xfId="0" applyFont="1" applyBorder="1" applyAlignment="1">
      <alignment horizontal="center" vertical="center"/>
    </xf>
    <xf numFmtId="2" fontId="69" fillId="0" borderId="2" xfId="0" applyNumberFormat="1" applyFont="1" applyBorder="1" applyAlignment="1">
      <alignment horizontal="center"/>
    </xf>
    <xf numFmtId="2" fontId="70" fillId="0" borderId="35" xfId="0" applyNumberFormat="1" applyFont="1" applyBorder="1"/>
    <xf numFmtId="2" fontId="72" fillId="0" borderId="36" xfId="0" applyNumberFormat="1" applyFont="1" applyBorder="1" applyAlignment="1">
      <alignment horizontal="center"/>
    </xf>
    <xf numFmtId="2" fontId="73" fillId="0" borderId="35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2" fontId="72" fillId="0" borderId="2" xfId="0" applyNumberFormat="1" applyFont="1" applyBorder="1" applyAlignment="1">
      <alignment horizontal="center"/>
    </xf>
    <xf numFmtId="2" fontId="69" fillId="0" borderId="35" xfId="0" applyNumberFormat="1" applyFont="1" applyBorder="1" applyAlignment="1">
      <alignment horizontal="center"/>
    </xf>
    <xf numFmtId="180" fontId="43" fillId="3" borderId="0" xfId="0" applyNumberFormat="1" applyFont="1" applyFill="1" applyAlignment="1">
      <alignment horizontal="center" vertical="center"/>
    </xf>
    <xf numFmtId="180" fontId="75" fillId="0" borderId="0" xfId="0" applyNumberFormat="1" applyFont="1" applyAlignment="1">
      <alignment horizontal="center" vertical="center"/>
    </xf>
    <xf numFmtId="2" fontId="50" fillId="3" borderId="5" xfId="0" applyNumberFormat="1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35" fillId="7" borderId="5" xfId="0" applyFont="1" applyFill="1" applyBorder="1" applyAlignment="1">
      <alignment vertical="center"/>
    </xf>
    <xf numFmtId="0" fontId="39" fillId="0" borderId="0" xfId="0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2" fontId="56" fillId="2" borderId="0" xfId="0" applyNumberFormat="1" applyFont="1" applyFill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right" vertical="center" wrapText="1"/>
    </xf>
    <xf numFmtId="178" fontId="39" fillId="0" borderId="0" xfId="0" applyNumberFormat="1" applyFont="1" applyAlignment="1">
      <alignment horizontal="left" vertical="center" wrapText="1"/>
    </xf>
    <xf numFmtId="164" fontId="35" fillId="8" borderId="5" xfId="11" applyFont="1" applyFill="1" applyBorder="1" applyAlignment="1">
      <alignment horizontal="center" vertical="center"/>
    </xf>
    <xf numFmtId="2" fontId="36" fillId="0" borderId="21" xfId="0" applyNumberFormat="1" applyFont="1" applyBorder="1" applyAlignment="1">
      <alignment horizontal="center" vertical="center"/>
    </xf>
    <xf numFmtId="2" fontId="64" fillId="4" borderId="43" xfId="0" applyNumberFormat="1" applyFont="1" applyFill="1" applyBorder="1" applyAlignment="1">
      <alignment horizontal="center" vertical="center"/>
    </xf>
    <xf numFmtId="2" fontId="64" fillId="4" borderId="5" xfId="0" applyNumberFormat="1" applyFont="1" applyFill="1" applyBorder="1" applyAlignment="1">
      <alignment horizontal="center" vertical="center"/>
    </xf>
    <xf numFmtId="2" fontId="65" fillId="12" borderId="5" xfId="0" applyNumberFormat="1" applyFont="1" applyFill="1" applyBorder="1" applyAlignment="1">
      <alignment horizontal="center" vertical="center"/>
    </xf>
    <xf numFmtId="2" fontId="77" fillId="6" borderId="43" xfId="0" applyNumberFormat="1" applyFont="1" applyFill="1" applyBorder="1" applyAlignment="1">
      <alignment horizontal="center" vertical="center"/>
    </xf>
    <xf numFmtId="2" fontId="65" fillId="6" borderId="43" xfId="0" applyNumberFormat="1" applyFont="1" applyFill="1" applyBorder="1" applyAlignment="1">
      <alignment horizontal="center" vertical="center"/>
    </xf>
    <xf numFmtId="2" fontId="65" fillId="6" borderId="47" xfId="0" applyNumberFormat="1" applyFont="1" applyFill="1" applyBorder="1" applyAlignment="1">
      <alignment horizontal="center" vertical="center"/>
    </xf>
    <xf numFmtId="166" fontId="65" fillId="6" borderId="43" xfId="0" applyNumberFormat="1" applyFont="1" applyFill="1" applyBorder="1" applyAlignment="1">
      <alignment horizontal="center" vertical="center"/>
    </xf>
    <xf numFmtId="166" fontId="65" fillId="6" borderId="47" xfId="0" applyNumberFormat="1" applyFont="1" applyFill="1" applyBorder="1" applyAlignment="1">
      <alignment horizontal="center" vertical="center"/>
    </xf>
    <xf numFmtId="2" fontId="77" fillId="7" borderId="43" xfId="0" applyNumberFormat="1" applyFont="1" applyFill="1" applyBorder="1" applyAlignment="1">
      <alignment horizontal="center" vertical="center"/>
    </xf>
    <xf numFmtId="2" fontId="65" fillId="7" borderId="43" xfId="0" applyNumberFormat="1" applyFont="1" applyFill="1" applyBorder="1" applyAlignment="1">
      <alignment horizontal="center" vertical="center"/>
    </xf>
    <xf numFmtId="166" fontId="65" fillId="7" borderId="43" xfId="0" applyNumberFormat="1" applyFont="1" applyFill="1" applyBorder="1" applyAlignment="1">
      <alignment horizontal="center" vertical="center"/>
    </xf>
    <xf numFmtId="2" fontId="77" fillId="7" borderId="5" xfId="0" applyNumberFormat="1" applyFont="1" applyFill="1" applyBorder="1" applyAlignment="1">
      <alignment horizontal="center" vertical="center"/>
    </xf>
    <xf numFmtId="2" fontId="65" fillId="7" borderId="5" xfId="0" applyNumberFormat="1" applyFont="1" applyFill="1" applyBorder="1" applyAlignment="1">
      <alignment horizontal="center" vertical="center"/>
    </xf>
    <xf numFmtId="166" fontId="65" fillId="7" borderId="5" xfId="0" applyNumberFormat="1" applyFont="1" applyFill="1" applyBorder="1" applyAlignment="1">
      <alignment horizontal="center" vertical="center"/>
    </xf>
    <xf numFmtId="2" fontId="77" fillId="7" borderId="47" xfId="0" applyNumberFormat="1" applyFont="1" applyFill="1" applyBorder="1" applyAlignment="1">
      <alignment horizontal="center" vertical="center"/>
    </xf>
    <xf numFmtId="2" fontId="65" fillId="7" borderId="47" xfId="0" applyNumberFormat="1" applyFont="1" applyFill="1" applyBorder="1" applyAlignment="1">
      <alignment horizontal="center" vertical="center"/>
    </xf>
    <xf numFmtId="166" fontId="65" fillId="7" borderId="47" xfId="0" applyNumberFormat="1" applyFont="1" applyFill="1" applyBorder="1" applyAlignment="1">
      <alignment horizontal="center" vertical="center"/>
    </xf>
    <xf numFmtId="2" fontId="65" fillId="6" borderId="5" xfId="0" applyNumberFormat="1" applyFont="1" applyFill="1" applyBorder="1" applyAlignment="1">
      <alignment horizontal="center" vertical="center"/>
    </xf>
    <xf numFmtId="166" fontId="65" fillId="6" borderId="5" xfId="0" applyNumberFormat="1" applyFont="1" applyFill="1" applyBorder="1" applyAlignment="1">
      <alignment horizontal="center" vertical="center"/>
    </xf>
    <xf numFmtId="2" fontId="65" fillId="6" borderId="21" xfId="0" applyNumberFormat="1" applyFont="1" applyFill="1" applyBorder="1" applyAlignment="1">
      <alignment horizontal="center" vertical="center"/>
    </xf>
    <xf numFmtId="0" fontId="65" fillId="6" borderId="45" xfId="0" applyFont="1" applyFill="1" applyBorder="1" applyAlignment="1">
      <alignment horizontal="center" vertical="center"/>
    </xf>
    <xf numFmtId="0" fontId="65" fillId="6" borderId="49" xfId="0" applyFont="1" applyFill="1" applyBorder="1" applyAlignment="1">
      <alignment horizontal="center" vertical="center"/>
    </xf>
    <xf numFmtId="0" fontId="65" fillId="7" borderId="45" xfId="0" applyFont="1" applyFill="1" applyBorder="1" applyAlignment="1">
      <alignment horizontal="center" vertical="center"/>
    </xf>
    <xf numFmtId="0" fontId="65" fillId="7" borderId="39" xfId="0" applyFont="1" applyFill="1" applyBorder="1" applyAlignment="1">
      <alignment horizontal="center" vertical="center"/>
    </xf>
    <xf numFmtId="0" fontId="65" fillId="7" borderId="49" xfId="0" applyFont="1" applyFill="1" applyBorder="1" applyAlignment="1">
      <alignment horizontal="center" vertical="center"/>
    </xf>
    <xf numFmtId="1" fontId="65" fillId="6" borderId="45" xfId="0" applyNumberFormat="1" applyFont="1" applyFill="1" applyBorder="1" applyAlignment="1">
      <alignment horizontal="center" vertical="center"/>
    </xf>
    <xf numFmtId="1" fontId="65" fillId="6" borderId="39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77" fillId="12" borderId="5" xfId="0" applyNumberFormat="1" applyFont="1" applyFill="1" applyBorder="1" applyAlignment="1">
      <alignment horizontal="center" vertical="center"/>
    </xf>
    <xf numFmtId="1" fontId="36" fillId="3" borderId="39" xfId="0" applyNumberFormat="1" applyFont="1" applyFill="1" applyBorder="1" applyAlignment="1">
      <alignment horizontal="center" vertical="center"/>
    </xf>
    <xf numFmtId="1" fontId="36" fillId="0" borderId="39" xfId="0" applyNumberFormat="1" applyFont="1" applyBorder="1" applyAlignment="1">
      <alignment horizontal="center" vertical="center"/>
    </xf>
    <xf numFmtId="1" fontId="36" fillId="3" borderId="87" xfId="0" applyNumberFormat="1" applyFont="1" applyFill="1" applyBorder="1" applyAlignment="1">
      <alignment horizontal="center" vertical="center"/>
    </xf>
    <xf numFmtId="1" fontId="36" fillId="3" borderId="90" xfId="0" applyNumberFormat="1" applyFont="1" applyFill="1" applyBorder="1" applyAlignment="1">
      <alignment horizontal="center" vertical="center"/>
    </xf>
    <xf numFmtId="1" fontId="36" fillId="3" borderId="89" xfId="0" applyNumberFormat="1" applyFont="1" applyFill="1" applyBorder="1" applyAlignment="1">
      <alignment horizontal="center" vertical="center"/>
    </xf>
    <xf numFmtId="2" fontId="64" fillId="4" borderId="15" xfId="0" applyNumberFormat="1" applyFont="1" applyFill="1" applyBorder="1" applyAlignment="1">
      <alignment horizontal="center" vertical="center"/>
    </xf>
    <xf numFmtId="2" fontId="64" fillId="4" borderId="16" xfId="0" applyNumberFormat="1" applyFont="1" applyFill="1" applyBorder="1" applyAlignment="1">
      <alignment horizontal="center" vertical="center"/>
    </xf>
    <xf numFmtId="2" fontId="77" fillId="5" borderId="56" xfId="0" applyNumberFormat="1" applyFont="1" applyFill="1" applyBorder="1" applyAlignment="1">
      <alignment horizontal="center" vertical="center"/>
    </xf>
    <xf numFmtId="2" fontId="65" fillId="5" borderId="56" xfId="0" applyNumberFormat="1" applyFont="1" applyFill="1" applyBorder="1" applyAlignment="1">
      <alignment horizontal="center" vertical="center"/>
    </xf>
    <xf numFmtId="2" fontId="65" fillId="5" borderId="57" xfId="0" applyNumberFormat="1" applyFont="1" applyFill="1" applyBorder="1" applyAlignment="1">
      <alignment horizontal="center" vertical="center"/>
    </xf>
    <xf numFmtId="2" fontId="77" fillId="5" borderId="41" xfId="0" applyNumberFormat="1" applyFont="1" applyFill="1" applyBorder="1" applyAlignment="1">
      <alignment horizontal="center" vertical="center"/>
    </xf>
    <xf numFmtId="2" fontId="65" fillId="5" borderId="41" xfId="0" applyNumberFormat="1" applyFont="1" applyFill="1" applyBorder="1" applyAlignment="1">
      <alignment horizontal="center" vertical="center"/>
    </xf>
    <xf numFmtId="2" fontId="65" fillId="5" borderId="15" xfId="0" applyNumberFormat="1" applyFont="1" applyFill="1" applyBorder="1" applyAlignment="1">
      <alignment horizontal="center" vertical="center"/>
    </xf>
    <xf numFmtId="166" fontId="65" fillId="5" borderId="17" xfId="0" applyNumberFormat="1" applyFont="1" applyFill="1" applyBorder="1" applyAlignment="1">
      <alignment horizontal="center" vertical="center"/>
    </xf>
    <xf numFmtId="2" fontId="77" fillId="5" borderId="15" xfId="0" applyNumberFormat="1" applyFont="1" applyFill="1" applyBorder="1" applyAlignment="1">
      <alignment horizontal="center" vertical="center"/>
    </xf>
    <xf numFmtId="0" fontId="59" fillId="5" borderId="19" xfId="0" applyFont="1" applyFill="1" applyBorder="1" applyAlignment="1">
      <alignment horizontal="right" vertical="center"/>
    </xf>
    <xf numFmtId="167" fontId="59" fillId="5" borderId="60" xfId="0" applyNumberFormat="1" applyFont="1" applyFill="1" applyBorder="1" applyAlignment="1">
      <alignment horizontal="left" vertical="center"/>
    </xf>
    <xf numFmtId="2" fontId="77" fillId="5" borderId="16" xfId="0" applyNumberFormat="1" applyFont="1" applyFill="1" applyBorder="1" applyAlignment="1">
      <alignment horizontal="center" vertical="center"/>
    </xf>
    <xf numFmtId="2" fontId="65" fillId="5" borderId="16" xfId="0" applyNumberFormat="1" applyFont="1" applyFill="1" applyBorder="1" applyAlignment="1">
      <alignment horizontal="center" vertical="center"/>
    </xf>
    <xf numFmtId="166" fontId="65" fillId="5" borderId="18" xfId="0" applyNumberFormat="1" applyFont="1" applyFill="1" applyBorder="1" applyAlignment="1">
      <alignment horizontal="center" vertical="center"/>
    </xf>
    <xf numFmtId="0" fontId="76" fillId="5" borderId="62" xfId="0" applyFont="1" applyFill="1" applyBorder="1" applyAlignment="1">
      <alignment horizontal="left" vertical="center"/>
    </xf>
    <xf numFmtId="2" fontId="77" fillId="5" borderId="37" xfId="0" applyNumberFormat="1" applyFont="1" applyFill="1" applyBorder="1" applyAlignment="1">
      <alignment horizontal="center" vertical="center"/>
    </xf>
    <xf numFmtId="2" fontId="65" fillId="5" borderId="63" xfId="0" applyNumberFormat="1" applyFont="1" applyFill="1" applyBorder="1" applyAlignment="1">
      <alignment horizontal="center" vertical="center"/>
    </xf>
    <xf numFmtId="2" fontId="77" fillId="5" borderId="64" xfId="0" applyNumberFormat="1" applyFont="1" applyFill="1" applyBorder="1" applyAlignment="1">
      <alignment horizontal="center" vertical="center"/>
    </xf>
    <xf numFmtId="2" fontId="65" fillId="5" borderId="64" xfId="0" applyNumberFormat="1" applyFont="1" applyFill="1" applyBorder="1" applyAlignment="1">
      <alignment horizontal="center" vertical="center"/>
    </xf>
    <xf numFmtId="166" fontId="65" fillId="5" borderId="65" xfId="0" applyNumberFormat="1" applyFont="1" applyFill="1" applyBorder="1" applyAlignment="1">
      <alignment horizontal="center" vertical="center"/>
    </xf>
    <xf numFmtId="0" fontId="59" fillId="5" borderId="48" xfId="0" applyFont="1" applyFill="1" applyBorder="1" applyAlignment="1">
      <alignment horizontal="right" vertical="center"/>
    </xf>
    <xf numFmtId="167" fontId="59" fillId="5" borderId="66" xfId="0" applyNumberFormat="1" applyFont="1" applyFill="1" applyBorder="1" applyAlignment="1">
      <alignment horizontal="left" vertical="center"/>
    </xf>
    <xf numFmtId="2" fontId="46" fillId="5" borderId="5" xfId="0" applyNumberFormat="1" applyFont="1" applyFill="1" applyBorder="1" applyAlignment="1">
      <alignment horizontal="left" vertical="center"/>
    </xf>
    <xf numFmtId="2" fontId="46" fillId="5" borderId="7" xfId="0" applyNumberFormat="1" applyFont="1" applyFill="1" applyBorder="1" applyAlignment="1">
      <alignment horizontal="left" vertical="center"/>
    </xf>
    <xf numFmtId="171" fontId="41" fillId="3" borderId="0" xfId="0" applyNumberFormat="1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0" fontId="30" fillId="15" borderId="79" xfId="0" applyFont="1" applyFill="1" applyBorder="1" applyAlignment="1">
      <alignment horizontal="center" vertical="center"/>
    </xf>
    <xf numFmtId="0" fontId="30" fillId="15" borderId="78" xfId="0" applyFont="1" applyFill="1" applyBorder="1" applyAlignment="1">
      <alignment horizontal="center" vertical="center"/>
    </xf>
    <xf numFmtId="0" fontId="67" fillId="3" borderId="76" xfId="0" applyFont="1" applyFill="1" applyBorder="1" applyAlignment="1">
      <alignment horizontal="center" vertical="center"/>
    </xf>
    <xf numFmtId="0" fontId="67" fillId="3" borderId="77" xfId="0" applyFont="1" applyFill="1" applyBorder="1" applyAlignment="1">
      <alignment horizontal="center" vertical="center"/>
    </xf>
    <xf numFmtId="0" fontId="67" fillId="3" borderId="78" xfId="0" applyFont="1" applyFill="1" applyBorder="1" applyAlignment="1">
      <alignment horizontal="center" vertical="center"/>
    </xf>
    <xf numFmtId="0" fontId="68" fillId="3" borderId="30" xfId="0" applyFont="1" applyFill="1" applyBorder="1" applyAlignment="1">
      <alignment horizontal="center" vertical="center"/>
    </xf>
    <xf numFmtId="2" fontId="69" fillId="3" borderId="36" xfId="0" applyNumberFormat="1" applyFont="1" applyFill="1" applyBorder="1" applyAlignment="1">
      <alignment horizontal="center"/>
    </xf>
    <xf numFmtId="2" fontId="70" fillId="3" borderId="31" xfId="0" applyNumberFormat="1" applyFont="1" applyFill="1" applyBorder="1"/>
    <xf numFmtId="0" fontId="68" fillId="3" borderId="34" xfId="0" applyFont="1" applyFill="1" applyBorder="1" applyAlignment="1">
      <alignment horizontal="center" vertical="center"/>
    </xf>
    <xf numFmtId="2" fontId="69" fillId="3" borderId="2" xfId="0" applyNumberFormat="1" applyFont="1" applyFill="1" applyBorder="1" applyAlignment="1">
      <alignment horizontal="center"/>
    </xf>
    <xf numFmtId="2" fontId="70" fillId="3" borderId="35" xfId="0" applyNumberFormat="1" applyFont="1" applyFill="1" applyBorder="1"/>
    <xf numFmtId="0" fontId="11" fillId="3" borderId="30" xfId="0" applyFont="1" applyFill="1" applyBorder="1" applyAlignment="1">
      <alignment horizontal="center" vertical="center"/>
    </xf>
    <xf numFmtId="2" fontId="72" fillId="3" borderId="36" xfId="0" applyNumberFormat="1" applyFont="1" applyFill="1" applyBorder="1" applyAlignment="1">
      <alignment horizontal="center"/>
    </xf>
    <xf numFmtId="2" fontId="69" fillId="3" borderId="35" xfId="0" applyNumberFormat="1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 vertical="center"/>
    </xf>
    <xf numFmtId="2" fontId="72" fillId="3" borderId="2" xfId="0" applyNumberFormat="1" applyFont="1" applyFill="1" applyBorder="1" applyAlignment="1">
      <alignment horizontal="center"/>
    </xf>
    <xf numFmtId="2" fontId="74" fillId="3" borderId="35" xfId="0" applyNumberFormat="1" applyFont="1" applyFill="1" applyBorder="1" applyAlignment="1">
      <alignment horizontal="center"/>
    </xf>
    <xf numFmtId="2" fontId="73" fillId="3" borderId="35" xfId="0" applyNumberFormat="1" applyFont="1" applyFill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2" fontId="72" fillId="3" borderId="74" xfId="0" applyNumberFormat="1" applyFont="1" applyFill="1" applyBorder="1" applyAlignment="1">
      <alignment horizontal="center"/>
    </xf>
    <xf numFmtId="2" fontId="69" fillId="3" borderId="75" xfId="0" applyNumberFormat="1" applyFont="1" applyFill="1" applyBorder="1" applyAlignment="1">
      <alignment horizontal="center"/>
    </xf>
    <xf numFmtId="0" fontId="40" fillId="3" borderId="0" xfId="0" applyFont="1" applyFill="1" applyAlignment="1">
      <alignment horizontal="left" vertical="center"/>
    </xf>
    <xf numFmtId="0" fontId="35" fillId="3" borderId="24" xfId="0" applyFont="1" applyFill="1" applyBorder="1" applyAlignment="1">
      <alignment vertical="center"/>
    </xf>
    <xf numFmtId="2" fontId="36" fillId="16" borderId="5" xfId="0" applyNumberFormat="1" applyFont="1" applyFill="1" applyBorder="1" applyAlignment="1">
      <alignment horizontal="center" vertical="center"/>
    </xf>
    <xf numFmtId="0" fontId="35" fillId="16" borderId="5" xfId="0" applyFont="1" applyFill="1" applyBorder="1" applyAlignment="1">
      <alignment vertical="center"/>
    </xf>
    <xf numFmtId="2" fontId="50" fillId="16" borderId="5" xfId="0" applyNumberFormat="1" applyFont="1" applyFill="1" applyBorder="1" applyAlignment="1">
      <alignment horizontal="center" vertical="center"/>
    </xf>
    <xf numFmtId="166" fontId="36" fillId="16" borderId="5" xfId="0" applyNumberFormat="1" applyFont="1" applyFill="1" applyBorder="1" applyAlignment="1">
      <alignment horizontal="center" vertical="center"/>
    </xf>
    <xf numFmtId="2" fontId="0" fillId="3" borderId="67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47" fillId="18" borderId="38" xfId="0" applyFont="1" applyFill="1" applyBorder="1" applyAlignment="1">
      <alignment horizontal="center" vertical="center"/>
    </xf>
    <xf numFmtId="2" fontId="65" fillId="18" borderId="24" xfId="0" applyNumberFormat="1" applyFont="1" applyFill="1" applyBorder="1" applyAlignment="1">
      <alignment horizontal="center" vertical="center"/>
    </xf>
    <xf numFmtId="0" fontId="59" fillId="3" borderId="72" xfId="0" applyFont="1" applyFill="1" applyBorder="1" applyAlignment="1">
      <alignment vertical="center" wrapText="1"/>
    </xf>
    <xf numFmtId="0" fontId="59" fillId="3" borderId="12" xfId="0" applyFont="1" applyFill="1" applyBorder="1" applyAlignment="1">
      <alignment vertical="center" wrapText="1"/>
    </xf>
    <xf numFmtId="166" fontId="65" fillId="6" borderId="21" xfId="0" applyNumberFormat="1" applyFont="1" applyFill="1" applyBorder="1" applyAlignment="1">
      <alignment horizontal="center" vertical="center"/>
    </xf>
    <xf numFmtId="2" fontId="36" fillId="0" borderId="43" xfId="0" applyNumberFormat="1" applyFont="1" applyBorder="1" applyAlignment="1">
      <alignment horizontal="center" vertical="center"/>
    </xf>
    <xf numFmtId="1" fontId="36" fillId="3" borderId="98" xfId="0" applyNumberFormat="1" applyFont="1" applyFill="1" applyBorder="1" applyAlignment="1">
      <alignment horizontal="center" vertical="center"/>
    </xf>
    <xf numFmtId="2" fontId="36" fillId="3" borderId="43" xfId="0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vertical="center"/>
    </xf>
    <xf numFmtId="0" fontId="48" fillId="4" borderId="7" xfId="0" applyFont="1" applyFill="1" applyBorder="1" applyAlignment="1">
      <alignment vertical="center"/>
    </xf>
    <xf numFmtId="2" fontId="36" fillId="3" borderId="21" xfId="0" applyNumberFormat="1" applyFont="1" applyFill="1" applyBorder="1" applyAlignment="1">
      <alignment horizontal="center" vertical="center"/>
    </xf>
    <xf numFmtId="1" fontId="36" fillId="0" borderId="43" xfId="0" applyNumberFormat="1" applyFont="1" applyBorder="1" applyAlignment="1">
      <alignment horizontal="center" vertical="center"/>
    </xf>
    <xf numFmtId="166" fontId="36" fillId="3" borderId="43" xfId="0" applyNumberFormat="1" applyFont="1" applyFill="1" applyBorder="1" applyAlignment="1">
      <alignment horizontal="center" vertical="center"/>
    </xf>
    <xf numFmtId="1" fontId="55" fillId="3" borderId="43" xfId="0" applyNumberFormat="1" applyFont="1" applyFill="1" applyBorder="1" applyAlignment="1">
      <alignment horizontal="center" vertical="center"/>
    </xf>
    <xf numFmtId="1" fontId="55" fillId="3" borderId="21" xfId="0" applyNumberFormat="1" applyFont="1" applyFill="1" applyBorder="1" applyAlignment="1">
      <alignment horizontal="center" vertical="center"/>
    </xf>
    <xf numFmtId="1" fontId="55" fillId="3" borderId="5" xfId="0" applyNumberFormat="1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left" vertical="center"/>
    </xf>
    <xf numFmtId="167" fontId="35" fillId="0" borderId="7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1" fontId="36" fillId="3" borderId="97" xfId="0" applyNumberFormat="1" applyFont="1" applyFill="1" applyBorder="1" applyAlignment="1">
      <alignment horizontal="center" vertical="center"/>
    </xf>
    <xf numFmtId="1" fontId="36" fillId="3" borderId="86" xfId="0" applyNumberFormat="1" applyFont="1" applyFill="1" applyBorder="1" applyAlignment="1">
      <alignment horizontal="center" vertical="center"/>
    </xf>
    <xf numFmtId="0" fontId="79" fillId="3" borderId="19" xfId="0" applyFont="1" applyFill="1" applyBorder="1" applyAlignment="1">
      <alignment horizontal="center" vertical="center" wrapText="1"/>
    </xf>
    <xf numFmtId="0" fontId="79" fillId="3" borderId="20" xfId="0" applyFont="1" applyFill="1" applyBorder="1" applyAlignment="1">
      <alignment horizontal="center" vertical="center" wrapText="1"/>
    </xf>
    <xf numFmtId="166" fontId="36" fillId="18" borderId="5" xfId="0" applyNumberFormat="1" applyFont="1" applyFill="1" applyBorder="1" applyAlignment="1">
      <alignment horizontal="center" vertical="center"/>
    </xf>
    <xf numFmtId="2" fontId="50" fillId="3" borderId="24" xfId="0" applyNumberFormat="1" applyFont="1" applyFill="1" applyBorder="1" applyAlignment="1">
      <alignment horizontal="center" vertical="center"/>
    </xf>
    <xf numFmtId="167" fontId="46" fillId="0" borderId="0" xfId="0" applyNumberFormat="1" applyFont="1" applyAlignment="1">
      <alignment horizontal="left" vertical="center" wrapText="1"/>
    </xf>
    <xf numFmtId="167" fontId="46" fillId="3" borderId="0" xfId="0" applyNumberFormat="1" applyFont="1" applyFill="1" applyAlignment="1">
      <alignment horizontal="left" vertical="center" wrapText="1"/>
    </xf>
    <xf numFmtId="15" fontId="83" fillId="3" borderId="8" xfId="0" applyNumberFormat="1" applyFont="1" applyFill="1" applyBorder="1" applyAlignment="1">
      <alignment horizontal="center" vertical="center" wrapText="1"/>
    </xf>
    <xf numFmtId="1" fontId="64" fillId="4" borderId="39" xfId="0" applyNumberFormat="1" applyFont="1" applyFill="1" applyBorder="1" applyAlignment="1">
      <alignment horizontal="center" vertical="center"/>
    </xf>
    <xf numFmtId="1" fontId="79" fillId="19" borderId="5" xfId="0" applyNumberFormat="1" applyFont="1" applyFill="1" applyBorder="1" applyAlignment="1">
      <alignment horizontal="center" vertical="center"/>
    </xf>
    <xf numFmtId="2" fontId="80" fillId="19" borderId="2" xfId="0" applyNumberFormat="1" applyFont="1" applyFill="1" applyBorder="1" applyAlignment="1">
      <alignment horizontal="center" vertical="center"/>
    </xf>
    <xf numFmtId="2" fontId="64" fillId="19" borderId="5" xfId="0" applyNumberFormat="1" applyFont="1" applyFill="1" applyBorder="1" applyAlignment="1">
      <alignment horizontal="center" vertical="center"/>
    </xf>
    <xf numFmtId="1" fontId="46" fillId="12" borderId="5" xfId="0" applyNumberFormat="1" applyFont="1" applyFill="1" applyBorder="1" applyAlignment="1">
      <alignment horizontal="center" vertical="center"/>
    </xf>
    <xf numFmtId="1" fontId="65" fillId="12" borderId="5" xfId="0" applyNumberFormat="1" applyFont="1" applyFill="1" applyBorder="1" applyAlignment="1">
      <alignment horizontal="center" vertical="center"/>
    </xf>
    <xf numFmtId="0" fontId="76" fillId="6" borderId="19" xfId="0" applyFont="1" applyFill="1" applyBorder="1" applyAlignment="1">
      <alignment horizontal="center" vertical="center" wrapText="1"/>
    </xf>
    <xf numFmtId="177" fontId="76" fillId="6" borderId="20" xfId="0" applyNumberFormat="1" applyFont="1" applyFill="1" applyBorder="1" applyAlignment="1">
      <alignment horizontal="left" vertical="center" wrapText="1"/>
    </xf>
    <xf numFmtId="2" fontId="36" fillId="0" borderId="0" xfId="0" applyNumberFormat="1" applyFont="1" applyAlignment="1">
      <alignment horizontal="center" vertical="center"/>
    </xf>
    <xf numFmtId="2" fontId="36" fillId="3" borderId="0" xfId="0" applyNumberFormat="1" applyFont="1" applyFill="1" applyAlignment="1">
      <alignment horizontal="center" vertical="center"/>
    </xf>
    <xf numFmtId="1" fontId="85" fillId="4" borderId="24" xfId="0" applyNumberFormat="1" applyFont="1" applyFill="1" applyBorder="1" applyAlignment="1">
      <alignment horizontal="center" vertical="center"/>
    </xf>
    <xf numFmtId="166" fontId="65" fillId="20" borderId="5" xfId="0" applyNumberFormat="1" applyFont="1" applyFill="1" applyBorder="1" applyAlignment="1">
      <alignment horizontal="center" vertical="center"/>
    </xf>
    <xf numFmtId="166" fontId="64" fillId="19" borderId="5" xfId="0" applyNumberFormat="1" applyFont="1" applyFill="1" applyBorder="1" applyAlignment="1">
      <alignment horizontal="center" vertical="center"/>
    </xf>
    <xf numFmtId="2" fontId="36" fillId="3" borderId="47" xfId="0" applyNumberFormat="1" applyFont="1" applyFill="1" applyBorder="1" applyAlignment="1">
      <alignment horizontal="center" vertical="center"/>
    </xf>
    <xf numFmtId="166" fontId="36" fillId="3" borderId="47" xfId="0" applyNumberFormat="1" applyFont="1" applyFill="1" applyBorder="1" applyAlignment="1">
      <alignment horizontal="center" vertical="center"/>
    </xf>
    <xf numFmtId="0" fontId="58" fillId="14" borderId="14" xfId="0" applyFont="1" applyFill="1" applyBorder="1" applyAlignment="1">
      <alignment horizontal="center" vertical="center"/>
    </xf>
    <xf numFmtId="166" fontId="52" fillId="3" borderId="24" xfId="0" applyNumberFormat="1" applyFont="1" applyFill="1" applyBorder="1" applyAlignment="1">
      <alignment horizontal="center" vertical="center"/>
    </xf>
    <xf numFmtId="166" fontId="52" fillId="3" borderId="5" xfId="0" applyNumberFormat="1" applyFont="1" applyFill="1" applyBorder="1" applyAlignment="1">
      <alignment horizontal="center" vertical="center"/>
    </xf>
    <xf numFmtId="0" fontId="35" fillId="14" borderId="39" xfId="0" applyFont="1" applyFill="1" applyBorder="1" applyAlignment="1">
      <alignment vertical="center"/>
    </xf>
    <xf numFmtId="2" fontId="36" fillId="14" borderId="5" xfId="0" applyNumberFormat="1" applyFont="1" applyFill="1" applyBorder="1" applyAlignment="1">
      <alignment horizontal="center" vertical="center"/>
    </xf>
    <xf numFmtId="166" fontId="36" fillId="14" borderId="21" xfId="0" applyNumberFormat="1" applyFont="1" applyFill="1" applyBorder="1" applyAlignment="1">
      <alignment horizontal="center" vertical="center"/>
    </xf>
    <xf numFmtId="0" fontId="68" fillId="5" borderId="34" xfId="0" applyFont="1" applyFill="1" applyBorder="1" applyAlignment="1">
      <alignment horizontal="center" vertical="center"/>
    </xf>
    <xf numFmtId="2" fontId="85" fillId="4" borderId="5" xfId="0" applyNumberFormat="1" applyFont="1" applyFill="1" applyBorder="1" applyAlignment="1">
      <alignment horizontal="center" vertical="center"/>
    </xf>
    <xf numFmtId="1" fontId="85" fillId="4" borderId="5" xfId="0" applyNumberFormat="1" applyFont="1" applyFill="1" applyBorder="1" applyAlignment="1">
      <alignment horizontal="center" vertical="center"/>
    </xf>
    <xf numFmtId="2" fontId="50" fillId="3" borderId="47" xfId="0" applyNumberFormat="1" applyFont="1" applyFill="1" applyBorder="1" applyAlignment="1">
      <alignment horizontal="center" vertical="center"/>
    </xf>
    <xf numFmtId="0" fontId="47" fillId="3" borderId="47" xfId="0" applyFont="1" applyFill="1" applyBorder="1" applyAlignment="1">
      <alignment horizontal="left" vertical="center"/>
    </xf>
    <xf numFmtId="0" fontId="36" fillId="3" borderId="72" xfId="0" applyFont="1" applyFill="1" applyBorder="1" applyAlignment="1">
      <alignment vertical="center" wrapText="1"/>
    </xf>
    <xf numFmtId="0" fontId="36" fillId="3" borderId="12" xfId="0" applyFont="1" applyFill="1" applyBorder="1" applyAlignment="1">
      <alignment vertical="center" wrapText="1"/>
    </xf>
    <xf numFmtId="0" fontId="35" fillId="3" borderId="47" xfId="0" applyFont="1" applyFill="1" applyBorder="1" applyAlignment="1">
      <alignment vertical="center"/>
    </xf>
    <xf numFmtId="2" fontId="36" fillId="7" borderId="22" xfId="0" applyNumberFormat="1" applyFont="1" applyFill="1" applyBorder="1" applyAlignment="1">
      <alignment horizontal="center" vertical="center"/>
    </xf>
    <xf numFmtId="2" fontId="50" fillId="7" borderId="22" xfId="0" applyNumberFormat="1" applyFont="1" applyFill="1" applyBorder="1" applyAlignment="1">
      <alignment horizontal="center" vertical="center"/>
    </xf>
    <xf numFmtId="2" fontId="85" fillId="0" borderId="5" xfId="0" applyNumberFormat="1" applyFont="1" applyBorder="1" applyAlignment="1">
      <alignment horizontal="center" vertical="center"/>
    </xf>
    <xf numFmtId="1" fontId="52" fillId="3" borderId="39" xfId="0" applyNumberFormat="1" applyFont="1" applyFill="1" applyBorder="1" applyAlignment="1">
      <alignment horizontal="center" vertical="center"/>
    </xf>
    <xf numFmtId="1" fontId="86" fillId="3" borderId="5" xfId="0" applyNumberFormat="1" applyFont="1" applyFill="1" applyBorder="1" applyAlignment="1">
      <alignment horizontal="center" vertical="center"/>
    </xf>
    <xf numFmtId="1" fontId="52" fillId="0" borderId="5" xfId="0" applyNumberFormat="1" applyFont="1" applyBorder="1" applyAlignment="1">
      <alignment horizontal="center" vertical="center"/>
    </xf>
    <xf numFmtId="2" fontId="52" fillId="0" borderId="5" xfId="0" applyNumberFormat="1" applyFont="1" applyBorder="1" applyAlignment="1">
      <alignment horizontal="center" vertical="center"/>
    </xf>
    <xf numFmtId="2" fontId="52" fillId="3" borderId="5" xfId="0" applyNumberFormat="1" applyFont="1" applyFill="1" applyBorder="1" applyAlignment="1">
      <alignment horizontal="center" vertical="center"/>
    </xf>
    <xf numFmtId="166" fontId="52" fillId="0" borderId="5" xfId="0" applyNumberFormat="1" applyFont="1" applyBorder="1" applyAlignment="1">
      <alignment horizontal="center" vertical="center"/>
    </xf>
    <xf numFmtId="166" fontId="52" fillId="0" borderId="47" xfId="0" applyNumberFormat="1" applyFont="1" applyBorder="1" applyAlignment="1">
      <alignment horizontal="center" vertical="center"/>
    </xf>
    <xf numFmtId="0" fontId="35" fillId="5" borderId="5" xfId="0" applyFont="1" applyFill="1" applyBorder="1" applyAlignment="1">
      <alignment vertical="center"/>
    </xf>
    <xf numFmtId="2" fontId="36" fillId="5" borderId="5" xfId="0" applyNumberFormat="1" applyFont="1" applyFill="1" applyBorder="1" applyAlignment="1">
      <alignment horizontal="center" vertical="center"/>
    </xf>
    <xf numFmtId="166" fontId="36" fillId="5" borderId="5" xfId="0" applyNumberFormat="1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35" fillId="7" borderId="1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76" fillId="6" borderId="19" xfId="0" applyFont="1" applyFill="1" applyBorder="1" applyAlignment="1">
      <alignment horizontal="center" vertical="center" wrapText="1"/>
    </xf>
    <xf numFmtId="0" fontId="76" fillId="6" borderId="20" xfId="0" applyFont="1" applyFill="1" applyBorder="1" applyAlignment="1">
      <alignment horizontal="center" vertical="center" wrapText="1"/>
    </xf>
    <xf numFmtId="0" fontId="35" fillId="3" borderId="19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58" fillId="13" borderId="13" xfId="0" applyFont="1" applyFill="1" applyBorder="1" applyAlignment="1">
      <alignment horizontal="center" vertical="center"/>
    </xf>
    <xf numFmtId="0" fontId="58" fillId="13" borderId="14" xfId="0" applyFont="1" applyFill="1" applyBorder="1" applyAlignment="1">
      <alignment horizontal="center" vertical="center"/>
    </xf>
    <xf numFmtId="0" fontId="58" fillId="13" borderId="3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7" fillId="3" borderId="93" xfId="0" applyFont="1" applyFill="1" applyBorder="1" applyAlignment="1">
      <alignment horizontal="center" vertical="center"/>
    </xf>
    <xf numFmtId="0" fontId="47" fillId="3" borderId="94" xfId="0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0" fontId="46" fillId="16" borderId="13" xfId="0" applyFont="1" applyFill="1" applyBorder="1" applyAlignment="1">
      <alignment horizontal="center" vertical="center"/>
    </xf>
    <xf numFmtId="0" fontId="46" fillId="16" borderId="14" xfId="0" applyFont="1" applyFill="1" applyBorder="1" applyAlignment="1">
      <alignment horizontal="center" vertical="center"/>
    </xf>
    <xf numFmtId="0" fontId="46" fillId="16" borderId="42" xfId="0" applyFont="1" applyFill="1" applyBorder="1" applyAlignment="1">
      <alignment horizontal="center" vertical="center"/>
    </xf>
    <xf numFmtId="0" fontId="47" fillId="16" borderId="93" xfId="0" applyFont="1" applyFill="1" applyBorder="1" applyAlignment="1">
      <alignment horizontal="center" vertical="center"/>
    </xf>
    <xf numFmtId="0" fontId="47" fillId="16" borderId="94" xfId="0" applyFont="1" applyFill="1" applyBorder="1" applyAlignment="1">
      <alignment horizontal="center" vertical="center"/>
    </xf>
    <xf numFmtId="0" fontId="46" fillId="3" borderId="14" xfId="0" applyFont="1" applyFill="1" applyBorder="1" applyAlignment="1">
      <alignment horizontal="center" vertical="center"/>
    </xf>
    <xf numFmtId="0" fontId="46" fillId="3" borderId="42" xfId="0" applyFont="1" applyFill="1" applyBorder="1" applyAlignment="1">
      <alignment horizontal="center" vertical="center"/>
    </xf>
    <xf numFmtId="0" fontId="47" fillId="16" borderId="19" xfId="0" applyFont="1" applyFill="1" applyBorder="1" applyAlignment="1">
      <alignment horizontal="center" vertical="center"/>
    </xf>
    <xf numFmtId="0" fontId="47" fillId="16" borderId="39" xfId="0" applyFont="1" applyFill="1" applyBorder="1" applyAlignment="1">
      <alignment horizontal="center" vertical="center"/>
    </xf>
    <xf numFmtId="0" fontId="46" fillId="3" borderId="13" xfId="0" applyFont="1" applyFill="1" applyBorder="1" applyAlignment="1">
      <alignment horizontal="center" vertical="center"/>
    </xf>
    <xf numFmtId="0" fontId="46" fillId="3" borderId="107" xfId="0" applyFont="1" applyFill="1" applyBorder="1" applyAlignment="1">
      <alignment horizontal="center" vertical="center"/>
    </xf>
    <xf numFmtId="0" fontId="46" fillId="3" borderId="108" xfId="0" applyFont="1" applyFill="1" applyBorder="1" applyAlignment="1">
      <alignment horizontal="center" vertical="center"/>
    </xf>
    <xf numFmtId="0" fontId="80" fillId="4" borderId="84" xfId="0" applyFont="1" applyFill="1" applyBorder="1" applyAlignment="1">
      <alignment horizontal="center" vertical="center" wrapText="1"/>
    </xf>
    <xf numFmtId="0" fontId="80" fillId="4" borderId="85" xfId="0" applyFont="1" applyFill="1" applyBorder="1" applyAlignment="1">
      <alignment horizontal="center" vertical="center" wrapText="1"/>
    </xf>
    <xf numFmtId="0" fontId="36" fillId="3" borderId="47" xfId="0" applyFont="1" applyFill="1" applyBorder="1" applyAlignment="1">
      <alignment horizontal="center" vertical="center" wrapText="1"/>
    </xf>
    <xf numFmtId="0" fontId="36" fillId="3" borderId="109" xfId="0" applyFont="1" applyFill="1" applyBorder="1" applyAlignment="1">
      <alignment horizontal="center" vertical="center" wrapText="1"/>
    </xf>
    <xf numFmtId="0" fontId="47" fillId="3" borderId="48" xfId="0" applyFont="1" applyFill="1" applyBorder="1" applyAlignment="1">
      <alignment horizontal="center" vertical="center"/>
    </xf>
    <xf numFmtId="0" fontId="47" fillId="3" borderId="49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47" fillId="5" borderId="19" xfId="0" applyFont="1" applyFill="1" applyBorder="1" applyAlignment="1">
      <alignment horizontal="center" vertical="center"/>
    </xf>
    <xf numFmtId="0" fontId="47" fillId="5" borderId="60" xfId="0" applyFont="1" applyFill="1" applyBorder="1" applyAlignment="1">
      <alignment horizontal="center" vertical="center"/>
    </xf>
    <xf numFmtId="0" fontId="35" fillId="3" borderId="72" xfId="0" applyFont="1" applyFill="1" applyBorder="1" applyAlignment="1">
      <alignment horizontal="center" vertical="center"/>
    </xf>
    <xf numFmtId="0" fontId="35" fillId="3" borderId="86" xfId="0" applyFont="1" applyFill="1" applyBorder="1" applyAlignment="1">
      <alignment horizontal="center" vertical="center"/>
    </xf>
    <xf numFmtId="0" fontId="36" fillId="3" borderId="19" xfId="0" applyFont="1" applyFill="1" applyBorder="1" applyAlignment="1">
      <alignment horizontal="center" vertical="center" wrapText="1"/>
    </xf>
    <xf numFmtId="0" fontId="36" fillId="3" borderId="20" xfId="0" applyFont="1" applyFill="1" applyBorder="1" applyAlignment="1">
      <alignment horizontal="center" vertical="center" wrapText="1"/>
    </xf>
    <xf numFmtId="0" fontId="84" fillId="4" borderId="19" xfId="0" applyFont="1" applyFill="1" applyBorder="1" applyAlignment="1">
      <alignment horizontal="center" vertical="center" wrapText="1"/>
    </xf>
    <xf numFmtId="0" fontId="84" fillId="4" borderId="20" xfId="0" applyFont="1" applyFill="1" applyBorder="1" applyAlignment="1">
      <alignment horizontal="center" vertical="center" wrapText="1"/>
    </xf>
    <xf numFmtId="0" fontId="47" fillId="5" borderId="44" xfId="0" applyFont="1" applyFill="1" applyBorder="1" applyAlignment="1">
      <alignment horizontal="center" vertical="center"/>
    </xf>
    <xf numFmtId="0" fontId="47" fillId="5" borderId="58" xfId="0" applyFont="1" applyFill="1" applyBorder="1" applyAlignment="1">
      <alignment horizontal="center" vertical="center"/>
    </xf>
    <xf numFmtId="0" fontId="76" fillId="3" borderId="19" xfId="0" applyFont="1" applyFill="1" applyBorder="1" applyAlignment="1">
      <alignment horizontal="center" vertical="center" wrapText="1"/>
    </xf>
    <xf numFmtId="0" fontId="76" fillId="3" borderId="20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52" fillId="3" borderId="19" xfId="0" applyFont="1" applyFill="1" applyBorder="1" applyAlignment="1">
      <alignment horizontal="center" vertical="center" wrapText="1"/>
    </xf>
    <xf numFmtId="0" fontId="52" fillId="3" borderId="20" xfId="0" applyFont="1" applyFill="1" applyBorder="1" applyAlignment="1">
      <alignment horizontal="center" vertical="center" wrapText="1"/>
    </xf>
    <xf numFmtId="0" fontId="35" fillId="3" borderId="48" xfId="0" applyFont="1" applyFill="1" applyBorder="1" applyAlignment="1">
      <alignment horizontal="center" vertical="center"/>
    </xf>
    <xf numFmtId="0" fontId="35" fillId="3" borderId="49" xfId="0" applyFont="1" applyFill="1" applyBorder="1" applyAlignment="1">
      <alignment horizontal="center" vertical="center"/>
    </xf>
    <xf numFmtId="0" fontId="47" fillId="3" borderId="72" xfId="0" applyFont="1" applyFill="1" applyBorder="1" applyAlignment="1">
      <alignment horizontal="center" vertical="center"/>
    </xf>
    <xf numFmtId="0" fontId="47" fillId="3" borderId="86" xfId="0" applyFont="1" applyFill="1" applyBorder="1" applyAlignment="1">
      <alignment horizontal="center" vertical="center"/>
    </xf>
    <xf numFmtId="0" fontId="35" fillId="3" borderId="19" xfId="0" applyFont="1" applyFill="1" applyBorder="1" applyAlignment="1">
      <alignment horizontal="center" vertical="center" wrapText="1"/>
    </xf>
    <xf numFmtId="0" fontId="35" fillId="3" borderId="20" xfId="0" applyFont="1" applyFill="1" applyBorder="1" applyAlignment="1">
      <alignment horizontal="center" vertical="center" wrapText="1"/>
    </xf>
    <xf numFmtId="0" fontId="58" fillId="0" borderId="19" xfId="0" applyFont="1" applyBorder="1" applyAlignment="1">
      <alignment horizontal="center" vertical="center" wrapText="1"/>
    </xf>
    <xf numFmtId="0" fontId="58" fillId="0" borderId="20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48" fillId="4" borderId="19" xfId="0" applyFont="1" applyFill="1" applyBorder="1" applyAlignment="1">
      <alignment horizontal="center" vertical="center"/>
    </xf>
    <xf numFmtId="0" fontId="48" fillId="4" borderId="20" xfId="0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36" fillId="3" borderId="24" xfId="0" applyFont="1" applyFill="1" applyBorder="1" applyAlignment="1">
      <alignment horizontal="center" vertical="center" wrapText="1"/>
    </xf>
    <xf numFmtId="0" fontId="36" fillId="3" borderId="25" xfId="0" applyFont="1" applyFill="1" applyBorder="1" applyAlignment="1">
      <alignment horizontal="center" vertical="center" wrapText="1"/>
    </xf>
    <xf numFmtId="0" fontId="36" fillId="3" borderId="21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52" fillId="3" borderId="5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3" fillId="3" borderId="5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0" fontId="47" fillId="6" borderId="87" xfId="0" applyFont="1" applyFill="1" applyBorder="1" applyAlignment="1">
      <alignment horizontal="center" vertical="center" wrapText="1"/>
    </xf>
    <xf numFmtId="0" fontId="47" fillId="6" borderId="88" xfId="0" applyFont="1" applyFill="1" applyBorder="1" applyAlignment="1">
      <alignment horizontal="center" vertical="center" wrapText="1"/>
    </xf>
    <xf numFmtId="0" fontId="78" fillId="6" borderId="43" xfId="0" applyFont="1" applyFill="1" applyBorder="1" applyAlignment="1">
      <alignment horizontal="left" vertical="center" wrapText="1"/>
    </xf>
    <xf numFmtId="0" fontId="78" fillId="6" borderId="46" xfId="0" applyFont="1" applyFill="1" applyBorder="1" applyAlignment="1">
      <alignment horizontal="left" vertical="center" wrapText="1"/>
    </xf>
    <xf numFmtId="0" fontId="78" fillId="6" borderId="47" xfId="0" applyFont="1" applyFill="1" applyBorder="1" applyAlignment="1">
      <alignment horizontal="left" vertical="center" wrapText="1"/>
    </xf>
    <xf numFmtId="0" fontId="78" fillId="6" borderId="50" xfId="0" applyFont="1" applyFill="1" applyBorder="1" applyAlignment="1">
      <alignment horizontal="left" vertical="center" wrapText="1"/>
    </xf>
    <xf numFmtId="0" fontId="47" fillId="7" borderId="87" xfId="0" applyFont="1" applyFill="1" applyBorder="1" applyAlignment="1">
      <alignment horizontal="center" vertical="center" wrapText="1"/>
    </xf>
    <xf numFmtId="0" fontId="47" fillId="7" borderId="89" xfId="0" applyFont="1" applyFill="1" applyBorder="1" applyAlignment="1">
      <alignment horizontal="center" vertical="center"/>
    </xf>
    <xf numFmtId="0" fontId="47" fillId="7" borderId="88" xfId="0" applyFont="1" applyFill="1" applyBorder="1" applyAlignment="1">
      <alignment horizontal="center" vertical="center"/>
    </xf>
    <xf numFmtId="0" fontId="47" fillId="7" borderId="43" xfId="0" applyFont="1" applyFill="1" applyBorder="1" applyAlignment="1">
      <alignment horizontal="left" vertical="center" wrapText="1"/>
    </xf>
    <xf numFmtId="0" fontId="47" fillId="7" borderId="46" xfId="0" applyFont="1" applyFill="1" applyBorder="1" applyAlignment="1">
      <alignment horizontal="left" vertical="center" wrapText="1"/>
    </xf>
    <xf numFmtId="0" fontId="47" fillId="7" borderId="5" xfId="0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 wrapText="1"/>
    </xf>
    <xf numFmtId="0" fontId="47" fillId="7" borderId="47" xfId="0" applyFont="1" applyFill="1" applyBorder="1" applyAlignment="1">
      <alignment horizontal="left" vertical="center" wrapText="1"/>
    </xf>
    <xf numFmtId="0" fontId="47" fillId="7" borderId="50" xfId="0" applyFont="1" applyFill="1" applyBorder="1" applyAlignment="1">
      <alignment horizontal="left" vertical="center" wrapText="1"/>
    </xf>
    <xf numFmtId="1" fontId="58" fillId="4" borderId="44" xfId="0" applyNumberFormat="1" applyFont="1" applyFill="1" applyBorder="1" applyAlignment="1">
      <alignment horizontal="center" vertical="center"/>
    </xf>
    <xf numFmtId="1" fontId="58" fillId="4" borderId="45" xfId="0" applyNumberFormat="1" applyFont="1" applyFill="1" applyBorder="1" applyAlignment="1">
      <alignment horizontal="center" vertical="center"/>
    </xf>
    <xf numFmtId="0" fontId="47" fillId="6" borderId="48" xfId="0" applyFont="1" applyFill="1" applyBorder="1" applyAlignment="1" applyProtection="1">
      <alignment horizontal="center" vertical="center"/>
      <protection locked="0"/>
    </xf>
    <xf numFmtId="0" fontId="47" fillId="6" borderId="49" xfId="0" applyFont="1" applyFill="1" applyBorder="1" applyAlignment="1" applyProtection="1">
      <alignment horizontal="center" vertical="center"/>
      <protection locked="0"/>
    </xf>
    <xf numFmtId="1" fontId="47" fillId="7" borderId="44" xfId="0" applyNumberFormat="1" applyFont="1" applyFill="1" applyBorder="1" applyAlignment="1">
      <alignment horizontal="center" vertical="center"/>
    </xf>
    <xf numFmtId="1" fontId="47" fillId="7" borderId="45" xfId="0" applyNumberFormat="1" applyFont="1" applyFill="1" applyBorder="1" applyAlignment="1">
      <alignment horizontal="center" vertical="center"/>
    </xf>
    <xf numFmtId="1" fontId="58" fillId="4" borderId="19" xfId="0" applyNumberFormat="1" applyFont="1" applyFill="1" applyBorder="1" applyAlignment="1">
      <alignment horizontal="center" vertical="center"/>
    </xf>
    <xf numFmtId="1" fontId="58" fillId="4" borderId="39" xfId="0" applyNumberFormat="1" applyFont="1" applyFill="1" applyBorder="1" applyAlignment="1">
      <alignment horizontal="center" vertical="center"/>
    </xf>
    <xf numFmtId="1" fontId="47" fillId="7" borderId="48" xfId="0" applyNumberFormat="1" applyFont="1" applyFill="1" applyBorder="1" applyAlignment="1">
      <alignment horizontal="center" vertical="center"/>
    </xf>
    <xf numFmtId="1" fontId="47" fillId="7" borderId="49" xfId="0" applyNumberFormat="1" applyFont="1" applyFill="1" applyBorder="1" applyAlignment="1">
      <alignment horizontal="center" vertical="center"/>
    </xf>
    <xf numFmtId="0" fontId="47" fillId="6" borderId="43" xfId="0" applyFont="1" applyFill="1" applyBorder="1" applyAlignment="1">
      <alignment horizontal="left" vertical="top" wrapText="1"/>
    </xf>
    <xf numFmtId="0" fontId="47" fillId="6" borderId="46" xfId="0" applyFont="1" applyFill="1" applyBorder="1" applyAlignment="1">
      <alignment horizontal="left" vertical="top" wrapText="1"/>
    </xf>
    <xf numFmtId="0" fontId="47" fillId="6" borderId="5" xfId="0" applyFont="1" applyFill="1" applyBorder="1" applyAlignment="1">
      <alignment horizontal="left" vertical="top" wrapText="1"/>
    </xf>
    <xf numFmtId="0" fontId="47" fillId="6" borderId="51" xfId="0" applyFont="1" applyFill="1" applyBorder="1" applyAlignment="1">
      <alignment horizontal="left" vertical="top" wrapText="1"/>
    </xf>
    <xf numFmtId="0" fontId="47" fillId="6" borderId="47" xfId="0" applyFont="1" applyFill="1" applyBorder="1" applyAlignment="1">
      <alignment horizontal="left" vertical="top" wrapText="1"/>
    </xf>
    <xf numFmtId="0" fontId="47" fillId="6" borderId="50" xfId="0" applyFont="1" applyFill="1" applyBorder="1" applyAlignment="1">
      <alignment horizontal="left" vertical="top" wrapText="1"/>
    </xf>
    <xf numFmtId="0" fontId="63" fillId="0" borderId="24" xfId="0" applyFont="1" applyBorder="1" applyAlignment="1">
      <alignment horizontal="left" vertical="center" wrapText="1"/>
    </xf>
    <xf numFmtId="0" fontId="63" fillId="0" borderId="25" xfId="0" applyFont="1" applyBorder="1" applyAlignment="1">
      <alignment horizontal="left" vertical="center" wrapText="1"/>
    </xf>
    <xf numFmtId="1" fontId="47" fillId="6" borderId="44" xfId="0" applyNumberFormat="1" applyFont="1" applyFill="1" applyBorder="1" applyAlignment="1">
      <alignment horizontal="center" vertical="center"/>
    </xf>
    <xf numFmtId="1" fontId="47" fillId="6" borderId="45" xfId="0" applyNumberFormat="1" applyFont="1" applyFill="1" applyBorder="1" applyAlignment="1">
      <alignment horizontal="center" vertical="center"/>
    </xf>
    <xf numFmtId="2" fontId="65" fillId="6" borderId="52" xfId="0" applyNumberFormat="1" applyFont="1" applyFill="1" applyBorder="1" applyAlignment="1">
      <alignment horizontal="center" vertical="center"/>
    </xf>
    <xf numFmtId="2" fontId="65" fillId="6" borderId="97" xfId="0" applyNumberFormat="1" applyFont="1" applyFill="1" applyBorder="1" applyAlignment="1">
      <alignment horizontal="center" vertical="center"/>
    </xf>
    <xf numFmtId="0" fontId="47" fillId="6" borderId="79" xfId="0" applyFont="1" applyFill="1" applyBorder="1" applyAlignment="1">
      <alignment horizontal="center" vertical="center" wrapText="1"/>
    </xf>
    <xf numFmtId="0" fontId="47" fillId="6" borderId="92" xfId="0" applyFont="1" applyFill="1" applyBorder="1" applyAlignment="1">
      <alignment horizontal="center" vertical="center" wrapText="1"/>
    </xf>
    <xf numFmtId="0" fontId="47" fillId="6" borderId="91" xfId="0" applyFont="1" applyFill="1" applyBorder="1" applyAlignment="1">
      <alignment horizontal="center" vertical="center" wrapText="1"/>
    </xf>
    <xf numFmtId="0" fontId="48" fillId="4" borderId="19" xfId="0" applyFont="1" applyFill="1" applyBorder="1" applyAlignment="1">
      <alignment horizontal="left" vertical="center"/>
    </xf>
    <xf numFmtId="0" fontId="48" fillId="4" borderId="20" xfId="0" applyFont="1" applyFill="1" applyBorder="1" applyAlignment="1">
      <alignment horizontal="left" vertical="center"/>
    </xf>
    <xf numFmtId="175" fontId="58" fillId="4" borderId="19" xfId="0" applyNumberFormat="1" applyFont="1" applyFill="1" applyBorder="1" applyAlignment="1">
      <alignment horizontal="center" vertical="center"/>
    </xf>
    <xf numFmtId="175" fontId="58" fillId="4" borderId="39" xfId="0" applyNumberFormat="1" applyFont="1" applyFill="1" applyBorder="1" applyAlignment="1">
      <alignment horizontal="center" vertical="center"/>
    </xf>
    <xf numFmtId="176" fontId="58" fillId="4" borderId="19" xfId="0" applyNumberFormat="1" applyFont="1" applyFill="1" applyBorder="1" applyAlignment="1">
      <alignment horizontal="center" vertical="center"/>
    </xf>
    <xf numFmtId="176" fontId="58" fillId="4" borderId="20" xfId="0" applyNumberFormat="1" applyFont="1" applyFill="1" applyBorder="1" applyAlignment="1">
      <alignment horizontal="center" vertical="center"/>
    </xf>
    <xf numFmtId="0" fontId="79" fillId="3" borderId="19" xfId="0" applyFont="1" applyFill="1" applyBorder="1" applyAlignment="1">
      <alignment horizontal="center" vertical="center" wrapText="1"/>
    </xf>
    <xf numFmtId="0" fontId="79" fillId="3" borderId="20" xfId="0" applyFont="1" applyFill="1" applyBorder="1" applyAlignment="1">
      <alignment horizontal="center" vertical="center" wrapText="1"/>
    </xf>
    <xf numFmtId="1" fontId="35" fillId="9" borderId="19" xfId="0" applyNumberFormat="1" applyFont="1" applyFill="1" applyBorder="1" applyAlignment="1">
      <alignment horizontal="center" vertical="center" wrapText="1"/>
    </xf>
    <xf numFmtId="1" fontId="35" fillId="9" borderId="20" xfId="0" applyNumberFormat="1" applyFont="1" applyFill="1" applyBorder="1" applyAlignment="1">
      <alignment horizontal="center" vertical="center" wrapText="1"/>
    </xf>
    <xf numFmtId="1" fontId="59" fillId="9" borderId="100" xfId="0" applyNumberFormat="1" applyFont="1" applyFill="1" applyBorder="1" applyAlignment="1">
      <alignment horizontal="left"/>
    </xf>
    <xf numFmtId="1" fontId="59" fillId="9" borderId="40" xfId="0" applyNumberFormat="1" applyFont="1" applyFill="1" applyBorder="1" applyAlignment="1">
      <alignment horizontal="left"/>
    </xf>
    <xf numFmtId="1" fontId="59" fillId="9" borderId="39" xfId="0" applyNumberFormat="1" applyFont="1" applyFill="1" applyBorder="1" applyAlignment="1">
      <alignment horizontal="left"/>
    </xf>
    <xf numFmtId="174" fontId="37" fillId="9" borderId="19" xfId="0" applyNumberFormat="1" applyFont="1" applyFill="1" applyBorder="1" applyAlignment="1">
      <alignment horizontal="center" vertical="center"/>
    </xf>
    <xf numFmtId="174" fontId="37" fillId="9" borderId="39" xfId="0" applyNumberFormat="1" applyFont="1" applyFill="1" applyBorder="1" applyAlignment="1">
      <alignment horizontal="center" vertical="center"/>
    </xf>
    <xf numFmtId="0" fontId="36" fillId="3" borderId="93" xfId="0" applyFont="1" applyFill="1" applyBorder="1" applyAlignment="1">
      <alignment horizontal="center" vertical="center" wrapText="1"/>
    </xf>
    <xf numFmtId="0" fontId="36" fillId="3" borderId="104" xfId="0" applyFont="1" applyFill="1" applyBorder="1" applyAlignment="1">
      <alignment horizontal="center" vertical="center" wrapText="1"/>
    </xf>
    <xf numFmtId="0" fontId="58" fillId="8" borderId="95" xfId="0" applyFont="1" applyFill="1" applyBorder="1" applyAlignment="1">
      <alignment horizontal="center" vertical="center" wrapText="1"/>
    </xf>
    <xf numFmtId="0" fontId="58" fillId="8" borderId="103" xfId="0" applyFont="1" applyFill="1" applyBorder="1" applyAlignment="1">
      <alignment horizontal="center" vertical="center" wrapText="1"/>
    </xf>
    <xf numFmtId="2" fontId="46" fillId="5" borderId="19" xfId="0" applyNumberFormat="1" applyFont="1" applyFill="1" applyBorder="1" applyAlignment="1">
      <alignment horizontal="left" vertical="center"/>
    </xf>
    <xf numFmtId="2" fontId="46" fillId="5" borderId="20" xfId="0" applyNumberFormat="1" applyFont="1" applyFill="1" applyBorder="1" applyAlignment="1">
      <alignment horizontal="left" vertical="center"/>
    </xf>
    <xf numFmtId="1" fontId="47" fillId="12" borderId="19" xfId="0" applyNumberFormat="1" applyFont="1" applyFill="1" applyBorder="1" applyAlignment="1">
      <alignment horizontal="center" vertical="center" wrapText="1"/>
    </xf>
    <xf numFmtId="1" fontId="47" fillId="12" borderId="40" xfId="0" applyNumberFormat="1" applyFont="1" applyFill="1" applyBorder="1" applyAlignment="1">
      <alignment horizontal="center" vertical="center" wrapText="1"/>
    </xf>
    <xf numFmtId="1" fontId="47" fillId="12" borderId="39" xfId="0" applyNumberFormat="1" applyFont="1" applyFill="1" applyBorder="1" applyAlignment="1">
      <alignment horizontal="center" vertical="center" wrapText="1"/>
    </xf>
    <xf numFmtId="166" fontId="47" fillId="12" borderId="21" xfId="0" quotePrefix="1" applyNumberFormat="1" applyFont="1" applyFill="1" applyBorder="1" applyAlignment="1">
      <alignment horizontal="center" vertical="center" textRotation="90"/>
    </xf>
    <xf numFmtId="166" fontId="47" fillId="12" borderId="99" xfId="0" quotePrefix="1" applyNumberFormat="1" applyFont="1" applyFill="1" applyBorder="1" applyAlignment="1">
      <alignment horizontal="center" vertical="center" textRotation="90"/>
    </xf>
    <xf numFmtId="166" fontId="47" fillId="12" borderId="24" xfId="0" quotePrefix="1" applyNumberFormat="1" applyFont="1" applyFill="1" applyBorder="1" applyAlignment="1">
      <alignment horizontal="center" vertical="center" textRotation="90"/>
    </xf>
    <xf numFmtId="1" fontId="60" fillId="10" borderId="100" xfId="0" applyNumberFormat="1" applyFont="1" applyFill="1" applyBorder="1" applyAlignment="1">
      <alignment horizontal="right" vertical="center"/>
    </xf>
    <xf numFmtId="1" fontId="60" fillId="10" borderId="40" xfId="0" applyNumberFormat="1" applyFont="1" applyFill="1" applyBorder="1" applyAlignment="1">
      <alignment horizontal="right" vertical="center"/>
    </xf>
    <xf numFmtId="1" fontId="60" fillId="10" borderId="39" xfId="0" applyNumberFormat="1" applyFont="1" applyFill="1" applyBorder="1" applyAlignment="1">
      <alignment horizontal="right" vertical="center"/>
    </xf>
    <xf numFmtId="179" fontId="40" fillId="3" borderId="0" xfId="0" applyNumberFormat="1" applyFont="1" applyFill="1" applyAlignment="1">
      <alignment horizontal="left" vertical="center"/>
    </xf>
    <xf numFmtId="0" fontId="76" fillId="20" borderId="13" xfId="0" applyFont="1" applyFill="1" applyBorder="1" applyAlignment="1">
      <alignment horizontal="center" vertical="center" textRotation="90" wrapText="1"/>
    </xf>
    <xf numFmtId="0" fontId="76" fillId="20" borderId="14" xfId="0" applyFont="1" applyFill="1" applyBorder="1" applyAlignment="1">
      <alignment horizontal="center" vertical="center" textRotation="90" wrapText="1"/>
    </xf>
    <xf numFmtId="0" fontId="76" fillId="20" borderId="42" xfId="0" applyFont="1" applyFill="1" applyBorder="1" applyAlignment="1">
      <alignment horizontal="center" vertical="center" textRotation="90" wrapText="1"/>
    </xf>
    <xf numFmtId="0" fontId="47" fillId="18" borderId="24" xfId="0" applyFont="1" applyFill="1" applyBorder="1" applyAlignment="1">
      <alignment horizontal="left" vertical="center"/>
    </xf>
    <xf numFmtId="1" fontId="47" fillId="12" borderId="19" xfId="0" applyNumberFormat="1" applyFont="1" applyFill="1" applyBorder="1" applyAlignment="1">
      <alignment horizontal="center" vertical="center"/>
    </xf>
    <xf numFmtId="1" fontId="47" fillId="12" borderId="40" xfId="0" applyNumberFormat="1" applyFont="1" applyFill="1" applyBorder="1" applyAlignment="1">
      <alignment horizontal="center" vertical="center"/>
    </xf>
    <xf numFmtId="1" fontId="47" fillId="12" borderId="39" xfId="0" applyNumberFormat="1" applyFont="1" applyFill="1" applyBorder="1" applyAlignment="1">
      <alignment horizontal="center" vertical="center"/>
    </xf>
    <xf numFmtId="1" fontId="46" fillId="0" borderId="5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76" fillId="5" borderId="19" xfId="0" applyFont="1" applyFill="1" applyBorder="1" applyAlignment="1">
      <alignment horizontal="center" vertical="center"/>
    </xf>
    <xf numFmtId="0" fontId="76" fillId="5" borderId="40" xfId="0" applyFont="1" applyFill="1" applyBorder="1" applyAlignment="1">
      <alignment horizontal="center" vertical="center"/>
    </xf>
    <xf numFmtId="175" fontId="58" fillId="4" borderId="93" xfId="0" applyNumberFormat="1" applyFont="1" applyFill="1" applyBorder="1" applyAlignment="1">
      <alignment horizontal="center" vertical="center"/>
    </xf>
    <xf numFmtId="175" fontId="58" fillId="4" borderId="94" xfId="0" applyNumberFormat="1" applyFont="1" applyFill="1" applyBorder="1" applyAlignment="1">
      <alignment horizontal="center" vertical="center"/>
    </xf>
    <xf numFmtId="176" fontId="62" fillId="4" borderId="93" xfId="0" applyNumberFormat="1" applyFont="1" applyFill="1" applyBorder="1" applyAlignment="1">
      <alignment horizontal="center" vertical="center"/>
    </xf>
    <xf numFmtId="176" fontId="62" fillId="4" borderId="104" xfId="0" applyNumberFormat="1" applyFont="1" applyFill="1" applyBorder="1" applyAlignment="1">
      <alignment horizontal="center" vertical="center"/>
    </xf>
    <xf numFmtId="1" fontId="61" fillId="10" borderId="100" xfId="0" applyNumberFormat="1" applyFont="1" applyFill="1" applyBorder="1" applyAlignment="1">
      <alignment horizontal="right" vertical="center"/>
    </xf>
    <xf numFmtId="1" fontId="61" fillId="10" borderId="40" xfId="0" applyNumberFormat="1" applyFont="1" applyFill="1" applyBorder="1" applyAlignment="1">
      <alignment horizontal="right" vertical="center"/>
    </xf>
    <xf numFmtId="1" fontId="61" fillId="10" borderId="39" xfId="0" applyNumberFormat="1" applyFont="1" applyFill="1" applyBorder="1" applyAlignment="1">
      <alignment horizontal="right" vertical="center"/>
    </xf>
    <xf numFmtId="1" fontId="60" fillId="10" borderId="101" xfId="0" applyNumberFormat="1" applyFont="1" applyFill="1" applyBorder="1" applyAlignment="1">
      <alignment horizontal="right" vertical="center"/>
    </xf>
    <xf numFmtId="1" fontId="60" fillId="10" borderId="102" xfId="0" applyNumberFormat="1" applyFont="1" applyFill="1" applyBorder="1" applyAlignment="1">
      <alignment horizontal="right" vertical="center"/>
    </xf>
    <xf numFmtId="1" fontId="60" fillId="10" borderId="94" xfId="0" applyNumberFormat="1" applyFont="1" applyFill="1" applyBorder="1" applyAlignment="1">
      <alignment horizontal="right" vertical="center"/>
    </xf>
    <xf numFmtId="1" fontId="58" fillId="8" borderId="105" xfId="0" applyNumberFormat="1" applyFont="1" applyFill="1" applyBorder="1" applyAlignment="1">
      <alignment horizontal="center"/>
    </xf>
    <xf numFmtId="1" fontId="58" fillId="8" borderId="106" xfId="0" applyNumberFormat="1" applyFont="1" applyFill="1" applyBorder="1" applyAlignment="1">
      <alignment horizontal="center"/>
    </xf>
    <xf numFmtId="1" fontId="58" fillId="8" borderId="96" xfId="0" applyNumberFormat="1" applyFont="1" applyFill="1" applyBorder="1" applyAlignment="1">
      <alignment horizontal="center"/>
    </xf>
    <xf numFmtId="2" fontId="58" fillId="8" borderId="95" xfId="0" applyNumberFormat="1" applyFont="1" applyFill="1" applyBorder="1" applyAlignment="1">
      <alignment horizontal="center" vertical="center"/>
    </xf>
    <xf numFmtId="2" fontId="58" fillId="8" borderId="96" xfId="0" applyNumberFormat="1" applyFont="1" applyFill="1" applyBorder="1" applyAlignment="1">
      <alignment horizontal="center" vertical="center"/>
    </xf>
    <xf numFmtId="1" fontId="58" fillId="4" borderId="93" xfId="0" applyNumberFormat="1" applyFont="1" applyFill="1" applyBorder="1" applyAlignment="1">
      <alignment horizontal="center" vertical="center"/>
    </xf>
    <xf numFmtId="1" fontId="58" fillId="4" borderId="102" xfId="0" applyNumberFormat="1" applyFont="1" applyFill="1" applyBorder="1" applyAlignment="1">
      <alignment horizontal="center" vertical="center"/>
    </xf>
    <xf numFmtId="1" fontId="58" fillId="4" borderId="94" xfId="0" applyNumberFormat="1" applyFont="1" applyFill="1" applyBorder="1" applyAlignment="1">
      <alignment horizontal="center" vertical="center"/>
    </xf>
    <xf numFmtId="0" fontId="46" fillId="5" borderId="62" xfId="0" applyFont="1" applyFill="1" applyBorder="1" applyAlignment="1">
      <alignment horizontal="left" vertical="center"/>
    </xf>
    <xf numFmtId="0" fontId="58" fillId="13" borderId="108" xfId="0" applyFont="1" applyFill="1" applyBorder="1" applyAlignment="1">
      <alignment horizontal="center" vertical="center"/>
    </xf>
    <xf numFmtId="1" fontId="58" fillId="4" borderId="54" xfId="0" applyNumberFormat="1" applyFont="1" applyFill="1" applyBorder="1" applyAlignment="1">
      <alignment horizontal="center" vertical="center" textRotation="90" wrapText="1"/>
    </xf>
    <xf numFmtId="1" fontId="58" fillId="4" borderId="59" xfId="0" applyNumberFormat="1" applyFont="1" applyFill="1" applyBorder="1" applyAlignment="1">
      <alignment horizontal="center" vertical="center" textRotation="90" wrapText="1"/>
    </xf>
    <xf numFmtId="1" fontId="58" fillId="4" borderId="61" xfId="0" applyNumberFormat="1" applyFont="1" applyFill="1" applyBorder="1" applyAlignment="1">
      <alignment horizontal="center" vertical="center" textRotation="90" wrapText="1"/>
    </xf>
    <xf numFmtId="0" fontId="76" fillId="5" borderId="44" xfId="0" applyFont="1" applyFill="1" applyBorder="1" applyAlignment="1">
      <alignment horizontal="center" vertical="center"/>
    </xf>
    <xf numFmtId="0" fontId="76" fillId="5" borderId="55" xfId="0" applyFont="1" applyFill="1" applyBorder="1" applyAlignment="1">
      <alignment horizontal="center" vertical="center"/>
    </xf>
    <xf numFmtId="0" fontId="30" fillId="5" borderId="80" xfId="0" applyFont="1" applyFill="1" applyBorder="1" applyAlignment="1">
      <alignment horizontal="center" vertical="center" wrapText="1"/>
    </xf>
    <xf numFmtId="0" fontId="30" fillId="5" borderId="81" xfId="0" applyFont="1" applyFill="1" applyBorder="1" applyAlignment="1">
      <alignment horizontal="center" vertical="center" wrapText="1"/>
    </xf>
    <xf numFmtId="0" fontId="30" fillId="5" borderId="82" xfId="0" applyFont="1" applyFill="1" applyBorder="1" applyAlignment="1">
      <alignment horizontal="center" vertical="center" wrapText="1"/>
    </xf>
    <xf numFmtId="0" fontId="30" fillId="5" borderId="83" xfId="0" applyFont="1" applyFill="1" applyBorder="1" applyAlignment="1">
      <alignment horizontal="center" vertical="center" wrapText="1"/>
    </xf>
    <xf numFmtId="0" fontId="35" fillId="5" borderId="19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center" vertical="center"/>
    </xf>
    <xf numFmtId="0" fontId="47" fillId="14" borderId="19" xfId="0" applyFont="1" applyFill="1" applyBorder="1" applyAlignment="1">
      <alignment horizontal="center" vertical="center"/>
    </xf>
    <xf numFmtId="0" fontId="47" fillId="14" borderId="40" xfId="0" applyFont="1" applyFill="1" applyBorder="1" applyAlignment="1">
      <alignment horizontal="center" vertical="center"/>
    </xf>
    <xf numFmtId="0" fontId="30" fillId="5" borderId="27" xfId="0" applyFont="1" applyFill="1" applyBorder="1" applyAlignment="1">
      <alignment horizontal="center" vertical="center" wrapText="1"/>
    </xf>
    <xf numFmtId="0" fontId="30" fillId="5" borderId="28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30" fillId="5" borderId="32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67" fillId="3" borderId="27" xfId="0" applyFont="1" applyFill="1" applyBorder="1" applyAlignment="1">
      <alignment horizontal="center"/>
    </xf>
    <xf numFmtId="0" fontId="67" fillId="3" borderId="28" xfId="0" applyFont="1" applyFill="1" applyBorder="1" applyAlignment="1">
      <alignment horizontal="center"/>
    </xf>
    <xf numFmtId="0" fontId="67" fillId="3" borderId="29" xfId="0" applyFont="1" applyFill="1" applyBorder="1" applyAlignment="1">
      <alignment horizontal="center"/>
    </xf>
    <xf numFmtId="0" fontId="67" fillId="11" borderId="27" xfId="0" applyFont="1" applyFill="1" applyBorder="1" applyAlignment="1">
      <alignment horizontal="center"/>
    </xf>
    <xf numFmtId="0" fontId="67" fillId="11" borderId="28" xfId="0" applyFont="1" applyFill="1" applyBorder="1" applyAlignment="1">
      <alignment horizontal="center"/>
    </xf>
    <xf numFmtId="0" fontId="67" fillId="11" borderId="29" xfId="0" applyFont="1" applyFill="1" applyBorder="1" applyAlignment="1">
      <alignment horizontal="center"/>
    </xf>
  </cellXfs>
  <cellStyles count="26">
    <cellStyle name="Comma 2" xfId="18" xr:uid="{1A1EB67C-75A8-4B43-B47B-365138A32277}"/>
    <cellStyle name="Neutral 2" xfId="24" xr:uid="{5C765AB2-1BE3-487B-A2CD-A40F11A99435}"/>
    <cellStyle name="Normal 10" xfId="13" xr:uid="{53C9EDCA-D423-42F8-92DE-6A4014CF84F2}"/>
    <cellStyle name="Normal 11" xfId="14" xr:uid="{F5CDA1A6-C6B8-41E8-9359-5D0737F1AE57}"/>
    <cellStyle name="Normal 12" xfId="22" xr:uid="{F7307A71-E5DF-46C2-ADAA-A577B902C7A8}"/>
    <cellStyle name="Normal 13" xfId="25" xr:uid="{BBED9E74-DF54-475A-987B-6FD370C25273}"/>
    <cellStyle name="Normal 2" xfId="1" xr:uid="{00000000-0005-0000-0000-000001000000}"/>
    <cellStyle name="Normal 2 2" xfId="2" xr:uid="{00000000-0005-0000-0000-000002000000}"/>
    <cellStyle name="Normal 2 3" xfId="23" xr:uid="{69B771D8-382C-4E62-BD28-A7291487274A}"/>
    <cellStyle name="Normal 26" xfId="3" xr:uid="{00000000-0005-0000-0000-000003000000}"/>
    <cellStyle name="Normal 26 2" xfId="4" xr:uid="{00000000-0005-0000-0000-000004000000}"/>
    <cellStyle name="Normal 28" xfId="5" xr:uid="{00000000-0005-0000-0000-000005000000}"/>
    <cellStyle name="Normal 29" xfId="6" xr:uid="{00000000-0005-0000-0000-000006000000}"/>
    <cellStyle name="Normal 3" xfId="7" xr:uid="{00000000-0005-0000-0000-000007000000}"/>
    <cellStyle name="Normal 3 2" xfId="20" xr:uid="{650AFFB8-F845-439D-B6D4-A4314E70645F}"/>
    <cellStyle name="Normal 4" xfId="10" xr:uid="{3C0F745C-70C4-4898-9CF1-57CBC0E401DA}"/>
    <cellStyle name="Normal 4 2" xfId="21" xr:uid="{CE4E9BBB-B745-46FA-BC1A-3A742198E50C}"/>
    <cellStyle name="Normal 5" xfId="12" xr:uid="{DD5E400E-E6E5-46EA-A66F-FDE2EC4F3937}"/>
    <cellStyle name="Normal 6" xfId="15" xr:uid="{D39D2182-942D-4568-86D2-F5E87A34F845}"/>
    <cellStyle name="Normal 7" xfId="8" xr:uid="{00000000-0005-0000-0000-000008000000}"/>
    <cellStyle name="Normal 8" xfId="16" xr:uid="{CA57EDBB-A0E3-4B40-993A-B63D98957CA3}"/>
    <cellStyle name="Normal 9" xfId="17" xr:uid="{BD80EF98-9447-45B8-A542-6E302EFF61EC}"/>
    <cellStyle name="Percent 2" xfId="19" xr:uid="{6DAE7632-3CC6-44B6-9016-383F1C4D68E0}"/>
    <cellStyle name="Обычный" xfId="0" builtinId="0"/>
    <cellStyle name="Финансовый" xfId="11" builtinId="3"/>
    <cellStyle name="標準_DP&amp;DC Run hrs" xfId="9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435422"/>
      <color rgb="FF009999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44450</xdr:rowOff>
    </xdr:from>
    <xdr:to>
      <xdr:col>1</xdr:col>
      <xdr:colOff>266325</xdr:colOff>
      <xdr:row>6</xdr:row>
      <xdr:rowOff>21901</xdr:rowOff>
    </xdr:to>
    <xdr:pic>
      <xdr:nvPicPr>
        <xdr:cNvPr id="3" name="Picture 17">
          <a:extLst>
            <a:ext uri="{FF2B5EF4-FFF2-40B4-BE49-F238E27FC236}">
              <a16:creationId xmlns:a16="http://schemas.microsoft.com/office/drawing/2014/main" id="{AD561667-10BB-485C-BDB3-86DDFF4F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2550"/>
          <a:ext cx="1219199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177800</xdr:colOff>
      <xdr:row>5</xdr:row>
      <xdr:rowOff>138320</xdr:rowOff>
    </xdr:from>
    <xdr:to>
      <xdr:col>1</xdr:col>
      <xdr:colOff>247650</xdr:colOff>
      <xdr:row>12</xdr:row>
      <xdr:rowOff>107950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506CEA6B-1D0C-CDA7-1B89-1A49AD7E0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830470"/>
          <a:ext cx="920750" cy="1080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honeticPr fontId="15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412-0A28-4D22-B00C-358E7A89B938}">
  <dimension ref="A1:T752"/>
  <sheetViews>
    <sheetView showGridLines="0" defaultGridColor="0" colorId="10" zoomScale="115" zoomScaleNormal="115" zoomScaleSheetLayoutView="100" workbookViewId="0">
      <selection activeCell="L10" sqref="L10"/>
    </sheetView>
  </sheetViews>
  <sheetFormatPr defaultColWidth="11.42578125" defaultRowHeight="12.75"/>
  <cols>
    <col min="1" max="1" width="14.140625" style="34" customWidth="1"/>
    <col min="2" max="2" width="5.42578125" style="31" customWidth="1"/>
    <col min="3" max="3" width="15.85546875" style="24" customWidth="1"/>
    <col min="4" max="4" width="8.85546875" style="24" customWidth="1"/>
    <col min="5" max="5" width="7.85546875" style="32" customWidth="1"/>
    <col min="6" max="6" width="11.85546875" style="32" customWidth="1"/>
    <col min="7" max="7" width="8.140625" style="32" customWidth="1"/>
    <col min="8" max="8" width="10.5703125" style="32" customWidth="1"/>
    <col min="9" max="9" width="13.140625" style="32" customWidth="1"/>
    <col min="10" max="10" width="9.85546875" style="33" customWidth="1"/>
    <col min="11" max="11" width="16.85546875" style="37" customWidth="1"/>
    <col min="12" max="12" width="18.42578125" style="39" customWidth="1"/>
    <col min="13" max="13" width="3.42578125" style="40" customWidth="1"/>
    <col min="14" max="14" width="9.7109375" style="40" customWidth="1"/>
    <col min="15" max="15" width="12.140625" style="40" customWidth="1"/>
    <col min="16" max="18" width="11.42578125" style="40" customWidth="1"/>
    <col min="19" max="20" width="11.42578125" style="41" customWidth="1"/>
    <col min="21" max="16384" width="11.42578125" style="2"/>
  </cols>
  <sheetData>
    <row r="1" spans="1:14" ht="3" customHeight="1">
      <c r="A1" s="31"/>
    </row>
    <row r="2" spans="1:14" ht="36">
      <c r="A2" s="53"/>
      <c r="B2" s="54"/>
      <c r="C2" s="54"/>
      <c r="D2" s="54"/>
      <c r="E2" s="55"/>
      <c r="F2" s="55"/>
      <c r="G2" s="54"/>
      <c r="H2" s="104" t="s">
        <v>0</v>
      </c>
      <c r="I2" s="54"/>
      <c r="J2" s="54"/>
      <c r="K2" s="307" t="s">
        <v>288</v>
      </c>
      <c r="L2" s="56"/>
    </row>
    <row r="3" spans="1:14" ht="18">
      <c r="A3" s="57"/>
      <c r="B3" s="3"/>
      <c r="C3" s="4"/>
      <c r="D3" s="5"/>
      <c r="E3" s="46"/>
      <c r="F3" s="46"/>
      <c r="G3" s="1"/>
      <c r="H3" s="105" t="s">
        <v>1</v>
      </c>
      <c r="I3" s="7"/>
      <c r="J3" s="8"/>
      <c r="K3" s="35"/>
      <c r="L3" s="58"/>
    </row>
    <row r="4" spans="1:14" ht="4.5" customHeight="1">
      <c r="A4" s="57"/>
      <c r="B4" s="3"/>
      <c r="C4" s="4"/>
      <c r="D4" s="5"/>
      <c r="E4" s="46"/>
      <c r="F4" s="46"/>
      <c r="G4" s="1"/>
      <c r="H4" s="6"/>
      <c r="I4" s="7"/>
      <c r="J4" s="8"/>
      <c r="K4" s="35"/>
      <c r="L4" s="58"/>
    </row>
    <row r="5" spans="1:14" ht="12" customHeight="1">
      <c r="A5" s="57"/>
      <c r="B5" s="9"/>
      <c r="C5" s="83" t="s">
        <v>2</v>
      </c>
      <c r="D5" s="84">
        <v>929</v>
      </c>
      <c r="E5" s="85"/>
      <c r="F5" s="86" t="s">
        <v>3</v>
      </c>
      <c r="G5" s="87" t="s">
        <v>186</v>
      </c>
      <c r="H5" s="88"/>
      <c r="I5" s="88"/>
      <c r="J5" s="89" t="s">
        <v>4</v>
      </c>
      <c r="K5" s="90">
        <v>44263</v>
      </c>
      <c r="L5" s="58"/>
    </row>
    <row r="6" spans="1:14">
      <c r="A6" s="57"/>
      <c r="B6" s="3"/>
      <c r="C6" s="83" t="s">
        <v>5</v>
      </c>
      <c r="D6" s="91">
        <v>11220</v>
      </c>
      <c r="E6" s="85"/>
      <c r="F6" s="86" t="s">
        <v>6</v>
      </c>
      <c r="G6" s="92" t="s">
        <v>7</v>
      </c>
      <c r="H6" s="93"/>
      <c r="I6" s="94"/>
      <c r="J6" s="89" t="s">
        <v>8</v>
      </c>
      <c r="K6" s="271" t="s">
        <v>271</v>
      </c>
      <c r="L6" s="58"/>
    </row>
    <row r="7" spans="1:14">
      <c r="A7" s="57"/>
      <c r="B7" s="3"/>
      <c r="C7" s="83" t="s">
        <v>9</v>
      </c>
      <c r="D7" s="91">
        <v>8530</v>
      </c>
      <c r="E7" s="85"/>
      <c r="F7" s="86" t="s">
        <v>10</v>
      </c>
      <c r="G7" s="95">
        <v>1</v>
      </c>
      <c r="H7" s="93"/>
      <c r="I7" s="88"/>
      <c r="J7" s="89" t="s">
        <v>11</v>
      </c>
      <c r="K7" s="249" t="s">
        <v>188</v>
      </c>
      <c r="L7" s="58"/>
    </row>
    <row r="8" spans="1:14">
      <c r="A8" s="57"/>
      <c r="B8" s="3"/>
      <c r="C8" s="83" t="s">
        <v>12</v>
      </c>
      <c r="D8" s="96">
        <v>7</v>
      </c>
      <c r="E8" s="85"/>
      <c r="F8" s="86" t="s">
        <v>13</v>
      </c>
      <c r="G8" s="84">
        <v>120</v>
      </c>
      <c r="H8" s="97"/>
      <c r="I8" s="98"/>
      <c r="J8" s="89" t="s">
        <v>14</v>
      </c>
      <c r="K8" s="305">
        <f>K9-K10</f>
        <v>21877</v>
      </c>
      <c r="L8" s="59"/>
    </row>
    <row r="9" spans="1:14">
      <c r="A9" s="57"/>
      <c r="B9" s="3"/>
      <c r="C9" s="83" t="s">
        <v>15</v>
      </c>
      <c r="D9" s="99">
        <v>29</v>
      </c>
      <c r="E9" s="85"/>
      <c r="F9" s="86" t="s">
        <v>16</v>
      </c>
      <c r="G9" s="248">
        <v>10.6</v>
      </c>
      <c r="H9" s="100"/>
      <c r="I9" s="88"/>
      <c r="J9" s="89" t="s">
        <v>17</v>
      </c>
      <c r="K9" s="305">
        <v>21892</v>
      </c>
      <c r="L9" s="59"/>
    </row>
    <row r="10" spans="1:14">
      <c r="A10" s="57"/>
      <c r="B10" s="3"/>
      <c r="C10" s="83" t="s">
        <v>18</v>
      </c>
      <c r="D10" s="101" t="s">
        <v>19</v>
      </c>
      <c r="E10" s="85"/>
      <c r="F10" s="86" t="s">
        <v>20</v>
      </c>
      <c r="G10" s="101">
        <f>(65.45-G9)/65.45</f>
        <v>0.83804430863254387</v>
      </c>
      <c r="H10" s="100"/>
      <c r="I10" s="88"/>
      <c r="J10" s="89" t="s">
        <v>21</v>
      </c>
      <c r="K10" s="306">
        <v>15</v>
      </c>
      <c r="L10" s="59"/>
    </row>
    <row r="11" spans="1:14">
      <c r="A11" s="57"/>
      <c r="B11" s="3"/>
      <c r="C11" s="83" t="s">
        <v>22</v>
      </c>
      <c r="D11" s="102"/>
      <c r="E11" s="173">
        <v>0.40550000000000003</v>
      </c>
      <c r="F11" s="86" t="s">
        <v>23</v>
      </c>
      <c r="G11" s="502">
        <v>6.2519999999999998</v>
      </c>
      <c r="H11" s="502"/>
      <c r="I11" s="88"/>
      <c r="J11" s="89" t="s">
        <v>24</v>
      </c>
      <c r="K11" s="305">
        <f>I307</f>
        <v>12041.132500000009</v>
      </c>
      <c r="L11" s="60"/>
    </row>
    <row r="12" spans="1:14">
      <c r="A12" s="57"/>
      <c r="B12" s="10"/>
      <c r="C12" s="83" t="s">
        <v>25</v>
      </c>
      <c r="D12" s="102">
        <v>4.05</v>
      </c>
      <c r="E12" s="174">
        <v>0.33750000000000002</v>
      </c>
      <c r="F12" s="86" t="s">
        <v>26</v>
      </c>
      <c r="G12" s="101" t="s">
        <v>27</v>
      </c>
      <c r="H12" s="100"/>
      <c r="I12" s="88"/>
      <c r="J12" s="89" t="s">
        <v>28</v>
      </c>
      <c r="K12" s="305">
        <v>12370.48</v>
      </c>
      <c r="L12" s="59"/>
    </row>
    <row r="13" spans="1:14">
      <c r="A13" s="57"/>
      <c r="B13" s="10"/>
      <c r="C13" s="83" t="s">
        <v>29</v>
      </c>
      <c r="D13" s="96">
        <v>6.0590000000000002</v>
      </c>
      <c r="F13" s="86" t="s">
        <v>30</v>
      </c>
      <c r="G13" s="511"/>
      <c r="H13" s="511"/>
      <c r="I13" s="88"/>
      <c r="J13" s="89" t="s">
        <v>31</v>
      </c>
      <c r="K13" s="305">
        <v>1385.06</v>
      </c>
      <c r="L13" s="59"/>
      <c r="N13" s="69"/>
    </row>
    <row r="14" spans="1:14" ht="15.6" customHeight="1">
      <c r="A14" s="61"/>
      <c r="B14" s="62"/>
      <c r="C14" s="83" t="s">
        <v>32</v>
      </c>
      <c r="D14" s="103">
        <f>SUM(B17:B277)</f>
        <v>504</v>
      </c>
      <c r="E14" s="85"/>
      <c r="F14" s="86" t="s">
        <v>33</v>
      </c>
      <c r="G14" s="101" t="s">
        <v>34</v>
      </c>
      <c r="H14" s="63"/>
      <c r="I14" s="64"/>
      <c r="J14" s="65"/>
      <c r="K14" s="66"/>
      <c r="L14" s="67"/>
      <c r="N14" s="69"/>
    </row>
    <row r="15" spans="1:14" ht="13.5" customHeight="1">
      <c r="A15" s="106" t="s">
        <v>35</v>
      </c>
      <c r="B15" s="510" t="s">
        <v>36</v>
      </c>
      <c r="C15" s="510"/>
      <c r="D15" s="107" t="s">
        <v>37</v>
      </c>
      <c r="E15" s="108" t="s">
        <v>37</v>
      </c>
      <c r="F15" s="108" t="s">
        <v>38</v>
      </c>
      <c r="G15" s="108" t="s">
        <v>37</v>
      </c>
      <c r="H15" s="108" t="s">
        <v>39</v>
      </c>
      <c r="I15" s="108" t="s">
        <v>40</v>
      </c>
      <c r="J15" s="109" t="s">
        <v>41</v>
      </c>
      <c r="K15" s="416" t="s">
        <v>42</v>
      </c>
      <c r="L15" s="417"/>
    </row>
    <row r="16" spans="1:14" ht="13.5" customHeight="1" thickBot="1">
      <c r="A16" s="134" t="s">
        <v>43</v>
      </c>
      <c r="B16" s="135" t="s">
        <v>44</v>
      </c>
      <c r="C16" s="135" t="s">
        <v>45</v>
      </c>
      <c r="D16" s="135" t="s">
        <v>46</v>
      </c>
      <c r="E16" s="136" t="s">
        <v>47</v>
      </c>
      <c r="F16" s="136" t="s">
        <v>47</v>
      </c>
      <c r="G16" s="136" t="s">
        <v>48</v>
      </c>
      <c r="H16" s="136" t="s">
        <v>47</v>
      </c>
      <c r="I16" s="136" t="s">
        <v>49</v>
      </c>
      <c r="J16" s="137" t="s">
        <v>50</v>
      </c>
      <c r="K16" s="418"/>
      <c r="L16" s="419"/>
    </row>
    <row r="17" spans="1:20" s="11" customFormat="1" ht="19.5" customHeight="1">
      <c r="A17" s="432" t="s">
        <v>285</v>
      </c>
      <c r="B17" s="209" t="s">
        <v>51</v>
      </c>
      <c r="C17" s="447" t="s">
        <v>52</v>
      </c>
      <c r="D17" s="448"/>
      <c r="E17" s="192">
        <v>3.37</v>
      </c>
      <c r="F17" s="193">
        <f>E17</f>
        <v>3.37</v>
      </c>
      <c r="G17" s="193" t="str">
        <f t="shared" ref="G17:G23" si="0">IF(E17="","OUT","IN")</f>
        <v>IN</v>
      </c>
      <c r="H17" s="193">
        <f>F17</f>
        <v>3.37</v>
      </c>
      <c r="I17" s="189">
        <f>K8-F17</f>
        <v>21873.63</v>
      </c>
      <c r="J17" s="195">
        <f t="shared" ref="J17:J22" si="1">$G$8+(H17*$D$9*$G$10/1000)</f>
        <v>120.08190207028265</v>
      </c>
      <c r="K17" s="434" t="s">
        <v>286</v>
      </c>
      <c r="L17" s="435"/>
      <c r="M17" s="40"/>
      <c r="N17" s="40"/>
      <c r="O17" s="40"/>
      <c r="P17" s="40"/>
      <c r="Q17" s="40"/>
      <c r="R17" s="40"/>
      <c r="S17" s="40"/>
      <c r="T17" s="40"/>
    </row>
    <row r="18" spans="1:20" s="11" customFormat="1" ht="20.45" customHeight="1" thickBot="1">
      <c r="A18" s="433"/>
      <c r="B18" s="210">
        <v>2</v>
      </c>
      <c r="C18" s="449" t="s">
        <v>53</v>
      </c>
      <c r="D18" s="450"/>
      <c r="E18" s="194">
        <v>36.24</v>
      </c>
      <c r="F18" s="194">
        <f>E18</f>
        <v>36.24</v>
      </c>
      <c r="G18" s="194" t="str">
        <f t="shared" si="0"/>
        <v>IN</v>
      </c>
      <c r="H18" s="194">
        <f t="shared" ref="H18:H20" si="2">IF(G18="IN",H17+F18,H17)</f>
        <v>39.61</v>
      </c>
      <c r="I18" s="194">
        <f t="shared" ref="I18:I20" si="3">IF(H18="","",$K$8-H18)</f>
        <v>21837.39</v>
      </c>
      <c r="J18" s="196">
        <f t="shared" si="1"/>
        <v>120.96265311688312</v>
      </c>
      <c r="K18" s="436"/>
      <c r="L18" s="437"/>
      <c r="M18" s="40"/>
      <c r="N18" s="49"/>
      <c r="O18" s="40"/>
      <c r="P18" s="40"/>
      <c r="Q18" s="40"/>
      <c r="R18" s="40"/>
      <c r="S18" s="40"/>
      <c r="T18" s="40"/>
    </row>
    <row r="19" spans="1:20" s="11" customFormat="1" ht="15" customHeight="1">
      <c r="A19" s="438" t="s">
        <v>187</v>
      </c>
      <c r="B19" s="211">
        <v>1</v>
      </c>
      <c r="C19" s="451" t="s">
        <v>54</v>
      </c>
      <c r="D19" s="452"/>
      <c r="E19" s="197">
        <v>18.36</v>
      </c>
      <c r="F19" s="198">
        <f>E19-($D$12/12)</f>
        <v>18.022500000000001</v>
      </c>
      <c r="G19" s="198" t="str">
        <f t="shared" si="0"/>
        <v>IN</v>
      </c>
      <c r="H19" s="198">
        <f t="shared" si="2"/>
        <v>57.6325</v>
      </c>
      <c r="I19" s="198">
        <f t="shared" si="3"/>
        <v>21819.3675</v>
      </c>
      <c r="J19" s="199">
        <f t="shared" si="1"/>
        <v>121.40065906990068</v>
      </c>
      <c r="K19" s="441" t="s">
        <v>201</v>
      </c>
      <c r="L19" s="442"/>
      <c r="M19" s="40"/>
      <c r="N19" s="49"/>
      <c r="O19" s="40"/>
      <c r="P19" s="40"/>
      <c r="Q19" s="40"/>
      <c r="R19" s="40"/>
      <c r="S19" s="40"/>
      <c r="T19" s="40"/>
    </row>
    <row r="20" spans="1:20" s="11" customFormat="1" ht="17.100000000000001" customHeight="1">
      <c r="A20" s="439"/>
      <c r="B20" s="212" t="s">
        <v>51</v>
      </c>
      <c r="C20" s="453" t="s">
        <v>55</v>
      </c>
      <c r="D20" s="454"/>
      <c r="E20" s="200">
        <v>2.91</v>
      </c>
      <c r="F20" s="201">
        <f>E20</f>
        <v>2.91</v>
      </c>
      <c r="G20" s="201" t="str">
        <f t="shared" si="0"/>
        <v>IN</v>
      </c>
      <c r="H20" s="201">
        <f t="shared" si="2"/>
        <v>60.542500000000004</v>
      </c>
      <c r="I20" s="190">
        <f t="shared" si="3"/>
        <v>21816.4575</v>
      </c>
      <c r="J20" s="202">
        <f t="shared" si="1"/>
        <v>121.47138162910619</v>
      </c>
      <c r="K20" s="443"/>
      <c r="L20" s="444"/>
      <c r="M20" s="40"/>
      <c r="N20" s="49"/>
      <c r="O20" s="40"/>
      <c r="P20" s="40"/>
      <c r="Q20" s="40"/>
      <c r="R20" s="40"/>
      <c r="S20" s="40"/>
      <c r="T20" s="40"/>
    </row>
    <row r="21" spans="1:20" s="11" customFormat="1" ht="15.95" customHeight="1" thickBot="1">
      <c r="A21" s="440"/>
      <c r="B21" s="213">
        <v>1</v>
      </c>
      <c r="C21" s="455" t="s">
        <v>54</v>
      </c>
      <c r="D21" s="456"/>
      <c r="E21" s="203">
        <v>18.29</v>
      </c>
      <c r="F21" s="204">
        <f>E21</f>
        <v>18.29</v>
      </c>
      <c r="G21" s="204" t="str">
        <f t="shared" si="0"/>
        <v>IN</v>
      </c>
      <c r="H21" s="204">
        <f t="shared" ref="H21:H24" si="4">IF(G21="IN",H20+F21,H20)</f>
        <v>78.83250000000001</v>
      </c>
      <c r="I21" s="204">
        <f t="shared" ref="I21:I22" si="5">IF(H21="","",$K$8-H21)</f>
        <v>21798.1675</v>
      </c>
      <c r="J21" s="205">
        <f t="shared" si="1"/>
        <v>121.91588871084798</v>
      </c>
      <c r="K21" s="445"/>
      <c r="L21" s="446"/>
      <c r="M21" s="40"/>
      <c r="N21" s="49"/>
      <c r="O21" s="40"/>
      <c r="P21" s="40"/>
      <c r="Q21" s="40"/>
      <c r="R21" s="40"/>
      <c r="S21" s="40"/>
      <c r="T21" s="40"/>
    </row>
    <row r="22" spans="1:20" s="11" customFormat="1" ht="13.5" customHeight="1">
      <c r="A22" s="469" t="s">
        <v>199</v>
      </c>
      <c r="B22" s="214">
        <v>1</v>
      </c>
      <c r="C22" s="465" t="s">
        <v>56</v>
      </c>
      <c r="D22" s="466"/>
      <c r="E22" s="193">
        <v>18.010000000000002</v>
      </c>
      <c r="F22" s="193">
        <f>E22-($D$12/12)</f>
        <v>17.672500000000003</v>
      </c>
      <c r="G22" s="193" t="str">
        <f t="shared" si="0"/>
        <v>IN</v>
      </c>
      <c r="H22" s="193">
        <f t="shared" si="4"/>
        <v>96.50500000000001</v>
      </c>
      <c r="I22" s="193">
        <f t="shared" si="5"/>
        <v>21780.494999999999</v>
      </c>
      <c r="J22" s="195">
        <f t="shared" si="1"/>
        <v>122.34538851413292</v>
      </c>
      <c r="K22" s="457" t="s">
        <v>200</v>
      </c>
      <c r="L22" s="458"/>
      <c r="M22" s="40"/>
      <c r="N22" s="49"/>
      <c r="O22" s="40"/>
      <c r="P22" s="40"/>
      <c r="Q22" s="40"/>
      <c r="R22" s="40"/>
      <c r="S22" s="40"/>
      <c r="T22" s="40"/>
    </row>
    <row r="23" spans="1:20" s="11" customFormat="1" ht="18.600000000000001" customHeight="1">
      <c r="A23" s="470"/>
      <c r="B23" s="215" t="s">
        <v>51</v>
      </c>
      <c r="C23" s="453" t="s">
        <v>57</v>
      </c>
      <c r="D23" s="454"/>
      <c r="E23" s="206">
        <v>4.47</v>
      </c>
      <c r="F23" s="206">
        <f>E23</f>
        <v>4.47</v>
      </c>
      <c r="G23" s="206" t="str">
        <f t="shared" si="0"/>
        <v>IN</v>
      </c>
      <c r="H23" s="190">
        <f t="shared" si="4"/>
        <v>100.97500000000001</v>
      </c>
      <c r="I23" s="190">
        <f t="shared" ref="I23:I24" si="6">IF(H23="","",$K$8-H23)</f>
        <v>21776.025000000001</v>
      </c>
      <c r="J23" s="207">
        <f t="shared" ref="J23:J24" si="7">$G$8+(H23*$D$9*$G$10/1000)</f>
        <v>122.45402419786096</v>
      </c>
      <c r="K23" s="459"/>
      <c r="L23" s="460"/>
      <c r="M23" s="40"/>
      <c r="N23" s="49"/>
      <c r="O23" s="40"/>
      <c r="P23" s="40"/>
      <c r="Q23" s="40"/>
      <c r="R23" s="40"/>
      <c r="S23" s="40"/>
      <c r="T23" s="40"/>
    </row>
    <row r="24" spans="1:20" s="11" customFormat="1" ht="17.100000000000001" customHeight="1" thickBot="1">
      <c r="A24" s="471"/>
      <c r="B24" s="215">
        <v>1</v>
      </c>
      <c r="C24" s="467" t="s">
        <v>56</v>
      </c>
      <c r="D24" s="468"/>
      <c r="E24" s="208">
        <v>17.63</v>
      </c>
      <c r="F24" s="208">
        <f>E24</f>
        <v>17.63</v>
      </c>
      <c r="G24" s="208" t="s">
        <v>58</v>
      </c>
      <c r="H24" s="208">
        <f t="shared" si="4"/>
        <v>118.605</v>
      </c>
      <c r="I24" s="208">
        <f t="shared" si="6"/>
        <v>21758.395</v>
      </c>
      <c r="J24" s="284">
        <f t="shared" si="7"/>
        <v>122.88249111153553</v>
      </c>
      <c r="K24" s="461"/>
      <c r="L24" s="462"/>
      <c r="M24" s="40"/>
      <c r="N24" s="49"/>
      <c r="O24" s="40"/>
      <c r="P24" s="40"/>
      <c r="Q24" s="40"/>
      <c r="R24" s="40"/>
      <c r="S24" s="40"/>
      <c r="T24" s="40"/>
    </row>
    <row r="25" spans="1:20" s="11" customFormat="1" ht="13.5" customHeight="1">
      <c r="A25" s="220">
        <v>1</v>
      </c>
      <c r="B25" s="286">
        <v>2</v>
      </c>
      <c r="C25" s="293" t="s">
        <v>59</v>
      </c>
      <c r="D25" s="291">
        <v>269</v>
      </c>
      <c r="E25" s="285">
        <f>VLOOKUP(D25,'Deck Tally'!$B$5:$C$288,2,0)</f>
        <v>36.67</v>
      </c>
      <c r="F25" s="287">
        <f t="shared" ref="F25:F28" si="8">E25-($D$12/12)</f>
        <v>36.332500000000003</v>
      </c>
      <c r="G25" s="285" t="s">
        <v>58</v>
      </c>
      <c r="H25" s="287">
        <f t="shared" ref="H25:H26" si="9">IF(G25="IN",H24+F25,H24)</f>
        <v>154.9375</v>
      </c>
      <c r="I25" s="287">
        <f t="shared" ref="I25:I26" si="10">IF(H25="","",$K$8-H25)</f>
        <v>21722.0625</v>
      </c>
      <c r="J25" s="292">
        <f t="shared" ref="J25:J91" si="11">$G$8+(H25*$D$9*$G$10/1000)</f>
        <v>123.76549021199389</v>
      </c>
      <c r="K25" s="463" t="s">
        <v>60</v>
      </c>
      <c r="L25" s="464"/>
      <c r="M25" s="40"/>
      <c r="N25" s="40"/>
      <c r="O25" s="40"/>
      <c r="P25" s="40"/>
      <c r="Q25" s="40"/>
      <c r="R25" s="40"/>
      <c r="S25" s="40"/>
      <c r="T25" s="40"/>
    </row>
    <row r="26" spans="1:20" s="11" customFormat="1" ht="14.45" customHeight="1">
      <c r="A26" s="222">
        <v>2</v>
      </c>
      <c r="B26" s="218">
        <v>2</v>
      </c>
      <c r="C26" s="294" t="s">
        <v>59</v>
      </c>
      <c r="D26" s="113">
        <v>268</v>
      </c>
      <c r="E26" s="82">
        <f>VLOOKUP(D26,'Deck Tally'!$B$5:$C$288,2,0)</f>
        <v>36.28</v>
      </c>
      <c r="F26" s="114">
        <f t="shared" si="8"/>
        <v>35.942500000000003</v>
      </c>
      <c r="G26" s="82" t="s">
        <v>58</v>
      </c>
      <c r="H26" s="114">
        <f t="shared" si="9"/>
        <v>190.88</v>
      </c>
      <c r="I26" s="114">
        <f t="shared" si="10"/>
        <v>21686.12</v>
      </c>
      <c r="J26" s="115">
        <f t="shared" si="11"/>
        <v>124.63901103132162</v>
      </c>
      <c r="K26" s="390"/>
      <c r="L26" s="391"/>
      <c r="M26" s="40"/>
      <c r="N26" s="40"/>
      <c r="O26" s="40"/>
      <c r="P26" s="40"/>
      <c r="Q26" s="40"/>
      <c r="R26" s="40"/>
      <c r="S26" s="40"/>
      <c r="T26" s="40"/>
    </row>
    <row r="27" spans="1:20" s="12" customFormat="1" ht="15.95" customHeight="1">
      <c r="A27" s="221">
        <v>3</v>
      </c>
      <c r="B27" s="218">
        <v>2</v>
      </c>
      <c r="C27" s="295" t="s">
        <v>59</v>
      </c>
      <c r="D27" s="113">
        <v>267</v>
      </c>
      <c r="E27" s="114">
        <f>VLOOKUP(D27,'Deck Tally'!$B$5:$C$288,2,0)</f>
        <v>37.049999999999997</v>
      </c>
      <c r="F27" s="175">
        <f t="shared" si="8"/>
        <v>36.712499999999999</v>
      </c>
      <c r="G27" s="114" t="s">
        <v>58</v>
      </c>
      <c r="H27" s="139">
        <f t="shared" ref="H27:H29" si="12">IF(G27="IN",H26+F27,H26)</f>
        <v>227.5925</v>
      </c>
      <c r="I27" s="114">
        <f t="shared" ref="I27:I29" si="13">IF(H27="","",$K$8-H27)</f>
        <v>21649.407500000001</v>
      </c>
      <c r="J27" s="115">
        <f t="shared" si="11"/>
        <v>125.53124538006111</v>
      </c>
      <c r="K27" s="390"/>
      <c r="L27" s="391"/>
      <c r="M27" s="40"/>
      <c r="N27" s="216"/>
      <c r="O27" s="39"/>
      <c r="P27" s="40"/>
      <c r="Q27" s="40"/>
      <c r="R27" s="40"/>
      <c r="S27" s="41"/>
      <c r="T27" s="41"/>
    </row>
    <row r="28" spans="1:20" s="12" customFormat="1" ht="18" customHeight="1">
      <c r="A28" s="222"/>
      <c r="B28" s="308">
        <v>1</v>
      </c>
      <c r="C28" s="309" t="s">
        <v>61</v>
      </c>
      <c r="D28" s="309" t="s">
        <v>211</v>
      </c>
      <c r="E28" s="310">
        <v>20.27</v>
      </c>
      <c r="F28" s="311">
        <f t="shared" si="8"/>
        <v>19.932500000000001</v>
      </c>
      <c r="G28" s="311" t="s">
        <v>58</v>
      </c>
      <c r="H28" s="311">
        <f t="shared" si="12"/>
        <v>247.52500000000001</v>
      </c>
      <c r="I28" s="311">
        <f t="shared" si="13"/>
        <v>21629.474999999999</v>
      </c>
      <c r="J28" s="311">
        <f t="shared" ref="J28:J34" si="14">$G$8+(H28*$D$9*$G$10/1000)</f>
        <v>126.01567060733385</v>
      </c>
      <c r="K28" s="354" t="s">
        <v>217</v>
      </c>
      <c r="L28" s="355"/>
      <c r="M28" s="40"/>
      <c r="P28" s="40"/>
      <c r="Q28" s="40"/>
      <c r="R28" s="40"/>
      <c r="S28" s="41"/>
      <c r="T28" s="41"/>
    </row>
    <row r="29" spans="1:20" s="12" customFormat="1" ht="18.95" customHeight="1">
      <c r="A29" s="222">
        <v>4</v>
      </c>
      <c r="B29" s="218">
        <v>2</v>
      </c>
      <c r="C29" s="295" t="s">
        <v>59</v>
      </c>
      <c r="D29" s="318">
        <v>266</v>
      </c>
      <c r="E29" s="114">
        <f>VLOOKUP(D29,'Deck Tally'!$B$5:$C$288,2,0)</f>
        <v>34.909999999999997</v>
      </c>
      <c r="F29" s="114">
        <f t="shared" ref="F29" si="15">E29-($D$12/12)</f>
        <v>34.572499999999998</v>
      </c>
      <c r="G29" s="82" t="s">
        <v>58</v>
      </c>
      <c r="H29" s="114">
        <f t="shared" si="12"/>
        <v>282.09750000000003</v>
      </c>
      <c r="I29" s="114">
        <f t="shared" si="13"/>
        <v>21594.9025</v>
      </c>
      <c r="J29" s="115">
        <f t="shared" si="14"/>
        <v>126.8558959262796</v>
      </c>
      <c r="K29" s="392" t="s">
        <v>218</v>
      </c>
      <c r="L29" s="393"/>
      <c r="M29" s="40"/>
      <c r="N29" s="216">
        <f>21637-L30</f>
        <v>11.525000000001455</v>
      </c>
      <c r="O29" s="39" t="s">
        <v>62</v>
      </c>
      <c r="P29" s="40"/>
      <c r="Q29" s="40"/>
      <c r="R29" s="40"/>
      <c r="S29" s="41"/>
      <c r="T29" s="41"/>
    </row>
    <row r="30" spans="1:20" s="12" customFormat="1" ht="17.100000000000001" customHeight="1">
      <c r="A30" s="222"/>
      <c r="B30" s="308">
        <v>1</v>
      </c>
      <c r="C30" s="312" t="s">
        <v>59</v>
      </c>
      <c r="D30" s="313" t="s">
        <v>197</v>
      </c>
      <c r="E30" s="191">
        <v>36.4</v>
      </c>
      <c r="F30" s="191">
        <f>E30-($D$12/12)</f>
        <v>36.0625</v>
      </c>
      <c r="G30" s="191" t="s">
        <v>58</v>
      </c>
      <c r="H30" s="191">
        <f t="shared" ref="H30:H93" si="16">IF(G30="IN",H29+F30,H29)</f>
        <v>318.16000000000003</v>
      </c>
      <c r="I30" s="191">
        <f t="shared" ref="I30:I93" si="17">IF(H30="","",$K$8-H30)</f>
        <v>21558.84</v>
      </c>
      <c r="J30" s="191">
        <f t="shared" si="14"/>
        <v>127.73233313980137</v>
      </c>
      <c r="K30" s="314" t="s">
        <v>63</v>
      </c>
      <c r="L30" s="315">
        <f>I28-4</f>
        <v>21625.474999999999</v>
      </c>
      <c r="M30" s="40"/>
      <c r="N30" s="216"/>
      <c r="O30" s="39"/>
      <c r="P30" s="40"/>
      <c r="Q30" s="40"/>
      <c r="R30" s="40"/>
      <c r="S30" s="41"/>
      <c r="T30" s="41"/>
    </row>
    <row r="31" spans="1:20" s="11" customFormat="1" ht="15" customHeight="1">
      <c r="A31" s="221">
        <v>5</v>
      </c>
      <c r="B31" s="218">
        <v>2</v>
      </c>
      <c r="C31" s="294" t="s">
        <v>59</v>
      </c>
      <c r="D31" s="113">
        <v>265</v>
      </c>
      <c r="E31" s="82">
        <f>VLOOKUP(D31,'Deck Tally'!$B$5:$C$288,2,0)</f>
        <v>36.799999999999997</v>
      </c>
      <c r="F31" s="114">
        <f>E31-($D$12/12)</f>
        <v>36.462499999999999</v>
      </c>
      <c r="G31" s="82" t="s">
        <v>58</v>
      </c>
      <c r="H31" s="139">
        <f t="shared" si="16"/>
        <v>354.6225</v>
      </c>
      <c r="I31" s="139">
        <f t="shared" si="17"/>
        <v>21522.377499999999</v>
      </c>
      <c r="J31" s="115">
        <f>$G$8+(H31*$D$9*$G$10/1000)</f>
        <v>128.61849166730329</v>
      </c>
      <c r="K31" s="390"/>
      <c r="L31" s="391"/>
      <c r="M31" s="40"/>
      <c r="N31" s="40"/>
      <c r="O31" s="40"/>
      <c r="P31" s="40"/>
      <c r="Q31" s="40"/>
      <c r="R31" s="40"/>
      <c r="S31" s="40"/>
      <c r="T31" s="40"/>
    </row>
    <row r="32" spans="1:20" s="12" customFormat="1" ht="15.6" customHeight="1">
      <c r="A32" s="222">
        <v>6</v>
      </c>
      <c r="B32" s="218">
        <v>2</v>
      </c>
      <c r="C32" s="294" t="s">
        <v>59</v>
      </c>
      <c r="D32" s="113">
        <v>264</v>
      </c>
      <c r="E32" s="114">
        <f>VLOOKUP(D32,'Deck Tally'!$B$5:$C$288,2,0)</f>
        <v>36.619999999999997</v>
      </c>
      <c r="F32" s="175">
        <f>E32-($D$12/12)</f>
        <v>36.282499999999999</v>
      </c>
      <c r="G32" s="114" t="s">
        <v>58</v>
      </c>
      <c r="H32" s="114">
        <f t="shared" si="16"/>
        <v>390.90499999999997</v>
      </c>
      <c r="I32" s="114">
        <f t="shared" si="17"/>
        <v>21486.095000000001</v>
      </c>
      <c r="J32" s="115">
        <f>$G$8+(H32*$D$9*$G$10/1000)</f>
        <v>129.50027560351413</v>
      </c>
      <c r="K32" s="430"/>
      <c r="L32" s="431"/>
      <c r="M32" s="78"/>
      <c r="P32" s="40"/>
      <c r="Q32" s="40"/>
      <c r="R32" s="40"/>
      <c r="S32" s="41"/>
      <c r="T32" s="41"/>
    </row>
    <row r="33" spans="1:20" s="12" customFormat="1" ht="13.5" customHeight="1">
      <c r="A33" s="221">
        <v>7</v>
      </c>
      <c r="B33" s="219">
        <v>2</v>
      </c>
      <c r="C33" s="294" t="s">
        <v>59</v>
      </c>
      <c r="D33" s="113">
        <v>263</v>
      </c>
      <c r="E33" s="82">
        <f>VLOOKUP(D33,'Deck Tally'!$B$5:$C$288,2,0)</f>
        <v>36.520000000000003</v>
      </c>
      <c r="F33" s="116">
        <f>E33-($D$12/12)</f>
        <v>36.182500000000005</v>
      </c>
      <c r="G33" s="82" t="s">
        <v>58</v>
      </c>
      <c r="H33" s="114">
        <f t="shared" si="16"/>
        <v>427.08749999999998</v>
      </c>
      <c r="I33" s="114">
        <f t="shared" si="17"/>
        <v>21449.912499999999</v>
      </c>
      <c r="J33" s="115">
        <f>$G$8+(H33*$D$9*$G$10/1000)</f>
        <v>130.37962921122994</v>
      </c>
      <c r="K33" s="430"/>
      <c r="L33" s="431"/>
      <c r="M33" s="40"/>
      <c r="N33" s="78"/>
      <c r="O33" s="40"/>
      <c r="P33" s="40"/>
      <c r="Q33" s="40"/>
      <c r="R33" s="40"/>
      <c r="S33" s="41"/>
      <c r="T33" s="41"/>
    </row>
    <row r="34" spans="1:20" s="12" customFormat="1" ht="15.6" customHeight="1">
      <c r="A34" s="221">
        <v>8</v>
      </c>
      <c r="B34" s="218">
        <v>2</v>
      </c>
      <c r="C34" s="294" t="s">
        <v>59</v>
      </c>
      <c r="D34" s="113">
        <v>262</v>
      </c>
      <c r="E34" s="82">
        <f>VLOOKUP(D34,'Deck Tally'!$B$5:$C$288,2,0)</f>
        <v>36.020000000000003</v>
      </c>
      <c r="F34" s="116">
        <f t="shared" ref="F34:F112" si="18">E34-($D$12/12)</f>
        <v>35.682500000000005</v>
      </c>
      <c r="G34" s="82" t="s">
        <v>58</v>
      </c>
      <c r="H34" s="116">
        <f t="shared" si="16"/>
        <v>462.77</v>
      </c>
      <c r="I34" s="116">
        <f t="shared" si="17"/>
        <v>21414.23</v>
      </c>
      <c r="J34" s="117">
        <f t="shared" si="14"/>
        <v>131.24683117647058</v>
      </c>
      <c r="K34" s="430"/>
      <c r="L34" s="431"/>
      <c r="M34" s="40"/>
      <c r="N34" s="216"/>
      <c r="O34" s="39"/>
      <c r="P34" s="40"/>
      <c r="Q34" s="40"/>
      <c r="R34" s="40"/>
      <c r="S34" s="41"/>
      <c r="T34" s="41"/>
    </row>
    <row r="35" spans="1:20" s="12" customFormat="1" ht="13.5" customHeight="1">
      <c r="A35" s="222">
        <v>9</v>
      </c>
      <c r="B35" s="219">
        <v>2</v>
      </c>
      <c r="C35" s="294" t="s">
        <v>59</v>
      </c>
      <c r="D35" s="113">
        <v>261</v>
      </c>
      <c r="E35" s="82">
        <f>VLOOKUP(D35,'Deck Tally'!$B$5:$C$288,2,0)</f>
        <v>36.39</v>
      </c>
      <c r="F35" s="116">
        <f t="shared" si="18"/>
        <v>36.052500000000002</v>
      </c>
      <c r="G35" s="82" t="s">
        <v>58</v>
      </c>
      <c r="H35" s="116">
        <f t="shared" si="16"/>
        <v>498.82249999999999</v>
      </c>
      <c r="I35" s="116">
        <f t="shared" si="17"/>
        <v>21378.177500000002</v>
      </c>
      <c r="J35" s="117">
        <f t="shared" si="11"/>
        <v>132.12302535714286</v>
      </c>
      <c r="K35" s="420"/>
      <c r="L35" s="421"/>
      <c r="M35" s="40"/>
      <c r="N35" s="40"/>
      <c r="O35" s="40"/>
      <c r="P35" s="40"/>
      <c r="Q35" s="40"/>
      <c r="R35" s="40"/>
      <c r="S35" s="41"/>
      <c r="T35" s="41"/>
    </row>
    <row r="36" spans="1:20" s="12" customFormat="1" ht="13.5" customHeight="1">
      <c r="A36" s="221">
        <v>10</v>
      </c>
      <c r="B36" s="218">
        <v>2</v>
      </c>
      <c r="C36" s="294" t="s">
        <v>59</v>
      </c>
      <c r="D36" s="113">
        <v>260</v>
      </c>
      <c r="E36" s="82">
        <f>VLOOKUP(D36,'Deck Tally'!$B$5:$C$288,2,0)</f>
        <v>37.15</v>
      </c>
      <c r="F36" s="114">
        <f t="shared" si="18"/>
        <v>36.8125</v>
      </c>
      <c r="G36" s="82" t="s">
        <v>58</v>
      </c>
      <c r="H36" s="116">
        <f t="shared" si="16"/>
        <v>535.63499999999999</v>
      </c>
      <c r="I36" s="116">
        <f t="shared" si="17"/>
        <v>21341.365000000002</v>
      </c>
      <c r="J36" s="117">
        <f t="shared" si="11"/>
        <v>133.01769003437738</v>
      </c>
      <c r="K36" s="350"/>
      <c r="L36" s="351"/>
      <c r="M36" s="40"/>
      <c r="N36" s="40"/>
      <c r="O36" s="40"/>
      <c r="P36" s="40"/>
      <c r="Q36" s="40"/>
      <c r="R36" s="40"/>
      <c r="S36" s="41"/>
      <c r="T36" s="41"/>
    </row>
    <row r="37" spans="1:20" s="12" customFormat="1" ht="13.5" customHeight="1">
      <c r="A37" s="221">
        <v>11</v>
      </c>
      <c r="B37" s="218">
        <v>2</v>
      </c>
      <c r="C37" s="294" t="s">
        <v>59</v>
      </c>
      <c r="D37" s="113">
        <v>259</v>
      </c>
      <c r="E37" s="82">
        <f>VLOOKUP(D37,'Deck Tally'!$B$5:$C$288,2,0)</f>
        <v>36.369999999999997</v>
      </c>
      <c r="F37" s="114">
        <f t="shared" si="18"/>
        <v>36.032499999999999</v>
      </c>
      <c r="G37" s="82" t="s">
        <v>58</v>
      </c>
      <c r="H37" s="114">
        <f t="shared" si="16"/>
        <v>571.66750000000002</v>
      </c>
      <c r="I37" s="114">
        <f t="shared" si="17"/>
        <v>21305.3325</v>
      </c>
      <c r="J37" s="115">
        <f t="shared" si="11"/>
        <v>133.89339814935065</v>
      </c>
      <c r="K37" s="350"/>
      <c r="L37" s="351"/>
      <c r="M37" s="40"/>
      <c r="N37" s="40"/>
      <c r="O37" s="40"/>
      <c r="P37" s="40"/>
      <c r="Q37" s="40"/>
      <c r="R37" s="40"/>
      <c r="S37" s="41"/>
      <c r="T37" s="41"/>
    </row>
    <row r="38" spans="1:20" s="12" customFormat="1" ht="13.5" customHeight="1">
      <c r="A38" s="222">
        <v>12</v>
      </c>
      <c r="B38" s="218">
        <v>2</v>
      </c>
      <c r="C38" s="294" t="s">
        <v>59</v>
      </c>
      <c r="D38" s="113">
        <v>258</v>
      </c>
      <c r="E38" s="82">
        <f>VLOOKUP(D38,'Deck Tally'!$B$5:$C$288,2,0)</f>
        <v>34.69</v>
      </c>
      <c r="F38" s="114">
        <f t="shared" si="18"/>
        <v>34.352499999999999</v>
      </c>
      <c r="G38" s="82" t="s">
        <v>58</v>
      </c>
      <c r="H38" s="114">
        <f t="shared" si="16"/>
        <v>606.02</v>
      </c>
      <c r="I38" s="125">
        <f t="shared" si="17"/>
        <v>21270.98</v>
      </c>
      <c r="J38" s="115">
        <f t="shared" si="11"/>
        <v>134.72827674560733</v>
      </c>
      <c r="K38" s="350"/>
      <c r="L38" s="351"/>
      <c r="M38" s="40"/>
      <c r="N38" s="216"/>
      <c r="O38" s="39"/>
      <c r="P38" s="40"/>
      <c r="Q38" s="40"/>
      <c r="R38" s="40"/>
      <c r="S38" s="41"/>
      <c r="T38" s="41"/>
    </row>
    <row r="39" spans="1:20" s="12" customFormat="1" ht="13.5" customHeight="1">
      <c r="A39" s="221">
        <v>13</v>
      </c>
      <c r="B39" s="218">
        <v>2</v>
      </c>
      <c r="C39" s="294" t="s">
        <v>59</v>
      </c>
      <c r="D39" s="113">
        <v>257</v>
      </c>
      <c r="E39" s="82">
        <f>VLOOKUP(D39,'Deck Tally'!$B$5:$C$288,2,0)</f>
        <v>37.049999999999997</v>
      </c>
      <c r="F39" s="114">
        <f t="shared" si="18"/>
        <v>36.712499999999999</v>
      </c>
      <c r="G39" s="82" t="s">
        <v>58</v>
      </c>
      <c r="H39" s="114">
        <f t="shared" si="16"/>
        <v>642.73249999999996</v>
      </c>
      <c r="I39" s="125">
        <f t="shared" si="17"/>
        <v>21234.267500000002</v>
      </c>
      <c r="J39" s="115">
        <f t="shared" si="11"/>
        <v>135.62051109434682</v>
      </c>
      <c r="K39" s="350"/>
      <c r="L39" s="351"/>
      <c r="M39" s="40"/>
      <c r="N39" s="40"/>
      <c r="O39" s="40"/>
      <c r="P39" s="40"/>
      <c r="Q39" s="40"/>
      <c r="R39" s="40"/>
      <c r="S39" s="41"/>
      <c r="T39" s="41"/>
    </row>
    <row r="40" spans="1:20" s="12" customFormat="1" ht="13.5" customHeight="1">
      <c r="A40" s="221">
        <v>14</v>
      </c>
      <c r="B40" s="218">
        <v>2</v>
      </c>
      <c r="C40" s="294" t="s">
        <v>59</v>
      </c>
      <c r="D40" s="113">
        <v>256</v>
      </c>
      <c r="E40" s="82">
        <f>VLOOKUP(D40,'Deck Tally'!$B$5:$C$288,2,0)</f>
        <v>37.51</v>
      </c>
      <c r="F40" s="116">
        <f t="shared" si="18"/>
        <v>37.172499999999999</v>
      </c>
      <c r="G40" s="82" t="s">
        <v>58</v>
      </c>
      <c r="H40" s="116">
        <f t="shared" si="16"/>
        <v>679.90499999999997</v>
      </c>
      <c r="I40" s="126">
        <f t="shared" si="17"/>
        <v>21197.095000000001</v>
      </c>
      <c r="J40" s="117">
        <f t="shared" si="11"/>
        <v>136.52392495416348</v>
      </c>
      <c r="K40" s="420"/>
      <c r="L40" s="421"/>
      <c r="M40" s="40"/>
      <c r="N40" s="40"/>
      <c r="O40" s="40"/>
      <c r="P40" s="40"/>
      <c r="Q40" s="40"/>
      <c r="R40" s="40"/>
      <c r="S40" s="41"/>
      <c r="T40" s="41"/>
    </row>
    <row r="41" spans="1:20" s="12" customFormat="1" ht="13.5" customHeight="1">
      <c r="A41" s="222">
        <v>15</v>
      </c>
      <c r="B41" s="218">
        <v>2</v>
      </c>
      <c r="C41" s="294" t="s">
        <v>59</v>
      </c>
      <c r="D41" s="113">
        <v>255</v>
      </c>
      <c r="E41" s="82">
        <f>VLOOKUP(D41,'Deck Tally'!$B$5:$C$288,2,0)</f>
        <v>36.75</v>
      </c>
      <c r="F41" s="114">
        <f t="shared" si="18"/>
        <v>36.412500000000001</v>
      </c>
      <c r="G41" s="82" t="s">
        <v>58</v>
      </c>
      <c r="H41" s="114">
        <f t="shared" si="16"/>
        <v>716.3175</v>
      </c>
      <c r="I41" s="125">
        <f t="shared" si="17"/>
        <v>21160.682499999999</v>
      </c>
      <c r="J41" s="115">
        <f t="shared" si="11"/>
        <v>137.40886831741787</v>
      </c>
      <c r="K41" s="350"/>
      <c r="L41" s="351"/>
      <c r="M41" s="40"/>
      <c r="N41" s="40"/>
      <c r="O41" s="40"/>
      <c r="P41" s="40"/>
      <c r="Q41" s="40"/>
      <c r="R41" s="40"/>
      <c r="S41" s="41"/>
      <c r="T41" s="41"/>
    </row>
    <row r="42" spans="1:20" s="12" customFormat="1" ht="13.5" customHeight="1">
      <c r="A42" s="221">
        <v>16</v>
      </c>
      <c r="B42" s="218">
        <v>2</v>
      </c>
      <c r="C42" s="294" t="s">
        <v>59</v>
      </c>
      <c r="D42" s="113">
        <v>254</v>
      </c>
      <c r="E42" s="82">
        <f>VLOOKUP(D42,'Deck Tally'!$B$5:$C$288,2,0)</f>
        <v>37.08</v>
      </c>
      <c r="F42" s="114">
        <f t="shared" si="18"/>
        <v>36.7425</v>
      </c>
      <c r="G42" s="82" t="s">
        <v>58</v>
      </c>
      <c r="H42" s="114">
        <f t="shared" si="16"/>
        <v>753.06</v>
      </c>
      <c r="I42" s="125">
        <f t="shared" si="17"/>
        <v>21123.94</v>
      </c>
      <c r="J42" s="115">
        <f t="shared" si="11"/>
        <v>138.30183176470587</v>
      </c>
      <c r="K42" s="350"/>
      <c r="L42" s="351"/>
      <c r="M42" s="40"/>
      <c r="N42" s="40"/>
      <c r="O42" s="40"/>
      <c r="P42" s="40"/>
      <c r="Q42" s="40"/>
      <c r="R42" s="40"/>
      <c r="S42" s="41"/>
      <c r="T42" s="41"/>
    </row>
    <row r="43" spans="1:20" s="12" customFormat="1" ht="13.5" customHeight="1">
      <c r="A43" s="221">
        <v>17</v>
      </c>
      <c r="B43" s="218">
        <v>2</v>
      </c>
      <c r="C43" s="294" t="s">
        <v>59</v>
      </c>
      <c r="D43" s="113">
        <v>253</v>
      </c>
      <c r="E43" s="82">
        <f>VLOOKUP(D43,'Deck Tally'!$B$5:$C$288,2,0)</f>
        <v>37.03</v>
      </c>
      <c r="F43" s="114">
        <f t="shared" si="18"/>
        <v>36.692500000000003</v>
      </c>
      <c r="G43" s="82" t="s">
        <v>58</v>
      </c>
      <c r="H43" s="114">
        <f t="shared" si="16"/>
        <v>789.75249999999994</v>
      </c>
      <c r="I43" s="114">
        <f t="shared" si="17"/>
        <v>21087.247500000001</v>
      </c>
      <c r="J43" s="115">
        <f t="shared" si="11"/>
        <v>139.19358004774637</v>
      </c>
      <c r="K43" s="350"/>
      <c r="L43" s="351"/>
      <c r="M43" s="40"/>
      <c r="N43" s="40"/>
      <c r="O43" s="40"/>
      <c r="P43" s="40"/>
      <c r="Q43" s="40"/>
      <c r="R43" s="40"/>
      <c r="S43" s="41"/>
      <c r="T43" s="41"/>
    </row>
    <row r="44" spans="1:20" s="12" customFormat="1" ht="13.5" customHeight="1">
      <c r="A44" s="222">
        <v>18</v>
      </c>
      <c r="B44" s="218">
        <v>2</v>
      </c>
      <c r="C44" s="294" t="s">
        <v>59</v>
      </c>
      <c r="D44" s="113">
        <v>252</v>
      </c>
      <c r="E44" s="82">
        <f>VLOOKUP(D44,'Deck Tally'!$B$5:$C$288,2,0)</f>
        <v>37.090000000000003</v>
      </c>
      <c r="F44" s="114">
        <f t="shared" si="18"/>
        <v>36.752500000000005</v>
      </c>
      <c r="G44" s="82" t="s">
        <v>58</v>
      </c>
      <c r="H44" s="114">
        <f t="shared" si="16"/>
        <v>826.505</v>
      </c>
      <c r="I44" s="114">
        <f t="shared" si="17"/>
        <v>21050.494999999999</v>
      </c>
      <c r="J44" s="115">
        <f t="shared" si="11"/>
        <v>140.08678652788387</v>
      </c>
      <c r="K44" s="350"/>
      <c r="L44" s="351"/>
      <c r="M44" s="40"/>
      <c r="N44" s="40"/>
      <c r="O44" s="40"/>
      <c r="P44" s="40"/>
      <c r="Q44" s="40"/>
      <c r="R44" s="40"/>
      <c r="S44" s="41"/>
      <c r="T44" s="41"/>
    </row>
    <row r="45" spans="1:20" s="12" customFormat="1" ht="13.5" customHeight="1">
      <c r="A45" s="221">
        <v>19</v>
      </c>
      <c r="B45" s="218">
        <v>2</v>
      </c>
      <c r="C45" s="294" t="s">
        <v>59</v>
      </c>
      <c r="D45" s="113">
        <v>251</v>
      </c>
      <c r="E45" s="82">
        <f>VLOOKUP(D45,'Deck Tally'!$B$5:$C$288,2,0)</f>
        <v>36.39</v>
      </c>
      <c r="F45" s="114">
        <f t="shared" si="18"/>
        <v>36.052500000000002</v>
      </c>
      <c r="G45" s="82" t="s">
        <v>58</v>
      </c>
      <c r="H45" s="114">
        <f t="shared" si="16"/>
        <v>862.5575</v>
      </c>
      <c r="I45" s="114">
        <f t="shared" si="17"/>
        <v>21014.442500000001</v>
      </c>
      <c r="J45" s="115">
        <f t="shared" si="11"/>
        <v>140.96298070855616</v>
      </c>
      <c r="K45" s="426"/>
      <c r="L45" s="427"/>
      <c r="M45" s="40"/>
      <c r="N45" s="40"/>
      <c r="O45" s="40"/>
      <c r="P45" s="40"/>
      <c r="Q45" s="40"/>
      <c r="R45" s="40"/>
      <c r="S45" s="41"/>
      <c r="T45" s="41"/>
    </row>
    <row r="46" spans="1:20" s="12" customFormat="1" ht="13.5" customHeight="1">
      <c r="A46" s="221">
        <v>20</v>
      </c>
      <c r="B46" s="218">
        <v>2</v>
      </c>
      <c r="C46" s="294" t="s">
        <v>59</v>
      </c>
      <c r="D46" s="113">
        <v>250</v>
      </c>
      <c r="E46" s="82">
        <f>VLOOKUP(D46,'Deck Tally'!$B$5:$C$288,2,0)</f>
        <v>37.53</v>
      </c>
      <c r="F46" s="114">
        <f t="shared" si="18"/>
        <v>37.192500000000003</v>
      </c>
      <c r="G46" s="82" t="s">
        <v>58</v>
      </c>
      <c r="H46" s="114">
        <f t="shared" si="16"/>
        <v>899.75</v>
      </c>
      <c r="I46" s="125">
        <f t="shared" si="17"/>
        <v>20977.25</v>
      </c>
      <c r="J46" s="115">
        <f t="shared" si="11"/>
        <v>141.8668806340718</v>
      </c>
      <c r="K46" s="350"/>
      <c r="L46" s="351"/>
      <c r="M46" s="40"/>
      <c r="N46" s="40"/>
      <c r="O46" s="40"/>
      <c r="P46" s="40"/>
      <c r="Q46" s="40"/>
      <c r="R46" s="40"/>
      <c r="S46" s="41"/>
      <c r="T46" s="41"/>
    </row>
    <row r="47" spans="1:20" s="12" customFormat="1" ht="13.5" customHeight="1">
      <c r="A47" s="222">
        <v>21</v>
      </c>
      <c r="B47" s="218">
        <v>2</v>
      </c>
      <c r="C47" s="294" t="s">
        <v>59</v>
      </c>
      <c r="D47" s="113">
        <v>249</v>
      </c>
      <c r="E47" s="82">
        <f>VLOOKUP(D47,'Deck Tally'!$B$5:$C$288,2,0)</f>
        <v>37.65</v>
      </c>
      <c r="F47" s="114">
        <f t="shared" si="18"/>
        <v>37.3125</v>
      </c>
      <c r="G47" s="82" t="s">
        <v>58</v>
      </c>
      <c r="H47" s="114">
        <f t="shared" si="16"/>
        <v>937.0625</v>
      </c>
      <c r="I47" s="125">
        <f t="shared" si="17"/>
        <v>20939.9375</v>
      </c>
      <c r="J47" s="115">
        <f t="shared" si="11"/>
        <v>142.7736969537815</v>
      </c>
      <c r="K47" s="424"/>
      <c r="L47" s="425"/>
      <c r="M47" s="40"/>
      <c r="N47" s="40"/>
      <c r="O47" s="40"/>
      <c r="P47" s="40"/>
      <c r="Q47" s="40"/>
      <c r="R47" s="40"/>
      <c r="S47" s="41"/>
      <c r="T47" s="41"/>
    </row>
    <row r="48" spans="1:20" s="12" customFormat="1" ht="13.5" customHeight="1">
      <c r="A48" s="221">
        <v>22</v>
      </c>
      <c r="B48" s="218">
        <v>2</v>
      </c>
      <c r="C48" s="294" t="s">
        <v>59</v>
      </c>
      <c r="D48" s="113">
        <v>248</v>
      </c>
      <c r="E48" s="82">
        <f>VLOOKUP(D48,'Deck Tally'!$B$5:$C$288,2,0)</f>
        <v>37.299999999999997</v>
      </c>
      <c r="F48" s="114">
        <f t="shared" si="18"/>
        <v>36.962499999999999</v>
      </c>
      <c r="G48" s="82" t="s">
        <v>58</v>
      </c>
      <c r="H48" s="114">
        <f t="shared" si="16"/>
        <v>974.02499999999998</v>
      </c>
      <c r="I48" s="125">
        <f t="shared" si="17"/>
        <v>20902.974999999999</v>
      </c>
      <c r="J48" s="115">
        <f t="shared" si="11"/>
        <v>143.67200712375859</v>
      </c>
      <c r="K48" s="424"/>
      <c r="L48" s="425"/>
      <c r="M48" s="40"/>
      <c r="N48" s="40"/>
      <c r="O48" s="40"/>
      <c r="P48" s="40"/>
      <c r="Q48" s="40"/>
      <c r="R48" s="40"/>
      <c r="S48" s="41"/>
      <c r="T48" s="41"/>
    </row>
    <row r="49" spans="1:20" s="12" customFormat="1" ht="13.5" customHeight="1">
      <c r="A49" s="221">
        <v>23</v>
      </c>
      <c r="B49" s="218">
        <v>2</v>
      </c>
      <c r="C49" s="294" t="s">
        <v>59</v>
      </c>
      <c r="D49" s="113">
        <v>247</v>
      </c>
      <c r="E49" s="82">
        <f>VLOOKUP(D49,'Deck Tally'!$B$5:$C$288,2,0)</f>
        <v>35.549999999999997</v>
      </c>
      <c r="F49" s="114">
        <f t="shared" si="18"/>
        <v>35.212499999999999</v>
      </c>
      <c r="G49" s="82" t="s">
        <v>58</v>
      </c>
      <c r="H49" s="114">
        <f t="shared" si="16"/>
        <v>1009.2375</v>
      </c>
      <c r="I49" s="114">
        <f t="shared" si="17"/>
        <v>20867.762500000001</v>
      </c>
      <c r="J49" s="115">
        <f t="shared" si="11"/>
        <v>144.52778654507256</v>
      </c>
      <c r="K49" s="424"/>
      <c r="L49" s="425"/>
      <c r="M49" s="40"/>
      <c r="N49" s="40"/>
      <c r="O49" s="40"/>
      <c r="P49" s="40"/>
      <c r="Q49" s="40"/>
      <c r="R49" s="40"/>
      <c r="S49" s="41"/>
      <c r="T49" s="41"/>
    </row>
    <row r="50" spans="1:20" s="12" customFormat="1" ht="13.5" customHeight="1">
      <c r="A50" s="222">
        <v>24</v>
      </c>
      <c r="B50" s="218">
        <v>2</v>
      </c>
      <c r="C50" s="294" t="s">
        <v>59</v>
      </c>
      <c r="D50" s="113">
        <v>246</v>
      </c>
      <c r="E50" s="82">
        <f>VLOOKUP(D50,'Deck Tally'!$B$5:$C$288,2,0)</f>
        <v>36.96</v>
      </c>
      <c r="F50" s="114">
        <f t="shared" si="18"/>
        <v>36.622500000000002</v>
      </c>
      <c r="G50" s="82" t="s">
        <v>58</v>
      </c>
      <c r="H50" s="114">
        <f t="shared" si="16"/>
        <v>1045.8599999999999</v>
      </c>
      <c r="I50" s="114">
        <f t="shared" si="17"/>
        <v>20831.14</v>
      </c>
      <c r="J50" s="115">
        <f t="shared" si="11"/>
        <v>145.41783359816654</v>
      </c>
      <c r="K50" s="424"/>
      <c r="L50" s="425"/>
      <c r="M50" s="40"/>
      <c r="N50" s="78"/>
      <c r="O50" s="40"/>
      <c r="P50" s="40"/>
      <c r="Q50" s="40"/>
      <c r="R50" s="40"/>
      <c r="S50" s="41"/>
      <c r="T50" s="41"/>
    </row>
    <row r="51" spans="1:20" s="12" customFormat="1" ht="13.5" customHeight="1">
      <c r="A51" s="221">
        <v>25</v>
      </c>
      <c r="B51" s="218">
        <v>2</v>
      </c>
      <c r="C51" s="294" t="s">
        <v>59</v>
      </c>
      <c r="D51" s="113">
        <v>245</v>
      </c>
      <c r="E51" s="82">
        <f>VLOOKUP(D51,'Deck Tally'!$B$5:$C$288,2,0)</f>
        <v>37.11</v>
      </c>
      <c r="F51" s="114">
        <f t="shared" si="18"/>
        <v>36.772500000000001</v>
      </c>
      <c r="G51" s="82" t="s">
        <v>58</v>
      </c>
      <c r="H51" s="114">
        <f t="shared" si="16"/>
        <v>1082.6324999999999</v>
      </c>
      <c r="I51" s="125">
        <f t="shared" si="17"/>
        <v>20794.3675</v>
      </c>
      <c r="J51" s="115">
        <f t="shared" si="11"/>
        <v>146.31152614400304</v>
      </c>
      <c r="K51" s="424"/>
      <c r="L51" s="425"/>
      <c r="M51" s="40"/>
      <c r="N51" s="40"/>
      <c r="O51" s="40"/>
      <c r="P51" s="40"/>
      <c r="Q51" s="40"/>
      <c r="R51" s="40"/>
      <c r="S51" s="41"/>
      <c r="T51" s="41"/>
    </row>
    <row r="52" spans="1:20" s="12" customFormat="1" ht="13.5" customHeight="1">
      <c r="A52" s="221">
        <v>26</v>
      </c>
      <c r="B52" s="218">
        <v>2</v>
      </c>
      <c r="C52" s="294" t="s">
        <v>59</v>
      </c>
      <c r="D52" s="113">
        <v>244</v>
      </c>
      <c r="E52" s="82">
        <f>VLOOKUP(D52,'Deck Tally'!$B$5:$C$288,2,0)</f>
        <v>37.46</v>
      </c>
      <c r="F52" s="114">
        <f t="shared" si="18"/>
        <v>37.122500000000002</v>
      </c>
      <c r="G52" s="82" t="s">
        <v>58</v>
      </c>
      <c r="H52" s="114">
        <f t="shared" si="16"/>
        <v>1119.7549999999999</v>
      </c>
      <c r="I52" s="125">
        <f t="shared" si="17"/>
        <v>20757.244999999999</v>
      </c>
      <c r="J52" s="115">
        <f t="shared" si="11"/>
        <v>147.21372483957219</v>
      </c>
      <c r="K52" s="424"/>
      <c r="L52" s="425"/>
      <c r="M52" s="40"/>
      <c r="N52" s="40"/>
      <c r="O52" s="40"/>
      <c r="P52" s="40"/>
      <c r="Q52" s="40"/>
      <c r="R52" s="40"/>
      <c r="S52" s="41"/>
      <c r="T52" s="41"/>
    </row>
    <row r="53" spans="1:20" s="12" customFormat="1" ht="13.5" customHeight="1">
      <c r="A53" s="222">
        <v>27</v>
      </c>
      <c r="B53" s="218">
        <v>2</v>
      </c>
      <c r="C53" s="294" t="s">
        <v>59</v>
      </c>
      <c r="D53" s="113">
        <v>243</v>
      </c>
      <c r="E53" s="82">
        <f>VLOOKUP(D53,'Deck Tally'!$B$5:$C$288,2,0)</f>
        <v>36.61</v>
      </c>
      <c r="F53" s="114">
        <f t="shared" si="18"/>
        <v>36.272500000000001</v>
      </c>
      <c r="G53" s="82" t="s">
        <v>58</v>
      </c>
      <c r="H53" s="114">
        <f t="shared" si="16"/>
        <v>1156.0274999999999</v>
      </c>
      <c r="I53" s="114">
        <f t="shared" si="17"/>
        <v>20720.9725</v>
      </c>
      <c r="J53" s="115">
        <f t="shared" si="11"/>
        <v>148.09526574293352</v>
      </c>
      <c r="K53" s="424"/>
      <c r="L53" s="425"/>
      <c r="M53" s="40"/>
      <c r="N53" s="40"/>
      <c r="O53" s="40"/>
      <c r="P53" s="40"/>
      <c r="Q53" s="40"/>
      <c r="R53" s="40"/>
      <c r="S53" s="41"/>
      <c r="T53" s="41"/>
    </row>
    <row r="54" spans="1:20" s="12" customFormat="1" ht="13.5" customHeight="1">
      <c r="A54" s="221">
        <v>28</v>
      </c>
      <c r="B54" s="218">
        <v>2</v>
      </c>
      <c r="C54" s="294" t="s">
        <v>59</v>
      </c>
      <c r="D54" s="113">
        <v>242</v>
      </c>
      <c r="E54" s="82">
        <f>VLOOKUP(D54,'Deck Tally'!$B$5:$C$288,2,0)</f>
        <v>36.9</v>
      </c>
      <c r="F54" s="114">
        <f t="shared" si="18"/>
        <v>36.5625</v>
      </c>
      <c r="G54" s="82" t="s">
        <v>58</v>
      </c>
      <c r="H54" s="114">
        <f t="shared" si="16"/>
        <v>1192.5899999999999</v>
      </c>
      <c r="I54" s="114">
        <f t="shared" si="17"/>
        <v>20684.41</v>
      </c>
      <c r="J54" s="115">
        <f t="shared" si="11"/>
        <v>148.98385459893049</v>
      </c>
      <c r="K54" s="422"/>
      <c r="L54" s="423"/>
      <c r="M54" s="40"/>
      <c r="N54" s="40"/>
      <c r="O54" s="40"/>
      <c r="P54" s="40"/>
      <c r="Q54" s="40"/>
      <c r="R54" s="40"/>
      <c r="S54" s="41"/>
      <c r="T54" s="41"/>
    </row>
    <row r="55" spans="1:20" s="44" customFormat="1" ht="13.5" customHeight="1">
      <c r="A55" s="221">
        <v>29</v>
      </c>
      <c r="B55" s="218">
        <v>2</v>
      </c>
      <c r="C55" s="294" t="s">
        <v>59</v>
      </c>
      <c r="D55" s="113">
        <v>241</v>
      </c>
      <c r="E55" s="82">
        <f>VLOOKUP(D55,'Deck Tally'!$B$5:$C$288,2,0)</f>
        <v>36.880000000000003</v>
      </c>
      <c r="F55" s="114">
        <f t="shared" si="18"/>
        <v>36.542500000000004</v>
      </c>
      <c r="G55" s="82" t="s">
        <v>58</v>
      </c>
      <c r="H55" s="114">
        <f t="shared" si="16"/>
        <v>1229.1324999999999</v>
      </c>
      <c r="I55" s="125">
        <f t="shared" si="17"/>
        <v>20647.8675</v>
      </c>
      <c r="J55" s="115">
        <f t="shared" si="11"/>
        <v>149.87195738922841</v>
      </c>
      <c r="K55" s="422"/>
      <c r="L55" s="423"/>
      <c r="M55" s="42"/>
      <c r="N55" s="40"/>
      <c r="O55" s="42"/>
      <c r="P55" s="42"/>
      <c r="Q55" s="42"/>
      <c r="R55" s="42"/>
      <c r="S55" s="43"/>
      <c r="T55" s="43"/>
    </row>
    <row r="56" spans="1:20" s="12" customFormat="1" ht="13.5" customHeight="1">
      <c r="A56" s="222">
        <v>30</v>
      </c>
      <c r="B56" s="218">
        <v>2</v>
      </c>
      <c r="C56" s="294" t="s">
        <v>59</v>
      </c>
      <c r="D56" s="113">
        <v>240</v>
      </c>
      <c r="E56" s="82">
        <f>VLOOKUP(D56,'Deck Tally'!$B$5:$C$288,2,0)</f>
        <v>36.479999999999997</v>
      </c>
      <c r="F56" s="114">
        <f t="shared" si="18"/>
        <v>36.142499999999998</v>
      </c>
      <c r="G56" s="82" t="s">
        <v>58</v>
      </c>
      <c r="H56" s="114">
        <f t="shared" si="16"/>
        <v>1265.2749999999999</v>
      </c>
      <c r="I56" s="114">
        <f t="shared" si="17"/>
        <v>20611.724999999999</v>
      </c>
      <c r="J56" s="115">
        <f t="shared" si="11"/>
        <v>150.75033886554621</v>
      </c>
      <c r="K56" s="398"/>
      <c r="L56" s="399"/>
      <c r="M56" s="40"/>
      <c r="N56" s="40"/>
      <c r="O56" s="40"/>
      <c r="P56" s="40"/>
      <c r="Q56" s="40"/>
      <c r="R56" s="40"/>
      <c r="S56" s="41"/>
      <c r="T56" s="41"/>
    </row>
    <row r="57" spans="1:20" s="12" customFormat="1" ht="13.5" customHeight="1">
      <c r="A57" s="221">
        <v>31</v>
      </c>
      <c r="B57" s="218">
        <v>2</v>
      </c>
      <c r="C57" s="294" t="s">
        <v>59</v>
      </c>
      <c r="D57" s="113">
        <v>239</v>
      </c>
      <c r="E57" s="82">
        <f>VLOOKUP(D57,'Deck Tally'!$B$5:$C$288,2,0)</f>
        <v>36.47</v>
      </c>
      <c r="F57" s="114">
        <f t="shared" si="18"/>
        <v>36.1325</v>
      </c>
      <c r="G57" s="82" t="s">
        <v>58</v>
      </c>
      <c r="H57" s="114">
        <f t="shared" si="16"/>
        <v>1301.4074999999998</v>
      </c>
      <c r="I57" s="114">
        <f t="shared" si="17"/>
        <v>20575.592499999999</v>
      </c>
      <c r="J57" s="115">
        <f t="shared" si="11"/>
        <v>151.6284773090145</v>
      </c>
      <c r="K57" s="398"/>
      <c r="L57" s="399"/>
      <c r="M57" s="40"/>
      <c r="N57" s="40"/>
      <c r="O57" s="40"/>
      <c r="P57" s="40"/>
      <c r="Q57" s="40"/>
      <c r="R57" s="40"/>
      <c r="S57" s="41"/>
      <c r="T57" s="41"/>
    </row>
    <row r="58" spans="1:20" s="12" customFormat="1" ht="13.5" customHeight="1">
      <c r="A58" s="221">
        <v>32</v>
      </c>
      <c r="B58" s="218">
        <v>2</v>
      </c>
      <c r="C58" s="294" t="s">
        <v>59</v>
      </c>
      <c r="D58" s="113">
        <v>238</v>
      </c>
      <c r="E58" s="82">
        <f>VLOOKUP(D58,'Deck Tally'!$B$5:$C$288,2,0)</f>
        <v>36.6</v>
      </c>
      <c r="F58" s="114">
        <f t="shared" si="18"/>
        <v>36.262500000000003</v>
      </c>
      <c r="G58" s="82" t="s">
        <v>58</v>
      </c>
      <c r="H58" s="114">
        <f t="shared" si="16"/>
        <v>1337.6699999999998</v>
      </c>
      <c r="I58" s="125">
        <f t="shared" si="17"/>
        <v>20539.330000000002</v>
      </c>
      <c r="J58" s="115">
        <f t="shared" si="11"/>
        <v>152.50977517952634</v>
      </c>
      <c r="K58" s="398"/>
      <c r="L58" s="399"/>
      <c r="M58" s="40"/>
      <c r="N58" s="40"/>
      <c r="O58" s="40"/>
      <c r="P58" s="40"/>
      <c r="Q58" s="40"/>
      <c r="R58" s="40"/>
      <c r="S58" s="41"/>
      <c r="T58" s="41"/>
    </row>
    <row r="59" spans="1:20" s="12" customFormat="1" ht="13.5" customHeight="1">
      <c r="A59" s="222">
        <v>33</v>
      </c>
      <c r="B59" s="218">
        <v>2</v>
      </c>
      <c r="C59" s="294" t="s">
        <v>59</v>
      </c>
      <c r="D59" s="113">
        <v>237</v>
      </c>
      <c r="E59" s="82">
        <f>VLOOKUP(D59,'Deck Tally'!$B$5:$C$288,2,0)</f>
        <v>36.53</v>
      </c>
      <c r="F59" s="114">
        <f t="shared" si="18"/>
        <v>36.192500000000003</v>
      </c>
      <c r="G59" s="82" t="s">
        <v>58</v>
      </c>
      <c r="H59" s="114">
        <f t="shared" si="16"/>
        <v>1373.8625</v>
      </c>
      <c r="I59" s="114">
        <f t="shared" si="17"/>
        <v>20503.137500000001</v>
      </c>
      <c r="J59" s="115">
        <f t="shared" si="11"/>
        <v>153.38937182009167</v>
      </c>
      <c r="K59" s="398"/>
      <c r="L59" s="399"/>
      <c r="M59" s="40"/>
      <c r="N59" s="40"/>
      <c r="O59" s="40"/>
      <c r="P59" s="40"/>
      <c r="Q59" s="40"/>
      <c r="R59" s="40"/>
      <c r="S59" s="41"/>
      <c r="T59" s="41"/>
    </row>
    <row r="60" spans="1:20" s="12" customFormat="1" ht="13.5" customHeight="1">
      <c r="A60" s="221">
        <v>34</v>
      </c>
      <c r="B60" s="299">
        <v>2</v>
      </c>
      <c r="C60" s="294" t="s">
        <v>59</v>
      </c>
      <c r="D60" s="113">
        <v>236</v>
      </c>
      <c r="E60" s="188">
        <f>VLOOKUP(D60,'Deck Tally'!$B$5:$C$288,2,0)</f>
        <v>36.39</v>
      </c>
      <c r="F60" s="290">
        <f>E60-($D$12/12)</f>
        <v>36.052500000000002</v>
      </c>
      <c r="G60" s="188" t="s">
        <v>58</v>
      </c>
      <c r="H60" s="114">
        <f t="shared" si="16"/>
        <v>1409.915</v>
      </c>
      <c r="I60" s="114">
        <f t="shared" si="17"/>
        <v>20467.084999999999</v>
      </c>
      <c r="J60" s="115">
        <f t="shared" si="11"/>
        <v>154.26556600076395</v>
      </c>
      <c r="K60" s="398"/>
      <c r="L60" s="399"/>
      <c r="M60" s="40"/>
      <c r="N60" s="40"/>
      <c r="O60" s="40"/>
      <c r="P60" s="40"/>
      <c r="Q60" s="40"/>
      <c r="R60" s="40"/>
      <c r="S60" s="41"/>
      <c r="T60" s="41"/>
    </row>
    <row r="61" spans="1:20" s="12" customFormat="1" ht="14.45" customHeight="1">
      <c r="A61" s="221">
        <v>35</v>
      </c>
      <c r="B61" s="300">
        <v>2</v>
      </c>
      <c r="C61" s="294" t="s">
        <v>59</v>
      </c>
      <c r="D61" s="113">
        <v>235</v>
      </c>
      <c r="E61" s="138">
        <f>VLOOKUP(D61,'Deck Tally'!$B$5:$C$288,2,0)</f>
        <v>37.46</v>
      </c>
      <c r="F61" s="139">
        <f>E61-($D$12/12)</f>
        <v>37.122500000000002</v>
      </c>
      <c r="G61" s="138" t="s">
        <v>58</v>
      </c>
      <c r="H61" s="114">
        <f t="shared" si="16"/>
        <v>1447.0374999999999</v>
      </c>
      <c r="I61" s="125">
        <f t="shared" si="17"/>
        <v>20429.962500000001</v>
      </c>
      <c r="J61" s="115">
        <f t="shared" si="11"/>
        <v>155.16776469633308</v>
      </c>
      <c r="K61" s="398"/>
      <c r="L61" s="399"/>
      <c r="M61" s="40"/>
      <c r="N61" s="216"/>
      <c r="O61" s="39"/>
      <c r="P61" s="40"/>
      <c r="Q61" s="40"/>
      <c r="R61" s="40"/>
      <c r="S61" s="41"/>
      <c r="T61" s="41"/>
    </row>
    <row r="62" spans="1:20" s="12" customFormat="1" ht="13.5" customHeight="1">
      <c r="A62" s="222">
        <v>36</v>
      </c>
      <c r="B62" s="218">
        <v>2</v>
      </c>
      <c r="C62" s="294" t="s">
        <v>59</v>
      </c>
      <c r="D62" s="113">
        <v>234</v>
      </c>
      <c r="E62" s="114">
        <f>VLOOKUP(D62,'Deck Tally'!$B$5:$C$288,2,0)</f>
        <v>37.19</v>
      </c>
      <c r="F62" s="114">
        <f t="shared" si="18"/>
        <v>36.852499999999999</v>
      </c>
      <c r="G62" s="114" t="s">
        <v>58</v>
      </c>
      <c r="H62" s="114">
        <f t="shared" si="16"/>
        <v>1483.8899999999999</v>
      </c>
      <c r="I62" s="114">
        <f t="shared" si="17"/>
        <v>20393.11</v>
      </c>
      <c r="J62" s="115">
        <f t="shared" si="11"/>
        <v>156.06340150496561</v>
      </c>
      <c r="K62" s="398"/>
      <c r="L62" s="399"/>
      <c r="M62" s="40"/>
      <c r="N62" s="40"/>
      <c r="O62" s="40"/>
      <c r="P62" s="40"/>
      <c r="Q62" s="40"/>
      <c r="R62" s="40"/>
      <c r="S62" s="41"/>
      <c r="T62" s="41"/>
    </row>
    <row r="63" spans="1:20" s="12" customFormat="1" ht="13.5" customHeight="1">
      <c r="A63" s="221">
        <v>37</v>
      </c>
      <c r="B63" s="218">
        <v>2</v>
      </c>
      <c r="C63" s="294" t="s">
        <v>59</v>
      </c>
      <c r="D63" s="113">
        <v>233</v>
      </c>
      <c r="E63" s="82">
        <f>VLOOKUP(D63,'Deck Tally'!$B$5:$C$288,2,0)</f>
        <v>37.26</v>
      </c>
      <c r="F63" s="116">
        <f t="shared" si="18"/>
        <v>36.922499999999999</v>
      </c>
      <c r="G63" s="82" t="s">
        <v>58</v>
      </c>
      <c r="H63" s="114">
        <f t="shared" si="16"/>
        <v>1520.8124999999998</v>
      </c>
      <c r="I63" s="114">
        <f t="shared" si="17"/>
        <v>20356.1875</v>
      </c>
      <c r="J63" s="115">
        <f t="shared" si="11"/>
        <v>156.96073954354469</v>
      </c>
      <c r="K63" s="420"/>
      <c r="L63" s="421"/>
      <c r="M63" s="40"/>
      <c r="N63" s="40"/>
      <c r="O63" s="40"/>
      <c r="P63" s="40"/>
      <c r="Q63" s="40"/>
      <c r="R63" s="40"/>
      <c r="S63" s="41"/>
      <c r="T63" s="41"/>
    </row>
    <row r="64" spans="1:20" s="12" customFormat="1" ht="13.5" customHeight="1">
      <c r="A64" s="221">
        <v>38</v>
      </c>
      <c r="B64" s="218">
        <v>2</v>
      </c>
      <c r="C64" s="294" t="s">
        <v>59</v>
      </c>
      <c r="D64" s="113">
        <v>232</v>
      </c>
      <c r="E64" s="82">
        <f>VLOOKUP(D64,'Deck Tally'!$B$5:$C$288,2,0)</f>
        <v>36.76</v>
      </c>
      <c r="F64" s="114">
        <f t="shared" si="18"/>
        <v>36.422499999999999</v>
      </c>
      <c r="G64" s="82" t="s">
        <v>58</v>
      </c>
      <c r="H64" s="114">
        <f t="shared" si="16"/>
        <v>1557.2349999999997</v>
      </c>
      <c r="I64" s="125">
        <f t="shared" si="17"/>
        <v>20319.764999999999</v>
      </c>
      <c r="J64" s="115">
        <f t="shared" si="11"/>
        <v>157.84592593964857</v>
      </c>
      <c r="K64" s="350"/>
      <c r="L64" s="351"/>
      <c r="M64" s="40"/>
      <c r="N64" s="40"/>
      <c r="O64" s="40"/>
      <c r="P64" s="40"/>
      <c r="Q64" s="40"/>
      <c r="R64" s="40"/>
      <c r="S64" s="41"/>
      <c r="T64" s="41"/>
    </row>
    <row r="65" spans="1:20" s="12" customFormat="1" ht="13.5" customHeight="1">
      <c r="A65" s="222">
        <v>39</v>
      </c>
      <c r="B65" s="218">
        <v>2</v>
      </c>
      <c r="C65" s="294" t="s">
        <v>59</v>
      </c>
      <c r="D65" s="113">
        <v>231</v>
      </c>
      <c r="E65" s="82">
        <f>VLOOKUP(D65,'Deck Tally'!$B$5:$C$288,2,0)</f>
        <v>36.450000000000003</v>
      </c>
      <c r="F65" s="114">
        <f t="shared" si="18"/>
        <v>36.112500000000004</v>
      </c>
      <c r="G65" s="82" t="s">
        <v>58</v>
      </c>
      <c r="H65" s="114">
        <f t="shared" si="16"/>
        <v>1593.3474999999996</v>
      </c>
      <c r="I65" s="114">
        <f t="shared" si="17"/>
        <v>20283.6525</v>
      </c>
      <c r="J65" s="115">
        <f t="shared" si="11"/>
        <v>158.72357831741786</v>
      </c>
      <c r="K65" s="350"/>
      <c r="L65" s="351"/>
      <c r="M65" s="40"/>
      <c r="N65" s="40"/>
      <c r="O65" s="40"/>
      <c r="P65" s="40"/>
      <c r="Q65" s="40"/>
      <c r="R65" s="40"/>
      <c r="S65" s="41"/>
      <c r="T65" s="41"/>
    </row>
    <row r="66" spans="1:20" s="12" customFormat="1" ht="13.5" customHeight="1">
      <c r="A66" s="221">
        <v>40</v>
      </c>
      <c r="B66" s="218">
        <v>2</v>
      </c>
      <c r="C66" s="294" t="s">
        <v>59</v>
      </c>
      <c r="D66" s="113">
        <v>230</v>
      </c>
      <c r="E66" s="82">
        <f>VLOOKUP(D66,'Deck Tally'!$B$5:$C$288,2,0)</f>
        <v>36.15</v>
      </c>
      <c r="F66" s="114">
        <f t="shared" si="18"/>
        <v>35.8125</v>
      </c>
      <c r="G66" s="82" t="s">
        <v>58</v>
      </c>
      <c r="H66" s="114">
        <f t="shared" si="16"/>
        <v>1629.1599999999996</v>
      </c>
      <c r="I66" s="114">
        <f t="shared" si="17"/>
        <v>20247.84</v>
      </c>
      <c r="J66" s="115">
        <f t="shared" si="11"/>
        <v>159.59393970970206</v>
      </c>
      <c r="K66" s="350"/>
      <c r="L66" s="351"/>
      <c r="M66" s="40"/>
      <c r="N66" s="40"/>
      <c r="O66" s="40"/>
      <c r="P66" s="40"/>
      <c r="Q66" s="40"/>
      <c r="R66" s="40"/>
      <c r="S66" s="41"/>
      <c r="T66" s="41"/>
    </row>
    <row r="67" spans="1:20" s="12" customFormat="1" ht="13.5" customHeight="1">
      <c r="A67" s="221">
        <v>41</v>
      </c>
      <c r="B67" s="218">
        <v>2</v>
      </c>
      <c r="C67" s="294" t="s">
        <v>59</v>
      </c>
      <c r="D67" s="113">
        <v>229</v>
      </c>
      <c r="E67" s="82">
        <f>VLOOKUP(D67,'Deck Tally'!$B$5:$C$288,2,0)</f>
        <v>36.4</v>
      </c>
      <c r="F67" s="114">
        <f t="shared" si="18"/>
        <v>36.0625</v>
      </c>
      <c r="G67" s="82" t="s">
        <v>58</v>
      </c>
      <c r="H67" s="114">
        <f t="shared" si="16"/>
        <v>1665.2224999999996</v>
      </c>
      <c r="I67" s="114">
        <f t="shared" si="17"/>
        <v>20211.7775</v>
      </c>
      <c r="J67" s="115">
        <f t="shared" si="11"/>
        <v>160.47037692322382</v>
      </c>
      <c r="K67" s="350"/>
      <c r="L67" s="351"/>
      <c r="M67" s="40"/>
      <c r="N67" s="40"/>
      <c r="O67" s="40"/>
      <c r="P67" s="40"/>
      <c r="Q67" s="40"/>
      <c r="R67" s="40"/>
      <c r="S67" s="41"/>
      <c r="T67" s="41"/>
    </row>
    <row r="68" spans="1:20" s="12" customFormat="1" ht="13.5" customHeight="1">
      <c r="A68" s="222">
        <v>42</v>
      </c>
      <c r="B68" s="218">
        <v>2</v>
      </c>
      <c r="C68" s="294" t="s">
        <v>59</v>
      </c>
      <c r="D68" s="113">
        <v>228</v>
      </c>
      <c r="E68" s="82">
        <f>VLOOKUP(D68,'Deck Tally'!$B$5:$C$288,2,0)</f>
        <v>34.42</v>
      </c>
      <c r="F68" s="114">
        <f t="shared" si="18"/>
        <v>34.082500000000003</v>
      </c>
      <c r="G68" s="82" t="s">
        <v>58</v>
      </c>
      <c r="H68" s="114">
        <f t="shared" si="16"/>
        <v>1699.3049999999996</v>
      </c>
      <c r="I68" s="114">
        <f t="shared" si="17"/>
        <v>20177.695</v>
      </c>
      <c r="J68" s="115">
        <f t="shared" si="11"/>
        <v>161.29869363254392</v>
      </c>
      <c r="K68" s="350"/>
      <c r="L68" s="351"/>
      <c r="M68" s="40"/>
      <c r="N68" s="40"/>
      <c r="O68" s="40"/>
      <c r="P68" s="40"/>
      <c r="Q68" s="40"/>
      <c r="R68" s="40"/>
      <c r="S68" s="41"/>
      <c r="T68" s="41"/>
    </row>
    <row r="69" spans="1:20" s="12" customFormat="1" ht="13.5" customHeight="1">
      <c r="A69" s="221">
        <v>43</v>
      </c>
      <c r="B69" s="218">
        <v>2</v>
      </c>
      <c r="C69" s="294" t="s">
        <v>59</v>
      </c>
      <c r="D69" s="113">
        <v>227</v>
      </c>
      <c r="E69" s="82">
        <f>VLOOKUP(D69,'Deck Tally'!$B$5:$C$288,2,0)</f>
        <v>34.43</v>
      </c>
      <c r="F69" s="114">
        <f t="shared" si="18"/>
        <v>34.092500000000001</v>
      </c>
      <c r="G69" s="82" t="s">
        <v>58</v>
      </c>
      <c r="H69" s="114">
        <f t="shared" si="16"/>
        <v>1733.3974999999996</v>
      </c>
      <c r="I69" s="114">
        <f t="shared" si="17"/>
        <v>20143.602500000001</v>
      </c>
      <c r="J69" s="115">
        <f t="shared" si="11"/>
        <v>162.12725337471352</v>
      </c>
      <c r="K69" s="350"/>
      <c r="L69" s="351"/>
      <c r="M69" s="40"/>
      <c r="N69" s="40"/>
      <c r="O69" s="40"/>
      <c r="P69" s="40"/>
      <c r="Q69" s="40"/>
      <c r="R69" s="40"/>
      <c r="S69" s="41"/>
      <c r="T69" s="41"/>
    </row>
    <row r="70" spans="1:20" s="12" customFormat="1" ht="13.5" customHeight="1">
      <c r="A70" s="221">
        <v>44</v>
      </c>
      <c r="B70" s="218">
        <v>2</v>
      </c>
      <c r="C70" s="294" t="s">
        <v>59</v>
      </c>
      <c r="D70" s="113">
        <v>226</v>
      </c>
      <c r="E70" s="82">
        <f>VLOOKUP(D70,'Deck Tally'!$B$5:$C$288,2,0)</f>
        <v>36.42</v>
      </c>
      <c r="F70" s="114">
        <f t="shared" si="18"/>
        <v>36.082500000000003</v>
      </c>
      <c r="G70" s="82" t="s">
        <v>58</v>
      </c>
      <c r="H70" s="114">
        <f t="shared" si="16"/>
        <v>1769.4799999999996</v>
      </c>
      <c r="I70" s="114">
        <f t="shared" si="17"/>
        <v>20107.52</v>
      </c>
      <c r="J70" s="115">
        <f t="shared" si="11"/>
        <v>163.00417665393428</v>
      </c>
      <c r="K70" s="398"/>
      <c r="L70" s="399"/>
      <c r="M70" s="40"/>
      <c r="N70" s="40"/>
      <c r="O70" s="40"/>
      <c r="P70" s="40"/>
      <c r="Q70" s="40"/>
      <c r="R70" s="40"/>
      <c r="S70" s="41"/>
      <c r="T70" s="41"/>
    </row>
    <row r="71" spans="1:20" s="12" customFormat="1" ht="13.5" customHeight="1">
      <c r="A71" s="222">
        <v>45</v>
      </c>
      <c r="B71" s="218">
        <v>2</v>
      </c>
      <c r="C71" s="294" t="s">
        <v>59</v>
      </c>
      <c r="D71" s="113">
        <v>225</v>
      </c>
      <c r="E71" s="82">
        <f>VLOOKUP(D71,'Deck Tally'!$B$5:$C$288,2,0)</f>
        <v>36.72</v>
      </c>
      <c r="F71" s="114">
        <f t="shared" si="18"/>
        <v>36.3825</v>
      </c>
      <c r="G71" s="82" t="s">
        <v>58</v>
      </c>
      <c r="H71" s="114">
        <f t="shared" si="16"/>
        <v>1805.8624999999995</v>
      </c>
      <c r="I71" s="114">
        <f t="shared" si="17"/>
        <v>20071.137500000001</v>
      </c>
      <c r="J71" s="115">
        <f t="shared" si="11"/>
        <v>163.88839091864017</v>
      </c>
      <c r="K71" s="400"/>
      <c r="L71" s="401"/>
      <c r="M71" s="40"/>
      <c r="N71" s="40"/>
      <c r="O71" s="40"/>
      <c r="P71" s="40"/>
      <c r="Q71" s="40"/>
      <c r="R71" s="40"/>
      <c r="S71" s="41"/>
      <c r="T71" s="41"/>
    </row>
    <row r="72" spans="1:20" s="12" customFormat="1" ht="13.5" customHeight="1">
      <c r="A72" s="221">
        <v>46</v>
      </c>
      <c r="B72" s="218">
        <v>2</v>
      </c>
      <c r="C72" s="294" t="s">
        <v>59</v>
      </c>
      <c r="D72" s="113">
        <v>224</v>
      </c>
      <c r="E72" s="82">
        <f>VLOOKUP(D72,'Deck Tally'!$B$5:$C$288,2,0)</f>
        <v>35.950000000000003</v>
      </c>
      <c r="F72" s="114">
        <f t="shared" si="18"/>
        <v>35.612500000000004</v>
      </c>
      <c r="G72" s="82" t="s">
        <v>58</v>
      </c>
      <c r="H72" s="114">
        <f t="shared" si="16"/>
        <v>1841.4749999999995</v>
      </c>
      <c r="I72" s="114">
        <f t="shared" si="17"/>
        <v>20035.525000000001</v>
      </c>
      <c r="J72" s="115">
        <f t="shared" si="11"/>
        <v>164.75389165393429</v>
      </c>
      <c r="K72" s="400"/>
      <c r="L72" s="401"/>
      <c r="M72" s="40"/>
      <c r="N72" s="40"/>
      <c r="O72" s="40"/>
      <c r="P72" s="40"/>
      <c r="Q72" s="40"/>
      <c r="R72" s="40"/>
      <c r="S72" s="41"/>
      <c r="T72" s="41"/>
    </row>
    <row r="73" spans="1:20" s="12" customFormat="1" ht="13.5" customHeight="1">
      <c r="A73" s="221">
        <v>47</v>
      </c>
      <c r="B73" s="218">
        <v>2</v>
      </c>
      <c r="C73" s="294" t="s">
        <v>59</v>
      </c>
      <c r="D73" s="113">
        <v>223</v>
      </c>
      <c r="E73" s="82">
        <f>VLOOKUP(D73,'Deck Tally'!$B$5:$C$288,2,0)</f>
        <v>37.049999999999997</v>
      </c>
      <c r="F73" s="114">
        <f t="shared" si="18"/>
        <v>36.712499999999999</v>
      </c>
      <c r="G73" s="82" t="s">
        <v>58</v>
      </c>
      <c r="H73" s="114">
        <f t="shared" si="16"/>
        <v>1878.1874999999995</v>
      </c>
      <c r="I73" s="114">
        <f t="shared" si="17"/>
        <v>19998.8125</v>
      </c>
      <c r="J73" s="115">
        <f t="shared" si="11"/>
        <v>165.64612600267378</v>
      </c>
      <c r="K73" s="400"/>
      <c r="L73" s="401"/>
      <c r="M73" s="40"/>
      <c r="N73" s="40"/>
      <c r="O73" s="40"/>
      <c r="P73" s="40"/>
      <c r="Q73" s="40"/>
      <c r="R73" s="40"/>
      <c r="S73" s="41"/>
      <c r="T73" s="41"/>
    </row>
    <row r="74" spans="1:20" s="12" customFormat="1" ht="13.5" customHeight="1">
      <c r="A74" s="222">
        <v>48</v>
      </c>
      <c r="B74" s="218">
        <v>2</v>
      </c>
      <c r="C74" s="294" t="s">
        <v>59</v>
      </c>
      <c r="D74" s="113">
        <v>222</v>
      </c>
      <c r="E74" s="82">
        <f>VLOOKUP(D74,'Deck Tally'!$B$5:$C$288,2,0)</f>
        <v>36.69</v>
      </c>
      <c r="F74" s="82">
        <f t="shared" si="18"/>
        <v>36.352499999999999</v>
      </c>
      <c r="G74" s="82" t="s">
        <v>58</v>
      </c>
      <c r="H74" s="82">
        <f t="shared" si="16"/>
        <v>1914.5399999999995</v>
      </c>
      <c r="I74" s="82">
        <f t="shared" si="17"/>
        <v>19962.46</v>
      </c>
      <c r="J74" s="118">
        <f t="shared" si="11"/>
        <v>166.52961116883117</v>
      </c>
      <c r="K74" s="400"/>
      <c r="L74" s="401"/>
      <c r="M74" s="40"/>
      <c r="N74" s="40"/>
      <c r="O74" s="40"/>
      <c r="P74" s="40"/>
      <c r="Q74" s="40"/>
      <c r="R74" s="40"/>
      <c r="S74" s="41"/>
      <c r="T74" s="41"/>
    </row>
    <row r="75" spans="1:20" s="12" customFormat="1" ht="13.5" customHeight="1">
      <c r="A75" s="221">
        <v>49</v>
      </c>
      <c r="B75" s="218">
        <v>2</v>
      </c>
      <c r="C75" s="294" t="s">
        <v>59</v>
      </c>
      <c r="D75" s="113">
        <v>221</v>
      </c>
      <c r="E75" s="82">
        <f>VLOOKUP(D75,'Deck Tally'!$B$5:$C$288,2,0)</f>
        <v>36.92</v>
      </c>
      <c r="F75" s="114">
        <f t="shared" si="18"/>
        <v>36.582500000000003</v>
      </c>
      <c r="G75" s="82" t="s">
        <v>58</v>
      </c>
      <c r="H75" s="114">
        <f t="shared" si="16"/>
        <v>1951.1224999999995</v>
      </c>
      <c r="I75" s="82">
        <f t="shared" si="17"/>
        <v>19925.877500000002</v>
      </c>
      <c r="J75" s="118">
        <f t="shared" si="11"/>
        <v>167.4186860905271</v>
      </c>
      <c r="K75" s="400"/>
      <c r="L75" s="401"/>
      <c r="M75" s="40"/>
      <c r="N75" s="40"/>
      <c r="O75" s="40"/>
      <c r="P75" s="40"/>
      <c r="Q75" s="40"/>
      <c r="R75" s="40"/>
      <c r="S75" s="41"/>
      <c r="T75" s="41"/>
    </row>
    <row r="76" spans="1:20" s="12" customFormat="1" ht="13.5" customHeight="1">
      <c r="A76" s="221">
        <v>50</v>
      </c>
      <c r="B76" s="218">
        <v>2</v>
      </c>
      <c r="C76" s="294" t="s">
        <v>59</v>
      </c>
      <c r="D76" s="113">
        <v>220</v>
      </c>
      <c r="E76" s="82">
        <f>VLOOKUP(D76,'Deck Tally'!$B$5:$C$288,2,0)</f>
        <v>36.46</v>
      </c>
      <c r="F76" s="114">
        <f t="shared" si="18"/>
        <v>36.122500000000002</v>
      </c>
      <c r="G76" s="82" t="s">
        <v>58</v>
      </c>
      <c r="H76" s="114">
        <f t="shared" si="16"/>
        <v>1987.2449999999994</v>
      </c>
      <c r="I76" s="125">
        <f t="shared" si="17"/>
        <v>19889.755000000001</v>
      </c>
      <c r="J76" s="115">
        <f t="shared" si="11"/>
        <v>168.29658150114591</v>
      </c>
      <c r="K76" s="400"/>
      <c r="L76" s="401"/>
      <c r="M76" s="40"/>
      <c r="N76" s="40"/>
      <c r="O76" s="40"/>
      <c r="P76" s="40"/>
      <c r="Q76" s="40"/>
      <c r="R76" s="40"/>
      <c r="S76" s="41"/>
      <c r="T76" s="41"/>
    </row>
    <row r="77" spans="1:20" s="12" customFormat="1" ht="13.5" customHeight="1">
      <c r="A77" s="222">
        <v>51</v>
      </c>
      <c r="B77" s="218">
        <v>2</v>
      </c>
      <c r="C77" s="294" t="s">
        <v>59</v>
      </c>
      <c r="D77" s="113">
        <v>219</v>
      </c>
      <c r="E77" s="82">
        <f>VLOOKUP(D77,'Deck Tally'!$B$5:$C$288,2,0)</f>
        <v>36.979999999999997</v>
      </c>
      <c r="F77" s="114">
        <f t="shared" si="18"/>
        <v>36.642499999999998</v>
      </c>
      <c r="G77" s="82" t="s">
        <v>58</v>
      </c>
      <c r="H77" s="114">
        <f t="shared" si="16"/>
        <v>2023.8874999999994</v>
      </c>
      <c r="I77" s="114">
        <f t="shared" si="17"/>
        <v>19853.112499999999</v>
      </c>
      <c r="J77" s="115">
        <f t="shared" si="11"/>
        <v>169.18711461993888</v>
      </c>
      <c r="K77" s="400"/>
      <c r="L77" s="401"/>
      <c r="M77" s="40"/>
      <c r="N77" s="40"/>
      <c r="O77" s="40"/>
      <c r="P77" s="40"/>
      <c r="Q77" s="40"/>
      <c r="R77" s="40"/>
      <c r="S77" s="41"/>
      <c r="T77" s="41"/>
    </row>
    <row r="78" spans="1:20" s="12" customFormat="1" ht="13.5" customHeight="1">
      <c r="A78" s="221">
        <v>52</v>
      </c>
      <c r="B78" s="218">
        <v>2</v>
      </c>
      <c r="C78" s="294" t="s">
        <v>59</v>
      </c>
      <c r="D78" s="113">
        <v>218</v>
      </c>
      <c r="E78" s="82">
        <f>VLOOKUP(D78,'Deck Tally'!$B$5:$C$288,2,0)</f>
        <v>35.549999999999997</v>
      </c>
      <c r="F78" s="114">
        <f t="shared" si="18"/>
        <v>35.212499999999999</v>
      </c>
      <c r="G78" s="82" t="s">
        <v>58</v>
      </c>
      <c r="H78" s="114">
        <f t="shared" si="16"/>
        <v>2059.0999999999995</v>
      </c>
      <c r="I78" s="125">
        <f t="shared" si="17"/>
        <v>19817.900000000001</v>
      </c>
      <c r="J78" s="115">
        <f t="shared" si="11"/>
        <v>170.04289404125285</v>
      </c>
      <c r="K78" s="350"/>
      <c r="L78" s="351"/>
      <c r="M78" s="40"/>
      <c r="N78" s="40"/>
      <c r="O78" s="40"/>
      <c r="P78" s="40"/>
      <c r="Q78" s="40"/>
      <c r="R78" s="40"/>
      <c r="S78" s="41"/>
      <c r="T78" s="41"/>
    </row>
    <row r="79" spans="1:20" s="12" customFormat="1" ht="13.5" customHeight="1">
      <c r="A79" s="221">
        <v>53</v>
      </c>
      <c r="B79" s="218">
        <v>2</v>
      </c>
      <c r="C79" s="294" t="s">
        <v>59</v>
      </c>
      <c r="D79" s="113">
        <v>217</v>
      </c>
      <c r="E79" s="82">
        <f>VLOOKUP(D79,'Deck Tally'!$B$5:$C$288,2,0)</f>
        <v>37.22</v>
      </c>
      <c r="F79" s="114">
        <f t="shared" si="18"/>
        <v>36.8825</v>
      </c>
      <c r="G79" s="82" t="s">
        <v>58</v>
      </c>
      <c r="H79" s="114">
        <f t="shared" si="16"/>
        <v>2095.9824999999996</v>
      </c>
      <c r="I79" s="114">
        <f t="shared" si="17"/>
        <v>19781.017500000002</v>
      </c>
      <c r="J79" s="115">
        <f t="shared" si="11"/>
        <v>170.93925994843391</v>
      </c>
      <c r="K79" s="426"/>
      <c r="L79" s="427"/>
      <c r="M79" s="40"/>
      <c r="N79" s="40"/>
      <c r="O79" s="40"/>
      <c r="P79" s="40"/>
      <c r="Q79" s="40"/>
      <c r="R79" s="40"/>
      <c r="S79" s="41"/>
      <c r="T79" s="41"/>
    </row>
    <row r="80" spans="1:20" s="44" customFormat="1" ht="13.5" customHeight="1">
      <c r="A80" s="222">
        <v>54</v>
      </c>
      <c r="B80" s="218">
        <v>2</v>
      </c>
      <c r="C80" s="294" t="s">
        <v>59</v>
      </c>
      <c r="D80" s="113">
        <v>216</v>
      </c>
      <c r="E80" s="82">
        <f>VLOOKUP(D80,'Deck Tally'!$B$5:$C$288,2,0)</f>
        <v>36.340000000000003</v>
      </c>
      <c r="F80" s="114">
        <f t="shared" si="18"/>
        <v>36.002500000000005</v>
      </c>
      <c r="G80" s="82" t="s">
        <v>58</v>
      </c>
      <c r="H80" s="114">
        <f t="shared" si="16"/>
        <v>2131.9849999999997</v>
      </c>
      <c r="I80" s="125">
        <f t="shared" si="17"/>
        <v>19745.014999999999</v>
      </c>
      <c r="J80" s="115">
        <f t="shared" si="11"/>
        <v>171.81423896485865</v>
      </c>
      <c r="K80" s="398"/>
      <c r="L80" s="399"/>
      <c r="M80" s="42"/>
      <c r="N80" s="40"/>
      <c r="O80" s="42"/>
      <c r="P80" s="42"/>
      <c r="Q80" s="42"/>
      <c r="R80" s="42"/>
      <c r="S80" s="43"/>
      <c r="T80" s="43"/>
    </row>
    <row r="81" spans="1:20" s="44" customFormat="1" ht="13.5" customHeight="1">
      <c r="A81" s="221">
        <v>55</v>
      </c>
      <c r="B81" s="218">
        <v>2</v>
      </c>
      <c r="C81" s="294" t="s">
        <v>59</v>
      </c>
      <c r="D81" s="113">
        <v>215</v>
      </c>
      <c r="E81" s="82">
        <f>VLOOKUP(D81,'Deck Tally'!$B$5:$C$288,2,0)</f>
        <v>35.99</v>
      </c>
      <c r="F81" s="114">
        <f t="shared" si="18"/>
        <v>35.652500000000003</v>
      </c>
      <c r="G81" s="82" t="s">
        <v>58</v>
      </c>
      <c r="H81" s="114">
        <f t="shared" si="16"/>
        <v>2167.6374999999998</v>
      </c>
      <c r="I81" s="114">
        <f t="shared" si="17"/>
        <v>19709.362499999999</v>
      </c>
      <c r="J81" s="115">
        <f t="shared" ref="J81" si="19">$G$8+(H81*$D$9*$G$10/1000)</f>
        <v>172.68071183155081</v>
      </c>
      <c r="K81" s="398"/>
      <c r="L81" s="399"/>
      <c r="M81" s="42"/>
      <c r="N81" s="40"/>
      <c r="O81" s="42"/>
      <c r="P81" s="42"/>
      <c r="Q81" s="42"/>
      <c r="R81" s="42"/>
      <c r="S81" s="43"/>
      <c r="T81" s="43"/>
    </row>
    <row r="82" spans="1:20" s="12" customFormat="1" ht="15" customHeight="1">
      <c r="A82" s="221">
        <v>56</v>
      </c>
      <c r="B82" s="218">
        <v>2</v>
      </c>
      <c r="C82" s="294" t="s">
        <v>59</v>
      </c>
      <c r="D82" s="113">
        <v>214</v>
      </c>
      <c r="E82" s="82">
        <f>VLOOKUP(D82,'Deck Tally'!$B$5:$C$288,2,0)</f>
        <v>36.83</v>
      </c>
      <c r="F82" s="114">
        <f t="shared" si="18"/>
        <v>36.4925</v>
      </c>
      <c r="G82" s="82" t="s">
        <v>58</v>
      </c>
      <c r="H82" s="114">
        <f t="shared" si="16"/>
        <v>2204.1299999999997</v>
      </c>
      <c r="I82" s="125">
        <f t="shared" si="17"/>
        <v>19672.87</v>
      </c>
      <c r="J82" s="115">
        <f t="shared" ref="J82:J84" si="20">$G$8+(H82*$D$9*$G$10/1000)</f>
        <v>173.5675994576012</v>
      </c>
      <c r="K82" s="398"/>
      <c r="L82" s="399"/>
      <c r="M82" s="40"/>
      <c r="P82" s="40"/>
      <c r="Q82" s="40"/>
      <c r="R82" s="40"/>
      <c r="S82" s="41"/>
      <c r="T82" s="41"/>
    </row>
    <row r="83" spans="1:20" s="12" customFormat="1" ht="16.5">
      <c r="A83" s="222">
        <v>57</v>
      </c>
      <c r="B83" s="218">
        <v>2</v>
      </c>
      <c r="C83" s="294" t="s">
        <v>59</v>
      </c>
      <c r="D83" s="113">
        <v>213</v>
      </c>
      <c r="E83" s="82">
        <f>VLOOKUP(D83,'Deck Tally'!$B$5:$C$288,2,0)</f>
        <v>36.94</v>
      </c>
      <c r="F83" s="114">
        <f>E83-($D$12/12)</f>
        <v>36.602499999999999</v>
      </c>
      <c r="G83" s="82" t="s">
        <v>58</v>
      </c>
      <c r="H83" s="114">
        <f t="shared" si="16"/>
        <v>2240.7324999999996</v>
      </c>
      <c r="I83" s="114">
        <f t="shared" si="17"/>
        <v>19636.267500000002</v>
      </c>
      <c r="J83" s="115">
        <f t="shared" si="20"/>
        <v>174.45716044499616</v>
      </c>
      <c r="K83" s="398"/>
      <c r="L83" s="399"/>
      <c r="M83" s="40"/>
      <c r="N83" s="216"/>
      <c r="O83" s="39"/>
      <c r="P83" s="40"/>
      <c r="Q83" s="40"/>
      <c r="R83" s="40"/>
      <c r="S83" s="41"/>
      <c r="T83" s="41"/>
    </row>
    <row r="84" spans="1:20" s="12" customFormat="1" ht="14.45" customHeight="1">
      <c r="A84" s="221">
        <v>58</v>
      </c>
      <c r="B84" s="218">
        <v>2</v>
      </c>
      <c r="C84" s="294" t="s">
        <v>59</v>
      </c>
      <c r="D84" s="113">
        <v>212</v>
      </c>
      <c r="E84" s="82">
        <f>VLOOKUP(D84,'Deck Tally'!$B$5:$C$288,2,0)</f>
        <v>36.85</v>
      </c>
      <c r="F84" s="114">
        <f t="shared" si="18"/>
        <v>36.512500000000003</v>
      </c>
      <c r="G84" s="82" t="s">
        <v>58</v>
      </c>
      <c r="H84" s="114">
        <f t="shared" si="16"/>
        <v>2277.2449999999994</v>
      </c>
      <c r="I84" s="125">
        <f t="shared" si="17"/>
        <v>19599.755000000001</v>
      </c>
      <c r="J84" s="115">
        <f t="shared" si="20"/>
        <v>175.34453413674561</v>
      </c>
      <c r="K84" s="398"/>
      <c r="L84" s="399"/>
      <c r="M84" s="40"/>
      <c r="N84" s="216"/>
      <c r="O84" s="39"/>
      <c r="P84" s="40"/>
      <c r="Q84" s="40"/>
      <c r="R84" s="40"/>
      <c r="S84" s="41"/>
      <c r="T84" s="41"/>
    </row>
    <row r="85" spans="1:20" s="12" customFormat="1" ht="14.1" customHeight="1">
      <c r="A85" s="221">
        <v>59</v>
      </c>
      <c r="B85" s="218">
        <v>2</v>
      </c>
      <c r="C85" s="294" t="s">
        <v>59</v>
      </c>
      <c r="D85" s="113">
        <v>211</v>
      </c>
      <c r="E85" s="82">
        <f>VLOOKUP(D85,'Deck Tally'!$B$5:$C$288,2,0)</f>
        <v>36.06</v>
      </c>
      <c r="F85" s="114">
        <f t="shared" si="18"/>
        <v>35.722500000000004</v>
      </c>
      <c r="G85" s="82" t="s">
        <v>58</v>
      </c>
      <c r="H85" s="114">
        <f t="shared" si="16"/>
        <v>2312.9674999999993</v>
      </c>
      <c r="I85" s="114">
        <f t="shared" si="17"/>
        <v>19564.032500000001</v>
      </c>
      <c r="J85" s="115">
        <f t="shared" si="11"/>
        <v>176.21270823338423</v>
      </c>
      <c r="K85" s="400"/>
      <c r="L85" s="401"/>
      <c r="M85" s="40"/>
      <c r="N85" s="40"/>
      <c r="O85" s="40"/>
      <c r="P85" s="40"/>
      <c r="Q85" s="40"/>
      <c r="R85" s="40"/>
      <c r="S85" s="41"/>
      <c r="T85" s="41"/>
    </row>
    <row r="86" spans="1:20" s="12" customFormat="1" ht="14.1" customHeight="1">
      <c r="A86" s="222">
        <v>60</v>
      </c>
      <c r="B86" s="218">
        <v>2</v>
      </c>
      <c r="C86" s="294" t="s">
        <v>59</v>
      </c>
      <c r="D86" s="113">
        <v>210</v>
      </c>
      <c r="E86" s="82">
        <f>VLOOKUP(D86,'Deck Tally'!$B$5:$C$288,2,0)</f>
        <v>36.630000000000003</v>
      </c>
      <c r="F86" s="114">
        <f t="shared" si="18"/>
        <v>36.292500000000004</v>
      </c>
      <c r="G86" s="82" t="s">
        <v>58</v>
      </c>
      <c r="H86" s="114">
        <f t="shared" si="16"/>
        <v>2349.2599999999993</v>
      </c>
      <c r="I86" s="125">
        <f t="shared" si="17"/>
        <v>19527.740000000002</v>
      </c>
      <c r="J86" s="115">
        <f t="shared" si="11"/>
        <v>177.09473520244461</v>
      </c>
      <c r="K86" s="400"/>
      <c r="L86" s="401"/>
      <c r="M86" s="40"/>
      <c r="N86" s="40"/>
      <c r="O86" s="40"/>
      <c r="P86" s="40"/>
      <c r="Q86" s="40"/>
      <c r="R86" s="40"/>
      <c r="S86" s="41"/>
      <c r="T86" s="41"/>
    </row>
    <row r="87" spans="1:20" s="12" customFormat="1" ht="15.6" customHeight="1">
      <c r="A87" s="221">
        <v>61</v>
      </c>
      <c r="B87" s="218">
        <v>2</v>
      </c>
      <c r="C87" s="294" t="s">
        <v>59</v>
      </c>
      <c r="D87" s="113">
        <v>209</v>
      </c>
      <c r="E87" s="82">
        <f>VLOOKUP(D87,'Deck Tally'!$B$5:$C$288,2,0)</f>
        <v>36.35</v>
      </c>
      <c r="F87" s="114">
        <f t="shared" si="18"/>
        <v>36.012500000000003</v>
      </c>
      <c r="G87" s="82" t="s">
        <v>58</v>
      </c>
      <c r="H87" s="114">
        <f t="shared" si="16"/>
        <v>2385.2724999999991</v>
      </c>
      <c r="I87" s="125">
        <f t="shared" si="17"/>
        <v>19491.727500000001</v>
      </c>
      <c r="J87" s="115">
        <f t="shared" si="11"/>
        <v>177.96995725171882</v>
      </c>
      <c r="K87" s="354" t="s">
        <v>276</v>
      </c>
      <c r="L87" s="355"/>
      <c r="M87" s="40"/>
      <c r="N87" s="216"/>
      <c r="O87" s="39"/>
      <c r="P87" s="40"/>
      <c r="Q87" s="40"/>
      <c r="R87" s="40"/>
      <c r="S87" s="41"/>
      <c r="T87" s="41"/>
    </row>
    <row r="88" spans="1:20" s="12" customFormat="1" ht="13.5" customHeight="1">
      <c r="A88" s="221">
        <v>62</v>
      </c>
      <c r="B88" s="218">
        <v>2</v>
      </c>
      <c r="C88" s="294" t="s">
        <v>59</v>
      </c>
      <c r="D88" s="318">
        <v>208</v>
      </c>
      <c r="E88" s="82">
        <f>VLOOKUP(D88,'Deck Tally'!$B$5:$C$288,2,0)</f>
        <v>36.78</v>
      </c>
      <c r="F88" s="114">
        <f t="shared" si="18"/>
        <v>36.442500000000003</v>
      </c>
      <c r="G88" s="82" t="s">
        <v>58</v>
      </c>
      <c r="H88" s="114">
        <f t="shared" si="16"/>
        <v>2421.7149999999992</v>
      </c>
      <c r="I88" s="125">
        <f t="shared" si="17"/>
        <v>19455.285</v>
      </c>
      <c r="J88" s="115">
        <f t="shared" si="11"/>
        <v>178.85562971352175</v>
      </c>
      <c r="K88" s="392" t="s">
        <v>277</v>
      </c>
      <c r="L88" s="393"/>
      <c r="M88" s="40"/>
      <c r="N88" s="216">
        <f>19497-L89</f>
        <v>9.2724999999991269</v>
      </c>
      <c r="O88" s="39" t="s">
        <v>62</v>
      </c>
      <c r="P88" s="40"/>
      <c r="Q88" s="40"/>
      <c r="R88" s="40"/>
      <c r="S88" s="41"/>
      <c r="T88" s="41"/>
    </row>
    <row r="89" spans="1:20" s="12" customFormat="1" ht="13.5" customHeight="1">
      <c r="A89" s="222">
        <v>63</v>
      </c>
      <c r="B89" s="218">
        <v>2</v>
      </c>
      <c r="C89" s="295" t="s">
        <v>59</v>
      </c>
      <c r="D89" s="113">
        <v>207</v>
      </c>
      <c r="E89" s="82">
        <f>VLOOKUP(D89,'Deck Tally'!$B$5:$C$288,2,0)</f>
        <v>36.64</v>
      </c>
      <c r="F89" s="114">
        <f t="shared" ref="F89:F108" si="21">E89-($D$12/12)</f>
        <v>36.302500000000002</v>
      </c>
      <c r="G89" s="82" t="s">
        <v>58</v>
      </c>
      <c r="H89" s="114">
        <f t="shared" si="16"/>
        <v>2458.017499999999</v>
      </c>
      <c r="I89" s="114">
        <f t="shared" si="17"/>
        <v>19418.982500000002</v>
      </c>
      <c r="J89" s="115">
        <f t="shared" si="11"/>
        <v>179.73789971543161</v>
      </c>
      <c r="K89" s="314" t="s">
        <v>63</v>
      </c>
      <c r="L89" s="315">
        <f>I87-4</f>
        <v>19487.727500000001</v>
      </c>
      <c r="M89" s="40"/>
      <c r="N89" s="40"/>
      <c r="O89" s="40"/>
      <c r="P89" s="40"/>
      <c r="Q89" s="40"/>
      <c r="R89" s="40"/>
      <c r="S89" s="41"/>
      <c r="T89" s="41"/>
    </row>
    <row r="90" spans="1:20" s="44" customFormat="1" ht="13.5" customHeight="1">
      <c r="A90" s="221">
        <v>64</v>
      </c>
      <c r="B90" s="218">
        <v>2</v>
      </c>
      <c r="C90" s="295" t="s">
        <v>59</v>
      </c>
      <c r="D90" s="113">
        <v>206</v>
      </c>
      <c r="E90" s="82">
        <f>VLOOKUP(D90,'Deck Tally'!$B$5:$C$288,2,0)</f>
        <v>36.700000000000003</v>
      </c>
      <c r="F90" s="114">
        <f t="shared" si="21"/>
        <v>36.362500000000004</v>
      </c>
      <c r="G90" s="82" t="s">
        <v>58</v>
      </c>
      <c r="H90" s="114">
        <f t="shared" si="16"/>
        <v>2494.3799999999992</v>
      </c>
      <c r="I90" s="125">
        <f t="shared" si="17"/>
        <v>19382.620000000003</v>
      </c>
      <c r="J90" s="115">
        <f t="shared" si="11"/>
        <v>180.62162791443848</v>
      </c>
      <c r="K90" s="398"/>
      <c r="L90" s="399"/>
      <c r="M90" s="42"/>
      <c r="N90" s="40"/>
      <c r="O90" s="42"/>
      <c r="P90" s="42"/>
      <c r="Q90" s="42"/>
      <c r="R90" s="42"/>
      <c r="S90" s="43"/>
      <c r="T90" s="43"/>
    </row>
    <row r="91" spans="1:20" s="12" customFormat="1" ht="13.5" customHeight="1">
      <c r="A91" s="221">
        <v>65</v>
      </c>
      <c r="B91" s="218">
        <v>2</v>
      </c>
      <c r="C91" s="295" t="s">
        <v>59</v>
      </c>
      <c r="D91" s="113">
        <v>205</v>
      </c>
      <c r="E91" s="82">
        <f>VLOOKUP(D91,'Deck Tally'!$B$5:$C$288,2,0)</f>
        <v>37.14</v>
      </c>
      <c r="F91" s="114">
        <f t="shared" si="21"/>
        <v>36.802500000000002</v>
      </c>
      <c r="G91" s="82" t="s">
        <v>58</v>
      </c>
      <c r="H91" s="114">
        <f t="shared" si="16"/>
        <v>2531.182499999999</v>
      </c>
      <c r="I91" s="114">
        <f t="shared" si="17"/>
        <v>19345.817500000001</v>
      </c>
      <c r="J91" s="115">
        <f t="shared" si="11"/>
        <v>181.51604955882351</v>
      </c>
      <c r="K91" s="398"/>
      <c r="L91" s="399"/>
      <c r="M91" s="40"/>
      <c r="N91" s="40"/>
      <c r="O91" s="40"/>
      <c r="P91" s="40"/>
      <c r="Q91" s="40"/>
      <c r="R91" s="40"/>
      <c r="S91" s="41"/>
      <c r="T91" s="41"/>
    </row>
    <row r="92" spans="1:20" s="12" customFormat="1" ht="13.5" customHeight="1">
      <c r="A92" s="222">
        <v>66</v>
      </c>
      <c r="B92" s="218">
        <v>2</v>
      </c>
      <c r="C92" s="295" t="s">
        <v>59</v>
      </c>
      <c r="D92" s="113">
        <v>204</v>
      </c>
      <c r="E92" s="82">
        <f>VLOOKUP(D92,'Deck Tally'!$B$5:$C$288,2,0)</f>
        <v>37.06</v>
      </c>
      <c r="F92" s="114">
        <f t="shared" si="21"/>
        <v>36.722500000000004</v>
      </c>
      <c r="G92" s="82" t="s">
        <v>58</v>
      </c>
      <c r="H92" s="114">
        <f t="shared" si="16"/>
        <v>2567.9049999999988</v>
      </c>
      <c r="I92" s="125">
        <f t="shared" si="17"/>
        <v>19309.095000000001</v>
      </c>
      <c r="J92" s="115">
        <f t="shared" ref="J92:J157" si="22">$G$8+(H92*$D$9*$G$10/1000)</f>
        <v>182.40852694041251</v>
      </c>
      <c r="K92" s="398"/>
      <c r="L92" s="399"/>
      <c r="M92" s="40"/>
      <c r="N92" s="40"/>
      <c r="O92" s="40"/>
      <c r="P92" s="40"/>
      <c r="Q92" s="40"/>
      <c r="R92" s="40"/>
      <c r="S92" s="41"/>
      <c r="T92" s="41"/>
    </row>
    <row r="93" spans="1:20" s="12" customFormat="1" ht="13.5" customHeight="1">
      <c r="A93" s="221">
        <v>67</v>
      </c>
      <c r="B93" s="218">
        <v>2</v>
      </c>
      <c r="C93" s="295" t="s">
        <v>59</v>
      </c>
      <c r="D93" s="113">
        <v>203</v>
      </c>
      <c r="E93" s="82">
        <f>VLOOKUP(D93,'Deck Tally'!$B$5:$C$288,2,0)</f>
        <v>35.99</v>
      </c>
      <c r="F93" s="114">
        <f t="shared" si="21"/>
        <v>35.652500000000003</v>
      </c>
      <c r="G93" s="82" t="s">
        <v>58</v>
      </c>
      <c r="H93" s="114">
        <f t="shared" si="16"/>
        <v>2603.557499999999</v>
      </c>
      <c r="I93" s="114">
        <f t="shared" si="17"/>
        <v>19273.442500000001</v>
      </c>
      <c r="J93" s="115">
        <f t="shared" si="22"/>
        <v>183.27499980710462</v>
      </c>
      <c r="K93" s="400"/>
      <c r="L93" s="401"/>
      <c r="M93" s="40"/>
      <c r="N93" s="40"/>
      <c r="O93" s="40"/>
      <c r="P93" s="40"/>
      <c r="Q93" s="40"/>
      <c r="R93" s="40"/>
      <c r="S93" s="41"/>
      <c r="T93" s="41"/>
    </row>
    <row r="94" spans="1:20" s="12" customFormat="1" ht="15" customHeight="1">
      <c r="A94" s="221">
        <v>68</v>
      </c>
      <c r="B94" s="218">
        <v>2</v>
      </c>
      <c r="C94" s="295" t="s">
        <v>59</v>
      </c>
      <c r="D94" s="113">
        <v>202</v>
      </c>
      <c r="E94" s="82">
        <f>VLOOKUP(D94,'Deck Tally'!$B$5:$C$288,2,0)</f>
        <v>37.619999999999997</v>
      </c>
      <c r="F94" s="114">
        <f t="shared" si="21"/>
        <v>37.282499999999999</v>
      </c>
      <c r="G94" s="82" t="s">
        <v>58</v>
      </c>
      <c r="H94" s="114">
        <f t="shared" ref="H94:H142" si="23">IF(G94="IN",H93+F94,H93)</f>
        <v>2640.8399999999988</v>
      </c>
      <c r="I94" s="114">
        <f t="shared" ref="I94:I142" si="24">IF(H94="","",$K$8-H94)</f>
        <v>19236.16</v>
      </c>
      <c r="J94" s="115">
        <f t="shared" si="22"/>
        <v>184.18108702826584</v>
      </c>
      <c r="K94" s="400"/>
      <c r="L94" s="401"/>
      <c r="M94" s="40"/>
      <c r="N94" s="216"/>
      <c r="O94" s="39"/>
      <c r="P94" s="40"/>
      <c r="Q94" s="40"/>
      <c r="R94" s="40"/>
      <c r="S94" s="41"/>
      <c r="T94" s="41"/>
    </row>
    <row r="95" spans="1:20" s="12" customFormat="1" ht="15" customHeight="1">
      <c r="A95" s="222">
        <v>69</v>
      </c>
      <c r="B95" s="218">
        <v>2</v>
      </c>
      <c r="C95" s="295" t="s">
        <v>59</v>
      </c>
      <c r="D95" s="113">
        <v>201</v>
      </c>
      <c r="E95" s="82">
        <f>VLOOKUP(D95,'Deck Tally'!$B$5:$C$288,2,0)</f>
        <v>37.200000000000003</v>
      </c>
      <c r="F95" s="82">
        <f t="shared" si="21"/>
        <v>36.862500000000004</v>
      </c>
      <c r="G95" s="82" t="s">
        <v>58</v>
      </c>
      <c r="H95" s="114">
        <f t="shared" si="23"/>
        <v>2677.702499999999</v>
      </c>
      <c r="I95" s="114">
        <f t="shared" si="24"/>
        <v>19199.297500000001</v>
      </c>
      <c r="J95" s="115">
        <f t="shared" si="22"/>
        <v>185.07696686974788</v>
      </c>
      <c r="K95" s="400"/>
      <c r="L95" s="401"/>
      <c r="M95" s="40"/>
      <c r="N95" s="40"/>
      <c r="O95" s="40"/>
      <c r="P95" s="40"/>
      <c r="Q95" s="40"/>
      <c r="R95" s="40"/>
      <c r="S95" s="41"/>
      <c r="T95" s="41"/>
    </row>
    <row r="96" spans="1:20" s="12" customFormat="1" ht="15" customHeight="1">
      <c r="A96" s="221">
        <v>70</v>
      </c>
      <c r="B96" s="218">
        <v>2</v>
      </c>
      <c r="C96" s="295" t="s">
        <v>59</v>
      </c>
      <c r="D96" s="113">
        <v>200</v>
      </c>
      <c r="E96" s="82">
        <f>VLOOKUP(D96,'Deck Tally'!$B$5:$C$288,2,0)</f>
        <v>37.020000000000003</v>
      </c>
      <c r="F96" s="82">
        <f t="shared" si="21"/>
        <v>36.682500000000005</v>
      </c>
      <c r="G96" s="82" t="s">
        <v>58</v>
      </c>
      <c r="H96" s="114">
        <f t="shared" si="23"/>
        <v>2714.3849999999989</v>
      </c>
      <c r="I96" s="114">
        <f t="shared" si="24"/>
        <v>19162.615000000002</v>
      </c>
      <c r="J96" s="115">
        <f t="shared" si="22"/>
        <v>185.96847211993884</v>
      </c>
      <c r="K96" s="400"/>
      <c r="L96" s="401"/>
      <c r="M96" s="40"/>
      <c r="N96" s="40"/>
      <c r="O96" s="40"/>
      <c r="P96" s="40"/>
      <c r="Q96" s="40"/>
      <c r="R96" s="40"/>
      <c r="S96" s="41"/>
      <c r="T96" s="41"/>
    </row>
    <row r="97" spans="1:20" s="12" customFormat="1" ht="15" customHeight="1">
      <c r="A97" s="221">
        <v>71</v>
      </c>
      <c r="B97" s="218">
        <v>2</v>
      </c>
      <c r="C97" s="295" t="s">
        <v>59</v>
      </c>
      <c r="D97" s="113">
        <v>199</v>
      </c>
      <c r="E97" s="82">
        <f>VLOOKUP(D97,'Deck Tally'!$B$5:$C$288,2,0)</f>
        <v>36.54</v>
      </c>
      <c r="F97" s="114">
        <f t="shared" si="21"/>
        <v>36.202500000000001</v>
      </c>
      <c r="G97" s="82" t="s">
        <v>58</v>
      </c>
      <c r="H97" s="114">
        <f t="shared" si="23"/>
        <v>2750.5874999999987</v>
      </c>
      <c r="I97" s="114">
        <f t="shared" si="24"/>
        <v>19126.412500000002</v>
      </c>
      <c r="J97" s="115">
        <f t="shared" si="22"/>
        <v>186.84831179335367</v>
      </c>
      <c r="K97" s="400"/>
      <c r="L97" s="401"/>
      <c r="M97" s="40"/>
      <c r="N97" s="40"/>
      <c r="O97" s="40"/>
      <c r="P97" s="40"/>
      <c r="Q97" s="40"/>
      <c r="R97" s="40"/>
      <c r="S97" s="41"/>
      <c r="T97" s="41"/>
    </row>
    <row r="98" spans="1:20" s="12" customFormat="1" ht="13.5" customHeight="1">
      <c r="A98" s="222">
        <v>72</v>
      </c>
      <c r="B98" s="218">
        <v>2</v>
      </c>
      <c r="C98" s="295" t="s">
        <v>59</v>
      </c>
      <c r="D98" s="113">
        <v>198</v>
      </c>
      <c r="E98" s="82">
        <f>VLOOKUP(D98,'Deck Tally'!$B$5:$C$288,2,0)</f>
        <v>36.31</v>
      </c>
      <c r="F98" s="114">
        <f t="shared" si="21"/>
        <v>35.972500000000004</v>
      </c>
      <c r="G98" s="82" t="s">
        <v>58</v>
      </c>
      <c r="H98" s="114">
        <f t="shared" si="23"/>
        <v>2786.5599999999986</v>
      </c>
      <c r="I98" s="114">
        <f t="shared" si="24"/>
        <v>19090.440000000002</v>
      </c>
      <c r="J98" s="115">
        <f t="shared" si="22"/>
        <v>187.7225617112299</v>
      </c>
      <c r="K98" s="350"/>
      <c r="L98" s="351"/>
      <c r="M98" s="40"/>
      <c r="N98" s="40"/>
      <c r="O98" s="40"/>
      <c r="P98" s="40"/>
      <c r="Q98" s="40"/>
      <c r="R98" s="40"/>
      <c r="S98" s="41"/>
      <c r="T98" s="41"/>
    </row>
    <row r="99" spans="1:20" s="12" customFormat="1" ht="13.5" customHeight="1">
      <c r="A99" s="221">
        <v>73</v>
      </c>
      <c r="B99" s="218">
        <v>2</v>
      </c>
      <c r="C99" s="295" t="s">
        <v>59</v>
      </c>
      <c r="D99" s="113">
        <v>197</v>
      </c>
      <c r="E99" s="82">
        <f>VLOOKUP(D99,'Deck Tally'!$B$5:$C$288,2,0)</f>
        <v>36.6</v>
      </c>
      <c r="F99" s="114">
        <f t="shared" si="21"/>
        <v>36.262500000000003</v>
      </c>
      <c r="G99" s="82" t="s">
        <v>58</v>
      </c>
      <c r="H99" s="114">
        <f t="shared" si="23"/>
        <v>2822.8224999999984</v>
      </c>
      <c r="I99" s="114">
        <f t="shared" si="24"/>
        <v>19054.177500000002</v>
      </c>
      <c r="J99" s="115">
        <f t="shared" si="22"/>
        <v>188.60385958174174</v>
      </c>
      <c r="K99" s="426"/>
      <c r="L99" s="427"/>
      <c r="M99" s="40"/>
      <c r="N99" s="40"/>
      <c r="O99" s="40"/>
      <c r="P99" s="40"/>
      <c r="Q99" s="40"/>
      <c r="R99" s="40"/>
      <c r="S99" s="41"/>
      <c r="T99" s="41"/>
    </row>
    <row r="100" spans="1:20" s="12" customFormat="1" ht="13.5" customHeight="1">
      <c r="A100" s="221">
        <v>74</v>
      </c>
      <c r="B100" s="218">
        <v>2</v>
      </c>
      <c r="C100" s="295" t="s">
        <v>59</v>
      </c>
      <c r="D100" s="113">
        <v>196</v>
      </c>
      <c r="E100" s="82">
        <f>VLOOKUP(D100,'Deck Tally'!$B$5:$C$288,2,0)</f>
        <v>36.479999999999997</v>
      </c>
      <c r="F100" s="114">
        <f t="shared" si="21"/>
        <v>36.142499999999998</v>
      </c>
      <c r="G100" s="82" t="s">
        <v>58</v>
      </c>
      <c r="H100" s="114">
        <f t="shared" si="23"/>
        <v>2858.9649999999983</v>
      </c>
      <c r="I100" s="114">
        <f t="shared" si="24"/>
        <v>19018.035000000003</v>
      </c>
      <c r="J100" s="115">
        <f t="shared" si="22"/>
        <v>189.48224105805954</v>
      </c>
      <c r="K100" s="428"/>
      <c r="L100" s="429"/>
      <c r="M100" s="40"/>
      <c r="N100" s="40"/>
      <c r="O100" s="40"/>
      <c r="P100" s="40"/>
      <c r="Q100" s="40"/>
      <c r="R100" s="40"/>
      <c r="S100" s="41"/>
      <c r="T100" s="41"/>
    </row>
    <row r="101" spans="1:20" s="44" customFormat="1" ht="13.5" customHeight="1">
      <c r="A101" s="222">
        <v>75</v>
      </c>
      <c r="B101" s="218">
        <v>2</v>
      </c>
      <c r="C101" s="295" t="s">
        <v>59</v>
      </c>
      <c r="D101" s="113">
        <v>195</v>
      </c>
      <c r="E101" s="82">
        <f>VLOOKUP(D101,'Deck Tally'!$B$5:$C$288,2,0)</f>
        <v>36.47</v>
      </c>
      <c r="F101" s="114">
        <f t="shared" si="21"/>
        <v>36.1325</v>
      </c>
      <c r="G101" s="82" t="s">
        <v>58</v>
      </c>
      <c r="H101" s="114">
        <f t="shared" si="23"/>
        <v>2895.0974999999985</v>
      </c>
      <c r="I101" s="114">
        <f t="shared" si="24"/>
        <v>18981.9025</v>
      </c>
      <c r="J101" s="115">
        <f t="shared" si="22"/>
        <v>190.36037950152786</v>
      </c>
      <c r="K101" s="398"/>
      <c r="L101" s="399"/>
      <c r="M101" s="42"/>
      <c r="N101" s="40"/>
      <c r="O101" s="42"/>
      <c r="P101" s="42"/>
      <c r="Q101" s="42"/>
      <c r="R101" s="42"/>
      <c r="S101" s="43"/>
      <c r="T101" s="43"/>
    </row>
    <row r="102" spans="1:20" s="12" customFormat="1" ht="13.5" customHeight="1">
      <c r="A102" s="221">
        <v>76</v>
      </c>
      <c r="B102" s="218">
        <v>2</v>
      </c>
      <c r="C102" s="295" t="s">
        <v>59</v>
      </c>
      <c r="D102" s="113">
        <v>194</v>
      </c>
      <c r="E102" s="82">
        <f>VLOOKUP(D102,'Deck Tally'!$B$5:$C$288,2,0)</f>
        <v>36.479999999999997</v>
      </c>
      <c r="F102" s="114">
        <f t="shared" si="21"/>
        <v>36.142499999999998</v>
      </c>
      <c r="G102" s="82" t="s">
        <v>58</v>
      </c>
      <c r="H102" s="114">
        <f t="shared" si="23"/>
        <v>2931.2399999999984</v>
      </c>
      <c r="I102" s="114">
        <f t="shared" si="24"/>
        <v>18945.760000000002</v>
      </c>
      <c r="J102" s="115">
        <f t="shared" si="22"/>
        <v>191.23876097784563</v>
      </c>
      <c r="K102" s="350"/>
      <c r="L102" s="351"/>
      <c r="M102" s="40"/>
      <c r="N102" s="40"/>
      <c r="O102" s="40"/>
      <c r="P102" s="40"/>
      <c r="Q102" s="40"/>
      <c r="R102" s="40"/>
      <c r="S102" s="41"/>
      <c r="T102" s="41"/>
    </row>
    <row r="103" spans="1:20" s="12" customFormat="1" ht="13.5" customHeight="1">
      <c r="A103" s="221">
        <v>77</v>
      </c>
      <c r="B103" s="218">
        <v>2</v>
      </c>
      <c r="C103" s="295" t="s">
        <v>59</v>
      </c>
      <c r="D103" s="113">
        <v>193</v>
      </c>
      <c r="E103" s="82">
        <f>VLOOKUP(D103,'Deck Tally'!$B$5:$C$288,2,0)</f>
        <v>36.840000000000003</v>
      </c>
      <c r="F103" s="114">
        <f t="shared" si="21"/>
        <v>36.502500000000005</v>
      </c>
      <c r="G103" s="82" t="s">
        <v>58</v>
      </c>
      <c r="H103" s="114">
        <f t="shared" si="23"/>
        <v>2967.7424999999985</v>
      </c>
      <c r="I103" s="125">
        <f t="shared" si="24"/>
        <v>18909.2575</v>
      </c>
      <c r="J103" s="115">
        <f t="shared" si="22"/>
        <v>192.12589163674556</v>
      </c>
      <c r="K103" s="350"/>
      <c r="L103" s="351"/>
      <c r="M103" s="40"/>
      <c r="N103" s="40"/>
      <c r="O103" s="40"/>
      <c r="P103" s="40"/>
      <c r="Q103" s="40"/>
      <c r="R103" s="40"/>
      <c r="S103" s="41"/>
      <c r="T103" s="41"/>
    </row>
    <row r="104" spans="1:20" s="12" customFormat="1" ht="13.5" customHeight="1">
      <c r="A104" s="222">
        <v>78</v>
      </c>
      <c r="B104" s="218">
        <v>2</v>
      </c>
      <c r="C104" s="295" t="s">
        <v>59</v>
      </c>
      <c r="D104" s="113">
        <v>192</v>
      </c>
      <c r="E104" s="82">
        <f>VLOOKUP(D104,'Deck Tally'!$B$5:$C$288,2,0)</f>
        <v>36.68</v>
      </c>
      <c r="F104" s="114">
        <f t="shared" si="21"/>
        <v>36.342500000000001</v>
      </c>
      <c r="G104" s="82" t="s">
        <v>58</v>
      </c>
      <c r="H104" s="114">
        <f t="shared" si="23"/>
        <v>3004.0849999999987</v>
      </c>
      <c r="I104" s="114">
        <f t="shared" si="24"/>
        <v>18872.915000000001</v>
      </c>
      <c r="J104" s="115">
        <f t="shared" si="22"/>
        <v>193.00913377005344</v>
      </c>
      <c r="K104" s="350"/>
      <c r="L104" s="351"/>
      <c r="M104" s="40"/>
      <c r="N104" s="40"/>
      <c r="O104" s="40"/>
      <c r="P104" s="40"/>
      <c r="Q104" s="40"/>
      <c r="R104" s="40"/>
      <c r="S104" s="41"/>
      <c r="T104" s="41"/>
    </row>
    <row r="105" spans="1:20" s="12" customFormat="1" ht="13.5" customHeight="1">
      <c r="A105" s="221">
        <v>79</v>
      </c>
      <c r="B105" s="218">
        <v>2</v>
      </c>
      <c r="C105" s="295" t="s">
        <v>59</v>
      </c>
      <c r="D105" s="113">
        <v>191</v>
      </c>
      <c r="E105" s="82">
        <f>VLOOKUP(D105,'Deck Tally'!$B$5:$C$288,2,0)</f>
        <v>36.94</v>
      </c>
      <c r="F105" s="114">
        <f t="shared" si="21"/>
        <v>36.602499999999999</v>
      </c>
      <c r="G105" s="82" t="s">
        <v>58</v>
      </c>
      <c r="H105" s="114">
        <f t="shared" si="23"/>
        <v>3040.6874999999986</v>
      </c>
      <c r="I105" s="114">
        <f t="shared" si="24"/>
        <v>18836.3125</v>
      </c>
      <c r="J105" s="115">
        <f t="shared" si="22"/>
        <v>193.8986947574484</v>
      </c>
      <c r="K105" s="350"/>
      <c r="L105" s="351"/>
      <c r="M105" s="40"/>
      <c r="N105" s="40"/>
      <c r="O105" s="40"/>
      <c r="P105" s="40"/>
      <c r="Q105" s="40"/>
      <c r="R105" s="40"/>
      <c r="S105" s="41"/>
      <c r="T105" s="41"/>
    </row>
    <row r="106" spans="1:20" s="12" customFormat="1" ht="13.5" customHeight="1">
      <c r="A106" s="221">
        <v>80</v>
      </c>
      <c r="B106" s="218">
        <v>2</v>
      </c>
      <c r="C106" s="295" t="s">
        <v>59</v>
      </c>
      <c r="D106" s="113">
        <v>190</v>
      </c>
      <c r="E106" s="82">
        <f>VLOOKUP(D106,'Deck Tally'!$B$5:$C$288,2,0)</f>
        <v>36.659999999999997</v>
      </c>
      <c r="F106" s="114">
        <f t="shared" si="21"/>
        <v>36.322499999999998</v>
      </c>
      <c r="G106" s="82" t="s">
        <v>58</v>
      </c>
      <c r="H106" s="114">
        <f t="shared" si="23"/>
        <v>3077.0099999999989</v>
      </c>
      <c r="I106" s="114">
        <f t="shared" si="24"/>
        <v>18799.990000000002</v>
      </c>
      <c r="J106" s="115">
        <f t="shared" si="22"/>
        <v>194.78145082505725</v>
      </c>
      <c r="K106" s="426"/>
      <c r="L106" s="427"/>
      <c r="M106" s="40"/>
      <c r="N106" s="40"/>
      <c r="O106" s="40"/>
      <c r="P106" s="40"/>
      <c r="Q106" s="40"/>
      <c r="R106" s="40"/>
      <c r="S106" s="41"/>
      <c r="T106" s="41"/>
    </row>
    <row r="107" spans="1:20" s="12" customFormat="1" ht="13.5" customHeight="1">
      <c r="A107" s="222">
        <v>81</v>
      </c>
      <c r="B107" s="218">
        <v>2</v>
      </c>
      <c r="C107" s="295" t="s">
        <v>59</v>
      </c>
      <c r="D107" s="113">
        <v>189</v>
      </c>
      <c r="E107" s="82">
        <f>VLOOKUP(D107,'Deck Tally'!$B$5:$C$288,2,0)</f>
        <v>36.56</v>
      </c>
      <c r="F107" s="114">
        <f t="shared" si="21"/>
        <v>36.222500000000004</v>
      </c>
      <c r="G107" s="82" t="s">
        <v>58</v>
      </c>
      <c r="H107" s="114">
        <f t="shared" si="23"/>
        <v>3113.2324999999987</v>
      </c>
      <c r="I107" s="114">
        <f t="shared" si="24"/>
        <v>18763.767500000002</v>
      </c>
      <c r="J107" s="115">
        <f t="shared" si="22"/>
        <v>195.66177656417108</v>
      </c>
      <c r="K107" s="428"/>
      <c r="L107" s="429"/>
      <c r="M107" s="40"/>
      <c r="N107" s="40"/>
      <c r="O107" s="40"/>
      <c r="P107" s="40"/>
      <c r="Q107" s="40"/>
      <c r="R107" s="40"/>
      <c r="S107" s="41"/>
      <c r="T107" s="41"/>
    </row>
    <row r="108" spans="1:20" s="44" customFormat="1" ht="13.5" customHeight="1">
      <c r="A108" s="221">
        <v>82</v>
      </c>
      <c r="B108" s="218">
        <v>2</v>
      </c>
      <c r="C108" s="295" t="s">
        <v>59</v>
      </c>
      <c r="D108" s="113">
        <v>188</v>
      </c>
      <c r="E108" s="82">
        <f>VLOOKUP(D108,'Deck Tally'!$B$5:$C$288,2,0)</f>
        <v>36.380000000000003</v>
      </c>
      <c r="F108" s="114">
        <f t="shared" si="21"/>
        <v>36.042500000000004</v>
      </c>
      <c r="G108" s="82" t="s">
        <v>58</v>
      </c>
      <c r="H108" s="114">
        <f t="shared" si="23"/>
        <v>3149.2749999999987</v>
      </c>
      <c r="I108" s="114">
        <f t="shared" si="24"/>
        <v>18727.725000000002</v>
      </c>
      <c r="J108" s="115">
        <f t="shared" si="22"/>
        <v>196.53772771199385</v>
      </c>
      <c r="K108" s="398"/>
      <c r="L108" s="399"/>
      <c r="M108" s="42"/>
      <c r="N108" s="40"/>
      <c r="O108" s="42"/>
      <c r="P108" s="42"/>
      <c r="Q108" s="42"/>
      <c r="R108" s="42"/>
      <c r="S108" s="43"/>
      <c r="T108" s="43"/>
    </row>
    <row r="109" spans="1:20" s="12" customFormat="1" ht="13.5" customHeight="1">
      <c r="A109" s="221">
        <v>83</v>
      </c>
      <c r="B109" s="218">
        <v>2</v>
      </c>
      <c r="C109" s="294" t="s">
        <v>59</v>
      </c>
      <c r="D109" s="113">
        <v>187</v>
      </c>
      <c r="E109" s="82">
        <f>VLOOKUP(D109,'Deck Tally'!$B$5:$C$288,2,0)</f>
        <v>37.44</v>
      </c>
      <c r="F109" s="114">
        <f t="shared" si="18"/>
        <v>37.102499999999999</v>
      </c>
      <c r="G109" s="82" t="s">
        <v>58</v>
      </c>
      <c r="H109" s="114">
        <f t="shared" si="23"/>
        <v>3186.3774999999987</v>
      </c>
      <c r="I109" s="114">
        <f t="shared" si="24"/>
        <v>18690.622500000001</v>
      </c>
      <c r="J109" s="115">
        <f t="shared" si="22"/>
        <v>197.43944034186399</v>
      </c>
      <c r="K109" s="426"/>
      <c r="L109" s="427"/>
      <c r="M109" s="40"/>
      <c r="N109" s="40"/>
      <c r="O109" s="40"/>
      <c r="P109" s="40"/>
      <c r="Q109" s="40"/>
      <c r="R109" s="40"/>
      <c r="S109" s="41"/>
      <c r="T109" s="41"/>
    </row>
    <row r="110" spans="1:20" s="12" customFormat="1" ht="13.5" customHeight="1">
      <c r="A110" s="222">
        <v>84</v>
      </c>
      <c r="B110" s="218">
        <v>2</v>
      </c>
      <c r="C110" s="295" t="s">
        <v>59</v>
      </c>
      <c r="D110" s="113">
        <v>186</v>
      </c>
      <c r="E110" s="82">
        <f>VLOOKUP(D110,'Deck Tally'!$B$5:$C$288,2,0)</f>
        <v>36.79</v>
      </c>
      <c r="F110" s="114">
        <f>E110-($D$12/12)</f>
        <v>36.452500000000001</v>
      </c>
      <c r="G110" s="82" t="s">
        <v>58</v>
      </c>
      <c r="H110" s="114">
        <f t="shared" si="23"/>
        <v>3222.8299999999986</v>
      </c>
      <c r="I110" s="114">
        <f t="shared" si="24"/>
        <v>18654.170000000002</v>
      </c>
      <c r="J110" s="115">
        <f t="shared" si="22"/>
        <v>198.32535583651639</v>
      </c>
      <c r="K110" s="398"/>
      <c r="L110" s="399"/>
      <c r="M110" s="40"/>
      <c r="N110" s="40"/>
      <c r="O110" s="40"/>
      <c r="P110" s="40"/>
      <c r="Q110" s="40"/>
      <c r="R110" s="40"/>
      <c r="S110" s="41"/>
      <c r="T110" s="41"/>
    </row>
    <row r="111" spans="1:20" s="12" customFormat="1" ht="13.5" customHeight="1">
      <c r="A111" s="221">
        <v>85</v>
      </c>
      <c r="B111" s="218">
        <v>2</v>
      </c>
      <c r="C111" s="295" t="s">
        <v>59</v>
      </c>
      <c r="D111" s="113">
        <v>185</v>
      </c>
      <c r="E111" s="82">
        <f>VLOOKUP(D111,'Deck Tally'!$B$5:$C$288,2,0)</f>
        <v>36.840000000000003</v>
      </c>
      <c r="F111" s="114">
        <f>E111-($D$12/12)</f>
        <v>36.502500000000005</v>
      </c>
      <c r="G111" s="82" t="s">
        <v>58</v>
      </c>
      <c r="H111" s="114">
        <f t="shared" si="23"/>
        <v>3259.3324999999986</v>
      </c>
      <c r="I111" s="114">
        <f t="shared" si="24"/>
        <v>18617.667500000003</v>
      </c>
      <c r="J111" s="115">
        <f t="shared" ref="J111:J114" si="25">$G$8+(H111*$D$9*$G$10/1000)</f>
        <v>199.2124864954163</v>
      </c>
      <c r="K111" s="398"/>
      <c r="L111" s="399"/>
      <c r="M111" s="40"/>
      <c r="N111" s="40"/>
      <c r="O111" s="40"/>
      <c r="P111" s="40"/>
      <c r="Q111" s="40"/>
      <c r="R111" s="40"/>
      <c r="S111" s="41"/>
      <c r="T111" s="41"/>
    </row>
    <row r="112" spans="1:20" s="44" customFormat="1" ht="14.1" customHeight="1">
      <c r="A112" s="221">
        <v>86</v>
      </c>
      <c r="B112" s="218">
        <v>2</v>
      </c>
      <c r="C112" s="295" t="s">
        <v>59</v>
      </c>
      <c r="D112" s="113">
        <v>184</v>
      </c>
      <c r="E112" s="82">
        <f>VLOOKUP(D112,'Deck Tally'!$B$5:$C$288,2,0)</f>
        <v>36.31</v>
      </c>
      <c r="F112" s="114">
        <f t="shared" si="18"/>
        <v>35.972500000000004</v>
      </c>
      <c r="G112" s="82" t="s">
        <v>58</v>
      </c>
      <c r="H112" s="114">
        <f t="shared" si="23"/>
        <v>3295.3049999999985</v>
      </c>
      <c r="I112" s="114">
        <f t="shared" si="24"/>
        <v>18581.695</v>
      </c>
      <c r="J112" s="115">
        <f t="shared" si="25"/>
        <v>200.08673641329256</v>
      </c>
      <c r="K112" s="398"/>
      <c r="L112" s="399"/>
      <c r="M112" s="42"/>
      <c r="P112" s="42"/>
      <c r="Q112" s="42"/>
      <c r="R112" s="42"/>
      <c r="S112" s="43"/>
      <c r="T112" s="43"/>
    </row>
    <row r="113" spans="1:20" s="12" customFormat="1" ht="13.5" customHeight="1">
      <c r="A113" s="222">
        <v>87</v>
      </c>
      <c r="B113" s="218">
        <v>2</v>
      </c>
      <c r="C113" s="295" t="s">
        <v>59</v>
      </c>
      <c r="D113" s="113">
        <v>183</v>
      </c>
      <c r="E113" s="82">
        <f>VLOOKUP(D113,'Deck Tally'!$B$5:$C$288,2,0)</f>
        <v>37.35</v>
      </c>
      <c r="F113" s="114">
        <f t="shared" ref="F113:F152" si="26">E113-($D$12/12)</f>
        <v>37.012500000000003</v>
      </c>
      <c r="G113" s="82" t="s">
        <v>58</v>
      </c>
      <c r="H113" s="114">
        <f t="shared" si="23"/>
        <v>3332.3174999999983</v>
      </c>
      <c r="I113" s="114">
        <f t="shared" si="24"/>
        <v>18544.682500000003</v>
      </c>
      <c r="J113" s="115">
        <f t="shared" si="25"/>
        <v>200.98626174751715</v>
      </c>
      <c r="K113" s="400"/>
      <c r="L113" s="401"/>
      <c r="M113" s="40"/>
      <c r="N113" s="216"/>
      <c r="O113" s="39"/>
      <c r="P113" s="40"/>
      <c r="Q113" s="40"/>
      <c r="R113" s="40"/>
      <c r="S113" s="41"/>
      <c r="T113" s="41"/>
    </row>
    <row r="114" spans="1:20" s="12" customFormat="1" ht="13.5" customHeight="1">
      <c r="A114" s="221">
        <v>88</v>
      </c>
      <c r="B114" s="218">
        <v>2</v>
      </c>
      <c r="C114" s="295" t="s">
        <v>59</v>
      </c>
      <c r="D114" s="113">
        <v>182</v>
      </c>
      <c r="E114" s="82">
        <f>VLOOKUP(D114,'Deck Tally'!$B$5:$C$288,2,0)</f>
        <v>36.72</v>
      </c>
      <c r="F114" s="114">
        <f t="shared" si="26"/>
        <v>36.3825</v>
      </c>
      <c r="G114" s="82" t="s">
        <v>58</v>
      </c>
      <c r="H114" s="114">
        <f t="shared" si="23"/>
        <v>3368.6999999999985</v>
      </c>
      <c r="I114" s="114">
        <f t="shared" si="24"/>
        <v>18508.300000000003</v>
      </c>
      <c r="J114" s="115">
        <f t="shared" si="25"/>
        <v>201.87047601222304</v>
      </c>
      <c r="K114" s="400"/>
      <c r="L114" s="401"/>
      <c r="M114" s="40"/>
      <c r="N114" s="40"/>
      <c r="O114" s="40"/>
      <c r="P114" s="40"/>
      <c r="Q114" s="40"/>
      <c r="R114" s="40"/>
      <c r="S114" s="41"/>
      <c r="T114" s="41"/>
    </row>
    <row r="115" spans="1:20" s="12" customFormat="1" ht="13.5" customHeight="1">
      <c r="A115" s="221">
        <v>89</v>
      </c>
      <c r="B115" s="218">
        <v>2</v>
      </c>
      <c r="C115" s="295" t="s">
        <v>59</v>
      </c>
      <c r="D115" s="113">
        <v>181</v>
      </c>
      <c r="E115" s="82">
        <f>VLOOKUP(D115,'Deck Tally'!$B$5:$C$288,2,0)</f>
        <v>36.299999999999997</v>
      </c>
      <c r="F115" s="114">
        <f t="shared" si="26"/>
        <v>35.962499999999999</v>
      </c>
      <c r="G115" s="82" t="s">
        <v>58</v>
      </c>
      <c r="H115" s="114">
        <f t="shared" si="23"/>
        <v>3404.6624999999985</v>
      </c>
      <c r="I115" s="114">
        <f t="shared" si="24"/>
        <v>18472.337500000001</v>
      </c>
      <c r="J115" s="115">
        <f t="shared" si="22"/>
        <v>202.74448289724978</v>
      </c>
      <c r="K115" s="426"/>
      <c r="L115" s="427"/>
      <c r="M115" s="40"/>
      <c r="N115" s="40"/>
      <c r="O115" s="40"/>
      <c r="P115" s="40"/>
      <c r="Q115" s="40"/>
      <c r="R115" s="40"/>
      <c r="S115" s="41"/>
      <c r="T115" s="41"/>
    </row>
    <row r="116" spans="1:20" s="12" customFormat="1" ht="14.45" customHeight="1">
      <c r="A116" s="222">
        <v>90</v>
      </c>
      <c r="B116" s="218">
        <v>2</v>
      </c>
      <c r="C116" s="295" t="s">
        <v>59</v>
      </c>
      <c r="D116" s="113">
        <v>180</v>
      </c>
      <c r="E116" s="82">
        <f>VLOOKUP(D116,'Deck Tally'!$B$5:$C$288,2,0)</f>
        <v>36.659999999999997</v>
      </c>
      <c r="F116" s="114">
        <f t="shared" si="26"/>
        <v>36.322499999999998</v>
      </c>
      <c r="G116" s="82" t="s">
        <v>58</v>
      </c>
      <c r="H116" s="114">
        <f t="shared" si="23"/>
        <v>3440.9849999999988</v>
      </c>
      <c r="I116" s="114">
        <f t="shared" si="24"/>
        <v>18436.014999999999</v>
      </c>
      <c r="J116" s="115">
        <f t="shared" si="22"/>
        <v>203.62723896485863</v>
      </c>
      <c r="K116" s="426"/>
      <c r="L116" s="427"/>
      <c r="M116" s="40"/>
      <c r="P116" s="40"/>
      <c r="Q116" s="40"/>
      <c r="R116" s="40"/>
      <c r="S116" s="41"/>
      <c r="T116" s="41"/>
    </row>
    <row r="117" spans="1:20" s="12" customFormat="1" ht="13.5" customHeight="1">
      <c r="A117" s="221">
        <v>91</v>
      </c>
      <c r="B117" s="218">
        <v>2</v>
      </c>
      <c r="C117" s="295" t="s">
        <v>59</v>
      </c>
      <c r="D117" s="113">
        <v>179</v>
      </c>
      <c r="E117" s="82">
        <f>VLOOKUP(D117,'Deck Tally'!$B$5:$C$288,2,0)</f>
        <v>36.58</v>
      </c>
      <c r="F117" s="114">
        <f t="shared" si="26"/>
        <v>36.2425</v>
      </c>
      <c r="G117" s="82" t="s">
        <v>58</v>
      </c>
      <c r="H117" s="114">
        <f t="shared" si="23"/>
        <v>3477.2274999999986</v>
      </c>
      <c r="I117" s="114">
        <f t="shared" si="24"/>
        <v>18399.772500000003</v>
      </c>
      <c r="J117" s="115">
        <f t="shared" si="22"/>
        <v>204.50805076967146</v>
      </c>
      <c r="K117" s="350"/>
      <c r="L117" s="351"/>
      <c r="M117" s="40"/>
      <c r="N117" s="40"/>
      <c r="O117" s="40"/>
      <c r="P117" s="40"/>
      <c r="Q117" s="40"/>
      <c r="R117" s="40"/>
      <c r="S117" s="41"/>
      <c r="T117" s="41"/>
    </row>
    <row r="118" spans="1:20" s="12" customFormat="1" ht="13.5" customHeight="1">
      <c r="A118" s="221">
        <v>92</v>
      </c>
      <c r="B118" s="218">
        <v>2</v>
      </c>
      <c r="C118" s="295" t="s">
        <v>59</v>
      </c>
      <c r="D118" s="113">
        <v>178</v>
      </c>
      <c r="E118" s="82">
        <f>VLOOKUP(D118,'Deck Tally'!$B$5:$C$288,2,0)</f>
        <v>36.270000000000003</v>
      </c>
      <c r="F118" s="114">
        <f t="shared" si="26"/>
        <v>35.932500000000005</v>
      </c>
      <c r="G118" s="82" t="s">
        <v>58</v>
      </c>
      <c r="H118" s="114">
        <f t="shared" si="23"/>
        <v>3513.1599999999985</v>
      </c>
      <c r="I118" s="114">
        <f t="shared" si="24"/>
        <v>18363.84</v>
      </c>
      <c r="J118" s="115">
        <f t="shared" si="22"/>
        <v>205.3813285561497</v>
      </c>
      <c r="K118" s="428"/>
      <c r="L118" s="429"/>
      <c r="M118" s="40"/>
      <c r="N118" s="40"/>
      <c r="O118" s="40"/>
      <c r="P118" s="40"/>
      <c r="Q118" s="40"/>
      <c r="R118" s="40"/>
      <c r="S118" s="41"/>
      <c r="T118" s="41"/>
    </row>
    <row r="119" spans="1:20" s="44" customFormat="1" ht="13.5" customHeight="1">
      <c r="A119" s="222">
        <v>93</v>
      </c>
      <c r="B119" s="218">
        <v>2</v>
      </c>
      <c r="C119" s="295" t="s">
        <v>59</v>
      </c>
      <c r="D119" s="113">
        <v>177</v>
      </c>
      <c r="E119" s="82">
        <f>VLOOKUP(D119,'Deck Tally'!$B$5:$C$288,2,0)</f>
        <v>36.369999999999997</v>
      </c>
      <c r="F119" s="114">
        <f t="shared" si="26"/>
        <v>36.032499999999999</v>
      </c>
      <c r="G119" s="82" t="s">
        <v>58</v>
      </c>
      <c r="H119" s="114">
        <f t="shared" si="23"/>
        <v>3549.1924999999983</v>
      </c>
      <c r="I119" s="114">
        <f t="shared" si="24"/>
        <v>18327.807500000003</v>
      </c>
      <c r="J119" s="115">
        <f t="shared" si="22"/>
        <v>206.25703667112293</v>
      </c>
      <c r="K119" s="398"/>
      <c r="L119" s="399"/>
      <c r="M119" s="42"/>
      <c r="N119" s="40"/>
      <c r="O119" s="42"/>
      <c r="P119" s="42"/>
      <c r="Q119" s="42"/>
      <c r="R119" s="42"/>
      <c r="S119" s="43"/>
      <c r="T119" s="43"/>
    </row>
    <row r="120" spans="1:20" s="12" customFormat="1" ht="13.5" customHeight="1">
      <c r="A120" s="221">
        <v>94</v>
      </c>
      <c r="B120" s="218">
        <v>2</v>
      </c>
      <c r="C120" s="295" t="s">
        <v>59</v>
      </c>
      <c r="D120" s="113">
        <v>176</v>
      </c>
      <c r="E120" s="82">
        <f>VLOOKUP(D120,'Deck Tally'!$B$5:$C$288,2,0)</f>
        <v>36.81</v>
      </c>
      <c r="F120" s="114">
        <f t="shared" si="26"/>
        <v>36.472500000000004</v>
      </c>
      <c r="G120" s="82" t="s">
        <v>58</v>
      </c>
      <c r="H120" s="114">
        <f t="shared" si="23"/>
        <v>3585.6649999999981</v>
      </c>
      <c r="I120" s="114">
        <f t="shared" si="24"/>
        <v>18291.335000000003</v>
      </c>
      <c r="J120" s="115">
        <f t="shared" si="22"/>
        <v>207.14343823147436</v>
      </c>
      <c r="K120" s="398"/>
      <c r="L120" s="399"/>
      <c r="M120" s="40"/>
      <c r="N120" s="40"/>
      <c r="O120" s="40"/>
      <c r="P120" s="40"/>
      <c r="Q120" s="40"/>
      <c r="R120" s="40"/>
      <c r="S120" s="41"/>
      <c r="T120" s="41"/>
    </row>
    <row r="121" spans="1:20" s="12" customFormat="1" ht="13.5" customHeight="1">
      <c r="A121" s="221">
        <v>95</v>
      </c>
      <c r="B121" s="218">
        <v>2</v>
      </c>
      <c r="C121" s="295" t="s">
        <v>59</v>
      </c>
      <c r="D121" s="113">
        <v>175</v>
      </c>
      <c r="E121" s="82">
        <f>VLOOKUP(D121,'Deck Tally'!$B$5:$C$288,2,0)</f>
        <v>37.31</v>
      </c>
      <c r="F121" s="114">
        <f t="shared" si="26"/>
        <v>36.972500000000004</v>
      </c>
      <c r="G121" s="82" t="s">
        <v>58</v>
      </c>
      <c r="H121" s="114">
        <f t="shared" si="23"/>
        <v>3622.637499999998</v>
      </c>
      <c r="I121" s="114">
        <f t="shared" si="24"/>
        <v>18254.362500000003</v>
      </c>
      <c r="J121" s="115">
        <f t="shared" si="22"/>
        <v>208.04199143430094</v>
      </c>
      <c r="K121" s="398"/>
      <c r="L121" s="399"/>
      <c r="M121" s="40"/>
      <c r="N121" s="40"/>
      <c r="O121" s="40"/>
      <c r="P121" s="40"/>
      <c r="Q121" s="40"/>
      <c r="R121" s="40"/>
      <c r="S121" s="41"/>
      <c r="T121" s="41"/>
    </row>
    <row r="122" spans="1:20" s="12" customFormat="1" ht="13.5" customHeight="1">
      <c r="A122" s="222">
        <v>96</v>
      </c>
      <c r="B122" s="218">
        <v>2</v>
      </c>
      <c r="C122" s="295" t="s">
        <v>59</v>
      </c>
      <c r="D122" s="113">
        <v>174</v>
      </c>
      <c r="E122" s="82">
        <f>VLOOKUP(D122,'Deck Tally'!$B$5:$C$288,2,0)</f>
        <v>37.33</v>
      </c>
      <c r="F122" s="114">
        <f t="shared" si="26"/>
        <v>36.9925</v>
      </c>
      <c r="G122" s="82" t="s">
        <v>58</v>
      </c>
      <c r="H122" s="114">
        <f t="shared" si="23"/>
        <v>3659.6299999999978</v>
      </c>
      <c r="I122" s="114">
        <f t="shared" si="24"/>
        <v>18217.370000000003</v>
      </c>
      <c r="J122" s="115">
        <f t="shared" si="22"/>
        <v>208.94103070282654</v>
      </c>
      <c r="K122" s="400"/>
      <c r="L122" s="401"/>
      <c r="M122" s="40"/>
      <c r="N122" s="40"/>
      <c r="O122" s="40"/>
      <c r="P122" s="40"/>
      <c r="Q122" s="40"/>
      <c r="R122" s="40"/>
      <c r="S122" s="41"/>
      <c r="T122" s="41"/>
    </row>
    <row r="123" spans="1:20" s="12" customFormat="1" ht="13.5" customHeight="1">
      <c r="A123" s="221">
        <v>97</v>
      </c>
      <c r="B123" s="218">
        <v>2</v>
      </c>
      <c r="C123" s="295" t="s">
        <v>59</v>
      </c>
      <c r="D123" s="113">
        <v>173</v>
      </c>
      <c r="E123" s="82">
        <f>VLOOKUP(D123,'Deck Tally'!$B$5:$C$288,2,0)</f>
        <v>37.08</v>
      </c>
      <c r="F123" s="114">
        <f t="shared" si="26"/>
        <v>36.7425</v>
      </c>
      <c r="G123" s="82" t="s">
        <v>58</v>
      </c>
      <c r="H123" s="114">
        <f t="shared" si="23"/>
        <v>3696.3724999999977</v>
      </c>
      <c r="I123" s="114">
        <f t="shared" si="24"/>
        <v>18180.627500000002</v>
      </c>
      <c r="J123" s="115">
        <f t="shared" si="22"/>
        <v>209.83399415011451</v>
      </c>
      <c r="K123" s="400"/>
      <c r="L123" s="401"/>
      <c r="M123" s="40"/>
      <c r="N123" s="40"/>
      <c r="O123" s="40"/>
      <c r="P123" s="40"/>
      <c r="Q123" s="40"/>
      <c r="R123" s="40"/>
      <c r="S123" s="41"/>
      <c r="T123" s="41"/>
    </row>
    <row r="124" spans="1:20" s="12" customFormat="1" ht="13.5" customHeight="1">
      <c r="A124" s="221">
        <v>98</v>
      </c>
      <c r="B124" s="218">
        <v>2</v>
      </c>
      <c r="C124" s="295" t="s">
        <v>59</v>
      </c>
      <c r="D124" s="113">
        <v>172</v>
      </c>
      <c r="E124" s="82">
        <f>VLOOKUP(D124,'Deck Tally'!$B$5:$C$288,2,0)</f>
        <v>36.72</v>
      </c>
      <c r="F124" s="114">
        <f t="shared" si="26"/>
        <v>36.3825</v>
      </c>
      <c r="G124" s="82" t="s">
        <v>58</v>
      </c>
      <c r="H124" s="114">
        <f t="shared" si="23"/>
        <v>3732.7549999999978</v>
      </c>
      <c r="I124" s="114">
        <f t="shared" si="24"/>
        <v>18144.245000000003</v>
      </c>
      <c r="J124" s="115">
        <f t="shared" si="22"/>
        <v>210.71820841482042</v>
      </c>
      <c r="K124" s="400"/>
      <c r="L124" s="401"/>
      <c r="M124" s="40"/>
      <c r="N124" s="40"/>
      <c r="O124" s="40"/>
      <c r="P124" s="40"/>
      <c r="Q124" s="40"/>
      <c r="R124" s="40"/>
      <c r="S124" s="41"/>
      <c r="T124" s="41"/>
    </row>
    <row r="125" spans="1:20" s="12" customFormat="1" ht="13.5" customHeight="1">
      <c r="A125" s="222">
        <v>99</v>
      </c>
      <c r="B125" s="218">
        <v>2</v>
      </c>
      <c r="C125" s="295" t="s">
        <v>59</v>
      </c>
      <c r="D125" s="113">
        <v>171</v>
      </c>
      <c r="E125" s="82">
        <f>VLOOKUP(D125,'Deck Tally'!$B$5:$C$288,2,0)</f>
        <v>35.57</v>
      </c>
      <c r="F125" s="82">
        <f t="shared" si="26"/>
        <v>35.232500000000002</v>
      </c>
      <c r="G125" s="82" t="s">
        <v>58</v>
      </c>
      <c r="H125" s="82">
        <f t="shared" si="23"/>
        <v>3767.9874999999979</v>
      </c>
      <c r="I125" s="82">
        <f t="shared" si="24"/>
        <v>18109.012500000001</v>
      </c>
      <c r="J125" s="118">
        <f t="shared" si="22"/>
        <v>211.57447390183341</v>
      </c>
      <c r="K125" s="400"/>
      <c r="L125" s="401"/>
      <c r="M125" s="40"/>
      <c r="N125" s="40"/>
      <c r="O125" s="40"/>
      <c r="P125" s="40"/>
      <c r="Q125" s="40"/>
      <c r="R125" s="40"/>
      <c r="S125" s="41"/>
      <c r="T125" s="41"/>
    </row>
    <row r="126" spans="1:20" s="12" customFormat="1" ht="13.5" customHeight="1">
      <c r="A126" s="221">
        <v>100</v>
      </c>
      <c r="B126" s="218">
        <v>2</v>
      </c>
      <c r="C126" s="295" t="s">
        <v>59</v>
      </c>
      <c r="D126" s="113">
        <v>170</v>
      </c>
      <c r="E126" s="82">
        <f>VLOOKUP(D126,'Deck Tally'!$B$5:$C$288,2,0)</f>
        <v>35.979999999999997</v>
      </c>
      <c r="F126" s="114">
        <f t="shared" si="26"/>
        <v>35.642499999999998</v>
      </c>
      <c r="G126" s="82" t="s">
        <v>58</v>
      </c>
      <c r="H126" s="114">
        <f t="shared" si="23"/>
        <v>3803.6299999999978</v>
      </c>
      <c r="I126" s="82">
        <f t="shared" si="24"/>
        <v>18073.370000000003</v>
      </c>
      <c r="J126" s="118">
        <f t="shared" si="22"/>
        <v>212.44070373567604</v>
      </c>
      <c r="K126" s="400"/>
      <c r="L126" s="401"/>
      <c r="M126" s="40"/>
      <c r="N126" s="40"/>
      <c r="O126" s="40"/>
      <c r="P126" s="40"/>
      <c r="Q126" s="40"/>
      <c r="R126" s="40"/>
      <c r="S126" s="41"/>
      <c r="T126" s="41"/>
    </row>
    <row r="127" spans="1:20" s="12" customFormat="1" ht="13.5" customHeight="1">
      <c r="A127" s="221">
        <v>101</v>
      </c>
      <c r="B127" s="218">
        <v>2</v>
      </c>
      <c r="C127" s="295" t="s">
        <v>59</v>
      </c>
      <c r="D127" s="113">
        <v>169</v>
      </c>
      <c r="E127" s="82">
        <f>VLOOKUP(D127,'Deck Tally'!$B$5:$C$288,2,0)</f>
        <v>36.17</v>
      </c>
      <c r="F127" s="114">
        <f t="shared" si="26"/>
        <v>35.832500000000003</v>
      </c>
      <c r="G127" s="82" t="s">
        <v>58</v>
      </c>
      <c r="H127" s="114">
        <f t="shared" si="23"/>
        <v>3839.4624999999978</v>
      </c>
      <c r="I127" s="114">
        <f t="shared" si="24"/>
        <v>18037.537500000002</v>
      </c>
      <c r="J127" s="115">
        <f t="shared" si="22"/>
        <v>213.31155119365923</v>
      </c>
      <c r="K127" s="350"/>
      <c r="L127" s="351"/>
      <c r="M127" s="40"/>
      <c r="N127" s="40"/>
      <c r="O127" s="40"/>
      <c r="P127" s="40"/>
      <c r="Q127" s="40"/>
      <c r="R127" s="40"/>
      <c r="S127" s="41"/>
      <c r="T127" s="41"/>
    </row>
    <row r="128" spans="1:20" s="12" customFormat="1" ht="13.5" customHeight="1">
      <c r="A128" s="222">
        <v>102</v>
      </c>
      <c r="B128" s="218">
        <v>2</v>
      </c>
      <c r="C128" s="295" t="s">
        <v>59</v>
      </c>
      <c r="D128" s="113">
        <v>168</v>
      </c>
      <c r="E128" s="82">
        <f>VLOOKUP(D128,'Deck Tally'!$B$5:$C$288,2,0)</f>
        <v>36.61</v>
      </c>
      <c r="F128" s="114">
        <f t="shared" si="26"/>
        <v>36.272500000000001</v>
      </c>
      <c r="G128" s="82" t="s">
        <v>58</v>
      </c>
      <c r="H128" s="114">
        <f t="shared" si="23"/>
        <v>3875.7349999999979</v>
      </c>
      <c r="I128" s="114">
        <f t="shared" si="24"/>
        <v>18001.265000000003</v>
      </c>
      <c r="J128" s="115">
        <f t="shared" si="22"/>
        <v>214.19309209702058</v>
      </c>
      <c r="K128" s="350"/>
      <c r="L128" s="351"/>
      <c r="M128" s="40"/>
      <c r="N128" s="40"/>
      <c r="O128" s="40"/>
      <c r="P128" s="40"/>
      <c r="Q128" s="40"/>
      <c r="R128" s="40"/>
      <c r="S128" s="41"/>
      <c r="T128" s="41"/>
    </row>
    <row r="129" spans="1:20" s="12" customFormat="1" ht="13.5" customHeight="1">
      <c r="A129" s="221">
        <v>103</v>
      </c>
      <c r="B129" s="218">
        <v>2</v>
      </c>
      <c r="C129" s="295" t="s">
        <v>59</v>
      </c>
      <c r="D129" s="113">
        <v>167</v>
      </c>
      <c r="E129" s="82">
        <f>VLOOKUP(D129,'Deck Tally'!$B$5:$C$288,2,0)</f>
        <v>36.72</v>
      </c>
      <c r="F129" s="114">
        <f t="shared" si="26"/>
        <v>36.3825</v>
      </c>
      <c r="G129" s="82" t="s">
        <v>58</v>
      </c>
      <c r="H129" s="114">
        <f t="shared" si="23"/>
        <v>3912.117499999998</v>
      </c>
      <c r="I129" s="114">
        <f t="shared" si="24"/>
        <v>17964.882500000003</v>
      </c>
      <c r="J129" s="115">
        <f t="shared" si="22"/>
        <v>215.07730636172647</v>
      </c>
      <c r="K129" s="350"/>
      <c r="L129" s="351"/>
      <c r="M129" s="40"/>
      <c r="N129" s="40"/>
      <c r="O129" s="40"/>
      <c r="P129" s="40"/>
      <c r="Q129" s="40"/>
      <c r="R129" s="40"/>
      <c r="S129" s="41"/>
      <c r="T129" s="41"/>
    </row>
    <row r="130" spans="1:20" s="44" customFormat="1" ht="13.5" customHeight="1">
      <c r="A130" s="221">
        <v>104</v>
      </c>
      <c r="B130" s="218">
        <v>2</v>
      </c>
      <c r="C130" s="295" t="s">
        <v>59</v>
      </c>
      <c r="D130" s="113">
        <v>166</v>
      </c>
      <c r="E130" s="82">
        <f>VLOOKUP(D130,'Deck Tally'!$B$5:$C$288,2,0)</f>
        <v>36.78</v>
      </c>
      <c r="F130" s="114">
        <f t="shared" si="26"/>
        <v>36.442500000000003</v>
      </c>
      <c r="G130" s="82" t="s">
        <v>58</v>
      </c>
      <c r="H130" s="114">
        <f t="shared" si="23"/>
        <v>3948.5599999999981</v>
      </c>
      <c r="I130" s="114">
        <f t="shared" si="24"/>
        <v>17928.440000000002</v>
      </c>
      <c r="J130" s="115">
        <f t="shared" si="22"/>
        <v>215.96297882352937</v>
      </c>
      <c r="K130" s="350"/>
      <c r="L130" s="351"/>
      <c r="M130" s="42"/>
      <c r="N130" s="40"/>
      <c r="O130" s="42"/>
      <c r="P130" s="42"/>
      <c r="Q130" s="42"/>
      <c r="R130" s="42"/>
      <c r="S130" s="43"/>
      <c r="T130" s="43"/>
    </row>
    <row r="131" spans="1:20" s="12" customFormat="1" ht="13.5" customHeight="1">
      <c r="A131" s="222">
        <v>105</v>
      </c>
      <c r="B131" s="218">
        <v>2</v>
      </c>
      <c r="C131" s="295" t="s">
        <v>59</v>
      </c>
      <c r="D131" s="113">
        <v>165</v>
      </c>
      <c r="E131" s="82">
        <f>VLOOKUP(D131,'Deck Tally'!$B$5:$C$288,2,0)</f>
        <v>36.78</v>
      </c>
      <c r="F131" s="114">
        <f t="shared" si="26"/>
        <v>36.442500000000003</v>
      </c>
      <c r="G131" s="82" t="s">
        <v>58</v>
      </c>
      <c r="H131" s="114">
        <f t="shared" si="23"/>
        <v>3985.0024999999982</v>
      </c>
      <c r="I131" s="114">
        <f t="shared" si="24"/>
        <v>17891.997500000001</v>
      </c>
      <c r="J131" s="115">
        <f t="shared" si="22"/>
        <v>216.84865128533227</v>
      </c>
      <c r="K131" s="350"/>
      <c r="L131" s="351"/>
      <c r="M131" s="40"/>
      <c r="N131" s="78"/>
      <c r="O131" s="40"/>
      <c r="P131" s="40"/>
      <c r="Q131" s="40"/>
      <c r="R131" s="40"/>
      <c r="S131" s="41"/>
      <c r="T131" s="41"/>
    </row>
    <row r="132" spans="1:20" s="12" customFormat="1" ht="15" customHeight="1">
      <c r="A132" s="221">
        <v>106</v>
      </c>
      <c r="B132" s="218">
        <v>2</v>
      </c>
      <c r="C132" s="295" t="s">
        <v>59</v>
      </c>
      <c r="D132" s="113">
        <v>164</v>
      </c>
      <c r="E132" s="82">
        <f>VLOOKUP(D132,'Deck Tally'!$B$5:$C$288,2,0)</f>
        <v>36.01</v>
      </c>
      <c r="F132" s="114">
        <f t="shared" si="26"/>
        <v>35.672499999999999</v>
      </c>
      <c r="G132" s="82" t="s">
        <v>58</v>
      </c>
      <c r="H132" s="114">
        <f t="shared" si="23"/>
        <v>4020.6749999999984</v>
      </c>
      <c r="I132" s="114">
        <f t="shared" si="24"/>
        <v>17856.325000000001</v>
      </c>
      <c r="J132" s="115">
        <f t="shared" si="22"/>
        <v>217.71561021772339</v>
      </c>
      <c r="K132" s="390"/>
      <c r="L132" s="391"/>
      <c r="M132" s="40"/>
      <c r="N132" s="216"/>
      <c r="O132" s="39"/>
      <c r="P132" s="40"/>
      <c r="Q132" s="40"/>
      <c r="R132" s="40"/>
      <c r="S132" s="41"/>
      <c r="T132" s="41"/>
    </row>
    <row r="133" spans="1:20" s="12" customFormat="1" ht="13.5" customHeight="1">
      <c r="A133" s="221">
        <v>107</v>
      </c>
      <c r="B133" s="218">
        <v>2</v>
      </c>
      <c r="C133" s="295" t="s">
        <v>59</v>
      </c>
      <c r="D133" s="113">
        <v>163</v>
      </c>
      <c r="E133" s="82">
        <f>VLOOKUP(D133,'Deck Tally'!$B$5:$C$288,2,0)</f>
        <v>36.299999999999997</v>
      </c>
      <c r="F133" s="114">
        <f t="shared" si="26"/>
        <v>35.962499999999999</v>
      </c>
      <c r="G133" s="82" t="s">
        <v>58</v>
      </c>
      <c r="H133" s="114">
        <f t="shared" si="23"/>
        <v>4056.6374999999985</v>
      </c>
      <c r="I133" s="114">
        <f t="shared" si="24"/>
        <v>17820.362500000003</v>
      </c>
      <c r="J133" s="115">
        <f t="shared" si="22"/>
        <v>218.58961710275014</v>
      </c>
      <c r="K133" s="390"/>
      <c r="L133" s="391"/>
      <c r="M133" s="40"/>
      <c r="N133" s="40"/>
      <c r="O133" s="40"/>
      <c r="P133" s="40"/>
      <c r="Q133" s="40"/>
      <c r="R133" s="40"/>
      <c r="S133" s="41"/>
      <c r="T133" s="41"/>
    </row>
    <row r="134" spans="1:20" s="44" customFormat="1" ht="13.5" customHeight="1">
      <c r="A134" s="222">
        <v>108</v>
      </c>
      <c r="B134" s="218">
        <v>2</v>
      </c>
      <c r="C134" s="295" t="s">
        <v>59</v>
      </c>
      <c r="D134" s="113">
        <v>162</v>
      </c>
      <c r="E134" s="82">
        <f>VLOOKUP(D134,'Deck Tally'!$B$5:$C$288,2,0)</f>
        <v>37.049999999999997</v>
      </c>
      <c r="F134" s="114">
        <f t="shared" si="26"/>
        <v>36.712499999999999</v>
      </c>
      <c r="G134" s="82" t="s">
        <v>58</v>
      </c>
      <c r="H134" s="114">
        <f t="shared" si="23"/>
        <v>4093.3499999999985</v>
      </c>
      <c r="I134" s="114">
        <f t="shared" si="24"/>
        <v>17783.650000000001</v>
      </c>
      <c r="J134" s="115">
        <f t="shared" si="22"/>
        <v>219.48185145148966</v>
      </c>
      <c r="K134" s="390"/>
      <c r="L134" s="391"/>
      <c r="M134" s="42"/>
      <c r="N134" s="40"/>
      <c r="O134" s="40"/>
      <c r="P134" s="42"/>
      <c r="Q134" s="42"/>
      <c r="R134" s="42"/>
      <c r="S134" s="43"/>
      <c r="T134" s="43"/>
    </row>
    <row r="135" spans="1:20" s="12" customFormat="1" ht="13.5" customHeight="1">
      <c r="A135" s="221">
        <v>109</v>
      </c>
      <c r="B135" s="218">
        <v>2</v>
      </c>
      <c r="C135" s="295" t="s">
        <v>59</v>
      </c>
      <c r="D135" s="113">
        <v>161</v>
      </c>
      <c r="E135" s="82">
        <f>VLOOKUP(D135,'Deck Tally'!$B$5:$C$288,2,0)</f>
        <v>36.93</v>
      </c>
      <c r="F135" s="114">
        <f t="shared" si="26"/>
        <v>36.592500000000001</v>
      </c>
      <c r="G135" s="82" t="s">
        <v>58</v>
      </c>
      <c r="H135" s="114">
        <f t="shared" si="23"/>
        <v>4129.9424999999983</v>
      </c>
      <c r="I135" s="114">
        <f t="shared" si="24"/>
        <v>17747.057500000003</v>
      </c>
      <c r="J135" s="115">
        <f t="shared" si="22"/>
        <v>220.37116940603508</v>
      </c>
      <c r="K135" s="390"/>
      <c r="L135" s="391"/>
      <c r="M135" s="40"/>
      <c r="N135" s="40"/>
      <c r="O135" s="40"/>
      <c r="P135" s="40"/>
      <c r="Q135" s="40"/>
      <c r="R135" s="40"/>
      <c r="S135" s="41"/>
      <c r="T135" s="41"/>
    </row>
    <row r="136" spans="1:20" s="12" customFormat="1" ht="13.5" customHeight="1">
      <c r="A136" s="221">
        <v>110</v>
      </c>
      <c r="B136" s="218">
        <v>2</v>
      </c>
      <c r="C136" s="295" t="s">
        <v>59</v>
      </c>
      <c r="D136" s="113">
        <v>160</v>
      </c>
      <c r="E136" s="82">
        <f>VLOOKUP(D136,'Deck Tally'!$B$5:$C$288,2,0)</f>
        <v>35.39</v>
      </c>
      <c r="F136" s="114">
        <f t="shared" si="26"/>
        <v>35.052500000000002</v>
      </c>
      <c r="G136" s="82" t="s">
        <v>58</v>
      </c>
      <c r="H136" s="114">
        <f t="shared" si="23"/>
        <v>4164.9949999999981</v>
      </c>
      <c r="I136" s="114">
        <f t="shared" si="24"/>
        <v>17712.005000000001</v>
      </c>
      <c r="J136" s="115">
        <f t="shared" si="22"/>
        <v>221.22306030175702</v>
      </c>
      <c r="K136" s="350"/>
      <c r="L136" s="351"/>
      <c r="M136" s="150"/>
      <c r="N136" s="40"/>
      <c r="O136" s="40"/>
      <c r="P136" s="40"/>
      <c r="Q136" s="40"/>
      <c r="R136" s="40"/>
      <c r="S136" s="41"/>
      <c r="T136" s="41"/>
    </row>
    <row r="137" spans="1:20" s="12" customFormat="1" ht="13.5" customHeight="1">
      <c r="A137" s="222">
        <v>111</v>
      </c>
      <c r="B137" s="218">
        <v>2</v>
      </c>
      <c r="C137" s="295" t="s">
        <v>59</v>
      </c>
      <c r="D137" s="113">
        <v>159</v>
      </c>
      <c r="E137" s="82">
        <f>VLOOKUP(D137,'Deck Tally'!$B$5:$C$288,2,0)</f>
        <v>37.18</v>
      </c>
      <c r="F137" s="114">
        <f t="shared" si="26"/>
        <v>36.842500000000001</v>
      </c>
      <c r="G137" s="82" t="s">
        <v>58</v>
      </c>
      <c r="H137" s="114">
        <f t="shared" si="23"/>
        <v>4201.8374999999978</v>
      </c>
      <c r="I137" s="114">
        <f t="shared" si="24"/>
        <v>17675.162500000002</v>
      </c>
      <c r="J137" s="115">
        <f t="shared" si="22"/>
        <v>222.11845407754004</v>
      </c>
      <c r="K137" s="350"/>
      <c r="L137" s="351"/>
      <c r="M137" s="40"/>
      <c r="N137" s="40"/>
      <c r="O137" s="40"/>
      <c r="P137" s="40"/>
      <c r="Q137" s="40"/>
      <c r="R137" s="40"/>
      <c r="S137" s="41"/>
      <c r="T137" s="41"/>
    </row>
    <row r="138" spans="1:20" s="12" customFormat="1" ht="15" customHeight="1">
      <c r="A138" s="221">
        <v>112</v>
      </c>
      <c r="B138" s="218">
        <v>2</v>
      </c>
      <c r="C138" s="295" t="s">
        <v>59</v>
      </c>
      <c r="D138" s="113">
        <v>158</v>
      </c>
      <c r="E138" s="82">
        <f>VLOOKUP(D138,'Deck Tally'!$B$5:$C$288,2,0)</f>
        <v>37.94</v>
      </c>
      <c r="F138" s="114">
        <f t="shared" si="26"/>
        <v>37.602499999999999</v>
      </c>
      <c r="G138" s="82" t="s">
        <v>58</v>
      </c>
      <c r="H138" s="114">
        <f t="shared" si="23"/>
        <v>4239.4399999999978</v>
      </c>
      <c r="I138" s="114">
        <f t="shared" si="24"/>
        <v>17637.560000000001</v>
      </c>
      <c r="J138" s="115">
        <f t="shared" si="22"/>
        <v>223.03231834988534</v>
      </c>
      <c r="K138" s="390"/>
      <c r="L138" s="391"/>
      <c r="M138" s="40"/>
      <c r="N138" s="216"/>
      <c r="O138" s="39"/>
      <c r="P138" s="40"/>
      <c r="Q138" s="40"/>
      <c r="R138" s="40"/>
      <c r="S138" s="41"/>
      <c r="T138" s="41"/>
    </row>
    <row r="139" spans="1:20" s="12" customFormat="1" ht="14.45" customHeight="1">
      <c r="A139" s="221">
        <v>113</v>
      </c>
      <c r="B139" s="218">
        <v>2</v>
      </c>
      <c r="C139" s="295" t="s">
        <v>59</v>
      </c>
      <c r="D139" s="113">
        <v>157</v>
      </c>
      <c r="E139" s="82">
        <f>VLOOKUP(D139,'Deck Tally'!$B$5:$C$288,2,0)</f>
        <v>37.43</v>
      </c>
      <c r="F139" s="114">
        <f t="shared" si="26"/>
        <v>37.092500000000001</v>
      </c>
      <c r="G139" s="82" t="s">
        <v>58</v>
      </c>
      <c r="H139" s="114">
        <f t="shared" si="23"/>
        <v>4276.5324999999975</v>
      </c>
      <c r="I139" s="114">
        <f t="shared" si="24"/>
        <v>17600.467500000002</v>
      </c>
      <c r="J139" s="115">
        <f t="shared" ref="J139:J146" si="27">$G$8+(H139*$D$9*$G$10/1000)</f>
        <v>223.93378794690597</v>
      </c>
      <c r="K139" s="390"/>
      <c r="L139" s="391"/>
      <c r="M139" s="40"/>
      <c r="P139" s="40"/>
      <c r="Q139" s="40"/>
      <c r="R139" s="40"/>
      <c r="S139" s="41"/>
      <c r="T139" s="41"/>
    </row>
    <row r="140" spans="1:20" s="12" customFormat="1" ht="13.5" customHeight="1">
      <c r="A140" s="222">
        <v>114</v>
      </c>
      <c r="B140" s="218">
        <v>2</v>
      </c>
      <c r="C140" s="295" t="s">
        <v>59</v>
      </c>
      <c r="D140" s="113">
        <v>156</v>
      </c>
      <c r="E140" s="82">
        <f>VLOOKUP(D140,'Deck Tally'!$B$5:$C$288,2,0)</f>
        <v>36.93</v>
      </c>
      <c r="F140" s="114">
        <f>E140-($D$12/12)</f>
        <v>36.592500000000001</v>
      </c>
      <c r="G140" s="82" t="s">
        <v>58</v>
      </c>
      <c r="H140" s="114">
        <f t="shared" si="23"/>
        <v>4313.1249999999973</v>
      </c>
      <c r="I140" s="114">
        <f t="shared" si="24"/>
        <v>17563.875000000004</v>
      </c>
      <c r="J140" s="115">
        <f t="shared" si="27"/>
        <v>224.82310590145141</v>
      </c>
      <c r="K140" s="350"/>
      <c r="L140" s="351"/>
      <c r="M140" s="40"/>
      <c r="N140" s="150"/>
      <c r="O140" s="40"/>
      <c r="P140" s="40"/>
      <c r="Q140" s="40"/>
      <c r="R140" s="40"/>
      <c r="S140" s="41"/>
      <c r="T140" s="41"/>
    </row>
    <row r="141" spans="1:20" s="12" customFormat="1" ht="13.5" customHeight="1">
      <c r="A141" s="221">
        <v>115</v>
      </c>
      <c r="B141" s="218">
        <v>2</v>
      </c>
      <c r="C141" s="295" t="s">
        <v>59</v>
      </c>
      <c r="D141" s="113">
        <v>155</v>
      </c>
      <c r="E141" s="82">
        <f>VLOOKUP(D141,'Deck Tally'!$B$5:$C$288,2,0)</f>
        <v>37.57</v>
      </c>
      <c r="F141" s="114">
        <f>E141-($D$12/12)</f>
        <v>37.232500000000002</v>
      </c>
      <c r="G141" s="82" t="s">
        <v>58</v>
      </c>
      <c r="H141" s="114">
        <f t="shared" si="23"/>
        <v>4350.3574999999973</v>
      </c>
      <c r="I141" s="114">
        <f t="shared" si="24"/>
        <v>17526.642500000002</v>
      </c>
      <c r="J141" s="115">
        <f t="shared" si="27"/>
        <v>225.7279779583651</v>
      </c>
      <c r="K141" s="350"/>
      <c r="L141" s="351"/>
      <c r="M141" s="40"/>
      <c r="N141" s="40"/>
      <c r="O141" s="40"/>
      <c r="P141" s="40"/>
      <c r="Q141" s="40"/>
      <c r="R141" s="40"/>
      <c r="S141" s="41"/>
      <c r="T141" s="41"/>
    </row>
    <row r="142" spans="1:20" s="12" customFormat="1" ht="13.5" customHeight="1">
      <c r="A142" s="221">
        <v>116</v>
      </c>
      <c r="B142" s="218">
        <v>2</v>
      </c>
      <c r="C142" s="295" t="s">
        <v>59</v>
      </c>
      <c r="D142" s="113">
        <v>154</v>
      </c>
      <c r="E142" s="82">
        <f>VLOOKUP(D142,'Deck Tally'!$B$5:$C$288,2,0)</f>
        <v>37.08</v>
      </c>
      <c r="F142" s="114">
        <f>E142-($D$12/12)</f>
        <v>36.7425</v>
      </c>
      <c r="G142" s="82" t="s">
        <v>58</v>
      </c>
      <c r="H142" s="114">
        <f t="shared" si="23"/>
        <v>4387.0999999999976</v>
      </c>
      <c r="I142" s="114">
        <f t="shared" si="24"/>
        <v>17489.900000000001</v>
      </c>
      <c r="J142" s="115">
        <f>$G$8+(H142*$D$9*$G$10/1000)</f>
        <v>226.62094140565313</v>
      </c>
      <c r="K142" s="350"/>
      <c r="L142" s="351"/>
      <c r="M142" s="40"/>
      <c r="N142" s="78"/>
      <c r="O142" s="40"/>
      <c r="P142" s="40"/>
      <c r="Q142" s="40"/>
      <c r="R142" s="40"/>
      <c r="S142" s="41"/>
      <c r="T142" s="41"/>
    </row>
    <row r="143" spans="1:20" s="12" customFormat="1" ht="16.5" customHeight="1">
      <c r="A143" s="222"/>
      <c r="B143" s="308">
        <v>1</v>
      </c>
      <c r="C143" s="312" t="s">
        <v>59</v>
      </c>
      <c r="D143" s="313" t="s">
        <v>196</v>
      </c>
      <c r="E143" s="191">
        <v>36.909999999999997</v>
      </c>
      <c r="F143" s="191">
        <f t="shared" si="26"/>
        <v>36.572499999999998</v>
      </c>
      <c r="G143" s="191" t="s">
        <v>58</v>
      </c>
      <c r="H143" s="191">
        <f t="shared" ref="H143:H147" si="28">IF(G143="IN",H142+F143,H142)</f>
        <v>4423.6724999999979</v>
      </c>
      <c r="I143" s="191">
        <f t="shared" ref="I143:I147" si="29">IF(H143="","",$K$8-H143)</f>
        <v>17453.327500000003</v>
      </c>
      <c r="J143" s="319">
        <f t="shared" si="27"/>
        <v>227.50977329449955</v>
      </c>
      <c r="K143" s="354" t="s">
        <v>219</v>
      </c>
      <c r="L143" s="355"/>
      <c r="M143" s="40"/>
      <c r="N143" s="40"/>
      <c r="O143" s="40"/>
      <c r="P143" s="40"/>
      <c r="Q143" s="40"/>
      <c r="R143" s="40"/>
      <c r="S143" s="41"/>
      <c r="T143" s="41"/>
    </row>
    <row r="144" spans="1:20" s="12" customFormat="1" ht="18.95" customHeight="1">
      <c r="A144" s="222">
        <v>117</v>
      </c>
      <c r="B144" s="219">
        <v>2</v>
      </c>
      <c r="C144" s="295" t="s">
        <v>59</v>
      </c>
      <c r="D144" s="318">
        <v>153</v>
      </c>
      <c r="E144" s="82">
        <f>VLOOKUP(D144,'Deck Tally'!$B$5:$C$288,2,0)</f>
        <v>36.78</v>
      </c>
      <c r="F144" s="82">
        <f t="shared" si="26"/>
        <v>36.442500000000003</v>
      </c>
      <c r="G144" s="82" t="s">
        <v>58</v>
      </c>
      <c r="H144" s="82">
        <f t="shared" si="28"/>
        <v>4460.114999999998</v>
      </c>
      <c r="I144" s="82">
        <f t="shared" si="29"/>
        <v>17416.885000000002</v>
      </c>
      <c r="J144" s="118">
        <f t="shared" si="27"/>
        <v>228.39544575630248</v>
      </c>
      <c r="K144" s="392" t="s">
        <v>278</v>
      </c>
      <c r="L144" s="393"/>
      <c r="M144" s="40"/>
      <c r="N144" s="216">
        <f>17457-L145</f>
        <v>7.6724999999969441</v>
      </c>
      <c r="O144" s="39" t="s">
        <v>62</v>
      </c>
      <c r="P144" s="40"/>
      <c r="Q144" s="40"/>
      <c r="R144" s="40"/>
      <c r="S144" s="41"/>
      <c r="T144" s="41"/>
    </row>
    <row r="145" spans="1:20" s="12" customFormat="1" ht="17.45" customHeight="1">
      <c r="A145" s="222"/>
      <c r="B145" s="308">
        <v>1</v>
      </c>
      <c r="C145" s="309" t="s">
        <v>64</v>
      </c>
      <c r="D145" s="309" t="s">
        <v>204</v>
      </c>
      <c r="E145" s="311">
        <v>10.26</v>
      </c>
      <c r="F145" s="311">
        <f t="shared" si="26"/>
        <v>9.9224999999999994</v>
      </c>
      <c r="G145" s="311" t="s">
        <v>58</v>
      </c>
      <c r="H145" s="311">
        <f t="shared" si="28"/>
        <v>4470.0374999999976</v>
      </c>
      <c r="I145" s="311">
        <f t="shared" si="29"/>
        <v>17406.962500000001</v>
      </c>
      <c r="J145" s="320">
        <f t="shared" si="27"/>
        <v>228.63659510122227</v>
      </c>
      <c r="K145" s="314" t="s">
        <v>65</v>
      </c>
      <c r="L145" s="315">
        <f>I143-4</f>
        <v>17449.327500000003</v>
      </c>
      <c r="M145" s="40"/>
      <c r="N145" s="40"/>
      <c r="O145" s="40"/>
      <c r="P145" s="40"/>
      <c r="Q145" s="40"/>
      <c r="R145" s="40"/>
      <c r="S145" s="41"/>
      <c r="T145" s="41"/>
    </row>
    <row r="146" spans="1:20" s="12" customFormat="1" ht="14.1" customHeight="1">
      <c r="A146" s="222">
        <v>118</v>
      </c>
      <c r="B146" s="218">
        <v>2</v>
      </c>
      <c r="C146" s="295" t="s">
        <v>59</v>
      </c>
      <c r="D146" s="113">
        <v>152</v>
      </c>
      <c r="E146" s="82">
        <f>VLOOKUP(D146,'Deck Tally'!$B$5:$C$288,2,0)</f>
        <v>37.57</v>
      </c>
      <c r="F146" s="114">
        <f t="shared" si="26"/>
        <v>37.232500000000002</v>
      </c>
      <c r="G146" s="82" t="s">
        <v>58</v>
      </c>
      <c r="H146" s="114">
        <f t="shared" si="28"/>
        <v>4507.2699999999977</v>
      </c>
      <c r="I146" s="114">
        <f t="shared" si="29"/>
        <v>17369.730000000003</v>
      </c>
      <c r="J146" s="115">
        <f t="shared" si="27"/>
        <v>229.5414671581359</v>
      </c>
      <c r="K146" s="350"/>
      <c r="L146" s="351"/>
      <c r="M146" s="40"/>
      <c r="P146" s="40"/>
      <c r="Q146" s="40"/>
      <c r="R146" s="40"/>
      <c r="S146" s="41"/>
      <c r="T146" s="41"/>
    </row>
    <row r="147" spans="1:20" s="12" customFormat="1" ht="14.1" customHeight="1">
      <c r="A147" s="222">
        <v>119</v>
      </c>
      <c r="B147" s="218">
        <v>2</v>
      </c>
      <c r="C147" s="295" t="s">
        <v>59</v>
      </c>
      <c r="D147" s="113">
        <v>151</v>
      </c>
      <c r="E147" s="82">
        <f>VLOOKUP(D147,'Deck Tally'!$B$5:$C$288,2,0)</f>
        <v>36.840000000000003</v>
      </c>
      <c r="F147" s="114">
        <f t="shared" si="26"/>
        <v>36.502500000000005</v>
      </c>
      <c r="G147" s="82" t="s">
        <v>58</v>
      </c>
      <c r="H147" s="114">
        <f t="shared" si="28"/>
        <v>4543.7724999999973</v>
      </c>
      <c r="I147" s="114">
        <f t="shared" si="29"/>
        <v>17333.227500000001</v>
      </c>
      <c r="J147" s="115">
        <f t="shared" si="22"/>
        <v>230.42859781703584</v>
      </c>
      <c r="K147" s="350"/>
      <c r="L147" s="351"/>
      <c r="M147" s="40"/>
      <c r="P147" s="40"/>
      <c r="Q147" s="40"/>
      <c r="R147" s="40"/>
      <c r="S147" s="41"/>
      <c r="T147" s="41"/>
    </row>
    <row r="148" spans="1:20" s="12" customFormat="1" ht="14.1" customHeight="1">
      <c r="A148" s="222">
        <v>120</v>
      </c>
      <c r="B148" s="218">
        <v>2</v>
      </c>
      <c r="C148" s="295" t="s">
        <v>59</v>
      </c>
      <c r="D148" s="113">
        <v>150</v>
      </c>
      <c r="E148" s="82">
        <f>VLOOKUP(D148,'Deck Tally'!$B$5:$C$288,2,0)</f>
        <v>38.299999999999997</v>
      </c>
      <c r="F148" s="114">
        <f t="shared" si="26"/>
        <v>37.962499999999999</v>
      </c>
      <c r="G148" s="82" t="s">
        <v>58</v>
      </c>
      <c r="H148" s="114">
        <f t="shared" ref="H148:H151" si="30">IF(G148="IN",H147+F148,H147)</f>
        <v>4581.7349999999969</v>
      </c>
      <c r="I148" s="114">
        <f t="shared" ref="I148:I151" si="31">IF(H148="","",$K$8-H148)</f>
        <v>17295.265000000003</v>
      </c>
      <c r="J148" s="115">
        <f t="shared" si="22"/>
        <v>231.35121127196325</v>
      </c>
      <c r="K148" s="350"/>
      <c r="L148" s="351"/>
      <c r="M148" s="40"/>
      <c r="N148" s="40"/>
      <c r="O148" s="40"/>
      <c r="P148" s="40"/>
      <c r="Q148" s="40"/>
      <c r="R148" s="40"/>
      <c r="S148" s="41"/>
      <c r="T148" s="41"/>
    </row>
    <row r="149" spans="1:20" s="12" customFormat="1" ht="14.45" customHeight="1">
      <c r="A149" s="222">
        <v>121</v>
      </c>
      <c r="B149" s="218">
        <v>2</v>
      </c>
      <c r="C149" s="295" t="s">
        <v>59</v>
      </c>
      <c r="D149" s="113">
        <v>149</v>
      </c>
      <c r="E149" s="82">
        <f>VLOOKUP(D149,'Deck Tally'!$B$5:$C$288,2,0)</f>
        <v>38.36</v>
      </c>
      <c r="F149" s="114">
        <f t="shared" si="26"/>
        <v>38.022500000000001</v>
      </c>
      <c r="G149" s="82" t="s">
        <v>58</v>
      </c>
      <c r="H149" s="114">
        <f t="shared" si="30"/>
        <v>4619.757499999997</v>
      </c>
      <c r="I149" s="114">
        <f t="shared" si="31"/>
        <v>17257.242500000004</v>
      </c>
      <c r="J149" s="115">
        <f t="shared" si="22"/>
        <v>232.27528292398767</v>
      </c>
      <c r="K149" s="350"/>
      <c r="L149" s="351"/>
      <c r="M149" s="40"/>
      <c r="N149" s="216"/>
      <c r="O149" s="39"/>
      <c r="P149" s="40"/>
      <c r="Q149" s="40"/>
      <c r="R149" s="40"/>
      <c r="S149" s="41"/>
      <c r="T149" s="41"/>
    </row>
    <row r="150" spans="1:20" s="12" customFormat="1" ht="13.5" customHeight="1">
      <c r="A150" s="222">
        <v>122</v>
      </c>
      <c r="B150" s="218">
        <v>2</v>
      </c>
      <c r="C150" s="295" t="s">
        <v>59</v>
      </c>
      <c r="D150" s="113">
        <v>148</v>
      </c>
      <c r="E150" s="82">
        <f>VLOOKUP(D150,'Deck Tally'!$B$5:$C$288,2,0)</f>
        <v>36.869999999999997</v>
      </c>
      <c r="F150" s="116">
        <f t="shared" si="26"/>
        <v>36.532499999999999</v>
      </c>
      <c r="G150" s="82" t="s">
        <v>58</v>
      </c>
      <c r="H150" s="114">
        <f t="shared" si="30"/>
        <v>4656.2899999999972</v>
      </c>
      <c r="I150" s="114">
        <f t="shared" si="31"/>
        <v>17220.710000000003</v>
      </c>
      <c r="J150" s="115">
        <f t="shared" si="22"/>
        <v>233.16314268143611</v>
      </c>
      <c r="K150" s="350"/>
      <c r="L150" s="351"/>
      <c r="M150" s="40"/>
      <c r="N150" s="40"/>
      <c r="O150" s="40"/>
      <c r="P150" s="40"/>
      <c r="Q150" s="40"/>
      <c r="R150" s="40"/>
      <c r="S150" s="41"/>
      <c r="T150" s="41"/>
    </row>
    <row r="151" spans="1:20" s="12" customFormat="1" ht="13.5" customHeight="1">
      <c r="A151" s="222">
        <v>123</v>
      </c>
      <c r="B151" s="218">
        <v>2</v>
      </c>
      <c r="C151" s="295" t="s">
        <v>59</v>
      </c>
      <c r="D151" s="113">
        <v>147</v>
      </c>
      <c r="E151" s="82">
        <f>VLOOKUP(D151,'Deck Tally'!$B$5:$C$288,2,0)</f>
        <v>36.69</v>
      </c>
      <c r="F151" s="114">
        <f t="shared" si="26"/>
        <v>36.352499999999999</v>
      </c>
      <c r="G151" s="82" t="s">
        <v>58</v>
      </c>
      <c r="H151" s="114">
        <f t="shared" si="30"/>
        <v>4692.6424999999972</v>
      </c>
      <c r="I151" s="114">
        <f t="shared" si="31"/>
        <v>17184.357500000002</v>
      </c>
      <c r="J151" s="115">
        <f t="shared" si="22"/>
        <v>234.04662784759353</v>
      </c>
      <c r="K151" s="350"/>
      <c r="L151" s="351"/>
      <c r="M151" s="40"/>
      <c r="N151" s="40"/>
      <c r="O151" s="40"/>
      <c r="P151" s="40"/>
      <c r="Q151" s="40"/>
      <c r="R151" s="40"/>
      <c r="S151" s="41"/>
      <c r="T151" s="41"/>
    </row>
    <row r="152" spans="1:20" s="12" customFormat="1" ht="13.5" customHeight="1">
      <c r="A152" s="222">
        <v>124</v>
      </c>
      <c r="B152" s="218">
        <v>2</v>
      </c>
      <c r="C152" s="295" t="s">
        <v>59</v>
      </c>
      <c r="D152" s="113">
        <v>146</v>
      </c>
      <c r="E152" s="82">
        <f>VLOOKUP(D152,'Deck Tally'!$B$5:$C$288,2,0)</f>
        <v>36.85</v>
      </c>
      <c r="F152" s="114">
        <f t="shared" si="26"/>
        <v>36.512500000000003</v>
      </c>
      <c r="G152" s="82" t="s">
        <v>58</v>
      </c>
      <c r="H152" s="114">
        <f t="shared" ref="H152:H159" si="32">IF(G152="IN",H151+F152,H151)</f>
        <v>4729.154999999997</v>
      </c>
      <c r="I152" s="114">
        <f t="shared" ref="I152:I159" si="33">IF(H152="","",$K$8-H152)</f>
        <v>17147.845000000001</v>
      </c>
      <c r="J152" s="115">
        <f t="shared" ref="J152:J154" si="34">$G$8+(H152*$D$9*$G$10/1000)</f>
        <v>234.93400153934292</v>
      </c>
      <c r="K152" s="350"/>
      <c r="L152" s="351"/>
      <c r="M152" s="40"/>
      <c r="N152" s="40"/>
      <c r="O152" s="40"/>
      <c r="P152" s="40"/>
      <c r="Q152" s="40"/>
      <c r="R152" s="40"/>
      <c r="S152" s="41"/>
      <c r="T152" s="41"/>
    </row>
    <row r="153" spans="1:20" s="12" customFormat="1" ht="13.5" customHeight="1">
      <c r="A153" s="222">
        <v>125</v>
      </c>
      <c r="B153" s="218">
        <v>2</v>
      </c>
      <c r="C153" s="295" t="s">
        <v>59</v>
      </c>
      <c r="D153" s="113">
        <v>145</v>
      </c>
      <c r="E153" s="82">
        <f>VLOOKUP(D153,'Deck Tally'!$B$5:$C$288,2,0)</f>
        <v>36.07</v>
      </c>
      <c r="F153" s="114">
        <f t="shared" ref="F153:F218" si="35">E153-($D$12/12)</f>
        <v>35.732500000000002</v>
      </c>
      <c r="G153" s="82" t="s">
        <v>58</v>
      </c>
      <c r="H153" s="114">
        <f t="shared" si="32"/>
        <v>4764.8874999999971</v>
      </c>
      <c r="I153" s="114">
        <f t="shared" si="33"/>
        <v>17112.112500000003</v>
      </c>
      <c r="J153" s="115">
        <f t="shared" si="34"/>
        <v>235.80241866883111</v>
      </c>
      <c r="K153" s="350"/>
      <c r="L153" s="351"/>
      <c r="M153" s="40"/>
      <c r="N153" s="40"/>
      <c r="O153" s="40"/>
      <c r="P153" s="40"/>
      <c r="Q153" s="40"/>
      <c r="R153" s="40"/>
      <c r="S153" s="41"/>
      <c r="T153" s="41"/>
    </row>
    <row r="154" spans="1:20" s="12" customFormat="1" ht="13.5" customHeight="1">
      <c r="A154" s="222">
        <v>126</v>
      </c>
      <c r="B154" s="218">
        <v>2</v>
      </c>
      <c r="C154" s="295" t="s">
        <v>59</v>
      </c>
      <c r="D154" s="113">
        <v>144</v>
      </c>
      <c r="E154" s="82">
        <f>VLOOKUP(D154,'Deck Tally'!$B$5:$C$288,2,0)</f>
        <v>36.61</v>
      </c>
      <c r="F154" s="114">
        <f t="shared" si="35"/>
        <v>36.272500000000001</v>
      </c>
      <c r="G154" s="82" t="s">
        <v>58</v>
      </c>
      <c r="H154" s="114">
        <f t="shared" si="32"/>
        <v>4801.1599999999971</v>
      </c>
      <c r="I154" s="114">
        <f t="shared" si="33"/>
        <v>17075.840000000004</v>
      </c>
      <c r="J154" s="115">
        <f t="shared" si="34"/>
        <v>236.68395957219244</v>
      </c>
      <c r="K154" s="390"/>
      <c r="L154" s="391"/>
      <c r="M154" s="40"/>
      <c r="N154" s="40"/>
      <c r="O154" s="40"/>
      <c r="P154" s="40"/>
      <c r="Q154" s="40"/>
      <c r="R154" s="40"/>
      <c r="S154" s="41"/>
      <c r="T154" s="41"/>
    </row>
    <row r="155" spans="1:20" s="12" customFormat="1" ht="13.5" customHeight="1">
      <c r="A155" s="222">
        <v>127</v>
      </c>
      <c r="B155" s="218">
        <v>2</v>
      </c>
      <c r="C155" s="295" t="s">
        <v>59</v>
      </c>
      <c r="D155" s="113">
        <v>143</v>
      </c>
      <c r="E155" s="82">
        <f>VLOOKUP(D155,'Deck Tally'!$B$5:$C$288,2,0)</f>
        <v>37.049999999999997</v>
      </c>
      <c r="F155" s="114">
        <f t="shared" si="35"/>
        <v>36.712499999999999</v>
      </c>
      <c r="G155" s="82" t="s">
        <v>58</v>
      </c>
      <c r="H155" s="114">
        <f t="shared" si="32"/>
        <v>4837.8724999999968</v>
      </c>
      <c r="I155" s="114">
        <f t="shared" si="33"/>
        <v>17039.127500000002</v>
      </c>
      <c r="J155" s="115">
        <f t="shared" si="22"/>
        <v>237.57619392093193</v>
      </c>
      <c r="K155" s="350"/>
      <c r="L155" s="351"/>
      <c r="M155" s="40"/>
      <c r="N155" s="40"/>
      <c r="O155" s="40"/>
      <c r="P155" s="40"/>
      <c r="Q155" s="40"/>
      <c r="R155" s="40"/>
      <c r="S155" s="41"/>
      <c r="T155" s="41"/>
    </row>
    <row r="156" spans="1:20" s="12" customFormat="1" ht="13.5" customHeight="1">
      <c r="A156" s="222">
        <v>128</v>
      </c>
      <c r="B156" s="218">
        <v>2</v>
      </c>
      <c r="C156" s="295" t="s">
        <v>59</v>
      </c>
      <c r="D156" s="113">
        <v>142</v>
      </c>
      <c r="E156" s="82">
        <f>VLOOKUP(D156,'Deck Tally'!$B$5:$C$288,2,0)</f>
        <v>36.85</v>
      </c>
      <c r="F156" s="114">
        <f t="shared" si="35"/>
        <v>36.512500000000003</v>
      </c>
      <c r="G156" s="82" t="s">
        <v>58</v>
      </c>
      <c r="H156" s="114">
        <f t="shared" si="32"/>
        <v>4874.3849999999966</v>
      </c>
      <c r="I156" s="114">
        <f t="shared" si="33"/>
        <v>17002.615000000005</v>
      </c>
      <c r="J156" s="115">
        <f t="shared" si="22"/>
        <v>238.46356761268135</v>
      </c>
      <c r="K156" s="350"/>
      <c r="L156" s="351"/>
      <c r="M156" s="40"/>
      <c r="N156" s="40"/>
      <c r="O156" s="40"/>
      <c r="P156" s="40"/>
      <c r="Q156" s="40"/>
      <c r="R156" s="40"/>
      <c r="S156" s="41"/>
      <c r="T156" s="41"/>
    </row>
    <row r="157" spans="1:20" s="12" customFormat="1" ht="15" customHeight="1">
      <c r="A157" s="222">
        <v>129</v>
      </c>
      <c r="B157" s="218">
        <v>2</v>
      </c>
      <c r="C157" s="295" t="s">
        <v>59</v>
      </c>
      <c r="D157" s="113">
        <v>141</v>
      </c>
      <c r="E157" s="82">
        <f>VLOOKUP(D157,'Deck Tally'!$B$5:$C$288,2,0)</f>
        <v>37</v>
      </c>
      <c r="F157" s="114">
        <f t="shared" si="35"/>
        <v>36.662500000000001</v>
      </c>
      <c r="G157" s="82" t="s">
        <v>58</v>
      </c>
      <c r="H157" s="114">
        <f t="shared" si="32"/>
        <v>4911.0474999999969</v>
      </c>
      <c r="I157" s="114">
        <f t="shared" si="33"/>
        <v>16965.952500000003</v>
      </c>
      <c r="J157" s="115">
        <f t="shared" si="22"/>
        <v>239.35458679717334</v>
      </c>
      <c r="K157" s="350"/>
      <c r="L157" s="351"/>
      <c r="M157" s="40"/>
      <c r="N157" s="216"/>
      <c r="O157" s="39"/>
      <c r="P157" s="40"/>
      <c r="Q157" s="40"/>
      <c r="R157" s="40"/>
      <c r="S157" s="41"/>
      <c r="T157" s="41"/>
    </row>
    <row r="158" spans="1:20" s="12" customFormat="1" ht="14.45" customHeight="1">
      <c r="A158" s="222">
        <v>130</v>
      </c>
      <c r="B158" s="218">
        <v>2</v>
      </c>
      <c r="C158" s="295" t="s">
        <v>59</v>
      </c>
      <c r="D158" s="113">
        <v>140</v>
      </c>
      <c r="E158" s="82">
        <f>VLOOKUP(D158,'Deck Tally'!$B$5:$C$288,2,0)</f>
        <v>36.119999999999997</v>
      </c>
      <c r="F158" s="114">
        <f t="shared" si="35"/>
        <v>35.782499999999999</v>
      </c>
      <c r="G158" s="82" t="s">
        <v>58</v>
      </c>
      <c r="H158" s="114">
        <f t="shared" si="32"/>
        <v>4946.8299999999972</v>
      </c>
      <c r="I158" s="114">
        <f t="shared" si="33"/>
        <v>16930.170000000002</v>
      </c>
      <c r="J158" s="115">
        <f t="shared" ref="J158:J226" si="36">$G$8+(H158*$D$9*$G$10/1000)</f>
        <v>240.224219090909</v>
      </c>
      <c r="K158" s="350"/>
      <c r="L158" s="351"/>
      <c r="M158" s="40"/>
      <c r="N158" s="216"/>
      <c r="O158" s="39"/>
      <c r="P158" s="40"/>
      <c r="Q158" s="40"/>
      <c r="R158" s="40"/>
      <c r="S158" s="41"/>
      <c r="T158" s="41"/>
    </row>
    <row r="159" spans="1:20" s="12" customFormat="1" ht="13.5" customHeight="1">
      <c r="A159" s="222">
        <v>131</v>
      </c>
      <c r="B159" s="218">
        <v>2</v>
      </c>
      <c r="C159" s="295" t="s">
        <v>59</v>
      </c>
      <c r="D159" s="113">
        <v>139</v>
      </c>
      <c r="E159" s="82">
        <f>VLOOKUP(D159,'Deck Tally'!$B$5:$C$288,2,0)</f>
        <v>37.409999999999997</v>
      </c>
      <c r="F159" s="114">
        <f t="shared" si="35"/>
        <v>37.072499999999998</v>
      </c>
      <c r="G159" s="82" t="s">
        <v>58</v>
      </c>
      <c r="H159" s="114">
        <f t="shared" si="32"/>
        <v>4983.9024999999974</v>
      </c>
      <c r="I159" s="114">
        <f t="shared" si="33"/>
        <v>16893.097500000003</v>
      </c>
      <c r="J159" s="115">
        <f t="shared" si="36"/>
        <v>241.12520262223063</v>
      </c>
      <c r="K159" s="350"/>
      <c r="L159" s="351"/>
      <c r="M159" s="40"/>
      <c r="N159" s="40"/>
      <c r="O159" s="40"/>
      <c r="P159" s="40"/>
      <c r="Q159" s="40"/>
      <c r="R159" s="40"/>
      <c r="S159" s="41"/>
      <c r="T159" s="41"/>
    </row>
    <row r="160" spans="1:20" s="12" customFormat="1" ht="13.5" customHeight="1">
      <c r="A160" s="222">
        <v>132</v>
      </c>
      <c r="B160" s="218">
        <v>2</v>
      </c>
      <c r="C160" s="295" t="s">
        <v>59</v>
      </c>
      <c r="D160" s="113">
        <v>138</v>
      </c>
      <c r="E160" s="82">
        <f>VLOOKUP(D160,'Deck Tally'!$B$5:$C$288,2,0)</f>
        <v>37.46</v>
      </c>
      <c r="F160" s="114">
        <f t="shared" ref="F160:F163" si="37">E160-($D$12/12)</f>
        <v>37.122500000000002</v>
      </c>
      <c r="G160" s="82" t="s">
        <v>58</v>
      </c>
      <c r="H160" s="114">
        <f t="shared" ref="H160:H226" si="38">IF(G160="IN",H159+F160,H159)</f>
        <v>5021.0249999999978</v>
      </c>
      <c r="I160" s="114">
        <f t="shared" ref="I160:I226" si="39">IF(H160="","",$K$8-H160)</f>
        <v>16855.975000000002</v>
      </c>
      <c r="J160" s="115">
        <f t="shared" si="36"/>
        <v>242.02740131779979</v>
      </c>
      <c r="K160" s="350"/>
      <c r="L160" s="351"/>
      <c r="M160" s="40"/>
      <c r="N160" s="40"/>
      <c r="O160" s="40"/>
      <c r="P160" s="40"/>
      <c r="Q160" s="40"/>
      <c r="R160" s="40"/>
      <c r="S160" s="41"/>
      <c r="T160" s="41"/>
    </row>
    <row r="161" spans="1:20" s="12" customFormat="1" ht="13.5" customHeight="1">
      <c r="A161" s="222">
        <v>133</v>
      </c>
      <c r="B161" s="218">
        <v>2</v>
      </c>
      <c r="C161" s="295" t="s">
        <v>59</v>
      </c>
      <c r="D161" s="113">
        <v>137</v>
      </c>
      <c r="E161" s="82">
        <f>VLOOKUP(D161,'Deck Tally'!$B$5:$C$288,2,0)</f>
        <v>37.090000000000003</v>
      </c>
      <c r="F161" s="114">
        <f t="shared" si="37"/>
        <v>36.752500000000005</v>
      </c>
      <c r="G161" s="82" t="s">
        <v>58</v>
      </c>
      <c r="H161" s="114">
        <f t="shared" si="38"/>
        <v>5057.7774999999974</v>
      </c>
      <c r="I161" s="82">
        <f t="shared" si="39"/>
        <v>16819.222500000003</v>
      </c>
      <c r="J161" s="115">
        <f t="shared" si="36"/>
        <v>242.92060779793729</v>
      </c>
      <c r="K161" s="350"/>
      <c r="L161" s="351"/>
      <c r="M161" s="40"/>
      <c r="N161" s="78"/>
      <c r="O161" s="40"/>
      <c r="P161" s="40"/>
      <c r="Q161" s="40"/>
      <c r="R161" s="40"/>
      <c r="S161" s="41"/>
      <c r="T161" s="41"/>
    </row>
    <row r="162" spans="1:20" s="12" customFormat="1" ht="13.5" customHeight="1">
      <c r="A162" s="222">
        <v>134</v>
      </c>
      <c r="B162" s="218">
        <v>2</v>
      </c>
      <c r="C162" s="295" t="s">
        <v>59</v>
      </c>
      <c r="D162" s="113">
        <v>136</v>
      </c>
      <c r="E162" s="82">
        <f>VLOOKUP(D162,'Deck Tally'!$B$5:$C$288,2,0)</f>
        <v>36.79</v>
      </c>
      <c r="F162" s="114">
        <f t="shared" si="37"/>
        <v>36.452500000000001</v>
      </c>
      <c r="G162" s="114" t="s">
        <v>58</v>
      </c>
      <c r="H162" s="114">
        <f t="shared" si="38"/>
        <v>5094.2299999999977</v>
      </c>
      <c r="I162" s="114">
        <f t="shared" si="39"/>
        <v>16782.770000000004</v>
      </c>
      <c r="J162" s="115">
        <f t="shared" si="36"/>
        <v>243.8065232925897</v>
      </c>
      <c r="K162" s="350"/>
      <c r="L162" s="351"/>
      <c r="M162" s="40"/>
      <c r="N162" s="40"/>
      <c r="O162" s="40"/>
      <c r="P162" s="40"/>
      <c r="Q162" s="40"/>
      <c r="R162" s="40"/>
      <c r="S162" s="41"/>
      <c r="T162" s="41"/>
    </row>
    <row r="163" spans="1:20" s="12" customFormat="1" ht="13.5" customHeight="1">
      <c r="A163" s="222">
        <v>135</v>
      </c>
      <c r="B163" s="218">
        <v>2</v>
      </c>
      <c r="C163" s="295" t="s">
        <v>59</v>
      </c>
      <c r="D163" s="113">
        <v>135</v>
      </c>
      <c r="E163" s="82">
        <f>VLOOKUP(D163,'Deck Tally'!$B$5:$C$288,2,0)</f>
        <v>37.36</v>
      </c>
      <c r="F163" s="114">
        <f t="shared" si="37"/>
        <v>37.022500000000001</v>
      </c>
      <c r="G163" s="114" t="s">
        <v>58</v>
      </c>
      <c r="H163" s="114">
        <f t="shared" si="38"/>
        <v>5131.2524999999978</v>
      </c>
      <c r="I163" s="114">
        <f t="shared" si="39"/>
        <v>16745.747500000001</v>
      </c>
      <c r="J163" s="115">
        <f t="shared" si="36"/>
        <v>244.7062916596638</v>
      </c>
      <c r="K163" s="350"/>
      <c r="L163" s="351"/>
      <c r="M163" s="40"/>
      <c r="N163" s="69"/>
      <c r="O163" s="40"/>
      <c r="P163" s="40"/>
      <c r="Q163" s="40"/>
      <c r="R163" s="40"/>
      <c r="S163" s="41"/>
      <c r="T163" s="41"/>
    </row>
    <row r="164" spans="1:20" s="12" customFormat="1" ht="13.5" customHeight="1">
      <c r="A164" s="222">
        <v>136</v>
      </c>
      <c r="B164" s="218">
        <v>2</v>
      </c>
      <c r="C164" s="295" t="s">
        <v>59</v>
      </c>
      <c r="D164" s="113">
        <v>134</v>
      </c>
      <c r="E164" s="82">
        <f>VLOOKUP(D164,'Deck Tally'!$B$5:$C$288,2,0)</f>
        <v>36.28</v>
      </c>
      <c r="F164" s="114">
        <f t="shared" si="35"/>
        <v>35.942500000000003</v>
      </c>
      <c r="G164" s="114" t="s">
        <v>58</v>
      </c>
      <c r="H164" s="114">
        <f t="shared" si="38"/>
        <v>5167.1949999999979</v>
      </c>
      <c r="I164" s="114">
        <f t="shared" si="39"/>
        <v>16709.805</v>
      </c>
      <c r="J164" s="115">
        <f t="shared" si="36"/>
        <v>245.57981247899153</v>
      </c>
      <c r="K164" s="350"/>
      <c r="L164" s="351"/>
      <c r="M164" s="40"/>
      <c r="N164" s="150"/>
      <c r="O164" s="40"/>
      <c r="P164" s="40"/>
      <c r="Q164" s="40"/>
      <c r="R164" s="40"/>
      <c r="S164" s="41"/>
      <c r="T164" s="41"/>
    </row>
    <row r="165" spans="1:20" s="12" customFormat="1" ht="13.5" customHeight="1">
      <c r="A165" s="222">
        <v>137</v>
      </c>
      <c r="B165" s="218">
        <v>2</v>
      </c>
      <c r="C165" s="295" t="s">
        <v>59</v>
      </c>
      <c r="D165" s="113">
        <v>133</v>
      </c>
      <c r="E165" s="82">
        <f>VLOOKUP(D165,'Deck Tally'!$B$5:$C$288,2,0)</f>
        <v>36.19</v>
      </c>
      <c r="F165" s="114">
        <f t="shared" si="35"/>
        <v>35.852499999999999</v>
      </c>
      <c r="G165" s="114" t="s">
        <v>58</v>
      </c>
      <c r="H165" s="114">
        <f t="shared" si="38"/>
        <v>5203.0474999999979</v>
      </c>
      <c r="I165" s="114">
        <f t="shared" si="39"/>
        <v>16673.952500000003</v>
      </c>
      <c r="J165" s="115">
        <f t="shared" si="36"/>
        <v>246.45114600267374</v>
      </c>
      <c r="K165" s="350"/>
      <c r="L165" s="351"/>
      <c r="M165" s="40"/>
      <c r="N165" s="40"/>
      <c r="O165" s="40"/>
      <c r="P165" s="40"/>
      <c r="Q165" s="40"/>
      <c r="R165" s="40"/>
      <c r="S165" s="41"/>
      <c r="T165" s="41"/>
    </row>
    <row r="166" spans="1:20" s="12" customFormat="1" ht="13.5" customHeight="1">
      <c r="A166" s="222">
        <v>138</v>
      </c>
      <c r="B166" s="218">
        <v>2</v>
      </c>
      <c r="C166" s="295" t="s">
        <v>59</v>
      </c>
      <c r="D166" s="113">
        <v>132</v>
      </c>
      <c r="E166" s="82">
        <f>VLOOKUP(D166,'Deck Tally'!$B$5:$C$288,2,0)</f>
        <v>36.6</v>
      </c>
      <c r="F166" s="114">
        <f t="shared" si="35"/>
        <v>36.262500000000003</v>
      </c>
      <c r="G166" s="114" t="s">
        <v>58</v>
      </c>
      <c r="H166" s="114">
        <f t="shared" si="38"/>
        <v>5239.3099999999977</v>
      </c>
      <c r="I166" s="114">
        <f t="shared" si="39"/>
        <v>16637.690000000002</v>
      </c>
      <c r="J166" s="115">
        <f t="shared" si="36"/>
        <v>247.33244387318558</v>
      </c>
      <c r="K166" s="350"/>
      <c r="L166" s="351"/>
      <c r="M166" s="40"/>
      <c r="N166" s="163"/>
      <c r="O166" s="40"/>
      <c r="P166" s="40"/>
      <c r="Q166" s="40"/>
      <c r="R166" s="40"/>
      <c r="S166" s="41"/>
      <c r="T166" s="41"/>
    </row>
    <row r="167" spans="1:20" s="12" customFormat="1" ht="13.5" customHeight="1">
      <c r="A167" s="222">
        <v>139</v>
      </c>
      <c r="B167" s="218">
        <v>2</v>
      </c>
      <c r="C167" s="295" t="s">
        <v>59</v>
      </c>
      <c r="D167" s="113">
        <v>131</v>
      </c>
      <c r="E167" s="82">
        <f>VLOOKUP(D167,'Deck Tally'!$B$5:$C$288,2,0)</f>
        <v>36.4</v>
      </c>
      <c r="F167" s="114">
        <f t="shared" si="35"/>
        <v>36.0625</v>
      </c>
      <c r="G167" s="114" t="s">
        <v>58</v>
      </c>
      <c r="H167" s="114">
        <f t="shared" si="38"/>
        <v>5275.3724999999977</v>
      </c>
      <c r="I167" s="114">
        <f t="shared" si="39"/>
        <v>16601.627500000002</v>
      </c>
      <c r="J167" s="115">
        <f t="shared" si="36"/>
        <v>248.20888108670735</v>
      </c>
      <c r="K167" s="390"/>
      <c r="L167" s="391"/>
      <c r="M167" s="40"/>
      <c r="N167" s="40"/>
      <c r="O167" s="40"/>
      <c r="P167" s="40"/>
      <c r="Q167" s="40"/>
      <c r="R167" s="40"/>
      <c r="S167" s="41"/>
      <c r="T167" s="41"/>
    </row>
    <row r="168" spans="1:20" s="12" customFormat="1" ht="13.5" customHeight="1">
      <c r="A168" s="222">
        <v>140</v>
      </c>
      <c r="B168" s="218">
        <v>2</v>
      </c>
      <c r="C168" s="295" t="s">
        <v>59</v>
      </c>
      <c r="D168" s="113">
        <v>130</v>
      </c>
      <c r="E168" s="82">
        <f>VLOOKUP(D168,'Deck Tally'!$B$5:$C$288,2,0)</f>
        <v>37.299999999999997</v>
      </c>
      <c r="F168" s="175">
        <f t="shared" si="35"/>
        <v>36.962499999999999</v>
      </c>
      <c r="G168" s="114" t="s">
        <v>58</v>
      </c>
      <c r="H168" s="114">
        <f t="shared" si="38"/>
        <v>5312.3349999999973</v>
      </c>
      <c r="I168" s="114">
        <f t="shared" si="39"/>
        <v>16564.665000000001</v>
      </c>
      <c r="J168" s="115">
        <f t="shared" si="36"/>
        <v>249.10719125668442</v>
      </c>
      <c r="K168" s="390"/>
      <c r="L168" s="391"/>
      <c r="M168" s="40"/>
      <c r="N168" s="150"/>
      <c r="O168" s="40"/>
      <c r="P168" s="40"/>
      <c r="Q168" s="40"/>
      <c r="R168" s="40"/>
      <c r="S168" s="41"/>
      <c r="T168" s="41"/>
    </row>
    <row r="169" spans="1:20" s="12" customFormat="1" ht="13.5" customHeight="1">
      <c r="A169" s="222">
        <v>141</v>
      </c>
      <c r="B169" s="218">
        <v>2</v>
      </c>
      <c r="C169" s="295" t="s">
        <v>59</v>
      </c>
      <c r="D169" s="113">
        <v>129</v>
      </c>
      <c r="E169" s="82">
        <f>VLOOKUP(D169,'Deck Tally'!$B$5:$C$288,2,0)</f>
        <v>36.25</v>
      </c>
      <c r="F169" s="114">
        <f t="shared" si="35"/>
        <v>35.912500000000001</v>
      </c>
      <c r="G169" s="114" t="s">
        <v>58</v>
      </c>
      <c r="H169" s="114">
        <f t="shared" si="38"/>
        <v>5348.2474999999977</v>
      </c>
      <c r="I169" s="114">
        <f t="shared" si="39"/>
        <v>16528.752500000002</v>
      </c>
      <c r="J169" s="115">
        <f t="shared" si="36"/>
        <v>249.97998297746364</v>
      </c>
      <c r="K169" s="390"/>
      <c r="L169" s="391"/>
      <c r="M169" s="40"/>
      <c r="N169" s="40"/>
      <c r="O169" s="40"/>
      <c r="P169" s="40"/>
      <c r="Q169" s="40"/>
      <c r="R169" s="40"/>
      <c r="S169" s="41"/>
      <c r="T169" s="41"/>
    </row>
    <row r="170" spans="1:20" s="12" customFormat="1" ht="13.5" customHeight="1">
      <c r="A170" s="222">
        <v>142</v>
      </c>
      <c r="B170" s="218">
        <v>2</v>
      </c>
      <c r="C170" s="295" t="s">
        <v>59</v>
      </c>
      <c r="D170" s="113">
        <v>128</v>
      </c>
      <c r="E170" s="82">
        <f>VLOOKUP(D170,'Deck Tally'!$B$5:$C$288,2,0)</f>
        <v>36.520000000000003</v>
      </c>
      <c r="F170" s="114">
        <f t="shared" si="35"/>
        <v>36.182500000000005</v>
      </c>
      <c r="G170" s="114" t="s">
        <v>58</v>
      </c>
      <c r="H170" s="114">
        <f t="shared" si="38"/>
        <v>5384.4299999999976</v>
      </c>
      <c r="I170" s="114">
        <f t="shared" si="39"/>
        <v>16492.570000000003</v>
      </c>
      <c r="J170" s="115">
        <f t="shared" si="36"/>
        <v>250.85933658517948</v>
      </c>
      <c r="K170" s="390"/>
      <c r="L170" s="391"/>
      <c r="M170" s="40"/>
      <c r="N170" s="163"/>
      <c r="O170" s="40"/>
      <c r="P170" s="40"/>
      <c r="Q170" s="40"/>
      <c r="R170" s="40"/>
      <c r="S170" s="41"/>
      <c r="T170" s="41"/>
    </row>
    <row r="171" spans="1:20" s="12" customFormat="1" ht="13.5" customHeight="1">
      <c r="A171" s="222">
        <v>143</v>
      </c>
      <c r="B171" s="218">
        <v>2</v>
      </c>
      <c r="C171" s="295" t="s">
        <v>59</v>
      </c>
      <c r="D171" s="113">
        <v>127</v>
      </c>
      <c r="E171" s="82">
        <f>VLOOKUP(D171,'Deck Tally'!$B$5:$C$288,2,0)</f>
        <v>36.22</v>
      </c>
      <c r="F171" s="114">
        <f>E171-($D$12/12)</f>
        <v>35.8825</v>
      </c>
      <c r="G171" s="114" t="s">
        <v>58</v>
      </c>
      <c r="H171" s="114">
        <f t="shared" si="38"/>
        <v>5420.3124999999973</v>
      </c>
      <c r="I171" s="114">
        <f t="shared" si="39"/>
        <v>16456.687500000004</v>
      </c>
      <c r="J171" s="115">
        <f t="shared" si="36"/>
        <v>251.73139920741013</v>
      </c>
      <c r="K171" s="350"/>
      <c r="L171" s="351"/>
      <c r="M171" s="40"/>
      <c r="N171" s="40"/>
      <c r="O171" s="40"/>
      <c r="P171" s="40"/>
      <c r="Q171" s="40"/>
      <c r="R171" s="40"/>
      <c r="S171" s="41"/>
      <c r="T171" s="41"/>
    </row>
    <row r="172" spans="1:20" s="12" customFormat="1" ht="13.5" customHeight="1">
      <c r="A172" s="222">
        <v>144</v>
      </c>
      <c r="B172" s="218">
        <v>2</v>
      </c>
      <c r="C172" s="295" t="s">
        <v>59</v>
      </c>
      <c r="D172" s="113">
        <v>126</v>
      </c>
      <c r="E172" s="82">
        <f>VLOOKUP(D172,'Deck Tally'!$B$5:$C$288,2,0)</f>
        <v>36.75</v>
      </c>
      <c r="F172" s="114">
        <f>E172-($D$12/12)</f>
        <v>36.412500000000001</v>
      </c>
      <c r="G172" s="114" t="s">
        <v>58</v>
      </c>
      <c r="H172" s="114">
        <f t="shared" si="38"/>
        <v>5456.7249999999976</v>
      </c>
      <c r="I172" s="114">
        <f t="shared" si="39"/>
        <v>16420.275000000001</v>
      </c>
      <c r="J172" s="115">
        <f t="shared" si="36"/>
        <v>252.61634257066456</v>
      </c>
      <c r="K172" s="350"/>
      <c r="L172" s="351"/>
      <c r="M172" s="40"/>
      <c r="N172" s="40"/>
      <c r="O172" s="40"/>
      <c r="P172" s="40"/>
      <c r="Q172" s="40"/>
      <c r="R172" s="40"/>
      <c r="S172" s="41"/>
      <c r="T172" s="41"/>
    </row>
    <row r="173" spans="1:20" s="12" customFormat="1" ht="13.5" customHeight="1">
      <c r="A173" s="222">
        <v>145</v>
      </c>
      <c r="B173" s="218">
        <v>2</v>
      </c>
      <c r="C173" s="295" t="s">
        <v>59</v>
      </c>
      <c r="D173" s="113">
        <v>125</v>
      </c>
      <c r="E173" s="82">
        <f>VLOOKUP(D173,'Deck Tally'!$B$5:$C$288,2,0)</f>
        <v>36.29</v>
      </c>
      <c r="F173" s="114">
        <f t="shared" si="35"/>
        <v>35.952500000000001</v>
      </c>
      <c r="G173" s="114" t="s">
        <v>58</v>
      </c>
      <c r="H173" s="114">
        <f t="shared" si="38"/>
        <v>5492.677499999998</v>
      </c>
      <c r="I173" s="114">
        <f t="shared" si="39"/>
        <v>16384.322500000002</v>
      </c>
      <c r="J173" s="115">
        <f t="shared" si="36"/>
        <v>253.49010642284182</v>
      </c>
      <c r="K173" s="350"/>
      <c r="L173" s="351"/>
      <c r="M173" s="40"/>
      <c r="N173" s="40"/>
      <c r="O173" s="40"/>
      <c r="P173" s="40"/>
      <c r="Q173" s="40"/>
      <c r="R173" s="40"/>
      <c r="S173" s="41"/>
      <c r="T173" s="41"/>
    </row>
    <row r="174" spans="1:20" s="12" customFormat="1" ht="13.5" customHeight="1">
      <c r="A174" s="222">
        <v>146</v>
      </c>
      <c r="B174" s="218">
        <v>2</v>
      </c>
      <c r="C174" s="295" t="s">
        <v>59</v>
      </c>
      <c r="D174" s="113">
        <v>124</v>
      </c>
      <c r="E174" s="82">
        <f>VLOOKUP(D174,'Deck Tally'!$B$5:$C$288,2,0)</f>
        <v>36.89</v>
      </c>
      <c r="F174" s="114">
        <f t="shared" si="35"/>
        <v>36.552500000000002</v>
      </c>
      <c r="G174" s="82" t="s">
        <v>58</v>
      </c>
      <c r="H174" s="114">
        <f t="shared" si="38"/>
        <v>5529.2299999999977</v>
      </c>
      <c r="I174" s="114">
        <f t="shared" si="39"/>
        <v>16347.770000000002</v>
      </c>
      <c r="J174" s="115">
        <f t="shared" si="36"/>
        <v>254.37845224598922</v>
      </c>
      <c r="K174" s="350" t="s">
        <v>66</v>
      </c>
      <c r="L174" s="351"/>
      <c r="M174" s="40"/>
      <c r="N174" s="40"/>
      <c r="O174" s="40"/>
      <c r="P174" s="40"/>
      <c r="Q174" s="40"/>
      <c r="R174" s="40"/>
      <c r="S174" s="41"/>
      <c r="T174" s="41"/>
    </row>
    <row r="175" spans="1:20" s="12" customFormat="1" ht="13.5" customHeight="1">
      <c r="A175" s="222">
        <v>147</v>
      </c>
      <c r="B175" s="218">
        <v>2</v>
      </c>
      <c r="C175" s="295" t="s">
        <v>59</v>
      </c>
      <c r="D175" s="113">
        <v>123</v>
      </c>
      <c r="E175" s="82">
        <f>VLOOKUP(D175,'Deck Tally'!$B$5:$C$288,2,0)</f>
        <v>37.49</v>
      </c>
      <c r="F175" s="114">
        <f t="shared" si="35"/>
        <v>37.152500000000003</v>
      </c>
      <c r="G175" s="82" t="s">
        <v>58</v>
      </c>
      <c r="H175" s="114">
        <f t="shared" si="38"/>
        <v>5566.3824999999979</v>
      </c>
      <c r="I175" s="114">
        <f t="shared" si="39"/>
        <v>16310.617500000002</v>
      </c>
      <c r="J175" s="115">
        <f t="shared" si="36"/>
        <v>255.28138004010688</v>
      </c>
      <c r="K175" s="350"/>
      <c r="L175" s="351"/>
      <c r="M175" s="40"/>
      <c r="N175" s="40"/>
      <c r="O175" s="40"/>
      <c r="P175" s="40"/>
      <c r="Q175" s="40"/>
      <c r="R175" s="40"/>
      <c r="S175" s="41"/>
      <c r="T175" s="41"/>
    </row>
    <row r="176" spans="1:20" s="12" customFormat="1" ht="13.5" customHeight="1">
      <c r="A176" s="222">
        <v>148</v>
      </c>
      <c r="B176" s="218">
        <v>2</v>
      </c>
      <c r="C176" s="295" t="s">
        <v>59</v>
      </c>
      <c r="D176" s="113">
        <v>122</v>
      </c>
      <c r="E176" s="82">
        <f>VLOOKUP(D176,'Deck Tally'!$B$5:$C$288,2,0)</f>
        <v>37.130000000000003</v>
      </c>
      <c r="F176" s="114">
        <f t="shared" si="35"/>
        <v>36.792500000000004</v>
      </c>
      <c r="G176" s="82" t="s">
        <v>58</v>
      </c>
      <c r="H176" s="114">
        <f t="shared" si="38"/>
        <v>5603.1749999999975</v>
      </c>
      <c r="I176" s="114">
        <f t="shared" si="39"/>
        <v>16273.825000000003</v>
      </c>
      <c r="J176" s="115">
        <f t="shared" si="36"/>
        <v>256.1755586516424</v>
      </c>
      <c r="K176" s="350"/>
      <c r="L176" s="351"/>
      <c r="M176" s="40"/>
      <c r="N176" s="40"/>
      <c r="O176" s="40"/>
      <c r="P176" s="40"/>
      <c r="Q176" s="40"/>
      <c r="R176" s="40"/>
      <c r="S176" s="41"/>
      <c r="T176" s="41"/>
    </row>
    <row r="177" spans="1:20" s="12" customFormat="1" ht="13.5" customHeight="1">
      <c r="A177" s="222">
        <v>149</v>
      </c>
      <c r="B177" s="218">
        <v>2</v>
      </c>
      <c r="C177" s="295" t="s">
        <v>59</v>
      </c>
      <c r="D177" s="113">
        <v>121</v>
      </c>
      <c r="E177" s="82">
        <f>VLOOKUP(D177,'Deck Tally'!$B$5:$C$288,2,0)</f>
        <v>37.28</v>
      </c>
      <c r="F177" s="114">
        <f t="shared" si="35"/>
        <v>36.942500000000003</v>
      </c>
      <c r="G177" s="82" t="s">
        <v>58</v>
      </c>
      <c r="H177" s="114">
        <f t="shared" si="38"/>
        <v>5640.1174999999976</v>
      </c>
      <c r="I177" s="114">
        <f t="shared" si="39"/>
        <v>16236.882500000003</v>
      </c>
      <c r="J177" s="115">
        <f t="shared" si="36"/>
        <v>257.07338275592053</v>
      </c>
      <c r="K177" s="350"/>
      <c r="L177" s="351"/>
      <c r="M177" s="40"/>
      <c r="N177" s="40"/>
      <c r="O177" s="40"/>
      <c r="P177" s="40"/>
      <c r="Q177" s="40"/>
      <c r="R177" s="40"/>
      <c r="S177" s="41"/>
      <c r="T177" s="41"/>
    </row>
    <row r="178" spans="1:20" s="12" customFormat="1" ht="13.5" customHeight="1">
      <c r="A178" s="222">
        <v>150</v>
      </c>
      <c r="B178" s="218">
        <v>2</v>
      </c>
      <c r="C178" s="295" t="s">
        <v>59</v>
      </c>
      <c r="D178" s="113">
        <v>120</v>
      </c>
      <c r="E178" s="82">
        <f>VLOOKUP(D178,'Deck Tally'!$B$5:$C$288,2,0)</f>
        <v>37.61</v>
      </c>
      <c r="F178" s="114">
        <f t="shared" si="35"/>
        <v>37.272500000000001</v>
      </c>
      <c r="G178" s="82" t="s">
        <v>58</v>
      </c>
      <c r="H178" s="114">
        <f t="shared" si="38"/>
        <v>5677.3899999999976</v>
      </c>
      <c r="I178" s="114">
        <f t="shared" si="39"/>
        <v>16199.610000000002</v>
      </c>
      <c r="J178" s="115">
        <f t="shared" si="36"/>
        <v>257.97922694423221</v>
      </c>
      <c r="K178" s="350"/>
      <c r="L178" s="351"/>
      <c r="M178" s="40"/>
      <c r="N178" s="40"/>
      <c r="O178" s="40"/>
      <c r="P178" s="40"/>
      <c r="Q178" s="40"/>
      <c r="R178" s="40"/>
      <c r="S178" s="41"/>
      <c r="T178" s="41"/>
    </row>
    <row r="179" spans="1:20" s="12" customFormat="1" ht="13.5" customHeight="1">
      <c r="A179" s="222">
        <v>151</v>
      </c>
      <c r="B179" s="218">
        <v>2</v>
      </c>
      <c r="C179" s="295" t="s">
        <v>59</v>
      </c>
      <c r="D179" s="113">
        <v>119</v>
      </c>
      <c r="E179" s="82">
        <f>VLOOKUP(D179,'Deck Tally'!$B$5:$C$288,2,0)</f>
        <v>37.04</v>
      </c>
      <c r="F179" s="114">
        <f t="shared" si="35"/>
        <v>36.702500000000001</v>
      </c>
      <c r="G179" s="82" t="s">
        <v>58</v>
      </c>
      <c r="H179" s="114">
        <f t="shared" si="38"/>
        <v>5714.0924999999979</v>
      </c>
      <c r="I179" s="114">
        <f t="shared" si="39"/>
        <v>16162.907500000001</v>
      </c>
      <c r="J179" s="115">
        <f t="shared" si="36"/>
        <v>258.87121826012219</v>
      </c>
      <c r="K179" s="350"/>
      <c r="L179" s="351"/>
      <c r="M179" s="40"/>
      <c r="N179" s="40"/>
      <c r="O179" s="40"/>
      <c r="P179" s="40"/>
      <c r="Q179" s="40"/>
      <c r="R179" s="40"/>
      <c r="S179" s="41"/>
      <c r="T179" s="41"/>
    </row>
    <row r="180" spans="1:20" s="12" customFormat="1" ht="13.5" customHeight="1">
      <c r="A180" s="222">
        <v>152</v>
      </c>
      <c r="B180" s="218">
        <v>2</v>
      </c>
      <c r="C180" s="295" t="s">
        <v>59</v>
      </c>
      <c r="D180" s="113">
        <v>118</v>
      </c>
      <c r="E180" s="82">
        <f>VLOOKUP(D180,'Deck Tally'!$B$5:$C$288,2,0)</f>
        <v>37.380000000000003</v>
      </c>
      <c r="F180" s="114">
        <f t="shared" si="35"/>
        <v>37.042500000000004</v>
      </c>
      <c r="G180" s="82" t="s">
        <v>58</v>
      </c>
      <c r="H180" s="114">
        <f t="shared" si="38"/>
        <v>5751.1349999999975</v>
      </c>
      <c r="I180" s="114">
        <f t="shared" si="39"/>
        <v>16125.865000000002</v>
      </c>
      <c r="J180" s="115">
        <f t="shared" si="36"/>
        <v>259.77147269289526</v>
      </c>
      <c r="K180" s="350"/>
      <c r="L180" s="351"/>
      <c r="M180" s="40"/>
      <c r="N180" s="40"/>
      <c r="O180" s="40"/>
      <c r="P180" s="40"/>
      <c r="Q180" s="40"/>
      <c r="R180" s="40"/>
      <c r="S180" s="41"/>
      <c r="T180" s="41"/>
    </row>
    <row r="181" spans="1:20" s="12" customFormat="1" ht="13.5" customHeight="1">
      <c r="A181" s="222">
        <v>153</v>
      </c>
      <c r="B181" s="218">
        <v>2</v>
      </c>
      <c r="C181" s="295" t="s">
        <v>59</v>
      </c>
      <c r="D181" s="113">
        <v>117</v>
      </c>
      <c r="E181" s="82">
        <f>VLOOKUP(D181,'Deck Tally'!$B$5:$C$288,2,0)</f>
        <v>37.43</v>
      </c>
      <c r="F181" s="114">
        <f t="shared" si="35"/>
        <v>37.092500000000001</v>
      </c>
      <c r="G181" s="82" t="s">
        <v>58</v>
      </c>
      <c r="H181" s="114">
        <f t="shared" si="38"/>
        <v>5788.2274999999972</v>
      </c>
      <c r="I181" s="114">
        <f t="shared" si="39"/>
        <v>16088.772500000003</v>
      </c>
      <c r="J181" s="115">
        <f t="shared" si="36"/>
        <v>260.67294228991591</v>
      </c>
      <c r="K181" s="350"/>
      <c r="L181" s="351"/>
      <c r="M181" s="40"/>
      <c r="N181" s="40"/>
      <c r="O181" s="40"/>
      <c r="P181" s="40"/>
      <c r="Q181" s="40"/>
      <c r="R181" s="40"/>
      <c r="S181" s="41"/>
      <c r="T181" s="41"/>
    </row>
    <row r="182" spans="1:20" s="12" customFormat="1" ht="13.5" customHeight="1">
      <c r="A182" s="222">
        <v>154</v>
      </c>
      <c r="B182" s="218">
        <v>2</v>
      </c>
      <c r="C182" s="295" t="s">
        <v>59</v>
      </c>
      <c r="D182" s="113">
        <v>116</v>
      </c>
      <c r="E182" s="82">
        <f>VLOOKUP(D182,'Deck Tally'!$B$5:$C$288,2,0)</f>
        <v>37.24</v>
      </c>
      <c r="F182" s="114">
        <f t="shared" si="35"/>
        <v>36.902500000000003</v>
      </c>
      <c r="G182" s="82" t="s">
        <v>58</v>
      </c>
      <c r="H182" s="114">
        <f t="shared" si="38"/>
        <v>5825.1299999999974</v>
      </c>
      <c r="I182" s="114">
        <f t="shared" si="39"/>
        <v>16051.870000000003</v>
      </c>
      <c r="J182" s="115">
        <f t="shared" si="36"/>
        <v>261.56979426279599</v>
      </c>
      <c r="K182" s="390"/>
      <c r="L182" s="391"/>
      <c r="M182" s="40"/>
      <c r="N182" s="40"/>
      <c r="O182" s="40"/>
      <c r="P182" s="40"/>
      <c r="Q182" s="40"/>
      <c r="R182" s="40"/>
      <c r="S182" s="41"/>
      <c r="T182" s="41"/>
    </row>
    <row r="183" spans="1:20" s="12" customFormat="1" ht="15" customHeight="1">
      <c r="A183" s="222">
        <v>155</v>
      </c>
      <c r="B183" s="218">
        <v>2</v>
      </c>
      <c r="C183" s="295" t="s">
        <v>59</v>
      </c>
      <c r="D183" s="113">
        <v>115</v>
      </c>
      <c r="E183" s="82">
        <f>VLOOKUP(D183,'Deck Tally'!$B$5:$C$288,2,0)</f>
        <v>37.229999999999997</v>
      </c>
      <c r="F183" s="114">
        <f t="shared" si="35"/>
        <v>36.892499999999998</v>
      </c>
      <c r="G183" s="82" t="s">
        <v>58</v>
      </c>
      <c r="H183" s="114">
        <f t="shared" si="38"/>
        <v>5862.0224999999973</v>
      </c>
      <c r="I183" s="114">
        <f t="shared" si="39"/>
        <v>16014.977500000003</v>
      </c>
      <c r="J183" s="115">
        <f t="shared" si="36"/>
        <v>262.46640320282654</v>
      </c>
      <c r="K183" s="390"/>
      <c r="L183" s="391"/>
      <c r="M183" s="40"/>
      <c r="N183" s="216"/>
      <c r="O183" s="39"/>
      <c r="P183" s="40"/>
      <c r="Q183" s="40"/>
      <c r="R183" s="40"/>
      <c r="S183" s="41"/>
      <c r="T183" s="41"/>
    </row>
    <row r="184" spans="1:20" s="12" customFormat="1" ht="14.1" customHeight="1">
      <c r="A184" s="222">
        <v>156</v>
      </c>
      <c r="B184" s="218">
        <v>2</v>
      </c>
      <c r="C184" s="295" t="s">
        <v>59</v>
      </c>
      <c r="D184" s="113">
        <v>114</v>
      </c>
      <c r="E184" s="82">
        <f>VLOOKUP(D184,'Deck Tally'!$B$5:$C$288,2,0)</f>
        <v>36.65</v>
      </c>
      <c r="F184" s="114">
        <f t="shared" si="35"/>
        <v>36.3125</v>
      </c>
      <c r="G184" s="82" t="s">
        <v>58</v>
      </c>
      <c r="H184" s="114">
        <f t="shared" si="38"/>
        <v>5898.3349999999973</v>
      </c>
      <c r="I184" s="114">
        <f t="shared" si="39"/>
        <v>15978.665000000003</v>
      </c>
      <c r="J184" s="115">
        <f t="shared" si="36"/>
        <v>263.34891623758585</v>
      </c>
      <c r="K184" s="350"/>
      <c r="L184" s="351"/>
      <c r="M184" s="40"/>
      <c r="P184" s="40"/>
      <c r="Q184" s="40"/>
      <c r="R184" s="40"/>
      <c r="S184" s="41"/>
      <c r="T184" s="41"/>
    </row>
    <row r="185" spans="1:20" s="12" customFormat="1" ht="16.5">
      <c r="A185" s="222">
        <v>157</v>
      </c>
      <c r="B185" s="218">
        <v>2</v>
      </c>
      <c r="C185" s="295" t="s">
        <v>59</v>
      </c>
      <c r="D185" s="113">
        <v>113</v>
      </c>
      <c r="E185" s="82">
        <f>VLOOKUP(D185,'Deck Tally'!$B$5:$C$288,2,0)</f>
        <v>36.64</v>
      </c>
      <c r="F185" s="114">
        <f t="shared" si="35"/>
        <v>36.302500000000002</v>
      </c>
      <c r="G185" s="82" t="s">
        <v>58</v>
      </c>
      <c r="H185" s="114">
        <f t="shared" si="38"/>
        <v>5934.6374999999971</v>
      </c>
      <c r="I185" s="114">
        <f t="shared" si="39"/>
        <v>15942.362500000003</v>
      </c>
      <c r="J185" s="115">
        <f t="shared" si="36"/>
        <v>264.23118623949574</v>
      </c>
      <c r="K185" s="390"/>
      <c r="L185" s="391"/>
      <c r="M185" s="40"/>
      <c r="N185" s="40"/>
      <c r="O185" s="40"/>
      <c r="P185" s="40"/>
      <c r="Q185" s="40"/>
      <c r="R185" s="40"/>
      <c r="S185" s="41"/>
      <c r="T185" s="41"/>
    </row>
    <row r="186" spans="1:20" s="12" customFormat="1" ht="13.5" customHeight="1">
      <c r="A186" s="222">
        <v>158</v>
      </c>
      <c r="B186" s="218">
        <v>2</v>
      </c>
      <c r="C186" s="295" t="s">
        <v>59</v>
      </c>
      <c r="D186" s="113">
        <v>112</v>
      </c>
      <c r="E186" s="82">
        <f>VLOOKUP(D186,'Deck Tally'!$B$5:$C$288,2,0)</f>
        <v>36.619999999999997</v>
      </c>
      <c r="F186" s="114">
        <f>E186-($D$12/12)</f>
        <v>36.282499999999999</v>
      </c>
      <c r="G186" s="82" t="s">
        <v>58</v>
      </c>
      <c r="H186" s="114">
        <f t="shared" si="38"/>
        <v>5970.9199999999973</v>
      </c>
      <c r="I186" s="114">
        <f t="shared" si="39"/>
        <v>15906.080000000002</v>
      </c>
      <c r="J186" s="115">
        <f t="shared" si="36"/>
        <v>265.11297017570655</v>
      </c>
      <c r="K186" s="350"/>
      <c r="L186" s="351"/>
      <c r="M186" s="40"/>
      <c r="N186" s="40"/>
      <c r="P186" s="40"/>
      <c r="Q186" s="40"/>
      <c r="R186" s="40"/>
      <c r="S186" s="41"/>
      <c r="T186" s="41"/>
    </row>
    <row r="187" spans="1:20" s="12" customFormat="1" ht="13.5" customHeight="1">
      <c r="A187" s="222">
        <v>159</v>
      </c>
      <c r="B187" s="218">
        <v>2</v>
      </c>
      <c r="C187" s="295" t="s">
        <v>59</v>
      </c>
      <c r="D187" s="113">
        <v>111</v>
      </c>
      <c r="E187" s="82">
        <f>VLOOKUP(D187,'Deck Tally'!$B$5:$C$288,2,0)</f>
        <v>37.29</v>
      </c>
      <c r="F187" s="114">
        <f t="shared" si="35"/>
        <v>36.952500000000001</v>
      </c>
      <c r="G187" s="82" t="s">
        <v>58</v>
      </c>
      <c r="H187" s="114">
        <f t="shared" si="38"/>
        <v>6007.8724999999977</v>
      </c>
      <c r="I187" s="114">
        <f t="shared" si="39"/>
        <v>15869.127500000002</v>
      </c>
      <c r="J187" s="115">
        <f t="shared" si="36"/>
        <v>266.01103731283411</v>
      </c>
      <c r="K187" s="350"/>
      <c r="L187" s="351"/>
      <c r="M187" s="40"/>
      <c r="N187" s="40"/>
      <c r="O187" s="40"/>
      <c r="P187" s="40"/>
      <c r="Q187" s="40"/>
      <c r="R187" s="40"/>
      <c r="S187" s="41"/>
      <c r="T187" s="41"/>
    </row>
    <row r="188" spans="1:20" s="12" customFormat="1" ht="13.5" customHeight="1">
      <c r="A188" s="222">
        <v>160</v>
      </c>
      <c r="B188" s="218">
        <v>2</v>
      </c>
      <c r="C188" s="295" t="s">
        <v>59</v>
      </c>
      <c r="D188" s="113">
        <v>110</v>
      </c>
      <c r="E188" s="82">
        <f>VLOOKUP(D188,'Deck Tally'!$B$5:$C$288,2,0)</f>
        <v>36.26</v>
      </c>
      <c r="F188" s="114">
        <f t="shared" si="35"/>
        <v>35.922499999999999</v>
      </c>
      <c r="G188" s="82" t="s">
        <v>58</v>
      </c>
      <c r="H188" s="114">
        <f t="shared" si="38"/>
        <v>6043.7949999999973</v>
      </c>
      <c r="I188" s="114">
        <f t="shared" si="39"/>
        <v>15833.205000000002</v>
      </c>
      <c r="J188" s="115">
        <f t="shared" si="36"/>
        <v>266.88407206646286</v>
      </c>
      <c r="K188" s="350"/>
      <c r="L188" s="351"/>
      <c r="M188" s="40"/>
      <c r="N188" s="40"/>
      <c r="O188" s="40"/>
      <c r="P188" s="40"/>
      <c r="Q188" s="40"/>
      <c r="R188" s="40"/>
      <c r="S188" s="41"/>
      <c r="T188" s="41"/>
    </row>
    <row r="189" spans="1:20" s="45" customFormat="1" ht="13.5" customHeight="1">
      <c r="A189" s="222">
        <v>161</v>
      </c>
      <c r="B189" s="218">
        <v>2</v>
      </c>
      <c r="C189" s="295" t="s">
        <v>59</v>
      </c>
      <c r="D189" s="113">
        <v>109</v>
      </c>
      <c r="E189" s="82">
        <f>VLOOKUP(D189,'Deck Tally'!$B$5:$C$288,2,0)</f>
        <v>36.630000000000003</v>
      </c>
      <c r="F189" s="114">
        <f t="shared" si="35"/>
        <v>36.292500000000004</v>
      </c>
      <c r="G189" s="82" t="s">
        <v>58</v>
      </c>
      <c r="H189" s="114">
        <f t="shared" si="38"/>
        <v>6080.0874999999969</v>
      </c>
      <c r="I189" s="114">
        <f t="shared" si="39"/>
        <v>15796.912500000002</v>
      </c>
      <c r="J189" s="115">
        <f t="shared" si="36"/>
        <v>267.76609903552321</v>
      </c>
      <c r="K189" s="350"/>
      <c r="L189" s="351"/>
      <c r="M189" s="42"/>
      <c r="N189" s="42"/>
      <c r="O189" s="42"/>
      <c r="P189" s="42"/>
      <c r="Q189" s="42"/>
      <c r="R189" s="42"/>
      <c r="S189" s="43"/>
      <c r="T189" s="43"/>
    </row>
    <row r="190" spans="1:20" s="12" customFormat="1" ht="13.5" customHeight="1">
      <c r="A190" s="222">
        <v>162</v>
      </c>
      <c r="B190" s="218">
        <v>2</v>
      </c>
      <c r="C190" s="295" t="s">
        <v>59</v>
      </c>
      <c r="D190" s="113">
        <v>108</v>
      </c>
      <c r="E190" s="82">
        <f>VLOOKUP(D190,'Deck Tally'!$B$5:$C$288,2,0)</f>
        <v>36.54</v>
      </c>
      <c r="F190" s="114">
        <f t="shared" si="35"/>
        <v>36.202500000000001</v>
      </c>
      <c r="G190" s="82" t="s">
        <v>58</v>
      </c>
      <c r="H190" s="114">
        <f t="shared" si="38"/>
        <v>6116.2899999999972</v>
      </c>
      <c r="I190" s="114">
        <f t="shared" si="39"/>
        <v>15760.710000000003</v>
      </c>
      <c r="J190" s="115">
        <f t="shared" si="36"/>
        <v>268.64593870893805</v>
      </c>
      <c r="K190" s="350"/>
      <c r="L190" s="351"/>
      <c r="M190" s="40"/>
      <c r="N190" s="40"/>
      <c r="O190" s="40"/>
      <c r="P190" s="40"/>
      <c r="Q190" s="40"/>
      <c r="R190" s="40"/>
      <c r="S190" s="41"/>
      <c r="T190" s="41"/>
    </row>
    <row r="191" spans="1:20" s="12" customFormat="1" ht="13.5" customHeight="1">
      <c r="A191" s="222">
        <v>163</v>
      </c>
      <c r="B191" s="218">
        <v>2</v>
      </c>
      <c r="C191" s="295" t="s">
        <v>59</v>
      </c>
      <c r="D191" s="113">
        <v>107</v>
      </c>
      <c r="E191" s="82">
        <f>VLOOKUP(D191,'Deck Tally'!$B$5:$C$288,2,0)</f>
        <v>35.24</v>
      </c>
      <c r="F191" s="82">
        <f t="shared" si="35"/>
        <v>34.902500000000003</v>
      </c>
      <c r="G191" s="82" t="s">
        <v>58</v>
      </c>
      <c r="H191" s="82">
        <f t="shared" si="38"/>
        <v>6151.1924999999974</v>
      </c>
      <c r="I191" s="114">
        <f t="shared" si="39"/>
        <v>15725.807500000003</v>
      </c>
      <c r="J191" s="115">
        <f t="shared" si="36"/>
        <v>269.49418411191743</v>
      </c>
      <c r="K191" s="350"/>
      <c r="L191" s="351"/>
      <c r="M191" s="40"/>
      <c r="N191" s="40"/>
      <c r="O191" s="40"/>
      <c r="P191" s="40"/>
      <c r="Q191" s="40"/>
      <c r="R191" s="40"/>
      <c r="S191" s="41"/>
      <c r="T191" s="41"/>
    </row>
    <row r="192" spans="1:20" s="12" customFormat="1" ht="13.5" customHeight="1">
      <c r="A192" s="222">
        <v>164</v>
      </c>
      <c r="B192" s="218">
        <v>2</v>
      </c>
      <c r="C192" s="295" t="s">
        <v>59</v>
      </c>
      <c r="D192" s="113">
        <v>106</v>
      </c>
      <c r="E192" s="82">
        <f>VLOOKUP(D192,'Deck Tally'!$B$5:$C$288,2,0)</f>
        <v>37.229999999999997</v>
      </c>
      <c r="F192" s="114">
        <f t="shared" si="35"/>
        <v>36.892499999999998</v>
      </c>
      <c r="G192" s="82" t="s">
        <v>58</v>
      </c>
      <c r="H192" s="114">
        <f t="shared" si="38"/>
        <v>6188.0849999999973</v>
      </c>
      <c r="I192" s="114">
        <f t="shared" si="39"/>
        <v>15688.915000000003</v>
      </c>
      <c r="J192" s="115">
        <f t="shared" si="36"/>
        <v>270.39079305194798</v>
      </c>
      <c r="K192" s="350"/>
      <c r="L192" s="351"/>
      <c r="M192" s="40"/>
      <c r="N192" s="40"/>
      <c r="O192" s="40"/>
      <c r="P192" s="40"/>
      <c r="Q192" s="40"/>
      <c r="R192" s="40"/>
      <c r="S192" s="41"/>
      <c r="T192" s="41"/>
    </row>
    <row r="193" spans="1:20" s="12" customFormat="1" ht="13.5" customHeight="1">
      <c r="A193" s="222">
        <v>165</v>
      </c>
      <c r="B193" s="219">
        <v>2</v>
      </c>
      <c r="C193" s="295" t="s">
        <v>59</v>
      </c>
      <c r="D193" s="113">
        <v>105</v>
      </c>
      <c r="E193" s="82">
        <f>VLOOKUP(D193,'Deck Tally'!$B$5:$C$288,2,0)</f>
        <v>36.409999999999997</v>
      </c>
      <c r="F193" s="82">
        <f t="shared" si="35"/>
        <v>36.072499999999998</v>
      </c>
      <c r="G193" s="82" t="s">
        <v>58</v>
      </c>
      <c r="H193" s="82">
        <f t="shared" si="38"/>
        <v>6224.1574999999975</v>
      </c>
      <c r="I193" s="82">
        <f t="shared" si="39"/>
        <v>15652.842500000002</v>
      </c>
      <c r="J193" s="115">
        <f t="shared" si="36"/>
        <v>271.26747329831926</v>
      </c>
      <c r="K193" s="350"/>
      <c r="L193" s="351"/>
      <c r="M193" s="40"/>
      <c r="N193" s="40"/>
      <c r="O193" s="40"/>
      <c r="P193" s="40"/>
      <c r="Q193" s="40"/>
      <c r="R193" s="40"/>
      <c r="S193" s="41"/>
      <c r="T193" s="41"/>
    </row>
    <row r="194" spans="1:20" s="12" customFormat="1" ht="13.5" customHeight="1">
      <c r="A194" s="222">
        <v>166</v>
      </c>
      <c r="B194" s="218">
        <v>2</v>
      </c>
      <c r="C194" s="295" t="s">
        <v>59</v>
      </c>
      <c r="D194" s="113">
        <v>104</v>
      </c>
      <c r="E194" s="82">
        <f>VLOOKUP(D194,'Deck Tally'!$B$5:$C$288,2,0)</f>
        <v>35.58</v>
      </c>
      <c r="F194" s="114">
        <f t="shared" si="35"/>
        <v>35.2425</v>
      </c>
      <c r="G194" s="82" t="s">
        <v>58</v>
      </c>
      <c r="H194" s="82">
        <f t="shared" si="38"/>
        <v>6259.3999999999978</v>
      </c>
      <c r="I194" s="82">
        <f t="shared" si="39"/>
        <v>15617.600000000002</v>
      </c>
      <c r="J194" s="115">
        <f t="shared" si="36"/>
        <v>272.12398181818173</v>
      </c>
      <c r="K194" s="350"/>
      <c r="L194" s="351"/>
      <c r="M194" s="40"/>
      <c r="N194" s="78"/>
      <c r="O194" s="40"/>
      <c r="P194" s="40"/>
      <c r="Q194" s="40"/>
      <c r="R194" s="40"/>
      <c r="S194" s="41"/>
      <c r="T194" s="41"/>
    </row>
    <row r="195" spans="1:20" s="12" customFormat="1" ht="13.5" customHeight="1">
      <c r="A195" s="222">
        <v>167</v>
      </c>
      <c r="B195" s="218">
        <v>2</v>
      </c>
      <c r="C195" s="295" t="s">
        <v>59</v>
      </c>
      <c r="D195" s="113">
        <v>103</v>
      </c>
      <c r="E195" s="82">
        <f>VLOOKUP(D195,'Deck Tally'!$B$5:$C$288,2,0)</f>
        <v>37.090000000000003</v>
      </c>
      <c r="F195" s="114">
        <f t="shared" si="35"/>
        <v>36.752500000000005</v>
      </c>
      <c r="G195" s="82" t="s">
        <v>58</v>
      </c>
      <c r="H195" s="82">
        <f t="shared" ref="H195:H206" si="40">IF(G195="IN",H194+F195,H194)</f>
        <v>6296.1524999999974</v>
      </c>
      <c r="I195" s="82">
        <f t="shared" ref="I195:I206" si="41">IF(H195="","",$K$8-H195)</f>
        <v>15580.847500000003</v>
      </c>
      <c r="J195" s="115">
        <f t="shared" ref="J195:J206" si="42">$G$8+(H195*$D$9*$G$10/1000)</f>
        <v>273.0171882983193</v>
      </c>
      <c r="K195" s="350"/>
      <c r="L195" s="351"/>
      <c r="M195" s="40"/>
      <c r="N195" s="40"/>
      <c r="O195" s="40"/>
      <c r="P195" s="40"/>
      <c r="Q195" s="40"/>
      <c r="R195" s="40"/>
      <c r="S195" s="41"/>
      <c r="T195" s="41"/>
    </row>
    <row r="196" spans="1:20" s="12" customFormat="1" ht="13.5" customHeight="1">
      <c r="A196" s="222">
        <v>168</v>
      </c>
      <c r="B196" s="218">
        <v>2</v>
      </c>
      <c r="C196" s="295" t="s">
        <v>59</v>
      </c>
      <c r="D196" s="113">
        <v>102</v>
      </c>
      <c r="E196" s="82">
        <f>VLOOKUP(D196,'Deck Tally'!$B$5:$C$288,2,0)</f>
        <v>36.92</v>
      </c>
      <c r="F196" s="114">
        <f t="shared" si="35"/>
        <v>36.582500000000003</v>
      </c>
      <c r="G196" s="82" t="s">
        <v>58</v>
      </c>
      <c r="H196" s="82">
        <f t="shared" si="40"/>
        <v>6332.7349999999979</v>
      </c>
      <c r="I196" s="82">
        <f t="shared" si="41"/>
        <v>15544.265000000003</v>
      </c>
      <c r="J196" s="115">
        <f t="shared" si="42"/>
        <v>273.90626322001521</v>
      </c>
      <c r="K196" s="350"/>
      <c r="L196" s="351"/>
      <c r="M196" s="40"/>
      <c r="N196" s="40"/>
      <c r="O196" s="40"/>
      <c r="P196" s="40"/>
      <c r="Q196" s="40"/>
      <c r="R196" s="40"/>
      <c r="S196" s="41"/>
      <c r="T196" s="41"/>
    </row>
    <row r="197" spans="1:20" s="12" customFormat="1" ht="14.1" customHeight="1">
      <c r="A197" s="222">
        <v>169</v>
      </c>
      <c r="B197" s="218">
        <v>2</v>
      </c>
      <c r="C197" s="295" t="s">
        <v>59</v>
      </c>
      <c r="D197" s="113">
        <v>101</v>
      </c>
      <c r="E197" s="114">
        <f>VLOOKUP(D197,'Deck Tally'!$B$5:$C$288,2,0)</f>
        <v>37.68</v>
      </c>
      <c r="F197" s="114">
        <f>E197-($D$12/12)</f>
        <v>37.342500000000001</v>
      </c>
      <c r="G197" s="114" t="s">
        <v>58</v>
      </c>
      <c r="H197" s="114">
        <f t="shared" si="40"/>
        <v>6370.0774999999976</v>
      </c>
      <c r="I197" s="114">
        <f t="shared" si="41"/>
        <v>15506.922500000002</v>
      </c>
      <c r="J197" s="115">
        <f t="shared" si="42"/>
        <v>274.81380863827343</v>
      </c>
      <c r="K197" s="350"/>
      <c r="L197" s="351"/>
      <c r="M197" s="40"/>
      <c r="N197" s="216"/>
      <c r="O197" s="39"/>
      <c r="P197" s="40"/>
      <c r="Q197" s="40"/>
      <c r="R197" s="40"/>
      <c r="S197" s="41"/>
      <c r="T197" s="41"/>
    </row>
    <row r="198" spans="1:20" s="12" customFormat="1" ht="15.6" customHeight="1">
      <c r="A198" s="222">
        <v>170</v>
      </c>
      <c r="B198" s="218">
        <v>2</v>
      </c>
      <c r="C198" s="295" t="s">
        <v>59</v>
      </c>
      <c r="D198" s="113">
        <v>100</v>
      </c>
      <c r="E198" s="82">
        <f>VLOOKUP(D198,'Deck Tally'!$B$5:$C$288,2,0)</f>
        <v>37.46</v>
      </c>
      <c r="F198" s="114">
        <f>E198-($D$12/12)</f>
        <v>37.122500000000002</v>
      </c>
      <c r="G198" s="114" t="s">
        <v>58</v>
      </c>
      <c r="H198" s="82">
        <f t="shared" ref="H198:H203" si="43">IF(G198="IN",H197+F198,H197)</f>
        <v>6407.199999999998</v>
      </c>
      <c r="I198" s="82">
        <f t="shared" ref="I198:I203" si="44">IF(H198="","",$K$8-H198)</f>
        <v>15469.800000000003</v>
      </c>
      <c r="J198" s="115">
        <f t="shared" si="42"/>
        <v>275.71600733384258</v>
      </c>
      <c r="K198" s="350"/>
      <c r="L198" s="351"/>
      <c r="M198" s="40"/>
      <c r="N198" s="216"/>
      <c r="O198" s="39"/>
      <c r="P198" s="40"/>
      <c r="Q198" s="40"/>
      <c r="R198" s="40"/>
      <c r="S198" s="41"/>
      <c r="T198" s="41"/>
    </row>
    <row r="199" spans="1:20" s="12" customFormat="1" ht="13.5" customHeight="1">
      <c r="A199" s="222">
        <v>171</v>
      </c>
      <c r="B199" s="218">
        <v>2</v>
      </c>
      <c r="C199" s="295" t="s">
        <v>59</v>
      </c>
      <c r="D199" s="113">
        <v>99</v>
      </c>
      <c r="E199" s="114">
        <f>VLOOKUP(D199,'Deck Tally'!$B$5:$C$288,2,0)</f>
        <v>36.57</v>
      </c>
      <c r="F199" s="114">
        <f>E199-($D$12/12)</f>
        <v>36.232500000000002</v>
      </c>
      <c r="G199" s="114" t="s">
        <v>58</v>
      </c>
      <c r="H199" s="82">
        <f t="shared" si="43"/>
        <v>6443.4324999999981</v>
      </c>
      <c r="I199" s="82">
        <f t="shared" si="44"/>
        <v>15433.567500000001</v>
      </c>
      <c r="J199" s="118">
        <f t="shared" si="42"/>
        <v>276.59657610580587</v>
      </c>
      <c r="M199" s="40"/>
      <c r="P199" s="40"/>
      <c r="Q199" s="40"/>
      <c r="R199" s="40"/>
      <c r="S199" s="41"/>
      <c r="T199" s="41"/>
    </row>
    <row r="200" spans="1:20" s="12" customFormat="1" ht="18" customHeight="1">
      <c r="A200" s="222"/>
      <c r="B200" s="308">
        <v>1</v>
      </c>
      <c r="C200" s="309" t="s">
        <v>61</v>
      </c>
      <c r="D200" s="309" t="s">
        <v>212</v>
      </c>
      <c r="E200" s="310">
        <v>20.239999999999998</v>
      </c>
      <c r="F200" s="311">
        <f>E200-($D$12/12)</f>
        <v>19.9025</v>
      </c>
      <c r="G200" s="311" t="s">
        <v>58</v>
      </c>
      <c r="H200" s="311">
        <f t="shared" si="43"/>
        <v>6463.3349999999982</v>
      </c>
      <c r="I200" s="311">
        <f t="shared" si="44"/>
        <v>15413.665000000001</v>
      </c>
      <c r="J200" s="311">
        <f t="shared" si="42"/>
        <v>277.08027223453007</v>
      </c>
      <c r="K200" s="354" t="s">
        <v>220</v>
      </c>
      <c r="L200" s="355"/>
      <c r="M200" s="40"/>
      <c r="P200" s="40"/>
      <c r="Q200" s="40"/>
      <c r="R200" s="40"/>
      <c r="S200" s="41"/>
      <c r="T200" s="41"/>
    </row>
    <row r="201" spans="1:20" s="12" customFormat="1" ht="18.95" customHeight="1">
      <c r="A201" s="222">
        <v>172</v>
      </c>
      <c r="B201" s="218">
        <v>2</v>
      </c>
      <c r="C201" s="295" t="s">
        <v>59</v>
      </c>
      <c r="D201" s="318">
        <v>98</v>
      </c>
      <c r="E201" s="114">
        <f>VLOOKUP(D201,'Deck Tally'!$B$5:$C$288,2,0)</f>
        <v>37.31</v>
      </c>
      <c r="F201" s="114">
        <f t="shared" ref="F201" si="45">E201-($D$12/12)</f>
        <v>36.972500000000004</v>
      </c>
      <c r="G201" s="82" t="s">
        <v>58</v>
      </c>
      <c r="H201" s="114">
        <f t="shared" si="43"/>
        <v>6500.3074999999981</v>
      </c>
      <c r="I201" s="114">
        <f t="shared" si="44"/>
        <v>15376.692500000001</v>
      </c>
      <c r="J201" s="115">
        <f t="shared" si="42"/>
        <v>277.9788254373567</v>
      </c>
      <c r="K201" s="392" t="s">
        <v>279</v>
      </c>
      <c r="L201" s="393"/>
      <c r="M201" s="40"/>
      <c r="N201" s="216">
        <f>15417-L202</f>
        <v>7.3349999999991269</v>
      </c>
      <c r="O201" s="39" t="s">
        <v>62</v>
      </c>
      <c r="P201" s="40"/>
      <c r="Q201" s="40"/>
      <c r="R201" s="40"/>
      <c r="S201" s="41"/>
      <c r="T201" s="41"/>
    </row>
    <row r="202" spans="1:20" s="12" customFormat="1" ht="15.95" customHeight="1">
      <c r="A202" s="222"/>
      <c r="B202" s="308">
        <v>1</v>
      </c>
      <c r="C202" s="312" t="s">
        <v>59</v>
      </c>
      <c r="D202" s="313" t="s">
        <v>195</v>
      </c>
      <c r="E202" s="191">
        <v>37.01</v>
      </c>
      <c r="F202" s="191">
        <f>E202-($D$12/12)</f>
        <v>36.672499999999999</v>
      </c>
      <c r="G202" s="191" t="s">
        <v>58</v>
      </c>
      <c r="H202" s="191">
        <f t="shared" si="43"/>
        <v>6536.9799999999977</v>
      </c>
      <c r="I202" s="191">
        <f t="shared" si="44"/>
        <v>15340.020000000002</v>
      </c>
      <c r="J202" s="191">
        <f t="shared" si="42"/>
        <v>278.87008765469818</v>
      </c>
      <c r="K202" s="314" t="s">
        <v>63</v>
      </c>
      <c r="L202" s="315">
        <f>I200-4</f>
        <v>15409.665000000001</v>
      </c>
      <c r="M202" s="40"/>
      <c r="N202" s="216"/>
      <c r="O202" s="39"/>
      <c r="P202" s="40"/>
      <c r="Q202" s="40"/>
      <c r="R202" s="40"/>
      <c r="S202" s="41"/>
      <c r="T202" s="41"/>
    </row>
    <row r="203" spans="1:20" s="12" customFormat="1" ht="13.5" customHeight="1">
      <c r="A203" s="222">
        <v>173</v>
      </c>
      <c r="B203" s="218">
        <v>2</v>
      </c>
      <c r="C203" s="295" t="s">
        <v>59</v>
      </c>
      <c r="D203" s="113">
        <v>97</v>
      </c>
      <c r="E203" s="114">
        <f>VLOOKUP(D203,'Deck Tally'!$B$5:$C$288,2,0)</f>
        <v>37.130000000000003</v>
      </c>
      <c r="F203" s="114">
        <f t="shared" si="35"/>
        <v>36.792500000000004</v>
      </c>
      <c r="G203" s="114" t="s">
        <v>58</v>
      </c>
      <c r="H203" s="82">
        <f t="shared" si="43"/>
        <v>6573.7724999999973</v>
      </c>
      <c r="I203" s="82">
        <f t="shared" si="44"/>
        <v>15303.227500000003</v>
      </c>
      <c r="J203" s="118">
        <f t="shared" si="42"/>
        <v>279.76426626623368</v>
      </c>
      <c r="K203" s="153"/>
      <c r="L203" s="154"/>
      <c r="M203" s="40"/>
      <c r="N203" s="40"/>
      <c r="O203" s="40"/>
      <c r="P203" s="40"/>
      <c r="Q203" s="40"/>
      <c r="R203" s="40"/>
      <c r="S203" s="41"/>
      <c r="T203" s="41"/>
    </row>
    <row r="204" spans="1:20" s="12" customFormat="1" ht="13.5" customHeight="1">
      <c r="A204" s="222">
        <v>174</v>
      </c>
      <c r="B204" s="218">
        <v>2</v>
      </c>
      <c r="C204" s="295" t="s">
        <v>59</v>
      </c>
      <c r="D204" s="113">
        <v>96</v>
      </c>
      <c r="E204" s="114">
        <f>VLOOKUP(D204,'Deck Tally'!$B$5:$C$288,2,0)</f>
        <v>37.200000000000003</v>
      </c>
      <c r="F204" s="114">
        <f t="shared" si="35"/>
        <v>36.862500000000004</v>
      </c>
      <c r="G204" s="114" t="s">
        <v>58</v>
      </c>
      <c r="H204" s="82">
        <f t="shared" si="40"/>
        <v>6610.6349999999975</v>
      </c>
      <c r="I204" s="82">
        <f t="shared" si="41"/>
        <v>15266.365000000002</v>
      </c>
      <c r="J204" s="118">
        <f t="shared" si="42"/>
        <v>280.66014610771572</v>
      </c>
      <c r="K204" s="153"/>
      <c r="L204" s="154"/>
      <c r="M204" s="40"/>
      <c r="N204" s="40"/>
      <c r="O204" s="40"/>
      <c r="P204" s="40"/>
      <c r="Q204" s="40"/>
      <c r="R204" s="40"/>
      <c r="S204" s="41"/>
      <c r="T204" s="41"/>
    </row>
    <row r="205" spans="1:20" s="12" customFormat="1" ht="13.5" customHeight="1">
      <c r="A205" s="222">
        <v>175</v>
      </c>
      <c r="B205" s="219">
        <v>2</v>
      </c>
      <c r="C205" s="295" t="s">
        <v>59</v>
      </c>
      <c r="D205" s="113">
        <v>95</v>
      </c>
      <c r="E205" s="114">
        <f>VLOOKUP(D205,'Deck Tally'!$B$5:$C$288,2,0)</f>
        <v>37.229999999999997</v>
      </c>
      <c r="F205" s="114">
        <f t="shared" si="35"/>
        <v>36.892499999999998</v>
      </c>
      <c r="G205" s="114" t="s">
        <v>58</v>
      </c>
      <c r="H205" s="82">
        <f t="shared" si="40"/>
        <v>6647.5274999999974</v>
      </c>
      <c r="I205" s="82">
        <f t="shared" si="41"/>
        <v>15229.472500000003</v>
      </c>
      <c r="J205" s="118">
        <f t="shared" si="42"/>
        <v>281.55675504774626</v>
      </c>
      <c r="K205" s="384"/>
      <c r="L205" s="385"/>
      <c r="M205" s="40"/>
      <c r="N205" s="40"/>
      <c r="O205" s="40"/>
      <c r="P205" s="40"/>
      <c r="Q205" s="40"/>
      <c r="R205" s="40"/>
      <c r="S205" s="41"/>
      <c r="T205" s="41"/>
    </row>
    <row r="206" spans="1:20" s="12" customFormat="1" ht="13.5" customHeight="1">
      <c r="A206" s="222">
        <v>176</v>
      </c>
      <c r="B206" s="219">
        <v>2</v>
      </c>
      <c r="C206" s="295" t="s">
        <v>59</v>
      </c>
      <c r="D206" s="113">
        <v>94</v>
      </c>
      <c r="E206" s="114">
        <f>VLOOKUP(D206,'Deck Tally'!$B$5:$C$288,2,0)</f>
        <v>35.89</v>
      </c>
      <c r="F206" s="114">
        <f t="shared" si="35"/>
        <v>35.552500000000002</v>
      </c>
      <c r="G206" s="114" t="s">
        <v>58</v>
      </c>
      <c r="H206" s="82">
        <f t="shared" si="40"/>
        <v>6683.0799999999972</v>
      </c>
      <c r="I206" s="82">
        <f t="shared" si="41"/>
        <v>15193.920000000002</v>
      </c>
      <c r="J206" s="118">
        <f t="shared" si="42"/>
        <v>282.42079758594343</v>
      </c>
      <c r="K206" s="408"/>
      <c r="L206" s="409"/>
      <c r="M206" s="40"/>
      <c r="N206" s="40"/>
      <c r="O206" s="40"/>
      <c r="P206" s="40"/>
      <c r="Q206" s="40"/>
      <c r="R206" s="40"/>
      <c r="S206" s="41"/>
      <c r="T206" s="41"/>
    </row>
    <row r="207" spans="1:20" s="12" customFormat="1" ht="13.5" customHeight="1">
      <c r="A207" s="222">
        <v>177</v>
      </c>
      <c r="B207" s="219">
        <v>2</v>
      </c>
      <c r="C207" s="295" t="s">
        <v>59</v>
      </c>
      <c r="D207" s="113">
        <v>93</v>
      </c>
      <c r="E207" s="82">
        <f>VLOOKUP(D207,'Deck Tally'!$B$5:$C$288,2,0)</f>
        <v>37.020000000000003</v>
      </c>
      <c r="F207" s="82">
        <f t="shared" si="35"/>
        <v>36.682500000000005</v>
      </c>
      <c r="G207" s="82" t="s">
        <v>58</v>
      </c>
      <c r="H207" s="82">
        <f t="shared" si="38"/>
        <v>6719.7624999999971</v>
      </c>
      <c r="I207" s="82">
        <f t="shared" si="39"/>
        <v>15157.237500000003</v>
      </c>
      <c r="J207" s="118">
        <f t="shared" si="36"/>
        <v>283.31230283613439</v>
      </c>
      <c r="K207" s="158"/>
      <c r="L207" s="159"/>
      <c r="M207" s="40"/>
      <c r="N207" s="40"/>
      <c r="O207" s="40"/>
      <c r="P207" s="40"/>
      <c r="Q207" s="40"/>
      <c r="R207" s="40"/>
      <c r="S207" s="41"/>
      <c r="T207" s="41"/>
    </row>
    <row r="208" spans="1:20" s="12" customFormat="1" ht="13.5" customHeight="1">
      <c r="A208" s="222">
        <v>178</v>
      </c>
      <c r="B208" s="219">
        <v>2</v>
      </c>
      <c r="C208" s="295" t="s">
        <v>59</v>
      </c>
      <c r="D208" s="113">
        <v>92</v>
      </c>
      <c r="E208" s="82">
        <f>VLOOKUP(D208,'Deck Tally'!$B$5:$C$288,2,0)</f>
        <v>37.36</v>
      </c>
      <c r="F208" s="82">
        <f t="shared" si="35"/>
        <v>37.022500000000001</v>
      </c>
      <c r="G208" s="82" t="s">
        <v>58</v>
      </c>
      <c r="H208" s="82">
        <f t="shared" si="38"/>
        <v>6756.7849999999971</v>
      </c>
      <c r="I208" s="82">
        <f t="shared" si="39"/>
        <v>15120.215000000004</v>
      </c>
      <c r="J208" s="118">
        <f t="shared" si="36"/>
        <v>284.21207120320844</v>
      </c>
      <c r="K208" s="158"/>
      <c r="L208" s="159"/>
      <c r="M208" s="40"/>
      <c r="N208" s="40"/>
      <c r="O208" s="40"/>
      <c r="P208" s="40"/>
      <c r="Q208" s="40"/>
      <c r="R208" s="40"/>
      <c r="S208" s="41"/>
      <c r="T208" s="41"/>
    </row>
    <row r="209" spans="1:20" s="12" customFormat="1" ht="13.5" customHeight="1">
      <c r="A209" s="222">
        <v>179</v>
      </c>
      <c r="B209" s="219">
        <v>2</v>
      </c>
      <c r="C209" s="295" t="s">
        <v>59</v>
      </c>
      <c r="D209" s="113">
        <v>91</v>
      </c>
      <c r="E209" s="82">
        <f>VLOOKUP(D209,'Deck Tally'!$B$5:$C$288,2,0)</f>
        <v>37.36</v>
      </c>
      <c r="F209" s="82">
        <f t="shared" si="35"/>
        <v>37.022500000000001</v>
      </c>
      <c r="G209" s="82" t="s">
        <v>58</v>
      </c>
      <c r="H209" s="82">
        <f t="shared" si="38"/>
        <v>6793.8074999999972</v>
      </c>
      <c r="I209" s="82">
        <f t="shared" si="39"/>
        <v>15083.192500000003</v>
      </c>
      <c r="J209" s="118">
        <f t="shared" si="36"/>
        <v>285.11183957028254</v>
      </c>
      <c r="K209" s="151"/>
      <c r="L209" s="152"/>
      <c r="M209" s="40"/>
      <c r="N209" s="40"/>
      <c r="O209" s="40"/>
      <c r="P209" s="40"/>
      <c r="Q209" s="40"/>
      <c r="R209" s="40"/>
      <c r="S209" s="41"/>
      <c r="T209" s="41"/>
    </row>
    <row r="210" spans="1:20" s="12" customFormat="1" ht="13.5" customHeight="1">
      <c r="A210" s="222">
        <v>180</v>
      </c>
      <c r="B210" s="219">
        <v>2</v>
      </c>
      <c r="C210" s="295" t="s">
        <v>59</v>
      </c>
      <c r="D210" s="113">
        <v>90</v>
      </c>
      <c r="E210" s="82">
        <f>VLOOKUP(D210,'Deck Tally'!$B$5:$C$288,2,0)</f>
        <v>37.299999999999997</v>
      </c>
      <c r="F210" s="82">
        <f t="shared" si="35"/>
        <v>36.962499999999999</v>
      </c>
      <c r="G210" s="82" t="s">
        <v>58</v>
      </c>
      <c r="H210" s="82">
        <f t="shared" ref="H210:H212" si="46">IF(G210="IN",H209+F210,H209)</f>
        <v>6830.7699999999968</v>
      </c>
      <c r="I210" s="82">
        <f t="shared" ref="I210:I212" si="47">IF(H210="","",$K$8-H210)</f>
        <v>15046.230000000003</v>
      </c>
      <c r="J210" s="118">
        <f t="shared" ref="J210:J212" si="48">$G$8+(H210*$D$9*$G$10/1000)</f>
        <v>286.01014974025964</v>
      </c>
      <c r="K210" s="390"/>
      <c r="L210" s="391"/>
      <c r="M210" s="40"/>
      <c r="N210" s="40"/>
      <c r="O210" s="40"/>
      <c r="P210" s="40"/>
      <c r="Q210" s="40"/>
      <c r="R210" s="40"/>
      <c r="S210" s="41"/>
      <c r="T210" s="41"/>
    </row>
    <row r="211" spans="1:20" s="12" customFormat="1" ht="16.5">
      <c r="A211" s="222">
        <v>181</v>
      </c>
      <c r="B211" s="219">
        <v>2</v>
      </c>
      <c r="C211" s="295" t="s">
        <v>59</v>
      </c>
      <c r="D211" s="113">
        <v>89</v>
      </c>
      <c r="E211" s="82">
        <f>VLOOKUP(D211,'Deck Tally'!$B$5:$C$288,2,0)</f>
        <v>37.01</v>
      </c>
      <c r="F211" s="82">
        <f t="shared" si="35"/>
        <v>36.672499999999999</v>
      </c>
      <c r="G211" s="82" t="s">
        <v>58</v>
      </c>
      <c r="H211" s="82">
        <f t="shared" si="46"/>
        <v>6867.4424999999965</v>
      </c>
      <c r="I211" s="82">
        <f t="shared" si="47"/>
        <v>15009.557500000003</v>
      </c>
      <c r="J211" s="118">
        <f t="shared" si="48"/>
        <v>286.90141195760111</v>
      </c>
      <c r="K211" s="390"/>
      <c r="L211" s="391"/>
      <c r="M211" s="40"/>
      <c r="N211" s="216"/>
      <c r="O211" s="39"/>
      <c r="P211" s="40"/>
      <c r="Q211" s="40"/>
      <c r="R211" s="40"/>
      <c r="S211" s="41"/>
      <c r="T211" s="41"/>
    </row>
    <row r="212" spans="1:20" s="12" customFormat="1" ht="13.5" customHeight="1">
      <c r="A212" s="222">
        <v>182</v>
      </c>
      <c r="B212" s="219">
        <v>2</v>
      </c>
      <c r="C212" s="295" t="s">
        <v>59</v>
      </c>
      <c r="D212" s="113">
        <v>88</v>
      </c>
      <c r="E212" s="82">
        <f>VLOOKUP(D212,'Deck Tally'!$B$5:$C$288,2,0)</f>
        <v>36.82</v>
      </c>
      <c r="F212" s="82">
        <f>E212-($D$12/12)</f>
        <v>36.482500000000002</v>
      </c>
      <c r="G212" s="82" t="s">
        <v>58</v>
      </c>
      <c r="H212" s="82">
        <f t="shared" si="46"/>
        <v>6903.9249999999965</v>
      </c>
      <c r="I212" s="82">
        <f t="shared" si="47"/>
        <v>14973.075000000004</v>
      </c>
      <c r="J212" s="118">
        <f t="shared" si="48"/>
        <v>287.78805655080203</v>
      </c>
      <c r="K212" s="390"/>
      <c r="L212" s="391"/>
      <c r="M212" s="40"/>
      <c r="N212" s="40"/>
      <c r="O212" s="40"/>
      <c r="P212" s="40"/>
      <c r="Q212" s="40"/>
      <c r="R212" s="40"/>
      <c r="S212" s="41"/>
      <c r="T212" s="41"/>
    </row>
    <row r="213" spans="1:20" s="12" customFormat="1" ht="13.5" customHeight="1">
      <c r="A213" s="222">
        <v>183</v>
      </c>
      <c r="B213" s="219">
        <v>2</v>
      </c>
      <c r="C213" s="295" t="s">
        <v>59</v>
      </c>
      <c r="D213" s="113">
        <v>87</v>
      </c>
      <c r="E213" s="82">
        <f>VLOOKUP(D213,'Deck Tally'!$B$5:$C$288,2,0)</f>
        <v>36.78</v>
      </c>
      <c r="F213" s="82">
        <f>E213-($D$12/12)</f>
        <v>36.442500000000003</v>
      </c>
      <c r="G213" s="82" t="s">
        <v>58</v>
      </c>
      <c r="H213" s="82">
        <f t="shared" ref="H213:H218" si="49">IF(G213="IN",H212+F213,H212)</f>
        <v>6940.3674999999967</v>
      </c>
      <c r="I213" s="82">
        <f t="shared" ref="I213:I218" si="50">IF(H213="","",$K$8-H213)</f>
        <v>14936.632500000003</v>
      </c>
      <c r="J213" s="118">
        <f t="shared" ref="J213:J218" si="51">$G$8+(H213*$D$9*$G$10/1000)</f>
        <v>288.67372901260495</v>
      </c>
      <c r="K213" s="158"/>
      <c r="L213" s="159"/>
      <c r="M213" s="40"/>
      <c r="N213" s="40"/>
      <c r="O213" s="40"/>
      <c r="P213" s="40"/>
      <c r="Q213" s="40"/>
      <c r="R213" s="40"/>
      <c r="S213" s="41"/>
      <c r="T213" s="41"/>
    </row>
    <row r="214" spans="1:20" s="12" customFormat="1" ht="16.5" customHeight="1">
      <c r="A214" s="222"/>
      <c r="B214" s="308">
        <v>1</v>
      </c>
      <c r="C214" s="312" t="s">
        <v>59</v>
      </c>
      <c r="D214" s="313" t="s">
        <v>194</v>
      </c>
      <c r="E214" s="191">
        <v>37.200000000000003</v>
      </c>
      <c r="F214" s="191">
        <f t="shared" ref="F214:F216" si="52">E214-($D$12/12)</f>
        <v>36.862500000000004</v>
      </c>
      <c r="G214" s="191" t="s">
        <v>58</v>
      </c>
      <c r="H214" s="191">
        <f t="shared" si="49"/>
        <v>6977.2299999999968</v>
      </c>
      <c r="I214" s="191">
        <f t="shared" si="50"/>
        <v>14899.770000000004</v>
      </c>
      <c r="J214" s="319">
        <f t="shared" si="51"/>
        <v>289.56960885408699</v>
      </c>
      <c r="K214" s="354" t="s">
        <v>272</v>
      </c>
      <c r="L214" s="355"/>
      <c r="M214" s="40"/>
      <c r="N214" s="40"/>
      <c r="O214" s="40"/>
      <c r="P214" s="40"/>
      <c r="Q214" s="40"/>
      <c r="R214" s="40"/>
      <c r="S214" s="41"/>
      <c r="T214" s="41"/>
    </row>
    <row r="215" spans="1:20" s="12" customFormat="1" ht="18.95" customHeight="1">
      <c r="A215" s="222">
        <v>184</v>
      </c>
      <c r="B215" s="219">
        <v>2</v>
      </c>
      <c r="C215" s="295" t="s">
        <v>59</v>
      </c>
      <c r="D215" s="318">
        <v>86</v>
      </c>
      <c r="E215" s="82">
        <f>VLOOKUP(D215,'Deck Tally'!$B$5:$C$288,2,0)</f>
        <v>37.19</v>
      </c>
      <c r="F215" s="82">
        <f t="shared" si="52"/>
        <v>36.852499999999999</v>
      </c>
      <c r="G215" s="82" t="s">
        <v>58</v>
      </c>
      <c r="H215" s="82">
        <f t="shared" si="49"/>
        <v>7014.0824999999968</v>
      </c>
      <c r="I215" s="82">
        <f t="shared" si="50"/>
        <v>14862.917500000003</v>
      </c>
      <c r="J215" s="118">
        <f t="shared" si="51"/>
        <v>290.46524566271955</v>
      </c>
      <c r="K215" s="392" t="s">
        <v>280</v>
      </c>
      <c r="L215" s="393"/>
      <c r="M215" s="40"/>
      <c r="N215" s="216">
        <f>14914-L216</f>
        <v>18.229999999995925</v>
      </c>
      <c r="O215" s="39" t="s">
        <v>62</v>
      </c>
      <c r="P215" s="40"/>
      <c r="Q215" s="40"/>
      <c r="R215" s="40"/>
      <c r="S215" s="41"/>
      <c r="T215" s="41"/>
    </row>
    <row r="216" spans="1:20" s="12" customFormat="1" ht="17.45" customHeight="1">
      <c r="A216" s="222"/>
      <c r="B216" s="308">
        <v>1</v>
      </c>
      <c r="C216" s="309" t="s">
        <v>64</v>
      </c>
      <c r="D216" s="309" t="s">
        <v>205</v>
      </c>
      <c r="E216" s="311">
        <v>10.3</v>
      </c>
      <c r="F216" s="311">
        <f t="shared" si="52"/>
        <v>9.9625000000000004</v>
      </c>
      <c r="G216" s="311" t="s">
        <v>58</v>
      </c>
      <c r="H216" s="311">
        <f t="shared" si="49"/>
        <v>7024.0449999999964</v>
      </c>
      <c r="I216" s="311">
        <f t="shared" si="50"/>
        <v>14852.955000000004</v>
      </c>
      <c r="J216" s="320">
        <f t="shared" si="51"/>
        <v>290.70736713903739</v>
      </c>
      <c r="K216" s="314" t="s">
        <v>65</v>
      </c>
      <c r="L216" s="315">
        <f>I214-4</f>
        <v>14895.770000000004</v>
      </c>
      <c r="M216" s="40"/>
      <c r="N216" s="40"/>
      <c r="O216" s="40"/>
      <c r="P216" s="40"/>
      <c r="Q216" s="40"/>
      <c r="R216" s="40"/>
      <c r="S216" s="41"/>
      <c r="T216" s="41"/>
    </row>
    <row r="217" spans="1:20" s="12" customFormat="1" ht="13.5" customHeight="1">
      <c r="A217" s="222">
        <v>185</v>
      </c>
      <c r="B217" s="219">
        <v>2</v>
      </c>
      <c r="C217" s="295" t="s">
        <v>59</v>
      </c>
      <c r="D217" s="113">
        <v>85</v>
      </c>
      <c r="E217" s="82">
        <f>VLOOKUP(D217,'Deck Tally'!$B$5:$C$288,2,0)</f>
        <v>37</v>
      </c>
      <c r="F217" s="82">
        <f t="shared" si="35"/>
        <v>36.662500000000001</v>
      </c>
      <c r="G217" s="82" t="s">
        <v>58</v>
      </c>
      <c r="H217" s="82">
        <f t="shared" si="49"/>
        <v>7060.7074999999968</v>
      </c>
      <c r="I217" s="82">
        <f t="shared" si="50"/>
        <v>14816.292500000003</v>
      </c>
      <c r="J217" s="118">
        <f t="shared" si="51"/>
        <v>291.59838632352933</v>
      </c>
      <c r="K217" s="158"/>
      <c r="L217" s="159"/>
      <c r="M217" s="40"/>
      <c r="N217" s="40"/>
      <c r="O217" s="40"/>
      <c r="P217" s="40"/>
      <c r="Q217" s="40"/>
      <c r="R217" s="40"/>
      <c r="S217" s="41"/>
      <c r="T217" s="41"/>
    </row>
    <row r="218" spans="1:20" s="12" customFormat="1" ht="13.5" customHeight="1">
      <c r="A218" s="222">
        <v>186</v>
      </c>
      <c r="B218" s="219">
        <v>2</v>
      </c>
      <c r="C218" s="295" t="s">
        <v>59</v>
      </c>
      <c r="D218" s="113">
        <v>84</v>
      </c>
      <c r="E218" s="82">
        <f>VLOOKUP(D218,'Deck Tally'!$B$5:$C$288,2,0)</f>
        <v>36.36</v>
      </c>
      <c r="F218" s="82">
        <f t="shared" si="35"/>
        <v>36.022500000000001</v>
      </c>
      <c r="G218" s="82" t="s">
        <v>58</v>
      </c>
      <c r="H218" s="82">
        <f t="shared" si="49"/>
        <v>7096.7299999999968</v>
      </c>
      <c r="I218" s="82">
        <f t="shared" si="50"/>
        <v>14780.270000000004</v>
      </c>
      <c r="J218" s="118">
        <f t="shared" si="51"/>
        <v>292.47385140565308</v>
      </c>
      <c r="K218" s="158"/>
      <c r="L218" s="159"/>
      <c r="M218" s="40"/>
      <c r="N218" s="40"/>
      <c r="O218" s="40"/>
      <c r="P218" s="40"/>
      <c r="Q218" s="40"/>
      <c r="R218" s="40"/>
      <c r="S218" s="41"/>
      <c r="T218" s="41"/>
    </row>
    <row r="219" spans="1:20" s="12" customFormat="1" ht="13.5" customHeight="1">
      <c r="A219" s="222">
        <v>187</v>
      </c>
      <c r="B219" s="219">
        <v>2</v>
      </c>
      <c r="C219" s="295" t="s">
        <v>59</v>
      </c>
      <c r="D219" s="113">
        <v>83</v>
      </c>
      <c r="E219" s="82">
        <f>VLOOKUP(D219,'Deck Tally'!$B$5:$C$288,2,0)</f>
        <v>36.520000000000003</v>
      </c>
      <c r="F219" s="82">
        <f t="shared" ref="F219:F231" si="53">E219-($D$12/12)</f>
        <v>36.182500000000005</v>
      </c>
      <c r="G219" s="82" t="s">
        <v>58</v>
      </c>
      <c r="H219" s="82">
        <f t="shared" si="38"/>
        <v>7132.9124999999967</v>
      </c>
      <c r="I219" s="82">
        <f t="shared" si="39"/>
        <v>14744.087500000003</v>
      </c>
      <c r="J219" s="118">
        <f t="shared" si="36"/>
        <v>293.35320501336889</v>
      </c>
      <c r="K219" s="158"/>
      <c r="L219" s="159"/>
      <c r="M219" s="40"/>
      <c r="N219" s="40"/>
      <c r="O219" s="40"/>
      <c r="P219" s="40"/>
      <c r="Q219" s="40"/>
      <c r="R219" s="40"/>
      <c r="S219" s="41"/>
      <c r="T219" s="41"/>
    </row>
    <row r="220" spans="1:20" s="12" customFormat="1" ht="13.5" customHeight="1">
      <c r="A220" s="222">
        <v>188</v>
      </c>
      <c r="B220" s="219">
        <v>2</v>
      </c>
      <c r="C220" s="295" t="s">
        <v>59</v>
      </c>
      <c r="D220" s="113">
        <v>82</v>
      </c>
      <c r="E220" s="82">
        <f>VLOOKUP(D220,'Deck Tally'!$B$5:$C$288,2,0)</f>
        <v>37.369999999999997</v>
      </c>
      <c r="F220" s="82">
        <f t="shared" si="53"/>
        <v>37.032499999999999</v>
      </c>
      <c r="G220" s="82" t="s">
        <v>58</v>
      </c>
      <c r="H220" s="82">
        <f t="shared" si="38"/>
        <v>7169.944999999997</v>
      </c>
      <c r="I220" s="82">
        <f t="shared" si="39"/>
        <v>14707.055000000004</v>
      </c>
      <c r="J220" s="118">
        <f t="shared" si="36"/>
        <v>294.25321641329253</v>
      </c>
      <c r="K220" s="153"/>
      <c r="L220" s="154"/>
      <c r="M220" s="40"/>
      <c r="N220" s="40"/>
      <c r="O220" s="40"/>
      <c r="P220" s="40"/>
      <c r="Q220" s="40"/>
      <c r="R220" s="40"/>
      <c r="S220" s="41"/>
      <c r="T220" s="41"/>
    </row>
    <row r="221" spans="1:20" s="12" customFormat="1" ht="13.5" customHeight="1">
      <c r="A221" s="222">
        <v>189</v>
      </c>
      <c r="B221" s="219">
        <v>2</v>
      </c>
      <c r="C221" s="295" t="s">
        <v>59</v>
      </c>
      <c r="D221" s="113">
        <v>81</v>
      </c>
      <c r="E221" s="82">
        <f>VLOOKUP(D221,'Deck Tally'!$B$5:$C$288,2,0)</f>
        <v>37.22</v>
      </c>
      <c r="F221" s="82">
        <f t="shared" si="53"/>
        <v>36.8825</v>
      </c>
      <c r="G221" s="82" t="s">
        <v>58</v>
      </c>
      <c r="H221" s="82">
        <f t="shared" si="38"/>
        <v>7206.8274999999967</v>
      </c>
      <c r="I221" s="82">
        <f t="shared" si="39"/>
        <v>14670.172500000004</v>
      </c>
      <c r="J221" s="118">
        <f t="shared" si="36"/>
        <v>295.14958232047354</v>
      </c>
      <c r="K221" s="384"/>
      <c r="L221" s="385"/>
      <c r="M221" s="40"/>
      <c r="N221" s="40"/>
      <c r="O221" s="40"/>
      <c r="P221" s="40"/>
      <c r="Q221" s="40"/>
      <c r="R221" s="40"/>
      <c r="S221" s="41"/>
      <c r="T221" s="41"/>
    </row>
    <row r="222" spans="1:20" s="12" customFormat="1" ht="13.5" customHeight="1">
      <c r="A222" s="222">
        <v>190</v>
      </c>
      <c r="B222" s="219">
        <v>2</v>
      </c>
      <c r="C222" s="295" t="s">
        <v>59</v>
      </c>
      <c r="D222" s="113">
        <v>80</v>
      </c>
      <c r="E222" s="114">
        <f>VLOOKUP(D222,'Deck Tally'!$B$5:$C$288,2,0)</f>
        <v>37.24</v>
      </c>
      <c r="F222" s="114">
        <f t="shared" si="53"/>
        <v>36.902500000000003</v>
      </c>
      <c r="G222" s="114" t="s">
        <v>58</v>
      </c>
      <c r="H222" s="114">
        <f t="shared" si="38"/>
        <v>7243.7299999999968</v>
      </c>
      <c r="I222" s="114">
        <f t="shared" si="39"/>
        <v>14633.270000000004</v>
      </c>
      <c r="J222" s="115">
        <f t="shared" si="36"/>
        <v>296.04643429335363</v>
      </c>
      <c r="K222" s="406"/>
      <c r="L222" s="407"/>
      <c r="M222" s="40"/>
      <c r="N222" s="40"/>
      <c r="O222" s="40"/>
      <c r="P222" s="40"/>
      <c r="Q222" s="40"/>
      <c r="R222" s="40"/>
      <c r="S222" s="41"/>
      <c r="T222" s="41"/>
    </row>
    <row r="223" spans="1:20" s="12" customFormat="1" ht="13.5" customHeight="1">
      <c r="A223" s="222">
        <v>191</v>
      </c>
      <c r="B223" s="219">
        <v>2</v>
      </c>
      <c r="C223" s="295" t="s">
        <v>59</v>
      </c>
      <c r="D223" s="113">
        <v>79</v>
      </c>
      <c r="E223" s="82">
        <f>VLOOKUP(D223,'Deck Tally'!$B$5:$C$288,2,0)</f>
        <v>37.380000000000003</v>
      </c>
      <c r="F223" s="82">
        <f t="shared" si="53"/>
        <v>37.042500000000004</v>
      </c>
      <c r="G223" s="82" t="s">
        <v>58</v>
      </c>
      <c r="H223" s="82">
        <f t="shared" si="38"/>
        <v>7280.7724999999964</v>
      </c>
      <c r="I223" s="82">
        <f t="shared" si="39"/>
        <v>14596.227500000005</v>
      </c>
      <c r="J223" s="118">
        <f t="shared" si="36"/>
        <v>296.94668872612669</v>
      </c>
      <c r="K223" s="406"/>
      <c r="L223" s="407"/>
      <c r="M223" s="40"/>
      <c r="N223" s="40"/>
      <c r="O223" s="40"/>
      <c r="P223" s="40"/>
      <c r="Q223" s="40"/>
      <c r="R223" s="40"/>
      <c r="S223" s="41"/>
      <c r="T223" s="41"/>
    </row>
    <row r="224" spans="1:20" s="12" customFormat="1" ht="13.5" customHeight="1">
      <c r="A224" s="222">
        <v>192</v>
      </c>
      <c r="B224" s="219">
        <v>2</v>
      </c>
      <c r="C224" s="295" t="s">
        <v>59</v>
      </c>
      <c r="D224" s="113">
        <v>78</v>
      </c>
      <c r="E224" s="82">
        <f>VLOOKUP(D224,'Deck Tally'!$B$5:$C$288,2,0)</f>
        <v>36.81</v>
      </c>
      <c r="F224" s="82">
        <f t="shared" si="53"/>
        <v>36.472500000000004</v>
      </c>
      <c r="G224" s="82" t="s">
        <v>58</v>
      </c>
      <c r="H224" s="82">
        <f t="shared" si="38"/>
        <v>7317.2449999999963</v>
      </c>
      <c r="I224" s="82">
        <f t="shared" si="39"/>
        <v>14559.755000000005</v>
      </c>
      <c r="J224" s="118">
        <f t="shared" si="36"/>
        <v>297.83309028647813</v>
      </c>
      <c r="K224" s="406"/>
      <c r="L224" s="407"/>
      <c r="M224" s="40"/>
      <c r="N224" s="40"/>
      <c r="O224" s="40"/>
      <c r="P224" s="40"/>
      <c r="Q224" s="40"/>
      <c r="R224" s="40"/>
      <c r="S224" s="41"/>
      <c r="T224" s="41"/>
    </row>
    <row r="225" spans="1:20" s="12" customFormat="1" ht="13.5" customHeight="1">
      <c r="A225" s="222">
        <v>193</v>
      </c>
      <c r="B225" s="219">
        <v>2</v>
      </c>
      <c r="C225" s="295" t="s">
        <v>59</v>
      </c>
      <c r="D225" s="113">
        <v>77</v>
      </c>
      <c r="E225" s="82">
        <f>VLOOKUP(D225,'Deck Tally'!$B$5:$C$288,2,0)</f>
        <v>37.659999999999997</v>
      </c>
      <c r="F225" s="82">
        <f t="shared" si="53"/>
        <v>37.322499999999998</v>
      </c>
      <c r="G225" s="82" t="s">
        <v>58</v>
      </c>
      <c r="H225" s="82">
        <f t="shared" si="38"/>
        <v>7354.5674999999965</v>
      </c>
      <c r="I225" s="82">
        <f t="shared" si="39"/>
        <v>14522.432500000003</v>
      </c>
      <c r="J225" s="118">
        <f t="shared" si="36"/>
        <v>298.74014963903733</v>
      </c>
      <c r="K225" s="406"/>
      <c r="L225" s="407"/>
      <c r="M225" s="40"/>
      <c r="N225" s="40"/>
      <c r="O225" s="40"/>
      <c r="P225" s="40"/>
      <c r="Q225" s="40"/>
      <c r="R225" s="40"/>
      <c r="S225" s="41"/>
      <c r="T225" s="41"/>
    </row>
    <row r="226" spans="1:20" s="12" customFormat="1" ht="13.5" customHeight="1">
      <c r="A226" s="222">
        <v>194</v>
      </c>
      <c r="B226" s="219">
        <v>2</v>
      </c>
      <c r="C226" s="295" t="s">
        <v>59</v>
      </c>
      <c r="D226" s="113">
        <v>76</v>
      </c>
      <c r="E226" s="82">
        <f>VLOOKUP(D226,'Deck Tally'!$B$5:$C$288,2,0)</f>
        <v>36.43</v>
      </c>
      <c r="F226" s="82">
        <f t="shared" si="53"/>
        <v>36.092500000000001</v>
      </c>
      <c r="G226" s="82" t="s">
        <v>58</v>
      </c>
      <c r="H226" s="82">
        <f t="shared" si="38"/>
        <v>7390.6599999999962</v>
      </c>
      <c r="I226" s="82">
        <f t="shared" si="39"/>
        <v>14486.340000000004</v>
      </c>
      <c r="J226" s="118">
        <f t="shared" si="36"/>
        <v>299.61731595110763</v>
      </c>
      <c r="K226" s="406"/>
      <c r="L226" s="407"/>
      <c r="M226" s="40"/>
      <c r="N226" s="40"/>
      <c r="O226" s="40"/>
      <c r="P226" s="40"/>
      <c r="Q226" s="40"/>
      <c r="R226" s="40"/>
      <c r="S226" s="41"/>
      <c r="T226" s="41"/>
    </row>
    <row r="227" spans="1:20" s="12" customFormat="1" ht="13.5" customHeight="1">
      <c r="A227" s="222">
        <v>195</v>
      </c>
      <c r="B227" s="219">
        <v>2</v>
      </c>
      <c r="C227" s="295" t="s">
        <v>59</v>
      </c>
      <c r="D227" s="113">
        <v>75</v>
      </c>
      <c r="E227" s="82">
        <f>VLOOKUP(D227,'Deck Tally'!$B$5:$C$288,2,0)</f>
        <v>37.659999999999997</v>
      </c>
      <c r="F227" s="82">
        <f t="shared" si="53"/>
        <v>37.322499999999998</v>
      </c>
      <c r="G227" s="82" t="s">
        <v>58</v>
      </c>
      <c r="H227" s="82">
        <f t="shared" ref="H227:H271" si="54">IF(G227="IN",H226+F227,H226)</f>
        <v>7427.9824999999964</v>
      </c>
      <c r="I227" s="82">
        <f t="shared" ref="I227:I271" si="55">IF(H227="","",$K$8-H227)</f>
        <v>14449.017500000004</v>
      </c>
      <c r="J227" s="118">
        <f t="shared" ref="J227:J271" si="56">$G$8+(H227*$D$9*$G$10/1000)</f>
        <v>300.52437530366683</v>
      </c>
      <c r="K227" s="158"/>
      <c r="L227" s="159"/>
      <c r="M227" s="40"/>
      <c r="N227" s="40"/>
      <c r="O227" s="40"/>
      <c r="P227" s="40"/>
      <c r="Q227" s="40"/>
      <c r="R227" s="40"/>
      <c r="S227" s="41"/>
      <c r="T227" s="41"/>
    </row>
    <row r="228" spans="1:20" s="12" customFormat="1" ht="13.5" customHeight="1">
      <c r="A228" s="222">
        <v>196</v>
      </c>
      <c r="B228" s="219">
        <v>2</v>
      </c>
      <c r="C228" s="295" t="s">
        <v>59</v>
      </c>
      <c r="D228" s="113">
        <v>74</v>
      </c>
      <c r="E228" s="82">
        <f>VLOOKUP(D228,'Deck Tally'!$B$5:$C$288,2,0)</f>
        <v>37.36</v>
      </c>
      <c r="F228" s="82">
        <f t="shared" si="53"/>
        <v>37.022500000000001</v>
      </c>
      <c r="G228" s="82" t="s">
        <v>58</v>
      </c>
      <c r="H228" s="82">
        <f t="shared" si="54"/>
        <v>7465.0049999999965</v>
      </c>
      <c r="I228" s="82">
        <f t="shared" si="55"/>
        <v>14411.995000000003</v>
      </c>
      <c r="J228" s="118">
        <f t="shared" si="56"/>
        <v>301.42414367074093</v>
      </c>
      <c r="K228" s="384"/>
      <c r="L228" s="385"/>
      <c r="M228" s="40"/>
      <c r="N228" s="40"/>
      <c r="O228" s="40"/>
      <c r="P228" s="40"/>
      <c r="Q228" s="40"/>
      <c r="R228" s="40"/>
      <c r="S228" s="41"/>
      <c r="T228" s="41"/>
    </row>
    <row r="229" spans="1:20" s="12" customFormat="1" ht="14.45" customHeight="1">
      <c r="A229" s="222">
        <v>197</v>
      </c>
      <c r="B229" s="218">
        <v>2</v>
      </c>
      <c r="C229" s="295" t="s">
        <v>59</v>
      </c>
      <c r="D229" s="113">
        <v>73</v>
      </c>
      <c r="E229" s="114">
        <f>VLOOKUP(D229,'Deck Tally'!$B$5:$C$288,2,0)</f>
        <v>36.380000000000003</v>
      </c>
      <c r="F229" s="114">
        <f t="shared" si="53"/>
        <v>36.042500000000004</v>
      </c>
      <c r="G229" s="114" t="s">
        <v>58</v>
      </c>
      <c r="H229" s="114">
        <f t="shared" si="54"/>
        <v>7501.047499999996</v>
      </c>
      <c r="I229" s="114">
        <f t="shared" si="55"/>
        <v>14375.952500000003</v>
      </c>
      <c r="J229" s="115">
        <f t="shared" si="56"/>
        <v>302.30009481856371</v>
      </c>
      <c r="K229" s="384"/>
      <c r="L229" s="385"/>
      <c r="M229" s="40"/>
      <c r="N229" s="40"/>
      <c r="O229" s="40"/>
      <c r="P229" s="40"/>
      <c r="Q229" s="40"/>
      <c r="R229" s="40"/>
      <c r="S229" s="41"/>
      <c r="T229" s="41"/>
    </row>
    <row r="230" spans="1:20" s="12" customFormat="1" ht="13.5" customHeight="1">
      <c r="A230" s="222">
        <v>198</v>
      </c>
      <c r="B230" s="218">
        <v>2</v>
      </c>
      <c r="C230" s="295" t="s">
        <v>59</v>
      </c>
      <c r="D230" s="113">
        <v>72</v>
      </c>
      <c r="E230" s="114">
        <f>VLOOKUP(D230,'Deck Tally'!$B$5:$C$288,2,0)</f>
        <v>36.17</v>
      </c>
      <c r="F230" s="114">
        <f t="shared" si="53"/>
        <v>35.832500000000003</v>
      </c>
      <c r="G230" s="114" t="s">
        <v>58</v>
      </c>
      <c r="H230" s="114">
        <f t="shared" si="54"/>
        <v>7536.8799999999965</v>
      </c>
      <c r="I230" s="114">
        <f t="shared" si="55"/>
        <v>14340.120000000003</v>
      </c>
      <c r="J230" s="115">
        <f t="shared" si="56"/>
        <v>303.17094227654684</v>
      </c>
      <c r="K230" s="396"/>
      <c r="L230" s="397"/>
      <c r="M230" s="40"/>
      <c r="P230" s="40"/>
      <c r="Q230" s="40"/>
      <c r="R230" s="40"/>
      <c r="S230" s="41"/>
      <c r="T230" s="41"/>
    </row>
    <row r="231" spans="1:20" s="12" customFormat="1" ht="14.45" customHeight="1">
      <c r="A231" s="222">
        <v>199</v>
      </c>
      <c r="B231" s="219">
        <v>2</v>
      </c>
      <c r="C231" s="295" t="s">
        <v>59</v>
      </c>
      <c r="D231" s="113">
        <v>71</v>
      </c>
      <c r="E231" s="82">
        <f>VLOOKUP(D231,'Deck Tally'!$B$5:$C$288,2,0)</f>
        <v>36.69</v>
      </c>
      <c r="F231" s="82">
        <f t="shared" si="53"/>
        <v>36.352499999999999</v>
      </c>
      <c r="G231" s="82" t="s">
        <v>58</v>
      </c>
      <c r="H231" s="82">
        <f t="shared" si="54"/>
        <v>7573.2324999999964</v>
      </c>
      <c r="I231" s="114">
        <f t="shared" si="55"/>
        <v>14303.767500000004</v>
      </c>
      <c r="J231" s="118">
        <f t="shared" si="56"/>
        <v>304.05442744270431</v>
      </c>
      <c r="K231" s="478"/>
      <c r="L231" s="479"/>
      <c r="M231" s="40"/>
      <c r="N231" s="216"/>
      <c r="O231" s="39"/>
      <c r="P231" s="40"/>
      <c r="Q231" s="40"/>
      <c r="R231" s="40"/>
      <c r="S231" s="41"/>
      <c r="T231" s="41"/>
    </row>
    <row r="232" spans="1:20" s="12" customFormat="1" ht="14.45" customHeight="1">
      <c r="A232" s="222">
        <v>200</v>
      </c>
      <c r="B232" s="219">
        <v>2</v>
      </c>
      <c r="C232" s="295" t="s">
        <v>59</v>
      </c>
      <c r="D232" s="113">
        <v>70</v>
      </c>
      <c r="E232" s="82">
        <f>VLOOKUP(D232,'Deck Tally'!$B$5:$C$288,2,0)</f>
        <v>37.47</v>
      </c>
      <c r="F232" s="82">
        <f t="shared" ref="F232:F264" si="57">E232-($D$12/12)</f>
        <v>37.1325</v>
      </c>
      <c r="G232" s="82" t="s">
        <v>58</v>
      </c>
      <c r="H232" s="82">
        <f t="shared" si="54"/>
        <v>7610.3649999999961</v>
      </c>
      <c r="I232" s="114">
        <f t="shared" si="55"/>
        <v>14266.635000000004</v>
      </c>
      <c r="J232" s="118">
        <f t="shared" si="56"/>
        <v>304.95686917112289</v>
      </c>
      <c r="K232" s="301"/>
      <c r="L232" s="302"/>
      <c r="M232" s="40"/>
      <c r="N232" s="216"/>
      <c r="O232" s="39"/>
      <c r="P232" s="40"/>
      <c r="Q232" s="40"/>
      <c r="R232" s="40"/>
      <c r="S232" s="41"/>
      <c r="T232" s="41"/>
    </row>
    <row r="233" spans="1:20" s="12" customFormat="1" ht="14.45" customHeight="1">
      <c r="A233" s="222">
        <v>201</v>
      </c>
      <c r="B233" s="219">
        <v>2</v>
      </c>
      <c r="C233" s="295" t="s">
        <v>59</v>
      </c>
      <c r="D233" s="113">
        <v>69</v>
      </c>
      <c r="E233" s="82">
        <f>VLOOKUP(D233,'Deck Tally'!$B$5:$C$288,2,0)</f>
        <v>37.25</v>
      </c>
      <c r="F233" s="82">
        <f t="shared" si="57"/>
        <v>36.912500000000001</v>
      </c>
      <c r="G233" s="82" t="s">
        <v>58</v>
      </c>
      <c r="H233" s="82">
        <f t="shared" si="54"/>
        <v>7647.2774999999965</v>
      </c>
      <c r="I233" s="114">
        <f t="shared" si="55"/>
        <v>14229.722500000003</v>
      </c>
      <c r="J233" s="118">
        <f t="shared" si="56"/>
        <v>305.85396417685246</v>
      </c>
      <c r="K233" s="301"/>
      <c r="L233" s="302"/>
      <c r="M233" s="40"/>
      <c r="N233" s="216"/>
      <c r="O233" s="39"/>
      <c r="P233" s="40"/>
      <c r="Q233" s="40"/>
      <c r="R233" s="40"/>
      <c r="S233" s="41"/>
      <c r="T233" s="41"/>
    </row>
    <row r="234" spans="1:20" s="12" customFormat="1" ht="14.45" customHeight="1">
      <c r="A234" s="222">
        <v>202</v>
      </c>
      <c r="B234" s="219">
        <v>2</v>
      </c>
      <c r="C234" s="295" t="s">
        <v>59</v>
      </c>
      <c r="D234" s="113">
        <v>68</v>
      </c>
      <c r="E234" s="82">
        <f>VLOOKUP(D234,'Deck Tally'!$B$5:$C$288,2,0)</f>
        <v>37.549999999999997</v>
      </c>
      <c r="F234" s="82">
        <f t="shared" si="57"/>
        <v>37.212499999999999</v>
      </c>
      <c r="G234" s="82" t="s">
        <v>58</v>
      </c>
      <c r="H234" s="82">
        <f t="shared" si="54"/>
        <v>7684.4899999999961</v>
      </c>
      <c r="I234" s="114">
        <f t="shared" si="55"/>
        <v>14192.510000000004</v>
      </c>
      <c r="J234" s="118">
        <f t="shared" si="56"/>
        <v>306.75835016806712</v>
      </c>
      <c r="K234" s="301"/>
      <c r="L234" s="302"/>
      <c r="M234" s="40"/>
      <c r="N234" s="216"/>
      <c r="O234" s="39"/>
      <c r="P234" s="40"/>
      <c r="Q234" s="40"/>
      <c r="R234" s="40"/>
      <c r="S234" s="41"/>
      <c r="T234" s="41"/>
    </row>
    <row r="235" spans="1:20" s="12" customFormat="1" ht="14.45" customHeight="1">
      <c r="A235" s="222">
        <v>203</v>
      </c>
      <c r="B235" s="219">
        <v>2</v>
      </c>
      <c r="C235" s="295" t="s">
        <v>59</v>
      </c>
      <c r="D235" s="113">
        <v>67</v>
      </c>
      <c r="E235" s="82">
        <f>VLOOKUP(D235,'Deck Tally'!$B$5:$C$288,2,0)</f>
        <v>37.369999999999997</v>
      </c>
      <c r="F235" s="82">
        <f t="shared" si="57"/>
        <v>37.032499999999999</v>
      </c>
      <c r="G235" s="82" t="s">
        <v>58</v>
      </c>
      <c r="H235" s="82">
        <f t="shared" si="54"/>
        <v>7721.5224999999964</v>
      </c>
      <c r="I235" s="114">
        <f t="shared" si="55"/>
        <v>14155.477500000005</v>
      </c>
      <c r="J235" s="118">
        <f t="shared" si="56"/>
        <v>307.65836156799071</v>
      </c>
      <c r="K235" s="301"/>
      <c r="L235" s="302"/>
      <c r="M235" s="40"/>
      <c r="N235" s="216"/>
      <c r="O235" s="39"/>
      <c r="P235" s="40"/>
      <c r="Q235" s="40"/>
      <c r="R235" s="40"/>
      <c r="S235" s="41"/>
      <c r="T235" s="41"/>
    </row>
    <row r="236" spans="1:20" s="12" customFormat="1" ht="14.45" customHeight="1">
      <c r="A236" s="222">
        <v>204</v>
      </c>
      <c r="B236" s="218">
        <v>2</v>
      </c>
      <c r="C236" s="295" t="s">
        <v>59</v>
      </c>
      <c r="D236" s="113">
        <v>66</v>
      </c>
      <c r="E236" s="82">
        <f>VLOOKUP(D236,'Deck Tally'!$B$5:$C$288,2,0)</f>
        <v>37.61</v>
      </c>
      <c r="F236" s="82">
        <f t="shared" si="57"/>
        <v>37.272500000000001</v>
      </c>
      <c r="G236" s="82" t="s">
        <v>58</v>
      </c>
      <c r="H236" s="82">
        <f t="shared" si="54"/>
        <v>7758.7949999999964</v>
      </c>
      <c r="I236" s="114">
        <f t="shared" si="55"/>
        <v>14118.205000000004</v>
      </c>
      <c r="J236" s="118">
        <f t="shared" si="56"/>
        <v>308.56420575630244</v>
      </c>
      <c r="K236" s="301"/>
      <c r="L236" s="302"/>
      <c r="M236" s="40"/>
      <c r="N236" s="216"/>
      <c r="O236" s="39"/>
      <c r="P236" s="40"/>
      <c r="Q236" s="40"/>
      <c r="R236" s="40"/>
      <c r="S236" s="41"/>
      <c r="T236" s="41"/>
    </row>
    <row r="237" spans="1:20" s="12" customFormat="1" ht="14.45" customHeight="1">
      <c r="A237" s="222">
        <v>205</v>
      </c>
      <c r="B237" s="218">
        <v>2</v>
      </c>
      <c r="C237" s="295" t="s">
        <v>59</v>
      </c>
      <c r="D237" s="113">
        <v>65</v>
      </c>
      <c r="E237" s="82">
        <f>VLOOKUP(D237,'Deck Tally'!$B$5:$C$288,2,0)</f>
        <v>37.549999999999997</v>
      </c>
      <c r="F237" s="82">
        <f t="shared" si="57"/>
        <v>37.212499999999999</v>
      </c>
      <c r="G237" s="82" t="s">
        <v>58</v>
      </c>
      <c r="H237" s="82">
        <f t="shared" si="54"/>
        <v>7796.0074999999961</v>
      </c>
      <c r="I237" s="114">
        <f t="shared" si="55"/>
        <v>14080.992500000004</v>
      </c>
      <c r="J237" s="118">
        <f t="shared" si="56"/>
        <v>309.46859174751705</v>
      </c>
      <c r="K237" s="301"/>
      <c r="L237" s="302"/>
      <c r="M237" s="40"/>
      <c r="N237" s="216"/>
      <c r="O237" s="39"/>
      <c r="P237" s="40"/>
      <c r="Q237" s="40"/>
      <c r="R237" s="40"/>
      <c r="S237" s="41"/>
      <c r="T237" s="41"/>
    </row>
    <row r="238" spans="1:20" s="12" customFormat="1" ht="14.45" customHeight="1">
      <c r="A238" s="222">
        <v>206</v>
      </c>
      <c r="B238" s="219">
        <v>2</v>
      </c>
      <c r="C238" s="295" t="s">
        <v>59</v>
      </c>
      <c r="D238" s="113">
        <v>64</v>
      </c>
      <c r="E238" s="82">
        <f>VLOOKUP(D238,'Deck Tally'!$B$5:$C$288,2,0)</f>
        <v>37.409999999999997</v>
      </c>
      <c r="F238" s="82">
        <f t="shared" si="57"/>
        <v>37.072499999999998</v>
      </c>
      <c r="G238" s="82" t="s">
        <v>58</v>
      </c>
      <c r="H238" s="82">
        <f t="shared" si="54"/>
        <v>7833.0799999999963</v>
      </c>
      <c r="I238" s="114">
        <f t="shared" si="55"/>
        <v>14043.920000000004</v>
      </c>
      <c r="J238" s="118">
        <f t="shared" si="56"/>
        <v>310.36957527883868</v>
      </c>
      <c r="K238" s="301"/>
      <c r="L238" s="302"/>
      <c r="M238" s="40"/>
      <c r="N238" s="216"/>
      <c r="O238" s="39"/>
      <c r="P238" s="40"/>
      <c r="Q238" s="40"/>
      <c r="R238" s="40"/>
      <c r="S238" s="41"/>
      <c r="T238" s="41"/>
    </row>
    <row r="239" spans="1:20" s="12" customFormat="1" ht="14.45" customHeight="1">
      <c r="A239" s="222">
        <v>207</v>
      </c>
      <c r="B239" s="219">
        <v>2</v>
      </c>
      <c r="C239" s="295" t="s">
        <v>59</v>
      </c>
      <c r="D239" s="113">
        <v>63</v>
      </c>
      <c r="E239" s="82">
        <f>VLOOKUP(D239,'Deck Tally'!$B$5:$C$288,2,0)</f>
        <v>35.11</v>
      </c>
      <c r="F239" s="82">
        <f t="shared" si="57"/>
        <v>34.772500000000001</v>
      </c>
      <c r="G239" s="82" t="s">
        <v>58</v>
      </c>
      <c r="H239" s="82">
        <f t="shared" si="54"/>
        <v>7867.8524999999963</v>
      </c>
      <c r="I239" s="114">
        <f t="shared" si="55"/>
        <v>14009.147500000003</v>
      </c>
      <c r="J239" s="118">
        <f t="shared" si="56"/>
        <v>311.21466125477451</v>
      </c>
      <c r="K239" s="301"/>
      <c r="L239" s="302"/>
      <c r="M239" s="40"/>
      <c r="N239" s="216"/>
      <c r="O239" s="39"/>
      <c r="P239" s="40"/>
      <c r="Q239" s="40"/>
      <c r="R239" s="40"/>
      <c r="S239" s="41"/>
      <c r="T239" s="41"/>
    </row>
    <row r="240" spans="1:20" s="12" customFormat="1" ht="14.45" customHeight="1">
      <c r="A240" s="222">
        <v>208</v>
      </c>
      <c r="B240" s="219">
        <v>2</v>
      </c>
      <c r="C240" s="295" t="s">
        <v>59</v>
      </c>
      <c r="D240" s="113">
        <v>62</v>
      </c>
      <c r="E240" s="82">
        <f>VLOOKUP(D240,'Deck Tally'!$B$5:$C$288,2,0)</f>
        <v>35.49</v>
      </c>
      <c r="F240" s="82">
        <f t="shared" si="57"/>
        <v>35.152500000000003</v>
      </c>
      <c r="G240" s="82" t="s">
        <v>58</v>
      </c>
      <c r="H240" s="82">
        <f t="shared" si="54"/>
        <v>7903.0049999999965</v>
      </c>
      <c r="I240" s="114">
        <f t="shared" si="55"/>
        <v>13973.995000000003</v>
      </c>
      <c r="J240" s="118">
        <f t="shared" si="56"/>
        <v>312.06898247899153</v>
      </c>
      <c r="K240" s="301"/>
      <c r="L240" s="302"/>
      <c r="M240" s="40"/>
      <c r="N240" s="216"/>
      <c r="O240" s="39"/>
      <c r="P240" s="40"/>
      <c r="Q240" s="40"/>
      <c r="R240" s="40"/>
      <c r="S240" s="41"/>
      <c r="T240" s="41"/>
    </row>
    <row r="241" spans="1:20" s="12" customFormat="1" ht="14.45" customHeight="1">
      <c r="A241" s="222">
        <v>209</v>
      </c>
      <c r="B241" s="219">
        <v>2</v>
      </c>
      <c r="C241" s="295" t="s">
        <v>59</v>
      </c>
      <c r="D241" s="113">
        <v>61</v>
      </c>
      <c r="E241" s="82">
        <f>VLOOKUP(D241,'Deck Tally'!$B$5:$C$288,2,0)</f>
        <v>37.659999999999997</v>
      </c>
      <c r="F241" s="82">
        <f t="shared" si="57"/>
        <v>37.322499999999998</v>
      </c>
      <c r="G241" s="82" t="s">
        <v>58</v>
      </c>
      <c r="H241" s="82">
        <f t="shared" si="54"/>
        <v>7940.3274999999967</v>
      </c>
      <c r="I241" s="114">
        <f t="shared" si="55"/>
        <v>13936.672500000004</v>
      </c>
      <c r="J241" s="118">
        <f t="shared" si="56"/>
        <v>312.97604183155067</v>
      </c>
      <c r="K241" s="301"/>
      <c r="L241" s="302"/>
      <c r="M241" s="40"/>
      <c r="N241" s="216"/>
      <c r="O241" s="39"/>
      <c r="P241" s="40"/>
      <c r="Q241" s="40"/>
      <c r="R241" s="40"/>
      <c r="S241" s="41"/>
      <c r="T241" s="41"/>
    </row>
    <row r="242" spans="1:20" s="12" customFormat="1" ht="14.45" customHeight="1">
      <c r="A242" s="222">
        <v>210</v>
      </c>
      <c r="B242" s="219">
        <v>2</v>
      </c>
      <c r="C242" s="295" t="s">
        <v>59</v>
      </c>
      <c r="D242" s="113">
        <v>60</v>
      </c>
      <c r="E242" s="82">
        <f>VLOOKUP(D242,'Deck Tally'!$B$5:$C$288,2,0)</f>
        <v>36.5</v>
      </c>
      <c r="F242" s="82">
        <f t="shared" si="57"/>
        <v>36.162500000000001</v>
      </c>
      <c r="G242" s="82" t="s">
        <v>58</v>
      </c>
      <c r="H242" s="82">
        <f t="shared" si="54"/>
        <v>7976.4899999999971</v>
      </c>
      <c r="I242" s="114">
        <f t="shared" si="55"/>
        <v>13900.510000000002</v>
      </c>
      <c r="J242" s="118">
        <f t="shared" si="56"/>
        <v>313.85490937356752</v>
      </c>
      <c r="K242" s="301"/>
      <c r="L242" s="302"/>
      <c r="M242" s="40"/>
      <c r="N242" s="216"/>
      <c r="O242" s="39"/>
      <c r="P242" s="40"/>
      <c r="Q242" s="40"/>
      <c r="R242" s="40"/>
      <c r="S242" s="41"/>
      <c r="T242" s="41"/>
    </row>
    <row r="243" spans="1:20" s="12" customFormat="1" ht="14.45" customHeight="1">
      <c r="A243" s="222">
        <v>211</v>
      </c>
      <c r="B243" s="218">
        <v>2</v>
      </c>
      <c r="C243" s="295" t="s">
        <v>59</v>
      </c>
      <c r="D243" s="113">
        <v>59</v>
      </c>
      <c r="E243" s="82">
        <f>VLOOKUP(D243,'Deck Tally'!$B$5:$C$288,2,0)</f>
        <v>36.94</v>
      </c>
      <c r="F243" s="82">
        <f t="shared" si="57"/>
        <v>36.602499999999999</v>
      </c>
      <c r="G243" s="82" t="s">
        <v>58</v>
      </c>
      <c r="H243" s="82">
        <f t="shared" si="54"/>
        <v>8013.092499999997</v>
      </c>
      <c r="I243" s="114">
        <f t="shared" si="55"/>
        <v>13863.907500000003</v>
      </c>
      <c r="J243" s="118">
        <f t="shared" si="56"/>
        <v>314.74447036096251</v>
      </c>
      <c r="K243" s="301"/>
      <c r="L243" s="302"/>
      <c r="M243" s="40"/>
      <c r="N243" s="216"/>
      <c r="O243" s="39"/>
      <c r="P243" s="40"/>
      <c r="Q243" s="40"/>
      <c r="R243" s="40"/>
      <c r="S243" s="41"/>
      <c r="T243" s="41"/>
    </row>
    <row r="244" spans="1:20" s="12" customFormat="1" ht="14.45" customHeight="1">
      <c r="A244" s="222">
        <v>212</v>
      </c>
      <c r="B244" s="218">
        <v>2</v>
      </c>
      <c r="C244" s="295" t="s">
        <v>59</v>
      </c>
      <c r="D244" s="113">
        <v>58</v>
      </c>
      <c r="E244" s="82">
        <f>VLOOKUP(D244,'Deck Tally'!$B$5:$C$288,2,0)</f>
        <v>36.51</v>
      </c>
      <c r="F244" s="82">
        <f t="shared" si="57"/>
        <v>36.172499999999999</v>
      </c>
      <c r="G244" s="82" t="s">
        <v>58</v>
      </c>
      <c r="H244" s="82">
        <f t="shared" si="54"/>
        <v>8049.2649999999967</v>
      </c>
      <c r="I244" s="114">
        <f t="shared" si="55"/>
        <v>13827.735000000004</v>
      </c>
      <c r="J244" s="118">
        <f t="shared" si="56"/>
        <v>315.62358093582878</v>
      </c>
      <c r="K244" s="301"/>
      <c r="L244" s="302"/>
      <c r="M244" s="40"/>
      <c r="N244" s="216"/>
      <c r="O244" s="39"/>
      <c r="P244" s="40"/>
      <c r="Q244" s="40"/>
      <c r="R244" s="40"/>
      <c r="S244" s="41"/>
      <c r="T244" s="41"/>
    </row>
    <row r="245" spans="1:20" s="12" customFormat="1" ht="14.45" customHeight="1">
      <c r="A245" s="222">
        <v>213</v>
      </c>
      <c r="B245" s="219">
        <v>2</v>
      </c>
      <c r="C245" s="295" t="s">
        <v>59</v>
      </c>
      <c r="D245" s="113">
        <v>57</v>
      </c>
      <c r="E245" s="82">
        <f>VLOOKUP(D245,'Deck Tally'!$B$5:$C$288,2,0)</f>
        <v>37.1</v>
      </c>
      <c r="F245" s="82">
        <f t="shared" si="57"/>
        <v>36.762500000000003</v>
      </c>
      <c r="G245" s="82" t="s">
        <v>58</v>
      </c>
      <c r="H245" s="82">
        <f t="shared" si="54"/>
        <v>8086.0274999999965</v>
      </c>
      <c r="I245" s="114">
        <f t="shared" si="55"/>
        <v>13790.972500000003</v>
      </c>
      <c r="J245" s="118">
        <f t="shared" si="56"/>
        <v>316.51703044881577</v>
      </c>
      <c r="K245" s="301"/>
      <c r="L245" s="302"/>
      <c r="M245" s="40"/>
      <c r="N245" s="216"/>
      <c r="O245" s="39"/>
      <c r="P245" s="40"/>
      <c r="Q245" s="40"/>
      <c r="R245" s="40"/>
      <c r="S245" s="41"/>
      <c r="T245" s="41"/>
    </row>
    <row r="246" spans="1:20" s="12" customFormat="1" ht="14.45" customHeight="1">
      <c r="A246" s="222">
        <v>214</v>
      </c>
      <c r="B246" s="219">
        <v>2</v>
      </c>
      <c r="C246" s="295" t="s">
        <v>59</v>
      </c>
      <c r="D246" s="113">
        <v>56</v>
      </c>
      <c r="E246" s="82">
        <f>VLOOKUP(D246,'Deck Tally'!$B$5:$C$288,2,0)</f>
        <v>36.72</v>
      </c>
      <c r="F246" s="82">
        <f t="shared" si="57"/>
        <v>36.3825</v>
      </c>
      <c r="G246" s="82" t="s">
        <v>58</v>
      </c>
      <c r="H246" s="82">
        <f t="shared" si="54"/>
        <v>8122.4099999999962</v>
      </c>
      <c r="I246" s="114">
        <f t="shared" si="55"/>
        <v>13754.590000000004</v>
      </c>
      <c r="J246" s="118">
        <f t="shared" si="56"/>
        <v>317.40124471352169</v>
      </c>
      <c r="K246" s="301"/>
      <c r="L246" s="302"/>
      <c r="M246" s="40"/>
      <c r="N246" s="216"/>
      <c r="O246" s="39"/>
      <c r="P246" s="40"/>
      <c r="Q246" s="40"/>
      <c r="R246" s="40"/>
      <c r="S246" s="41"/>
      <c r="T246" s="41"/>
    </row>
    <row r="247" spans="1:20" s="12" customFormat="1" ht="14.45" customHeight="1">
      <c r="A247" s="222">
        <v>215</v>
      </c>
      <c r="B247" s="219">
        <v>2</v>
      </c>
      <c r="C247" s="295" t="s">
        <v>59</v>
      </c>
      <c r="D247" s="113">
        <v>55</v>
      </c>
      <c r="E247" s="82">
        <f>VLOOKUP(D247,'Deck Tally'!$B$5:$C$288,2,0)</f>
        <v>36.69</v>
      </c>
      <c r="F247" s="82">
        <f t="shared" si="57"/>
        <v>36.352499999999999</v>
      </c>
      <c r="G247" s="82" t="s">
        <v>58</v>
      </c>
      <c r="H247" s="82">
        <f t="shared" si="54"/>
        <v>8158.7624999999962</v>
      </c>
      <c r="I247" s="114">
        <f t="shared" si="55"/>
        <v>13718.237500000003</v>
      </c>
      <c r="J247" s="118">
        <f t="shared" si="56"/>
        <v>318.28472987967905</v>
      </c>
      <c r="K247" s="301"/>
      <c r="L247" s="302"/>
      <c r="M247" s="40"/>
      <c r="N247" s="216"/>
      <c r="O247" s="39"/>
      <c r="P247" s="40"/>
      <c r="Q247" s="40"/>
      <c r="R247" s="40"/>
      <c r="S247" s="41"/>
      <c r="T247" s="41"/>
    </row>
    <row r="248" spans="1:20" s="12" customFormat="1" ht="14.45" customHeight="1">
      <c r="A248" s="222">
        <v>216</v>
      </c>
      <c r="B248" s="219">
        <v>2</v>
      </c>
      <c r="C248" s="295" t="s">
        <v>59</v>
      </c>
      <c r="D248" s="113">
        <v>54</v>
      </c>
      <c r="E248" s="82">
        <f>VLOOKUP(D248,'Deck Tally'!$B$5:$C$288,2,0)</f>
        <v>37.32</v>
      </c>
      <c r="F248" s="82">
        <f t="shared" si="57"/>
        <v>36.982500000000002</v>
      </c>
      <c r="G248" s="82" t="s">
        <v>58</v>
      </c>
      <c r="H248" s="82">
        <f t="shared" si="54"/>
        <v>8195.7449999999953</v>
      </c>
      <c r="I248" s="114">
        <f t="shared" si="55"/>
        <v>13681.255000000005</v>
      </c>
      <c r="J248" s="118">
        <f t="shared" si="56"/>
        <v>319.18352611535511</v>
      </c>
      <c r="K248" s="301"/>
      <c r="L248" s="302"/>
      <c r="M248" s="40"/>
      <c r="N248" s="216"/>
      <c r="O248" s="39"/>
      <c r="P248" s="40"/>
      <c r="Q248" s="40"/>
      <c r="R248" s="40"/>
      <c r="S248" s="41"/>
      <c r="T248" s="41"/>
    </row>
    <row r="249" spans="1:20" s="12" customFormat="1" ht="14.45" customHeight="1">
      <c r="A249" s="222">
        <v>217</v>
      </c>
      <c r="B249" s="219">
        <v>2</v>
      </c>
      <c r="C249" s="295" t="s">
        <v>59</v>
      </c>
      <c r="D249" s="113">
        <v>53</v>
      </c>
      <c r="E249" s="82">
        <f>VLOOKUP(D249,'Deck Tally'!$B$5:$C$288,2,0)</f>
        <v>37.090000000000003</v>
      </c>
      <c r="F249" s="82">
        <f t="shared" si="57"/>
        <v>36.752500000000005</v>
      </c>
      <c r="G249" s="82" t="s">
        <v>58</v>
      </c>
      <c r="H249" s="82">
        <f t="shared" si="54"/>
        <v>8232.4974999999959</v>
      </c>
      <c r="I249" s="114">
        <f t="shared" si="55"/>
        <v>13644.502500000004</v>
      </c>
      <c r="J249" s="118">
        <f t="shared" si="56"/>
        <v>320.07673259549262</v>
      </c>
      <c r="K249" s="301"/>
      <c r="L249" s="302"/>
      <c r="M249" s="40"/>
      <c r="N249" s="216"/>
      <c r="O249" s="39"/>
      <c r="P249" s="40"/>
      <c r="Q249" s="40"/>
      <c r="R249" s="40"/>
      <c r="S249" s="41"/>
      <c r="T249" s="41"/>
    </row>
    <row r="250" spans="1:20" s="12" customFormat="1" ht="14.45" customHeight="1">
      <c r="A250" s="222">
        <v>218</v>
      </c>
      <c r="B250" s="218">
        <v>2</v>
      </c>
      <c r="C250" s="295" t="s">
        <v>59</v>
      </c>
      <c r="D250" s="113">
        <v>52</v>
      </c>
      <c r="E250" s="82">
        <f>VLOOKUP(D250,'Deck Tally'!$B$5:$C$288,2,0)</f>
        <v>37.29</v>
      </c>
      <c r="F250" s="82">
        <f t="shared" si="57"/>
        <v>36.952500000000001</v>
      </c>
      <c r="G250" s="82" t="s">
        <v>58</v>
      </c>
      <c r="H250" s="82">
        <f t="shared" si="54"/>
        <v>8269.4499999999953</v>
      </c>
      <c r="I250" s="114">
        <f t="shared" si="55"/>
        <v>13607.550000000005</v>
      </c>
      <c r="J250" s="118">
        <f t="shared" si="56"/>
        <v>320.97479973262023</v>
      </c>
      <c r="K250" s="301"/>
      <c r="L250" s="302"/>
      <c r="M250" s="40"/>
      <c r="N250" s="216"/>
      <c r="O250" s="39"/>
      <c r="P250" s="40"/>
      <c r="Q250" s="40"/>
      <c r="R250" s="40"/>
      <c r="S250" s="41"/>
      <c r="T250" s="41"/>
    </row>
    <row r="251" spans="1:20" s="12" customFormat="1" ht="14.45" customHeight="1">
      <c r="A251" s="222">
        <v>219</v>
      </c>
      <c r="B251" s="218">
        <v>2</v>
      </c>
      <c r="C251" s="295" t="s">
        <v>59</v>
      </c>
      <c r="D251" s="113">
        <v>51</v>
      </c>
      <c r="E251" s="82">
        <f>VLOOKUP(D251,'Deck Tally'!$B$5:$C$288,2,0)</f>
        <v>37.270000000000003</v>
      </c>
      <c r="F251" s="82">
        <f t="shared" si="57"/>
        <v>36.932500000000005</v>
      </c>
      <c r="G251" s="82" t="s">
        <v>58</v>
      </c>
      <c r="H251" s="82">
        <f t="shared" si="54"/>
        <v>8306.3824999999961</v>
      </c>
      <c r="I251" s="114">
        <f t="shared" si="55"/>
        <v>13570.617500000004</v>
      </c>
      <c r="J251" s="118">
        <f t="shared" si="56"/>
        <v>321.87238080404882</v>
      </c>
      <c r="K251" s="301"/>
      <c r="L251" s="302"/>
      <c r="M251" s="40"/>
      <c r="N251" s="216"/>
      <c r="O251" s="39"/>
      <c r="P251" s="40"/>
      <c r="Q251" s="40"/>
      <c r="R251" s="40"/>
      <c r="S251" s="41"/>
      <c r="T251" s="41"/>
    </row>
    <row r="252" spans="1:20" s="12" customFormat="1" ht="14.45" customHeight="1">
      <c r="A252" s="222">
        <v>220</v>
      </c>
      <c r="B252" s="219">
        <v>2</v>
      </c>
      <c r="C252" s="295" t="s">
        <v>59</v>
      </c>
      <c r="D252" s="113">
        <v>50</v>
      </c>
      <c r="E252" s="82">
        <f>VLOOKUP(D252,'Deck Tally'!$B$5:$C$288,2,0)</f>
        <v>36.61</v>
      </c>
      <c r="F252" s="82">
        <f t="shared" si="57"/>
        <v>36.272500000000001</v>
      </c>
      <c r="G252" s="82" t="s">
        <v>58</v>
      </c>
      <c r="H252" s="82">
        <f t="shared" si="54"/>
        <v>8342.6549999999952</v>
      </c>
      <c r="I252" s="114">
        <f t="shared" si="55"/>
        <v>13534.345000000005</v>
      </c>
      <c r="J252" s="118">
        <f t="shared" si="56"/>
        <v>322.75392170741009</v>
      </c>
      <c r="K252" s="301"/>
      <c r="L252" s="302"/>
      <c r="M252" s="40"/>
      <c r="N252" s="216"/>
      <c r="O252" s="39"/>
      <c r="P252" s="40"/>
      <c r="Q252" s="40"/>
      <c r="R252" s="40"/>
      <c r="S252" s="41"/>
      <c r="T252" s="41"/>
    </row>
    <row r="253" spans="1:20" s="12" customFormat="1" ht="14.45" customHeight="1">
      <c r="A253" s="222">
        <v>221</v>
      </c>
      <c r="B253" s="219">
        <v>2</v>
      </c>
      <c r="C253" s="295" t="s">
        <v>59</v>
      </c>
      <c r="D253" s="113">
        <v>49</v>
      </c>
      <c r="E253" s="82">
        <f>VLOOKUP(D253,'Deck Tally'!$B$5:$C$288,2,0)</f>
        <v>37.369999999999997</v>
      </c>
      <c r="F253" s="82">
        <f t="shared" si="57"/>
        <v>37.032499999999999</v>
      </c>
      <c r="G253" s="82" t="s">
        <v>58</v>
      </c>
      <c r="H253" s="82">
        <f t="shared" si="54"/>
        <v>8379.6874999999945</v>
      </c>
      <c r="I253" s="114">
        <f t="shared" si="55"/>
        <v>13497.312500000005</v>
      </c>
      <c r="J253" s="118">
        <f t="shared" si="56"/>
        <v>323.65393310733373</v>
      </c>
      <c r="K253" s="301"/>
      <c r="L253" s="302"/>
      <c r="M253" s="40"/>
      <c r="N253" s="216"/>
      <c r="O253" s="39"/>
      <c r="P253" s="40"/>
      <c r="Q253" s="40"/>
      <c r="R253" s="40"/>
      <c r="S253" s="41"/>
      <c r="T253" s="41"/>
    </row>
    <row r="254" spans="1:20" s="12" customFormat="1" ht="14.45" customHeight="1">
      <c r="A254" s="222">
        <v>222</v>
      </c>
      <c r="B254" s="219">
        <v>2</v>
      </c>
      <c r="C254" s="295" t="s">
        <v>59</v>
      </c>
      <c r="D254" s="113">
        <v>48</v>
      </c>
      <c r="E254" s="82">
        <f>VLOOKUP(D254,'Deck Tally'!$B$5:$C$288,2,0)</f>
        <v>36.799999999999997</v>
      </c>
      <c r="F254" s="82">
        <f t="shared" si="57"/>
        <v>36.462499999999999</v>
      </c>
      <c r="G254" s="82" t="s">
        <v>58</v>
      </c>
      <c r="H254" s="82">
        <f t="shared" ref="H254:H262" si="58">IF(G254="IN",H253+F254,H253)</f>
        <v>8416.1499999999942</v>
      </c>
      <c r="I254" s="114">
        <f t="shared" ref="I254:I262" si="59">IF(H254="","",$K$8-H254)</f>
        <v>13460.850000000006</v>
      </c>
      <c r="J254" s="118">
        <f t="shared" ref="J254:J262" si="60">$G$8+(H254*$D$9*$G$10/1000)</f>
        <v>324.54009163483556</v>
      </c>
      <c r="K254" s="301"/>
      <c r="L254" s="302"/>
      <c r="M254" s="40"/>
      <c r="N254" s="216"/>
      <c r="O254" s="39"/>
      <c r="P254" s="40"/>
      <c r="Q254" s="40"/>
      <c r="R254" s="40"/>
      <c r="S254" s="41"/>
      <c r="T254" s="41"/>
    </row>
    <row r="255" spans="1:20" s="12" customFormat="1" ht="14.45" customHeight="1">
      <c r="A255" s="222">
        <v>223</v>
      </c>
      <c r="B255" s="219">
        <v>2</v>
      </c>
      <c r="C255" s="295" t="s">
        <v>59</v>
      </c>
      <c r="D255" s="113">
        <v>47</v>
      </c>
      <c r="E255" s="82">
        <f>VLOOKUP(D255,'Deck Tally'!$B$5:$C$288,2,0)</f>
        <v>36.32</v>
      </c>
      <c r="F255" s="82">
        <f t="shared" si="57"/>
        <v>35.982500000000002</v>
      </c>
      <c r="G255" s="82" t="s">
        <v>58</v>
      </c>
      <c r="H255" s="82">
        <f t="shared" si="58"/>
        <v>8452.1324999999943</v>
      </c>
      <c r="I255" s="114">
        <f t="shared" si="59"/>
        <v>13424.867500000006</v>
      </c>
      <c r="J255" s="118">
        <f t="shared" si="60"/>
        <v>325.41458458556133</v>
      </c>
      <c r="K255" s="301"/>
      <c r="L255" s="302"/>
      <c r="M255" s="40"/>
      <c r="N255" s="216"/>
      <c r="O255" s="39"/>
      <c r="P255" s="40"/>
      <c r="Q255" s="40"/>
      <c r="R255" s="40"/>
      <c r="S255" s="41"/>
      <c r="T255" s="41"/>
    </row>
    <row r="256" spans="1:20" s="12" customFormat="1" ht="14.45" customHeight="1">
      <c r="A256" s="222">
        <v>224</v>
      </c>
      <c r="B256" s="219">
        <v>2</v>
      </c>
      <c r="C256" s="295" t="s">
        <v>59</v>
      </c>
      <c r="D256" s="113">
        <v>46</v>
      </c>
      <c r="E256" s="82">
        <f>VLOOKUP(D256,'Deck Tally'!$B$5:$C$288,2,0)</f>
        <v>34.479999999999997</v>
      </c>
      <c r="F256" s="82">
        <f t="shared" si="57"/>
        <v>34.142499999999998</v>
      </c>
      <c r="G256" s="82" t="s">
        <v>58</v>
      </c>
      <c r="H256" s="82">
        <f t="shared" si="58"/>
        <v>8486.2749999999942</v>
      </c>
      <c r="I256" s="114">
        <f t="shared" si="59"/>
        <v>13390.725000000006</v>
      </c>
      <c r="J256" s="118">
        <f t="shared" si="60"/>
        <v>326.24435949197846</v>
      </c>
      <c r="K256" s="301"/>
      <c r="L256" s="302"/>
      <c r="M256" s="40"/>
      <c r="N256" s="216"/>
      <c r="O256" s="39"/>
      <c r="P256" s="40"/>
      <c r="Q256" s="40"/>
      <c r="R256" s="40"/>
      <c r="S256" s="41"/>
      <c r="T256" s="41"/>
    </row>
    <row r="257" spans="1:20" s="12" customFormat="1" ht="14.45" customHeight="1">
      <c r="A257" s="222">
        <v>225</v>
      </c>
      <c r="B257" s="218">
        <v>2</v>
      </c>
      <c r="C257" s="295" t="s">
        <v>59</v>
      </c>
      <c r="D257" s="113">
        <v>45</v>
      </c>
      <c r="E257" s="82">
        <f>VLOOKUP(D257,'Deck Tally'!$B$5:$C$288,2,0)</f>
        <v>36.18</v>
      </c>
      <c r="F257" s="82">
        <f t="shared" si="57"/>
        <v>35.842500000000001</v>
      </c>
      <c r="G257" s="82" t="s">
        <v>58</v>
      </c>
      <c r="H257" s="82">
        <f t="shared" si="58"/>
        <v>8522.1174999999948</v>
      </c>
      <c r="I257" s="114">
        <f t="shared" si="59"/>
        <v>13354.882500000005</v>
      </c>
      <c r="J257" s="118">
        <f t="shared" si="60"/>
        <v>327.11544998281119</v>
      </c>
      <c r="K257" s="301"/>
      <c r="L257" s="302"/>
      <c r="M257" s="40"/>
      <c r="N257" s="216"/>
      <c r="O257" s="39"/>
      <c r="P257" s="40"/>
      <c r="Q257" s="40"/>
      <c r="R257" s="40"/>
      <c r="S257" s="41"/>
      <c r="T257" s="41"/>
    </row>
    <row r="258" spans="1:20" s="12" customFormat="1" ht="14.45" customHeight="1">
      <c r="A258" s="222">
        <v>226</v>
      </c>
      <c r="B258" s="218">
        <v>2</v>
      </c>
      <c r="C258" s="295" t="s">
        <v>59</v>
      </c>
      <c r="D258" s="113">
        <v>44</v>
      </c>
      <c r="E258" s="82">
        <f>VLOOKUP(D258,'Deck Tally'!$B$5:$C$288,2,0)</f>
        <v>36.950000000000003</v>
      </c>
      <c r="F258" s="82">
        <f t="shared" si="57"/>
        <v>36.612500000000004</v>
      </c>
      <c r="G258" s="82" t="s">
        <v>58</v>
      </c>
      <c r="H258" s="82">
        <f t="shared" si="58"/>
        <v>8558.7299999999941</v>
      </c>
      <c r="I258" s="114">
        <f t="shared" si="59"/>
        <v>13318.270000000006</v>
      </c>
      <c r="J258" s="118">
        <f t="shared" si="60"/>
        <v>328.0052540030556</v>
      </c>
      <c r="L258" s="302"/>
      <c r="M258" s="40"/>
      <c r="N258" s="216"/>
      <c r="O258" s="39"/>
      <c r="P258" s="40"/>
      <c r="Q258" s="40"/>
      <c r="R258" s="40"/>
      <c r="S258" s="41"/>
      <c r="T258" s="41"/>
    </row>
    <row r="259" spans="1:20" s="12" customFormat="1" ht="14.45" customHeight="1">
      <c r="A259" s="222">
        <v>227</v>
      </c>
      <c r="B259" s="219">
        <v>2</v>
      </c>
      <c r="C259" s="295" t="s">
        <v>59</v>
      </c>
      <c r="D259" s="113">
        <v>43</v>
      </c>
      <c r="E259" s="82">
        <f>VLOOKUP(D259,'Deck Tally'!$B$5:$C$288,2,0)</f>
        <v>35.83</v>
      </c>
      <c r="F259" s="82">
        <f t="shared" si="57"/>
        <v>35.4925</v>
      </c>
      <c r="G259" s="82" t="s">
        <v>58</v>
      </c>
      <c r="H259" s="82">
        <f t="shared" si="58"/>
        <v>8594.2224999999944</v>
      </c>
      <c r="I259" s="114">
        <f t="shared" si="59"/>
        <v>13282.777500000006</v>
      </c>
      <c r="J259" s="118">
        <f t="shared" si="60"/>
        <v>328.8678383441557</v>
      </c>
      <c r="K259" s="354" t="s">
        <v>222</v>
      </c>
      <c r="L259" s="355"/>
      <c r="M259" s="40"/>
      <c r="N259" s="216">
        <f>13270-L261</f>
        <v>-8.7775000000056025</v>
      </c>
      <c r="O259" s="39" t="s">
        <v>62</v>
      </c>
      <c r="P259" s="40"/>
      <c r="Q259" s="40"/>
      <c r="R259" s="40"/>
      <c r="S259" s="41"/>
      <c r="T259" s="41"/>
    </row>
    <row r="260" spans="1:20" s="12" customFormat="1" ht="14.45" customHeight="1">
      <c r="A260" s="222">
        <v>228</v>
      </c>
      <c r="B260" s="219">
        <v>2</v>
      </c>
      <c r="C260" s="295" t="s">
        <v>59</v>
      </c>
      <c r="D260" s="331">
        <v>42</v>
      </c>
      <c r="E260" s="82">
        <f>VLOOKUP(D260,'Deck Tally'!$B$5:$C$288,2,0)</f>
        <v>36.270000000000003</v>
      </c>
      <c r="F260" s="82">
        <f t="shared" si="57"/>
        <v>35.932500000000005</v>
      </c>
      <c r="G260" s="82" t="s">
        <v>58</v>
      </c>
      <c r="H260" s="82">
        <f t="shared" si="58"/>
        <v>8630.1549999999952</v>
      </c>
      <c r="I260" s="330">
        <f t="shared" si="59"/>
        <v>13246.845000000005</v>
      </c>
      <c r="J260" s="118">
        <f t="shared" si="60"/>
        <v>329.74111613063394</v>
      </c>
      <c r="K260" s="392" t="s">
        <v>284</v>
      </c>
      <c r="L260" s="393"/>
      <c r="M260" s="40"/>
      <c r="N260" s="216"/>
      <c r="O260" s="39"/>
      <c r="P260" s="40"/>
      <c r="Q260" s="40"/>
      <c r="R260" s="40"/>
      <c r="S260" s="41"/>
      <c r="T260" s="41"/>
    </row>
    <row r="261" spans="1:20" s="12" customFormat="1" ht="14.45" customHeight="1">
      <c r="A261" s="222">
        <v>229</v>
      </c>
      <c r="B261" s="219">
        <v>2</v>
      </c>
      <c r="C261" s="295" t="s">
        <v>59</v>
      </c>
      <c r="D261" s="113">
        <v>41</v>
      </c>
      <c r="E261" s="82">
        <f>VLOOKUP(D261,'Deck Tally'!$B$5:$C$288,2,0)</f>
        <v>36.57</v>
      </c>
      <c r="F261" s="82">
        <f t="shared" si="57"/>
        <v>36.232500000000002</v>
      </c>
      <c r="G261" s="82" t="s">
        <v>58</v>
      </c>
      <c r="H261" s="82">
        <f t="shared" si="58"/>
        <v>8666.3874999999953</v>
      </c>
      <c r="I261" s="114">
        <f t="shared" si="59"/>
        <v>13210.612500000005</v>
      </c>
      <c r="J261" s="118">
        <f t="shared" si="60"/>
        <v>330.62168490259728</v>
      </c>
      <c r="K261" s="314" t="s">
        <v>63</v>
      </c>
      <c r="L261" s="315">
        <f>I259-4</f>
        <v>13278.777500000006</v>
      </c>
      <c r="M261" s="40"/>
      <c r="N261" s="216"/>
      <c r="O261" s="39"/>
      <c r="P261" s="40"/>
      <c r="Q261" s="40"/>
      <c r="R261" s="40"/>
      <c r="S261" s="41"/>
      <c r="T261" s="41"/>
    </row>
    <row r="262" spans="1:20" s="12" customFormat="1" ht="14.45" customHeight="1">
      <c r="A262" s="222">
        <v>230</v>
      </c>
      <c r="B262" s="219">
        <v>2</v>
      </c>
      <c r="C262" s="295" t="s">
        <v>59</v>
      </c>
      <c r="D262" s="113">
        <v>40</v>
      </c>
      <c r="E262" s="82">
        <f>VLOOKUP(D262,'Deck Tally'!$B$5:$C$288,2,0)</f>
        <v>36.67</v>
      </c>
      <c r="F262" s="82">
        <f t="shared" si="57"/>
        <v>36.332500000000003</v>
      </c>
      <c r="G262" s="82" t="s">
        <v>58</v>
      </c>
      <c r="H262" s="82">
        <f t="shared" si="58"/>
        <v>8702.7199999999957</v>
      </c>
      <c r="I262" s="114">
        <f t="shared" si="59"/>
        <v>13174.280000000004</v>
      </c>
      <c r="J262" s="118">
        <f t="shared" si="60"/>
        <v>331.50468400305567</v>
      </c>
      <c r="K262" s="301"/>
      <c r="L262" s="302"/>
      <c r="M262" s="40"/>
      <c r="N262" s="216"/>
      <c r="O262" s="39"/>
      <c r="P262" s="40"/>
      <c r="Q262" s="40"/>
      <c r="R262" s="40"/>
      <c r="S262" s="41"/>
      <c r="T262" s="41"/>
    </row>
    <row r="263" spans="1:20" s="12" customFormat="1" ht="14.45" customHeight="1">
      <c r="A263" s="222">
        <v>231</v>
      </c>
      <c r="B263" s="219">
        <v>2</v>
      </c>
      <c r="C263" s="295" t="s">
        <v>59</v>
      </c>
      <c r="D263" s="113">
        <v>39</v>
      </c>
      <c r="E263" s="82">
        <f>VLOOKUP(D263,'Deck Tally'!$B$5:$C$288,2,0)</f>
        <v>36.54</v>
      </c>
      <c r="F263" s="82">
        <f t="shared" si="57"/>
        <v>36.202500000000001</v>
      </c>
      <c r="G263" s="82" t="s">
        <v>58</v>
      </c>
      <c r="H263" s="82">
        <f t="shared" si="54"/>
        <v>8738.9224999999951</v>
      </c>
      <c r="I263" s="114">
        <f t="shared" si="55"/>
        <v>13138.077500000005</v>
      </c>
      <c r="J263" s="118">
        <f t="shared" si="56"/>
        <v>332.38452367647045</v>
      </c>
      <c r="K263" s="301"/>
      <c r="L263" s="302"/>
      <c r="M263" s="40"/>
      <c r="N263" s="216"/>
      <c r="O263" s="39"/>
      <c r="P263" s="40"/>
      <c r="Q263" s="40"/>
      <c r="R263" s="40"/>
      <c r="S263" s="41"/>
      <c r="T263" s="41"/>
    </row>
    <row r="264" spans="1:20" s="12" customFormat="1" ht="14.45" customHeight="1">
      <c r="A264" s="222">
        <v>232</v>
      </c>
      <c r="B264" s="218">
        <v>2</v>
      </c>
      <c r="C264" s="295" t="s">
        <v>59</v>
      </c>
      <c r="D264" s="113">
        <v>38</v>
      </c>
      <c r="E264" s="82">
        <f>VLOOKUP(D264,'Deck Tally'!$B$5:$C$288,2,0)</f>
        <v>36.79</v>
      </c>
      <c r="F264" s="82">
        <f t="shared" si="57"/>
        <v>36.452500000000001</v>
      </c>
      <c r="G264" s="82" t="s">
        <v>58</v>
      </c>
      <c r="H264" s="82">
        <f t="shared" si="54"/>
        <v>8775.3749999999945</v>
      </c>
      <c r="I264" s="114">
        <f t="shared" si="55"/>
        <v>13101.625000000005</v>
      </c>
      <c r="J264" s="118">
        <f t="shared" si="56"/>
        <v>333.27043917112286</v>
      </c>
      <c r="K264" s="301"/>
      <c r="L264" s="302"/>
      <c r="M264" s="40"/>
      <c r="N264" s="216"/>
      <c r="O264" s="39"/>
      <c r="P264" s="40"/>
      <c r="Q264" s="40"/>
      <c r="R264" s="40"/>
      <c r="S264" s="41"/>
      <c r="T264" s="41"/>
    </row>
    <row r="265" spans="1:20" s="12" customFormat="1" ht="14.45" customHeight="1">
      <c r="A265" s="222">
        <v>233</v>
      </c>
      <c r="B265" s="218">
        <v>2</v>
      </c>
      <c r="C265" s="295" t="s">
        <v>59</v>
      </c>
      <c r="D265" s="113">
        <v>37</v>
      </c>
      <c r="E265" s="82">
        <f>VLOOKUP(D265,'Deck Tally'!$B$5:$C$288,2,0)</f>
        <v>35.880000000000003</v>
      </c>
      <c r="F265" s="82">
        <f t="shared" ref="F265:F281" si="61">E265-($D$12/12)</f>
        <v>35.542500000000004</v>
      </c>
      <c r="G265" s="82" t="s">
        <v>58</v>
      </c>
      <c r="H265" s="82">
        <f t="shared" ref="H265:H269" si="62">IF(G265="IN",H264+F265,H264)</f>
        <v>8810.9174999999941</v>
      </c>
      <c r="I265" s="114">
        <f t="shared" ref="I265:I269" si="63">IF(H265="","",$K$8-H265)</f>
        <v>13066.082500000006</v>
      </c>
      <c r="J265" s="118">
        <f t="shared" ref="J265:J269" si="64">$G$8+(H265*$D$9*$G$10/1000)</f>
        <v>334.13423867647043</v>
      </c>
      <c r="K265" s="301"/>
      <c r="L265" s="302"/>
      <c r="M265" s="40"/>
      <c r="N265" s="216"/>
      <c r="O265" s="39"/>
      <c r="P265" s="40"/>
      <c r="Q265" s="40"/>
      <c r="R265" s="40"/>
      <c r="S265" s="41"/>
      <c r="T265" s="41"/>
    </row>
    <row r="266" spans="1:20" s="12" customFormat="1" ht="14.45" customHeight="1">
      <c r="A266" s="222">
        <v>234</v>
      </c>
      <c r="B266" s="218">
        <v>2</v>
      </c>
      <c r="C266" s="295" t="s">
        <v>59</v>
      </c>
      <c r="D266" s="113">
        <v>36</v>
      </c>
      <c r="E266" s="82">
        <f>VLOOKUP(D266,'Deck Tally'!$B$5:$C$288,2,0)</f>
        <v>36.479999999999997</v>
      </c>
      <c r="F266" s="82">
        <f t="shared" si="61"/>
        <v>36.142499999999998</v>
      </c>
      <c r="G266" s="82" t="s">
        <v>58</v>
      </c>
      <c r="H266" s="82">
        <f t="shared" si="62"/>
        <v>8847.059999999994</v>
      </c>
      <c r="I266" s="114">
        <f t="shared" si="63"/>
        <v>13029.940000000006</v>
      </c>
      <c r="J266" s="118">
        <f t="shared" si="64"/>
        <v>335.0126201527882</v>
      </c>
      <c r="K266" s="301"/>
      <c r="L266" s="302"/>
      <c r="M266" s="40"/>
      <c r="N266" s="216"/>
      <c r="O266" s="39"/>
      <c r="P266" s="40"/>
      <c r="Q266" s="40"/>
      <c r="R266" s="40"/>
      <c r="S266" s="41"/>
      <c r="T266" s="41"/>
    </row>
    <row r="267" spans="1:20" s="12" customFormat="1" ht="14.45" customHeight="1">
      <c r="A267" s="222">
        <v>235</v>
      </c>
      <c r="B267" s="218">
        <v>2</v>
      </c>
      <c r="C267" s="295" t="s">
        <v>59</v>
      </c>
      <c r="D267" s="113">
        <v>35</v>
      </c>
      <c r="E267" s="82">
        <f>VLOOKUP(D267,'Deck Tally'!$B$5:$C$288,2,0)</f>
        <v>37.01</v>
      </c>
      <c r="F267" s="82">
        <f t="shared" si="61"/>
        <v>36.672499999999999</v>
      </c>
      <c r="G267" s="82" t="s">
        <v>58</v>
      </c>
      <c r="H267" s="82">
        <f t="shared" si="62"/>
        <v>8883.7324999999946</v>
      </c>
      <c r="I267" s="114">
        <f t="shared" si="63"/>
        <v>12993.267500000005</v>
      </c>
      <c r="J267" s="118">
        <f t="shared" si="64"/>
        <v>335.90388237012974</v>
      </c>
      <c r="K267" s="301"/>
      <c r="L267" s="302"/>
      <c r="M267" s="40"/>
      <c r="N267" s="216"/>
      <c r="O267" s="39"/>
      <c r="P267" s="40"/>
      <c r="Q267" s="40"/>
      <c r="R267" s="40"/>
      <c r="S267" s="41"/>
      <c r="T267" s="41"/>
    </row>
    <row r="268" spans="1:20" s="12" customFormat="1" ht="14.45" customHeight="1">
      <c r="A268" s="222">
        <v>236</v>
      </c>
      <c r="B268" s="218">
        <v>2</v>
      </c>
      <c r="C268" s="295" t="s">
        <v>59</v>
      </c>
      <c r="D268" s="113">
        <v>34</v>
      </c>
      <c r="E268" s="82">
        <f>VLOOKUP(D268,'Deck Tally'!$B$5:$C$288,2,0)</f>
        <v>36.28</v>
      </c>
      <c r="F268" s="82">
        <f t="shared" si="61"/>
        <v>35.942500000000003</v>
      </c>
      <c r="G268" s="82" t="s">
        <v>58</v>
      </c>
      <c r="H268" s="82">
        <f t="shared" si="62"/>
        <v>8919.6749999999938</v>
      </c>
      <c r="I268" s="114">
        <f t="shared" si="63"/>
        <v>12957.325000000006</v>
      </c>
      <c r="J268" s="118">
        <f t="shared" si="64"/>
        <v>336.77740318945746</v>
      </c>
      <c r="K268" s="301"/>
      <c r="L268" s="302"/>
      <c r="M268" s="40"/>
      <c r="N268" s="216"/>
      <c r="O268" s="39"/>
      <c r="P268" s="40"/>
      <c r="Q268" s="40"/>
      <c r="R268" s="40"/>
      <c r="S268" s="41"/>
      <c r="T268" s="41"/>
    </row>
    <row r="269" spans="1:20" s="12" customFormat="1" ht="14.45" customHeight="1">
      <c r="A269" s="222">
        <v>237</v>
      </c>
      <c r="B269" s="218">
        <v>2</v>
      </c>
      <c r="C269" s="295" t="s">
        <v>59</v>
      </c>
      <c r="D269" s="113">
        <v>33</v>
      </c>
      <c r="E269" s="82">
        <f>VLOOKUP(D269,'Deck Tally'!$B$5:$C$288,2,0)</f>
        <v>36.65</v>
      </c>
      <c r="F269" s="82">
        <f t="shared" si="61"/>
        <v>36.3125</v>
      </c>
      <c r="G269" s="82" t="s">
        <v>58</v>
      </c>
      <c r="H269" s="82">
        <f t="shared" si="62"/>
        <v>8955.9874999999938</v>
      </c>
      <c r="I269" s="114">
        <f t="shared" si="63"/>
        <v>12921.012500000006</v>
      </c>
      <c r="J269" s="118">
        <f t="shared" si="64"/>
        <v>337.65991622421677</v>
      </c>
      <c r="K269" s="301"/>
      <c r="L269" s="302"/>
      <c r="M269" s="40"/>
      <c r="N269" s="216"/>
      <c r="O269" s="39"/>
      <c r="P269" s="40"/>
      <c r="Q269" s="40"/>
      <c r="R269" s="40"/>
      <c r="S269" s="41"/>
      <c r="T269" s="41"/>
    </row>
    <row r="270" spans="1:20" s="12" customFormat="1" ht="14.45" customHeight="1">
      <c r="A270" s="222">
        <v>238</v>
      </c>
      <c r="B270" s="218">
        <v>2</v>
      </c>
      <c r="C270" s="295" t="s">
        <v>59</v>
      </c>
      <c r="D270" s="113">
        <v>32</v>
      </c>
      <c r="E270" s="82">
        <f>VLOOKUP(D270,'Deck Tally'!$B$5:$C$288,2,0)</f>
        <v>36.44</v>
      </c>
      <c r="F270" s="82">
        <f t="shared" si="61"/>
        <v>36.102499999999999</v>
      </c>
      <c r="G270" s="82" t="s">
        <v>58</v>
      </c>
      <c r="H270" s="82">
        <f t="shared" si="54"/>
        <v>8992.0899999999947</v>
      </c>
      <c r="I270" s="114">
        <f t="shared" si="55"/>
        <v>12884.910000000005</v>
      </c>
      <c r="J270" s="118">
        <f t="shared" si="56"/>
        <v>338.53732556913656</v>
      </c>
      <c r="K270" s="301"/>
      <c r="L270" s="302"/>
      <c r="M270" s="40"/>
      <c r="N270" s="216"/>
      <c r="O270" s="39"/>
      <c r="P270" s="40"/>
      <c r="Q270" s="40"/>
      <c r="R270" s="40"/>
      <c r="S270" s="41"/>
      <c r="T270" s="41"/>
    </row>
    <row r="271" spans="1:20" s="12" customFormat="1" ht="14.45" customHeight="1">
      <c r="A271" s="222">
        <v>239</v>
      </c>
      <c r="B271" s="218">
        <v>2</v>
      </c>
      <c r="C271" s="295" t="s">
        <v>59</v>
      </c>
      <c r="D271" s="113">
        <v>31</v>
      </c>
      <c r="E271" s="82">
        <f>VLOOKUP(D271,'Deck Tally'!$B$5:$C$288,2,0)</f>
        <v>36.909999999999997</v>
      </c>
      <c r="F271" s="82">
        <f t="shared" si="61"/>
        <v>36.572499999999998</v>
      </c>
      <c r="G271" s="82" t="s">
        <v>58</v>
      </c>
      <c r="H271" s="82">
        <f t="shared" si="54"/>
        <v>9028.6624999999949</v>
      </c>
      <c r="I271" s="114">
        <f t="shared" si="55"/>
        <v>12848.337500000005</v>
      </c>
      <c r="J271" s="118">
        <f t="shared" si="56"/>
        <v>339.42615745798309</v>
      </c>
      <c r="K271" s="301"/>
      <c r="L271" s="302"/>
      <c r="M271" s="40"/>
      <c r="N271" s="216"/>
      <c r="O271" s="39"/>
      <c r="P271" s="40"/>
      <c r="Q271" s="40"/>
      <c r="R271" s="40"/>
      <c r="S271" s="41"/>
      <c r="T271" s="41"/>
    </row>
    <row r="272" spans="1:20" s="12" customFormat="1" ht="14.45" customHeight="1">
      <c r="A272" s="222">
        <v>240</v>
      </c>
      <c r="B272" s="218">
        <v>2</v>
      </c>
      <c r="C272" s="295" t="s">
        <v>59</v>
      </c>
      <c r="D272" s="113">
        <v>30</v>
      </c>
      <c r="E272" s="82">
        <f>VLOOKUP(D272,'Deck Tally'!$B$5:$C$288,2,0)</f>
        <v>37.58</v>
      </c>
      <c r="F272" s="82">
        <f t="shared" si="61"/>
        <v>37.2425</v>
      </c>
      <c r="G272" s="82" t="s">
        <v>58</v>
      </c>
      <c r="H272" s="82">
        <f t="shared" ref="H272:H274" si="65">IF(G272="IN",H271+F272,H271)</f>
        <v>9065.9049999999952</v>
      </c>
      <c r="I272" s="114">
        <f t="shared" ref="I272:I274" si="66">IF(H272="","",$K$8-H272)</f>
        <v>12811.095000000005</v>
      </c>
      <c r="J272" s="118">
        <f t="shared" ref="J272:J274" si="67">$G$8+(H272*$D$9*$G$10/1000)</f>
        <v>340.33127254774627</v>
      </c>
      <c r="K272" s="301"/>
      <c r="L272" s="302"/>
      <c r="M272" s="40"/>
      <c r="N272" s="216"/>
      <c r="O272" s="39"/>
      <c r="P272" s="40"/>
      <c r="Q272" s="40"/>
      <c r="R272" s="40"/>
      <c r="S272" s="41"/>
      <c r="T272" s="41"/>
    </row>
    <row r="273" spans="1:20" s="12" customFormat="1" ht="14.45" customHeight="1">
      <c r="A273" s="222">
        <v>241</v>
      </c>
      <c r="B273" s="218">
        <v>2</v>
      </c>
      <c r="C273" s="295" t="s">
        <v>59</v>
      </c>
      <c r="D273" s="113">
        <v>29</v>
      </c>
      <c r="E273" s="82">
        <f>VLOOKUP(D273,'Deck Tally'!$B$5:$C$288,2,0)</f>
        <v>36.21</v>
      </c>
      <c r="F273" s="82">
        <f>E273-($D$12/12)</f>
        <v>35.872500000000002</v>
      </c>
      <c r="G273" s="82" t="s">
        <v>58</v>
      </c>
      <c r="H273" s="82">
        <f t="shared" si="65"/>
        <v>9101.7774999999947</v>
      </c>
      <c r="I273" s="114">
        <f t="shared" si="66"/>
        <v>12775.222500000005</v>
      </c>
      <c r="J273" s="118">
        <f t="shared" si="67"/>
        <v>341.20309213712744</v>
      </c>
      <c r="K273" s="396"/>
      <c r="L273" s="397"/>
      <c r="M273" s="40"/>
      <c r="N273" s="216"/>
      <c r="O273" s="39"/>
      <c r="P273" s="40"/>
      <c r="Q273" s="40"/>
      <c r="R273" s="40"/>
      <c r="S273" s="41"/>
      <c r="T273" s="41"/>
    </row>
    <row r="274" spans="1:20" s="12" customFormat="1" ht="14.45" customHeight="1">
      <c r="A274" s="222">
        <v>242</v>
      </c>
      <c r="B274" s="218">
        <v>2</v>
      </c>
      <c r="C274" s="295" t="s">
        <v>59</v>
      </c>
      <c r="D274" s="113">
        <v>28</v>
      </c>
      <c r="E274" s="82">
        <f>VLOOKUP(D274,'Deck Tally'!$B$5:$C$288,2,0)</f>
        <v>36.81</v>
      </c>
      <c r="F274" s="82">
        <f t="shared" si="61"/>
        <v>36.472500000000004</v>
      </c>
      <c r="G274" s="82" t="s">
        <v>58</v>
      </c>
      <c r="H274" s="82">
        <f t="shared" si="65"/>
        <v>9138.2499999999945</v>
      </c>
      <c r="I274" s="114">
        <f t="shared" si="66"/>
        <v>12738.750000000005</v>
      </c>
      <c r="J274" s="118">
        <f t="shared" si="67"/>
        <v>342.08949369747882</v>
      </c>
      <c r="K274" s="396"/>
      <c r="L274" s="397"/>
      <c r="M274" s="40"/>
      <c r="N274" s="216"/>
      <c r="O274" s="39"/>
      <c r="P274" s="40"/>
      <c r="Q274" s="40"/>
      <c r="R274" s="40"/>
      <c r="S274" s="41"/>
      <c r="T274" s="41"/>
    </row>
    <row r="275" spans="1:20" s="12" customFormat="1" ht="14.45" customHeight="1">
      <c r="A275" s="222">
        <v>243</v>
      </c>
      <c r="B275" s="218">
        <v>2</v>
      </c>
      <c r="C275" s="295" t="s">
        <v>59</v>
      </c>
      <c r="D275" s="113">
        <v>27</v>
      </c>
      <c r="E275" s="82">
        <f>VLOOKUP(D275,'Deck Tally'!$B$5:$C$288,2,0)</f>
        <v>36.659999999999997</v>
      </c>
      <c r="F275" s="82">
        <f t="shared" si="61"/>
        <v>36.322499999999998</v>
      </c>
      <c r="G275" s="82" t="s">
        <v>58</v>
      </c>
      <c r="H275" s="82">
        <f t="shared" ref="H275:H276" si="68">IF(G275="IN",H274+F275,H274)</f>
        <v>9174.5724999999948</v>
      </c>
      <c r="I275" s="114">
        <f t="shared" ref="I275:I276" si="69">IF(H275="","",$K$8-H275)</f>
        <v>12702.427500000005</v>
      </c>
      <c r="J275" s="118">
        <f t="shared" ref="J275:J276" si="70">$G$8+(H275*$D$9*$G$10/1000)</f>
        <v>342.97224976508772</v>
      </c>
      <c r="K275" s="301"/>
      <c r="L275" s="302"/>
      <c r="M275" s="40"/>
      <c r="N275" s="216"/>
      <c r="O275" s="39"/>
      <c r="P275" s="40"/>
      <c r="Q275" s="40"/>
      <c r="R275" s="40"/>
      <c r="S275" s="41"/>
      <c r="T275" s="41"/>
    </row>
    <row r="276" spans="1:20" s="12" customFormat="1" ht="14.45" customHeight="1">
      <c r="A276" s="222">
        <v>244</v>
      </c>
      <c r="B276" s="218">
        <v>2</v>
      </c>
      <c r="C276" s="295" t="s">
        <v>59</v>
      </c>
      <c r="D276" s="113">
        <v>26</v>
      </c>
      <c r="E276" s="82">
        <f>VLOOKUP(D276,'Deck Tally'!$B$5:$C$288,2,0)</f>
        <v>36.979999999999997</v>
      </c>
      <c r="F276" s="82">
        <f t="shared" si="61"/>
        <v>36.642499999999998</v>
      </c>
      <c r="G276" s="82" t="s">
        <v>58</v>
      </c>
      <c r="H276" s="82">
        <f t="shared" si="68"/>
        <v>9211.2149999999947</v>
      </c>
      <c r="I276" s="114">
        <f t="shared" si="69"/>
        <v>12665.785000000005</v>
      </c>
      <c r="J276" s="118">
        <f t="shared" si="70"/>
        <v>343.8627828838807</v>
      </c>
      <c r="K276" s="301"/>
      <c r="L276" s="302"/>
      <c r="M276" s="40"/>
      <c r="N276" s="216"/>
      <c r="O276" s="39"/>
      <c r="P276" s="40"/>
      <c r="Q276" s="40"/>
      <c r="R276" s="40"/>
      <c r="S276" s="41"/>
      <c r="T276" s="41"/>
    </row>
    <row r="277" spans="1:20" s="12" customFormat="1" ht="14.45" customHeight="1">
      <c r="A277" s="222">
        <v>245</v>
      </c>
      <c r="B277" s="218">
        <v>2</v>
      </c>
      <c r="C277" s="295" t="s">
        <v>59</v>
      </c>
      <c r="D277" s="113">
        <v>25</v>
      </c>
      <c r="E277" s="82">
        <f>VLOOKUP(D277,'Deck Tally'!$B$5:$C$288,2,0)</f>
        <v>36.54</v>
      </c>
      <c r="F277" s="82">
        <f t="shared" si="61"/>
        <v>36.202500000000001</v>
      </c>
      <c r="G277" s="82" t="s">
        <v>58</v>
      </c>
      <c r="H277" s="82">
        <f t="shared" ref="H277:H291" si="71">IF(G277="IN",H276+F277,H276)</f>
        <v>9247.4174999999941</v>
      </c>
      <c r="I277" s="114">
        <f t="shared" ref="I277:I291" si="72">IF(H277="","",$K$8-H277)</f>
        <v>12629.582500000006</v>
      </c>
      <c r="J277" s="118">
        <f t="shared" ref="J277:J293" si="73">$G$8+(H277*$D$9*$G$10/1000)</f>
        <v>344.74262255729548</v>
      </c>
      <c r="K277" s="301"/>
      <c r="L277" s="302"/>
      <c r="M277" s="40"/>
      <c r="N277" s="216"/>
      <c r="O277" s="39"/>
      <c r="P277" s="40"/>
      <c r="Q277" s="40"/>
      <c r="R277" s="40"/>
      <c r="S277" s="41"/>
      <c r="T277" s="41"/>
    </row>
    <row r="278" spans="1:20" s="12" customFormat="1" ht="14.45" customHeight="1">
      <c r="A278" s="222">
        <v>246</v>
      </c>
      <c r="B278" s="218">
        <v>2</v>
      </c>
      <c r="C278" s="295" t="s">
        <v>59</v>
      </c>
      <c r="D278" s="113">
        <v>24</v>
      </c>
      <c r="E278" s="82">
        <f>VLOOKUP(D278,'Deck Tally'!$B$5:$C$288,2,0)</f>
        <v>36.19</v>
      </c>
      <c r="F278" s="82">
        <f t="shared" si="61"/>
        <v>35.852499999999999</v>
      </c>
      <c r="G278" s="82" t="s">
        <v>58</v>
      </c>
      <c r="H278" s="316">
        <f t="shared" si="71"/>
        <v>9283.269999999995</v>
      </c>
      <c r="I278" s="317">
        <f t="shared" si="72"/>
        <v>12593.730000000005</v>
      </c>
      <c r="J278" s="118">
        <f t="shared" si="73"/>
        <v>345.61395608097769</v>
      </c>
      <c r="K278" s="301"/>
      <c r="L278" s="302"/>
      <c r="M278" s="40"/>
      <c r="N278" s="216"/>
      <c r="O278" s="39"/>
      <c r="P278" s="40"/>
      <c r="Q278" s="40"/>
      <c r="R278" s="40"/>
      <c r="S278" s="41"/>
      <c r="T278" s="41"/>
    </row>
    <row r="279" spans="1:20" s="12" customFormat="1" ht="14.45" customHeight="1">
      <c r="A279" s="222">
        <v>247</v>
      </c>
      <c r="B279" s="219">
        <v>2</v>
      </c>
      <c r="C279" s="295" t="s">
        <v>59</v>
      </c>
      <c r="D279" s="113">
        <v>23</v>
      </c>
      <c r="E279" s="82">
        <f>VLOOKUP(D279,'Deck Tally'!$B$5:$C$288,2,0)</f>
        <v>36.200000000000003</v>
      </c>
      <c r="F279" s="82">
        <f t="shared" si="61"/>
        <v>35.862500000000004</v>
      </c>
      <c r="G279" s="82" t="s">
        <v>58</v>
      </c>
      <c r="H279" s="82">
        <f t="shared" si="71"/>
        <v>9319.1324999999943</v>
      </c>
      <c r="I279" s="317">
        <f t="shared" si="72"/>
        <v>12557.867500000006</v>
      </c>
      <c r="J279" s="118">
        <f t="shared" si="73"/>
        <v>346.48553263750944</v>
      </c>
      <c r="K279" s="354" t="s">
        <v>223</v>
      </c>
      <c r="L279" s="355"/>
      <c r="M279" s="40"/>
      <c r="N279" s="216">
        <f>12562-L281</f>
        <v>8.132499999994252</v>
      </c>
      <c r="O279" s="39" t="s">
        <v>62</v>
      </c>
      <c r="P279" s="40"/>
      <c r="Q279" s="40"/>
      <c r="R279" s="40"/>
      <c r="S279" s="41"/>
      <c r="T279" s="41"/>
    </row>
    <row r="280" spans="1:20" s="12" customFormat="1" ht="14.45" customHeight="1">
      <c r="A280" s="222">
        <v>248</v>
      </c>
      <c r="B280" s="219">
        <v>2</v>
      </c>
      <c r="C280" s="295" t="s">
        <v>59</v>
      </c>
      <c r="D280" s="331">
        <v>22</v>
      </c>
      <c r="E280" s="82">
        <f>VLOOKUP(D280,'Deck Tally'!$B$5:$C$288,2,0)</f>
        <v>36.86</v>
      </c>
      <c r="F280" s="82">
        <f t="shared" si="61"/>
        <v>36.522500000000001</v>
      </c>
      <c r="G280" s="82" t="s">
        <v>58</v>
      </c>
      <c r="H280" s="82">
        <f t="shared" si="71"/>
        <v>9355.6549999999934</v>
      </c>
      <c r="I280" s="330">
        <f t="shared" si="72"/>
        <v>12521.345000000007</v>
      </c>
      <c r="J280" s="118">
        <f t="shared" si="73"/>
        <v>347.37314936210828</v>
      </c>
      <c r="K280" s="392" t="s">
        <v>283</v>
      </c>
      <c r="L280" s="393"/>
      <c r="M280" s="40"/>
      <c r="N280" s="216"/>
      <c r="O280" s="39"/>
      <c r="P280" s="40"/>
      <c r="Q280" s="40"/>
      <c r="R280" s="40"/>
      <c r="S280" s="41"/>
      <c r="T280" s="41"/>
    </row>
    <row r="281" spans="1:20" s="12" customFormat="1" ht="14.45" customHeight="1">
      <c r="A281" s="222">
        <v>249</v>
      </c>
      <c r="B281" s="218">
        <v>2</v>
      </c>
      <c r="C281" s="295" t="s">
        <v>59</v>
      </c>
      <c r="D281" s="113">
        <v>21</v>
      </c>
      <c r="E281" s="82">
        <f>VLOOKUP(D281,'Deck Tally'!$B$5:$C$288,2,0)</f>
        <v>36.61</v>
      </c>
      <c r="F281" s="82">
        <f t="shared" si="61"/>
        <v>36.272500000000001</v>
      </c>
      <c r="G281" s="82" t="s">
        <v>58</v>
      </c>
      <c r="H281" s="82">
        <f t="shared" si="71"/>
        <v>9391.9274999999925</v>
      </c>
      <c r="I281" s="114">
        <f t="shared" si="72"/>
        <v>12485.072500000007</v>
      </c>
      <c r="J281" s="118">
        <f t="shared" si="73"/>
        <v>348.25469026546966</v>
      </c>
      <c r="K281" s="314" t="s">
        <v>63</v>
      </c>
      <c r="L281" s="315">
        <f>I279-4</f>
        <v>12553.867500000006</v>
      </c>
      <c r="M281" s="40"/>
      <c r="P281" s="40"/>
      <c r="Q281" s="40"/>
      <c r="R281" s="40"/>
      <c r="S281" s="41"/>
      <c r="T281" s="41"/>
    </row>
    <row r="282" spans="1:20" s="12" customFormat="1" ht="14.45" customHeight="1">
      <c r="A282" s="222">
        <v>250</v>
      </c>
      <c r="B282" s="218">
        <v>2</v>
      </c>
      <c r="C282" s="295" t="s">
        <v>59</v>
      </c>
      <c r="D282" s="113">
        <v>20</v>
      </c>
      <c r="E282" s="82">
        <f>VLOOKUP(D282,'Deck Tally'!$B$5:$C$288,2,0)</f>
        <v>36.44</v>
      </c>
      <c r="F282" s="82">
        <f t="shared" ref="F282:F289" si="74">E282-($D$12/12)</f>
        <v>36.102499999999999</v>
      </c>
      <c r="G282" s="82" t="s">
        <v>58</v>
      </c>
      <c r="H282" s="82">
        <f t="shared" si="71"/>
        <v>9428.0299999999934</v>
      </c>
      <c r="I282" s="114">
        <f t="shared" si="72"/>
        <v>12448.970000000007</v>
      </c>
      <c r="J282" s="118">
        <f t="shared" si="73"/>
        <v>349.13209961038945</v>
      </c>
      <c r="K282" s="410"/>
      <c r="L282" s="411"/>
      <c r="M282" s="40"/>
      <c r="P282" s="40"/>
      <c r="Q282" s="40"/>
      <c r="R282" s="40"/>
      <c r="S282" s="41"/>
      <c r="T282" s="41"/>
    </row>
    <row r="283" spans="1:20" s="12" customFormat="1" ht="14.45" customHeight="1">
      <c r="A283" s="222">
        <v>251</v>
      </c>
      <c r="B283" s="218">
        <v>2</v>
      </c>
      <c r="C283" s="295" t="s">
        <v>59</v>
      </c>
      <c r="D283" s="113">
        <v>19</v>
      </c>
      <c r="E283" s="82">
        <f>VLOOKUP(D283,'Deck Tally'!$B$5:$C$288,2,0)</f>
        <v>37.29</v>
      </c>
      <c r="F283" s="82">
        <f t="shared" si="74"/>
        <v>36.952500000000001</v>
      </c>
      <c r="G283" s="82" t="s">
        <v>58</v>
      </c>
      <c r="H283" s="82">
        <f t="shared" si="71"/>
        <v>9464.9824999999928</v>
      </c>
      <c r="I283" s="114">
        <f t="shared" si="72"/>
        <v>12412.017500000007</v>
      </c>
      <c r="J283" s="118">
        <f t="shared" si="73"/>
        <v>350.030166747517</v>
      </c>
      <c r="K283" s="412"/>
      <c r="L283" s="413"/>
      <c r="M283" s="40"/>
      <c r="N283" s="216"/>
      <c r="O283" s="39"/>
      <c r="P283" s="40"/>
      <c r="Q283" s="40"/>
      <c r="R283" s="40"/>
      <c r="S283" s="41"/>
      <c r="T283" s="41"/>
    </row>
    <row r="284" spans="1:20" s="12" customFormat="1" ht="14.45" customHeight="1">
      <c r="A284" s="222">
        <v>252</v>
      </c>
      <c r="B284" s="218">
        <v>2</v>
      </c>
      <c r="C284" s="295" t="s">
        <v>59</v>
      </c>
      <c r="D284" s="113">
        <v>18</v>
      </c>
      <c r="E284" s="82">
        <f>VLOOKUP(D284,'Deck Tally'!$B$5:$C$288,2,0)</f>
        <v>36.770000000000003</v>
      </c>
      <c r="F284" s="82">
        <f t="shared" si="74"/>
        <v>36.432500000000005</v>
      </c>
      <c r="G284" s="82" t="s">
        <v>58</v>
      </c>
      <c r="H284" s="82">
        <f t="shared" si="71"/>
        <v>9501.4149999999936</v>
      </c>
      <c r="I284" s="114">
        <f t="shared" si="72"/>
        <v>12375.585000000006</v>
      </c>
      <c r="J284" s="118">
        <f t="shared" si="73"/>
        <v>350.91559617647039</v>
      </c>
      <c r="K284" s="301"/>
      <c r="L284" s="302"/>
      <c r="M284" s="40"/>
      <c r="N284" s="216"/>
      <c r="O284" s="39"/>
      <c r="P284" s="40"/>
      <c r="Q284" s="40"/>
      <c r="R284" s="40"/>
      <c r="S284" s="41"/>
      <c r="T284" s="41"/>
    </row>
    <row r="285" spans="1:20" s="12" customFormat="1" ht="14.45" customHeight="1">
      <c r="A285" s="222">
        <v>253</v>
      </c>
      <c r="B285" s="218">
        <v>2</v>
      </c>
      <c r="C285" s="295" t="s">
        <v>59</v>
      </c>
      <c r="D285" s="113">
        <v>17</v>
      </c>
      <c r="E285" s="82">
        <f>VLOOKUP(D285,'Deck Tally'!$B$5:$C$288,2,0)</f>
        <v>37.020000000000003</v>
      </c>
      <c r="F285" s="82">
        <f t="shared" si="74"/>
        <v>36.682500000000005</v>
      </c>
      <c r="G285" s="82" t="s">
        <v>58</v>
      </c>
      <c r="H285" s="82">
        <f t="shared" si="71"/>
        <v>9538.0974999999944</v>
      </c>
      <c r="I285" s="114">
        <f t="shared" si="72"/>
        <v>12338.902500000006</v>
      </c>
      <c r="J285" s="118">
        <f t="shared" si="73"/>
        <v>351.80710142666146</v>
      </c>
      <c r="K285" s="301"/>
      <c r="L285" s="302"/>
      <c r="M285" s="40"/>
      <c r="N285" s="216"/>
      <c r="O285" s="39"/>
      <c r="P285" s="40"/>
      <c r="Q285" s="40"/>
      <c r="R285" s="40"/>
      <c r="S285" s="41"/>
      <c r="T285" s="41"/>
    </row>
    <row r="286" spans="1:20" s="12" customFormat="1" ht="14.45" customHeight="1">
      <c r="A286" s="222">
        <v>254</v>
      </c>
      <c r="B286" s="218">
        <v>2</v>
      </c>
      <c r="C286" s="295" t="s">
        <v>59</v>
      </c>
      <c r="D286" s="113">
        <v>16</v>
      </c>
      <c r="E286" s="82">
        <f>VLOOKUP(D286,'Deck Tally'!$B$5:$C$288,2,0)</f>
        <v>36.380000000000003</v>
      </c>
      <c r="F286" s="82">
        <f t="shared" si="74"/>
        <v>36.042500000000004</v>
      </c>
      <c r="G286" s="82" t="s">
        <v>58</v>
      </c>
      <c r="H286" s="82">
        <f t="shared" si="71"/>
        <v>9574.139999999994</v>
      </c>
      <c r="I286" s="114">
        <f t="shared" si="72"/>
        <v>12302.860000000006</v>
      </c>
      <c r="J286" s="118">
        <f t="shared" si="73"/>
        <v>352.68305257448418</v>
      </c>
      <c r="K286" s="301"/>
      <c r="L286" s="302"/>
      <c r="M286" s="40"/>
      <c r="N286" s="216"/>
      <c r="O286" s="39"/>
      <c r="P286" s="40"/>
      <c r="Q286" s="40"/>
      <c r="R286" s="40"/>
      <c r="S286" s="41"/>
      <c r="T286" s="41"/>
    </row>
    <row r="287" spans="1:20" s="12" customFormat="1" ht="14.45" customHeight="1">
      <c r="A287" s="222">
        <v>255</v>
      </c>
      <c r="B287" s="218">
        <v>2</v>
      </c>
      <c r="C287" s="295" t="s">
        <v>59</v>
      </c>
      <c r="D287" s="113">
        <v>15</v>
      </c>
      <c r="E287" s="82">
        <f>VLOOKUP(D287,'Deck Tally'!$B$5:$C$288,2,0)</f>
        <v>36.619999999999997</v>
      </c>
      <c r="F287" s="82">
        <f t="shared" si="74"/>
        <v>36.282499999999999</v>
      </c>
      <c r="G287" s="82" t="s">
        <v>58</v>
      </c>
      <c r="H287" s="82">
        <f t="shared" si="71"/>
        <v>9610.4224999999933</v>
      </c>
      <c r="I287" s="114">
        <f t="shared" si="72"/>
        <v>12266.577500000007</v>
      </c>
      <c r="J287" s="118">
        <f t="shared" si="73"/>
        <v>353.56483651069505</v>
      </c>
      <c r="K287" s="301"/>
      <c r="L287" s="302"/>
      <c r="M287" s="40"/>
      <c r="N287" s="216"/>
      <c r="O287" s="39"/>
      <c r="P287" s="40"/>
      <c r="Q287" s="40"/>
      <c r="R287" s="40"/>
      <c r="S287" s="41"/>
      <c r="T287" s="41"/>
    </row>
    <row r="288" spans="1:20" s="12" customFormat="1" ht="14.45" customHeight="1">
      <c r="A288" s="222">
        <v>256</v>
      </c>
      <c r="B288" s="218">
        <v>2</v>
      </c>
      <c r="C288" s="295" t="s">
        <v>59</v>
      </c>
      <c r="D288" s="113">
        <v>14</v>
      </c>
      <c r="E288" s="82">
        <f>VLOOKUP(D288,'Deck Tally'!$B$5:$C$288,2,0)</f>
        <v>36.56</v>
      </c>
      <c r="F288" s="82">
        <f t="shared" si="74"/>
        <v>36.222500000000004</v>
      </c>
      <c r="G288" s="82" t="s">
        <v>58</v>
      </c>
      <c r="H288" s="82">
        <f t="shared" si="71"/>
        <v>9646.6449999999932</v>
      </c>
      <c r="I288" s="114">
        <f t="shared" si="72"/>
        <v>12230.355000000007</v>
      </c>
      <c r="J288" s="118">
        <f t="shared" si="73"/>
        <v>354.44516224980885</v>
      </c>
      <c r="K288" s="301"/>
      <c r="L288" s="302"/>
      <c r="M288" s="40"/>
      <c r="N288" s="216"/>
      <c r="O288" s="39"/>
      <c r="P288" s="40"/>
      <c r="Q288" s="40"/>
      <c r="R288" s="40"/>
      <c r="S288" s="41"/>
      <c r="T288" s="41"/>
    </row>
    <row r="289" spans="1:20" s="12" customFormat="1" ht="14.45" customHeight="1">
      <c r="A289" s="222">
        <v>257</v>
      </c>
      <c r="B289" s="218">
        <v>2</v>
      </c>
      <c r="C289" s="295" t="s">
        <v>59</v>
      </c>
      <c r="D289" s="113">
        <v>13</v>
      </c>
      <c r="E289" s="82">
        <f>VLOOKUP(D289,'Deck Tally'!$B$5:$C$288,2,0)</f>
        <v>36.46</v>
      </c>
      <c r="F289" s="82">
        <f t="shared" si="74"/>
        <v>36.122500000000002</v>
      </c>
      <c r="G289" s="82" t="s">
        <v>58</v>
      </c>
      <c r="H289" s="82">
        <f t="shared" si="71"/>
        <v>9682.7674999999927</v>
      </c>
      <c r="I289" s="114">
        <f t="shared" si="72"/>
        <v>12194.232500000007</v>
      </c>
      <c r="J289" s="118">
        <f t="shared" si="73"/>
        <v>355.32305766042759</v>
      </c>
      <c r="K289" s="301"/>
      <c r="L289" s="302"/>
      <c r="M289" s="40"/>
      <c r="N289" s="216"/>
      <c r="O289" s="39"/>
      <c r="P289" s="40"/>
      <c r="Q289" s="40"/>
      <c r="R289" s="40"/>
      <c r="S289" s="41"/>
      <c r="T289" s="41"/>
    </row>
    <row r="290" spans="1:20" s="12" customFormat="1" ht="14.45" customHeight="1">
      <c r="A290" s="222">
        <v>258</v>
      </c>
      <c r="B290" s="218">
        <v>2</v>
      </c>
      <c r="C290" s="295" t="s">
        <v>59</v>
      </c>
      <c r="D290" s="113">
        <v>12</v>
      </c>
      <c r="E290" s="82">
        <f>VLOOKUP(D290,'Deck Tally'!$B$5:$C$288,2,0)</f>
        <v>36.56</v>
      </c>
      <c r="F290" s="82">
        <f>E290-($D$12/12)</f>
        <v>36.222500000000004</v>
      </c>
      <c r="G290" s="82" t="s">
        <v>58</v>
      </c>
      <c r="H290" s="82">
        <f t="shared" si="71"/>
        <v>9718.9899999999925</v>
      </c>
      <c r="I290" s="114">
        <f t="shared" si="72"/>
        <v>12158.010000000007</v>
      </c>
      <c r="J290" s="118">
        <f t="shared" si="73"/>
        <v>356.20338339954139</v>
      </c>
      <c r="K290" s="396" t="s">
        <v>275</v>
      </c>
      <c r="L290" s="397"/>
      <c r="M290" s="40"/>
      <c r="N290" s="216"/>
      <c r="O290" s="39"/>
      <c r="P290" s="40"/>
      <c r="Q290" s="40"/>
      <c r="R290" s="40"/>
      <c r="S290" s="41"/>
      <c r="T290" s="41"/>
    </row>
    <row r="291" spans="1:20" s="12" customFormat="1" ht="14.45" customHeight="1">
      <c r="A291" s="222">
        <v>259</v>
      </c>
      <c r="B291" s="218">
        <v>2</v>
      </c>
      <c r="C291" s="295" t="s">
        <v>59</v>
      </c>
      <c r="D291" s="331">
        <v>11</v>
      </c>
      <c r="E291" s="82">
        <f>VLOOKUP(D291,'Deck Tally'!$B$5:$C$288,2,0)</f>
        <v>37.31</v>
      </c>
      <c r="F291" s="82">
        <f t="shared" ref="F291:F294" si="75">E291-($D$12/12)</f>
        <v>36.972500000000004</v>
      </c>
      <c r="G291" s="82" t="s">
        <v>58</v>
      </c>
      <c r="H291" s="82">
        <f t="shared" si="71"/>
        <v>9755.9624999999924</v>
      </c>
      <c r="I291" s="330">
        <f t="shared" si="72"/>
        <v>12121.037500000008</v>
      </c>
      <c r="J291" s="118">
        <f t="shared" si="73"/>
        <v>357.10193660236803</v>
      </c>
      <c r="K291" s="392" t="s">
        <v>282</v>
      </c>
      <c r="L291" s="393"/>
      <c r="M291" s="40"/>
      <c r="N291" s="216">
        <f>12141.08-12153.96</f>
        <v>-12.8799999999992</v>
      </c>
      <c r="O291" s="39" t="s">
        <v>62</v>
      </c>
      <c r="P291" s="40"/>
      <c r="Q291" s="40"/>
      <c r="R291" s="40"/>
      <c r="S291" s="41"/>
      <c r="T291" s="41"/>
    </row>
    <row r="292" spans="1:20" s="12" customFormat="1" ht="14.45" customHeight="1">
      <c r="A292" s="222">
        <v>260</v>
      </c>
      <c r="B292" s="218">
        <v>2</v>
      </c>
      <c r="C292" s="295" t="s">
        <v>59</v>
      </c>
      <c r="D292" s="113">
        <v>10</v>
      </c>
      <c r="E292" s="82">
        <f>VLOOKUP(D292,'Deck Tally'!$B$5:$C$288,2,0)</f>
        <v>36.200000000000003</v>
      </c>
      <c r="F292" s="82">
        <f t="shared" si="75"/>
        <v>35.862500000000004</v>
      </c>
      <c r="G292" s="82" t="s">
        <v>58</v>
      </c>
      <c r="H292" s="82">
        <f t="shared" ref="H292:H298" si="76">IF(G292="IN",H291+F292,H291)</f>
        <v>9791.8249999999916</v>
      </c>
      <c r="I292" s="114">
        <f t="shared" ref="I292:I298" si="77">IF(H292="","",$K$8-H292)</f>
        <v>12085.175000000008</v>
      </c>
      <c r="J292" s="118">
        <f t="shared" si="73"/>
        <v>357.97351315889966</v>
      </c>
      <c r="K292" s="301"/>
      <c r="L292" s="302"/>
      <c r="M292" s="40"/>
      <c r="N292" s="216"/>
      <c r="O292" s="39"/>
      <c r="P292" s="40"/>
      <c r="Q292" s="40"/>
      <c r="R292" s="40"/>
      <c r="S292" s="41"/>
      <c r="T292" s="41"/>
    </row>
    <row r="293" spans="1:20" s="12" customFormat="1" ht="14.45" customHeight="1">
      <c r="A293" s="222"/>
      <c r="B293" s="340">
        <v>2</v>
      </c>
      <c r="C293" s="341" t="s">
        <v>59</v>
      </c>
      <c r="D293" s="342">
        <v>9</v>
      </c>
      <c r="E293" s="343">
        <f>VLOOKUP(D293,'Deck Tally'!$B$5:$C$288,2,0)</f>
        <v>36.17</v>
      </c>
      <c r="F293" s="343">
        <f t="shared" si="75"/>
        <v>35.832500000000003</v>
      </c>
      <c r="G293" s="339" t="s">
        <v>273</v>
      </c>
      <c r="H293" s="343">
        <f t="shared" si="76"/>
        <v>9791.8249999999916</v>
      </c>
      <c r="I293" s="344">
        <f t="shared" si="77"/>
        <v>12085.175000000008</v>
      </c>
      <c r="J293" s="345">
        <f t="shared" si="73"/>
        <v>357.97351315889966</v>
      </c>
      <c r="K293" s="301"/>
      <c r="L293" s="302"/>
      <c r="M293" s="40"/>
      <c r="N293" s="216"/>
      <c r="O293" s="39"/>
      <c r="P293" s="40"/>
      <c r="Q293" s="40"/>
      <c r="R293" s="40"/>
      <c r="S293" s="41"/>
      <c r="T293" s="41"/>
    </row>
    <row r="294" spans="1:20" s="12" customFormat="1" ht="14.45" customHeight="1">
      <c r="A294" s="222"/>
      <c r="B294" s="340">
        <v>2</v>
      </c>
      <c r="C294" s="341" t="s">
        <v>59</v>
      </c>
      <c r="D294" s="342">
        <v>8</v>
      </c>
      <c r="E294" s="343">
        <f>VLOOKUP(D294,'Deck Tally'!$B$5:$C$288,2,0)</f>
        <v>36.51</v>
      </c>
      <c r="F294" s="343">
        <f t="shared" si="75"/>
        <v>36.172499999999999</v>
      </c>
      <c r="G294" s="339" t="s">
        <v>273</v>
      </c>
      <c r="H294" s="343">
        <f t="shared" si="76"/>
        <v>9791.8249999999916</v>
      </c>
      <c r="I294" s="344">
        <f t="shared" si="77"/>
        <v>12085.175000000008</v>
      </c>
      <c r="J294" s="345">
        <f t="shared" ref="J294:J308" si="78">$G$8+(H294*$D$9*$G$10/1000)</f>
        <v>357.97351315889966</v>
      </c>
      <c r="K294" s="301"/>
      <c r="L294" s="302"/>
      <c r="M294" s="40"/>
      <c r="N294" s="216"/>
      <c r="O294" s="39"/>
      <c r="P294" s="40"/>
      <c r="Q294" s="40"/>
      <c r="R294" s="40"/>
      <c r="S294" s="41"/>
      <c r="T294" s="41"/>
    </row>
    <row r="295" spans="1:20" s="12" customFormat="1" ht="14.45" customHeight="1">
      <c r="A295" s="222"/>
      <c r="B295" s="340">
        <v>2</v>
      </c>
      <c r="C295" s="341" t="s">
        <v>59</v>
      </c>
      <c r="D295" s="342">
        <v>7</v>
      </c>
      <c r="E295" s="343">
        <f>VLOOKUP(D295,'Deck Tally'!$B$5:$C$288,2,0)</f>
        <v>36.47</v>
      </c>
      <c r="F295" s="343">
        <f t="shared" ref="F295:F298" si="79">E295-($D$12/12)</f>
        <v>36.1325</v>
      </c>
      <c r="G295" s="339" t="s">
        <v>273</v>
      </c>
      <c r="H295" s="343">
        <f t="shared" si="76"/>
        <v>9791.8249999999916</v>
      </c>
      <c r="I295" s="344">
        <f t="shared" si="77"/>
        <v>12085.175000000008</v>
      </c>
      <c r="J295" s="345">
        <f t="shared" si="78"/>
        <v>357.97351315889966</v>
      </c>
      <c r="K295" s="301"/>
      <c r="L295" s="302"/>
      <c r="M295" s="40"/>
      <c r="N295" s="216"/>
      <c r="O295" s="39"/>
      <c r="P295" s="40"/>
      <c r="Q295" s="40"/>
      <c r="R295" s="40"/>
      <c r="S295" s="41"/>
      <c r="T295" s="41"/>
    </row>
    <row r="296" spans="1:20" s="12" customFormat="1" ht="14.45" customHeight="1">
      <c r="A296" s="222"/>
      <c r="B296" s="340">
        <v>2</v>
      </c>
      <c r="C296" s="341" t="s">
        <v>59</v>
      </c>
      <c r="D296" s="342">
        <v>6</v>
      </c>
      <c r="E296" s="343">
        <f>VLOOKUP(D296,'Deck Tally'!$B$5:$C$288,2,0)</f>
        <v>36.58</v>
      </c>
      <c r="F296" s="343">
        <f t="shared" si="79"/>
        <v>36.2425</v>
      </c>
      <c r="G296" s="339" t="s">
        <v>273</v>
      </c>
      <c r="H296" s="343">
        <f t="shared" si="76"/>
        <v>9791.8249999999916</v>
      </c>
      <c r="I296" s="344">
        <f t="shared" si="77"/>
        <v>12085.175000000008</v>
      </c>
      <c r="J296" s="345">
        <f t="shared" ref="J296:J299" si="80">$G$8+(H296*$D$9*$G$10/1000)</f>
        <v>357.97351315889966</v>
      </c>
      <c r="K296" s="301"/>
      <c r="L296" s="302"/>
      <c r="M296" s="40"/>
      <c r="N296" s="216"/>
      <c r="O296" s="39"/>
      <c r="P296" s="40"/>
      <c r="Q296" s="40"/>
      <c r="R296" s="40"/>
      <c r="S296" s="41"/>
      <c r="T296" s="41"/>
    </row>
    <row r="297" spans="1:20" s="12" customFormat="1" ht="14.45" customHeight="1">
      <c r="A297" s="222"/>
      <c r="B297" s="340">
        <v>2</v>
      </c>
      <c r="C297" s="341" t="s">
        <v>59</v>
      </c>
      <c r="D297" s="342">
        <v>5</v>
      </c>
      <c r="E297" s="343">
        <f>VLOOKUP(D297,'Deck Tally'!$B$5:$C$288,2,0)</f>
        <v>36.5</v>
      </c>
      <c r="F297" s="343">
        <f t="shared" si="79"/>
        <v>36.162500000000001</v>
      </c>
      <c r="G297" s="339" t="s">
        <v>273</v>
      </c>
      <c r="H297" s="343">
        <f t="shared" si="76"/>
        <v>9791.8249999999916</v>
      </c>
      <c r="I297" s="344">
        <f t="shared" si="77"/>
        <v>12085.175000000008</v>
      </c>
      <c r="J297" s="345">
        <f t="shared" si="80"/>
        <v>357.97351315889966</v>
      </c>
      <c r="K297" s="301"/>
      <c r="L297" s="302"/>
      <c r="M297" s="40"/>
      <c r="N297" s="216"/>
      <c r="O297" s="39"/>
      <c r="P297" s="40"/>
      <c r="Q297" s="40"/>
      <c r="R297" s="40"/>
      <c r="S297" s="41"/>
      <c r="T297" s="41"/>
    </row>
    <row r="298" spans="1:20" s="12" customFormat="1" ht="14.45" customHeight="1">
      <c r="A298" s="222"/>
      <c r="B298" s="340">
        <v>2</v>
      </c>
      <c r="C298" s="341" t="s">
        <v>59</v>
      </c>
      <c r="D298" s="342">
        <v>4</v>
      </c>
      <c r="E298" s="343">
        <f>VLOOKUP(D298,'Deck Tally'!$B$5:$C$288,2,0)</f>
        <v>35.85</v>
      </c>
      <c r="F298" s="343">
        <f t="shared" si="79"/>
        <v>35.512500000000003</v>
      </c>
      <c r="G298" s="339" t="s">
        <v>273</v>
      </c>
      <c r="H298" s="343">
        <f t="shared" si="76"/>
        <v>9791.8249999999916</v>
      </c>
      <c r="I298" s="344">
        <f t="shared" si="77"/>
        <v>12085.175000000008</v>
      </c>
      <c r="J298" s="345">
        <f t="shared" si="80"/>
        <v>357.97351315889966</v>
      </c>
      <c r="K298" s="301"/>
      <c r="L298" s="302"/>
      <c r="M298" s="40"/>
      <c r="N298" s="216"/>
      <c r="O298" s="39"/>
      <c r="P298" s="40"/>
      <c r="Q298" s="40"/>
      <c r="R298" s="40"/>
      <c r="S298" s="41"/>
      <c r="T298" s="41"/>
    </row>
    <row r="299" spans="1:20" s="12" customFormat="1" ht="14.45" customHeight="1">
      <c r="A299" s="222"/>
      <c r="B299" s="340">
        <v>2</v>
      </c>
      <c r="C299" s="341" t="s">
        <v>59</v>
      </c>
      <c r="D299" s="342">
        <v>3</v>
      </c>
      <c r="E299" s="343">
        <f>VLOOKUP(D299,'Deck Tally'!$B$5:$C$288,2,0)</f>
        <v>36.090000000000003</v>
      </c>
      <c r="F299" s="343">
        <f t="shared" ref="F299:F300" si="81">E299-($D$12/12)</f>
        <v>35.752500000000005</v>
      </c>
      <c r="G299" s="339" t="s">
        <v>273</v>
      </c>
      <c r="H299" s="343">
        <f t="shared" ref="H299:H304" si="82">IF(G299="IN",H298+F299,H298)</f>
        <v>9791.8249999999916</v>
      </c>
      <c r="I299" s="344">
        <f t="shared" ref="I299:I304" si="83">IF(H299="","",$K$8-H299)</f>
        <v>12085.175000000008</v>
      </c>
      <c r="J299" s="345">
        <f t="shared" si="80"/>
        <v>357.97351315889966</v>
      </c>
      <c r="K299" s="301"/>
      <c r="L299" s="302"/>
      <c r="M299" s="40"/>
      <c r="N299" s="216"/>
      <c r="O299" s="39"/>
      <c r="P299" s="40"/>
      <c r="Q299" s="40"/>
      <c r="R299" s="40"/>
      <c r="S299" s="41"/>
      <c r="T299" s="41"/>
    </row>
    <row r="300" spans="1:20" s="12" customFormat="1" ht="14.45" customHeight="1">
      <c r="A300" s="222"/>
      <c r="B300" s="340">
        <v>2</v>
      </c>
      <c r="C300" s="341" t="s">
        <v>59</v>
      </c>
      <c r="D300" s="342">
        <v>2</v>
      </c>
      <c r="E300" s="343">
        <f>VLOOKUP(D300,'Deck Tally'!$B$5:$C$288,2,0)</f>
        <v>36.47</v>
      </c>
      <c r="F300" s="343">
        <f t="shared" si="81"/>
        <v>36.1325</v>
      </c>
      <c r="G300" s="339" t="s">
        <v>273</v>
      </c>
      <c r="H300" s="343">
        <f t="shared" si="82"/>
        <v>9791.8249999999916</v>
      </c>
      <c r="I300" s="344">
        <f t="shared" si="83"/>
        <v>12085.175000000008</v>
      </c>
      <c r="J300" s="345">
        <f t="shared" ref="J300" si="84">$G$8+(H300*$D$9*$G$10/1000)</f>
        <v>357.97351315889966</v>
      </c>
      <c r="K300" s="301"/>
      <c r="L300" s="302"/>
      <c r="M300" s="40"/>
      <c r="N300" s="216"/>
      <c r="O300" s="39"/>
      <c r="P300" s="40"/>
      <c r="Q300" s="40"/>
      <c r="R300" s="40"/>
      <c r="S300" s="41"/>
      <c r="T300" s="41"/>
    </row>
    <row r="301" spans="1:20" s="12" customFormat="1" ht="14.45" customHeight="1" thickBot="1">
      <c r="A301" s="222"/>
      <c r="B301" s="340">
        <v>2</v>
      </c>
      <c r="C301" s="341" t="s">
        <v>59</v>
      </c>
      <c r="D301" s="342">
        <v>1</v>
      </c>
      <c r="E301" s="343">
        <f>VLOOKUP(D301,'Deck Tally'!$B$5:$C$288,2,0)</f>
        <v>36.06</v>
      </c>
      <c r="F301" s="343">
        <f t="shared" ref="F301" si="85">E301-($D$12/12)</f>
        <v>35.722500000000004</v>
      </c>
      <c r="G301" s="339" t="s">
        <v>273</v>
      </c>
      <c r="H301" s="343">
        <f t="shared" si="82"/>
        <v>9791.8249999999916</v>
      </c>
      <c r="I301" s="344">
        <f t="shared" si="83"/>
        <v>12085.175000000008</v>
      </c>
      <c r="J301" s="346">
        <f t="shared" ref="J301" si="86">$G$8+(H301*$D$9*$G$10/1000)</f>
        <v>357.97351315889966</v>
      </c>
      <c r="K301" s="301"/>
      <c r="L301" s="302"/>
      <c r="M301" s="40"/>
      <c r="N301" s="216"/>
      <c r="O301" s="39"/>
      <c r="P301" s="40"/>
      <c r="Q301" s="40"/>
      <c r="R301" s="40"/>
      <c r="S301" s="41"/>
      <c r="T301" s="41"/>
    </row>
    <row r="302" spans="1:20" s="12" customFormat="1" ht="13.5" customHeight="1">
      <c r="A302" s="534" t="s">
        <v>202</v>
      </c>
      <c r="B302" s="537" t="s">
        <v>67</v>
      </c>
      <c r="C302" s="538"/>
      <c r="D302" s="538"/>
      <c r="E302" s="225">
        <f>44.38-38.27</f>
        <v>6.1099999999999994</v>
      </c>
      <c r="F302" s="226">
        <f>E302-($D$12/12)</f>
        <v>5.7724999999999991</v>
      </c>
      <c r="G302" s="227" t="s">
        <v>58</v>
      </c>
      <c r="H302" s="227">
        <f t="shared" si="82"/>
        <v>9797.5974999999908</v>
      </c>
      <c r="I302" s="227">
        <f t="shared" si="83"/>
        <v>12079.402500000009</v>
      </c>
      <c r="J302" s="231">
        <f t="shared" si="78"/>
        <v>358.11380387127554</v>
      </c>
      <c r="K302" s="394" t="s">
        <v>68</v>
      </c>
      <c r="L302" s="395"/>
      <c r="M302" s="40"/>
      <c r="N302" s="69"/>
      <c r="O302" s="40"/>
      <c r="P302" s="40"/>
      <c r="Q302" s="40"/>
      <c r="R302" s="40"/>
      <c r="S302" s="41"/>
      <c r="T302" s="41"/>
    </row>
    <row r="303" spans="1:20" s="12" customFormat="1" ht="13.5" customHeight="1">
      <c r="A303" s="535"/>
      <c r="B303" s="512" t="s">
        <v>69</v>
      </c>
      <c r="C303" s="513"/>
      <c r="D303" s="513"/>
      <c r="E303" s="228">
        <f>38.27-29.41</f>
        <v>8.860000000000003</v>
      </c>
      <c r="F303" s="229">
        <f>E303</f>
        <v>8.860000000000003</v>
      </c>
      <c r="G303" s="230" t="s">
        <v>58</v>
      </c>
      <c r="H303" s="230">
        <f t="shared" si="82"/>
        <v>9806.4574999999913</v>
      </c>
      <c r="I303" s="223">
        <f t="shared" si="83"/>
        <v>12070.542500000009</v>
      </c>
      <c r="J303" s="231">
        <f t="shared" si="78"/>
        <v>358.32913097593558</v>
      </c>
      <c r="K303" s="386" t="s">
        <v>70</v>
      </c>
      <c r="L303" s="387"/>
      <c r="M303" s="50"/>
      <c r="N303" s="69"/>
      <c r="O303" s="50"/>
      <c r="P303" s="50"/>
      <c r="Q303" s="50"/>
      <c r="R303" s="50"/>
      <c r="S303" s="50"/>
      <c r="T303" s="50"/>
    </row>
    <row r="304" spans="1:20" s="12" customFormat="1" ht="13.5" customHeight="1">
      <c r="A304" s="535"/>
      <c r="B304" s="512" t="s">
        <v>71</v>
      </c>
      <c r="C304" s="513"/>
      <c r="D304" s="513"/>
      <c r="E304" s="228">
        <f>29.41-27.67</f>
        <v>1.7399999999999984</v>
      </c>
      <c r="F304" s="229">
        <f t="shared" ref="F304:F305" si="87">E304</f>
        <v>1.7399999999999984</v>
      </c>
      <c r="G304" s="230" t="s">
        <v>58</v>
      </c>
      <c r="H304" s="230">
        <f t="shared" si="82"/>
        <v>9808.1974999999911</v>
      </c>
      <c r="I304" s="230">
        <f t="shared" si="83"/>
        <v>12068.802500000009</v>
      </c>
      <c r="J304" s="231">
        <f t="shared" si="78"/>
        <v>358.37141869174923</v>
      </c>
      <c r="K304" s="386" t="s">
        <v>203</v>
      </c>
      <c r="L304" s="387"/>
      <c r="M304" s="68"/>
      <c r="O304" s="50"/>
      <c r="P304" s="50"/>
      <c r="Q304" s="50"/>
      <c r="R304" s="50"/>
      <c r="S304" s="50"/>
      <c r="T304" s="50"/>
    </row>
    <row r="305" spans="1:20" s="12" customFormat="1" ht="13.5" customHeight="1">
      <c r="A305" s="535"/>
      <c r="B305" s="512" t="s">
        <v>72</v>
      </c>
      <c r="C305" s="513"/>
      <c r="D305" s="513"/>
      <c r="E305" s="228">
        <f>27.67-25.76</f>
        <v>1.9100000000000001</v>
      </c>
      <c r="F305" s="229">
        <f t="shared" si="87"/>
        <v>1.9100000000000001</v>
      </c>
      <c r="G305" s="232" t="s">
        <v>58</v>
      </c>
      <c r="H305" s="230">
        <f t="shared" ref="H305:H308" si="88">IF(G305="IN",H304+F305,H304)</f>
        <v>9810.107499999991</v>
      </c>
      <c r="I305" s="223">
        <f t="shared" ref="I305:I308" si="89">IF(H305="","",$K$8-H305)</f>
        <v>12066.892500000009</v>
      </c>
      <c r="J305" s="231">
        <f t="shared" si="78"/>
        <v>358.41783796600436</v>
      </c>
      <c r="K305" s="233" t="s">
        <v>73</v>
      </c>
      <c r="L305" s="234">
        <f>H307</f>
        <v>9835.8674999999912</v>
      </c>
      <c r="M305" s="68"/>
      <c r="N305" s="216">
        <v>12050.44</v>
      </c>
      <c r="O305" s="50"/>
      <c r="P305" s="50"/>
      <c r="Q305" s="50"/>
      <c r="R305" s="50"/>
      <c r="S305" s="50"/>
      <c r="T305" s="50"/>
    </row>
    <row r="306" spans="1:20" s="12" customFormat="1" ht="13.5" customHeight="1">
      <c r="A306" s="535"/>
      <c r="B306" s="512" t="s">
        <v>74</v>
      </c>
      <c r="C306" s="513"/>
      <c r="D306" s="513"/>
      <c r="E306" s="228">
        <f>25.76-21.03</f>
        <v>4.7300000000000004</v>
      </c>
      <c r="F306" s="229">
        <f t="shared" ref="F306:F308" si="90">E306</f>
        <v>4.7300000000000004</v>
      </c>
      <c r="G306" s="232" t="str">
        <f t="shared" ref="G306:G308" si="91">IF(E306="","OUT","IN")</f>
        <v>IN</v>
      </c>
      <c r="H306" s="230">
        <f t="shared" si="88"/>
        <v>9814.8374999999905</v>
      </c>
      <c r="I306" s="230">
        <f t="shared" si="89"/>
        <v>12062.162500000009</v>
      </c>
      <c r="J306" s="231">
        <f t="shared" si="78"/>
        <v>358.53279250381945</v>
      </c>
      <c r="K306" s="233" t="s">
        <v>75</v>
      </c>
      <c r="L306" s="234">
        <f>K12-I307</f>
        <v>329.34749999999076</v>
      </c>
      <c r="M306" s="50"/>
      <c r="N306" s="216">
        <v>12094.89</v>
      </c>
      <c r="O306" s="50"/>
      <c r="P306" s="50"/>
      <c r="Q306" s="50"/>
      <c r="R306" s="50"/>
      <c r="S306" s="50"/>
      <c r="T306" s="50"/>
    </row>
    <row r="307" spans="1:20" s="12" customFormat="1" ht="13.5" customHeight="1">
      <c r="A307" s="535"/>
      <c r="B307" s="512" t="s">
        <v>76</v>
      </c>
      <c r="C307" s="513"/>
      <c r="D307" s="513"/>
      <c r="E307" s="228">
        <v>21.03</v>
      </c>
      <c r="F307" s="229">
        <f t="shared" si="90"/>
        <v>21.03</v>
      </c>
      <c r="G307" s="235" t="str">
        <f t="shared" si="91"/>
        <v>IN</v>
      </c>
      <c r="H307" s="236">
        <f t="shared" si="88"/>
        <v>9835.8674999999912</v>
      </c>
      <c r="I307" s="224">
        <f t="shared" si="89"/>
        <v>12041.132500000009</v>
      </c>
      <c r="J307" s="237">
        <f t="shared" si="78"/>
        <v>359.04389058632523</v>
      </c>
      <c r="K307" s="233" t="s">
        <v>77</v>
      </c>
      <c r="L307" s="234">
        <f>I307</f>
        <v>12041.132500000009</v>
      </c>
      <c r="M307" s="68"/>
      <c r="N307" s="216">
        <v>12009.19</v>
      </c>
      <c r="O307" s="50"/>
      <c r="P307" s="50"/>
      <c r="Q307" s="50"/>
      <c r="R307" s="50"/>
      <c r="S307" s="50"/>
      <c r="T307" s="50"/>
    </row>
    <row r="308" spans="1:20" s="12" customFormat="1" ht="13.5" customHeight="1" thickBot="1">
      <c r="A308" s="536"/>
      <c r="B308" s="532" t="s">
        <v>78</v>
      </c>
      <c r="C308" s="532"/>
      <c r="D308" s="238" t="s">
        <v>79</v>
      </c>
      <c r="E308" s="239">
        <v>7.95</v>
      </c>
      <c r="F308" s="240">
        <f t="shared" si="90"/>
        <v>7.95</v>
      </c>
      <c r="G308" s="241" t="str">
        <f t="shared" si="91"/>
        <v>IN</v>
      </c>
      <c r="H308" s="242">
        <f t="shared" si="88"/>
        <v>9843.8174999999919</v>
      </c>
      <c r="I308" s="242">
        <f t="shared" si="89"/>
        <v>12033.182500000008</v>
      </c>
      <c r="J308" s="243">
        <f t="shared" si="78"/>
        <v>359.23710170168044</v>
      </c>
      <c r="K308" s="244"/>
      <c r="L308" s="245"/>
      <c r="M308" s="40"/>
      <c r="N308" s="40"/>
      <c r="O308" s="40"/>
      <c r="P308" s="40"/>
      <c r="Q308" s="40"/>
      <c r="R308" s="40"/>
      <c r="S308" s="41"/>
      <c r="T308" s="41"/>
    </row>
    <row r="309" spans="1:20" s="40" customFormat="1" ht="13.5" customHeight="1">
      <c r="A309" s="280" t="s">
        <v>80</v>
      </c>
      <c r="B309" s="506" t="s">
        <v>81</v>
      </c>
      <c r="C309" s="506"/>
      <c r="D309" s="506"/>
      <c r="E309" s="281">
        <v>3.43</v>
      </c>
      <c r="F309" s="281">
        <f>E309</f>
        <v>3.43</v>
      </c>
      <c r="G309" s="281" t="str">
        <f>IF(E309="","OUT","IN")</f>
        <v>IN</v>
      </c>
      <c r="H309" s="281">
        <f t="shared" ref="H309:H386" si="92">IF(G309="IN",H308+F309,H308)</f>
        <v>9847.2474999999922</v>
      </c>
      <c r="I309" s="281">
        <f t="shared" ref="I309:I386" si="93">IF(H309="","",$K$8-H309)</f>
        <v>12029.752500000008</v>
      </c>
      <c r="J309" s="303"/>
      <c r="K309" s="288" t="s">
        <v>82</v>
      </c>
      <c r="L309" s="289"/>
      <c r="M309" s="39"/>
      <c r="N309" s="176" t="s">
        <v>83</v>
      </c>
      <c r="O309" s="51" t="s">
        <v>84</v>
      </c>
      <c r="S309" s="41"/>
      <c r="T309" s="41"/>
    </row>
    <row r="310" spans="1:20" s="40" customFormat="1" ht="13.5" customHeight="1">
      <c r="A310" s="366" t="s">
        <v>85</v>
      </c>
      <c r="B310" s="373" t="s">
        <v>86</v>
      </c>
      <c r="C310" s="374"/>
      <c r="D310" s="274"/>
      <c r="E310" s="273">
        <v>31.69</v>
      </c>
      <c r="F310" s="273">
        <f>E310</f>
        <v>31.69</v>
      </c>
      <c r="G310" s="275" t="s">
        <v>58</v>
      </c>
      <c r="H310" s="273">
        <f t="shared" si="92"/>
        <v>9878.9374999999927</v>
      </c>
      <c r="I310" s="273">
        <f t="shared" si="93"/>
        <v>11998.062500000007</v>
      </c>
      <c r="J310" s="276"/>
      <c r="K310" s="119" t="s">
        <v>87</v>
      </c>
      <c r="L310" s="133">
        <f>I303</f>
        <v>12070.542500000009</v>
      </c>
      <c r="M310" s="39"/>
      <c r="N310" s="52">
        <f>L310-N305</f>
        <v>20.102500000008149</v>
      </c>
      <c r="O310" s="52">
        <f>L310-N306</f>
        <v>-24.34749999999076</v>
      </c>
      <c r="S310" s="41"/>
      <c r="T310" s="41"/>
    </row>
    <row r="311" spans="1:20" s="40" customFormat="1" ht="13.5" customHeight="1">
      <c r="A311" s="367"/>
      <c r="B311" s="373" t="s">
        <v>86</v>
      </c>
      <c r="C311" s="374"/>
      <c r="D311" s="274"/>
      <c r="E311" s="273">
        <v>31.77</v>
      </c>
      <c r="F311" s="273">
        <f t="shared" ref="F311:F313" si="94">E311</f>
        <v>31.77</v>
      </c>
      <c r="G311" s="275" t="s">
        <v>58</v>
      </c>
      <c r="H311" s="273">
        <f t="shared" si="92"/>
        <v>9910.7074999999932</v>
      </c>
      <c r="I311" s="273">
        <f t="shared" si="93"/>
        <v>11966.292500000007</v>
      </c>
      <c r="J311" s="276"/>
      <c r="K311" s="119" t="s">
        <v>88</v>
      </c>
      <c r="L311" s="133">
        <f>I305</f>
        <v>12066.892500000009</v>
      </c>
      <c r="M311" s="39"/>
      <c r="N311" s="52">
        <f>L311-N305</f>
        <v>16.452500000008513</v>
      </c>
      <c r="O311" s="52">
        <f>L311-N306</f>
        <v>-27.997499999990396</v>
      </c>
      <c r="S311" s="41"/>
      <c r="T311" s="41"/>
    </row>
    <row r="312" spans="1:20" s="40" customFormat="1" ht="13.5" customHeight="1">
      <c r="A312" s="367"/>
      <c r="B312" s="373" t="s">
        <v>86</v>
      </c>
      <c r="C312" s="374"/>
      <c r="D312" s="274"/>
      <c r="E312" s="273">
        <v>31.74</v>
      </c>
      <c r="F312" s="273">
        <f t="shared" si="94"/>
        <v>31.74</v>
      </c>
      <c r="G312" s="275" t="s">
        <v>58</v>
      </c>
      <c r="H312" s="273">
        <f t="shared" si="92"/>
        <v>9942.4474999999929</v>
      </c>
      <c r="I312" s="273">
        <f t="shared" si="93"/>
        <v>11934.552500000007</v>
      </c>
      <c r="J312" s="276"/>
      <c r="K312" s="472" t="s">
        <v>89</v>
      </c>
      <c r="L312" s="473"/>
      <c r="M312" s="39"/>
      <c r="N312" s="51" t="s">
        <v>83</v>
      </c>
      <c r="O312" s="51" t="s">
        <v>84</v>
      </c>
      <c r="S312" s="41"/>
      <c r="T312" s="41"/>
    </row>
    <row r="313" spans="1:20" s="40" customFormat="1" ht="13.5" customHeight="1">
      <c r="A313" s="368"/>
      <c r="B313" s="369" t="s">
        <v>86</v>
      </c>
      <c r="C313" s="370"/>
      <c r="D313" s="274"/>
      <c r="E313" s="273">
        <v>31.73</v>
      </c>
      <c r="F313" s="273">
        <f t="shared" si="94"/>
        <v>31.73</v>
      </c>
      <c r="G313" s="275" t="s">
        <v>58</v>
      </c>
      <c r="H313" s="273">
        <f t="shared" si="92"/>
        <v>9974.1774999999925</v>
      </c>
      <c r="I313" s="273">
        <f t="shared" si="93"/>
        <v>11902.822500000007</v>
      </c>
      <c r="J313" s="276"/>
      <c r="K313" s="119" t="s">
        <v>88</v>
      </c>
      <c r="L313" s="297">
        <f>$I$307-21.522</f>
        <v>12019.610500000008</v>
      </c>
      <c r="N313" s="52">
        <f>L313-N307</f>
        <v>10.420500000007451</v>
      </c>
      <c r="O313" s="52">
        <f>L313-N305</f>
        <v>-30.829499999992549</v>
      </c>
      <c r="S313" s="41"/>
      <c r="T313" s="41"/>
    </row>
    <row r="314" spans="1:20" s="12" customFormat="1" ht="12.6" customHeight="1">
      <c r="A314" s="358" t="s">
        <v>90</v>
      </c>
      <c r="B314" s="356" t="s">
        <v>91</v>
      </c>
      <c r="C314" s="357"/>
      <c r="D314" s="272"/>
      <c r="E314" s="139">
        <v>31.69</v>
      </c>
      <c r="F314" s="139">
        <f>E314</f>
        <v>31.69</v>
      </c>
      <c r="G314" s="139" t="s">
        <v>58</v>
      </c>
      <c r="H314" s="139">
        <f t="shared" si="92"/>
        <v>10005.867499999993</v>
      </c>
      <c r="I314" s="139">
        <f t="shared" si="93"/>
        <v>11871.132500000007</v>
      </c>
      <c r="J314" s="140"/>
      <c r="K314" s="119" t="s">
        <v>92</v>
      </c>
      <c r="L314" s="297">
        <f>$I$307-19.592</f>
        <v>12021.540500000008</v>
      </c>
      <c r="M314" s="298"/>
      <c r="N314" s="52">
        <f>L314-N307</f>
        <v>12.350500000007742</v>
      </c>
      <c r="O314" s="52">
        <f>L314-N305</f>
        <v>-28.899499999992258</v>
      </c>
      <c r="P314" s="40"/>
      <c r="Q314" s="40"/>
      <c r="R314" s="40"/>
      <c r="S314" s="41"/>
      <c r="T314" s="41"/>
    </row>
    <row r="315" spans="1:20" s="12" customFormat="1" ht="12.6" customHeight="1">
      <c r="A315" s="359"/>
      <c r="B315" s="356" t="s">
        <v>91</v>
      </c>
      <c r="C315" s="357"/>
      <c r="D315" s="119"/>
      <c r="E315" s="114">
        <v>31.72</v>
      </c>
      <c r="F315" s="114">
        <f t="shared" ref="F315:F389" si="95">E315</f>
        <v>31.72</v>
      </c>
      <c r="G315" s="114" t="s">
        <v>58</v>
      </c>
      <c r="H315" s="114">
        <f t="shared" si="92"/>
        <v>10037.587499999992</v>
      </c>
      <c r="I315" s="114">
        <f t="shared" si="93"/>
        <v>11839.412500000008</v>
      </c>
      <c r="J315" s="115"/>
      <c r="K315" s="414" t="s">
        <v>93</v>
      </c>
      <c r="L315" s="415"/>
      <c r="M315" s="298"/>
      <c r="N315" s="40"/>
      <c r="O315" s="40"/>
      <c r="P315" s="40"/>
      <c r="Q315" s="40"/>
      <c r="R315" s="40"/>
      <c r="S315" s="41"/>
      <c r="T315" s="41"/>
    </row>
    <row r="316" spans="1:20" s="12" customFormat="1" ht="12.6" customHeight="1">
      <c r="A316" s="359"/>
      <c r="B316" s="356" t="s">
        <v>91</v>
      </c>
      <c r="C316" s="357"/>
      <c r="D316" s="119"/>
      <c r="E316" s="114">
        <v>31.64</v>
      </c>
      <c r="F316" s="114">
        <f t="shared" si="95"/>
        <v>31.64</v>
      </c>
      <c r="G316" s="114" t="s">
        <v>58</v>
      </c>
      <c r="H316" s="114">
        <f t="shared" si="92"/>
        <v>10069.227499999992</v>
      </c>
      <c r="I316" s="114">
        <f t="shared" si="93"/>
        <v>11807.772500000008</v>
      </c>
      <c r="J316" s="115"/>
      <c r="K316" s="406" t="s">
        <v>281</v>
      </c>
      <c r="L316" s="407"/>
      <c r="M316" s="298"/>
      <c r="N316" s="40"/>
      <c r="O316" s="40"/>
      <c r="P316" s="40"/>
      <c r="Q316" s="40"/>
      <c r="R316" s="40"/>
      <c r="S316" s="41"/>
      <c r="T316" s="41"/>
    </row>
    <row r="317" spans="1:20" s="12" customFormat="1" ht="12.6" customHeight="1">
      <c r="A317" s="360"/>
      <c r="B317" s="356" t="s">
        <v>91</v>
      </c>
      <c r="C317" s="357"/>
      <c r="D317" s="119"/>
      <c r="E317" s="114">
        <v>31.67</v>
      </c>
      <c r="F317" s="114">
        <f t="shared" si="95"/>
        <v>31.67</v>
      </c>
      <c r="G317" s="114" t="s">
        <v>58</v>
      </c>
      <c r="H317" s="114">
        <f t="shared" si="92"/>
        <v>10100.897499999992</v>
      </c>
      <c r="I317" s="114">
        <f t="shared" si="93"/>
        <v>11776.102500000008</v>
      </c>
      <c r="J317" s="115"/>
      <c r="K317" s="350"/>
      <c r="L317" s="351"/>
      <c r="M317" s="298"/>
      <c r="N317" s="40"/>
      <c r="O317" s="40"/>
      <c r="P317" s="40"/>
      <c r="Q317" s="40"/>
      <c r="R317" s="40"/>
      <c r="S317" s="41"/>
      <c r="T317" s="41"/>
    </row>
    <row r="318" spans="1:20" s="12" customFormat="1" ht="12.6" customHeight="1">
      <c r="A318" s="358" t="s">
        <v>94</v>
      </c>
      <c r="B318" s="352" t="s">
        <v>91</v>
      </c>
      <c r="C318" s="353"/>
      <c r="D318" s="279"/>
      <c r="E318" s="111">
        <v>31.69</v>
      </c>
      <c r="F318" s="111">
        <f t="shared" si="95"/>
        <v>31.69</v>
      </c>
      <c r="G318" s="111" t="s">
        <v>58</v>
      </c>
      <c r="H318" s="111">
        <f t="shared" si="92"/>
        <v>10132.587499999992</v>
      </c>
      <c r="I318" s="111">
        <f t="shared" si="93"/>
        <v>11744.412500000008</v>
      </c>
      <c r="J318" s="279"/>
      <c r="K318" s="350"/>
      <c r="L318" s="351"/>
      <c r="M318" s="298"/>
      <c r="N318" s="40"/>
      <c r="O318" s="40"/>
      <c r="P318" s="40"/>
      <c r="Q318" s="40"/>
      <c r="R318" s="40"/>
      <c r="S318" s="41"/>
      <c r="T318" s="41"/>
    </row>
    <row r="319" spans="1:20" s="12" customFormat="1" ht="12.6" customHeight="1">
      <c r="A319" s="359"/>
      <c r="B319" s="352" t="s">
        <v>91</v>
      </c>
      <c r="C319" s="353"/>
      <c r="D319" s="177"/>
      <c r="E319" s="111">
        <v>31.73</v>
      </c>
      <c r="F319" s="111">
        <f t="shared" si="95"/>
        <v>31.73</v>
      </c>
      <c r="G319" s="111" t="s">
        <v>58</v>
      </c>
      <c r="H319" s="111">
        <f t="shared" si="92"/>
        <v>10164.317499999992</v>
      </c>
      <c r="I319" s="111">
        <f t="shared" si="93"/>
        <v>11712.682500000008</v>
      </c>
      <c r="J319" s="112"/>
      <c r="K319" s="350"/>
      <c r="L319" s="351"/>
      <c r="M319" s="298"/>
      <c r="N319" s="40"/>
      <c r="O319" s="40"/>
      <c r="P319" s="40"/>
      <c r="Q319" s="40"/>
      <c r="R319" s="40"/>
      <c r="S319" s="41"/>
      <c r="T319" s="41"/>
    </row>
    <row r="320" spans="1:20" s="12" customFormat="1" ht="12.6" customHeight="1">
      <c r="A320" s="359"/>
      <c r="B320" s="352" t="s">
        <v>91</v>
      </c>
      <c r="C320" s="353"/>
      <c r="D320" s="177"/>
      <c r="E320" s="111">
        <v>31.73</v>
      </c>
      <c r="F320" s="111">
        <f t="shared" si="95"/>
        <v>31.73</v>
      </c>
      <c r="G320" s="111" t="s">
        <v>58</v>
      </c>
      <c r="H320" s="111">
        <f t="shared" si="92"/>
        <v>10196.047499999991</v>
      </c>
      <c r="I320" s="111">
        <f t="shared" si="93"/>
        <v>11680.952500000009</v>
      </c>
      <c r="J320" s="112"/>
      <c r="K320" s="350"/>
      <c r="L320" s="351"/>
      <c r="M320" s="298"/>
      <c r="N320" s="40"/>
      <c r="O320" s="40"/>
      <c r="P320" s="40"/>
      <c r="Q320" s="40"/>
      <c r="R320" s="40"/>
      <c r="S320" s="41"/>
      <c r="T320" s="41"/>
    </row>
    <row r="321" spans="1:20" s="12" customFormat="1" ht="12.6" customHeight="1">
      <c r="A321" s="360"/>
      <c r="B321" s="352" t="s">
        <v>91</v>
      </c>
      <c r="C321" s="353"/>
      <c r="D321" s="177"/>
      <c r="E321" s="111">
        <v>31.67</v>
      </c>
      <c r="F321" s="111">
        <f t="shared" si="95"/>
        <v>31.67</v>
      </c>
      <c r="G321" s="111" t="s">
        <v>58</v>
      </c>
      <c r="H321" s="111">
        <f t="shared" si="92"/>
        <v>10227.717499999992</v>
      </c>
      <c r="I321" s="111">
        <f t="shared" si="93"/>
        <v>11649.282500000008</v>
      </c>
      <c r="J321" s="112"/>
      <c r="K321" s="350"/>
      <c r="L321" s="351"/>
      <c r="M321" s="298"/>
      <c r="N321" s="36"/>
      <c r="T321" s="41"/>
    </row>
    <row r="322" spans="1:20" s="40" customFormat="1" ht="12.6" customHeight="1">
      <c r="A322" s="358" t="s">
        <v>95</v>
      </c>
      <c r="B322" s="356" t="s">
        <v>91</v>
      </c>
      <c r="C322" s="357"/>
      <c r="D322" s="272"/>
      <c r="E322" s="139">
        <v>31.64</v>
      </c>
      <c r="F322" s="139">
        <f t="shared" si="95"/>
        <v>31.64</v>
      </c>
      <c r="G322" s="139" t="s">
        <v>58</v>
      </c>
      <c r="H322" s="139">
        <f t="shared" si="92"/>
        <v>10259.357499999991</v>
      </c>
      <c r="I322" s="139">
        <f t="shared" si="93"/>
        <v>11617.642500000009</v>
      </c>
      <c r="J322" s="140"/>
      <c r="K322" s="350"/>
      <c r="L322" s="351"/>
      <c r="M322"/>
      <c r="N322" s="37"/>
      <c r="T322" s="41"/>
    </row>
    <row r="323" spans="1:20" s="40" customFormat="1" ht="12.6" customHeight="1">
      <c r="A323" s="359"/>
      <c r="B323" s="356" t="s">
        <v>91</v>
      </c>
      <c r="C323" s="357"/>
      <c r="D323" s="119"/>
      <c r="E323" s="114">
        <v>31.72</v>
      </c>
      <c r="F323" s="114">
        <f t="shared" si="95"/>
        <v>31.72</v>
      </c>
      <c r="G323" s="114" t="s">
        <v>58</v>
      </c>
      <c r="H323" s="114">
        <f t="shared" si="92"/>
        <v>10291.07749999999</v>
      </c>
      <c r="I323" s="114">
        <f t="shared" si="93"/>
        <v>11585.92250000001</v>
      </c>
      <c r="J323" s="115"/>
      <c r="K323" s="350"/>
      <c r="L323" s="351"/>
      <c r="M323"/>
      <c r="N323" s="37"/>
      <c r="T323" s="41"/>
    </row>
    <row r="324" spans="1:20" s="40" customFormat="1" ht="12.6" customHeight="1">
      <c r="A324" s="359"/>
      <c r="B324" s="356" t="s">
        <v>91</v>
      </c>
      <c r="C324" s="357"/>
      <c r="D324" s="119"/>
      <c r="E324" s="114">
        <v>31.74</v>
      </c>
      <c r="F324" s="114">
        <f t="shared" si="95"/>
        <v>31.74</v>
      </c>
      <c r="G324" s="114" t="s">
        <v>58</v>
      </c>
      <c r="H324" s="114">
        <f t="shared" si="92"/>
        <v>10322.81749999999</v>
      </c>
      <c r="I324" s="114">
        <f t="shared" si="93"/>
        <v>11554.18250000001</v>
      </c>
      <c r="J324" s="115"/>
      <c r="K324" s="350"/>
      <c r="L324" s="351"/>
      <c r="N324" s="37"/>
      <c r="T324" s="41"/>
    </row>
    <row r="325" spans="1:20" s="40" customFormat="1" ht="12.6" customHeight="1">
      <c r="A325" s="360"/>
      <c r="B325" s="356" t="s">
        <v>91</v>
      </c>
      <c r="C325" s="357"/>
      <c r="D325" s="119"/>
      <c r="E325" s="114">
        <v>31.72</v>
      </c>
      <c r="F325" s="114">
        <f t="shared" si="95"/>
        <v>31.72</v>
      </c>
      <c r="G325" s="114" t="s">
        <v>58</v>
      </c>
      <c r="H325" s="114">
        <f t="shared" si="92"/>
        <v>10354.537499999989</v>
      </c>
      <c r="I325" s="114">
        <f t="shared" si="93"/>
        <v>11522.462500000011</v>
      </c>
      <c r="J325" s="115"/>
      <c r="K325" s="350"/>
      <c r="L325" s="351"/>
      <c r="N325" s="37"/>
      <c r="T325" s="41"/>
    </row>
    <row r="326" spans="1:20" s="40" customFormat="1" ht="12.6" customHeight="1">
      <c r="A326" s="358" t="s">
        <v>96</v>
      </c>
      <c r="B326" s="352" t="s">
        <v>91</v>
      </c>
      <c r="C326" s="353"/>
      <c r="D326" s="279"/>
      <c r="E326" s="111">
        <v>31.59</v>
      </c>
      <c r="F326" s="111">
        <f t="shared" si="95"/>
        <v>31.59</v>
      </c>
      <c r="G326" s="111" t="s">
        <v>58</v>
      </c>
      <c r="H326" s="111">
        <f t="shared" si="92"/>
        <v>10386.12749999999</v>
      </c>
      <c r="I326" s="111">
        <f t="shared" si="93"/>
        <v>11490.87250000001</v>
      </c>
      <c r="J326" s="279"/>
      <c r="K326" s="350"/>
      <c r="L326" s="351"/>
      <c r="N326" s="37"/>
      <c r="T326" s="41"/>
    </row>
    <row r="327" spans="1:20" s="40" customFormat="1" ht="13.5" customHeight="1">
      <c r="A327" s="359"/>
      <c r="B327" s="352" t="s">
        <v>91</v>
      </c>
      <c r="C327" s="353"/>
      <c r="D327" s="177"/>
      <c r="E327" s="111">
        <v>31.61</v>
      </c>
      <c r="F327" s="111">
        <f t="shared" si="95"/>
        <v>31.61</v>
      </c>
      <c r="G327" s="111" t="s">
        <v>58</v>
      </c>
      <c r="H327" s="111">
        <f t="shared" si="92"/>
        <v>10417.73749999999</v>
      </c>
      <c r="I327" s="111">
        <f t="shared" si="93"/>
        <v>11459.26250000001</v>
      </c>
      <c r="J327" s="112"/>
      <c r="K327" s="350"/>
      <c r="L327" s="351"/>
      <c r="N327" s="37"/>
      <c r="T327" s="41"/>
    </row>
    <row r="328" spans="1:20" s="40" customFormat="1" ht="13.5" customHeight="1">
      <c r="A328" s="359"/>
      <c r="B328" s="352" t="s">
        <v>91</v>
      </c>
      <c r="C328" s="353"/>
      <c r="D328" s="177"/>
      <c r="E328" s="111">
        <v>31.67</v>
      </c>
      <c r="F328" s="111">
        <f t="shared" si="95"/>
        <v>31.67</v>
      </c>
      <c r="G328" s="111" t="s">
        <v>58</v>
      </c>
      <c r="H328" s="111">
        <f t="shared" si="92"/>
        <v>10449.40749999999</v>
      </c>
      <c r="I328" s="111">
        <f t="shared" si="93"/>
        <v>11427.59250000001</v>
      </c>
      <c r="J328" s="112"/>
      <c r="K328" s="350"/>
      <c r="L328" s="351"/>
      <c r="N328" s="37"/>
      <c r="T328" s="41"/>
    </row>
    <row r="329" spans="1:20" s="40" customFormat="1" ht="13.5" customHeight="1">
      <c r="A329" s="360"/>
      <c r="B329" s="352" t="s">
        <v>91</v>
      </c>
      <c r="C329" s="353"/>
      <c r="D329" s="177"/>
      <c r="E329" s="111">
        <v>31.66</v>
      </c>
      <c r="F329" s="111">
        <f t="shared" si="95"/>
        <v>31.66</v>
      </c>
      <c r="G329" s="111" t="s">
        <v>58</v>
      </c>
      <c r="H329" s="111">
        <f t="shared" si="92"/>
        <v>10481.06749999999</v>
      </c>
      <c r="I329" s="111">
        <f t="shared" si="93"/>
        <v>11395.93250000001</v>
      </c>
      <c r="J329" s="112"/>
      <c r="K329" s="350"/>
      <c r="L329" s="351"/>
      <c r="N329" s="37"/>
      <c r="O329" s="37"/>
      <c r="S329" s="41"/>
      <c r="T329" s="41"/>
    </row>
    <row r="330" spans="1:20" s="40" customFormat="1" ht="13.5" customHeight="1">
      <c r="A330" s="358" t="s">
        <v>97</v>
      </c>
      <c r="B330" s="356" t="s">
        <v>91</v>
      </c>
      <c r="C330" s="357"/>
      <c r="D330" s="272"/>
      <c r="E330" s="139">
        <v>31.65</v>
      </c>
      <c r="F330" s="139">
        <f t="shared" si="95"/>
        <v>31.65</v>
      </c>
      <c r="G330" s="139" t="s">
        <v>58</v>
      </c>
      <c r="H330" s="139">
        <f t="shared" si="92"/>
        <v>10512.71749999999</v>
      </c>
      <c r="I330" s="139">
        <f t="shared" si="93"/>
        <v>11364.28250000001</v>
      </c>
      <c r="J330" s="140"/>
      <c r="K330" s="350"/>
      <c r="L330" s="351"/>
      <c r="N330" s="37"/>
      <c r="O330" s="37"/>
      <c r="S330" s="41"/>
      <c r="T330" s="41"/>
    </row>
    <row r="331" spans="1:20" s="40" customFormat="1" ht="13.5" customHeight="1">
      <c r="A331" s="359"/>
      <c r="B331" s="356" t="s">
        <v>91</v>
      </c>
      <c r="C331" s="357"/>
      <c r="D331" s="119"/>
      <c r="E331" s="114">
        <v>31.72</v>
      </c>
      <c r="F331" s="114">
        <f t="shared" si="95"/>
        <v>31.72</v>
      </c>
      <c r="G331" s="114" t="s">
        <v>58</v>
      </c>
      <c r="H331" s="114">
        <f t="shared" ref="H331:H334" si="96">IF(G331="IN",H330+F331,H330)</f>
        <v>10544.437499999989</v>
      </c>
      <c r="I331" s="114">
        <f t="shared" ref="I331:I334" si="97">IF(H331="","",$K$8-H331)</f>
        <v>11332.562500000011</v>
      </c>
      <c r="J331" s="115"/>
      <c r="K331" s="350"/>
      <c r="L331" s="351"/>
      <c r="S331" s="41"/>
      <c r="T331" s="41"/>
    </row>
    <row r="332" spans="1:20" s="40" customFormat="1" ht="13.5" customHeight="1">
      <c r="A332" s="359"/>
      <c r="B332" s="356" t="s">
        <v>91</v>
      </c>
      <c r="C332" s="357"/>
      <c r="D332" s="119"/>
      <c r="E332" s="114">
        <v>31.68</v>
      </c>
      <c r="F332" s="114">
        <f t="shared" si="95"/>
        <v>31.68</v>
      </c>
      <c r="G332" s="114" t="s">
        <v>58</v>
      </c>
      <c r="H332" s="114">
        <f t="shared" si="96"/>
        <v>10576.117499999989</v>
      </c>
      <c r="I332" s="114">
        <f t="shared" si="97"/>
        <v>11300.882500000011</v>
      </c>
      <c r="J332" s="115"/>
      <c r="K332" s="350"/>
      <c r="L332" s="351"/>
      <c r="S332" s="41"/>
      <c r="T332" s="41"/>
    </row>
    <row r="333" spans="1:20" s="40" customFormat="1" ht="13.5" customHeight="1">
      <c r="A333" s="360"/>
      <c r="B333" s="356" t="s">
        <v>91</v>
      </c>
      <c r="C333" s="357"/>
      <c r="D333" s="119"/>
      <c r="E333" s="114">
        <v>31.58</v>
      </c>
      <c r="F333" s="114">
        <f t="shared" si="95"/>
        <v>31.58</v>
      </c>
      <c r="G333" s="114" t="s">
        <v>58</v>
      </c>
      <c r="H333" s="114">
        <f t="shared" si="96"/>
        <v>10607.697499999989</v>
      </c>
      <c r="I333" s="114">
        <f t="shared" si="97"/>
        <v>11269.302500000011</v>
      </c>
      <c r="J333" s="115"/>
      <c r="K333" s="350"/>
      <c r="L333" s="351"/>
      <c r="S333" s="41"/>
      <c r="T333" s="41"/>
    </row>
    <row r="334" spans="1:20" s="40" customFormat="1" ht="13.5" customHeight="1">
      <c r="A334" s="358" t="s">
        <v>98</v>
      </c>
      <c r="B334" s="352" t="s">
        <v>91</v>
      </c>
      <c r="C334" s="353"/>
      <c r="D334" s="279"/>
      <c r="E334" s="111">
        <v>31.62</v>
      </c>
      <c r="F334" s="111">
        <f t="shared" si="95"/>
        <v>31.62</v>
      </c>
      <c r="G334" s="111" t="s">
        <v>58</v>
      </c>
      <c r="H334" s="111">
        <f t="shared" si="96"/>
        <v>10639.31749999999</v>
      </c>
      <c r="I334" s="111">
        <f t="shared" si="97"/>
        <v>11237.68250000001</v>
      </c>
      <c r="J334" s="279"/>
      <c r="K334" s="350"/>
      <c r="L334" s="351"/>
      <c r="S334" s="41"/>
      <c r="T334" s="41"/>
    </row>
    <row r="335" spans="1:20" s="40" customFormat="1" ht="13.5" customHeight="1">
      <c r="A335" s="359"/>
      <c r="B335" s="352" t="s">
        <v>91</v>
      </c>
      <c r="C335" s="353"/>
      <c r="D335" s="177"/>
      <c r="E335" s="111">
        <v>31.63</v>
      </c>
      <c r="F335" s="111">
        <f t="shared" si="95"/>
        <v>31.63</v>
      </c>
      <c r="G335" s="111" t="s">
        <v>58</v>
      </c>
      <c r="H335" s="111">
        <f t="shared" ref="H335:H345" si="98">IF(G335="IN",H334+F335,H334)</f>
        <v>10670.947499999989</v>
      </c>
      <c r="I335" s="111">
        <f t="shared" ref="I335:I345" si="99">IF(H335="","",$K$8-H335)</f>
        <v>11206.052500000011</v>
      </c>
      <c r="J335" s="112"/>
      <c r="K335" s="350"/>
      <c r="L335" s="351"/>
      <c r="S335" s="41"/>
      <c r="T335" s="41"/>
    </row>
    <row r="336" spans="1:20" s="40" customFormat="1" ht="13.5" customHeight="1">
      <c r="A336" s="359"/>
      <c r="B336" s="352" t="s">
        <v>91</v>
      </c>
      <c r="C336" s="353"/>
      <c r="D336" s="177"/>
      <c r="E336" s="111">
        <v>31.72</v>
      </c>
      <c r="F336" s="111">
        <f t="shared" si="95"/>
        <v>31.72</v>
      </c>
      <c r="G336" s="111" t="s">
        <v>58</v>
      </c>
      <c r="H336" s="111">
        <f t="shared" si="98"/>
        <v>10702.667499999989</v>
      </c>
      <c r="I336" s="111">
        <f t="shared" si="99"/>
        <v>11174.332500000011</v>
      </c>
      <c r="J336" s="112"/>
      <c r="K336" s="350"/>
      <c r="L336" s="351"/>
      <c r="S336" s="41"/>
      <c r="T336" s="41"/>
    </row>
    <row r="337" spans="1:20" s="12" customFormat="1" ht="13.5" customHeight="1">
      <c r="A337" s="360"/>
      <c r="B337" s="352" t="s">
        <v>91</v>
      </c>
      <c r="C337" s="353"/>
      <c r="D337" s="177"/>
      <c r="E337" s="111">
        <v>31.65</v>
      </c>
      <c r="F337" s="111">
        <f t="shared" si="95"/>
        <v>31.65</v>
      </c>
      <c r="G337" s="111" t="s">
        <v>58</v>
      </c>
      <c r="H337" s="111">
        <f t="shared" si="98"/>
        <v>10734.317499999988</v>
      </c>
      <c r="I337" s="111">
        <f t="shared" si="99"/>
        <v>11142.682500000012</v>
      </c>
      <c r="J337" s="112"/>
      <c r="K337" s="350"/>
      <c r="L337" s="351"/>
      <c r="M337" s="39"/>
      <c r="N337" s="40"/>
      <c r="O337" s="40"/>
      <c r="P337" s="40"/>
      <c r="Q337" s="40"/>
      <c r="R337" s="40"/>
      <c r="S337" s="41"/>
      <c r="T337" s="41"/>
    </row>
    <row r="338" spans="1:20" s="12" customFormat="1" ht="13.5" customHeight="1">
      <c r="A338" s="358" t="s">
        <v>224</v>
      </c>
      <c r="B338" s="356" t="s">
        <v>91</v>
      </c>
      <c r="C338" s="357"/>
      <c r="D338" s="119"/>
      <c r="E338" s="114">
        <v>31.7</v>
      </c>
      <c r="F338" s="114">
        <f>E338</f>
        <v>31.7</v>
      </c>
      <c r="G338" s="114" t="s">
        <v>58</v>
      </c>
      <c r="H338" s="114">
        <f t="shared" si="98"/>
        <v>10766.017499999989</v>
      </c>
      <c r="I338" s="114">
        <f t="shared" si="99"/>
        <v>11110.982500000011</v>
      </c>
      <c r="J338" s="115"/>
      <c r="K338" s="350"/>
      <c r="L338" s="351"/>
      <c r="M338" s="39"/>
      <c r="N338" s="40"/>
      <c r="O338" s="40"/>
      <c r="P338" s="40"/>
      <c r="Q338" s="40"/>
      <c r="R338" s="40"/>
      <c r="S338" s="41"/>
      <c r="T338" s="41"/>
    </row>
    <row r="339" spans="1:20" s="12" customFormat="1" ht="13.5" customHeight="1">
      <c r="A339" s="359"/>
      <c r="B339" s="356" t="s">
        <v>91</v>
      </c>
      <c r="C339" s="357"/>
      <c r="D339" s="119"/>
      <c r="E339" s="114">
        <v>31.6</v>
      </c>
      <c r="F339" s="114">
        <f>E339</f>
        <v>31.6</v>
      </c>
      <c r="G339" s="114" t="s">
        <v>58</v>
      </c>
      <c r="H339" s="114">
        <f t="shared" si="98"/>
        <v>10797.617499999989</v>
      </c>
      <c r="I339" s="114">
        <f t="shared" si="99"/>
        <v>11079.382500000011</v>
      </c>
      <c r="J339" s="115"/>
      <c r="K339" s="350"/>
      <c r="L339" s="351"/>
      <c r="M339" s="39"/>
      <c r="N339" s="40"/>
      <c r="O339" s="40"/>
      <c r="P339" s="40"/>
      <c r="Q339" s="40"/>
      <c r="R339" s="40"/>
      <c r="S339" s="41"/>
      <c r="T339" s="41"/>
    </row>
    <row r="340" spans="1:20" s="12" customFormat="1" ht="13.5" customHeight="1">
      <c r="A340" s="359"/>
      <c r="B340" s="356" t="s">
        <v>91</v>
      </c>
      <c r="C340" s="357"/>
      <c r="D340" s="119"/>
      <c r="E340" s="114">
        <v>31.65</v>
      </c>
      <c r="F340" s="114">
        <f>E340</f>
        <v>31.65</v>
      </c>
      <c r="G340" s="114" t="s">
        <v>58</v>
      </c>
      <c r="H340" s="114">
        <f t="shared" si="98"/>
        <v>10829.267499999989</v>
      </c>
      <c r="I340" s="114">
        <f t="shared" si="99"/>
        <v>11047.732500000011</v>
      </c>
      <c r="J340" s="115"/>
      <c r="K340" s="350"/>
      <c r="L340" s="351"/>
      <c r="M340" s="39"/>
      <c r="N340" s="40"/>
      <c r="O340" s="40"/>
      <c r="P340" s="40"/>
      <c r="Q340" s="40"/>
      <c r="R340" s="40"/>
      <c r="S340" s="41"/>
      <c r="T340" s="41"/>
    </row>
    <row r="341" spans="1:20" s="12" customFormat="1" ht="13.5" customHeight="1" thickBot="1">
      <c r="A341" s="533"/>
      <c r="B341" s="402" t="s">
        <v>91</v>
      </c>
      <c r="C341" s="403"/>
      <c r="D341" s="336"/>
      <c r="E341" s="321">
        <v>31.6</v>
      </c>
      <c r="F341" s="321">
        <f>E341</f>
        <v>31.6</v>
      </c>
      <c r="G341" s="321" t="s">
        <v>58</v>
      </c>
      <c r="H341" s="321">
        <f t="shared" si="98"/>
        <v>10860.867499999989</v>
      </c>
      <c r="I341" s="321">
        <f t="shared" si="99"/>
        <v>11016.132500000011</v>
      </c>
      <c r="J341" s="322"/>
      <c r="K341" s="380"/>
      <c r="L341" s="381"/>
      <c r="M341" s="39"/>
      <c r="N341" s="37"/>
      <c r="O341" s="37"/>
      <c r="P341" s="40"/>
      <c r="Q341" s="40"/>
      <c r="R341" s="40"/>
      <c r="S341" s="41"/>
      <c r="T341" s="41"/>
    </row>
    <row r="342" spans="1:20" s="40" customFormat="1" ht="13.5" customHeight="1">
      <c r="A342" s="371" t="s">
        <v>104</v>
      </c>
      <c r="B342" s="404" t="s">
        <v>86</v>
      </c>
      <c r="C342" s="405"/>
      <c r="D342" s="272"/>
      <c r="E342" s="139">
        <v>31.75</v>
      </c>
      <c r="F342" s="139">
        <v>31.75</v>
      </c>
      <c r="G342" s="304" t="s">
        <v>58</v>
      </c>
      <c r="H342" s="139">
        <f t="shared" si="98"/>
        <v>10892.617499999989</v>
      </c>
      <c r="I342" s="139">
        <f t="shared" si="99"/>
        <v>10984.382500000011</v>
      </c>
      <c r="J342" s="140"/>
      <c r="K342" s="422"/>
      <c r="L342" s="423"/>
      <c r="S342" s="41"/>
      <c r="T342" s="41"/>
    </row>
    <row r="343" spans="1:20" s="40" customFormat="1" ht="13.5" customHeight="1">
      <c r="A343" s="371"/>
      <c r="B343" s="364" t="s">
        <v>86</v>
      </c>
      <c r="C343" s="365"/>
      <c r="D343" s="119"/>
      <c r="E343" s="114">
        <v>31.76</v>
      </c>
      <c r="F343" s="114">
        <v>31.76</v>
      </c>
      <c r="G343" s="175" t="s">
        <v>58</v>
      </c>
      <c r="H343" s="114">
        <f t="shared" si="98"/>
        <v>10924.37749999999</v>
      </c>
      <c r="I343" s="114">
        <f t="shared" si="99"/>
        <v>10952.62250000001</v>
      </c>
      <c r="J343" s="115"/>
      <c r="K343" s="350"/>
      <c r="L343" s="351"/>
      <c r="S343" s="41"/>
      <c r="T343" s="41"/>
    </row>
    <row r="344" spans="1:20" s="40" customFormat="1" ht="13.5" customHeight="1">
      <c r="A344" s="371"/>
      <c r="B344" s="364" t="s">
        <v>86</v>
      </c>
      <c r="C344" s="365"/>
      <c r="D344" s="119"/>
      <c r="E344" s="114">
        <v>31.75</v>
      </c>
      <c r="F344" s="114">
        <v>31.75</v>
      </c>
      <c r="G344" s="175" t="s">
        <v>58</v>
      </c>
      <c r="H344" s="114">
        <f t="shared" si="98"/>
        <v>10956.12749999999</v>
      </c>
      <c r="I344" s="114">
        <f t="shared" si="99"/>
        <v>10920.87250000001</v>
      </c>
      <c r="J344" s="115"/>
      <c r="K344" s="350"/>
      <c r="L344" s="351"/>
      <c r="S344" s="41"/>
      <c r="T344" s="41"/>
    </row>
    <row r="345" spans="1:20" s="40" customFormat="1" ht="13.5" customHeight="1">
      <c r="A345" s="372"/>
      <c r="B345" s="362" t="s">
        <v>86</v>
      </c>
      <c r="C345" s="363"/>
      <c r="D345" s="119"/>
      <c r="E345" s="114">
        <v>31.76</v>
      </c>
      <c r="F345" s="114">
        <v>31.76</v>
      </c>
      <c r="G345" s="175" t="s">
        <v>58</v>
      </c>
      <c r="H345" s="114">
        <f t="shared" si="98"/>
        <v>10987.88749999999</v>
      </c>
      <c r="I345" s="114">
        <f t="shared" si="99"/>
        <v>10889.11250000001</v>
      </c>
      <c r="J345" s="115"/>
      <c r="K345" s="350"/>
      <c r="L345" s="351"/>
      <c r="S345" s="41"/>
      <c r="T345" s="41"/>
    </row>
    <row r="346" spans="1:20" s="40" customFormat="1" ht="13.5" customHeight="1">
      <c r="A346" s="366" t="s">
        <v>105</v>
      </c>
      <c r="B346" s="373" t="s">
        <v>86</v>
      </c>
      <c r="C346" s="374"/>
      <c r="D346" s="274"/>
      <c r="E346" s="273">
        <v>31.69</v>
      </c>
      <c r="F346" s="273">
        <v>31.69</v>
      </c>
      <c r="G346" s="275" t="s">
        <v>58</v>
      </c>
      <c r="H346" s="273">
        <f t="shared" ref="H346:H366" si="100">IF(G346="IN",H345+F346,H345)</f>
        <v>11019.57749999999</v>
      </c>
      <c r="I346" s="273">
        <f t="shared" ref="I346:I366" si="101">IF(H346="","",$K$8-H346)</f>
        <v>10857.42250000001</v>
      </c>
      <c r="J346" s="276"/>
      <c r="K346" s="350"/>
      <c r="L346" s="351"/>
      <c r="S346" s="41"/>
      <c r="T346" s="41"/>
    </row>
    <row r="347" spans="1:20" s="40" customFormat="1" ht="13.5" customHeight="1">
      <c r="A347" s="367"/>
      <c r="B347" s="373" t="s">
        <v>86</v>
      </c>
      <c r="C347" s="374"/>
      <c r="D347" s="274"/>
      <c r="E347" s="273">
        <v>31.78</v>
      </c>
      <c r="F347" s="273">
        <v>31.78</v>
      </c>
      <c r="G347" s="275" t="s">
        <v>58</v>
      </c>
      <c r="H347" s="273">
        <f t="shared" si="100"/>
        <v>11051.357499999991</v>
      </c>
      <c r="I347" s="273">
        <f t="shared" si="101"/>
        <v>10825.642500000009</v>
      </c>
      <c r="J347" s="276"/>
      <c r="K347" s="350"/>
      <c r="L347" s="351"/>
      <c r="S347" s="41"/>
      <c r="T347" s="41"/>
    </row>
    <row r="348" spans="1:20" s="40" customFormat="1" ht="13.5" customHeight="1">
      <c r="A348" s="367"/>
      <c r="B348" s="373" t="s">
        <v>86</v>
      </c>
      <c r="C348" s="374"/>
      <c r="D348" s="274"/>
      <c r="E348" s="273">
        <v>31.77</v>
      </c>
      <c r="F348" s="273">
        <v>31.77</v>
      </c>
      <c r="G348" s="275" t="s">
        <v>58</v>
      </c>
      <c r="H348" s="273">
        <f t="shared" si="100"/>
        <v>11083.127499999991</v>
      </c>
      <c r="I348" s="273">
        <f t="shared" si="101"/>
        <v>10793.872500000009</v>
      </c>
      <c r="J348" s="276"/>
      <c r="K348" s="350"/>
      <c r="L348" s="351"/>
      <c r="S348" s="41"/>
      <c r="T348" s="41"/>
    </row>
    <row r="349" spans="1:20" s="40" customFormat="1" ht="13.5" customHeight="1">
      <c r="A349" s="368"/>
      <c r="B349" s="369" t="s">
        <v>86</v>
      </c>
      <c r="C349" s="370"/>
      <c r="D349" s="274"/>
      <c r="E349" s="273">
        <v>31.67</v>
      </c>
      <c r="F349" s="273">
        <v>31.67</v>
      </c>
      <c r="G349" s="275" t="s">
        <v>58</v>
      </c>
      <c r="H349" s="273">
        <f t="shared" si="100"/>
        <v>11114.797499999991</v>
      </c>
      <c r="I349" s="273">
        <f t="shared" si="101"/>
        <v>10762.202500000009</v>
      </c>
      <c r="J349" s="276"/>
      <c r="K349" s="350"/>
      <c r="L349" s="351"/>
      <c r="S349" s="41"/>
      <c r="T349" s="41"/>
    </row>
    <row r="350" spans="1:20" s="40" customFormat="1" ht="13.5" customHeight="1">
      <c r="A350" s="375" t="s">
        <v>106</v>
      </c>
      <c r="B350" s="364" t="s">
        <v>86</v>
      </c>
      <c r="C350" s="365"/>
      <c r="D350" s="119"/>
      <c r="E350" s="114">
        <v>31.76</v>
      </c>
      <c r="F350" s="114">
        <v>31.76</v>
      </c>
      <c r="G350" s="175" t="s">
        <v>58</v>
      </c>
      <c r="H350" s="114">
        <f t="shared" si="100"/>
        <v>11146.557499999992</v>
      </c>
      <c r="I350" s="114">
        <f t="shared" si="101"/>
        <v>10730.442500000008</v>
      </c>
      <c r="J350" s="115"/>
      <c r="K350" s="350"/>
      <c r="L350" s="351"/>
      <c r="S350" s="41"/>
      <c r="T350" s="41"/>
    </row>
    <row r="351" spans="1:20" s="40" customFormat="1" ht="13.5" customHeight="1">
      <c r="A351" s="371"/>
      <c r="B351" s="364" t="s">
        <v>86</v>
      </c>
      <c r="C351" s="365"/>
      <c r="D351" s="119"/>
      <c r="E351" s="114">
        <v>31.77</v>
      </c>
      <c r="F351" s="114">
        <v>31.77</v>
      </c>
      <c r="G351" s="175" t="s">
        <v>58</v>
      </c>
      <c r="H351" s="114">
        <f t="shared" si="100"/>
        <v>11178.327499999992</v>
      </c>
      <c r="I351" s="114">
        <f t="shared" si="101"/>
        <v>10698.672500000008</v>
      </c>
      <c r="J351" s="115"/>
      <c r="K351" s="350"/>
      <c r="L351" s="351"/>
      <c r="S351" s="41"/>
      <c r="T351" s="41"/>
    </row>
    <row r="352" spans="1:20" s="40" customFormat="1" ht="13.5" customHeight="1">
      <c r="A352" s="371"/>
      <c r="B352" s="364" t="s">
        <v>86</v>
      </c>
      <c r="C352" s="365"/>
      <c r="D352" s="119"/>
      <c r="E352" s="114">
        <v>31.76</v>
      </c>
      <c r="F352" s="114">
        <v>31.76</v>
      </c>
      <c r="G352" s="175" t="s">
        <v>58</v>
      </c>
      <c r="H352" s="114">
        <f t="shared" si="100"/>
        <v>11210.087499999992</v>
      </c>
      <c r="I352" s="114">
        <f t="shared" si="101"/>
        <v>10666.912500000008</v>
      </c>
      <c r="J352" s="115"/>
      <c r="K352" s="350"/>
      <c r="L352" s="351"/>
      <c r="S352" s="41"/>
      <c r="T352" s="41"/>
    </row>
    <row r="353" spans="1:20" s="40" customFormat="1" ht="13.5" customHeight="1">
      <c r="A353" s="372"/>
      <c r="B353" s="362" t="s">
        <v>86</v>
      </c>
      <c r="C353" s="363"/>
      <c r="D353" s="119"/>
      <c r="E353" s="114">
        <v>31.74</v>
      </c>
      <c r="F353" s="114">
        <v>31.74</v>
      </c>
      <c r="G353" s="175" t="s">
        <v>58</v>
      </c>
      <c r="H353" s="114">
        <f t="shared" si="100"/>
        <v>11241.827499999992</v>
      </c>
      <c r="I353" s="114">
        <f t="shared" si="101"/>
        <v>10635.172500000008</v>
      </c>
      <c r="J353" s="115"/>
      <c r="K353" s="350"/>
      <c r="L353" s="351"/>
      <c r="S353" s="41"/>
      <c r="T353" s="41"/>
    </row>
    <row r="354" spans="1:20" s="40" customFormat="1" ht="13.5" customHeight="1">
      <c r="A354" s="366" t="s">
        <v>107</v>
      </c>
      <c r="B354" s="373" t="s">
        <v>86</v>
      </c>
      <c r="C354" s="374"/>
      <c r="D354" s="274"/>
      <c r="E354" s="273">
        <v>31.77</v>
      </c>
      <c r="F354" s="273">
        <v>31.77</v>
      </c>
      <c r="G354" s="275" t="s">
        <v>58</v>
      </c>
      <c r="H354" s="273">
        <f t="shared" si="100"/>
        <v>11273.597499999993</v>
      </c>
      <c r="I354" s="273">
        <f t="shared" si="101"/>
        <v>10603.402500000007</v>
      </c>
      <c r="J354" s="276"/>
      <c r="K354" s="350"/>
      <c r="L354" s="351"/>
      <c r="S354" s="41"/>
      <c r="T354" s="41"/>
    </row>
    <row r="355" spans="1:20" s="40" customFormat="1" ht="13.5" customHeight="1">
      <c r="A355" s="367"/>
      <c r="B355" s="373" t="s">
        <v>86</v>
      </c>
      <c r="C355" s="374"/>
      <c r="D355" s="274"/>
      <c r="E355" s="273">
        <v>31.79</v>
      </c>
      <c r="F355" s="273">
        <v>31.79</v>
      </c>
      <c r="G355" s="275" t="s">
        <v>58</v>
      </c>
      <c r="H355" s="273">
        <f t="shared" si="100"/>
        <v>11305.387499999993</v>
      </c>
      <c r="I355" s="273">
        <f t="shared" si="101"/>
        <v>10571.612500000007</v>
      </c>
      <c r="J355" s="276"/>
      <c r="K355" s="350"/>
      <c r="L355" s="351"/>
      <c r="S355" s="41"/>
      <c r="T355" s="41"/>
    </row>
    <row r="356" spans="1:20" s="40" customFormat="1" ht="13.5" customHeight="1">
      <c r="A356" s="367"/>
      <c r="B356" s="373" t="s">
        <v>86</v>
      </c>
      <c r="C356" s="374"/>
      <c r="D356" s="274"/>
      <c r="E356" s="273">
        <v>31.42</v>
      </c>
      <c r="F356" s="273">
        <v>31.42</v>
      </c>
      <c r="G356" s="275" t="s">
        <v>58</v>
      </c>
      <c r="H356" s="273">
        <f t="shared" si="100"/>
        <v>11336.807499999994</v>
      </c>
      <c r="I356" s="273">
        <f t="shared" si="101"/>
        <v>10540.192500000006</v>
      </c>
      <c r="J356" s="276"/>
      <c r="K356" s="350"/>
      <c r="L356" s="351"/>
      <c r="S356" s="41"/>
      <c r="T356" s="41"/>
    </row>
    <row r="357" spans="1:20" s="40" customFormat="1" ht="13.5" customHeight="1">
      <c r="A357" s="368"/>
      <c r="B357" s="369" t="s">
        <v>86</v>
      </c>
      <c r="C357" s="370"/>
      <c r="D357" s="274"/>
      <c r="E357" s="273">
        <v>31.7</v>
      </c>
      <c r="F357" s="273">
        <v>31.7</v>
      </c>
      <c r="G357" s="275" t="s">
        <v>58</v>
      </c>
      <c r="H357" s="273">
        <f t="shared" si="100"/>
        <v>11368.507499999994</v>
      </c>
      <c r="I357" s="273">
        <f t="shared" si="101"/>
        <v>10508.492500000006</v>
      </c>
      <c r="J357" s="276"/>
      <c r="K357" s="350"/>
      <c r="L357" s="351"/>
      <c r="S357" s="41"/>
      <c r="T357" s="41"/>
    </row>
    <row r="358" spans="1:20" s="40" customFormat="1" ht="13.5" customHeight="1">
      <c r="A358" s="375" t="s">
        <v>108</v>
      </c>
      <c r="B358" s="364" t="s">
        <v>86</v>
      </c>
      <c r="C358" s="365"/>
      <c r="D358" s="119"/>
      <c r="E358" s="114">
        <v>31.74</v>
      </c>
      <c r="F358" s="114">
        <v>31.74</v>
      </c>
      <c r="G358" s="175" t="s">
        <v>58</v>
      </c>
      <c r="H358" s="114">
        <f t="shared" si="100"/>
        <v>11400.247499999994</v>
      </c>
      <c r="I358" s="114">
        <f t="shared" si="101"/>
        <v>10476.752500000006</v>
      </c>
      <c r="J358" s="115"/>
      <c r="K358" s="350"/>
      <c r="L358" s="351"/>
      <c r="S358" s="41"/>
      <c r="T358" s="41"/>
    </row>
    <row r="359" spans="1:20" s="40" customFormat="1" ht="13.5" customHeight="1">
      <c r="A359" s="371"/>
      <c r="B359" s="364" t="s">
        <v>86</v>
      </c>
      <c r="C359" s="365"/>
      <c r="D359" s="119"/>
      <c r="E359" s="114">
        <v>31.76</v>
      </c>
      <c r="F359" s="114">
        <v>31.76</v>
      </c>
      <c r="G359" s="175" t="s">
        <v>58</v>
      </c>
      <c r="H359" s="114">
        <f t="shared" si="100"/>
        <v>11432.007499999994</v>
      </c>
      <c r="I359" s="114">
        <f t="shared" si="101"/>
        <v>10444.992500000006</v>
      </c>
      <c r="J359" s="115"/>
      <c r="K359" s="350"/>
      <c r="L359" s="351"/>
      <c r="S359" s="41"/>
      <c r="T359" s="41"/>
    </row>
    <row r="360" spans="1:20" s="40" customFormat="1" ht="13.5" customHeight="1">
      <c r="A360" s="371"/>
      <c r="B360" s="364" t="s">
        <v>86</v>
      </c>
      <c r="C360" s="365"/>
      <c r="D360" s="119"/>
      <c r="E360" s="114">
        <v>31.67</v>
      </c>
      <c r="F360" s="114">
        <v>31.67</v>
      </c>
      <c r="G360" s="175" t="s">
        <v>58</v>
      </c>
      <c r="H360" s="114">
        <f t="shared" si="100"/>
        <v>11463.677499999994</v>
      </c>
      <c r="I360" s="114">
        <f t="shared" si="101"/>
        <v>10413.322500000006</v>
      </c>
      <c r="J360" s="115"/>
      <c r="K360" s="350"/>
      <c r="L360" s="351"/>
      <c r="S360" s="41"/>
      <c r="T360" s="41"/>
    </row>
    <row r="361" spans="1:20" s="40" customFormat="1" ht="13.5" customHeight="1">
      <c r="A361" s="372"/>
      <c r="B361" s="362" t="s">
        <v>86</v>
      </c>
      <c r="C361" s="363"/>
      <c r="D361" s="119"/>
      <c r="E361" s="114">
        <v>31.74</v>
      </c>
      <c r="F361" s="114">
        <v>31.74</v>
      </c>
      <c r="G361" s="175" t="s">
        <v>58</v>
      </c>
      <c r="H361" s="114">
        <f t="shared" si="100"/>
        <v>11495.417499999994</v>
      </c>
      <c r="I361" s="114">
        <f t="shared" si="101"/>
        <v>10381.582500000006</v>
      </c>
      <c r="J361" s="115"/>
      <c r="K361" s="350"/>
      <c r="L361" s="351"/>
      <c r="S361" s="41"/>
      <c r="T361" s="41"/>
    </row>
    <row r="362" spans="1:20" s="40" customFormat="1" ht="13.5" customHeight="1">
      <c r="A362" s="366" t="s">
        <v>109</v>
      </c>
      <c r="B362" s="373" t="s">
        <v>86</v>
      </c>
      <c r="C362" s="374"/>
      <c r="D362" s="274"/>
      <c r="E362" s="273">
        <v>31.71</v>
      </c>
      <c r="F362" s="273">
        <v>31.71</v>
      </c>
      <c r="G362" s="275" t="s">
        <v>58</v>
      </c>
      <c r="H362" s="273">
        <f t="shared" si="100"/>
        <v>11527.127499999993</v>
      </c>
      <c r="I362" s="273">
        <f t="shared" si="101"/>
        <v>10349.872500000007</v>
      </c>
      <c r="J362" s="276"/>
      <c r="K362" s="350"/>
      <c r="L362" s="351"/>
      <c r="S362" s="41"/>
      <c r="T362" s="41"/>
    </row>
    <row r="363" spans="1:20" s="40" customFormat="1" ht="13.5" customHeight="1">
      <c r="A363" s="367"/>
      <c r="B363" s="373" t="s">
        <v>86</v>
      </c>
      <c r="C363" s="374"/>
      <c r="D363" s="274"/>
      <c r="E363" s="273">
        <v>31.77</v>
      </c>
      <c r="F363" s="273">
        <v>31.77</v>
      </c>
      <c r="G363" s="275" t="s">
        <v>58</v>
      </c>
      <c r="H363" s="273">
        <f t="shared" si="100"/>
        <v>11558.897499999994</v>
      </c>
      <c r="I363" s="273">
        <f t="shared" si="101"/>
        <v>10318.102500000006</v>
      </c>
      <c r="J363" s="276"/>
      <c r="K363" s="350"/>
      <c r="L363" s="351"/>
      <c r="S363" s="41"/>
      <c r="T363" s="41"/>
    </row>
    <row r="364" spans="1:20" s="40" customFormat="1" ht="13.5" customHeight="1">
      <c r="A364" s="367"/>
      <c r="B364" s="373" t="s">
        <v>86</v>
      </c>
      <c r="C364" s="374"/>
      <c r="D364" s="274"/>
      <c r="E364" s="273">
        <v>31.75</v>
      </c>
      <c r="F364" s="273">
        <v>31.75</v>
      </c>
      <c r="G364" s="275" t="s">
        <v>58</v>
      </c>
      <c r="H364" s="273">
        <f t="shared" si="100"/>
        <v>11590.647499999994</v>
      </c>
      <c r="I364" s="273">
        <f t="shared" si="101"/>
        <v>10286.352500000006</v>
      </c>
      <c r="J364" s="276"/>
      <c r="K364" s="282"/>
      <c r="L364" s="283"/>
      <c r="S364" s="41"/>
      <c r="T364" s="41"/>
    </row>
    <row r="365" spans="1:20" s="40" customFormat="1" ht="13.5" customHeight="1">
      <c r="A365" s="368"/>
      <c r="B365" s="369" t="s">
        <v>86</v>
      </c>
      <c r="C365" s="370"/>
      <c r="D365" s="274"/>
      <c r="E365" s="273">
        <v>31.79</v>
      </c>
      <c r="F365" s="273">
        <v>31.79</v>
      </c>
      <c r="G365" s="275" t="s">
        <v>58</v>
      </c>
      <c r="H365" s="273">
        <f t="shared" si="100"/>
        <v>11622.437499999995</v>
      </c>
      <c r="I365" s="273">
        <f t="shared" si="101"/>
        <v>10254.562500000005</v>
      </c>
      <c r="J365" s="276"/>
      <c r="K365" s="350"/>
      <c r="L365" s="351"/>
      <c r="S365" s="41"/>
      <c r="T365" s="41"/>
    </row>
    <row r="366" spans="1:20" s="40" customFormat="1" ht="13.5" customHeight="1">
      <c r="A366" s="376" t="s">
        <v>110</v>
      </c>
      <c r="B366" s="364" t="s">
        <v>86</v>
      </c>
      <c r="C366" s="365"/>
      <c r="D366" s="296"/>
      <c r="E366" s="114">
        <v>31.72</v>
      </c>
      <c r="F366" s="114">
        <v>31.72</v>
      </c>
      <c r="G366" s="304" t="s">
        <v>58</v>
      </c>
      <c r="H366" s="139">
        <f t="shared" si="100"/>
        <v>11654.157499999994</v>
      </c>
      <c r="I366" s="139">
        <f t="shared" si="101"/>
        <v>10222.842500000006</v>
      </c>
      <c r="J366" s="115"/>
      <c r="K366" s="350"/>
      <c r="L366" s="351"/>
      <c r="S366" s="41"/>
      <c r="T366" s="41"/>
    </row>
    <row r="367" spans="1:20" s="40" customFormat="1" ht="13.5" customHeight="1">
      <c r="A367" s="371"/>
      <c r="B367" s="364" t="s">
        <v>111</v>
      </c>
      <c r="C367" s="365"/>
      <c r="D367" s="296"/>
      <c r="E367" s="114">
        <v>31.76</v>
      </c>
      <c r="F367" s="114">
        <v>31.76</v>
      </c>
      <c r="G367" s="304" t="s">
        <v>58</v>
      </c>
      <c r="H367" s="139">
        <f t="shared" ref="H367:H372" si="102">IF(G367="IN",H366+F367,H366)</f>
        <v>11685.917499999994</v>
      </c>
      <c r="I367" s="139">
        <f t="shared" ref="I367:I372" si="103">IF(H367="","",$K$8-H367)</f>
        <v>10191.082500000006</v>
      </c>
      <c r="J367" s="115"/>
      <c r="K367" s="350"/>
      <c r="L367" s="351"/>
      <c r="S367" s="41"/>
      <c r="T367" s="41"/>
    </row>
    <row r="368" spans="1:20" s="40" customFormat="1" ht="13.5" customHeight="1">
      <c r="A368" s="371"/>
      <c r="B368" s="364" t="s">
        <v>112</v>
      </c>
      <c r="C368" s="365"/>
      <c r="D368" s="296"/>
      <c r="E368" s="114">
        <v>31.78</v>
      </c>
      <c r="F368" s="114">
        <v>31.78</v>
      </c>
      <c r="G368" s="304" t="s">
        <v>58</v>
      </c>
      <c r="H368" s="139">
        <f t="shared" si="102"/>
        <v>11717.697499999995</v>
      </c>
      <c r="I368" s="139">
        <f t="shared" si="103"/>
        <v>10159.302500000005</v>
      </c>
      <c r="J368" s="115"/>
      <c r="K368" s="350"/>
      <c r="L368" s="351"/>
      <c r="S368" s="41"/>
      <c r="T368" s="41"/>
    </row>
    <row r="369" spans="1:20" s="40" customFormat="1" ht="13.5" customHeight="1" thickBot="1">
      <c r="A369" s="377"/>
      <c r="B369" s="382" t="s">
        <v>86</v>
      </c>
      <c r="C369" s="383"/>
      <c r="D369" s="333"/>
      <c r="E369" s="321">
        <v>31.75</v>
      </c>
      <c r="F369" s="321">
        <v>31.75</v>
      </c>
      <c r="G369" s="332" t="s">
        <v>58</v>
      </c>
      <c r="H369" s="321">
        <f t="shared" si="102"/>
        <v>11749.447499999995</v>
      </c>
      <c r="I369" s="321">
        <f t="shared" si="103"/>
        <v>10127.552500000005</v>
      </c>
      <c r="J369" s="322"/>
      <c r="K369" s="380"/>
      <c r="L369" s="381"/>
      <c r="S369" s="41"/>
      <c r="T369" s="41"/>
    </row>
    <row r="370" spans="1:20" s="12" customFormat="1" ht="13.5" customHeight="1">
      <c r="A370" s="358" t="s">
        <v>99</v>
      </c>
      <c r="B370" s="352" t="s">
        <v>91</v>
      </c>
      <c r="C370" s="353"/>
      <c r="D370" s="279"/>
      <c r="E370" s="111">
        <v>31.7</v>
      </c>
      <c r="F370" s="111">
        <f t="shared" si="95"/>
        <v>31.7</v>
      </c>
      <c r="G370" s="111" t="s">
        <v>58</v>
      </c>
      <c r="H370" s="111">
        <f t="shared" si="102"/>
        <v>11781.147499999995</v>
      </c>
      <c r="I370" s="111">
        <f t="shared" si="103"/>
        <v>10095.852500000005</v>
      </c>
      <c r="J370" s="279"/>
      <c r="K370" s="350"/>
      <c r="L370" s="351"/>
      <c r="M370" s="39"/>
      <c r="N370" s="37"/>
      <c r="O370" s="37"/>
      <c r="P370" s="40"/>
      <c r="Q370" s="40"/>
      <c r="R370" s="40"/>
      <c r="S370" s="41"/>
      <c r="T370" s="41"/>
    </row>
    <row r="371" spans="1:20" s="40" customFormat="1" ht="13.5" customHeight="1">
      <c r="A371" s="359"/>
      <c r="B371" s="352" t="s">
        <v>91</v>
      </c>
      <c r="C371" s="353"/>
      <c r="D371" s="177"/>
      <c r="E371" s="111">
        <v>31.69</v>
      </c>
      <c r="F371" s="111">
        <f t="shared" si="95"/>
        <v>31.69</v>
      </c>
      <c r="G371" s="111" t="s">
        <v>58</v>
      </c>
      <c r="H371" s="111">
        <f t="shared" si="102"/>
        <v>11812.837499999996</v>
      </c>
      <c r="I371" s="111">
        <f t="shared" si="103"/>
        <v>10064.162500000004</v>
      </c>
      <c r="J371" s="112"/>
      <c r="K371" s="350"/>
      <c r="L371" s="351"/>
      <c r="S371" s="41"/>
      <c r="T371" s="41"/>
    </row>
    <row r="372" spans="1:20" s="40" customFormat="1" ht="13.5" customHeight="1">
      <c r="A372" s="359"/>
      <c r="B372" s="352" t="s">
        <v>91</v>
      </c>
      <c r="C372" s="353"/>
      <c r="D372" s="177"/>
      <c r="E372" s="111">
        <v>31.72</v>
      </c>
      <c r="F372" s="111">
        <f t="shared" si="95"/>
        <v>31.72</v>
      </c>
      <c r="G372" s="111" t="s">
        <v>58</v>
      </c>
      <c r="H372" s="111">
        <f t="shared" si="102"/>
        <v>11844.557499999995</v>
      </c>
      <c r="I372" s="111">
        <f t="shared" si="103"/>
        <v>10032.442500000005</v>
      </c>
      <c r="J372" s="112"/>
      <c r="K372" s="350"/>
      <c r="L372" s="351"/>
      <c r="S372" s="41"/>
      <c r="T372" s="41"/>
    </row>
    <row r="373" spans="1:20" s="40" customFormat="1" ht="13.5" customHeight="1">
      <c r="A373" s="360"/>
      <c r="B373" s="352" t="s">
        <v>91</v>
      </c>
      <c r="C373" s="353"/>
      <c r="D373" s="177"/>
      <c r="E373" s="111">
        <v>31.65</v>
      </c>
      <c r="F373" s="111">
        <f t="shared" si="95"/>
        <v>31.65</v>
      </c>
      <c r="G373" s="111" t="s">
        <v>58</v>
      </c>
      <c r="H373" s="111">
        <f t="shared" si="92"/>
        <v>11876.207499999995</v>
      </c>
      <c r="I373" s="111">
        <f t="shared" si="93"/>
        <v>10000.792500000005</v>
      </c>
      <c r="J373" s="112"/>
      <c r="K373" s="350"/>
      <c r="L373" s="351"/>
      <c r="M373" s="361"/>
      <c r="N373" s="361"/>
      <c r="O373" s="361"/>
      <c r="S373" s="41"/>
      <c r="T373" s="41"/>
    </row>
    <row r="374" spans="1:20" s="40" customFormat="1" ht="13.5" customHeight="1">
      <c r="A374" s="358" t="s">
        <v>100</v>
      </c>
      <c r="B374" s="356" t="s">
        <v>91</v>
      </c>
      <c r="C374" s="357"/>
      <c r="D374" s="272"/>
      <c r="E374" s="139">
        <v>31.65</v>
      </c>
      <c r="F374" s="139">
        <f t="shared" si="95"/>
        <v>31.65</v>
      </c>
      <c r="G374" s="139" t="s">
        <v>58</v>
      </c>
      <c r="H374" s="139">
        <f t="shared" si="92"/>
        <v>11907.857499999995</v>
      </c>
      <c r="I374" s="139">
        <f t="shared" si="93"/>
        <v>9969.1425000000054</v>
      </c>
      <c r="J374" s="140"/>
      <c r="K374" s="350"/>
      <c r="L374" s="351"/>
      <c r="M374"/>
      <c r="N374"/>
      <c r="O374"/>
      <c r="S374" s="41"/>
      <c r="T374" s="41"/>
    </row>
    <row r="375" spans="1:20" s="40" customFormat="1" ht="13.5" customHeight="1">
      <c r="A375" s="359"/>
      <c r="B375" s="356" t="s">
        <v>91</v>
      </c>
      <c r="C375" s="357"/>
      <c r="D375" s="119"/>
      <c r="E375" s="114">
        <v>31.67</v>
      </c>
      <c r="F375" s="114">
        <f t="shared" si="95"/>
        <v>31.67</v>
      </c>
      <c r="G375" s="114" t="s">
        <v>58</v>
      </c>
      <c r="H375" s="114">
        <f t="shared" si="92"/>
        <v>11939.527499999995</v>
      </c>
      <c r="I375" s="114">
        <f t="shared" si="93"/>
        <v>9937.4725000000053</v>
      </c>
      <c r="J375" s="115"/>
      <c r="K375" s="350"/>
      <c r="L375" s="351"/>
      <c r="M375"/>
      <c r="N375"/>
      <c r="O375"/>
      <c r="S375" s="41"/>
      <c r="T375" s="41"/>
    </row>
    <row r="376" spans="1:20" s="40" customFormat="1" ht="13.5" customHeight="1">
      <c r="A376" s="359"/>
      <c r="B376" s="356" t="s">
        <v>91</v>
      </c>
      <c r="C376" s="357"/>
      <c r="D376" s="119"/>
      <c r="E376" s="114">
        <v>31.73</v>
      </c>
      <c r="F376" s="114">
        <f t="shared" si="95"/>
        <v>31.73</v>
      </c>
      <c r="G376" s="114" t="s">
        <v>58</v>
      </c>
      <c r="H376" s="114">
        <f t="shared" si="92"/>
        <v>11971.257499999994</v>
      </c>
      <c r="I376" s="114">
        <f t="shared" si="93"/>
        <v>9905.7425000000057</v>
      </c>
      <c r="J376" s="115"/>
      <c r="K376" s="350"/>
      <c r="L376" s="351"/>
      <c r="S376" s="41"/>
      <c r="T376" s="41"/>
    </row>
    <row r="377" spans="1:20" s="40" customFormat="1" ht="13.5" customHeight="1">
      <c r="A377" s="360"/>
      <c r="B377" s="356" t="s">
        <v>91</v>
      </c>
      <c r="C377" s="357"/>
      <c r="D377" s="119"/>
      <c r="E377" s="114">
        <v>31.61</v>
      </c>
      <c r="F377" s="114">
        <f t="shared" si="95"/>
        <v>31.61</v>
      </c>
      <c r="G377" s="114" t="s">
        <v>58</v>
      </c>
      <c r="H377" s="114">
        <f t="shared" si="92"/>
        <v>12002.867499999995</v>
      </c>
      <c r="I377" s="114">
        <f t="shared" si="93"/>
        <v>9874.1325000000052</v>
      </c>
      <c r="J377" s="115"/>
      <c r="K377" s="350"/>
      <c r="L377" s="351"/>
      <c r="S377" s="41"/>
      <c r="T377" s="41"/>
    </row>
    <row r="378" spans="1:20" s="40" customFormat="1" ht="13.5" customHeight="1">
      <c r="A378" s="358" t="s">
        <v>101</v>
      </c>
      <c r="B378" s="352" t="s">
        <v>91</v>
      </c>
      <c r="C378" s="353"/>
      <c r="D378" s="177"/>
      <c r="E378" s="111">
        <v>31.67</v>
      </c>
      <c r="F378" s="111">
        <f t="shared" si="95"/>
        <v>31.67</v>
      </c>
      <c r="G378" s="110" t="s">
        <v>58</v>
      </c>
      <c r="H378" s="111">
        <f t="shared" si="92"/>
        <v>12034.537499999995</v>
      </c>
      <c r="I378" s="111">
        <f t="shared" si="93"/>
        <v>9842.4625000000051</v>
      </c>
      <c r="J378" s="112"/>
      <c r="K378" s="350"/>
      <c r="L378" s="351"/>
      <c r="S378" s="41"/>
      <c r="T378" s="41"/>
    </row>
    <row r="379" spans="1:20" s="40" customFormat="1" ht="13.5" customHeight="1">
      <c r="A379" s="359"/>
      <c r="B379" s="352" t="s">
        <v>91</v>
      </c>
      <c r="C379" s="353"/>
      <c r="D379" s="177"/>
      <c r="E379" s="111">
        <v>31.68</v>
      </c>
      <c r="F379" s="111">
        <f t="shared" si="95"/>
        <v>31.68</v>
      </c>
      <c r="G379" s="110" t="s">
        <v>58</v>
      </c>
      <c r="H379" s="111">
        <f t="shared" si="92"/>
        <v>12066.217499999995</v>
      </c>
      <c r="I379" s="111">
        <f t="shared" si="93"/>
        <v>9810.7825000000048</v>
      </c>
      <c r="J379" s="112"/>
      <c r="K379" s="350"/>
      <c r="L379" s="351"/>
      <c r="S379" s="41"/>
      <c r="T379" s="41"/>
    </row>
    <row r="380" spans="1:20" s="40" customFormat="1" ht="13.5" customHeight="1">
      <c r="A380" s="359"/>
      <c r="B380" s="352" t="s">
        <v>91</v>
      </c>
      <c r="C380" s="353"/>
      <c r="D380" s="177"/>
      <c r="E380" s="111">
        <v>31.67</v>
      </c>
      <c r="F380" s="111">
        <f t="shared" si="95"/>
        <v>31.67</v>
      </c>
      <c r="G380" s="110" t="s">
        <v>58</v>
      </c>
      <c r="H380" s="111">
        <f t="shared" si="92"/>
        <v>12097.887499999995</v>
      </c>
      <c r="I380" s="111">
        <f t="shared" si="93"/>
        <v>9779.1125000000047</v>
      </c>
      <c r="J380" s="112"/>
      <c r="K380" s="350"/>
      <c r="L380" s="351"/>
      <c r="S380" s="41"/>
      <c r="T380" s="41"/>
    </row>
    <row r="381" spans="1:20" s="40" customFormat="1" ht="13.5" customHeight="1">
      <c r="A381" s="360"/>
      <c r="B381" s="352" t="s">
        <v>91</v>
      </c>
      <c r="C381" s="353"/>
      <c r="D381" s="177"/>
      <c r="E381" s="111">
        <v>31.68</v>
      </c>
      <c r="F381" s="111">
        <f t="shared" si="95"/>
        <v>31.68</v>
      </c>
      <c r="G381" s="110" t="s">
        <v>58</v>
      </c>
      <c r="H381" s="111">
        <f t="shared" si="92"/>
        <v>12129.567499999996</v>
      </c>
      <c r="I381" s="111">
        <f t="shared" si="93"/>
        <v>9747.4325000000044</v>
      </c>
      <c r="J381" s="112"/>
      <c r="K381" s="350"/>
      <c r="L381" s="351"/>
      <c r="S381" s="41"/>
      <c r="T381" s="41"/>
    </row>
    <row r="382" spans="1:20" s="40" customFormat="1" ht="13.5" customHeight="1">
      <c r="A382" s="358" t="s">
        <v>102</v>
      </c>
      <c r="B382" s="356" t="s">
        <v>91</v>
      </c>
      <c r="C382" s="357"/>
      <c r="D382" s="272"/>
      <c r="E382" s="139">
        <v>31.61</v>
      </c>
      <c r="F382" s="139">
        <f t="shared" si="95"/>
        <v>31.61</v>
      </c>
      <c r="G382" s="139" t="s">
        <v>58</v>
      </c>
      <c r="H382" s="139">
        <f t="shared" si="92"/>
        <v>12161.177499999996</v>
      </c>
      <c r="I382" s="139">
        <f t="shared" si="93"/>
        <v>9715.8225000000039</v>
      </c>
      <c r="J382" s="140"/>
      <c r="K382" s="350"/>
      <c r="L382" s="351"/>
      <c r="M382"/>
      <c r="N382"/>
      <c r="O382"/>
      <c r="S382" s="41"/>
      <c r="T382" s="41"/>
    </row>
    <row r="383" spans="1:20" s="40" customFormat="1" ht="13.5" customHeight="1">
      <c r="A383" s="359"/>
      <c r="B383" s="356" t="s">
        <v>91</v>
      </c>
      <c r="C383" s="357"/>
      <c r="D383" s="119"/>
      <c r="E383" s="114">
        <v>31.66</v>
      </c>
      <c r="F383" s="114">
        <f t="shared" si="95"/>
        <v>31.66</v>
      </c>
      <c r="G383" s="114" t="s">
        <v>58</v>
      </c>
      <c r="H383" s="114">
        <f t="shared" si="92"/>
        <v>12192.837499999996</v>
      </c>
      <c r="I383" s="114">
        <f t="shared" si="93"/>
        <v>9684.162500000004</v>
      </c>
      <c r="J383" s="115"/>
      <c r="K383" s="350"/>
      <c r="L383" s="351"/>
      <c r="M383"/>
      <c r="N383"/>
      <c r="O383"/>
      <c r="S383" s="41"/>
      <c r="T383" s="41"/>
    </row>
    <row r="384" spans="1:20" s="40" customFormat="1" ht="13.5" customHeight="1">
      <c r="A384" s="359"/>
      <c r="B384" s="356" t="s">
        <v>91</v>
      </c>
      <c r="C384" s="357"/>
      <c r="D384" s="119"/>
      <c r="E384" s="114">
        <v>31.6</v>
      </c>
      <c r="F384" s="114">
        <f t="shared" si="95"/>
        <v>31.6</v>
      </c>
      <c r="G384" s="114" t="s">
        <v>58</v>
      </c>
      <c r="H384" s="114">
        <f t="shared" si="92"/>
        <v>12224.437499999996</v>
      </c>
      <c r="I384" s="114">
        <f t="shared" si="93"/>
        <v>9652.5625000000036</v>
      </c>
      <c r="J384" s="115"/>
      <c r="K384" s="350"/>
      <c r="L384" s="351"/>
      <c r="S384" s="41"/>
      <c r="T384" s="41"/>
    </row>
    <row r="385" spans="1:20" s="40" customFormat="1" ht="13.5" customHeight="1">
      <c r="A385" s="360"/>
      <c r="B385" s="356" t="s">
        <v>91</v>
      </c>
      <c r="C385" s="357"/>
      <c r="D385" s="119"/>
      <c r="E385" s="114">
        <v>31.64</v>
      </c>
      <c r="F385" s="114">
        <f t="shared" si="95"/>
        <v>31.64</v>
      </c>
      <c r="G385" s="114" t="s">
        <v>58</v>
      </c>
      <c r="H385" s="114">
        <f t="shared" si="92"/>
        <v>12256.077499999996</v>
      </c>
      <c r="I385" s="114">
        <f t="shared" si="93"/>
        <v>9620.9225000000042</v>
      </c>
      <c r="J385" s="115"/>
      <c r="K385" s="350"/>
      <c r="L385" s="351"/>
      <c r="S385" s="41"/>
      <c r="T385" s="41"/>
    </row>
    <row r="386" spans="1:20" s="40" customFormat="1" ht="13.5" customHeight="1">
      <c r="A386" s="358" t="s">
        <v>103</v>
      </c>
      <c r="B386" s="352" t="s">
        <v>91</v>
      </c>
      <c r="C386" s="353"/>
      <c r="D386" s="177"/>
      <c r="E386" s="111">
        <v>31.7</v>
      </c>
      <c r="F386" s="111">
        <f t="shared" si="95"/>
        <v>31.7</v>
      </c>
      <c r="G386" s="110" t="s">
        <v>58</v>
      </c>
      <c r="H386" s="111">
        <f t="shared" si="92"/>
        <v>12287.777499999997</v>
      </c>
      <c r="I386" s="111">
        <f t="shared" si="93"/>
        <v>9589.2225000000035</v>
      </c>
      <c r="J386" s="112"/>
      <c r="K386" s="539" t="s">
        <v>274</v>
      </c>
      <c r="L386" s="540"/>
      <c r="S386" s="41"/>
      <c r="T386" s="41"/>
    </row>
    <row r="387" spans="1:20" s="40" customFormat="1" ht="13.5" customHeight="1">
      <c r="A387" s="359"/>
      <c r="B387" s="352" t="s">
        <v>91</v>
      </c>
      <c r="C387" s="353"/>
      <c r="D387" s="177"/>
      <c r="E387" s="111">
        <v>31.7</v>
      </c>
      <c r="F387" s="111">
        <f t="shared" si="95"/>
        <v>31.7</v>
      </c>
      <c r="G387" s="110" t="s">
        <v>58</v>
      </c>
      <c r="H387" s="111">
        <f t="shared" ref="H387:H394" si="104">IF(G387="IN",H386+F387,H386)</f>
        <v>12319.477499999997</v>
      </c>
      <c r="I387" s="111">
        <f t="shared" ref="I387:I394" si="105">IF(H387="","",$K$8-H387)</f>
        <v>9557.5225000000028</v>
      </c>
      <c r="J387" s="112"/>
      <c r="K387" s="541"/>
      <c r="L387" s="542"/>
      <c r="S387" s="41"/>
      <c r="T387" s="41"/>
    </row>
    <row r="388" spans="1:20" s="40" customFormat="1" ht="13.5" customHeight="1">
      <c r="A388" s="359"/>
      <c r="B388" s="352" t="s">
        <v>91</v>
      </c>
      <c r="C388" s="353"/>
      <c r="D388" s="177"/>
      <c r="E388" s="111">
        <v>31.72</v>
      </c>
      <c r="F388" s="111">
        <f t="shared" si="95"/>
        <v>31.72</v>
      </c>
      <c r="G388" s="110" t="s">
        <v>58</v>
      </c>
      <c r="H388" s="111">
        <f t="shared" si="104"/>
        <v>12351.197499999997</v>
      </c>
      <c r="I388" s="111">
        <f t="shared" si="105"/>
        <v>9525.8025000000034</v>
      </c>
      <c r="J388" s="112"/>
      <c r="K388" s="378" t="s">
        <v>225</v>
      </c>
      <c r="L388" s="379"/>
      <c r="S388" s="41"/>
      <c r="T388" s="41"/>
    </row>
    <row r="389" spans="1:20" s="40" customFormat="1" ht="13.5" customHeight="1">
      <c r="A389" s="360"/>
      <c r="B389" s="352" t="s">
        <v>91</v>
      </c>
      <c r="C389" s="353"/>
      <c r="D389" s="177"/>
      <c r="E389" s="111">
        <v>31.59</v>
      </c>
      <c r="F389" s="337">
        <f t="shared" si="95"/>
        <v>31.59</v>
      </c>
      <c r="G389" s="338" t="s">
        <v>58</v>
      </c>
      <c r="H389" s="337">
        <f t="shared" si="104"/>
        <v>12382.787499999997</v>
      </c>
      <c r="I389" s="111">
        <f t="shared" si="105"/>
        <v>9494.2125000000033</v>
      </c>
      <c r="J389" s="112"/>
      <c r="K389" s="334"/>
      <c r="L389" s="335"/>
      <c r="S389" s="41"/>
      <c r="T389" s="41"/>
    </row>
    <row r="390" spans="1:20" s="40" customFormat="1" ht="13.5" customHeight="1">
      <c r="A390" s="358" t="s">
        <v>113</v>
      </c>
      <c r="B390" s="388" t="s">
        <v>91</v>
      </c>
      <c r="C390" s="389"/>
      <c r="D390" s="272"/>
      <c r="E390" s="139">
        <v>31.76</v>
      </c>
      <c r="F390" s="139">
        <f t="shared" ref="F390:F393" si="106">E390</f>
        <v>31.76</v>
      </c>
      <c r="G390" s="139" t="s">
        <v>58</v>
      </c>
      <c r="H390" s="139">
        <f t="shared" si="104"/>
        <v>12414.547499999997</v>
      </c>
      <c r="I390" s="139">
        <f t="shared" si="105"/>
        <v>9462.4525000000031</v>
      </c>
      <c r="J390" s="140"/>
      <c r="K390" s="350"/>
      <c r="L390" s="351"/>
      <c r="M390"/>
      <c r="N390"/>
      <c r="O390"/>
      <c r="S390" s="41"/>
      <c r="T390" s="41"/>
    </row>
    <row r="391" spans="1:20" s="40" customFormat="1" ht="13.5" customHeight="1">
      <c r="A391" s="359"/>
      <c r="B391" s="356" t="s">
        <v>91</v>
      </c>
      <c r="C391" s="357"/>
      <c r="D391" s="119"/>
      <c r="E391" s="114">
        <v>31.68</v>
      </c>
      <c r="F391" s="114">
        <f t="shared" si="106"/>
        <v>31.68</v>
      </c>
      <c r="G391" s="114" t="s">
        <v>58</v>
      </c>
      <c r="H391" s="114">
        <f t="shared" si="104"/>
        <v>12446.227499999997</v>
      </c>
      <c r="I391" s="114">
        <f t="shared" si="105"/>
        <v>9430.7725000000028</v>
      </c>
      <c r="J391" s="115"/>
      <c r="K391" s="350"/>
      <c r="L391" s="351"/>
      <c r="M391"/>
      <c r="N391"/>
      <c r="O391"/>
      <c r="S391" s="41"/>
      <c r="T391" s="41"/>
    </row>
    <row r="392" spans="1:20" s="40" customFormat="1" ht="13.5" customHeight="1">
      <c r="A392" s="359"/>
      <c r="B392" s="356" t="s">
        <v>91</v>
      </c>
      <c r="C392" s="357"/>
      <c r="D392" s="119"/>
      <c r="E392" s="114">
        <v>31.69</v>
      </c>
      <c r="F392" s="114">
        <f t="shared" si="106"/>
        <v>31.69</v>
      </c>
      <c r="G392" s="114" t="s">
        <v>58</v>
      </c>
      <c r="H392" s="114">
        <f t="shared" si="104"/>
        <v>12477.917499999998</v>
      </c>
      <c r="I392" s="114">
        <f t="shared" si="105"/>
        <v>9399.0825000000023</v>
      </c>
      <c r="J392" s="115"/>
      <c r="K392" s="350"/>
      <c r="L392" s="351"/>
      <c r="S392" s="41"/>
      <c r="T392" s="41"/>
    </row>
    <row r="393" spans="1:20" s="40" customFormat="1" ht="13.5" customHeight="1">
      <c r="A393" s="360"/>
      <c r="B393" s="356" t="s">
        <v>91</v>
      </c>
      <c r="C393" s="357"/>
      <c r="D393" s="119"/>
      <c r="E393" s="114">
        <v>31.71</v>
      </c>
      <c r="F393" s="114">
        <f t="shared" si="106"/>
        <v>31.71</v>
      </c>
      <c r="G393" s="114" t="s">
        <v>58</v>
      </c>
      <c r="H393" s="114">
        <f t="shared" si="104"/>
        <v>12509.627499999997</v>
      </c>
      <c r="I393" s="114">
        <f t="shared" si="105"/>
        <v>9367.3725000000031</v>
      </c>
      <c r="J393" s="115"/>
      <c r="K393" s="350"/>
      <c r="L393" s="351"/>
      <c r="S393" s="41"/>
      <c r="T393" s="41"/>
    </row>
    <row r="394" spans="1:20" s="12" customFormat="1" ht="13.5" customHeight="1">
      <c r="A394" s="358" t="s">
        <v>226</v>
      </c>
      <c r="B394" s="352" t="s">
        <v>91</v>
      </c>
      <c r="C394" s="353"/>
      <c r="D394" s="279"/>
      <c r="E394" s="111">
        <v>31.67</v>
      </c>
      <c r="F394" s="111">
        <f>E394</f>
        <v>31.67</v>
      </c>
      <c r="G394" s="111" t="s">
        <v>58</v>
      </c>
      <c r="H394" s="111">
        <f t="shared" si="104"/>
        <v>12541.297499999997</v>
      </c>
      <c r="I394" s="111">
        <f t="shared" si="105"/>
        <v>9335.7025000000031</v>
      </c>
      <c r="J394" s="279"/>
      <c r="K394" s="350"/>
      <c r="L394" s="351"/>
      <c r="M394" s="39"/>
      <c r="N394" s="37"/>
      <c r="O394" s="37"/>
      <c r="P394" s="40"/>
      <c r="Q394" s="40"/>
      <c r="R394" s="40"/>
      <c r="S394" s="41"/>
      <c r="T394" s="41"/>
    </row>
    <row r="395" spans="1:20" s="40" customFormat="1" ht="13.5" customHeight="1">
      <c r="A395" s="359"/>
      <c r="B395" s="352" t="s">
        <v>91</v>
      </c>
      <c r="C395" s="353"/>
      <c r="D395" s="177"/>
      <c r="E395" s="111">
        <v>31.64</v>
      </c>
      <c r="F395" s="111">
        <f t="shared" ref="F395:F437" si="107">E395</f>
        <v>31.64</v>
      </c>
      <c r="G395" s="111" t="s">
        <v>58</v>
      </c>
      <c r="H395" s="111">
        <f t="shared" ref="H395:H434" si="108">IF(G395="IN",H394+F395,H394)</f>
        <v>12572.937499999996</v>
      </c>
      <c r="I395" s="111">
        <f t="shared" ref="I395:I434" si="109">IF(H395="","",$K$8-H395)</f>
        <v>9304.0625000000036</v>
      </c>
      <c r="J395" s="112"/>
      <c r="K395" s="350"/>
      <c r="L395" s="351"/>
      <c r="S395" s="41"/>
      <c r="T395" s="41"/>
    </row>
    <row r="396" spans="1:20" s="40" customFormat="1" ht="13.5" customHeight="1">
      <c r="A396" s="359"/>
      <c r="B396" s="352" t="s">
        <v>91</v>
      </c>
      <c r="C396" s="353"/>
      <c r="D396" s="177"/>
      <c r="E396" s="111">
        <v>31.72</v>
      </c>
      <c r="F396" s="111">
        <f t="shared" si="107"/>
        <v>31.72</v>
      </c>
      <c r="G396" s="111" t="s">
        <v>58</v>
      </c>
      <c r="H396" s="111">
        <f t="shared" si="108"/>
        <v>12604.657499999996</v>
      </c>
      <c r="I396" s="111">
        <f t="shared" si="109"/>
        <v>9272.3425000000043</v>
      </c>
      <c r="J396" s="112"/>
      <c r="K396" s="350"/>
      <c r="L396" s="351"/>
      <c r="S396" s="41"/>
      <c r="T396" s="41"/>
    </row>
    <row r="397" spans="1:20" s="40" customFormat="1" ht="13.5" customHeight="1">
      <c r="A397" s="360"/>
      <c r="B397" s="352" t="s">
        <v>91</v>
      </c>
      <c r="C397" s="353"/>
      <c r="D397" s="177"/>
      <c r="E397" s="111">
        <v>31.67</v>
      </c>
      <c r="F397" s="111">
        <f t="shared" si="107"/>
        <v>31.67</v>
      </c>
      <c r="G397" s="111" t="s">
        <v>58</v>
      </c>
      <c r="H397" s="111">
        <f t="shared" si="108"/>
        <v>12636.327499999996</v>
      </c>
      <c r="I397" s="111">
        <f t="shared" si="109"/>
        <v>9240.6725000000042</v>
      </c>
      <c r="J397" s="112"/>
      <c r="K397" s="350"/>
      <c r="L397" s="351"/>
      <c r="M397" s="361"/>
      <c r="N397" s="361"/>
      <c r="O397" s="361"/>
      <c r="S397" s="41"/>
      <c r="T397" s="41"/>
    </row>
    <row r="398" spans="1:20" s="40" customFormat="1" ht="13.5" customHeight="1">
      <c r="A398" s="358" t="s">
        <v>114</v>
      </c>
      <c r="B398" s="356" t="s">
        <v>91</v>
      </c>
      <c r="C398" s="357"/>
      <c r="D398" s="272"/>
      <c r="E398" s="139">
        <v>31.77</v>
      </c>
      <c r="F398" s="139">
        <f t="shared" si="107"/>
        <v>31.77</v>
      </c>
      <c r="G398" s="139" t="s">
        <v>58</v>
      </c>
      <c r="H398" s="139">
        <f t="shared" si="108"/>
        <v>12668.097499999996</v>
      </c>
      <c r="I398" s="139">
        <f t="shared" si="109"/>
        <v>9208.9025000000038</v>
      </c>
      <c r="J398" s="140"/>
      <c r="K398" s="350"/>
      <c r="L398" s="351"/>
      <c r="M398"/>
      <c r="N398"/>
      <c r="O398"/>
      <c r="S398" s="41"/>
      <c r="T398" s="41"/>
    </row>
    <row r="399" spans="1:20" s="40" customFormat="1" ht="13.5" customHeight="1">
      <c r="A399" s="359"/>
      <c r="B399" s="356" t="s">
        <v>91</v>
      </c>
      <c r="C399" s="357"/>
      <c r="D399" s="119"/>
      <c r="E399" s="114">
        <v>31.67</v>
      </c>
      <c r="F399" s="114">
        <f t="shared" si="107"/>
        <v>31.67</v>
      </c>
      <c r="G399" s="114" t="s">
        <v>58</v>
      </c>
      <c r="H399" s="114">
        <f t="shared" si="108"/>
        <v>12699.767499999996</v>
      </c>
      <c r="I399" s="114">
        <f t="shared" si="109"/>
        <v>9177.2325000000037</v>
      </c>
      <c r="J399" s="115"/>
      <c r="K399" s="350"/>
      <c r="L399" s="351"/>
      <c r="M399"/>
      <c r="N399"/>
      <c r="O399"/>
      <c r="S399" s="41"/>
      <c r="T399" s="41"/>
    </row>
    <row r="400" spans="1:20" s="40" customFormat="1" ht="13.5" customHeight="1">
      <c r="A400" s="359"/>
      <c r="B400" s="356" t="s">
        <v>91</v>
      </c>
      <c r="C400" s="357"/>
      <c r="D400" s="119"/>
      <c r="E400" s="114">
        <v>31.76</v>
      </c>
      <c r="F400" s="114">
        <f t="shared" si="107"/>
        <v>31.76</v>
      </c>
      <c r="G400" s="114" t="s">
        <v>58</v>
      </c>
      <c r="H400" s="114">
        <f t="shared" si="108"/>
        <v>12731.527499999997</v>
      </c>
      <c r="I400" s="114">
        <f t="shared" si="109"/>
        <v>9145.4725000000035</v>
      </c>
      <c r="J400" s="115"/>
      <c r="K400" s="350"/>
      <c r="L400" s="351"/>
      <c r="S400" s="41"/>
      <c r="T400" s="41"/>
    </row>
    <row r="401" spans="1:20" s="40" customFormat="1" ht="13.5" customHeight="1">
      <c r="A401" s="360"/>
      <c r="B401" s="356" t="s">
        <v>91</v>
      </c>
      <c r="C401" s="357"/>
      <c r="D401" s="119"/>
      <c r="E401" s="114">
        <v>31.62</v>
      </c>
      <c r="F401" s="114">
        <f t="shared" si="107"/>
        <v>31.62</v>
      </c>
      <c r="G401" s="114" t="s">
        <v>58</v>
      </c>
      <c r="H401" s="114">
        <f t="shared" si="108"/>
        <v>12763.147499999997</v>
      </c>
      <c r="I401" s="114">
        <f t="shared" si="109"/>
        <v>9113.8525000000027</v>
      </c>
      <c r="J401" s="115"/>
      <c r="K401" s="350"/>
      <c r="L401" s="351"/>
      <c r="S401" s="41"/>
      <c r="T401" s="41"/>
    </row>
    <row r="402" spans="1:20" s="40" customFormat="1" ht="13.5" customHeight="1">
      <c r="A402" s="358" t="s">
        <v>115</v>
      </c>
      <c r="B402" s="352" t="s">
        <v>91</v>
      </c>
      <c r="C402" s="353"/>
      <c r="D402" s="279"/>
      <c r="E402" s="111">
        <v>31.67</v>
      </c>
      <c r="F402" s="111">
        <f t="shared" si="107"/>
        <v>31.67</v>
      </c>
      <c r="G402" s="111" t="s">
        <v>58</v>
      </c>
      <c r="H402" s="111">
        <f t="shared" si="108"/>
        <v>12794.817499999997</v>
      </c>
      <c r="I402" s="111">
        <f t="shared" si="109"/>
        <v>9082.1825000000026</v>
      </c>
      <c r="J402" s="279"/>
      <c r="K402" s="350"/>
      <c r="L402" s="351"/>
      <c r="S402" s="41"/>
      <c r="T402" s="41"/>
    </row>
    <row r="403" spans="1:20" s="40" customFormat="1" ht="13.5" customHeight="1">
      <c r="A403" s="359"/>
      <c r="B403" s="352" t="s">
        <v>91</v>
      </c>
      <c r="C403" s="353"/>
      <c r="D403" s="177"/>
      <c r="E403" s="111">
        <v>31.73</v>
      </c>
      <c r="F403" s="111">
        <f t="shared" si="107"/>
        <v>31.73</v>
      </c>
      <c r="G403" s="111" t="s">
        <v>58</v>
      </c>
      <c r="H403" s="111">
        <f t="shared" si="108"/>
        <v>12826.547499999997</v>
      </c>
      <c r="I403" s="111">
        <f t="shared" si="109"/>
        <v>9050.4525000000031</v>
      </c>
      <c r="J403" s="112"/>
      <c r="K403" s="350"/>
      <c r="L403" s="351"/>
      <c r="S403" s="41"/>
      <c r="T403" s="41"/>
    </row>
    <row r="404" spans="1:20" s="40" customFormat="1" ht="13.5" customHeight="1">
      <c r="A404" s="359"/>
      <c r="B404" s="352" t="s">
        <v>91</v>
      </c>
      <c r="C404" s="353"/>
      <c r="D404" s="177"/>
      <c r="E404" s="111">
        <v>31.64</v>
      </c>
      <c r="F404" s="111">
        <f t="shared" si="107"/>
        <v>31.64</v>
      </c>
      <c r="G404" s="111" t="s">
        <v>58</v>
      </c>
      <c r="H404" s="111">
        <f t="shared" si="108"/>
        <v>12858.187499999996</v>
      </c>
      <c r="I404" s="111">
        <f t="shared" si="109"/>
        <v>9018.8125000000036</v>
      </c>
      <c r="J404" s="112"/>
      <c r="K404" s="350"/>
      <c r="L404" s="351"/>
      <c r="S404" s="41"/>
      <c r="T404" s="41"/>
    </row>
    <row r="405" spans="1:20" s="40" customFormat="1" ht="13.5" customHeight="1">
      <c r="A405" s="360"/>
      <c r="B405" s="352" t="s">
        <v>91</v>
      </c>
      <c r="C405" s="353"/>
      <c r="D405" s="177"/>
      <c r="E405" s="111">
        <v>31.7</v>
      </c>
      <c r="F405" s="111">
        <f t="shared" si="107"/>
        <v>31.7</v>
      </c>
      <c r="G405" s="111" t="s">
        <v>58</v>
      </c>
      <c r="H405" s="111">
        <f t="shared" si="108"/>
        <v>12889.887499999997</v>
      </c>
      <c r="I405" s="111">
        <f t="shared" si="109"/>
        <v>8987.1125000000029</v>
      </c>
      <c r="J405" s="112"/>
      <c r="K405" s="350"/>
      <c r="L405" s="351"/>
      <c r="S405" s="41"/>
      <c r="T405" s="41"/>
    </row>
    <row r="406" spans="1:20" s="40" customFormat="1" ht="13.5" customHeight="1">
      <c r="A406" s="358" t="s">
        <v>116</v>
      </c>
      <c r="B406" s="356" t="s">
        <v>91</v>
      </c>
      <c r="C406" s="357"/>
      <c r="D406" s="272"/>
      <c r="E406" s="139">
        <v>31.69</v>
      </c>
      <c r="F406" s="139">
        <f t="shared" si="107"/>
        <v>31.69</v>
      </c>
      <c r="G406" s="139" t="s">
        <v>58</v>
      </c>
      <c r="H406" s="139">
        <f t="shared" si="108"/>
        <v>12921.577499999998</v>
      </c>
      <c r="I406" s="139">
        <f t="shared" si="109"/>
        <v>8955.4225000000024</v>
      </c>
      <c r="J406" s="140"/>
      <c r="K406" s="350"/>
      <c r="L406" s="351"/>
      <c r="S406" s="41"/>
      <c r="T406" s="41"/>
    </row>
    <row r="407" spans="1:20" s="40" customFormat="1" ht="13.5" customHeight="1">
      <c r="A407" s="359"/>
      <c r="B407" s="356" t="s">
        <v>91</v>
      </c>
      <c r="C407" s="357"/>
      <c r="D407" s="119"/>
      <c r="E407" s="114">
        <v>31.69</v>
      </c>
      <c r="F407" s="114">
        <f t="shared" si="107"/>
        <v>31.69</v>
      </c>
      <c r="G407" s="114" t="s">
        <v>58</v>
      </c>
      <c r="H407" s="114">
        <f t="shared" si="108"/>
        <v>12953.267499999998</v>
      </c>
      <c r="I407" s="114">
        <f t="shared" si="109"/>
        <v>8923.7325000000019</v>
      </c>
      <c r="J407" s="115"/>
      <c r="K407" s="350"/>
      <c r="L407" s="351"/>
      <c r="S407" s="41"/>
      <c r="T407" s="41"/>
    </row>
    <row r="408" spans="1:20" s="40" customFormat="1" ht="13.5" customHeight="1">
      <c r="A408" s="359"/>
      <c r="B408" s="356" t="s">
        <v>91</v>
      </c>
      <c r="C408" s="357"/>
      <c r="D408" s="119"/>
      <c r="E408" s="114">
        <v>31.67</v>
      </c>
      <c r="F408" s="114">
        <f t="shared" si="107"/>
        <v>31.67</v>
      </c>
      <c r="G408" s="114" t="s">
        <v>58</v>
      </c>
      <c r="H408" s="114">
        <f t="shared" si="108"/>
        <v>12984.937499999998</v>
      </c>
      <c r="I408" s="114">
        <f t="shared" si="109"/>
        <v>8892.0625000000018</v>
      </c>
      <c r="J408" s="115"/>
      <c r="K408" s="350"/>
      <c r="L408" s="351"/>
      <c r="S408" s="41"/>
      <c r="T408" s="41"/>
    </row>
    <row r="409" spans="1:20" s="40" customFormat="1" ht="13.5" customHeight="1">
      <c r="A409" s="360"/>
      <c r="B409" s="356" t="s">
        <v>91</v>
      </c>
      <c r="C409" s="357"/>
      <c r="D409" s="119"/>
      <c r="E409" s="114">
        <v>31.64</v>
      </c>
      <c r="F409" s="114">
        <f t="shared" si="107"/>
        <v>31.64</v>
      </c>
      <c r="G409" s="114" t="s">
        <v>58</v>
      </c>
      <c r="H409" s="114">
        <f t="shared" si="108"/>
        <v>13016.577499999998</v>
      </c>
      <c r="I409" s="114">
        <f t="shared" si="109"/>
        <v>8860.4225000000024</v>
      </c>
      <c r="J409" s="115"/>
      <c r="K409" s="350"/>
      <c r="L409" s="351"/>
      <c r="S409" s="41"/>
      <c r="T409" s="41"/>
    </row>
    <row r="410" spans="1:20" s="40" customFormat="1" ht="13.5" customHeight="1">
      <c r="A410" s="358" t="s">
        <v>117</v>
      </c>
      <c r="B410" s="352" t="s">
        <v>91</v>
      </c>
      <c r="C410" s="353"/>
      <c r="D410" s="279"/>
      <c r="E410" s="111">
        <v>31.7</v>
      </c>
      <c r="F410" s="111">
        <f t="shared" si="107"/>
        <v>31.7</v>
      </c>
      <c r="G410" s="111" t="s">
        <v>58</v>
      </c>
      <c r="H410" s="111">
        <f t="shared" si="108"/>
        <v>13048.277499999998</v>
      </c>
      <c r="I410" s="111">
        <f t="shared" si="109"/>
        <v>8828.7225000000017</v>
      </c>
      <c r="J410" s="279"/>
      <c r="K410" s="350"/>
      <c r="L410" s="351"/>
      <c r="S410" s="41"/>
      <c r="T410" s="41"/>
    </row>
    <row r="411" spans="1:20" s="40" customFormat="1" ht="13.5" customHeight="1">
      <c r="A411" s="359"/>
      <c r="B411" s="352" t="s">
        <v>91</v>
      </c>
      <c r="C411" s="353"/>
      <c r="D411" s="177"/>
      <c r="E411" s="111">
        <v>31.69</v>
      </c>
      <c r="F411" s="111">
        <f t="shared" si="107"/>
        <v>31.69</v>
      </c>
      <c r="G411" s="111" t="s">
        <v>58</v>
      </c>
      <c r="H411" s="111">
        <f t="shared" si="108"/>
        <v>13079.967499999999</v>
      </c>
      <c r="I411" s="111">
        <f t="shared" si="109"/>
        <v>8797.0325000000012</v>
      </c>
      <c r="J411" s="112"/>
      <c r="K411" s="350"/>
      <c r="L411" s="351"/>
      <c r="S411" s="41"/>
      <c r="T411" s="41"/>
    </row>
    <row r="412" spans="1:20" s="40" customFormat="1" ht="13.5" customHeight="1">
      <c r="A412" s="359"/>
      <c r="B412" s="352" t="s">
        <v>91</v>
      </c>
      <c r="C412" s="353"/>
      <c r="D412" s="177"/>
      <c r="E412" s="111">
        <v>31.73</v>
      </c>
      <c r="F412" s="111">
        <f t="shared" si="107"/>
        <v>31.73</v>
      </c>
      <c r="G412" s="111" t="s">
        <v>58</v>
      </c>
      <c r="H412" s="111">
        <f t="shared" si="108"/>
        <v>13111.697499999998</v>
      </c>
      <c r="I412" s="111">
        <f t="shared" si="109"/>
        <v>8765.3025000000016</v>
      </c>
      <c r="J412" s="112"/>
      <c r="K412" s="350"/>
      <c r="L412" s="351"/>
      <c r="S412" s="41"/>
      <c r="T412" s="41"/>
    </row>
    <row r="413" spans="1:20" s="40" customFormat="1" ht="13.5" customHeight="1">
      <c r="A413" s="360"/>
      <c r="B413" s="352" t="s">
        <v>91</v>
      </c>
      <c r="C413" s="353"/>
      <c r="D413" s="177"/>
      <c r="E413" s="111">
        <v>31.66</v>
      </c>
      <c r="F413" s="111">
        <f t="shared" si="107"/>
        <v>31.66</v>
      </c>
      <c r="G413" s="111" t="s">
        <v>58</v>
      </c>
      <c r="H413" s="111">
        <f t="shared" si="108"/>
        <v>13143.357499999998</v>
      </c>
      <c r="I413" s="111">
        <f t="shared" si="109"/>
        <v>8733.6425000000017</v>
      </c>
      <c r="J413" s="112"/>
      <c r="K413" s="350"/>
      <c r="L413" s="351"/>
      <c r="S413" s="41"/>
      <c r="T413" s="41"/>
    </row>
    <row r="414" spans="1:20" s="40" customFormat="1" ht="13.5" customHeight="1">
      <c r="A414" s="358" t="s">
        <v>119</v>
      </c>
      <c r="B414" s="356" t="s">
        <v>91</v>
      </c>
      <c r="C414" s="357"/>
      <c r="D414" s="272"/>
      <c r="E414" s="139">
        <v>31.73</v>
      </c>
      <c r="F414" s="139">
        <f t="shared" si="107"/>
        <v>31.73</v>
      </c>
      <c r="G414" s="139" t="s">
        <v>58</v>
      </c>
      <c r="H414" s="139">
        <f t="shared" si="108"/>
        <v>13175.087499999998</v>
      </c>
      <c r="I414" s="139">
        <f t="shared" si="109"/>
        <v>8701.9125000000022</v>
      </c>
      <c r="J414" s="140"/>
      <c r="K414" s="350"/>
      <c r="L414" s="351"/>
      <c r="O414" s="40" t="s">
        <v>118</v>
      </c>
      <c r="S414" s="41"/>
      <c r="T414" s="41"/>
    </row>
    <row r="415" spans="1:20" s="40" customFormat="1" ht="13.5" customHeight="1">
      <c r="A415" s="359"/>
      <c r="B415" s="356" t="s">
        <v>91</v>
      </c>
      <c r="C415" s="357"/>
      <c r="D415" s="119"/>
      <c r="E415" s="114">
        <v>31.57</v>
      </c>
      <c r="F415" s="114">
        <f t="shared" si="107"/>
        <v>31.57</v>
      </c>
      <c r="G415" s="114" t="s">
        <v>58</v>
      </c>
      <c r="H415" s="114">
        <f t="shared" si="108"/>
        <v>13206.657499999998</v>
      </c>
      <c r="I415" s="114">
        <f t="shared" si="109"/>
        <v>8670.3425000000025</v>
      </c>
      <c r="J415" s="115"/>
      <c r="K415" s="350"/>
      <c r="L415" s="351"/>
      <c r="S415" s="41"/>
      <c r="T415" s="41"/>
    </row>
    <row r="416" spans="1:20" s="40" customFormat="1" ht="13.5" customHeight="1">
      <c r="A416" s="359"/>
      <c r="B416" s="356" t="s">
        <v>91</v>
      </c>
      <c r="C416" s="357"/>
      <c r="D416" s="119"/>
      <c r="E416" s="114">
        <v>31.69</v>
      </c>
      <c r="F416" s="114">
        <f t="shared" si="107"/>
        <v>31.69</v>
      </c>
      <c r="G416" s="114" t="s">
        <v>58</v>
      </c>
      <c r="H416" s="114">
        <f t="shared" si="108"/>
        <v>13238.347499999998</v>
      </c>
      <c r="I416" s="114">
        <f t="shared" si="109"/>
        <v>8638.652500000002</v>
      </c>
      <c r="J416" s="115"/>
      <c r="K416" s="350"/>
      <c r="L416" s="351"/>
      <c r="S416" s="41"/>
      <c r="T416" s="41"/>
    </row>
    <row r="417" spans="1:20" s="40" customFormat="1" ht="13.5" customHeight="1">
      <c r="A417" s="360"/>
      <c r="B417" s="356" t="s">
        <v>91</v>
      </c>
      <c r="C417" s="357"/>
      <c r="D417" s="119"/>
      <c r="E417" s="114">
        <v>31.73</v>
      </c>
      <c r="F417" s="114">
        <f t="shared" si="107"/>
        <v>31.73</v>
      </c>
      <c r="G417" s="114" t="s">
        <v>58</v>
      </c>
      <c r="H417" s="114">
        <f t="shared" si="108"/>
        <v>13270.077499999998</v>
      </c>
      <c r="I417" s="114">
        <f t="shared" si="109"/>
        <v>8606.9225000000024</v>
      </c>
      <c r="J417" s="115"/>
      <c r="K417" s="350"/>
      <c r="L417" s="351"/>
      <c r="S417" s="41"/>
      <c r="T417" s="41"/>
    </row>
    <row r="418" spans="1:20" s="40" customFormat="1" ht="13.5" customHeight="1">
      <c r="A418" s="358" t="s">
        <v>120</v>
      </c>
      <c r="B418" s="352" t="s">
        <v>91</v>
      </c>
      <c r="C418" s="353"/>
      <c r="D418" s="279"/>
      <c r="E418" s="111">
        <v>31.67</v>
      </c>
      <c r="F418" s="111">
        <f t="shared" si="107"/>
        <v>31.67</v>
      </c>
      <c r="G418" s="111" t="s">
        <v>58</v>
      </c>
      <c r="H418" s="111">
        <f t="shared" si="108"/>
        <v>13301.747499999998</v>
      </c>
      <c r="I418" s="111">
        <f t="shared" si="109"/>
        <v>8575.2525000000023</v>
      </c>
      <c r="J418" s="279"/>
      <c r="K418" s="350"/>
      <c r="L418" s="351"/>
      <c r="S418" s="41"/>
      <c r="T418" s="41"/>
    </row>
    <row r="419" spans="1:20" s="40" customFormat="1" ht="13.5" customHeight="1">
      <c r="A419" s="359"/>
      <c r="B419" s="352" t="s">
        <v>91</v>
      </c>
      <c r="C419" s="353"/>
      <c r="D419" s="177"/>
      <c r="E419" s="111">
        <v>31.67</v>
      </c>
      <c r="F419" s="111">
        <f t="shared" si="107"/>
        <v>31.67</v>
      </c>
      <c r="G419" s="111" t="s">
        <v>58</v>
      </c>
      <c r="H419" s="111">
        <f t="shared" si="108"/>
        <v>13333.417499999998</v>
      </c>
      <c r="I419" s="111">
        <f t="shared" si="109"/>
        <v>8543.5825000000023</v>
      </c>
      <c r="J419" s="112"/>
      <c r="K419" s="350"/>
      <c r="L419" s="351"/>
      <c r="S419" s="41"/>
      <c r="T419" s="41"/>
    </row>
    <row r="420" spans="1:20" s="40" customFormat="1" ht="13.5" customHeight="1">
      <c r="A420" s="359"/>
      <c r="B420" s="352" t="s">
        <v>91</v>
      </c>
      <c r="C420" s="353"/>
      <c r="D420" s="177"/>
      <c r="E420" s="111">
        <v>31.63</v>
      </c>
      <c r="F420" s="111">
        <f t="shared" si="107"/>
        <v>31.63</v>
      </c>
      <c r="G420" s="111" t="s">
        <v>58</v>
      </c>
      <c r="H420" s="111">
        <f t="shared" si="108"/>
        <v>13365.047499999997</v>
      </c>
      <c r="I420" s="111">
        <f t="shared" si="109"/>
        <v>8511.9525000000031</v>
      </c>
      <c r="J420" s="112"/>
      <c r="K420" s="350"/>
      <c r="L420" s="351"/>
      <c r="S420" s="41"/>
      <c r="T420" s="41"/>
    </row>
    <row r="421" spans="1:20" s="40" customFormat="1" ht="13.5" customHeight="1">
      <c r="A421" s="360"/>
      <c r="B421" s="352" t="s">
        <v>91</v>
      </c>
      <c r="C421" s="353"/>
      <c r="D421" s="177"/>
      <c r="E421" s="111">
        <v>31.62</v>
      </c>
      <c r="F421" s="111">
        <f t="shared" si="107"/>
        <v>31.62</v>
      </c>
      <c r="G421" s="111" t="s">
        <v>58</v>
      </c>
      <c r="H421" s="111">
        <f t="shared" si="108"/>
        <v>13396.667499999998</v>
      </c>
      <c r="I421" s="111">
        <f t="shared" si="109"/>
        <v>8480.3325000000023</v>
      </c>
      <c r="J421" s="112"/>
      <c r="K421" s="350"/>
      <c r="L421" s="351"/>
      <c r="S421" s="41"/>
      <c r="T421" s="41"/>
    </row>
    <row r="422" spans="1:20" s="40" customFormat="1" ht="13.5" customHeight="1">
      <c r="A422" s="358" t="s">
        <v>227</v>
      </c>
      <c r="B422" s="356" t="s">
        <v>91</v>
      </c>
      <c r="C422" s="357"/>
      <c r="D422" s="272"/>
      <c r="E422" s="139">
        <v>31.72</v>
      </c>
      <c r="F422" s="139">
        <f t="shared" si="107"/>
        <v>31.72</v>
      </c>
      <c r="G422" s="139" t="s">
        <v>58</v>
      </c>
      <c r="H422" s="139">
        <f t="shared" si="108"/>
        <v>13428.387499999997</v>
      </c>
      <c r="I422" s="139">
        <f t="shared" si="109"/>
        <v>8448.6125000000029</v>
      </c>
      <c r="J422" s="140"/>
      <c r="K422" s="350"/>
      <c r="L422" s="351"/>
      <c r="S422" s="41"/>
      <c r="T422" s="41"/>
    </row>
    <row r="423" spans="1:20" s="40" customFormat="1" ht="13.5" customHeight="1">
      <c r="A423" s="359"/>
      <c r="B423" s="356" t="s">
        <v>91</v>
      </c>
      <c r="C423" s="357"/>
      <c r="D423" s="119"/>
      <c r="E423" s="114">
        <v>31.6</v>
      </c>
      <c r="F423" s="114">
        <f t="shared" si="107"/>
        <v>31.6</v>
      </c>
      <c r="G423" s="114" t="s">
        <v>58</v>
      </c>
      <c r="H423" s="114">
        <f t="shared" si="108"/>
        <v>13459.987499999997</v>
      </c>
      <c r="I423" s="114">
        <f t="shared" si="109"/>
        <v>8417.0125000000025</v>
      </c>
      <c r="J423" s="115"/>
      <c r="K423" s="350"/>
      <c r="L423" s="351"/>
      <c r="S423" s="41"/>
      <c r="T423" s="41"/>
    </row>
    <row r="424" spans="1:20" s="40" customFormat="1" ht="13.5" customHeight="1">
      <c r="A424" s="359"/>
      <c r="B424" s="356" t="s">
        <v>91</v>
      </c>
      <c r="C424" s="357"/>
      <c r="D424" s="119"/>
      <c r="E424" s="114">
        <v>31.64</v>
      </c>
      <c r="F424" s="114">
        <f t="shared" si="107"/>
        <v>31.64</v>
      </c>
      <c r="G424" s="114" t="s">
        <v>58</v>
      </c>
      <c r="H424" s="114">
        <f t="shared" si="108"/>
        <v>13491.627499999997</v>
      </c>
      <c r="I424" s="114">
        <f t="shared" si="109"/>
        <v>8385.3725000000031</v>
      </c>
      <c r="J424" s="115"/>
      <c r="K424" s="350"/>
      <c r="L424" s="351"/>
      <c r="S424" s="41"/>
      <c r="T424" s="41"/>
    </row>
    <row r="425" spans="1:20" s="40" customFormat="1" ht="13.5" customHeight="1">
      <c r="A425" s="360"/>
      <c r="B425" s="356" t="s">
        <v>91</v>
      </c>
      <c r="C425" s="357"/>
      <c r="D425" s="119"/>
      <c r="E425" s="114">
        <v>31.66</v>
      </c>
      <c r="F425" s="114">
        <f t="shared" si="107"/>
        <v>31.66</v>
      </c>
      <c r="G425" s="114" t="s">
        <v>58</v>
      </c>
      <c r="H425" s="114">
        <f t="shared" si="108"/>
        <v>13523.287499999997</v>
      </c>
      <c r="I425" s="114">
        <f t="shared" si="109"/>
        <v>8353.7125000000033</v>
      </c>
      <c r="J425" s="115"/>
      <c r="K425" s="350"/>
      <c r="L425" s="351"/>
      <c r="S425" s="41"/>
      <c r="T425" s="41"/>
    </row>
    <row r="426" spans="1:20" s="40" customFormat="1" ht="13.5" customHeight="1">
      <c r="A426" s="358" t="s">
        <v>121</v>
      </c>
      <c r="B426" s="352" t="s">
        <v>91</v>
      </c>
      <c r="C426" s="353"/>
      <c r="D426" s="279"/>
      <c r="E426" s="111">
        <v>31.69</v>
      </c>
      <c r="F426" s="111">
        <f t="shared" si="107"/>
        <v>31.69</v>
      </c>
      <c r="G426" s="111" t="s">
        <v>58</v>
      </c>
      <c r="H426" s="111">
        <f t="shared" si="108"/>
        <v>13554.977499999997</v>
      </c>
      <c r="I426" s="111">
        <f t="shared" si="109"/>
        <v>8322.0225000000028</v>
      </c>
      <c r="J426" s="279"/>
      <c r="K426" s="350"/>
      <c r="L426" s="351"/>
      <c r="S426" s="41"/>
      <c r="T426" s="41"/>
    </row>
    <row r="427" spans="1:20" s="40" customFormat="1" ht="13.5" customHeight="1">
      <c r="A427" s="359"/>
      <c r="B427" s="352" t="s">
        <v>91</v>
      </c>
      <c r="C427" s="353"/>
      <c r="D427" s="177"/>
      <c r="E427" s="111">
        <v>31.67</v>
      </c>
      <c r="F427" s="111">
        <f t="shared" si="107"/>
        <v>31.67</v>
      </c>
      <c r="G427" s="111" t="s">
        <v>58</v>
      </c>
      <c r="H427" s="111">
        <f t="shared" si="108"/>
        <v>13586.647499999997</v>
      </c>
      <c r="I427" s="111">
        <f t="shared" si="109"/>
        <v>8290.3525000000027</v>
      </c>
      <c r="J427" s="112"/>
      <c r="K427" s="350"/>
      <c r="L427" s="351"/>
      <c r="S427" s="41"/>
      <c r="T427" s="41"/>
    </row>
    <row r="428" spans="1:20" s="40" customFormat="1" ht="13.5" customHeight="1">
      <c r="A428" s="359"/>
      <c r="B428" s="352" t="s">
        <v>91</v>
      </c>
      <c r="C428" s="353"/>
      <c r="D428" s="177"/>
      <c r="E428" s="111">
        <v>31.57</v>
      </c>
      <c r="F428" s="111">
        <f t="shared" si="107"/>
        <v>31.57</v>
      </c>
      <c r="G428" s="111" t="s">
        <v>58</v>
      </c>
      <c r="H428" s="111">
        <f t="shared" si="108"/>
        <v>13618.217499999997</v>
      </c>
      <c r="I428" s="111">
        <f t="shared" si="109"/>
        <v>8258.782500000003</v>
      </c>
      <c r="J428" s="112"/>
      <c r="K428" s="350"/>
      <c r="L428" s="351"/>
      <c r="S428" s="41"/>
      <c r="T428" s="41"/>
    </row>
    <row r="429" spans="1:20" s="40" customFormat="1" ht="13.5" customHeight="1">
      <c r="A429" s="360"/>
      <c r="B429" s="352" t="s">
        <v>91</v>
      </c>
      <c r="C429" s="353"/>
      <c r="D429" s="177"/>
      <c r="E429" s="111">
        <v>31.7</v>
      </c>
      <c r="F429" s="111">
        <f t="shared" si="107"/>
        <v>31.7</v>
      </c>
      <c r="G429" s="111" t="s">
        <v>58</v>
      </c>
      <c r="H429" s="111">
        <f t="shared" si="108"/>
        <v>13649.917499999998</v>
      </c>
      <c r="I429" s="111">
        <f t="shared" si="109"/>
        <v>8227.0825000000023</v>
      </c>
      <c r="J429" s="112"/>
      <c r="K429" s="350"/>
      <c r="L429" s="351"/>
      <c r="S429" s="41"/>
      <c r="T429" s="41"/>
    </row>
    <row r="430" spans="1:20" s="40" customFormat="1" ht="13.5" customHeight="1">
      <c r="A430" s="358" t="s">
        <v>122</v>
      </c>
      <c r="B430" s="356" t="s">
        <v>91</v>
      </c>
      <c r="C430" s="357"/>
      <c r="D430" s="272"/>
      <c r="E430" s="139">
        <v>31.64</v>
      </c>
      <c r="F430" s="139">
        <f t="shared" si="107"/>
        <v>31.64</v>
      </c>
      <c r="G430" s="139" t="s">
        <v>58</v>
      </c>
      <c r="H430" s="139">
        <f t="shared" si="108"/>
        <v>13681.557499999997</v>
      </c>
      <c r="I430" s="139">
        <f t="shared" si="109"/>
        <v>8195.4425000000028</v>
      </c>
      <c r="J430" s="140"/>
      <c r="K430" s="350"/>
      <c r="L430" s="351"/>
      <c r="S430" s="41"/>
      <c r="T430" s="41"/>
    </row>
    <row r="431" spans="1:20" s="40" customFormat="1" ht="13.5" customHeight="1">
      <c r="A431" s="359"/>
      <c r="B431" s="356" t="s">
        <v>91</v>
      </c>
      <c r="C431" s="357"/>
      <c r="D431" s="119"/>
      <c r="E431" s="114">
        <v>31.62</v>
      </c>
      <c r="F431" s="114">
        <f t="shared" si="107"/>
        <v>31.62</v>
      </c>
      <c r="G431" s="114" t="s">
        <v>58</v>
      </c>
      <c r="H431" s="114">
        <f t="shared" si="108"/>
        <v>13713.177499999998</v>
      </c>
      <c r="I431" s="114">
        <f t="shared" si="109"/>
        <v>8163.822500000002</v>
      </c>
      <c r="J431" s="115"/>
      <c r="K431" s="350"/>
      <c r="L431" s="351"/>
      <c r="S431" s="41"/>
      <c r="T431" s="41"/>
    </row>
    <row r="432" spans="1:20" s="40" customFormat="1" ht="13.5" customHeight="1">
      <c r="A432" s="359"/>
      <c r="B432" s="356" t="s">
        <v>91</v>
      </c>
      <c r="C432" s="357"/>
      <c r="D432" s="119"/>
      <c r="E432" s="114">
        <v>31.6</v>
      </c>
      <c r="F432" s="114">
        <f t="shared" si="107"/>
        <v>31.6</v>
      </c>
      <c r="G432" s="114" t="s">
        <v>58</v>
      </c>
      <c r="H432" s="114">
        <f t="shared" si="108"/>
        <v>13744.777499999998</v>
      </c>
      <c r="I432" s="114">
        <f t="shared" si="109"/>
        <v>8132.2225000000017</v>
      </c>
      <c r="J432" s="115"/>
      <c r="K432" s="350"/>
      <c r="L432" s="351"/>
      <c r="S432" s="41"/>
      <c r="T432" s="41"/>
    </row>
    <row r="433" spans="1:20" s="40" customFormat="1" ht="13.5" customHeight="1">
      <c r="A433" s="360"/>
      <c r="B433" s="356" t="s">
        <v>91</v>
      </c>
      <c r="C433" s="357"/>
      <c r="D433" s="119"/>
      <c r="E433" s="114">
        <v>31.73</v>
      </c>
      <c r="F433" s="114">
        <f t="shared" si="107"/>
        <v>31.73</v>
      </c>
      <c r="G433" s="114" t="s">
        <v>58</v>
      </c>
      <c r="H433" s="114">
        <f t="shared" si="108"/>
        <v>13776.507499999998</v>
      </c>
      <c r="I433" s="114">
        <f t="shared" si="109"/>
        <v>8100.4925000000021</v>
      </c>
      <c r="J433" s="115"/>
      <c r="K433" s="350"/>
      <c r="L433" s="351"/>
      <c r="S433" s="41"/>
      <c r="T433" s="41"/>
    </row>
    <row r="434" spans="1:20" s="40" customFormat="1" ht="13.5" customHeight="1">
      <c r="A434" s="358" t="s">
        <v>123</v>
      </c>
      <c r="B434" s="352" t="s">
        <v>91</v>
      </c>
      <c r="C434" s="353"/>
      <c r="D434" s="279"/>
      <c r="E434" s="111">
        <v>31.7</v>
      </c>
      <c r="F434" s="111">
        <f t="shared" si="107"/>
        <v>31.7</v>
      </c>
      <c r="G434" s="111" t="s">
        <v>58</v>
      </c>
      <c r="H434" s="111">
        <f t="shared" si="108"/>
        <v>13808.207499999999</v>
      </c>
      <c r="I434" s="111">
        <f t="shared" si="109"/>
        <v>8068.7925000000014</v>
      </c>
      <c r="J434" s="279"/>
      <c r="K434" s="350"/>
      <c r="L434" s="351"/>
      <c r="S434" s="41"/>
      <c r="T434" s="41"/>
    </row>
    <row r="435" spans="1:20" s="40" customFormat="1" ht="13.5" customHeight="1">
      <c r="A435" s="359"/>
      <c r="B435" s="352" t="s">
        <v>91</v>
      </c>
      <c r="C435" s="353"/>
      <c r="D435" s="177"/>
      <c r="E435" s="111">
        <v>31.69</v>
      </c>
      <c r="F435" s="111">
        <f t="shared" si="107"/>
        <v>31.69</v>
      </c>
      <c r="G435" s="111" t="s">
        <v>58</v>
      </c>
      <c r="H435" s="111">
        <f t="shared" ref="H435:H494" si="110">IF(G435="IN",H434+F435,H434)</f>
        <v>13839.897499999999</v>
      </c>
      <c r="I435" s="111">
        <f t="shared" ref="I435:I494" si="111">IF(H435="","",$K$8-H435)</f>
        <v>8037.1025000000009</v>
      </c>
      <c r="J435" s="112"/>
      <c r="K435" s="350"/>
      <c r="L435" s="351"/>
      <c r="S435" s="41"/>
      <c r="T435" s="41"/>
    </row>
    <row r="436" spans="1:20" s="40" customFormat="1" ht="13.5" customHeight="1">
      <c r="A436" s="359"/>
      <c r="B436" s="352" t="s">
        <v>91</v>
      </c>
      <c r="C436" s="353"/>
      <c r="D436" s="177"/>
      <c r="E436" s="111">
        <v>31.72</v>
      </c>
      <c r="F436" s="111">
        <f t="shared" si="107"/>
        <v>31.72</v>
      </c>
      <c r="G436" s="111" t="s">
        <v>58</v>
      </c>
      <c r="H436" s="111">
        <f t="shared" si="110"/>
        <v>13871.617499999998</v>
      </c>
      <c r="I436" s="111">
        <f t="shared" si="111"/>
        <v>8005.3825000000015</v>
      </c>
      <c r="J436" s="112"/>
      <c r="K436" s="350"/>
      <c r="L436" s="351"/>
      <c r="S436" s="41"/>
      <c r="T436" s="41"/>
    </row>
    <row r="437" spans="1:20" s="40" customFormat="1" ht="13.5" customHeight="1">
      <c r="A437" s="360"/>
      <c r="B437" s="352" t="s">
        <v>91</v>
      </c>
      <c r="C437" s="353"/>
      <c r="D437" s="177"/>
      <c r="E437" s="111">
        <v>31.7</v>
      </c>
      <c r="F437" s="111">
        <f t="shared" si="107"/>
        <v>31.7</v>
      </c>
      <c r="G437" s="111" t="s">
        <v>58</v>
      </c>
      <c r="H437" s="111">
        <f t="shared" ref="H437:H438" si="112">IF(G437="IN",H436+F437,H436)</f>
        <v>13903.317499999999</v>
      </c>
      <c r="I437" s="111">
        <f t="shared" ref="I437:I438" si="113">IF(H437="","",$K$8-H437)</f>
        <v>7973.6825000000008</v>
      </c>
      <c r="J437" s="112"/>
      <c r="K437" s="350"/>
      <c r="L437" s="351"/>
      <c r="S437" s="41"/>
      <c r="T437" s="41"/>
    </row>
    <row r="438" spans="1:20" s="40" customFormat="1" ht="13.5" customHeight="1">
      <c r="A438" s="358" t="s">
        <v>124</v>
      </c>
      <c r="B438" s="352" t="s">
        <v>91</v>
      </c>
      <c r="C438" s="353"/>
      <c r="D438" s="279"/>
      <c r="E438" s="111">
        <v>31.67</v>
      </c>
      <c r="F438" s="111">
        <f t="shared" ref="F438:F454" si="114">E438</f>
        <v>31.67</v>
      </c>
      <c r="G438" s="111" t="s">
        <v>58</v>
      </c>
      <c r="H438" s="111">
        <f t="shared" si="112"/>
        <v>13934.987499999999</v>
      </c>
      <c r="I438" s="111">
        <f t="shared" si="113"/>
        <v>7942.0125000000007</v>
      </c>
      <c r="J438" s="279"/>
      <c r="K438" s="350"/>
      <c r="L438" s="351"/>
      <c r="S438" s="41"/>
      <c r="T438" s="41"/>
    </row>
    <row r="439" spans="1:20" s="40" customFormat="1" ht="13.5" customHeight="1">
      <c r="A439" s="359"/>
      <c r="B439" s="352" t="s">
        <v>91</v>
      </c>
      <c r="C439" s="353"/>
      <c r="D439" s="177"/>
      <c r="E439" s="111">
        <v>31.72</v>
      </c>
      <c r="F439" s="111">
        <f t="shared" si="114"/>
        <v>31.72</v>
      </c>
      <c r="G439" s="111" t="s">
        <v>58</v>
      </c>
      <c r="H439" s="111">
        <f t="shared" si="110"/>
        <v>13966.707499999999</v>
      </c>
      <c r="I439" s="111">
        <f t="shared" si="111"/>
        <v>7910.2925000000014</v>
      </c>
      <c r="J439" s="112"/>
      <c r="K439" s="350"/>
      <c r="L439" s="351"/>
      <c r="S439" s="41"/>
      <c r="T439" s="41"/>
    </row>
    <row r="440" spans="1:20" s="40" customFormat="1" ht="13.5" customHeight="1">
      <c r="A440" s="359"/>
      <c r="B440" s="352" t="s">
        <v>91</v>
      </c>
      <c r="C440" s="353"/>
      <c r="D440" s="177"/>
      <c r="E440" s="111">
        <v>31.74</v>
      </c>
      <c r="F440" s="111">
        <f t="shared" si="114"/>
        <v>31.74</v>
      </c>
      <c r="G440" s="111" t="s">
        <v>58</v>
      </c>
      <c r="H440" s="111">
        <f t="shared" si="110"/>
        <v>13998.447499999998</v>
      </c>
      <c r="I440" s="111">
        <f t="shared" si="111"/>
        <v>7878.5525000000016</v>
      </c>
      <c r="J440" s="112"/>
      <c r="K440" s="350"/>
      <c r="L440" s="351"/>
      <c r="S440" s="41"/>
      <c r="T440" s="41"/>
    </row>
    <row r="441" spans="1:20" s="40" customFormat="1" ht="13.5" customHeight="1">
      <c r="A441" s="360"/>
      <c r="B441" s="352" t="s">
        <v>91</v>
      </c>
      <c r="C441" s="353"/>
      <c r="D441" s="177"/>
      <c r="E441" s="111">
        <v>31.66</v>
      </c>
      <c r="F441" s="111">
        <f t="shared" si="114"/>
        <v>31.66</v>
      </c>
      <c r="G441" s="111" t="s">
        <v>58</v>
      </c>
      <c r="H441" s="111">
        <f t="shared" si="110"/>
        <v>14030.107499999998</v>
      </c>
      <c r="I441" s="111">
        <f t="shared" si="111"/>
        <v>7846.8925000000017</v>
      </c>
      <c r="J441" s="112"/>
      <c r="K441" s="350"/>
      <c r="L441" s="351"/>
      <c r="S441" s="41"/>
      <c r="T441" s="41"/>
    </row>
    <row r="442" spans="1:20" s="40" customFormat="1" ht="13.5" customHeight="1">
      <c r="A442" s="358" t="s">
        <v>125</v>
      </c>
      <c r="B442" s="356" t="s">
        <v>91</v>
      </c>
      <c r="C442" s="357"/>
      <c r="D442" s="272"/>
      <c r="E442" s="139">
        <v>31.69</v>
      </c>
      <c r="F442" s="139">
        <f t="shared" si="114"/>
        <v>31.69</v>
      </c>
      <c r="G442" s="139" t="s">
        <v>58</v>
      </c>
      <c r="H442" s="139">
        <f t="shared" si="110"/>
        <v>14061.797499999999</v>
      </c>
      <c r="I442" s="139">
        <f t="shared" si="111"/>
        <v>7815.2025000000012</v>
      </c>
      <c r="J442" s="140"/>
      <c r="K442" s="350"/>
      <c r="L442" s="351"/>
      <c r="S442" s="41"/>
      <c r="T442" s="41"/>
    </row>
    <row r="443" spans="1:20" s="40" customFormat="1" ht="13.5" customHeight="1">
      <c r="A443" s="359"/>
      <c r="B443" s="356" t="s">
        <v>91</v>
      </c>
      <c r="C443" s="357"/>
      <c r="D443" s="119"/>
      <c r="E443" s="114">
        <v>31.6</v>
      </c>
      <c r="F443" s="114">
        <f t="shared" si="114"/>
        <v>31.6</v>
      </c>
      <c r="G443" s="114" t="s">
        <v>58</v>
      </c>
      <c r="H443" s="114">
        <f t="shared" si="110"/>
        <v>14093.397499999999</v>
      </c>
      <c r="I443" s="114">
        <f t="shared" si="111"/>
        <v>7783.6025000000009</v>
      </c>
      <c r="J443" s="115"/>
      <c r="K443" s="350"/>
      <c r="L443" s="351"/>
      <c r="S443" s="41"/>
      <c r="T443" s="41"/>
    </row>
    <row r="444" spans="1:20" s="40" customFormat="1" ht="13.5" customHeight="1">
      <c r="A444" s="359"/>
      <c r="B444" s="356" t="s">
        <v>91</v>
      </c>
      <c r="C444" s="357"/>
      <c r="D444" s="119"/>
      <c r="E444" s="114">
        <v>31.63</v>
      </c>
      <c r="F444" s="114">
        <f t="shared" si="114"/>
        <v>31.63</v>
      </c>
      <c r="G444" s="114" t="s">
        <v>58</v>
      </c>
      <c r="H444" s="114">
        <f t="shared" si="110"/>
        <v>14125.027499999998</v>
      </c>
      <c r="I444" s="114">
        <f t="shared" si="111"/>
        <v>7751.9725000000017</v>
      </c>
      <c r="J444" s="115"/>
      <c r="K444" s="350"/>
      <c r="L444" s="351"/>
      <c r="S444" s="41"/>
      <c r="T444" s="41"/>
    </row>
    <row r="445" spans="1:20" s="40" customFormat="1" ht="13.5" customHeight="1">
      <c r="A445" s="360"/>
      <c r="B445" s="356" t="s">
        <v>91</v>
      </c>
      <c r="C445" s="357"/>
      <c r="D445" s="119"/>
      <c r="E445" s="114">
        <v>31.64</v>
      </c>
      <c r="F445" s="114">
        <f t="shared" si="114"/>
        <v>31.64</v>
      </c>
      <c r="G445" s="114" t="s">
        <v>58</v>
      </c>
      <c r="H445" s="114">
        <f t="shared" si="110"/>
        <v>14156.667499999998</v>
      </c>
      <c r="I445" s="114">
        <f t="shared" si="111"/>
        <v>7720.3325000000023</v>
      </c>
      <c r="J445" s="115"/>
      <c r="K445" s="350"/>
      <c r="L445" s="351"/>
      <c r="S445" s="41"/>
      <c r="T445" s="41"/>
    </row>
    <row r="446" spans="1:20" s="40" customFormat="1" ht="13.5" customHeight="1">
      <c r="A446" s="358" t="s">
        <v>126</v>
      </c>
      <c r="B446" s="352" t="s">
        <v>91</v>
      </c>
      <c r="C446" s="353"/>
      <c r="D446" s="279"/>
      <c r="E446" s="111">
        <v>31.61</v>
      </c>
      <c r="F446" s="111">
        <f t="shared" si="114"/>
        <v>31.61</v>
      </c>
      <c r="G446" s="111" t="s">
        <v>58</v>
      </c>
      <c r="H446" s="111">
        <f t="shared" si="110"/>
        <v>14188.277499999998</v>
      </c>
      <c r="I446" s="111">
        <f t="shared" si="111"/>
        <v>7688.7225000000017</v>
      </c>
      <c r="J446" s="279"/>
      <c r="K446" s="350"/>
      <c r="L446" s="351"/>
      <c r="S446" s="41"/>
      <c r="T446" s="41"/>
    </row>
    <row r="447" spans="1:20" s="40" customFormat="1" ht="13.5" customHeight="1">
      <c r="A447" s="359"/>
      <c r="B447" s="352" t="s">
        <v>91</v>
      </c>
      <c r="C447" s="353"/>
      <c r="D447" s="177"/>
      <c r="E447" s="111">
        <v>31.63</v>
      </c>
      <c r="F447" s="111">
        <f t="shared" si="114"/>
        <v>31.63</v>
      </c>
      <c r="G447" s="111" t="s">
        <v>58</v>
      </c>
      <c r="H447" s="111">
        <f t="shared" si="110"/>
        <v>14219.907499999998</v>
      </c>
      <c r="I447" s="111">
        <f t="shared" si="111"/>
        <v>7657.0925000000025</v>
      </c>
      <c r="J447" s="112"/>
      <c r="K447" s="350"/>
      <c r="L447" s="351"/>
      <c r="S447" s="41"/>
      <c r="T447" s="41"/>
    </row>
    <row r="448" spans="1:20" s="40" customFormat="1" ht="13.5" customHeight="1">
      <c r="A448" s="359"/>
      <c r="B448" s="352" t="s">
        <v>91</v>
      </c>
      <c r="C448" s="353"/>
      <c r="D448" s="177"/>
      <c r="E448" s="111">
        <v>31.62</v>
      </c>
      <c r="F448" s="111">
        <f t="shared" si="114"/>
        <v>31.62</v>
      </c>
      <c r="G448" s="111" t="s">
        <v>58</v>
      </c>
      <c r="H448" s="111">
        <f t="shared" si="110"/>
        <v>14251.527499999998</v>
      </c>
      <c r="I448" s="111">
        <f t="shared" si="111"/>
        <v>7625.4725000000017</v>
      </c>
      <c r="J448" s="112"/>
      <c r="K448" s="350"/>
      <c r="L448" s="351"/>
      <c r="S448" s="41"/>
      <c r="T448" s="41"/>
    </row>
    <row r="449" spans="1:20" s="40" customFormat="1" ht="13.5" customHeight="1">
      <c r="A449" s="360"/>
      <c r="B449" s="352" t="s">
        <v>91</v>
      </c>
      <c r="C449" s="353"/>
      <c r="D449" s="177"/>
      <c r="E449" s="111">
        <v>31.7</v>
      </c>
      <c r="F449" s="111">
        <f t="shared" si="114"/>
        <v>31.7</v>
      </c>
      <c r="G449" s="111" t="s">
        <v>58</v>
      </c>
      <c r="H449" s="111">
        <f t="shared" si="110"/>
        <v>14283.227499999999</v>
      </c>
      <c r="I449" s="111">
        <f t="shared" si="111"/>
        <v>7593.7725000000009</v>
      </c>
      <c r="J449" s="112"/>
      <c r="K449" s="350"/>
      <c r="L449" s="351"/>
      <c r="S449" s="41"/>
      <c r="T449" s="41"/>
    </row>
    <row r="450" spans="1:20" s="40" customFormat="1" ht="13.5" customHeight="1">
      <c r="A450" s="358" t="s">
        <v>228</v>
      </c>
      <c r="B450" s="356" t="s">
        <v>91</v>
      </c>
      <c r="C450" s="357"/>
      <c r="D450" s="272"/>
      <c r="E450" s="139">
        <v>31.65</v>
      </c>
      <c r="F450" s="139">
        <f t="shared" si="114"/>
        <v>31.65</v>
      </c>
      <c r="G450" s="139" t="s">
        <v>58</v>
      </c>
      <c r="H450" s="139">
        <f t="shared" si="110"/>
        <v>14314.877499999999</v>
      </c>
      <c r="I450" s="139">
        <f t="shared" si="111"/>
        <v>7562.1225000000013</v>
      </c>
      <c r="J450" s="140"/>
      <c r="K450" s="350"/>
      <c r="L450" s="351"/>
      <c r="S450" s="41"/>
      <c r="T450" s="41"/>
    </row>
    <row r="451" spans="1:20" s="40" customFormat="1" ht="13.5" customHeight="1">
      <c r="A451" s="359"/>
      <c r="B451" s="356" t="s">
        <v>91</v>
      </c>
      <c r="C451" s="357"/>
      <c r="D451" s="119"/>
      <c r="E451" s="114">
        <v>31.65</v>
      </c>
      <c r="F451" s="114">
        <f t="shared" si="114"/>
        <v>31.65</v>
      </c>
      <c r="G451" s="114" t="s">
        <v>58</v>
      </c>
      <c r="H451" s="114">
        <f t="shared" si="110"/>
        <v>14346.527499999998</v>
      </c>
      <c r="I451" s="114">
        <f t="shared" si="111"/>
        <v>7530.4725000000017</v>
      </c>
      <c r="J451" s="115"/>
      <c r="K451" s="350"/>
      <c r="L451" s="351"/>
      <c r="S451" s="41"/>
      <c r="T451" s="41"/>
    </row>
    <row r="452" spans="1:20" s="40" customFormat="1" ht="13.5" customHeight="1">
      <c r="A452" s="359"/>
      <c r="B452" s="356" t="s">
        <v>91</v>
      </c>
      <c r="C452" s="357"/>
      <c r="D452" s="119"/>
      <c r="E452" s="114">
        <v>31.61</v>
      </c>
      <c r="F452" s="114">
        <f t="shared" si="114"/>
        <v>31.61</v>
      </c>
      <c r="G452" s="114" t="s">
        <v>58</v>
      </c>
      <c r="H452" s="114">
        <f t="shared" si="110"/>
        <v>14378.137499999999</v>
      </c>
      <c r="I452" s="114">
        <f t="shared" si="111"/>
        <v>7498.8625000000011</v>
      </c>
      <c r="J452" s="115"/>
      <c r="K452" s="350"/>
      <c r="L452" s="351"/>
      <c r="S452" s="41"/>
      <c r="T452" s="41"/>
    </row>
    <row r="453" spans="1:20" s="40" customFormat="1" ht="13.5" customHeight="1">
      <c r="A453" s="360"/>
      <c r="B453" s="356" t="s">
        <v>91</v>
      </c>
      <c r="C453" s="357"/>
      <c r="D453" s="119"/>
      <c r="E453" s="114">
        <v>31.69</v>
      </c>
      <c r="F453" s="114">
        <f t="shared" si="114"/>
        <v>31.69</v>
      </c>
      <c r="G453" s="114" t="s">
        <v>58</v>
      </c>
      <c r="H453" s="114">
        <f t="shared" si="110"/>
        <v>14409.827499999999</v>
      </c>
      <c r="I453" s="114">
        <f t="shared" si="111"/>
        <v>7467.1725000000006</v>
      </c>
      <c r="J453" s="115"/>
      <c r="K453" s="350"/>
      <c r="L453" s="351"/>
      <c r="S453" s="41"/>
      <c r="T453" s="41"/>
    </row>
    <row r="454" spans="1:20" s="40" customFormat="1" ht="13.5" customHeight="1">
      <c r="A454" s="358" t="s">
        <v>229</v>
      </c>
      <c r="B454" s="352" t="s">
        <v>91</v>
      </c>
      <c r="C454" s="353"/>
      <c r="D454" s="279"/>
      <c r="E454" s="111">
        <v>31.63</v>
      </c>
      <c r="F454" s="111">
        <f t="shared" si="114"/>
        <v>31.63</v>
      </c>
      <c r="G454" s="111" t="s">
        <v>58</v>
      </c>
      <c r="H454" s="111">
        <f t="shared" si="110"/>
        <v>14441.457499999999</v>
      </c>
      <c r="I454" s="111">
        <f t="shared" si="111"/>
        <v>7435.5425000000014</v>
      </c>
      <c r="J454" s="279"/>
      <c r="K454" s="350"/>
      <c r="L454" s="351"/>
      <c r="S454" s="41"/>
      <c r="T454" s="41"/>
    </row>
    <row r="455" spans="1:20" s="40" customFormat="1" ht="13.5" customHeight="1">
      <c r="A455" s="359"/>
      <c r="B455" s="352" t="s">
        <v>91</v>
      </c>
      <c r="C455" s="353"/>
      <c r="D455" s="177"/>
      <c r="E455" s="111">
        <v>31.59</v>
      </c>
      <c r="F455" s="111">
        <f t="shared" ref="F455:F518" si="115">E455</f>
        <v>31.59</v>
      </c>
      <c r="G455" s="111" t="s">
        <v>58</v>
      </c>
      <c r="H455" s="111">
        <f t="shared" si="110"/>
        <v>14473.047499999999</v>
      </c>
      <c r="I455" s="111">
        <f t="shared" si="111"/>
        <v>7403.9525000000012</v>
      </c>
      <c r="J455" s="112"/>
      <c r="K455" s="350"/>
      <c r="L455" s="351"/>
      <c r="S455" s="41"/>
      <c r="T455" s="41"/>
    </row>
    <row r="456" spans="1:20" s="40" customFormat="1" ht="13.5" customHeight="1">
      <c r="A456" s="359"/>
      <c r="B456" s="352" t="s">
        <v>91</v>
      </c>
      <c r="C456" s="353"/>
      <c r="D456" s="177"/>
      <c r="E456" s="111">
        <v>31.62</v>
      </c>
      <c r="F456" s="111">
        <f t="shared" si="115"/>
        <v>31.62</v>
      </c>
      <c r="G456" s="111" t="s">
        <v>58</v>
      </c>
      <c r="H456" s="111">
        <f t="shared" si="110"/>
        <v>14504.6675</v>
      </c>
      <c r="I456" s="111">
        <f t="shared" si="111"/>
        <v>7372.3325000000004</v>
      </c>
      <c r="J456" s="112"/>
      <c r="K456" s="350"/>
      <c r="L456" s="351"/>
      <c r="S456" s="41"/>
      <c r="T456" s="41"/>
    </row>
    <row r="457" spans="1:20" s="40" customFormat="1" ht="13.5" customHeight="1">
      <c r="A457" s="360"/>
      <c r="B457" s="352" t="s">
        <v>91</v>
      </c>
      <c r="C457" s="353"/>
      <c r="D457" s="177"/>
      <c r="E457" s="111">
        <v>31.71</v>
      </c>
      <c r="F457" s="111">
        <f t="shared" si="115"/>
        <v>31.71</v>
      </c>
      <c r="G457" s="111" t="s">
        <v>58</v>
      </c>
      <c r="H457" s="111">
        <f t="shared" si="110"/>
        <v>14536.377499999999</v>
      </c>
      <c r="I457" s="111">
        <f t="shared" si="111"/>
        <v>7340.6225000000013</v>
      </c>
      <c r="J457" s="112"/>
      <c r="K457" s="350"/>
      <c r="L457" s="351"/>
      <c r="S457" s="41"/>
      <c r="T457" s="41"/>
    </row>
    <row r="458" spans="1:20" s="40" customFormat="1" ht="13.5" customHeight="1">
      <c r="A458" s="358" t="s">
        <v>230</v>
      </c>
      <c r="B458" s="356" t="s">
        <v>91</v>
      </c>
      <c r="C458" s="357"/>
      <c r="D458" s="272"/>
      <c r="E458" s="139">
        <v>31.62</v>
      </c>
      <c r="F458" s="139">
        <f t="shared" si="115"/>
        <v>31.62</v>
      </c>
      <c r="G458" s="139" t="s">
        <v>58</v>
      </c>
      <c r="H458" s="139">
        <f t="shared" si="110"/>
        <v>14567.997499999999</v>
      </c>
      <c r="I458" s="139">
        <f t="shared" si="111"/>
        <v>7309.0025000000005</v>
      </c>
      <c r="J458" s="140"/>
      <c r="K458" s="350"/>
      <c r="L458" s="351"/>
      <c r="S458" s="41"/>
      <c r="T458" s="41"/>
    </row>
    <row r="459" spans="1:20" s="40" customFormat="1" ht="13.5" customHeight="1">
      <c r="A459" s="359"/>
      <c r="B459" s="356" t="s">
        <v>91</v>
      </c>
      <c r="C459" s="357"/>
      <c r="D459" s="119"/>
      <c r="E459" s="114">
        <v>31.66</v>
      </c>
      <c r="F459" s="114">
        <f t="shared" si="115"/>
        <v>31.66</v>
      </c>
      <c r="G459" s="114" t="s">
        <v>58</v>
      </c>
      <c r="H459" s="114">
        <f t="shared" si="110"/>
        <v>14599.657499999999</v>
      </c>
      <c r="I459" s="114">
        <f t="shared" si="111"/>
        <v>7277.3425000000007</v>
      </c>
      <c r="J459" s="115"/>
      <c r="K459" s="350"/>
      <c r="L459" s="351"/>
      <c r="S459" s="41"/>
      <c r="T459" s="41"/>
    </row>
    <row r="460" spans="1:20" s="40" customFormat="1" ht="13.5" customHeight="1">
      <c r="A460" s="359"/>
      <c r="B460" s="356" t="s">
        <v>91</v>
      </c>
      <c r="C460" s="357"/>
      <c r="D460" s="119"/>
      <c r="E460" s="114">
        <v>31.72</v>
      </c>
      <c r="F460" s="114">
        <f t="shared" si="115"/>
        <v>31.72</v>
      </c>
      <c r="G460" s="114" t="s">
        <v>58</v>
      </c>
      <c r="H460" s="114">
        <f t="shared" si="110"/>
        <v>14631.377499999999</v>
      </c>
      <c r="I460" s="114">
        <f t="shared" si="111"/>
        <v>7245.6225000000013</v>
      </c>
      <c r="J460" s="115"/>
      <c r="K460" s="350"/>
      <c r="L460" s="351"/>
      <c r="S460" s="41"/>
      <c r="T460" s="41"/>
    </row>
    <row r="461" spans="1:20" s="40" customFormat="1" ht="13.5" customHeight="1">
      <c r="A461" s="360"/>
      <c r="B461" s="356" t="s">
        <v>91</v>
      </c>
      <c r="C461" s="357"/>
      <c r="D461" s="119"/>
      <c r="E461" s="114">
        <v>31.6</v>
      </c>
      <c r="F461" s="114">
        <f t="shared" si="115"/>
        <v>31.6</v>
      </c>
      <c r="G461" s="114" t="s">
        <v>58</v>
      </c>
      <c r="H461" s="114">
        <f t="shared" si="110"/>
        <v>14662.977499999999</v>
      </c>
      <c r="I461" s="114">
        <f t="shared" si="111"/>
        <v>7214.0225000000009</v>
      </c>
      <c r="J461" s="115"/>
      <c r="K461" s="350"/>
      <c r="L461" s="351"/>
      <c r="S461" s="41"/>
      <c r="T461" s="41"/>
    </row>
    <row r="462" spans="1:20" s="40" customFormat="1" ht="13.5" customHeight="1">
      <c r="A462" s="358" t="s">
        <v>231</v>
      </c>
      <c r="B462" s="352" t="s">
        <v>91</v>
      </c>
      <c r="C462" s="353"/>
      <c r="D462" s="279"/>
      <c r="E462" s="111">
        <v>31.74</v>
      </c>
      <c r="F462" s="111">
        <f t="shared" si="115"/>
        <v>31.74</v>
      </c>
      <c r="G462" s="111" t="s">
        <v>58</v>
      </c>
      <c r="H462" s="111">
        <f t="shared" si="110"/>
        <v>14694.717499999999</v>
      </c>
      <c r="I462" s="111">
        <f t="shared" si="111"/>
        <v>7182.2825000000012</v>
      </c>
      <c r="J462" s="279"/>
      <c r="K462" s="350"/>
      <c r="L462" s="351"/>
      <c r="S462" s="41"/>
      <c r="T462" s="41"/>
    </row>
    <row r="463" spans="1:20" s="40" customFormat="1" ht="13.5" customHeight="1">
      <c r="A463" s="359"/>
      <c r="B463" s="352" t="s">
        <v>91</v>
      </c>
      <c r="C463" s="353"/>
      <c r="D463" s="177"/>
      <c r="E463" s="111">
        <v>31.67</v>
      </c>
      <c r="F463" s="111">
        <f t="shared" si="115"/>
        <v>31.67</v>
      </c>
      <c r="G463" s="111" t="s">
        <v>58</v>
      </c>
      <c r="H463" s="111">
        <f t="shared" si="110"/>
        <v>14726.387499999999</v>
      </c>
      <c r="I463" s="111">
        <f t="shared" si="111"/>
        <v>7150.6125000000011</v>
      </c>
      <c r="J463" s="112"/>
      <c r="K463" s="350"/>
      <c r="L463" s="351"/>
      <c r="S463" s="41"/>
      <c r="T463" s="41"/>
    </row>
    <row r="464" spans="1:20" s="40" customFormat="1" ht="13.5" customHeight="1">
      <c r="A464" s="359"/>
      <c r="B464" s="352" t="s">
        <v>91</v>
      </c>
      <c r="C464" s="353"/>
      <c r="D464" s="177"/>
      <c r="E464" s="111">
        <v>31.57</v>
      </c>
      <c r="F464" s="111">
        <f t="shared" si="115"/>
        <v>31.57</v>
      </c>
      <c r="G464" s="111" t="s">
        <v>58</v>
      </c>
      <c r="H464" s="111">
        <f t="shared" si="110"/>
        <v>14757.957499999999</v>
      </c>
      <c r="I464" s="111">
        <f t="shared" si="111"/>
        <v>7119.0425000000014</v>
      </c>
      <c r="J464" s="112"/>
      <c r="K464" s="350"/>
      <c r="L464" s="351"/>
      <c r="S464" s="41"/>
      <c r="T464" s="41"/>
    </row>
    <row r="465" spans="1:20" s="40" customFormat="1" ht="13.5" customHeight="1">
      <c r="A465" s="360"/>
      <c r="B465" s="352" t="s">
        <v>91</v>
      </c>
      <c r="C465" s="353"/>
      <c r="D465" s="177"/>
      <c r="E465" s="111">
        <v>31.69</v>
      </c>
      <c r="F465" s="111">
        <f t="shared" si="115"/>
        <v>31.69</v>
      </c>
      <c r="G465" s="111" t="s">
        <v>58</v>
      </c>
      <c r="H465" s="111">
        <f t="shared" si="110"/>
        <v>14789.647499999999</v>
      </c>
      <c r="I465" s="111">
        <f t="shared" si="111"/>
        <v>7087.3525000000009</v>
      </c>
      <c r="J465" s="112"/>
      <c r="K465" s="350"/>
      <c r="L465" s="351"/>
      <c r="S465" s="41"/>
      <c r="T465" s="41"/>
    </row>
    <row r="466" spans="1:20" s="40" customFormat="1" ht="13.5" customHeight="1">
      <c r="A466" s="358" t="s">
        <v>232</v>
      </c>
      <c r="B466" s="356" t="s">
        <v>91</v>
      </c>
      <c r="C466" s="357"/>
      <c r="D466" s="272"/>
      <c r="E466" s="139">
        <v>31.67</v>
      </c>
      <c r="F466" s="139">
        <f t="shared" si="115"/>
        <v>31.67</v>
      </c>
      <c r="G466" s="139" t="s">
        <v>58</v>
      </c>
      <c r="H466" s="139">
        <f t="shared" si="110"/>
        <v>14821.317499999999</v>
      </c>
      <c r="I466" s="139">
        <f t="shared" si="111"/>
        <v>7055.6825000000008</v>
      </c>
      <c r="J466" s="140"/>
      <c r="K466" s="350"/>
      <c r="L466" s="351"/>
      <c r="S466" s="41"/>
      <c r="T466" s="41"/>
    </row>
    <row r="467" spans="1:20" s="40" customFormat="1" ht="13.5" customHeight="1">
      <c r="A467" s="359"/>
      <c r="B467" s="356" t="s">
        <v>91</v>
      </c>
      <c r="C467" s="357"/>
      <c r="D467" s="119"/>
      <c r="E467" s="114">
        <v>31.62</v>
      </c>
      <c r="F467" s="114">
        <f t="shared" si="115"/>
        <v>31.62</v>
      </c>
      <c r="G467" s="114" t="s">
        <v>58</v>
      </c>
      <c r="H467" s="114">
        <f t="shared" si="110"/>
        <v>14852.9375</v>
      </c>
      <c r="I467" s="114">
        <f t="shared" si="111"/>
        <v>7024.0625</v>
      </c>
      <c r="J467" s="115"/>
      <c r="K467" s="350"/>
      <c r="L467" s="351"/>
      <c r="S467" s="41"/>
      <c r="T467" s="41"/>
    </row>
    <row r="468" spans="1:20" s="40" customFormat="1" ht="13.5" customHeight="1">
      <c r="A468" s="359"/>
      <c r="B468" s="356" t="s">
        <v>91</v>
      </c>
      <c r="C468" s="357"/>
      <c r="D468" s="119"/>
      <c r="E468" s="114">
        <v>31.63</v>
      </c>
      <c r="F468" s="114">
        <f t="shared" si="115"/>
        <v>31.63</v>
      </c>
      <c r="G468" s="114" t="s">
        <v>58</v>
      </c>
      <c r="H468" s="114">
        <f t="shared" si="110"/>
        <v>14884.567499999999</v>
      </c>
      <c r="I468" s="114">
        <f t="shared" si="111"/>
        <v>6992.4325000000008</v>
      </c>
      <c r="J468" s="115"/>
      <c r="K468" s="350"/>
      <c r="L468" s="351"/>
      <c r="S468" s="41"/>
      <c r="T468" s="41"/>
    </row>
    <row r="469" spans="1:20" s="40" customFormat="1" ht="13.5" customHeight="1">
      <c r="A469" s="360"/>
      <c r="B469" s="356" t="s">
        <v>91</v>
      </c>
      <c r="C469" s="357"/>
      <c r="D469" s="119"/>
      <c r="E469" s="114">
        <v>31.55</v>
      </c>
      <c r="F469" s="114">
        <f t="shared" si="115"/>
        <v>31.55</v>
      </c>
      <c r="G469" s="114" t="s">
        <v>58</v>
      </c>
      <c r="H469" s="114">
        <f t="shared" si="110"/>
        <v>14916.117499999998</v>
      </c>
      <c r="I469" s="114">
        <f t="shared" si="111"/>
        <v>6960.8825000000015</v>
      </c>
      <c r="J469" s="115"/>
      <c r="K469" s="350"/>
      <c r="L469" s="351"/>
      <c r="S469" s="41"/>
      <c r="T469" s="41"/>
    </row>
    <row r="470" spans="1:20" s="40" customFormat="1" ht="13.5" customHeight="1">
      <c r="A470" s="358" t="s">
        <v>233</v>
      </c>
      <c r="B470" s="352" t="s">
        <v>91</v>
      </c>
      <c r="C470" s="353"/>
      <c r="D470" s="279"/>
      <c r="E470" s="111">
        <v>31.69</v>
      </c>
      <c r="F470" s="111">
        <f t="shared" si="115"/>
        <v>31.69</v>
      </c>
      <c r="G470" s="111" t="s">
        <v>58</v>
      </c>
      <c r="H470" s="111">
        <f t="shared" si="110"/>
        <v>14947.807499999999</v>
      </c>
      <c r="I470" s="111">
        <f t="shared" si="111"/>
        <v>6929.192500000001</v>
      </c>
      <c r="J470" s="279"/>
      <c r="K470" s="350"/>
      <c r="L470" s="351"/>
      <c r="S470" s="41"/>
      <c r="T470" s="41"/>
    </row>
    <row r="471" spans="1:20" s="40" customFormat="1" ht="13.5" customHeight="1">
      <c r="A471" s="359"/>
      <c r="B471" s="352" t="s">
        <v>91</v>
      </c>
      <c r="C471" s="353"/>
      <c r="D471" s="177"/>
      <c r="E471" s="111">
        <v>31.67</v>
      </c>
      <c r="F471" s="111">
        <f t="shared" si="115"/>
        <v>31.67</v>
      </c>
      <c r="G471" s="111" t="s">
        <v>58</v>
      </c>
      <c r="H471" s="111">
        <f t="shared" si="110"/>
        <v>14979.477499999999</v>
      </c>
      <c r="I471" s="111">
        <f t="shared" si="111"/>
        <v>6897.5225000000009</v>
      </c>
      <c r="J471" s="112"/>
      <c r="K471" s="350"/>
      <c r="L471" s="351"/>
      <c r="S471" s="41"/>
      <c r="T471" s="41"/>
    </row>
    <row r="472" spans="1:20" s="40" customFormat="1" ht="13.5" customHeight="1">
      <c r="A472" s="359"/>
      <c r="B472" s="352" t="s">
        <v>91</v>
      </c>
      <c r="C472" s="353"/>
      <c r="D472" s="177"/>
      <c r="E472" s="111">
        <v>31.67</v>
      </c>
      <c r="F472" s="111">
        <f t="shared" si="115"/>
        <v>31.67</v>
      </c>
      <c r="G472" s="111" t="s">
        <v>58</v>
      </c>
      <c r="H472" s="111">
        <f t="shared" si="110"/>
        <v>15011.147499999999</v>
      </c>
      <c r="I472" s="111">
        <f t="shared" si="111"/>
        <v>6865.8525000000009</v>
      </c>
      <c r="J472" s="112"/>
      <c r="K472" s="350"/>
      <c r="L472" s="351"/>
      <c r="S472" s="41"/>
      <c r="T472" s="41"/>
    </row>
    <row r="473" spans="1:20" s="40" customFormat="1" ht="13.5" customHeight="1">
      <c r="A473" s="360"/>
      <c r="B473" s="352" t="s">
        <v>91</v>
      </c>
      <c r="C473" s="353"/>
      <c r="D473" s="177"/>
      <c r="E473" s="111">
        <v>31.7</v>
      </c>
      <c r="F473" s="111">
        <f t="shared" si="115"/>
        <v>31.7</v>
      </c>
      <c r="G473" s="111" t="s">
        <v>58</v>
      </c>
      <c r="H473" s="111">
        <f t="shared" si="110"/>
        <v>15042.8475</v>
      </c>
      <c r="I473" s="111">
        <f t="shared" si="111"/>
        <v>6834.1525000000001</v>
      </c>
      <c r="J473" s="112"/>
      <c r="K473" s="350"/>
      <c r="L473" s="351"/>
      <c r="S473" s="41"/>
      <c r="T473" s="41"/>
    </row>
    <row r="474" spans="1:20" s="40" customFormat="1" ht="13.5" customHeight="1">
      <c r="A474" s="358" t="s">
        <v>234</v>
      </c>
      <c r="B474" s="356" t="s">
        <v>91</v>
      </c>
      <c r="C474" s="357"/>
      <c r="D474" s="272"/>
      <c r="E474" s="139">
        <v>31.3</v>
      </c>
      <c r="F474" s="139">
        <f t="shared" si="115"/>
        <v>31.3</v>
      </c>
      <c r="G474" s="139" t="s">
        <v>58</v>
      </c>
      <c r="H474" s="139">
        <f t="shared" si="110"/>
        <v>15074.147499999999</v>
      </c>
      <c r="I474" s="139">
        <f t="shared" si="111"/>
        <v>6802.8525000000009</v>
      </c>
      <c r="J474" s="140"/>
      <c r="K474" s="350"/>
      <c r="L474" s="351"/>
      <c r="S474" s="41"/>
      <c r="T474" s="41"/>
    </row>
    <row r="475" spans="1:20" s="40" customFormat="1" ht="13.5" customHeight="1">
      <c r="A475" s="359"/>
      <c r="B475" s="356" t="s">
        <v>91</v>
      </c>
      <c r="C475" s="357"/>
      <c r="D475" s="119"/>
      <c r="E475" s="114">
        <v>31.66</v>
      </c>
      <c r="F475" s="114">
        <f t="shared" si="115"/>
        <v>31.66</v>
      </c>
      <c r="G475" s="114" t="s">
        <v>58</v>
      </c>
      <c r="H475" s="114">
        <f t="shared" si="110"/>
        <v>15105.807499999999</v>
      </c>
      <c r="I475" s="114">
        <f t="shared" si="111"/>
        <v>6771.192500000001</v>
      </c>
      <c r="J475" s="115"/>
      <c r="K475" s="350"/>
      <c r="L475" s="351"/>
      <c r="S475" s="41"/>
      <c r="T475" s="41"/>
    </row>
    <row r="476" spans="1:20" s="40" customFormat="1" ht="13.5" customHeight="1">
      <c r="A476" s="359"/>
      <c r="B476" s="356" t="s">
        <v>91</v>
      </c>
      <c r="C476" s="357"/>
      <c r="D476" s="119"/>
      <c r="E476" s="114">
        <v>31.69</v>
      </c>
      <c r="F476" s="114">
        <f t="shared" si="115"/>
        <v>31.69</v>
      </c>
      <c r="G476" s="114" t="s">
        <v>58</v>
      </c>
      <c r="H476" s="114">
        <f t="shared" si="110"/>
        <v>15137.497499999999</v>
      </c>
      <c r="I476" s="114">
        <f t="shared" si="111"/>
        <v>6739.5025000000005</v>
      </c>
      <c r="J476" s="115"/>
      <c r="K476" s="350"/>
      <c r="L476" s="351"/>
      <c r="S476" s="41"/>
      <c r="T476" s="41"/>
    </row>
    <row r="477" spans="1:20" s="40" customFormat="1" ht="13.5" customHeight="1">
      <c r="A477" s="360"/>
      <c r="B477" s="356" t="s">
        <v>91</v>
      </c>
      <c r="C477" s="357"/>
      <c r="D477" s="119"/>
      <c r="E477" s="114">
        <v>31.57</v>
      </c>
      <c r="F477" s="114">
        <f t="shared" si="115"/>
        <v>31.57</v>
      </c>
      <c r="G477" s="114" t="s">
        <v>58</v>
      </c>
      <c r="H477" s="114">
        <f t="shared" si="110"/>
        <v>15169.067499999999</v>
      </c>
      <c r="I477" s="114">
        <f t="shared" si="111"/>
        <v>6707.9325000000008</v>
      </c>
      <c r="J477" s="115"/>
      <c r="K477" s="350"/>
      <c r="L477" s="351"/>
      <c r="S477" s="41"/>
      <c r="T477" s="41"/>
    </row>
    <row r="478" spans="1:20" s="40" customFormat="1" ht="13.5" customHeight="1">
      <c r="A478" s="358" t="s">
        <v>235</v>
      </c>
      <c r="B478" s="352" t="s">
        <v>91</v>
      </c>
      <c r="C478" s="353"/>
      <c r="D478" s="279"/>
      <c r="E478" s="111">
        <v>31.6</v>
      </c>
      <c r="F478" s="111">
        <f t="shared" si="115"/>
        <v>31.6</v>
      </c>
      <c r="G478" s="111" t="s">
        <v>58</v>
      </c>
      <c r="H478" s="111">
        <f t="shared" si="110"/>
        <v>15200.6675</v>
      </c>
      <c r="I478" s="111">
        <f t="shared" si="111"/>
        <v>6676.3325000000004</v>
      </c>
      <c r="J478" s="279"/>
      <c r="K478" s="350"/>
      <c r="L478" s="351"/>
      <c r="S478" s="41"/>
      <c r="T478" s="41"/>
    </row>
    <row r="479" spans="1:20" s="40" customFormat="1" ht="13.5" customHeight="1">
      <c r="A479" s="359"/>
      <c r="B479" s="352" t="s">
        <v>91</v>
      </c>
      <c r="C479" s="353"/>
      <c r="D479" s="177"/>
      <c r="E479" s="111">
        <v>31.72</v>
      </c>
      <c r="F479" s="111">
        <f t="shared" si="115"/>
        <v>31.72</v>
      </c>
      <c r="G479" s="111" t="s">
        <v>58</v>
      </c>
      <c r="H479" s="111">
        <f t="shared" si="110"/>
        <v>15232.387499999999</v>
      </c>
      <c r="I479" s="111">
        <f t="shared" si="111"/>
        <v>6644.6125000000011</v>
      </c>
      <c r="J479" s="112"/>
      <c r="K479" s="350"/>
      <c r="L479" s="351"/>
      <c r="S479" s="41"/>
      <c r="T479" s="41"/>
    </row>
    <row r="480" spans="1:20" s="40" customFormat="1" ht="13.5" customHeight="1">
      <c r="A480" s="359"/>
      <c r="B480" s="352" t="s">
        <v>91</v>
      </c>
      <c r="C480" s="353"/>
      <c r="D480" s="177"/>
      <c r="E480" s="111">
        <v>31.68</v>
      </c>
      <c r="F480" s="111">
        <f t="shared" si="115"/>
        <v>31.68</v>
      </c>
      <c r="G480" s="111" t="s">
        <v>58</v>
      </c>
      <c r="H480" s="111">
        <f t="shared" si="110"/>
        <v>15264.067499999999</v>
      </c>
      <c r="I480" s="111">
        <f t="shared" si="111"/>
        <v>6612.9325000000008</v>
      </c>
      <c r="J480" s="112"/>
      <c r="K480" s="350"/>
      <c r="L480" s="351"/>
      <c r="S480" s="41"/>
      <c r="T480" s="41"/>
    </row>
    <row r="481" spans="1:20" s="40" customFormat="1" ht="13.5" customHeight="1">
      <c r="A481" s="360"/>
      <c r="B481" s="352" t="s">
        <v>91</v>
      </c>
      <c r="C481" s="353"/>
      <c r="D481" s="177"/>
      <c r="E481" s="111">
        <v>31.61</v>
      </c>
      <c r="F481" s="111">
        <f t="shared" si="115"/>
        <v>31.61</v>
      </c>
      <c r="G481" s="111" t="s">
        <v>58</v>
      </c>
      <c r="H481" s="111">
        <f t="shared" si="110"/>
        <v>15295.6775</v>
      </c>
      <c r="I481" s="111">
        <f t="shared" si="111"/>
        <v>6581.3225000000002</v>
      </c>
      <c r="J481" s="112"/>
      <c r="K481" s="350"/>
      <c r="L481" s="351"/>
      <c r="S481" s="41"/>
      <c r="T481" s="41"/>
    </row>
    <row r="482" spans="1:20" s="40" customFormat="1" ht="13.5" customHeight="1">
      <c r="A482" s="358" t="s">
        <v>236</v>
      </c>
      <c r="B482" s="356" t="s">
        <v>91</v>
      </c>
      <c r="C482" s="357"/>
      <c r="D482" s="272"/>
      <c r="E482" s="139">
        <v>31.63</v>
      </c>
      <c r="F482" s="139">
        <f t="shared" si="115"/>
        <v>31.63</v>
      </c>
      <c r="G482" s="139" t="s">
        <v>58</v>
      </c>
      <c r="H482" s="139">
        <f t="shared" si="110"/>
        <v>15327.307499999999</v>
      </c>
      <c r="I482" s="139">
        <f t="shared" si="111"/>
        <v>6549.692500000001</v>
      </c>
      <c r="J482" s="140"/>
      <c r="K482" s="350"/>
      <c r="L482" s="351"/>
      <c r="S482" s="41"/>
      <c r="T482" s="41"/>
    </row>
    <row r="483" spans="1:20" s="40" customFormat="1" ht="13.5" customHeight="1">
      <c r="A483" s="359"/>
      <c r="B483" s="356" t="s">
        <v>91</v>
      </c>
      <c r="C483" s="357"/>
      <c r="D483" s="119"/>
      <c r="E483" s="114">
        <v>31.6</v>
      </c>
      <c r="F483" s="114">
        <f t="shared" si="115"/>
        <v>31.6</v>
      </c>
      <c r="G483" s="114" t="s">
        <v>58</v>
      </c>
      <c r="H483" s="114">
        <f t="shared" si="110"/>
        <v>15358.907499999999</v>
      </c>
      <c r="I483" s="114">
        <f t="shared" si="111"/>
        <v>6518.0925000000007</v>
      </c>
      <c r="J483" s="115"/>
      <c r="K483" s="350"/>
      <c r="L483" s="351"/>
      <c r="S483" s="41"/>
      <c r="T483" s="41"/>
    </row>
    <row r="484" spans="1:20" s="40" customFormat="1" ht="13.5" customHeight="1">
      <c r="A484" s="359"/>
      <c r="B484" s="356" t="s">
        <v>91</v>
      </c>
      <c r="C484" s="357"/>
      <c r="D484" s="119"/>
      <c r="E484" s="114">
        <v>31.72</v>
      </c>
      <c r="F484" s="114">
        <f t="shared" si="115"/>
        <v>31.72</v>
      </c>
      <c r="G484" s="114" t="s">
        <v>58</v>
      </c>
      <c r="H484" s="114">
        <f t="shared" si="110"/>
        <v>15390.627499999999</v>
      </c>
      <c r="I484" s="114">
        <f t="shared" si="111"/>
        <v>6486.3725000000013</v>
      </c>
      <c r="J484" s="115"/>
      <c r="K484" s="350"/>
      <c r="L484" s="351"/>
      <c r="S484" s="41"/>
      <c r="T484" s="41"/>
    </row>
    <row r="485" spans="1:20" s="40" customFormat="1" ht="13.5" customHeight="1">
      <c r="A485" s="360"/>
      <c r="B485" s="356" t="s">
        <v>91</v>
      </c>
      <c r="C485" s="357"/>
      <c r="D485" s="119"/>
      <c r="E485" s="114">
        <v>31.58</v>
      </c>
      <c r="F485" s="114">
        <f t="shared" si="115"/>
        <v>31.58</v>
      </c>
      <c r="G485" s="114" t="s">
        <v>58</v>
      </c>
      <c r="H485" s="114">
        <f t="shared" si="110"/>
        <v>15422.207499999999</v>
      </c>
      <c r="I485" s="114">
        <f t="shared" si="111"/>
        <v>6454.7925000000014</v>
      </c>
      <c r="J485" s="115"/>
      <c r="K485" s="350"/>
      <c r="L485" s="351"/>
      <c r="S485" s="41"/>
      <c r="T485" s="41"/>
    </row>
    <row r="486" spans="1:20" s="40" customFormat="1" ht="13.5" customHeight="1">
      <c r="A486" s="358" t="s">
        <v>237</v>
      </c>
      <c r="B486" s="352" t="s">
        <v>91</v>
      </c>
      <c r="C486" s="353"/>
      <c r="D486" s="279"/>
      <c r="E486" s="111">
        <v>31.67</v>
      </c>
      <c r="F486" s="111">
        <f t="shared" si="115"/>
        <v>31.67</v>
      </c>
      <c r="G486" s="111" t="s">
        <v>58</v>
      </c>
      <c r="H486" s="111">
        <f t="shared" si="110"/>
        <v>15453.877499999999</v>
      </c>
      <c r="I486" s="111">
        <f t="shared" si="111"/>
        <v>6423.1225000000013</v>
      </c>
      <c r="J486" s="279"/>
      <c r="K486" s="350"/>
      <c r="L486" s="351"/>
      <c r="S486" s="41"/>
      <c r="T486" s="41"/>
    </row>
    <row r="487" spans="1:20" s="40" customFormat="1" ht="13.5" customHeight="1">
      <c r="A487" s="359"/>
      <c r="B487" s="352" t="s">
        <v>91</v>
      </c>
      <c r="C487" s="353"/>
      <c r="D487" s="177"/>
      <c r="E487" s="111">
        <v>31.75</v>
      </c>
      <c r="F487" s="111">
        <f t="shared" si="115"/>
        <v>31.75</v>
      </c>
      <c r="G487" s="111" t="s">
        <v>58</v>
      </c>
      <c r="H487" s="111">
        <f t="shared" si="110"/>
        <v>15485.627499999999</v>
      </c>
      <c r="I487" s="111">
        <f t="shared" si="111"/>
        <v>6391.3725000000013</v>
      </c>
      <c r="J487" s="112"/>
      <c r="K487" s="350"/>
      <c r="L487" s="351"/>
      <c r="S487" s="41"/>
      <c r="T487" s="41"/>
    </row>
    <row r="488" spans="1:20" s="40" customFormat="1" ht="13.5" customHeight="1">
      <c r="A488" s="359"/>
      <c r="B488" s="352" t="s">
        <v>91</v>
      </c>
      <c r="C488" s="353"/>
      <c r="D488" s="177"/>
      <c r="E488" s="111">
        <v>31.65</v>
      </c>
      <c r="F488" s="111">
        <f t="shared" si="115"/>
        <v>31.65</v>
      </c>
      <c r="G488" s="111" t="s">
        <v>58</v>
      </c>
      <c r="H488" s="111">
        <f t="shared" si="110"/>
        <v>15517.277499999998</v>
      </c>
      <c r="I488" s="111">
        <f t="shared" si="111"/>
        <v>6359.7225000000017</v>
      </c>
      <c r="J488" s="112"/>
      <c r="K488" s="350"/>
      <c r="L488" s="351"/>
      <c r="S488" s="41"/>
      <c r="T488" s="41"/>
    </row>
    <row r="489" spans="1:20" s="40" customFormat="1" ht="13.5" customHeight="1">
      <c r="A489" s="360"/>
      <c r="B489" s="352" t="s">
        <v>91</v>
      </c>
      <c r="C489" s="353"/>
      <c r="D489" s="177"/>
      <c r="E489" s="111">
        <v>31.66</v>
      </c>
      <c r="F489" s="111">
        <f t="shared" si="115"/>
        <v>31.66</v>
      </c>
      <c r="G489" s="111" t="s">
        <v>58</v>
      </c>
      <c r="H489" s="111">
        <f t="shared" si="110"/>
        <v>15548.937499999998</v>
      </c>
      <c r="I489" s="111">
        <f t="shared" si="111"/>
        <v>6328.0625000000018</v>
      </c>
      <c r="J489" s="112"/>
      <c r="K489" s="350"/>
      <c r="L489" s="351"/>
      <c r="S489" s="41"/>
      <c r="T489" s="41"/>
    </row>
    <row r="490" spans="1:20" s="40" customFormat="1" ht="13.5" customHeight="1">
      <c r="A490" s="358" t="s">
        <v>238</v>
      </c>
      <c r="B490" s="356" t="s">
        <v>91</v>
      </c>
      <c r="C490" s="357"/>
      <c r="D490" s="272"/>
      <c r="E490" s="139">
        <v>31.71</v>
      </c>
      <c r="F490" s="139">
        <f t="shared" si="115"/>
        <v>31.71</v>
      </c>
      <c r="G490" s="139" t="s">
        <v>58</v>
      </c>
      <c r="H490" s="139">
        <f t="shared" si="110"/>
        <v>15580.647499999997</v>
      </c>
      <c r="I490" s="139">
        <f t="shared" si="111"/>
        <v>6296.3525000000027</v>
      </c>
      <c r="J490" s="140"/>
      <c r="K490" s="350"/>
      <c r="L490" s="351"/>
      <c r="S490" s="41"/>
      <c r="T490" s="41"/>
    </row>
    <row r="491" spans="1:20" s="40" customFormat="1" ht="13.5" customHeight="1">
      <c r="A491" s="359"/>
      <c r="B491" s="356" t="s">
        <v>91</v>
      </c>
      <c r="C491" s="357"/>
      <c r="D491" s="119"/>
      <c r="E491" s="114">
        <v>31.68</v>
      </c>
      <c r="F491" s="114">
        <f t="shared" si="115"/>
        <v>31.68</v>
      </c>
      <c r="G491" s="114" t="s">
        <v>58</v>
      </c>
      <c r="H491" s="114">
        <f t="shared" si="110"/>
        <v>15612.327499999998</v>
      </c>
      <c r="I491" s="114">
        <f t="shared" si="111"/>
        <v>6264.6725000000024</v>
      </c>
      <c r="J491" s="115"/>
      <c r="K491" s="350"/>
      <c r="L491" s="351"/>
      <c r="S491" s="41"/>
      <c r="T491" s="41"/>
    </row>
    <row r="492" spans="1:20" s="40" customFormat="1" ht="13.5" customHeight="1">
      <c r="A492" s="359"/>
      <c r="B492" s="356" t="s">
        <v>91</v>
      </c>
      <c r="C492" s="357"/>
      <c r="D492" s="119"/>
      <c r="E492" s="114">
        <v>31.71</v>
      </c>
      <c r="F492" s="114">
        <f t="shared" si="115"/>
        <v>31.71</v>
      </c>
      <c r="G492" s="114" t="s">
        <v>58</v>
      </c>
      <c r="H492" s="114">
        <f t="shared" si="110"/>
        <v>15644.037499999997</v>
      </c>
      <c r="I492" s="114">
        <f t="shared" si="111"/>
        <v>6232.9625000000033</v>
      </c>
      <c r="J492" s="115"/>
      <c r="K492" s="350"/>
      <c r="L492" s="351"/>
      <c r="S492" s="41"/>
      <c r="T492" s="41"/>
    </row>
    <row r="493" spans="1:20" s="40" customFormat="1" ht="13.5" customHeight="1">
      <c r="A493" s="360"/>
      <c r="B493" s="356" t="s">
        <v>91</v>
      </c>
      <c r="C493" s="357"/>
      <c r="D493" s="119"/>
      <c r="E493" s="114">
        <v>31.63</v>
      </c>
      <c r="F493" s="114">
        <f t="shared" si="115"/>
        <v>31.63</v>
      </c>
      <c r="G493" s="114" t="s">
        <v>58</v>
      </c>
      <c r="H493" s="114">
        <f t="shared" si="110"/>
        <v>15675.667499999996</v>
      </c>
      <c r="I493" s="114">
        <f t="shared" si="111"/>
        <v>6201.3325000000041</v>
      </c>
      <c r="J493" s="115"/>
      <c r="K493" s="350"/>
      <c r="L493" s="351"/>
      <c r="S493" s="41"/>
      <c r="T493" s="41"/>
    </row>
    <row r="494" spans="1:20" s="40" customFormat="1" ht="13.5" customHeight="1">
      <c r="A494" s="358" t="s">
        <v>239</v>
      </c>
      <c r="B494" s="352" t="s">
        <v>91</v>
      </c>
      <c r="C494" s="353"/>
      <c r="D494" s="279"/>
      <c r="E494" s="111">
        <v>31.62</v>
      </c>
      <c r="F494" s="111">
        <f t="shared" si="115"/>
        <v>31.62</v>
      </c>
      <c r="G494" s="111" t="s">
        <v>58</v>
      </c>
      <c r="H494" s="111">
        <f t="shared" si="110"/>
        <v>15707.287499999997</v>
      </c>
      <c r="I494" s="111">
        <f t="shared" si="111"/>
        <v>6169.7125000000033</v>
      </c>
      <c r="J494" s="279"/>
      <c r="K494" s="350"/>
      <c r="L494" s="351"/>
      <c r="S494" s="41"/>
      <c r="T494" s="41"/>
    </row>
    <row r="495" spans="1:20" s="40" customFormat="1" ht="13.5" customHeight="1">
      <c r="A495" s="359"/>
      <c r="B495" s="352" t="s">
        <v>91</v>
      </c>
      <c r="C495" s="353"/>
      <c r="D495" s="177"/>
      <c r="E495" s="111">
        <v>31.7</v>
      </c>
      <c r="F495" s="111">
        <f t="shared" si="115"/>
        <v>31.7</v>
      </c>
      <c r="G495" s="111" t="s">
        <v>58</v>
      </c>
      <c r="H495" s="111">
        <f t="shared" ref="H495:H558" si="116">IF(G495="IN",H494+F495,H494)</f>
        <v>15738.987499999997</v>
      </c>
      <c r="I495" s="111">
        <f t="shared" ref="I495:I558" si="117">IF(H495="","",$K$8-H495)</f>
        <v>6138.0125000000025</v>
      </c>
      <c r="J495" s="112"/>
      <c r="K495" s="350"/>
      <c r="L495" s="351"/>
      <c r="S495" s="41"/>
      <c r="T495" s="41"/>
    </row>
    <row r="496" spans="1:20" s="40" customFormat="1" ht="13.5" customHeight="1">
      <c r="A496" s="359"/>
      <c r="B496" s="352" t="s">
        <v>91</v>
      </c>
      <c r="C496" s="353"/>
      <c r="D496" s="177"/>
      <c r="E496" s="111">
        <v>31.69</v>
      </c>
      <c r="F496" s="111">
        <f t="shared" si="115"/>
        <v>31.69</v>
      </c>
      <c r="G496" s="111" t="s">
        <v>58</v>
      </c>
      <c r="H496" s="111">
        <f t="shared" si="116"/>
        <v>15770.677499999998</v>
      </c>
      <c r="I496" s="111">
        <f t="shared" si="117"/>
        <v>6106.322500000002</v>
      </c>
      <c r="J496" s="112"/>
      <c r="K496" s="350"/>
      <c r="L496" s="351"/>
      <c r="S496" s="41"/>
      <c r="T496" s="41"/>
    </row>
    <row r="497" spans="1:20" s="40" customFormat="1" ht="13.5" customHeight="1">
      <c r="A497" s="360"/>
      <c r="B497" s="352" t="s">
        <v>91</v>
      </c>
      <c r="C497" s="353"/>
      <c r="D497" s="177"/>
      <c r="E497" s="111">
        <v>31.64</v>
      </c>
      <c r="F497" s="111">
        <f t="shared" si="115"/>
        <v>31.64</v>
      </c>
      <c r="G497" s="111" t="s">
        <v>58</v>
      </c>
      <c r="H497" s="111">
        <f t="shared" si="116"/>
        <v>15802.317499999997</v>
      </c>
      <c r="I497" s="111">
        <f t="shared" si="117"/>
        <v>6074.6825000000026</v>
      </c>
      <c r="J497" s="112"/>
      <c r="K497" s="350"/>
      <c r="L497" s="351"/>
      <c r="S497" s="41"/>
      <c r="T497" s="41"/>
    </row>
    <row r="498" spans="1:20" s="40" customFormat="1" ht="13.5" customHeight="1">
      <c r="A498" s="358" t="s">
        <v>240</v>
      </c>
      <c r="B498" s="356" t="s">
        <v>91</v>
      </c>
      <c r="C498" s="357"/>
      <c r="D498" s="272"/>
      <c r="E498" s="139">
        <v>31.64</v>
      </c>
      <c r="F498" s="139">
        <f t="shared" si="115"/>
        <v>31.64</v>
      </c>
      <c r="G498" s="139" t="s">
        <v>58</v>
      </c>
      <c r="H498" s="139">
        <f t="shared" si="116"/>
        <v>15833.957499999997</v>
      </c>
      <c r="I498" s="139">
        <f t="shared" si="117"/>
        <v>6043.0425000000032</v>
      </c>
      <c r="J498" s="140"/>
      <c r="K498" s="350"/>
      <c r="L498" s="351"/>
      <c r="S498" s="41"/>
      <c r="T498" s="41"/>
    </row>
    <row r="499" spans="1:20" s="40" customFormat="1" ht="13.5" customHeight="1">
      <c r="A499" s="359"/>
      <c r="B499" s="356" t="s">
        <v>91</v>
      </c>
      <c r="C499" s="357"/>
      <c r="D499" s="119"/>
      <c r="E499" s="114">
        <v>31.69</v>
      </c>
      <c r="F499" s="114">
        <f t="shared" si="115"/>
        <v>31.69</v>
      </c>
      <c r="G499" s="114" t="s">
        <v>58</v>
      </c>
      <c r="H499" s="114">
        <f t="shared" si="116"/>
        <v>15865.647499999997</v>
      </c>
      <c r="I499" s="114">
        <f t="shared" si="117"/>
        <v>6011.3525000000027</v>
      </c>
      <c r="J499" s="115"/>
      <c r="K499" s="350"/>
      <c r="L499" s="351"/>
      <c r="S499" s="41"/>
      <c r="T499" s="41"/>
    </row>
    <row r="500" spans="1:20" s="40" customFormat="1" ht="13.5" customHeight="1">
      <c r="A500" s="359"/>
      <c r="B500" s="356" t="s">
        <v>91</v>
      </c>
      <c r="C500" s="357"/>
      <c r="D500" s="119"/>
      <c r="E500" s="114">
        <v>31.62</v>
      </c>
      <c r="F500" s="114">
        <f t="shared" si="115"/>
        <v>31.62</v>
      </c>
      <c r="G500" s="114" t="s">
        <v>58</v>
      </c>
      <c r="H500" s="114">
        <f t="shared" si="116"/>
        <v>15897.267499999998</v>
      </c>
      <c r="I500" s="114">
        <f t="shared" si="117"/>
        <v>5979.7325000000019</v>
      </c>
      <c r="J500" s="115"/>
      <c r="K500" s="350"/>
      <c r="L500" s="351"/>
      <c r="S500" s="41"/>
      <c r="T500" s="41"/>
    </row>
    <row r="501" spans="1:20" s="40" customFormat="1" ht="13.5" customHeight="1">
      <c r="A501" s="360"/>
      <c r="B501" s="356" t="s">
        <v>91</v>
      </c>
      <c r="C501" s="357"/>
      <c r="D501" s="119"/>
      <c r="E501" s="114">
        <v>31.66</v>
      </c>
      <c r="F501" s="114">
        <f t="shared" si="115"/>
        <v>31.66</v>
      </c>
      <c r="G501" s="114" t="s">
        <v>58</v>
      </c>
      <c r="H501" s="114">
        <f t="shared" si="116"/>
        <v>15928.927499999998</v>
      </c>
      <c r="I501" s="114">
        <f t="shared" si="117"/>
        <v>5948.072500000002</v>
      </c>
      <c r="J501" s="115"/>
      <c r="K501" s="350"/>
      <c r="L501" s="351"/>
      <c r="S501" s="41"/>
      <c r="T501" s="41"/>
    </row>
    <row r="502" spans="1:20" s="40" customFormat="1" ht="13.5" customHeight="1">
      <c r="A502" s="358" t="s">
        <v>241</v>
      </c>
      <c r="B502" s="352" t="s">
        <v>91</v>
      </c>
      <c r="C502" s="353"/>
      <c r="D502" s="279"/>
      <c r="E502" s="111">
        <v>31.67</v>
      </c>
      <c r="F502" s="111">
        <f t="shared" si="115"/>
        <v>31.67</v>
      </c>
      <c r="G502" s="111" t="s">
        <v>58</v>
      </c>
      <c r="H502" s="111">
        <f t="shared" si="116"/>
        <v>15960.597499999998</v>
      </c>
      <c r="I502" s="111">
        <f t="shared" si="117"/>
        <v>5916.402500000002</v>
      </c>
      <c r="J502" s="279"/>
      <c r="K502" s="350"/>
      <c r="L502" s="351"/>
      <c r="S502" s="41"/>
      <c r="T502" s="41"/>
    </row>
    <row r="503" spans="1:20" s="40" customFormat="1" ht="13.5" customHeight="1">
      <c r="A503" s="359"/>
      <c r="B503" s="352" t="s">
        <v>91</v>
      </c>
      <c r="C503" s="353"/>
      <c r="D503" s="177"/>
      <c r="E503" s="111">
        <v>31.72</v>
      </c>
      <c r="F503" s="111">
        <f t="shared" si="115"/>
        <v>31.72</v>
      </c>
      <c r="G503" s="111" t="s">
        <v>58</v>
      </c>
      <c r="H503" s="111">
        <f t="shared" si="116"/>
        <v>15992.317499999997</v>
      </c>
      <c r="I503" s="111">
        <f t="shared" si="117"/>
        <v>5884.6825000000026</v>
      </c>
      <c r="J503" s="112"/>
      <c r="K503" s="350"/>
      <c r="L503" s="351"/>
      <c r="S503" s="41"/>
      <c r="T503" s="41"/>
    </row>
    <row r="504" spans="1:20" s="40" customFormat="1" ht="13.5" customHeight="1">
      <c r="A504" s="359"/>
      <c r="B504" s="352" t="s">
        <v>91</v>
      </c>
      <c r="C504" s="353"/>
      <c r="D504" s="177"/>
      <c r="E504" s="111">
        <v>31.63</v>
      </c>
      <c r="F504" s="111">
        <f t="shared" si="115"/>
        <v>31.63</v>
      </c>
      <c r="G504" s="111" t="s">
        <v>58</v>
      </c>
      <c r="H504" s="111">
        <f t="shared" si="116"/>
        <v>16023.947499999997</v>
      </c>
      <c r="I504" s="111">
        <f t="shared" si="117"/>
        <v>5853.0525000000034</v>
      </c>
      <c r="J504" s="112"/>
      <c r="K504" s="350"/>
      <c r="L504" s="351"/>
      <c r="S504" s="41"/>
      <c r="T504" s="41"/>
    </row>
    <row r="505" spans="1:20" s="40" customFormat="1" ht="13.5" customHeight="1">
      <c r="A505" s="360"/>
      <c r="B505" s="352" t="s">
        <v>91</v>
      </c>
      <c r="C505" s="353"/>
      <c r="D505" s="177"/>
      <c r="E505" s="111">
        <v>31.62</v>
      </c>
      <c r="F505" s="111">
        <f t="shared" si="115"/>
        <v>31.62</v>
      </c>
      <c r="G505" s="111" t="s">
        <v>58</v>
      </c>
      <c r="H505" s="111">
        <f t="shared" si="116"/>
        <v>16055.567499999997</v>
      </c>
      <c r="I505" s="111">
        <f t="shared" si="117"/>
        <v>5821.4325000000026</v>
      </c>
      <c r="J505" s="112"/>
      <c r="K505" s="350"/>
      <c r="L505" s="351"/>
      <c r="S505" s="41"/>
      <c r="T505" s="41"/>
    </row>
    <row r="506" spans="1:20" s="40" customFormat="1" ht="13.5" customHeight="1">
      <c r="A506" s="358" t="s">
        <v>242</v>
      </c>
      <c r="B506" s="356" t="s">
        <v>91</v>
      </c>
      <c r="C506" s="357"/>
      <c r="D506" s="272"/>
      <c r="E506" s="139">
        <v>31.67</v>
      </c>
      <c r="F506" s="139">
        <f t="shared" si="115"/>
        <v>31.67</v>
      </c>
      <c r="G506" s="139" t="s">
        <v>58</v>
      </c>
      <c r="H506" s="139">
        <f t="shared" si="116"/>
        <v>16087.237499999997</v>
      </c>
      <c r="I506" s="139">
        <f t="shared" si="117"/>
        <v>5789.7625000000025</v>
      </c>
      <c r="J506" s="140"/>
      <c r="K506" s="350"/>
      <c r="L506" s="351"/>
      <c r="S506" s="41"/>
      <c r="T506" s="41"/>
    </row>
    <row r="507" spans="1:20" s="40" customFormat="1" ht="13.5" customHeight="1">
      <c r="A507" s="359"/>
      <c r="B507" s="356" t="s">
        <v>91</v>
      </c>
      <c r="C507" s="357"/>
      <c r="D507" s="119"/>
      <c r="E507" s="114">
        <v>31.69</v>
      </c>
      <c r="F507" s="114">
        <f t="shared" si="115"/>
        <v>31.69</v>
      </c>
      <c r="G507" s="114" t="s">
        <v>58</v>
      </c>
      <c r="H507" s="114">
        <f t="shared" si="116"/>
        <v>16118.927499999998</v>
      </c>
      <c r="I507" s="114">
        <f t="shared" si="117"/>
        <v>5758.072500000002</v>
      </c>
      <c r="J507" s="115"/>
      <c r="K507" s="350"/>
      <c r="L507" s="351"/>
      <c r="S507" s="41"/>
      <c r="T507" s="41"/>
    </row>
    <row r="508" spans="1:20" s="40" customFormat="1" ht="13.5" customHeight="1">
      <c r="A508" s="359"/>
      <c r="B508" s="356" t="s">
        <v>91</v>
      </c>
      <c r="C508" s="357"/>
      <c r="D508" s="119"/>
      <c r="E508" s="114">
        <v>31.67</v>
      </c>
      <c r="F508" s="114">
        <f t="shared" si="115"/>
        <v>31.67</v>
      </c>
      <c r="G508" s="114" t="s">
        <v>58</v>
      </c>
      <c r="H508" s="114">
        <f t="shared" si="116"/>
        <v>16150.597499999998</v>
      </c>
      <c r="I508" s="114">
        <f t="shared" si="117"/>
        <v>5726.402500000002</v>
      </c>
      <c r="J508" s="115"/>
      <c r="K508" s="350"/>
      <c r="L508" s="351"/>
      <c r="S508" s="41"/>
      <c r="T508" s="41"/>
    </row>
    <row r="509" spans="1:20" s="40" customFormat="1" ht="13.5" customHeight="1">
      <c r="A509" s="360"/>
      <c r="B509" s="356" t="s">
        <v>91</v>
      </c>
      <c r="C509" s="357"/>
      <c r="D509" s="119"/>
      <c r="E509" s="114">
        <v>31.66</v>
      </c>
      <c r="F509" s="114">
        <f t="shared" si="115"/>
        <v>31.66</v>
      </c>
      <c r="G509" s="114" t="s">
        <v>58</v>
      </c>
      <c r="H509" s="114">
        <f t="shared" si="116"/>
        <v>16182.257499999998</v>
      </c>
      <c r="I509" s="114">
        <f t="shared" si="117"/>
        <v>5694.7425000000021</v>
      </c>
      <c r="J509" s="115"/>
      <c r="K509" s="350"/>
      <c r="L509" s="351"/>
      <c r="S509" s="41"/>
      <c r="T509" s="41"/>
    </row>
    <row r="510" spans="1:20" s="40" customFormat="1" ht="13.5" customHeight="1">
      <c r="A510" s="358" t="s">
        <v>243</v>
      </c>
      <c r="B510" s="352" t="s">
        <v>91</v>
      </c>
      <c r="C510" s="353"/>
      <c r="D510" s="279"/>
      <c r="E510" s="111">
        <v>31.49</v>
      </c>
      <c r="F510" s="111">
        <f t="shared" si="115"/>
        <v>31.49</v>
      </c>
      <c r="G510" s="111" t="s">
        <v>58</v>
      </c>
      <c r="H510" s="111">
        <f t="shared" si="116"/>
        <v>16213.747499999998</v>
      </c>
      <c r="I510" s="111">
        <f t="shared" si="117"/>
        <v>5663.2525000000023</v>
      </c>
      <c r="J510" s="279"/>
      <c r="K510" s="350"/>
      <c r="L510" s="351"/>
      <c r="S510" s="41"/>
      <c r="T510" s="41"/>
    </row>
    <row r="511" spans="1:20" s="40" customFormat="1" ht="13.5" customHeight="1">
      <c r="A511" s="359"/>
      <c r="B511" s="352" t="s">
        <v>91</v>
      </c>
      <c r="C511" s="353"/>
      <c r="D511" s="177"/>
      <c r="E511" s="111">
        <v>31.58</v>
      </c>
      <c r="F511" s="111">
        <f t="shared" si="115"/>
        <v>31.58</v>
      </c>
      <c r="G511" s="111" t="s">
        <v>58</v>
      </c>
      <c r="H511" s="111">
        <f t="shared" si="116"/>
        <v>16245.327499999998</v>
      </c>
      <c r="I511" s="111">
        <f t="shared" si="117"/>
        <v>5631.6725000000024</v>
      </c>
      <c r="J511" s="112"/>
      <c r="K511" s="350"/>
      <c r="L511" s="351"/>
      <c r="S511" s="41"/>
      <c r="T511" s="41"/>
    </row>
    <row r="512" spans="1:20" s="40" customFormat="1" ht="13.5" customHeight="1">
      <c r="A512" s="359"/>
      <c r="B512" s="352" t="s">
        <v>91</v>
      </c>
      <c r="C512" s="353"/>
      <c r="D512" s="177"/>
      <c r="E512" s="111">
        <v>31.53</v>
      </c>
      <c r="F512" s="111">
        <f t="shared" si="115"/>
        <v>31.53</v>
      </c>
      <c r="G512" s="111" t="s">
        <v>58</v>
      </c>
      <c r="H512" s="111">
        <f t="shared" si="116"/>
        <v>16276.857499999998</v>
      </c>
      <c r="I512" s="111">
        <f t="shared" si="117"/>
        <v>5600.1425000000017</v>
      </c>
      <c r="J512" s="112"/>
      <c r="K512" s="350"/>
      <c r="L512" s="351"/>
      <c r="S512" s="41"/>
      <c r="T512" s="41"/>
    </row>
    <row r="513" spans="1:20" s="40" customFormat="1" ht="13.5" customHeight="1">
      <c r="A513" s="360"/>
      <c r="B513" s="352" t="s">
        <v>91</v>
      </c>
      <c r="C513" s="353"/>
      <c r="D513" s="177"/>
      <c r="E513" s="111">
        <v>31.69</v>
      </c>
      <c r="F513" s="111">
        <f t="shared" si="115"/>
        <v>31.69</v>
      </c>
      <c r="G513" s="111" t="s">
        <v>58</v>
      </c>
      <c r="H513" s="111">
        <f t="shared" si="116"/>
        <v>16308.547499999999</v>
      </c>
      <c r="I513" s="111">
        <f t="shared" si="117"/>
        <v>5568.4525000000012</v>
      </c>
      <c r="J513" s="112"/>
      <c r="K513" s="350"/>
      <c r="L513" s="351"/>
      <c r="S513" s="41"/>
      <c r="T513" s="41"/>
    </row>
    <row r="514" spans="1:20" s="40" customFormat="1" ht="13.5" customHeight="1">
      <c r="A514" s="358" t="s">
        <v>244</v>
      </c>
      <c r="B514" s="356" t="s">
        <v>91</v>
      </c>
      <c r="C514" s="357"/>
      <c r="D514" s="272"/>
      <c r="E514" s="139">
        <v>31.68</v>
      </c>
      <c r="F514" s="139">
        <f t="shared" si="115"/>
        <v>31.68</v>
      </c>
      <c r="G514" s="139" t="s">
        <v>58</v>
      </c>
      <c r="H514" s="139">
        <f t="shared" si="116"/>
        <v>16340.227499999999</v>
      </c>
      <c r="I514" s="139">
        <f t="shared" si="117"/>
        <v>5536.7725000000009</v>
      </c>
      <c r="J514" s="140"/>
      <c r="K514" s="350"/>
      <c r="L514" s="351"/>
      <c r="S514" s="41"/>
      <c r="T514" s="41"/>
    </row>
    <row r="515" spans="1:20" s="40" customFormat="1" ht="13.5" customHeight="1">
      <c r="A515" s="359"/>
      <c r="B515" s="356" t="s">
        <v>91</v>
      </c>
      <c r="C515" s="357"/>
      <c r="D515" s="119"/>
      <c r="E515" s="114">
        <v>31.67</v>
      </c>
      <c r="F515" s="114">
        <f t="shared" si="115"/>
        <v>31.67</v>
      </c>
      <c r="G515" s="114" t="s">
        <v>58</v>
      </c>
      <c r="H515" s="114">
        <f t="shared" si="116"/>
        <v>16371.897499999999</v>
      </c>
      <c r="I515" s="114">
        <f t="shared" si="117"/>
        <v>5505.1025000000009</v>
      </c>
      <c r="J515" s="115"/>
      <c r="K515" s="350"/>
      <c r="L515" s="351"/>
      <c r="S515" s="41"/>
      <c r="T515" s="41"/>
    </row>
    <row r="516" spans="1:20" s="40" customFormat="1" ht="13.5" customHeight="1">
      <c r="A516" s="359"/>
      <c r="B516" s="356" t="s">
        <v>91</v>
      </c>
      <c r="C516" s="357"/>
      <c r="D516" s="119"/>
      <c r="E516" s="114">
        <v>31.71</v>
      </c>
      <c r="F516" s="114">
        <f t="shared" si="115"/>
        <v>31.71</v>
      </c>
      <c r="G516" s="114" t="s">
        <v>58</v>
      </c>
      <c r="H516" s="114">
        <f t="shared" si="116"/>
        <v>16403.607499999998</v>
      </c>
      <c r="I516" s="114">
        <f t="shared" si="117"/>
        <v>5473.3925000000017</v>
      </c>
      <c r="J516" s="115"/>
      <c r="K516" s="350"/>
      <c r="L516" s="351"/>
      <c r="S516" s="41"/>
      <c r="T516" s="41"/>
    </row>
    <row r="517" spans="1:20" s="40" customFormat="1" ht="13.5" customHeight="1">
      <c r="A517" s="360"/>
      <c r="B517" s="356" t="s">
        <v>91</v>
      </c>
      <c r="C517" s="357"/>
      <c r="D517" s="119"/>
      <c r="E517" s="114">
        <v>31.67</v>
      </c>
      <c r="F517" s="114">
        <f t="shared" si="115"/>
        <v>31.67</v>
      </c>
      <c r="G517" s="114" t="s">
        <v>58</v>
      </c>
      <c r="H517" s="114">
        <f t="shared" si="116"/>
        <v>16435.277499999997</v>
      </c>
      <c r="I517" s="114">
        <f t="shared" si="117"/>
        <v>5441.7225000000035</v>
      </c>
      <c r="J517" s="115"/>
      <c r="K517" s="350"/>
      <c r="L517" s="351"/>
      <c r="S517" s="41"/>
      <c r="T517" s="41"/>
    </row>
    <row r="518" spans="1:20" s="40" customFormat="1" ht="13.5" customHeight="1">
      <c r="A518" s="358" t="s">
        <v>245</v>
      </c>
      <c r="B518" s="352" t="s">
        <v>91</v>
      </c>
      <c r="C518" s="353"/>
      <c r="D518" s="279"/>
      <c r="E518" s="111">
        <v>31.68</v>
      </c>
      <c r="F518" s="111">
        <f t="shared" si="115"/>
        <v>31.68</v>
      </c>
      <c r="G518" s="111" t="s">
        <v>58</v>
      </c>
      <c r="H518" s="111">
        <f t="shared" si="116"/>
        <v>16466.957499999997</v>
      </c>
      <c r="I518" s="111">
        <f t="shared" si="117"/>
        <v>5410.0425000000032</v>
      </c>
      <c r="J518" s="279"/>
      <c r="K518" s="350"/>
      <c r="L518" s="351"/>
      <c r="S518" s="41"/>
      <c r="T518" s="41"/>
    </row>
    <row r="519" spans="1:20" s="40" customFormat="1" ht="13.5" customHeight="1">
      <c r="A519" s="359"/>
      <c r="B519" s="352" t="s">
        <v>91</v>
      </c>
      <c r="C519" s="353"/>
      <c r="D519" s="177"/>
      <c r="E519" s="111">
        <v>31.69</v>
      </c>
      <c r="F519" s="111">
        <f t="shared" ref="F519:F586" si="118">E519</f>
        <v>31.69</v>
      </c>
      <c r="G519" s="111" t="s">
        <v>58</v>
      </c>
      <c r="H519" s="111">
        <f t="shared" si="116"/>
        <v>16498.647499999995</v>
      </c>
      <c r="I519" s="111">
        <f t="shared" si="117"/>
        <v>5378.3525000000045</v>
      </c>
      <c r="J519" s="112"/>
      <c r="K519" s="350"/>
      <c r="L519" s="351"/>
      <c r="S519" s="41"/>
      <c r="T519" s="41"/>
    </row>
    <row r="520" spans="1:20" s="40" customFormat="1" ht="13.5" customHeight="1">
      <c r="A520" s="359"/>
      <c r="B520" s="352" t="s">
        <v>91</v>
      </c>
      <c r="C520" s="353"/>
      <c r="D520" s="177"/>
      <c r="E520" s="111">
        <v>31.65</v>
      </c>
      <c r="F520" s="111">
        <f t="shared" si="118"/>
        <v>31.65</v>
      </c>
      <c r="G520" s="111" t="s">
        <v>58</v>
      </c>
      <c r="H520" s="111">
        <f t="shared" si="116"/>
        <v>16530.297499999997</v>
      </c>
      <c r="I520" s="111">
        <f t="shared" si="117"/>
        <v>5346.7025000000031</v>
      </c>
      <c r="J520" s="112"/>
      <c r="K520" s="350"/>
      <c r="L520" s="351"/>
      <c r="S520" s="41"/>
      <c r="T520" s="41"/>
    </row>
    <row r="521" spans="1:20" s="40" customFormat="1" ht="13.5" customHeight="1">
      <c r="A521" s="360"/>
      <c r="B521" s="352" t="s">
        <v>91</v>
      </c>
      <c r="C521" s="353"/>
      <c r="D521" s="177"/>
      <c r="E521" s="111">
        <v>31.6</v>
      </c>
      <c r="F521" s="111">
        <f t="shared" si="118"/>
        <v>31.6</v>
      </c>
      <c r="G521" s="111" t="s">
        <v>58</v>
      </c>
      <c r="H521" s="111">
        <f t="shared" si="116"/>
        <v>16561.897499999995</v>
      </c>
      <c r="I521" s="111">
        <f t="shared" si="117"/>
        <v>5315.1025000000045</v>
      </c>
      <c r="J521" s="112"/>
      <c r="K521" s="350"/>
      <c r="L521" s="351"/>
      <c r="S521" s="41"/>
      <c r="T521" s="41"/>
    </row>
    <row r="522" spans="1:20" s="40" customFormat="1" ht="13.5" customHeight="1">
      <c r="A522" s="358" t="s">
        <v>246</v>
      </c>
      <c r="B522" s="356" t="s">
        <v>91</v>
      </c>
      <c r="C522" s="357"/>
      <c r="D522" s="272"/>
      <c r="E522" s="139">
        <v>31.69</v>
      </c>
      <c r="F522" s="139">
        <f t="shared" si="118"/>
        <v>31.69</v>
      </c>
      <c r="G522" s="139" t="s">
        <v>58</v>
      </c>
      <c r="H522" s="139">
        <f t="shared" si="116"/>
        <v>16593.587499999994</v>
      </c>
      <c r="I522" s="139">
        <f t="shared" si="117"/>
        <v>5283.4125000000058</v>
      </c>
      <c r="J522" s="140"/>
      <c r="K522" s="350"/>
      <c r="L522" s="351"/>
      <c r="S522" s="41"/>
      <c r="T522" s="41"/>
    </row>
    <row r="523" spans="1:20" s="40" customFormat="1" ht="13.5" customHeight="1">
      <c r="A523" s="359"/>
      <c r="B523" s="356" t="s">
        <v>91</v>
      </c>
      <c r="C523" s="357"/>
      <c r="D523" s="119"/>
      <c r="E523" s="114">
        <v>31.67</v>
      </c>
      <c r="F523" s="114">
        <f t="shared" si="118"/>
        <v>31.67</v>
      </c>
      <c r="G523" s="114" t="s">
        <v>58</v>
      </c>
      <c r="H523" s="114">
        <f t="shared" si="116"/>
        <v>16625.257499999992</v>
      </c>
      <c r="I523" s="114">
        <f t="shared" si="117"/>
        <v>5251.7425000000076</v>
      </c>
      <c r="J523" s="115"/>
      <c r="K523" s="350"/>
      <c r="L523" s="351"/>
      <c r="S523" s="41"/>
      <c r="T523" s="41"/>
    </row>
    <row r="524" spans="1:20" s="40" customFormat="1" ht="13.5" customHeight="1">
      <c r="A524" s="359"/>
      <c r="B524" s="356" t="s">
        <v>91</v>
      </c>
      <c r="C524" s="357"/>
      <c r="D524" s="119"/>
      <c r="E524" s="114">
        <v>31.65</v>
      </c>
      <c r="F524" s="114">
        <f t="shared" si="118"/>
        <v>31.65</v>
      </c>
      <c r="G524" s="114" t="s">
        <v>58</v>
      </c>
      <c r="H524" s="114">
        <f t="shared" si="116"/>
        <v>16656.907499999994</v>
      </c>
      <c r="I524" s="114">
        <f t="shared" si="117"/>
        <v>5220.0925000000061</v>
      </c>
      <c r="J524" s="115"/>
      <c r="K524" s="350"/>
      <c r="L524" s="351"/>
      <c r="S524" s="41"/>
      <c r="T524" s="41"/>
    </row>
    <row r="525" spans="1:20" s="40" customFormat="1" ht="13.5" customHeight="1">
      <c r="A525" s="360"/>
      <c r="B525" s="356" t="s">
        <v>91</v>
      </c>
      <c r="C525" s="357"/>
      <c r="D525" s="119"/>
      <c r="E525" s="114">
        <v>31.71</v>
      </c>
      <c r="F525" s="114">
        <f t="shared" si="118"/>
        <v>31.71</v>
      </c>
      <c r="G525" s="114" t="s">
        <v>58</v>
      </c>
      <c r="H525" s="114">
        <f t="shared" si="116"/>
        <v>16688.617499999993</v>
      </c>
      <c r="I525" s="114">
        <f t="shared" si="117"/>
        <v>5188.382500000007</v>
      </c>
      <c r="J525" s="115"/>
      <c r="K525" s="350"/>
      <c r="L525" s="351"/>
      <c r="S525" s="41"/>
      <c r="T525" s="41"/>
    </row>
    <row r="526" spans="1:20" s="40" customFormat="1" ht="13.5" customHeight="1">
      <c r="A526" s="358" t="s">
        <v>247</v>
      </c>
      <c r="B526" s="352" t="s">
        <v>91</v>
      </c>
      <c r="C526" s="353"/>
      <c r="D526" s="279"/>
      <c r="E526" s="111">
        <v>31.71</v>
      </c>
      <c r="F526" s="111">
        <f t="shared" si="118"/>
        <v>31.71</v>
      </c>
      <c r="G526" s="111" t="s">
        <v>58</v>
      </c>
      <c r="H526" s="111">
        <f t="shared" si="116"/>
        <v>16720.327499999992</v>
      </c>
      <c r="I526" s="111">
        <f t="shared" si="117"/>
        <v>5156.6725000000079</v>
      </c>
      <c r="J526" s="279"/>
      <c r="K526" s="350"/>
      <c r="L526" s="351"/>
      <c r="S526" s="41"/>
      <c r="T526" s="41"/>
    </row>
    <row r="527" spans="1:20" s="40" customFormat="1" ht="13.5" customHeight="1">
      <c r="A527" s="359"/>
      <c r="B527" s="352" t="s">
        <v>91</v>
      </c>
      <c r="C527" s="353"/>
      <c r="D527" s="177"/>
      <c r="E527" s="111">
        <v>31.61</v>
      </c>
      <c r="F527" s="111">
        <f t="shared" si="118"/>
        <v>31.61</v>
      </c>
      <c r="G527" s="111" t="s">
        <v>58</v>
      </c>
      <c r="H527" s="111">
        <f t="shared" si="116"/>
        <v>16751.937499999993</v>
      </c>
      <c r="I527" s="111">
        <f t="shared" si="117"/>
        <v>5125.0625000000073</v>
      </c>
      <c r="J527" s="112"/>
      <c r="K527" s="350"/>
      <c r="L527" s="351"/>
      <c r="S527" s="41"/>
      <c r="T527" s="41"/>
    </row>
    <row r="528" spans="1:20" s="40" customFormat="1" ht="13.5" customHeight="1">
      <c r="A528" s="359"/>
      <c r="B528" s="352" t="s">
        <v>91</v>
      </c>
      <c r="C528" s="353"/>
      <c r="D528" s="177"/>
      <c r="E528" s="111">
        <v>31.65</v>
      </c>
      <c r="F528" s="111">
        <f t="shared" si="118"/>
        <v>31.65</v>
      </c>
      <c r="G528" s="111" t="s">
        <v>58</v>
      </c>
      <c r="H528" s="111">
        <f t="shared" si="116"/>
        <v>16783.587499999994</v>
      </c>
      <c r="I528" s="111">
        <f t="shared" si="117"/>
        <v>5093.4125000000058</v>
      </c>
      <c r="J528" s="112"/>
      <c r="K528" s="350"/>
      <c r="L528" s="351"/>
      <c r="S528" s="41"/>
      <c r="T528" s="41"/>
    </row>
    <row r="529" spans="1:20" s="40" customFormat="1" ht="13.5" customHeight="1">
      <c r="A529" s="360"/>
      <c r="B529" s="352" t="s">
        <v>91</v>
      </c>
      <c r="C529" s="353"/>
      <c r="D529" s="177"/>
      <c r="E529" s="111">
        <v>31.71</v>
      </c>
      <c r="F529" s="111">
        <f t="shared" si="118"/>
        <v>31.71</v>
      </c>
      <c r="G529" s="111" t="s">
        <v>58</v>
      </c>
      <c r="H529" s="111">
        <f t="shared" si="116"/>
        <v>16815.297499999993</v>
      </c>
      <c r="I529" s="111">
        <f t="shared" si="117"/>
        <v>5061.7025000000067</v>
      </c>
      <c r="J529" s="112"/>
      <c r="K529" s="350"/>
      <c r="L529" s="351"/>
      <c r="S529" s="41"/>
      <c r="T529" s="41"/>
    </row>
    <row r="530" spans="1:20" s="40" customFormat="1" ht="13.5" customHeight="1">
      <c r="A530" s="358" t="s">
        <v>248</v>
      </c>
      <c r="B530" s="356" t="s">
        <v>91</v>
      </c>
      <c r="C530" s="357"/>
      <c r="D530" s="272"/>
      <c r="E530" s="139">
        <v>31.68</v>
      </c>
      <c r="F530" s="139">
        <f t="shared" si="118"/>
        <v>31.68</v>
      </c>
      <c r="G530" s="139" t="s">
        <v>58</v>
      </c>
      <c r="H530" s="139">
        <f t="shared" si="116"/>
        <v>16846.977499999994</v>
      </c>
      <c r="I530" s="139">
        <f t="shared" si="117"/>
        <v>5030.0225000000064</v>
      </c>
      <c r="J530" s="140"/>
      <c r="K530" s="350"/>
      <c r="L530" s="351"/>
      <c r="S530" s="41"/>
      <c r="T530" s="41"/>
    </row>
    <row r="531" spans="1:20" s="40" customFormat="1" ht="13.5" customHeight="1">
      <c r="A531" s="359"/>
      <c r="B531" s="356" t="s">
        <v>91</v>
      </c>
      <c r="C531" s="357"/>
      <c r="D531" s="119"/>
      <c r="E531" s="114">
        <v>31.54</v>
      </c>
      <c r="F531" s="114">
        <f t="shared" si="118"/>
        <v>31.54</v>
      </c>
      <c r="G531" s="114" t="s">
        <v>58</v>
      </c>
      <c r="H531" s="114">
        <f t="shared" si="116"/>
        <v>16878.517499999994</v>
      </c>
      <c r="I531" s="114">
        <f t="shared" si="117"/>
        <v>4998.4825000000055</v>
      </c>
      <c r="J531" s="115"/>
      <c r="K531" s="350"/>
      <c r="L531" s="351"/>
      <c r="S531" s="41"/>
      <c r="T531" s="41"/>
    </row>
    <row r="532" spans="1:20" s="40" customFormat="1" ht="13.5" customHeight="1">
      <c r="A532" s="359"/>
      <c r="B532" s="356" t="s">
        <v>91</v>
      </c>
      <c r="C532" s="357"/>
      <c r="D532" s="119"/>
      <c r="E532" s="114">
        <v>31.65</v>
      </c>
      <c r="F532" s="114">
        <f t="shared" si="118"/>
        <v>31.65</v>
      </c>
      <c r="G532" s="114" t="s">
        <v>58</v>
      </c>
      <c r="H532" s="114">
        <f t="shared" si="116"/>
        <v>16910.167499999996</v>
      </c>
      <c r="I532" s="114">
        <f t="shared" si="117"/>
        <v>4966.8325000000041</v>
      </c>
      <c r="J532" s="115"/>
      <c r="K532" s="350"/>
      <c r="L532" s="351"/>
      <c r="S532" s="41"/>
      <c r="T532" s="41"/>
    </row>
    <row r="533" spans="1:20" s="40" customFormat="1" ht="13.5" customHeight="1">
      <c r="A533" s="360"/>
      <c r="B533" s="356" t="s">
        <v>91</v>
      </c>
      <c r="C533" s="357"/>
      <c r="D533" s="119"/>
      <c r="E533" s="114">
        <v>31.7</v>
      </c>
      <c r="F533" s="114">
        <f t="shared" si="118"/>
        <v>31.7</v>
      </c>
      <c r="G533" s="114" t="s">
        <v>58</v>
      </c>
      <c r="H533" s="114">
        <f t="shared" si="116"/>
        <v>16941.867499999997</v>
      </c>
      <c r="I533" s="114">
        <f t="shared" si="117"/>
        <v>4935.1325000000033</v>
      </c>
      <c r="J533" s="115"/>
      <c r="K533" s="350"/>
      <c r="L533" s="351"/>
      <c r="S533" s="41"/>
      <c r="T533" s="41"/>
    </row>
    <row r="534" spans="1:20" s="40" customFormat="1" ht="13.5" customHeight="1">
      <c r="A534" s="358" t="s">
        <v>249</v>
      </c>
      <c r="B534" s="352" t="s">
        <v>91</v>
      </c>
      <c r="C534" s="353"/>
      <c r="D534" s="279"/>
      <c r="E534" s="111">
        <v>31.62</v>
      </c>
      <c r="F534" s="111">
        <f t="shared" si="118"/>
        <v>31.62</v>
      </c>
      <c r="G534" s="111" t="s">
        <v>58</v>
      </c>
      <c r="H534" s="111">
        <f t="shared" si="116"/>
        <v>16973.487499999996</v>
      </c>
      <c r="I534" s="111">
        <f t="shared" si="117"/>
        <v>4903.5125000000044</v>
      </c>
      <c r="J534" s="279"/>
      <c r="K534" s="350"/>
      <c r="L534" s="351"/>
      <c r="S534" s="41"/>
      <c r="T534" s="41"/>
    </row>
    <row r="535" spans="1:20" s="40" customFormat="1" ht="13.5" customHeight="1">
      <c r="A535" s="359"/>
      <c r="B535" s="352" t="s">
        <v>91</v>
      </c>
      <c r="C535" s="353"/>
      <c r="D535" s="177"/>
      <c r="E535" s="111">
        <v>31.7</v>
      </c>
      <c r="F535" s="111">
        <f t="shared" si="118"/>
        <v>31.7</v>
      </c>
      <c r="G535" s="111" t="s">
        <v>58</v>
      </c>
      <c r="H535" s="111">
        <f t="shared" si="116"/>
        <v>17005.187499999996</v>
      </c>
      <c r="I535" s="111">
        <f t="shared" si="117"/>
        <v>4871.8125000000036</v>
      </c>
      <c r="J535" s="112"/>
      <c r="K535" s="350"/>
      <c r="L535" s="351"/>
      <c r="S535" s="41"/>
      <c r="T535" s="41"/>
    </row>
    <row r="536" spans="1:20" s="40" customFormat="1" ht="13.5" customHeight="1">
      <c r="A536" s="359"/>
      <c r="B536" s="352" t="s">
        <v>91</v>
      </c>
      <c r="C536" s="353"/>
      <c r="D536" s="177"/>
      <c r="E536" s="111">
        <v>31.67</v>
      </c>
      <c r="F536" s="111">
        <f t="shared" si="118"/>
        <v>31.67</v>
      </c>
      <c r="G536" s="111" t="s">
        <v>58</v>
      </c>
      <c r="H536" s="111">
        <f t="shared" si="116"/>
        <v>17036.857499999995</v>
      </c>
      <c r="I536" s="111">
        <f t="shared" si="117"/>
        <v>4840.1425000000054</v>
      </c>
      <c r="J536" s="112"/>
      <c r="K536" s="350"/>
      <c r="L536" s="351"/>
      <c r="S536" s="41"/>
      <c r="T536" s="41"/>
    </row>
    <row r="537" spans="1:20" s="40" customFormat="1" ht="13.5" customHeight="1">
      <c r="A537" s="360"/>
      <c r="B537" s="352" t="s">
        <v>91</v>
      </c>
      <c r="C537" s="353"/>
      <c r="D537" s="177"/>
      <c r="E537" s="111">
        <v>31.65</v>
      </c>
      <c r="F537" s="111">
        <f t="shared" si="118"/>
        <v>31.65</v>
      </c>
      <c r="G537" s="111" t="s">
        <v>58</v>
      </c>
      <c r="H537" s="111">
        <f t="shared" si="116"/>
        <v>17068.507499999996</v>
      </c>
      <c r="I537" s="111">
        <f t="shared" si="117"/>
        <v>4808.4925000000039</v>
      </c>
      <c r="J537" s="112"/>
      <c r="K537" s="350"/>
      <c r="L537" s="351"/>
      <c r="S537" s="41"/>
      <c r="T537" s="41"/>
    </row>
    <row r="538" spans="1:20" s="40" customFormat="1" ht="13.5" customHeight="1">
      <c r="A538" s="358" t="s">
        <v>250</v>
      </c>
      <c r="B538" s="356" t="s">
        <v>91</v>
      </c>
      <c r="C538" s="357"/>
      <c r="D538" s="272"/>
      <c r="E538" s="139">
        <v>31.64</v>
      </c>
      <c r="F538" s="139">
        <f t="shared" si="118"/>
        <v>31.64</v>
      </c>
      <c r="G538" s="139" t="s">
        <v>58</v>
      </c>
      <c r="H538" s="139">
        <f t="shared" si="116"/>
        <v>17100.147499999995</v>
      </c>
      <c r="I538" s="139">
        <f t="shared" si="117"/>
        <v>4776.8525000000045</v>
      </c>
      <c r="J538" s="140"/>
      <c r="K538" s="350"/>
      <c r="L538" s="351"/>
      <c r="S538" s="41"/>
      <c r="T538" s="41"/>
    </row>
    <row r="539" spans="1:20" s="40" customFormat="1" ht="13.5" customHeight="1">
      <c r="A539" s="359"/>
      <c r="B539" s="356" t="s">
        <v>91</v>
      </c>
      <c r="C539" s="357"/>
      <c r="D539" s="119"/>
      <c r="E539" s="114">
        <v>31.64</v>
      </c>
      <c r="F539" s="114">
        <f t="shared" si="118"/>
        <v>31.64</v>
      </c>
      <c r="G539" s="114" t="s">
        <v>58</v>
      </c>
      <c r="H539" s="114">
        <f t="shared" si="116"/>
        <v>17131.787499999995</v>
      </c>
      <c r="I539" s="114">
        <f t="shared" si="117"/>
        <v>4745.2125000000051</v>
      </c>
      <c r="J539" s="115"/>
      <c r="K539" s="350"/>
      <c r="L539" s="351"/>
      <c r="S539" s="41"/>
      <c r="T539" s="41"/>
    </row>
    <row r="540" spans="1:20" s="40" customFormat="1" ht="13.5" customHeight="1">
      <c r="A540" s="359"/>
      <c r="B540" s="356" t="s">
        <v>91</v>
      </c>
      <c r="C540" s="357"/>
      <c r="D540" s="119"/>
      <c r="E540" s="114">
        <v>31.71</v>
      </c>
      <c r="F540" s="114">
        <f t="shared" si="118"/>
        <v>31.71</v>
      </c>
      <c r="G540" s="114" t="s">
        <v>58</v>
      </c>
      <c r="H540" s="114">
        <f t="shared" si="116"/>
        <v>17163.497499999994</v>
      </c>
      <c r="I540" s="114">
        <f t="shared" si="117"/>
        <v>4713.502500000006</v>
      </c>
      <c r="J540" s="115"/>
      <c r="K540" s="350"/>
      <c r="L540" s="351"/>
      <c r="S540" s="41"/>
      <c r="T540" s="41"/>
    </row>
    <row r="541" spans="1:20" s="40" customFormat="1" ht="13.5" customHeight="1">
      <c r="A541" s="360"/>
      <c r="B541" s="356" t="s">
        <v>91</v>
      </c>
      <c r="C541" s="357"/>
      <c r="D541" s="119"/>
      <c r="E541" s="114">
        <v>31.63</v>
      </c>
      <c r="F541" s="114">
        <f t="shared" si="118"/>
        <v>31.63</v>
      </c>
      <c r="G541" s="114" t="s">
        <v>58</v>
      </c>
      <c r="H541" s="114">
        <f t="shared" si="116"/>
        <v>17195.127499999995</v>
      </c>
      <c r="I541" s="114">
        <f t="shared" si="117"/>
        <v>4681.8725000000049</v>
      </c>
      <c r="J541" s="115"/>
      <c r="K541" s="350"/>
      <c r="L541" s="351"/>
      <c r="S541" s="41"/>
      <c r="T541" s="41"/>
    </row>
    <row r="542" spans="1:20" s="40" customFormat="1" ht="13.5" customHeight="1">
      <c r="A542" s="358" t="s">
        <v>251</v>
      </c>
      <c r="B542" s="352" t="s">
        <v>91</v>
      </c>
      <c r="C542" s="353"/>
      <c r="D542" s="279"/>
      <c r="E542" s="111">
        <v>31.65</v>
      </c>
      <c r="F542" s="111">
        <f t="shared" si="118"/>
        <v>31.65</v>
      </c>
      <c r="G542" s="111" t="s">
        <v>58</v>
      </c>
      <c r="H542" s="111">
        <f t="shared" si="116"/>
        <v>17226.777499999997</v>
      </c>
      <c r="I542" s="111">
        <f t="shared" si="117"/>
        <v>4650.2225000000035</v>
      </c>
      <c r="J542" s="279"/>
      <c r="K542" s="350"/>
      <c r="L542" s="351"/>
      <c r="S542" s="41"/>
      <c r="T542" s="41"/>
    </row>
    <row r="543" spans="1:20" s="40" customFormat="1" ht="13.5" customHeight="1">
      <c r="A543" s="359"/>
      <c r="B543" s="352" t="s">
        <v>91</v>
      </c>
      <c r="C543" s="353"/>
      <c r="D543" s="177"/>
      <c r="E543" s="111">
        <v>31.72</v>
      </c>
      <c r="F543" s="111">
        <f t="shared" si="118"/>
        <v>31.72</v>
      </c>
      <c r="G543" s="111" t="s">
        <v>58</v>
      </c>
      <c r="H543" s="111">
        <f t="shared" si="116"/>
        <v>17258.497499999998</v>
      </c>
      <c r="I543" s="111">
        <f t="shared" si="117"/>
        <v>4618.5025000000023</v>
      </c>
      <c r="J543" s="112"/>
      <c r="K543" s="350"/>
      <c r="L543" s="351"/>
      <c r="S543" s="41"/>
      <c r="T543" s="41"/>
    </row>
    <row r="544" spans="1:20" s="40" customFormat="1" ht="13.5" customHeight="1">
      <c r="A544" s="359"/>
      <c r="B544" s="352" t="s">
        <v>91</v>
      </c>
      <c r="C544" s="353"/>
      <c r="D544" s="177"/>
      <c r="E544" s="111">
        <v>31.63</v>
      </c>
      <c r="F544" s="111">
        <f t="shared" si="118"/>
        <v>31.63</v>
      </c>
      <c r="G544" s="111" t="s">
        <v>58</v>
      </c>
      <c r="H544" s="111">
        <f t="shared" si="116"/>
        <v>17290.127499999999</v>
      </c>
      <c r="I544" s="111">
        <f t="shared" si="117"/>
        <v>4586.8725000000013</v>
      </c>
      <c r="J544" s="112"/>
      <c r="K544" s="350"/>
      <c r="L544" s="351"/>
      <c r="S544" s="41"/>
      <c r="T544" s="41"/>
    </row>
    <row r="545" spans="1:20" s="40" customFormat="1" ht="13.5" customHeight="1">
      <c r="A545" s="360"/>
      <c r="B545" s="352" t="s">
        <v>91</v>
      </c>
      <c r="C545" s="353"/>
      <c r="D545" s="177"/>
      <c r="E545" s="111">
        <v>31.64</v>
      </c>
      <c r="F545" s="111">
        <f t="shared" si="118"/>
        <v>31.64</v>
      </c>
      <c r="G545" s="111" t="s">
        <v>58</v>
      </c>
      <c r="H545" s="111">
        <f t="shared" si="116"/>
        <v>17321.767499999998</v>
      </c>
      <c r="I545" s="111">
        <f t="shared" si="117"/>
        <v>4555.2325000000019</v>
      </c>
      <c r="J545" s="112"/>
      <c r="K545" s="350"/>
      <c r="L545" s="351"/>
      <c r="S545" s="41"/>
      <c r="T545" s="41"/>
    </row>
    <row r="546" spans="1:20" s="40" customFormat="1" ht="13.5" customHeight="1">
      <c r="A546" s="358" t="s">
        <v>252</v>
      </c>
      <c r="B546" s="356" t="s">
        <v>91</v>
      </c>
      <c r="C546" s="357"/>
      <c r="D546" s="272"/>
      <c r="E546" s="139">
        <v>31.61</v>
      </c>
      <c r="F546" s="139">
        <f t="shared" si="118"/>
        <v>31.61</v>
      </c>
      <c r="G546" s="139" t="s">
        <v>58</v>
      </c>
      <c r="H546" s="139">
        <f t="shared" si="116"/>
        <v>17353.377499999999</v>
      </c>
      <c r="I546" s="139">
        <f t="shared" si="117"/>
        <v>4523.6225000000013</v>
      </c>
      <c r="J546" s="140"/>
      <c r="K546" s="350"/>
      <c r="L546" s="351"/>
      <c r="S546" s="41"/>
      <c r="T546" s="41"/>
    </row>
    <row r="547" spans="1:20" s="40" customFormat="1" ht="13.5" customHeight="1">
      <c r="A547" s="359"/>
      <c r="B547" s="356" t="s">
        <v>91</v>
      </c>
      <c r="C547" s="357"/>
      <c r="D547" s="119"/>
      <c r="E547" s="114">
        <v>31.65</v>
      </c>
      <c r="F547" s="114">
        <f t="shared" si="118"/>
        <v>31.65</v>
      </c>
      <c r="G547" s="114" t="s">
        <v>58</v>
      </c>
      <c r="H547" s="114">
        <f t="shared" si="116"/>
        <v>17385.0275</v>
      </c>
      <c r="I547" s="114">
        <f t="shared" si="117"/>
        <v>4491.9724999999999</v>
      </c>
      <c r="J547" s="115"/>
      <c r="K547" s="350"/>
      <c r="L547" s="351"/>
      <c r="S547" s="41"/>
      <c r="T547" s="41"/>
    </row>
    <row r="548" spans="1:20" s="40" customFormat="1" ht="13.5" customHeight="1">
      <c r="A548" s="359"/>
      <c r="B548" s="356" t="s">
        <v>91</v>
      </c>
      <c r="C548" s="357"/>
      <c r="D548" s="119"/>
      <c r="E548" s="114">
        <v>31.62</v>
      </c>
      <c r="F548" s="114">
        <f t="shared" si="118"/>
        <v>31.62</v>
      </c>
      <c r="G548" s="114" t="s">
        <v>58</v>
      </c>
      <c r="H548" s="114">
        <f t="shared" si="116"/>
        <v>17416.647499999999</v>
      </c>
      <c r="I548" s="114">
        <f t="shared" si="117"/>
        <v>4460.3525000000009</v>
      </c>
      <c r="J548" s="115"/>
      <c r="K548" s="350"/>
      <c r="L548" s="351"/>
      <c r="S548" s="41"/>
      <c r="T548" s="41"/>
    </row>
    <row r="549" spans="1:20" s="40" customFormat="1" ht="13.5" customHeight="1">
      <c r="A549" s="360"/>
      <c r="B549" s="356" t="s">
        <v>91</v>
      </c>
      <c r="C549" s="357"/>
      <c r="D549" s="119"/>
      <c r="E549" s="114">
        <v>31.66</v>
      </c>
      <c r="F549" s="114">
        <f t="shared" si="118"/>
        <v>31.66</v>
      </c>
      <c r="G549" s="114" t="s">
        <v>58</v>
      </c>
      <c r="H549" s="114">
        <f t="shared" si="116"/>
        <v>17448.307499999999</v>
      </c>
      <c r="I549" s="114">
        <f t="shared" si="117"/>
        <v>4428.692500000001</v>
      </c>
      <c r="J549" s="115"/>
      <c r="K549" s="350"/>
      <c r="L549" s="351"/>
      <c r="S549" s="41"/>
      <c r="T549" s="41"/>
    </row>
    <row r="550" spans="1:20" s="40" customFormat="1" ht="13.5" customHeight="1">
      <c r="A550" s="358" t="s">
        <v>253</v>
      </c>
      <c r="B550" s="352" t="s">
        <v>91</v>
      </c>
      <c r="C550" s="353"/>
      <c r="D550" s="279"/>
      <c r="E550" s="111">
        <v>31.66</v>
      </c>
      <c r="F550" s="111">
        <f t="shared" si="118"/>
        <v>31.66</v>
      </c>
      <c r="G550" s="111" t="s">
        <v>58</v>
      </c>
      <c r="H550" s="111">
        <f t="shared" si="116"/>
        <v>17479.967499999999</v>
      </c>
      <c r="I550" s="111">
        <f t="shared" si="117"/>
        <v>4397.0325000000012</v>
      </c>
      <c r="J550" s="279"/>
      <c r="K550" s="350"/>
      <c r="L550" s="351"/>
      <c r="S550" s="41"/>
      <c r="T550" s="41"/>
    </row>
    <row r="551" spans="1:20" s="40" customFormat="1" ht="14.45" customHeight="1">
      <c r="A551" s="359"/>
      <c r="B551" s="352" t="s">
        <v>91</v>
      </c>
      <c r="C551" s="353"/>
      <c r="D551" s="177"/>
      <c r="E551" s="111">
        <v>31.65</v>
      </c>
      <c r="F551" s="111">
        <f t="shared" si="118"/>
        <v>31.65</v>
      </c>
      <c r="G551" s="111" t="s">
        <v>58</v>
      </c>
      <c r="H551" s="111">
        <f t="shared" si="116"/>
        <v>17511.6175</v>
      </c>
      <c r="I551" s="111">
        <f t="shared" si="117"/>
        <v>4365.3824999999997</v>
      </c>
      <c r="J551" s="112"/>
      <c r="K551" s="350"/>
      <c r="L551" s="351"/>
      <c r="S551" s="41"/>
      <c r="T551" s="41"/>
    </row>
    <row r="552" spans="1:20" s="40" customFormat="1" ht="13.5" customHeight="1">
      <c r="A552" s="359"/>
      <c r="B552" s="352" t="s">
        <v>91</v>
      </c>
      <c r="C552" s="353"/>
      <c r="D552" s="177"/>
      <c r="E552" s="111">
        <v>31.68</v>
      </c>
      <c r="F552" s="111">
        <f t="shared" si="118"/>
        <v>31.68</v>
      </c>
      <c r="G552" s="111" t="s">
        <v>58</v>
      </c>
      <c r="H552" s="111">
        <f t="shared" si="116"/>
        <v>17543.297500000001</v>
      </c>
      <c r="I552" s="111">
        <f t="shared" si="117"/>
        <v>4333.7024999999994</v>
      </c>
      <c r="J552" s="112"/>
      <c r="K552" s="350"/>
      <c r="L552" s="351"/>
      <c r="S552" s="41"/>
      <c r="T552" s="41"/>
    </row>
    <row r="553" spans="1:20" s="40" customFormat="1" ht="13.5" customHeight="1">
      <c r="A553" s="360"/>
      <c r="B553" s="352" t="s">
        <v>91</v>
      </c>
      <c r="C553" s="353"/>
      <c r="D553" s="177"/>
      <c r="E553" s="111">
        <v>31.69</v>
      </c>
      <c r="F553" s="111">
        <f t="shared" si="118"/>
        <v>31.69</v>
      </c>
      <c r="G553" s="111" t="s">
        <v>58</v>
      </c>
      <c r="H553" s="111">
        <f t="shared" si="116"/>
        <v>17574.987499999999</v>
      </c>
      <c r="I553" s="111">
        <f t="shared" si="117"/>
        <v>4302.0125000000007</v>
      </c>
      <c r="J553" s="112"/>
      <c r="K553" s="350"/>
      <c r="L553" s="351"/>
      <c r="S553" s="41"/>
      <c r="T553" s="41"/>
    </row>
    <row r="554" spans="1:20" s="40" customFormat="1" ht="13.5" customHeight="1">
      <c r="A554" s="358" t="s">
        <v>254</v>
      </c>
      <c r="B554" s="356" t="s">
        <v>91</v>
      </c>
      <c r="C554" s="357"/>
      <c r="D554" s="272"/>
      <c r="E554" s="139">
        <v>31.68</v>
      </c>
      <c r="F554" s="139">
        <f t="shared" si="118"/>
        <v>31.68</v>
      </c>
      <c r="G554" s="139" t="s">
        <v>58</v>
      </c>
      <c r="H554" s="139">
        <f t="shared" si="116"/>
        <v>17606.6675</v>
      </c>
      <c r="I554" s="139">
        <f t="shared" si="117"/>
        <v>4270.3325000000004</v>
      </c>
      <c r="J554" s="140"/>
      <c r="K554" s="350"/>
      <c r="L554" s="351"/>
      <c r="S554" s="41"/>
      <c r="T554" s="41"/>
    </row>
    <row r="555" spans="1:20" s="40" customFormat="1" ht="13.5" customHeight="1">
      <c r="A555" s="359"/>
      <c r="B555" s="356" t="s">
        <v>91</v>
      </c>
      <c r="C555" s="357"/>
      <c r="D555" s="119"/>
      <c r="E555" s="114">
        <v>31.69</v>
      </c>
      <c r="F555" s="114">
        <f t="shared" si="118"/>
        <v>31.69</v>
      </c>
      <c r="G555" s="114" t="s">
        <v>58</v>
      </c>
      <c r="H555" s="114">
        <f t="shared" si="116"/>
        <v>17638.357499999998</v>
      </c>
      <c r="I555" s="114">
        <f t="shared" si="117"/>
        <v>4238.6425000000017</v>
      </c>
      <c r="J555" s="115"/>
      <c r="K555" s="350"/>
      <c r="L555" s="351"/>
      <c r="S555" s="41"/>
      <c r="T555" s="41"/>
    </row>
    <row r="556" spans="1:20" s="40" customFormat="1" ht="13.5" customHeight="1">
      <c r="A556" s="359"/>
      <c r="B556" s="356" t="s">
        <v>91</v>
      </c>
      <c r="C556" s="357"/>
      <c r="D556" s="119"/>
      <c r="E556" s="114">
        <v>31.65</v>
      </c>
      <c r="F556" s="114">
        <f t="shared" si="118"/>
        <v>31.65</v>
      </c>
      <c r="G556" s="114" t="s">
        <v>58</v>
      </c>
      <c r="H556" s="114">
        <f t="shared" si="116"/>
        <v>17670.0075</v>
      </c>
      <c r="I556" s="114">
        <f t="shared" si="117"/>
        <v>4206.9925000000003</v>
      </c>
      <c r="J556" s="115"/>
      <c r="K556" s="350"/>
      <c r="L556" s="351"/>
      <c r="S556" s="41"/>
      <c r="T556" s="41"/>
    </row>
    <row r="557" spans="1:20" s="40" customFormat="1" ht="13.5" customHeight="1">
      <c r="A557" s="360"/>
      <c r="B557" s="356" t="s">
        <v>91</v>
      </c>
      <c r="C557" s="357"/>
      <c r="D557" s="119"/>
      <c r="E557" s="114">
        <v>31.61</v>
      </c>
      <c r="F557" s="114">
        <f t="shared" si="118"/>
        <v>31.61</v>
      </c>
      <c r="G557" s="114" t="s">
        <v>58</v>
      </c>
      <c r="H557" s="114">
        <f t="shared" si="116"/>
        <v>17701.6175</v>
      </c>
      <c r="I557" s="114">
        <f t="shared" si="117"/>
        <v>4175.3824999999997</v>
      </c>
      <c r="J557" s="115"/>
      <c r="K557" s="350"/>
      <c r="L557" s="351"/>
      <c r="S557" s="41"/>
      <c r="T557" s="41"/>
    </row>
    <row r="558" spans="1:20" s="40" customFormat="1" ht="13.5" customHeight="1">
      <c r="A558" s="358" t="s">
        <v>255</v>
      </c>
      <c r="B558" s="352" t="s">
        <v>91</v>
      </c>
      <c r="C558" s="353"/>
      <c r="D558" s="279"/>
      <c r="E558" s="111">
        <v>31.62</v>
      </c>
      <c r="F558" s="111">
        <f t="shared" si="118"/>
        <v>31.62</v>
      </c>
      <c r="G558" s="111" t="s">
        <v>58</v>
      </c>
      <c r="H558" s="111">
        <f t="shared" si="116"/>
        <v>17733.237499999999</v>
      </c>
      <c r="I558" s="111">
        <f t="shared" si="117"/>
        <v>4143.7625000000007</v>
      </c>
      <c r="J558" s="279"/>
      <c r="K558" s="350"/>
      <c r="L558" s="351"/>
      <c r="S558" s="41"/>
      <c r="T558" s="41"/>
    </row>
    <row r="559" spans="1:20" s="40" customFormat="1" ht="13.5" customHeight="1">
      <c r="A559" s="359"/>
      <c r="B559" s="352" t="s">
        <v>91</v>
      </c>
      <c r="C559" s="353"/>
      <c r="D559" s="177"/>
      <c r="E559" s="111">
        <v>31.66</v>
      </c>
      <c r="F559" s="111">
        <f t="shared" si="118"/>
        <v>31.66</v>
      </c>
      <c r="G559" s="111" t="s">
        <v>58</v>
      </c>
      <c r="H559" s="111">
        <f t="shared" ref="H559:H622" si="119">IF(G559="IN",H558+F559,H558)</f>
        <v>17764.897499999999</v>
      </c>
      <c r="I559" s="111">
        <f t="shared" ref="I559:I622" si="120">IF(H559="","",$K$8-H559)</f>
        <v>4112.1025000000009</v>
      </c>
      <c r="J559" s="112"/>
      <c r="K559" s="350"/>
      <c r="L559" s="351"/>
      <c r="S559" s="41"/>
      <c r="T559" s="41"/>
    </row>
    <row r="560" spans="1:20" s="40" customFormat="1" ht="13.5" customHeight="1">
      <c r="A560" s="359"/>
      <c r="B560" s="352" t="s">
        <v>91</v>
      </c>
      <c r="C560" s="353"/>
      <c r="D560" s="177"/>
      <c r="E560" s="111">
        <v>31.69</v>
      </c>
      <c r="F560" s="111">
        <f t="shared" si="118"/>
        <v>31.69</v>
      </c>
      <c r="G560" s="111" t="s">
        <v>58</v>
      </c>
      <c r="H560" s="111">
        <f t="shared" si="119"/>
        <v>17796.587499999998</v>
      </c>
      <c r="I560" s="111">
        <f t="shared" si="120"/>
        <v>4080.4125000000022</v>
      </c>
      <c r="J560" s="112"/>
      <c r="K560" s="350"/>
      <c r="L560" s="351"/>
      <c r="S560" s="41"/>
      <c r="T560" s="41"/>
    </row>
    <row r="561" spans="1:20" s="40" customFormat="1" ht="13.5" customHeight="1">
      <c r="A561" s="360"/>
      <c r="B561" s="352" t="s">
        <v>91</v>
      </c>
      <c r="C561" s="353"/>
      <c r="D561" s="177"/>
      <c r="E561" s="111">
        <v>31.63</v>
      </c>
      <c r="F561" s="111">
        <f t="shared" si="118"/>
        <v>31.63</v>
      </c>
      <c r="G561" s="111" t="s">
        <v>58</v>
      </c>
      <c r="H561" s="111">
        <f t="shared" si="119"/>
        <v>17828.217499999999</v>
      </c>
      <c r="I561" s="111">
        <f t="shared" si="120"/>
        <v>4048.7825000000012</v>
      </c>
      <c r="J561" s="112"/>
      <c r="K561" s="350"/>
      <c r="L561" s="351"/>
      <c r="S561" s="41"/>
      <c r="T561" s="41"/>
    </row>
    <row r="562" spans="1:20" s="40" customFormat="1" ht="13.5" customHeight="1">
      <c r="A562" s="358" t="s">
        <v>256</v>
      </c>
      <c r="B562" s="356" t="s">
        <v>91</v>
      </c>
      <c r="C562" s="357"/>
      <c r="D562" s="272"/>
      <c r="E562" s="139">
        <v>31.65</v>
      </c>
      <c r="F562" s="139">
        <f t="shared" si="118"/>
        <v>31.65</v>
      </c>
      <c r="G562" s="139" t="s">
        <v>58</v>
      </c>
      <c r="H562" s="139">
        <f t="shared" si="119"/>
        <v>17859.8675</v>
      </c>
      <c r="I562" s="139">
        <f t="shared" si="120"/>
        <v>4017.1324999999997</v>
      </c>
      <c r="J562" s="140"/>
      <c r="K562" s="350"/>
      <c r="L562" s="351"/>
      <c r="S562" s="41"/>
      <c r="T562" s="41"/>
    </row>
    <row r="563" spans="1:20" s="40" customFormat="1" ht="13.5" customHeight="1">
      <c r="A563" s="359"/>
      <c r="B563" s="356" t="s">
        <v>91</v>
      </c>
      <c r="C563" s="357"/>
      <c r="D563" s="119"/>
      <c r="E563" s="114">
        <v>31.68</v>
      </c>
      <c r="F563" s="114">
        <f t="shared" si="118"/>
        <v>31.68</v>
      </c>
      <c r="G563" s="114" t="s">
        <v>58</v>
      </c>
      <c r="H563" s="114">
        <f t="shared" si="119"/>
        <v>17891.547500000001</v>
      </c>
      <c r="I563" s="114">
        <f t="shared" si="120"/>
        <v>3985.4524999999994</v>
      </c>
      <c r="J563" s="115"/>
      <c r="K563" s="350"/>
      <c r="L563" s="351"/>
      <c r="S563" s="41"/>
      <c r="T563" s="41"/>
    </row>
    <row r="564" spans="1:20" s="40" customFormat="1" ht="13.5" customHeight="1">
      <c r="A564" s="359"/>
      <c r="B564" s="356" t="s">
        <v>91</v>
      </c>
      <c r="C564" s="357"/>
      <c r="D564" s="119"/>
      <c r="E564" s="114">
        <v>31.68</v>
      </c>
      <c r="F564" s="114">
        <f t="shared" si="118"/>
        <v>31.68</v>
      </c>
      <c r="G564" s="114" t="s">
        <v>58</v>
      </c>
      <c r="H564" s="114">
        <f t="shared" si="119"/>
        <v>17923.227500000001</v>
      </c>
      <c r="I564" s="114">
        <f t="shared" si="120"/>
        <v>3953.7724999999991</v>
      </c>
      <c r="J564" s="115"/>
      <c r="K564" s="350"/>
      <c r="L564" s="351"/>
      <c r="S564" s="41"/>
      <c r="T564" s="41"/>
    </row>
    <row r="565" spans="1:20" s="40" customFormat="1" ht="13.5" customHeight="1">
      <c r="A565" s="360"/>
      <c r="B565" s="356" t="s">
        <v>91</v>
      </c>
      <c r="C565" s="357"/>
      <c r="D565" s="119"/>
      <c r="E565" s="114">
        <v>31.67</v>
      </c>
      <c r="F565" s="114">
        <f t="shared" si="118"/>
        <v>31.67</v>
      </c>
      <c r="G565" s="114" t="s">
        <v>58</v>
      </c>
      <c r="H565" s="114">
        <f t="shared" si="119"/>
        <v>17954.897499999999</v>
      </c>
      <c r="I565" s="114">
        <f t="shared" si="120"/>
        <v>3922.1025000000009</v>
      </c>
      <c r="J565" s="115"/>
      <c r="K565" s="350"/>
      <c r="L565" s="351"/>
      <c r="S565" s="41"/>
      <c r="T565" s="41"/>
    </row>
    <row r="566" spans="1:20" s="40" customFormat="1" ht="13.5" customHeight="1">
      <c r="A566" s="358" t="s">
        <v>257</v>
      </c>
      <c r="B566" s="352" t="s">
        <v>91</v>
      </c>
      <c r="C566" s="353"/>
      <c r="D566" s="279"/>
      <c r="E566" s="111">
        <v>31.61</v>
      </c>
      <c r="F566" s="111">
        <f t="shared" si="118"/>
        <v>31.61</v>
      </c>
      <c r="G566" s="111" t="s">
        <v>58</v>
      </c>
      <c r="H566" s="111">
        <f t="shared" si="119"/>
        <v>17986.5075</v>
      </c>
      <c r="I566" s="111">
        <f t="shared" si="120"/>
        <v>3890.4925000000003</v>
      </c>
      <c r="J566" s="279"/>
      <c r="K566" s="350"/>
      <c r="L566" s="351"/>
      <c r="S566" s="41"/>
      <c r="T566" s="41"/>
    </row>
    <row r="567" spans="1:20" s="40" customFormat="1" ht="13.5" customHeight="1">
      <c r="A567" s="359"/>
      <c r="B567" s="352" t="s">
        <v>91</v>
      </c>
      <c r="C567" s="353"/>
      <c r="D567" s="177"/>
      <c r="E567" s="111">
        <v>31.69</v>
      </c>
      <c r="F567" s="111">
        <f t="shared" si="118"/>
        <v>31.69</v>
      </c>
      <c r="G567" s="111" t="s">
        <v>58</v>
      </c>
      <c r="H567" s="111">
        <f t="shared" si="119"/>
        <v>18018.197499999998</v>
      </c>
      <c r="I567" s="111">
        <f t="shared" si="120"/>
        <v>3858.8025000000016</v>
      </c>
      <c r="J567" s="112"/>
      <c r="K567" s="350"/>
      <c r="L567" s="351"/>
      <c r="S567" s="41"/>
      <c r="T567" s="41"/>
    </row>
    <row r="568" spans="1:20" s="40" customFormat="1" ht="13.5" customHeight="1">
      <c r="A568" s="359"/>
      <c r="B568" s="352" t="s">
        <v>91</v>
      </c>
      <c r="C568" s="353"/>
      <c r="D568" s="177"/>
      <c r="E568" s="111">
        <v>31.66</v>
      </c>
      <c r="F568" s="111">
        <f t="shared" si="118"/>
        <v>31.66</v>
      </c>
      <c r="G568" s="111" t="s">
        <v>58</v>
      </c>
      <c r="H568" s="111">
        <f t="shared" si="119"/>
        <v>18049.857499999998</v>
      </c>
      <c r="I568" s="111">
        <f t="shared" si="120"/>
        <v>3827.1425000000017</v>
      </c>
      <c r="J568" s="112"/>
      <c r="K568" s="350"/>
      <c r="L568" s="351"/>
      <c r="S568" s="41"/>
      <c r="T568" s="41"/>
    </row>
    <row r="569" spans="1:20" s="40" customFormat="1" ht="13.5" customHeight="1">
      <c r="A569" s="360"/>
      <c r="B569" s="352" t="s">
        <v>91</v>
      </c>
      <c r="C569" s="353"/>
      <c r="D569" s="177"/>
      <c r="E569" s="111">
        <v>31.58</v>
      </c>
      <c r="F569" s="111">
        <f t="shared" si="118"/>
        <v>31.58</v>
      </c>
      <c r="G569" s="111" t="s">
        <v>58</v>
      </c>
      <c r="H569" s="111">
        <f t="shared" si="119"/>
        <v>18081.4375</v>
      </c>
      <c r="I569" s="111">
        <f t="shared" si="120"/>
        <v>3795.5625</v>
      </c>
      <c r="J569" s="112"/>
      <c r="K569" s="350"/>
      <c r="L569" s="351"/>
      <c r="S569" s="41"/>
      <c r="T569" s="41"/>
    </row>
    <row r="570" spans="1:20" s="40" customFormat="1" ht="13.5" customHeight="1">
      <c r="A570" s="358" t="s">
        <v>258</v>
      </c>
      <c r="B570" s="356" t="s">
        <v>91</v>
      </c>
      <c r="C570" s="357"/>
      <c r="D570" s="272"/>
      <c r="E570" s="139">
        <v>31.61</v>
      </c>
      <c r="F570" s="139">
        <f t="shared" si="118"/>
        <v>31.61</v>
      </c>
      <c r="G570" s="139" t="s">
        <v>58</v>
      </c>
      <c r="H570" s="139">
        <f t="shared" si="119"/>
        <v>18113.047500000001</v>
      </c>
      <c r="I570" s="139">
        <f t="shared" si="120"/>
        <v>3763.9524999999994</v>
      </c>
      <c r="J570" s="140"/>
      <c r="K570" s="350"/>
      <c r="L570" s="351"/>
      <c r="S570" s="41"/>
      <c r="T570" s="41"/>
    </row>
    <row r="571" spans="1:20" s="40" customFormat="1" ht="13.5" customHeight="1">
      <c r="A571" s="359"/>
      <c r="B571" s="356" t="s">
        <v>91</v>
      </c>
      <c r="C571" s="357"/>
      <c r="D571" s="119"/>
      <c r="E571" s="114">
        <v>31.65</v>
      </c>
      <c r="F571" s="114">
        <f t="shared" si="118"/>
        <v>31.65</v>
      </c>
      <c r="G571" s="114" t="s">
        <v>58</v>
      </c>
      <c r="H571" s="114">
        <f t="shared" si="119"/>
        <v>18144.697500000002</v>
      </c>
      <c r="I571" s="114">
        <f t="shared" si="120"/>
        <v>3732.302499999998</v>
      </c>
      <c r="J571" s="115"/>
      <c r="K571" s="350"/>
      <c r="L571" s="351"/>
      <c r="S571" s="41"/>
      <c r="T571" s="41"/>
    </row>
    <row r="572" spans="1:20" s="40" customFormat="1" ht="13.5" customHeight="1">
      <c r="A572" s="359"/>
      <c r="B572" s="356" t="s">
        <v>91</v>
      </c>
      <c r="C572" s="357"/>
      <c r="D572" s="119"/>
      <c r="E572" s="114">
        <v>31.68</v>
      </c>
      <c r="F572" s="114">
        <f t="shared" si="118"/>
        <v>31.68</v>
      </c>
      <c r="G572" s="114" t="s">
        <v>58</v>
      </c>
      <c r="H572" s="114">
        <f t="shared" si="119"/>
        <v>18176.377500000002</v>
      </c>
      <c r="I572" s="114">
        <f t="shared" si="120"/>
        <v>3700.6224999999977</v>
      </c>
      <c r="J572" s="115"/>
      <c r="K572" s="350"/>
      <c r="L572" s="351"/>
      <c r="S572" s="41"/>
      <c r="T572" s="41"/>
    </row>
    <row r="573" spans="1:20" s="40" customFormat="1" ht="13.5" customHeight="1">
      <c r="A573" s="360"/>
      <c r="B573" s="356" t="s">
        <v>91</v>
      </c>
      <c r="C573" s="357"/>
      <c r="D573" s="119"/>
      <c r="E573" s="114">
        <v>31.67</v>
      </c>
      <c r="F573" s="114">
        <f t="shared" si="118"/>
        <v>31.67</v>
      </c>
      <c r="G573" s="114" t="s">
        <v>58</v>
      </c>
      <c r="H573" s="114">
        <f t="shared" si="119"/>
        <v>18208.047500000001</v>
      </c>
      <c r="I573" s="114">
        <f t="shared" si="120"/>
        <v>3668.9524999999994</v>
      </c>
      <c r="J573" s="115"/>
      <c r="K573" s="350"/>
      <c r="L573" s="351"/>
      <c r="S573" s="41"/>
      <c r="T573" s="41"/>
    </row>
    <row r="574" spans="1:20" s="40" customFormat="1" ht="13.5" customHeight="1">
      <c r="A574" s="358" t="s">
        <v>259</v>
      </c>
      <c r="B574" s="352" t="s">
        <v>91</v>
      </c>
      <c r="C574" s="353"/>
      <c r="D574" s="279"/>
      <c r="E574" s="111">
        <v>31.61</v>
      </c>
      <c r="F574" s="111">
        <f t="shared" si="118"/>
        <v>31.61</v>
      </c>
      <c r="G574" s="111" t="s">
        <v>58</v>
      </c>
      <c r="H574" s="111">
        <f t="shared" si="119"/>
        <v>18239.657500000001</v>
      </c>
      <c r="I574" s="111">
        <f t="shared" si="120"/>
        <v>3637.3424999999988</v>
      </c>
      <c r="J574" s="279"/>
      <c r="K574" s="350"/>
      <c r="L574" s="351"/>
      <c r="S574" s="41"/>
      <c r="T574" s="41"/>
    </row>
    <row r="575" spans="1:20" s="40" customFormat="1" ht="13.5" customHeight="1">
      <c r="A575" s="359"/>
      <c r="B575" s="352" t="s">
        <v>91</v>
      </c>
      <c r="C575" s="353"/>
      <c r="D575" s="177"/>
      <c r="E575" s="111">
        <v>31.74</v>
      </c>
      <c r="F575" s="111">
        <f t="shared" si="118"/>
        <v>31.74</v>
      </c>
      <c r="G575" s="111" t="s">
        <v>58</v>
      </c>
      <c r="H575" s="111">
        <f t="shared" si="119"/>
        <v>18271.397500000003</v>
      </c>
      <c r="I575" s="111">
        <f t="shared" si="120"/>
        <v>3605.6024999999972</v>
      </c>
      <c r="J575" s="112"/>
      <c r="K575" s="350"/>
      <c r="L575" s="351"/>
      <c r="S575" s="41"/>
      <c r="T575" s="41"/>
    </row>
    <row r="576" spans="1:20" s="40" customFormat="1" ht="13.5" customHeight="1">
      <c r="A576" s="359"/>
      <c r="B576" s="352" t="s">
        <v>91</v>
      </c>
      <c r="C576" s="353"/>
      <c r="D576" s="177"/>
      <c r="E576" s="111">
        <v>31.67</v>
      </c>
      <c r="F576" s="111">
        <f t="shared" si="118"/>
        <v>31.67</v>
      </c>
      <c r="G576" s="111" t="s">
        <v>58</v>
      </c>
      <c r="H576" s="111">
        <f t="shared" si="119"/>
        <v>18303.067500000001</v>
      </c>
      <c r="I576" s="111">
        <f t="shared" si="120"/>
        <v>3573.932499999999</v>
      </c>
      <c r="J576" s="112"/>
      <c r="K576" s="350"/>
      <c r="L576" s="351"/>
      <c r="S576" s="41"/>
      <c r="T576" s="41"/>
    </row>
    <row r="577" spans="1:20" s="40" customFormat="1" ht="13.5" customHeight="1">
      <c r="A577" s="360"/>
      <c r="B577" s="352" t="s">
        <v>91</v>
      </c>
      <c r="C577" s="353"/>
      <c r="D577" s="177"/>
      <c r="E577" s="111">
        <v>31.71</v>
      </c>
      <c r="F577" s="111">
        <f t="shared" si="118"/>
        <v>31.71</v>
      </c>
      <c r="G577" s="111" t="s">
        <v>58</v>
      </c>
      <c r="H577" s="111">
        <f t="shared" si="119"/>
        <v>18334.7775</v>
      </c>
      <c r="I577" s="111">
        <f t="shared" si="120"/>
        <v>3542.2224999999999</v>
      </c>
      <c r="J577" s="112"/>
      <c r="K577" s="350"/>
      <c r="L577" s="351"/>
      <c r="S577" s="41"/>
      <c r="T577" s="41"/>
    </row>
    <row r="578" spans="1:20" s="40" customFormat="1" ht="13.5" customHeight="1">
      <c r="A578" s="358" t="s">
        <v>260</v>
      </c>
      <c r="B578" s="356" t="s">
        <v>91</v>
      </c>
      <c r="C578" s="357"/>
      <c r="D578" s="44"/>
      <c r="E578" s="114">
        <v>31.77</v>
      </c>
      <c r="F578" s="114">
        <f t="shared" ref="F578:F581" si="121">E578</f>
        <v>31.77</v>
      </c>
      <c r="G578" s="114" t="s">
        <v>58</v>
      </c>
      <c r="H578" s="114">
        <f t="shared" si="119"/>
        <v>18366.547500000001</v>
      </c>
      <c r="I578" s="114">
        <f t="shared" si="120"/>
        <v>3510.4524999999994</v>
      </c>
      <c r="J578" s="44"/>
      <c r="K578" s="350"/>
      <c r="L578" s="351"/>
      <c r="S578" s="41"/>
      <c r="T578" s="41"/>
    </row>
    <row r="579" spans="1:20" s="40" customFormat="1" ht="13.5" customHeight="1">
      <c r="A579" s="359"/>
      <c r="B579" s="356" t="s">
        <v>91</v>
      </c>
      <c r="C579" s="357"/>
      <c r="D579" s="119"/>
      <c r="E579" s="114">
        <v>31.19</v>
      </c>
      <c r="F579" s="114">
        <f t="shared" si="121"/>
        <v>31.19</v>
      </c>
      <c r="G579" s="114" t="s">
        <v>58</v>
      </c>
      <c r="H579" s="114">
        <f t="shared" si="119"/>
        <v>18397.737499999999</v>
      </c>
      <c r="I579" s="114">
        <f t="shared" si="120"/>
        <v>3479.2625000000007</v>
      </c>
      <c r="J579" s="115"/>
      <c r="K579" s="350"/>
      <c r="L579" s="351"/>
      <c r="S579" s="41"/>
      <c r="T579" s="41"/>
    </row>
    <row r="580" spans="1:20" s="40" customFormat="1" ht="13.5" customHeight="1">
      <c r="A580" s="359"/>
      <c r="B580" s="356" t="s">
        <v>91</v>
      </c>
      <c r="C580" s="357"/>
      <c r="D580" s="119"/>
      <c r="E580" s="114">
        <v>31.7</v>
      </c>
      <c r="F580" s="114">
        <f t="shared" si="121"/>
        <v>31.7</v>
      </c>
      <c r="G580" s="114" t="s">
        <v>58</v>
      </c>
      <c r="H580" s="114">
        <f t="shared" si="119"/>
        <v>18429.4375</v>
      </c>
      <c r="I580" s="114">
        <f t="shared" si="120"/>
        <v>3447.5625</v>
      </c>
      <c r="J580" s="115"/>
      <c r="K580" s="350"/>
      <c r="L580" s="351"/>
      <c r="S580" s="41"/>
      <c r="T580" s="41"/>
    </row>
    <row r="581" spans="1:20" s="40" customFormat="1" ht="13.5" customHeight="1">
      <c r="A581" s="360"/>
      <c r="B581" s="356" t="s">
        <v>91</v>
      </c>
      <c r="C581" s="357"/>
      <c r="D581" s="119"/>
      <c r="E581" s="114">
        <v>31.65</v>
      </c>
      <c r="F581" s="114">
        <f t="shared" si="121"/>
        <v>31.65</v>
      </c>
      <c r="G581" s="114" t="s">
        <v>58</v>
      </c>
      <c r="H581" s="114">
        <f t="shared" si="119"/>
        <v>18461.087500000001</v>
      </c>
      <c r="I581" s="114">
        <f t="shared" si="120"/>
        <v>3415.9124999999985</v>
      </c>
      <c r="J581" s="115"/>
      <c r="K581" s="350"/>
      <c r="L581" s="351"/>
      <c r="S581" s="41"/>
      <c r="T581" s="41"/>
    </row>
    <row r="582" spans="1:20" s="40" customFormat="1" ht="13.5" customHeight="1">
      <c r="A582" s="358" t="s">
        <v>261</v>
      </c>
      <c r="B582" s="352" t="s">
        <v>91</v>
      </c>
      <c r="C582" s="353"/>
      <c r="D582" s="279"/>
      <c r="E582" s="111">
        <v>31.67</v>
      </c>
      <c r="F582" s="111">
        <f t="shared" si="118"/>
        <v>31.67</v>
      </c>
      <c r="G582" s="111" t="s">
        <v>58</v>
      </c>
      <c r="H582" s="111">
        <f t="shared" si="119"/>
        <v>18492.7575</v>
      </c>
      <c r="I582" s="111">
        <f t="shared" si="120"/>
        <v>3384.2425000000003</v>
      </c>
      <c r="J582" s="279"/>
      <c r="K582" s="350"/>
      <c r="L582" s="351"/>
      <c r="S582" s="41"/>
      <c r="T582" s="41"/>
    </row>
    <row r="583" spans="1:20" s="40" customFormat="1" ht="13.5" customHeight="1">
      <c r="A583" s="359"/>
      <c r="B583" s="352" t="s">
        <v>91</v>
      </c>
      <c r="C583" s="353"/>
      <c r="D583" s="177"/>
      <c r="E583" s="111">
        <v>31.62</v>
      </c>
      <c r="F583" s="111">
        <f t="shared" si="118"/>
        <v>31.62</v>
      </c>
      <c r="G583" s="111" t="s">
        <v>58</v>
      </c>
      <c r="H583" s="111">
        <f t="shared" si="119"/>
        <v>18524.377499999999</v>
      </c>
      <c r="I583" s="111">
        <f t="shared" si="120"/>
        <v>3352.6225000000013</v>
      </c>
      <c r="J583" s="112"/>
      <c r="K583" s="350"/>
      <c r="L583" s="351"/>
      <c r="S583" s="41"/>
      <c r="T583" s="41"/>
    </row>
    <row r="584" spans="1:20" s="40" customFormat="1" ht="13.5" customHeight="1">
      <c r="A584" s="359"/>
      <c r="B584" s="352" t="s">
        <v>91</v>
      </c>
      <c r="C584" s="353"/>
      <c r="D584" s="177"/>
      <c r="E584" s="111">
        <v>31.66</v>
      </c>
      <c r="F584" s="111">
        <f t="shared" si="118"/>
        <v>31.66</v>
      </c>
      <c r="G584" s="111" t="s">
        <v>58</v>
      </c>
      <c r="H584" s="111">
        <f t="shared" si="119"/>
        <v>18556.037499999999</v>
      </c>
      <c r="I584" s="111">
        <f t="shared" si="120"/>
        <v>3320.9625000000015</v>
      </c>
      <c r="J584" s="112"/>
      <c r="K584" s="350"/>
      <c r="L584" s="351"/>
      <c r="S584" s="41"/>
      <c r="T584" s="41"/>
    </row>
    <row r="585" spans="1:20" s="40" customFormat="1" ht="13.5" customHeight="1">
      <c r="A585" s="360"/>
      <c r="B585" s="352" t="s">
        <v>91</v>
      </c>
      <c r="C585" s="353"/>
      <c r="D585" s="177"/>
      <c r="E585" s="111">
        <v>31.77</v>
      </c>
      <c r="F585" s="111">
        <f t="shared" si="118"/>
        <v>31.77</v>
      </c>
      <c r="G585" s="111" t="s">
        <v>58</v>
      </c>
      <c r="H585" s="111">
        <f t="shared" si="119"/>
        <v>18587.807499999999</v>
      </c>
      <c r="I585" s="111">
        <f t="shared" si="120"/>
        <v>3289.192500000001</v>
      </c>
      <c r="J585" s="112"/>
      <c r="K585" s="350"/>
      <c r="L585" s="351"/>
      <c r="S585" s="41"/>
      <c r="T585" s="41"/>
    </row>
    <row r="586" spans="1:20" s="40" customFormat="1" ht="13.5" customHeight="1">
      <c r="A586" s="358" t="s">
        <v>262</v>
      </c>
      <c r="B586" s="356" t="s">
        <v>91</v>
      </c>
      <c r="C586" s="357"/>
      <c r="D586" s="272"/>
      <c r="E586" s="139">
        <v>31.7</v>
      </c>
      <c r="F586" s="139">
        <f t="shared" si="118"/>
        <v>31.7</v>
      </c>
      <c r="G586" s="139" t="s">
        <v>58</v>
      </c>
      <c r="H586" s="139">
        <f t="shared" si="119"/>
        <v>18619.5075</v>
      </c>
      <c r="I586" s="139">
        <f t="shared" si="120"/>
        <v>3257.4925000000003</v>
      </c>
      <c r="J586" s="140"/>
      <c r="K586" s="350"/>
      <c r="L586" s="351"/>
      <c r="S586" s="41"/>
      <c r="T586" s="41"/>
    </row>
    <row r="587" spans="1:20" s="40" customFormat="1" ht="13.5" customHeight="1">
      <c r="A587" s="359"/>
      <c r="B587" s="356" t="s">
        <v>91</v>
      </c>
      <c r="C587" s="357"/>
      <c r="D587" s="119"/>
      <c r="E587" s="114">
        <v>31.75</v>
      </c>
      <c r="F587" s="114">
        <f t="shared" ref="F587:F641" si="122">E587</f>
        <v>31.75</v>
      </c>
      <c r="G587" s="114" t="s">
        <v>58</v>
      </c>
      <c r="H587" s="114">
        <f t="shared" si="119"/>
        <v>18651.2575</v>
      </c>
      <c r="I587" s="114">
        <f t="shared" si="120"/>
        <v>3225.7425000000003</v>
      </c>
      <c r="J587" s="115"/>
      <c r="K587" s="350"/>
      <c r="L587" s="351"/>
      <c r="S587" s="41"/>
      <c r="T587" s="41"/>
    </row>
    <row r="588" spans="1:20" s="40" customFormat="1" ht="13.5" customHeight="1">
      <c r="A588" s="359"/>
      <c r="B588" s="356" t="s">
        <v>91</v>
      </c>
      <c r="C588" s="357"/>
      <c r="D588" s="119"/>
      <c r="E588" s="114">
        <v>31.73</v>
      </c>
      <c r="F588" s="114">
        <f t="shared" si="122"/>
        <v>31.73</v>
      </c>
      <c r="G588" s="114" t="s">
        <v>58</v>
      </c>
      <c r="H588" s="114">
        <f t="shared" si="119"/>
        <v>18682.987499999999</v>
      </c>
      <c r="I588" s="114">
        <f t="shared" si="120"/>
        <v>3194.0125000000007</v>
      </c>
      <c r="J588" s="115"/>
      <c r="K588" s="350"/>
      <c r="L588" s="351"/>
      <c r="S588" s="41"/>
      <c r="T588" s="41"/>
    </row>
    <row r="589" spans="1:20" s="40" customFormat="1" ht="13.5" customHeight="1">
      <c r="A589" s="360"/>
      <c r="B589" s="356" t="s">
        <v>91</v>
      </c>
      <c r="C589" s="357"/>
      <c r="D589" s="119"/>
      <c r="E589" s="114">
        <v>31.7</v>
      </c>
      <c r="F589" s="114">
        <f t="shared" si="122"/>
        <v>31.7</v>
      </c>
      <c r="G589" s="114" t="s">
        <v>58</v>
      </c>
      <c r="H589" s="114">
        <f t="shared" si="119"/>
        <v>18714.6875</v>
      </c>
      <c r="I589" s="114">
        <f t="shared" si="120"/>
        <v>3162.3125</v>
      </c>
      <c r="J589" s="115"/>
      <c r="K589" s="350"/>
      <c r="L589" s="351"/>
      <c r="S589" s="41"/>
      <c r="T589" s="41"/>
    </row>
    <row r="590" spans="1:20" s="40" customFormat="1" ht="13.5" customHeight="1">
      <c r="A590" s="358" t="s">
        <v>263</v>
      </c>
      <c r="B590" s="352" t="s">
        <v>91</v>
      </c>
      <c r="C590" s="353"/>
      <c r="D590" s="279"/>
      <c r="E590" s="111">
        <v>31.7</v>
      </c>
      <c r="F590" s="111">
        <f t="shared" si="122"/>
        <v>31.7</v>
      </c>
      <c r="G590" s="111" t="s">
        <v>58</v>
      </c>
      <c r="H590" s="111">
        <f t="shared" si="119"/>
        <v>18746.387500000001</v>
      </c>
      <c r="I590" s="111">
        <f t="shared" si="120"/>
        <v>3130.6124999999993</v>
      </c>
      <c r="J590" s="279"/>
      <c r="K590" s="350"/>
      <c r="L590" s="351"/>
      <c r="S590" s="41"/>
      <c r="T590" s="41"/>
    </row>
    <row r="591" spans="1:20" s="40" customFormat="1" ht="13.5" customHeight="1">
      <c r="A591" s="359"/>
      <c r="B591" s="352" t="s">
        <v>91</v>
      </c>
      <c r="C591" s="353"/>
      <c r="D591" s="177"/>
      <c r="E591" s="111">
        <v>31.68</v>
      </c>
      <c r="F591" s="111">
        <f t="shared" si="122"/>
        <v>31.68</v>
      </c>
      <c r="G591" s="111" t="s">
        <v>58</v>
      </c>
      <c r="H591" s="111">
        <f t="shared" si="119"/>
        <v>18778.067500000001</v>
      </c>
      <c r="I591" s="111">
        <f t="shared" si="120"/>
        <v>3098.932499999999</v>
      </c>
      <c r="J591" s="112"/>
      <c r="K591" s="350"/>
      <c r="L591" s="351"/>
      <c r="S591" s="41"/>
      <c r="T591" s="41"/>
    </row>
    <row r="592" spans="1:20" s="40" customFormat="1" ht="13.5" customHeight="1">
      <c r="A592" s="359"/>
      <c r="B592" s="352" t="s">
        <v>91</v>
      </c>
      <c r="C592" s="353"/>
      <c r="D592" s="177"/>
      <c r="E592" s="111">
        <v>31.68</v>
      </c>
      <c r="F592" s="111">
        <f t="shared" si="122"/>
        <v>31.68</v>
      </c>
      <c r="G592" s="111" t="s">
        <v>58</v>
      </c>
      <c r="H592" s="111">
        <f t="shared" si="119"/>
        <v>18809.747500000001</v>
      </c>
      <c r="I592" s="111">
        <f t="shared" si="120"/>
        <v>3067.2524999999987</v>
      </c>
      <c r="J592" s="112"/>
      <c r="K592" s="350"/>
      <c r="L592" s="351"/>
      <c r="S592" s="41"/>
      <c r="T592" s="41"/>
    </row>
    <row r="593" spans="1:20" s="40" customFormat="1" ht="13.5" customHeight="1">
      <c r="A593" s="360"/>
      <c r="B593" s="352" t="s">
        <v>91</v>
      </c>
      <c r="C593" s="353"/>
      <c r="D593" s="177"/>
      <c r="E593" s="111">
        <v>31.62</v>
      </c>
      <c r="F593" s="111">
        <f t="shared" si="122"/>
        <v>31.62</v>
      </c>
      <c r="G593" s="111" t="s">
        <v>58</v>
      </c>
      <c r="H593" s="111">
        <f t="shared" si="119"/>
        <v>18841.3675</v>
      </c>
      <c r="I593" s="111">
        <f t="shared" si="120"/>
        <v>3035.6324999999997</v>
      </c>
      <c r="J593" s="112"/>
      <c r="K593" s="350"/>
      <c r="L593" s="351"/>
      <c r="S593" s="41"/>
      <c r="T593" s="41"/>
    </row>
    <row r="594" spans="1:20" s="40" customFormat="1" ht="13.5" customHeight="1">
      <c r="A594" s="358" t="s">
        <v>127</v>
      </c>
      <c r="B594" s="356" t="s">
        <v>91</v>
      </c>
      <c r="C594" s="357"/>
      <c r="D594" s="272"/>
      <c r="E594" s="139">
        <v>31.67</v>
      </c>
      <c r="F594" s="139">
        <f t="shared" si="122"/>
        <v>31.67</v>
      </c>
      <c r="G594" s="139" t="s">
        <v>58</v>
      </c>
      <c r="H594" s="139">
        <f t="shared" si="119"/>
        <v>18873.037499999999</v>
      </c>
      <c r="I594" s="139">
        <f t="shared" si="120"/>
        <v>3003.9625000000015</v>
      </c>
      <c r="J594" s="140"/>
      <c r="K594" s="350"/>
      <c r="L594" s="351"/>
      <c r="S594" s="41"/>
      <c r="T594" s="41"/>
    </row>
    <row r="595" spans="1:20" s="40" customFormat="1" ht="13.5" customHeight="1">
      <c r="A595" s="359"/>
      <c r="B595" s="356" t="s">
        <v>91</v>
      </c>
      <c r="C595" s="357"/>
      <c r="D595" s="119"/>
      <c r="E595" s="114">
        <v>31.62</v>
      </c>
      <c r="F595" s="114">
        <f t="shared" si="122"/>
        <v>31.62</v>
      </c>
      <c r="G595" s="114" t="s">
        <v>58</v>
      </c>
      <c r="H595" s="114">
        <f t="shared" si="119"/>
        <v>18904.657499999998</v>
      </c>
      <c r="I595" s="114">
        <f t="shared" si="120"/>
        <v>2972.3425000000025</v>
      </c>
      <c r="J595" s="115"/>
      <c r="K595" s="350"/>
      <c r="L595" s="351"/>
      <c r="S595" s="41"/>
      <c r="T595" s="41"/>
    </row>
    <row r="596" spans="1:20" s="40" customFormat="1" ht="13.5" customHeight="1">
      <c r="A596" s="359"/>
      <c r="B596" s="356" t="s">
        <v>91</v>
      </c>
      <c r="C596" s="357"/>
      <c r="D596" s="119"/>
      <c r="E596" s="114">
        <v>31.66</v>
      </c>
      <c r="F596" s="114">
        <f t="shared" si="122"/>
        <v>31.66</v>
      </c>
      <c r="G596" s="114" t="s">
        <v>58</v>
      </c>
      <c r="H596" s="114">
        <f t="shared" si="119"/>
        <v>18936.317499999997</v>
      </c>
      <c r="I596" s="114">
        <f t="shared" si="120"/>
        <v>2940.6825000000026</v>
      </c>
      <c r="J596" s="115"/>
      <c r="K596" s="350"/>
      <c r="L596" s="351"/>
      <c r="S596" s="41"/>
      <c r="T596" s="41"/>
    </row>
    <row r="597" spans="1:20" s="40" customFormat="1" ht="13.5" customHeight="1">
      <c r="A597" s="360"/>
      <c r="B597" s="356" t="s">
        <v>91</v>
      </c>
      <c r="C597" s="357"/>
      <c r="D597" s="119"/>
      <c r="E597" s="114">
        <v>31.67</v>
      </c>
      <c r="F597" s="114">
        <f t="shared" si="122"/>
        <v>31.67</v>
      </c>
      <c r="G597" s="114" t="s">
        <v>58</v>
      </c>
      <c r="H597" s="114">
        <f t="shared" si="119"/>
        <v>18967.987499999996</v>
      </c>
      <c r="I597" s="114">
        <f t="shared" si="120"/>
        <v>2909.0125000000044</v>
      </c>
      <c r="J597" s="115"/>
      <c r="K597" s="350"/>
      <c r="L597" s="351"/>
      <c r="S597" s="41"/>
      <c r="T597" s="41"/>
    </row>
    <row r="598" spans="1:20" s="40" customFormat="1" ht="13.5" customHeight="1">
      <c r="A598" s="358" t="s">
        <v>128</v>
      </c>
      <c r="B598" s="352" t="s">
        <v>91</v>
      </c>
      <c r="C598" s="353"/>
      <c r="D598" s="279"/>
      <c r="E598" s="111">
        <v>31.61</v>
      </c>
      <c r="F598" s="111">
        <f t="shared" si="122"/>
        <v>31.61</v>
      </c>
      <c r="G598" s="111" t="s">
        <v>58</v>
      </c>
      <c r="H598" s="111">
        <f t="shared" si="119"/>
        <v>18999.597499999996</v>
      </c>
      <c r="I598" s="111">
        <f t="shared" si="120"/>
        <v>2877.4025000000038</v>
      </c>
      <c r="J598" s="279"/>
      <c r="K598" s="350"/>
      <c r="L598" s="351"/>
      <c r="S598" s="41"/>
      <c r="T598" s="41"/>
    </row>
    <row r="599" spans="1:20" s="40" customFormat="1" ht="13.5" customHeight="1">
      <c r="A599" s="359"/>
      <c r="B599" s="352" t="s">
        <v>91</v>
      </c>
      <c r="C599" s="353"/>
      <c r="D599" s="177"/>
      <c r="E599" s="111">
        <v>31.65</v>
      </c>
      <c r="F599" s="111">
        <f t="shared" si="122"/>
        <v>31.65</v>
      </c>
      <c r="G599" s="111" t="s">
        <v>58</v>
      </c>
      <c r="H599" s="111">
        <f t="shared" si="119"/>
        <v>19031.247499999998</v>
      </c>
      <c r="I599" s="111">
        <f t="shared" si="120"/>
        <v>2845.7525000000023</v>
      </c>
      <c r="J599" s="112"/>
      <c r="K599" s="350"/>
      <c r="L599" s="351"/>
      <c r="S599" s="41"/>
      <c r="T599" s="41"/>
    </row>
    <row r="600" spans="1:20" s="40" customFormat="1" ht="13.5" customHeight="1">
      <c r="A600" s="359"/>
      <c r="B600" s="352" t="s">
        <v>91</v>
      </c>
      <c r="C600" s="353"/>
      <c r="D600" s="177"/>
      <c r="E600" s="111">
        <v>31.73</v>
      </c>
      <c r="F600" s="111">
        <f t="shared" si="122"/>
        <v>31.73</v>
      </c>
      <c r="G600" s="111" t="s">
        <v>58</v>
      </c>
      <c r="H600" s="111">
        <f t="shared" si="119"/>
        <v>19062.977499999997</v>
      </c>
      <c r="I600" s="111">
        <f t="shared" si="120"/>
        <v>2814.0225000000028</v>
      </c>
      <c r="J600" s="112"/>
      <c r="K600" s="350"/>
      <c r="L600" s="351"/>
      <c r="S600" s="41"/>
      <c r="T600" s="41"/>
    </row>
    <row r="601" spans="1:20" s="40" customFormat="1" ht="13.5" customHeight="1">
      <c r="A601" s="360"/>
      <c r="B601" s="352" t="s">
        <v>91</v>
      </c>
      <c r="C601" s="353"/>
      <c r="D601" s="177"/>
      <c r="E601" s="111">
        <v>31.72</v>
      </c>
      <c r="F601" s="111">
        <f t="shared" si="122"/>
        <v>31.72</v>
      </c>
      <c r="G601" s="111" t="s">
        <v>58</v>
      </c>
      <c r="H601" s="111">
        <f t="shared" si="119"/>
        <v>19094.697499999998</v>
      </c>
      <c r="I601" s="111">
        <f t="shared" si="120"/>
        <v>2782.3025000000016</v>
      </c>
      <c r="J601" s="112"/>
      <c r="K601" s="350"/>
      <c r="L601" s="351"/>
      <c r="S601" s="41"/>
      <c r="T601" s="41"/>
    </row>
    <row r="602" spans="1:20" s="40" customFormat="1" ht="13.5" customHeight="1">
      <c r="A602" s="358" t="s">
        <v>264</v>
      </c>
      <c r="B602" s="356" t="s">
        <v>91</v>
      </c>
      <c r="C602" s="357"/>
      <c r="D602" s="272"/>
      <c r="E602" s="139">
        <v>31.66</v>
      </c>
      <c r="F602" s="139">
        <f t="shared" si="122"/>
        <v>31.66</v>
      </c>
      <c r="G602" s="139" t="s">
        <v>58</v>
      </c>
      <c r="H602" s="139">
        <f t="shared" si="119"/>
        <v>19126.357499999998</v>
      </c>
      <c r="I602" s="139">
        <f t="shared" si="120"/>
        <v>2750.6425000000017</v>
      </c>
      <c r="J602" s="140"/>
      <c r="K602" s="350"/>
      <c r="L602" s="351"/>
      <c r="S602" s="41"/>
      <c r="T602" s="41"/>
    </row>
    <row r="603" spans="1:20" s="40" customFormat="1" ht="13.5" customHeight="1">
      <c r="A603" s="359"/>
      <c r="B603" s="356" t="s">
        <v>91</v>
      </c>
      <c r="C603" s="357"/>
      <c r="D603" s="119"/>
      <c r="E603" s="114">
        <v>31.64</v>
      </c>
      <c r="F603" s="114">
        <f t="shared" si="122"/>
        <v>31.64</v>
      </c>
      <c r="G603" s="114" t="s">
        <v>58</v>
      </c>
      <c r="H603" s="114">
        <f t="shared" si="119"/>
        <v>19157.997499999998</v>
      </c>
      <c r="I603" s="114">
        <f t="shared" si="120"/>
        <v>2719.0025000000023</v>
      </c>
      <c r="J603" s="115"/>
      <c r="K603" s="350"/>
      <c r="L603" s="351"/>
      <c r="S603" s="41"/>
      <c r="T603" s="41"/>
    </row>
    <row r="604" spans="1:20" s="40" customFormat="1" ht="13.5" customHeight="1">
      <c r="A604" s="359"/>
      <c r="B604" s="356" t="s">
        <v>91</v>
      </c>
      <c r="C604" s="357"/>
      <c r="D604" s="119"/>
      <c r="E604" s="114">
        <v>31.68</v>
      </c>
      <c r="F604" s="114">
        <f t="shared" si="122"/>
        <v>31.68</v>
      </c>
      <c r="G604" s="114" t="s">
        <v>58</v>
      </c>
      <c r="H604" s="114">
        <f t="shared" si="119"/>
        <v>19189.677499999998</v>
      </c>
      <c r="I604" s="114">
        <f t="shared" si="120"/>
        <v>2687.322500000002</v>
      </c>
      <c r="J604" s="115"/>
      <c r="K604" s="350"/>
      <c r="L604" s="351"/>
      <c r="S604" s="41"/>
      <c r="T604" s="41"/>
    </row>
    <row r="605" spans="1:20" s="40" customFormat="1" ht="13.5" customHeight="1">
      <c r="A605" s="360"/>
      <c r="B605" s="356" t="s">
        <v>91</v>
      </c>
      <c r="C605" s="357"/>
      <c r="D605" s="119"/>
      <c r="E605" s="114">
        <v>31.61</v>
      </c>
      <c r="F605" s="114">
        <f t="shared" si="122"/>
        <v>31.61</v>
      </c>
      <c r="G605" s="114" t="s">
        <v>58</v>
      </c>
      <c r="H605" s="114">
        <f t="shared" si="119"/>
        <v>19221.287499999999</v>
      </c>
      <c r="I605" s="114">
        <f t="shared" si="120"/>
        <v>2655.7125000000015</v>
      </c>
      <c r="J605" s="115"/>
      <c r="K605" s="350"/>
      <c r="L605" s="351"/>
      <c r="S605" s="41"/>
      <c r="T605" s="41"/>
    </row>
    <row r="606" spans="1:20" s="40" customFormat="1" ht="13.5" customHeight="1">
      <c r="A606" s="358" t="s">
        <v>129</v>
      </c>
      <c r="B606" s="352" t="s">
        <v>91</v>
      </c>
      <c r="C606" s="353"/>
      <c r="D606" s="279"/>
      <c r="E606" s="111">
        <v>31.65</v>
      </c>
      <c r="F606" s="111">
        <f t="shared" si="122"/>
        <v>31.65</v>
      </c>
      <c r="G606" s="111" t="s">
        <v>58</v>
      </c>
      <c r="H606" s="111">
        <f t="shared" si="119"/>
        <v>19252.9375</v>
      </c>
      <c r="I606" s="111">
        <f t="shared" si="120"/>
        <v>2624.0625</v>
      </c>
      <c r="J606" s="279"/>
      <c r="K606" s="350"/>
      <c r="L606" s="351"/>
      <c r="S606" s="41"/>
      <c r="T606" s="41"/>
    </row>
    <row r="607" spans="1:20" s="40" customFormat="1" ht="13.5" customHeight="1">
      <c r="A607" s="359"/>
      <c r="B607" s="352" t="s">
        <v>91</v>
      </c>
      <c r="C607" s="353"/>
      <c r="D607" s="177"/>
      <c r="E607" s="111">
        <v>31.72</v>
      </c>
      <c r="F607" s="111">
        <f t="shared" si="122"/>
        <v>31.72</v>
      </c>
      <c r="G607" s="111" t="s">
        <v>58</v>
      </c>
      <c r="H607" s="111">
        <f t="shared" si="119"/>
        <v>19284.657500000001</v>
      </c>
      <c r="I607" s="111">
        <f t="shared" si="120"/>
        <v>2592.3424999999988</v>
      </c>
      <c r="J607" s="112"/>
      <c r="K607" s="350"/>
      <c r="L607" s="351"/>
      <c r="S607" s="41"/>
      <c r="T607" s="41"/>
    </row>
    <row r="608" spans="1:20" s="40" customFormat="1" ht="13.5" customHeight="1">
      <c r="A608" s="359"/>
      <c r="B608" s="352" t="s">
        <v>91</v>
      </c>
      <c r="C608" s="353"/>
      <c r="D608" s="177"/>
      <c r="E608" s="111">
        <v>31.68</v>
      </c>
      <c r="F608" s="111">
        <f t="shared" si="122"/>
        <v>31.68</v>
      </c>
      <c r="G608" s="111" t="s">
        <v>58</v>
      </c>
      <c r="H608" s="111">
        <f t="shared" si="119"/>
        <v>19316.337500000001</v>
      </c>
      <c r="I608" s="111">
        <f t="shared" si="120"/>
        <v>2560.6624999999985</v>
      </c>
      <c r="J608" s="112"/>
      <c r="K608" s="350"/>
      <c r="L608" s="351"/>
      <c r="S608" s="41"/>
      <c r="T608" s="41"/>
    </row>
    <row r="609" spans="1:20" s="40" customFormat="1" ht="13.5" customHeight="1">
      <c r="A609" s="360"/>
      <c r="B609" s="352" t="s">
        <v>91</v>
      </c>
      <c r="C609" s="353"/>
      <c r="D609" s="177"/>
      <c r="E609" s="111">
        <v>31.65</v>
      </c>
      <c r="F609" s="111">
        <f t="shared" si="122"/>
        <v>31.65</v>
      </c>
      <c r="G609" s="111" t="s">
        <v>58</v>
      </c>
      <c r="H609" s="111">
        <f t="shared" si="119"/>
        <v>19347.987500000003</v>
      </c>
      <c r="I609" s="111">
        <f t="shared" si="120"/>
        <v>2529.0124999999971</v>
      </c>
      <c r="J609" s="112"/>
      <c r="K609" s="350"/>
      <c r="L609" s="351"/>
      <c r="S609" s="41"/>
      <c r="T609" s="41"/>
    </row>
    <row r="610" spans="1:20" s="40" customFormat="1" ht="13.5" customHeight="1">
      <c r="A610" s="358" t="s">
        <v>265</v>
      </c>
      <c r="B610" s="356" t="s">
        <v>91</v>
      </c>
      <c r="C610" s="357"/>
      <c r="D610" s="272"/>
      <c r="E610" s="139">
        <v>31.67</v>
      </c>
      <c r="F610" s="139">
        <f t="shared" si="122"/>
        <v>31.67</v>
      </c>
      <c r="G610" s="139" t="s">
        <v>58</v>
      </c>
      <c r="H610" s="139">
        <f t="shared" si="119"/>
        <v>19379.657500000001</v>
      </c>
      <c r="I610" s="139">
        <f t="shared" si="120"/>
        <v>2497.3424999999988</v>
      </c>
      <c r="J610" s="140"/>
      <c r="K610" s="350"/>
      <c r="L610" s="351"/>
      <c r="S610" s="41"/>
      <c r="T610" s="41"/>
    </row>
    <row r="611" spans="1:20" s="40" customFormat="1" ht="13.5" customHeight="1">
      <c r="A611" s="359"/>
      <c r="B611" s="356" t="s">
        <v>91</v>
      </c>
      <c r="C611" s="357"/>
      <c r="D611" s="119"/>
      <c r="E611" s="114">
        <v>31.68</v>
      </c>
      <c r="F611" s="114">
        <f t="shared" si="122"/>
        <v>31.68</v>
      </c>
      <c r="G611" s="114" t="s">
        <v>58</v>
      </c>
      <c r="H611" s="114">
        <f t="shared" si="119"/>
        <v>19411.337500000001</v>
      </c>
      <c r="I611" s="114">
        <f t="shared" si="120"/>
        <v>2465.6624999999985</v>
      </c>
      <c r="J611" s="115"/>
      <c r="K611" s="350"/>
      <c r="L611" s="351"/>
      <c r="S611" s="41"/>
      <c r="T611" s="41"/>
    </row>
    <row r="612" spans="1:20" s="40" customFormat="1" ht="13.5" customHeight="1">
      <c r="A612" s="359"/>
      <c r="B612" s="356" t="s">
        <v>91</v>
      </c>
      <c r="C612" s="357"/>
      <c r="D612" s="119"/>
      <c r="E612" s="114">
        <v>31.68</v>
      </c>
      <c r="F612" s="114">
        <f t="shared" si="122"/>
        <v>31.68</v>
      </c>
      <c r="G612" s="114" t="s">
        <v>58</v>
      </c>
      <c r="H612" s="114">
        <f t="shared" si="119"/>
        <v>19443.017500000002</v>
      </c>
      <c r="I612" s="114">
        <f t="shared" si="120"/>
        <v>2433.9824999999983</v>
      </c>
      <c r="J612" s="115"/>
      <c r="K612" s="350"/>
      <c r="L612" s="351"/>
      <c r="S612" s="41"/>
      <c r="T612" s="41"/>
    </row>
    <row r="613" spans="1:20" s="40" customFormat="1" ht="13.5" customHeight="1">
      <c r="A613" s="360"/>
      <c r="B613" s="356" t="s">
        <v>91</v>
      </c>
      <c r="C613" s="357"/>
      <c r="D613" s="119"/>
      <c r="E613" s="114">
        <v>31.7</v>
      </c>
      <c r="F613" s="114">
        <f t="shared" si="122"/>
        <v>31.7</v>
      </c>
      <c r="G613" s="114" t="s">
        <v>58</v>
      </c>
      <c r="H613" s="114">
        <f t="shared" si="119"/>
        <v>19474.717500000002</v>
      </c>
      <c r="I613" s="114">
        <f t="shared" si="120"/>
        <v>2402.2824999999975</v>
      </c>
      <c r="J613" s="115"/>
      <c r="K613" s="350"/>
      <c r="L613" s="351"/>
      <c r="S613" s="41"/>
      <c r="T613" s="41"/>
    </row>
    <row r="614" spans="1:20" s="40" customFormat="1" ht="13.5" customHeight="1">
      <c r="A614" s="358" t="s">
        <v>130</v>
      </c>
      <c r="B614" s="352" t="s">
        <v>91</v>
      </c>
      <c r="C614" s="353"/>
      <c r="D614" s="279"/>
      <c r="E614" s="111">
        <v>31.61</v>
      </c>
      <c r="F614" s="111">
        <f t="shared" si="122"/>
        <v>31.61</v>
      </c>
      <c r="G614" s="111" t="s">
        <v>58</v>
      </c>
      <c r="H614" s="111">
        <f t="shared" si="119"/>
        <v>19506.327500000003</v>
      </c>
      <c r="I614" s="111">
        <f t="shared" si="120"/>
        <v>2370.6724999999969</v>
      </c>
      <c r="J614" s="279"/>
      <c r="K614" s="350"/>
      <c r="L614" s="351"/>
      <c r="S614" s="41"/>
      <c r="T614" s="41"/>
    </row>
    <row r="615" spans="1:20" s="40" customFormat="1" ht="13.5" customHeight="1">
      <c r="A615" s="359"/>
      <c r="B615" s="352" t="s">
        <v>91</v>
      </c>
      <c r="C615" s="353"/>
      <c r="D615" s="177"/>
      <c r="E615" s="111">
        <v>31.69</v>
      </c>
      <c r="F615" s="111">
        <f t="shared" si="122"/>
        <v>31.69</v>
      </c>
      <c r="G615" s="111" t="s">
        <v>58</v>
      </c>
      <c r="H615" s="111">
        <f t="shared" si="119"/>
        <v>19538.017500000002</v>
      </c>
      <c r="I615" s="111">
        <f t="shared" si="120"/>
        <v>2338.9824999999983</v>
      </c>
      <c r="J615" s="112"/>
      <c r="K615" s="350"/>
      <c r="L615" s="351"/>
      <c r="S615" s="41"/>
      <c r="T615" s="41"/>
    </row>
    <row r="616" spans="1:20" s="40" customFormat="1" ht="13.5" customHeight="1">
      <c r="A616" s="359"/>
      <c r="B616" s="352" t="s">
        <v>91</v>
      </c>
      <c r="C616" s="353"/>
      <c r="D616" s="177"/>
      <c r="E616" s="111">
        <v>31.65</v>
      </c>
      <c r="F616" s="111">
        <f t="shared" si="122"/>
        <v>31.65</v>
      </c>
      <c r="G616" s="111" t="s">
        <v>58</v>
      </c>
      <c r="H616" s="111">
        <f t="shared" si="119"/>
        <v>19569.667500000003</v>
      </c>
      <c r="I616" s="111">
        <f t="shared" si="120"/>
        <v>2307.3324999999968</v>
      </c>
      <c r="J616" s="112"/>
      <c r="K616" s="350"/>
      <c r="L616" s="351"/>
      <c r="S616" s="41"/>
      <c r="T616" s="41"/>
    </row>
    <row r="617" spans="1:20" s="40" customFormat="1" ht="13.5" customHeight="1">
      <c r="A617" s="360"/>
      <c r="B617" s="352" t="s">
        <v>91</v>
      </c>
      <c r="C617" s="353"/>
      <c r="D617" s="177"/>
      <c r="E617" s="111">
        <v>31.6</v>
      </c>
      <c r="F617" s="111">
        <f t="shared" si="122"/>
        <v>31.6</v>
      </c>
      <c r="G617" s="111" t="s">
        <v>58</v>
      </c>
      <c r="H617" s="111">
        <f t="shared" si="119"/>
        <v>19601.267500000002</v>
      </c>
      <c r="I617" s="111">
        <f t="shared" si="120"/>
        <v>2275.7324999999983</v>
      </c>
      <c r="J617" s="112"/>
      <c r="K617" s="350"/>
      <c r="L617" s="351"/>
      <c r="S617" s="41"/>
      <c r="T617" s="41"/>
    </row>
    <row r="618" spans="1:20" s="40" customFormat="1" ht="13.5" customHeight="1">
      <c r="A618" s="358" t="s">
        <v>266</v>
      </c>
      <c r="B618" s="356" t="s">
        <v>91</v>
      </c>
      <c r="C618" s="357"/>
      <c r="D618" s="272"/>
      <c r="E618" s="139">
        <v>31.69</v>
      </c>
      <c r="F618" s="139">
        <f t="shared" si="122"/>
        <v>31.69</v>
      </c>
      <c r="G618" s="139" t="s">
        <v>58</v>
      </c>
      <c r="H618" s="139">
        <f t="shared" si="119"/>
        <v>19632.9575</v>
      </c>
      <c r="I618" s="139">
        <f t="shared" si="120"/>
        <v>2244.0424999999996</v>
      </c>
      <c r="J618" s="140"/>
      <c r="K618" s="350"/>
      <c r="L618" s="351"/>
      <c r="S618" s="41"/>
      <c r="T618" s="41"/>
    </row>
    <row r="619" spans="1:20" s="40" customFormat="1" ht="13.5" customHeight="1">
      <c r="A619" s="359"/>
      <c r="B619" s="356" t="s">
        <v>91</v>
      </c>
      <c r="C619" s="357"/>
      <c r="D619" s="119"/>
      <c r="E619" s="114">
        <v>31.64</v>
      </c>
      <c r="F619" s="114">
        <f t="shared" si="122"/>
        <v>31.64</v>
      </c>
      <c r="G619" s="114" t="s">
        <v>58</v>
      </c>
      <c r="H619" s="114">
        <f t="shared" si="119"/>
        <v>19664.5975</v>
      </c>
      <c r="I619" s="114">
        <f t="shared" si="120"/>
        <v>2212.4025000000001</v>
      </c>
      <c r="J619" s="115"/>
      <c r="K619" s="350"/>
      <c r="L619" s="351"/>
      <c r="S619" s="41"/>
      <c r="T619" s="41"/>
    </row>
    <row r="620" spans="1:20" s="40" customFormat="1" ht="13.5" customHeight="1">
      <c r="A620" s="359"/>
      <c r="B620" s="356" t="s">
        <v>91</v>
      </c>
      <c r="C620" s="357"/>
      <c r="D620" s="119"/>
      <c r="E620" s="114">
        <v>31.64</v>
      </c>
      <c r="F620" s="114">
        <f t="shared" si="122"/>
        <v>31.64</v>
      </c>
      <c r="G620" s="114" t="s">
        <v>58</v>
      </c>
      <c r="H620" s="114">
        <f t="shared" si="119"/>
        <v>19696.237499999999</v>
      </c>
      <c r="I620" s="114">
        <f t="shared" si="120"/>
        <v>2180.7625000000007</v>
      </c>
      <c r="J620" s="115"/>
      <c r="K620" s="350"/>
      <c r="L620" s="351"/>
      <c r="S620" s="41"/>
      <c r="T620" s="41"/>
    </row>
    <row r="621" spans="1:20" s="40" customFormat="1" ht="13.5" customHeight="1">
      <c r="A621" s="360"/>
      <c r="B621" s="356" t="s">
        <v>91</v>
      </c>
      <c r="C621" s="357"/>
      <c r="D621" s="119"/>
      <c r="E621" s="114">
        <v>31.68</v>
      </c>
      <c r="F621" s="114">
        <f t="shared" si="122"/>
        <v>31.68</v>
      </c>
      <c r="G621" s="114" t="s">
        <v>58</v>
      </c>
      <c r="H621" s="114">
        <f t="shared" si="119"/>
        <v>19727.9175</v>
      </c>
      <c r="I621" s="114">
        <f t="shared" si="120"/>
        <v>2149.0825000000004</v>
      </c>
      <c r="J621" s="115"/>
      <c r="K621" s="350"/>
      <c r="L621" s="351"/>
      <c r="S621" s="41"/>
      <c r="T621" s="41"/>
    </row>
    <row r="622" spans="1:20" s="40" customFormat="1" ht="13.5" customHeight="1">
      <c r="A622" s="358" t="s">
        <v>131</v>
      </c>
      <c r="B622" s="352" t="s">
        <v>91</v>
      </c>
      <c r="C622" s="353"/>
      <c r="D622" s="279"/>
      <c r="E622" s="111">
        <v>31.68</v>
      </c>
      <c r="F622" s="111">
        <f t="shared" si="122"/>
        <v>31.68</v>
      </c>
      <c r="G622" s="111" t="s">
        <v>58</v>
      </c>
      <c r="H622" s="111">
        <f t="shared" si="119"/>
        <v>19759.5975</v>
      </c>
      <c r="I622" s="111">
        <f t="shared" si="120"/>
        <v>2117.4025000000001</v>
      </c>
      <c r="J622" s="279"/>
      <c r="K622" s="350"/>
      <c r="L622" s="351"/>
      <c r="S622" s="41"/>
      <c r="T622" s="41"/>
    </row>
    <row r="623" spans="1:20" s="40" customFormat="1" ht="14.45" customHeight="1">
      <c r="A623" s="359"/>
      <c r="B623" s="352" t="s">
        <v>91</v>
      </c>
      <c r="C623" s="353"/>
      <c r="D623" s="177"/>
      <c r="E623" s="111">
        <v>31.68</v>
      </c>
      <c r="F623" s="111">
        <f t="shared" si="122"/>
        <v>31.68</v>
      </c>
      <c r="G623" s="111" t="s">
        <v>58</v>
      </c>
      <c r="H623" s="111">
        <f t="shared" ref="H623:H696" si="123">IF(G623="IN",H622+F623,H622)</f>
        <v>19791.2775</v>
      </c>
      <c r="I623" s="111">
        <f t="shared" ref="I623:I696" si="124">IF(H623="","",$K$8-H623)</f>
        <v>2085.7224999999999</v>
      </c>
      <c r="J623" s="112"/>
      <c r="K623" s="350"/>
      <c r="L623" s="351"/>
      <c r="S623" s="41"/>
      <c r="T623" s="41"/>
    </row>
    <row r="624" spans="1:20" s="40" customFormat="1" ht="13.5" customHeight="1">
      <c r="A624" s="359"/>
      <c r="B624" s="352" t="s">
        <v>91</v>
      </c>
      <c r="C624" s="353"/>
      <c r="D624" s="177"/>
      <c r="E624" s="111">
        <v>31.71</v>
      </c>
      <c r="F624" s="111">
        <f t="shared" si="122"/>
        <v>31.71</v>
      </c>
      <c r="G624" s="111" t="s">
        <v>58</v>
      </c>
      <c r="H624" s="111">
        <f t="shared" si="123"/>
        <v>19822.987499999999</v>
      </c>
      <c r="I624" s="111">
        <f t="shared" si="124"/>
        <v>2054.0125000000007</v>
      </c>
      <c r="J624" s="112"/>
      <c r="K624" s="350"/>
      <c r="L624" s="351"/>
      <c r="S624" s="41"/>
      <c r="T624" s="41"/>
    </row>
    <row r="625" spans="1:20" s="40" customFormat="1" ht="13.5" customHeight="1">
      <c r="A625" s="360"/>
      <c r="B625" s="352" t="s">
        <v>91</v>
      </c>
      <c r="C625" s="353"/>
      <c r="D625" s="177"/>
      <c r="E625" s="111">
        <v>31.63</v>
      </c>
      <c r="F625" s="111">
        <f t="shared" si="122"/>
        <v>31.63</v>
      </c>
      <c r="G625" s="111" t="s">
        <v>58</v>
      </c>
      <c r="H625" s="111">
        <f t="shared" si="123"/>
        <v>19854.6175</v>
      </c>
      <c r="I625" s="111">
        <f t="shared" si="124"/>
        <v>2022.3824999999997</v>
      </c>
      <c r="J625" s="112"/>
      <c r="K625" s="350"/>
      <c r="L625" s="351"/>
      <c r="S625" s="41"/>
      <c r="T625" s="41"/>
    </row>
    <row r="626" spans="1:20" s="40" customFormat="1" ht="13.5" customHeight="1">
      <c r="A626" s="358" t="s">
        <v>267</v>
      </c>
      <c r="B626" s="356" t="s">
        <v>91</v>
      </c>
      <c r="C626" s="357"/>
      <c r="D626" s="272"/>
      <c r="E626" s="139">
        <v>31.64</v>
      </c>
      <c r="F626" s="139">
        <f t="shared" si="122"/>
        <v>31.64</v>
      </c>
      <c r="G626" s="139" t="s">
        <v>58</v>
      </c>
      <c r="H626" s="139">
        <f t="shared" si="123"/>
        <v>19886.2575</v>
      </c>
      <c r="I626" s="139">
        <f t="shared" si="124"/>
        <v>1990.7425000000003</v>
      </c>
      <c r="J626" s="324"/>
      <c r="K626" s="350"/>
      <c r="L626" s="351"/>
      <c r="S626" s="41"/>
      <c r="T626" s="41"/>
    </row>
    <row r="627" spans="1:20" s="40" customFormat="1" ht="13.5" customHeight="1">
      <c r="A627" s="359"/>
      <c r="B627" s="356" t="s">
        <v>91</v>
      </c>
      <c r="C627" s="357"/>
      <c r="D627" s="119"/>
      <c r="E627" s="114">
        <v>31.64</v>
      </c>
      <c r="F627" s="114">
        <f t="shared" si="122"/>
        <v>31.64</v>
      </c>
      <c r="G627" s="114" t="s">
        <v>58</v>
      </c>
      <c r="H627" s="114">
        <f t="shared" si="123"/>
        <v>19917.897499999999</v>
      </c>
      <c r="I627" s="114">
        <f t="shared" si="124"/>
        <v>1959.1025000000009</v>
      </c>
      <c r="J627" s="325"/>
      <c r="K627" s="350"/>
      <c r="L627" s="351"/>
      <c r="S627" s="41"/>
      <c r="T627" s="41"/>
    </row>
    <row r="628" spans="1:20" s="40" customFormat="1" ht="13.5" customHeight="1">
      <c r="A628" s="359"/>
      <c r="B628" s="356" t="s">
        <v>91</v>
      </c>
      <c r="C628" s="357"/>
      <c r="D628" s="119"/>
      <c r="E628" s="114">
        <v>31.58</v>
      </c>
      <c r="F628" s="114">
        <f t="shared" si="122"/>
        <v>31.58</v>
      </c>
      <c r="G628" s="139" t="s">
        <v>58</v>
      </c>
      <c r="H628" s="114">
        <f t="shared" si="123"/>
        <v>19949.477500000001</v>
      </c>
      <c r="I628" s="114">
        <f t="shared" si="124"/>
        <v>1927.5224999999991</v>
      </c>
      <c r="J628" s="325"/>
      <c r="K628" s="350"/>
      <c r="L628" s="351"/>
      <c r="S628" s="41"/>
      <c r="T628" s="41"/>
    </row>
    <row r="629" spans="1:20" s="40" customFormat="1" ht="13.5" customHeight="1">
      <c r="A629" s="360"/>
      <c r="B629" s="356" t="s">
        <v>91</v>
      </c>
      <c r="C629" s="357"/>
      <c r="D629" s="119"/>
      <c r="E629" s="114">
        <v>31.59</v>
      </c>
      <c r="F629" s="114">
        <f t="shared" si="122"/>
        <v>31.59</v>
      </c>
      <c r="G629" s="139" t="s">
        <v>58</v>
      </c>
      <c r="H629" s="114">
        <f t="shared" si="123"/>
        <v>19981.067500000001</v>
      </c>
      <c r="I629" s="114">
        <f t="shared" si="124"/>
        <v>1895.932499999999</v>
      </c>
      <c r="J629" s="325"/>
      <c r="K629" s="350"/>
      <c r="L629" s="351"/>
      <c r="S629" s="41"/>
      <c r="T629" s="41"/>
    </row>
    <row r="630" spans="1:20" s="40" customFormat="1" ht="13.5" customHeight="1">
      <c r="A630" s="358" t="s">
        <v>132</v>
      </c>
      <c r="B630" s="352" t="s">
        <v>91</v>
      </c>
      <c r="C630" s="353"/>
      <c r="D630" s="279"/>
      <c r="E630" s="111">
        <v>31.64</v>
      </c>
      <c r="F630" s="111">
        <f t="shared" si="122"/>
        <v>31.64</v>
      </c>
      <c r="G630" s="111" t="s">
        <v>58</v>
      </c>
      <c r="H630" s="111">
        <f t="shared" si="123"/>
        <v>20012.7075</v>
      </c>
      <c r="I630" s="111">
        <f t="shared" si="124"/>
        <v>1864.2924999999996</v>
      </c>
      <c r="J630" s="279"/>
      <c r="K630" s="350"/>
      <c r="L630" s="351"/>
      <c r="S630" s="41"/>
      <c r="T630" s="41"/>
    </row>
    <row r="631" spans="1:20" s="40" customFormat="1" ht="13.5" customHeight="1">
      <c r="A631" s="359"/>
      <c r="B631" s="352" t="s">
        <v>91</v>
      </c>
      <c r="C631" s="353"/>
      <c r="D631" s="177"/>
      <c r="E631" s="111">
        <v>31.73</v>
      </c>
      <c r="F631" s="111">
        <f t="shared" si="122"/>
        <v>31.73</v>
      </c>
      <c r="G631" s="111" t="s">
        <v>58</v>
      </c>
      <c r="H631" s="111">
        <f t="shared" si="123"/>
        <v>20044.4375</v>
      </c>
      <c r="I631" s="111">
        <f t="shared" si="124"/>
        <v>1832.5625</v>
      </c>
      <c r="J631" s="112"/>
      <c r="K631" s="350"/>
      <c r="L631" s="351"/>
      <c r="S631" s="41"/>
      <c r="T631" s="41"/>
    </row>
    <row r="632" spans="1:20" s="40" customFormat="1" ht="13.5" customHeight="1">
      <c r="A632" s="359"/>
      <c r="B632" s="352" t="s">
        <v>91</v>
      </c>
      <c r="C632" s="353"/>
      <c r="D632" s="177"/>
      <c r="E632" s="111">
        <v>31.6</v>
      </c>
      <c r="F632" s="111">
        <f t="shared" si="122"/>
        <v>31.6</v>
      </c>
      <c r="G632" s="111" t="s">
        <v>58</v>
      </c>
      <c r="H632" s="111">
        <f t="shared" si="123"/>
        <v>20076.037499999999</v>
      </c>
      <c r="I632" s="111">
        <f t="shared" si="124"/>
        <v>1800.9625000000015</v>
      </c>
      <c r="J632" s="112"/>
      <c r="K632" s="350"/>
      <c r="L632" s="351"/>
      <c r="S632" s="41"/>
      <c r="T632" s="41"/>
    </row>
    <row r="633" spans="1:20" s="40" customFormat="1" ht="13.5" customHeight="1">
      <c r="A633" s="360"/>
      <c r="B633" s="352" t="s">
        <v>91</v>
      </c>
      <c r="C633" s="353"/>
      <c r="D633" s="177"/>
      <c r="E633" s="111">
        <v>31.73</v>
      </c>
      <c r="F633" s="111">
        <f t="shared" si="122"/>
        <v>31.73</v>
      </c>
      <c r="G633" s="111" t="s">
        <v>58</v>
      </c>
      <c r="H633" s="111">
        <f t="shared" si="123"/>
        <v>20107.767499999998</v>
      </c>
      <c r="I633" s="111">
        <f t="shared" si="124"/>
        <v>1769.2325000000019</v>
      </c>
      <c r="J633" s="112"/>
      <c r="K633" s="350"/>
      <c r="L633" s="351"/>
      <c r="S633" s="41"/>
      <c r="T633" s="41"/>
    </row>
    <row r="634" spans="1:20" s="40" customFormat="1" ht="13.5" customHeight="1">
      <c r="A634" s="358" t="s">
        <v>268</v>
      </c>
      <c r="B634" s="356" t="s">
        <v>91</v>
      </c>
      <c r="C634" s="357"/>
      <c r="D634" s="272"/>
      <c r="E634" s="139">
        <v>31.66</v>
      </c>
      <c r="F634" s="139">
        <f t="shared" si="122"/>
        <v>31.66</v>
      </c>
      <c r="G634" s="139" t="s">
        <v>58</v>
      </c>
      <c r="H634" s="139">
        <f t="shared" si="123"/>
        <v>20139.427499999998</v>
      </c>
      <c r="I634" s="139">
        <f t="shared" si="124"/>
        <v>1737.572500000002</v>
      </c>
      <c r="J634" s="140"/>
      <c r="K634" s="350"/>
      <c r="L634" s="351"/>
      <c r="S634" s="41"/>
      <c r="T634" s="41"/>
    </row>
    <row r="635" spans="1:20" s="40" customFormat="1" ht="13.5" customHeight="1">
      <c r="A635" s="359"/>
      <c r="B635" s="356" t="s">
        <v>91</v>
      </c>
      <c r="C635" s="357"/>
      <c r="D635" s="119"/>
      <c r="E635" s="114">
        <v>31.66</v>
      </c>
      <c r="F635" s="114">
        <f t="shared" si="122"/>
        <v>31.66</v>
      </c>
      <c r="G635" s="114" t="s">
        <v>58</v>
      </c>
      <c r="H635" s="114">
        <f t="shared" si="123"/>
        <v>20171.087499999998</v>
      </c>
      <c r="I635" s="114">
        <f t="shared" si="124"/>
        <v>1705.9125000000022</v>
      </c>
      <c r="J635" s="115"/>
      <c r="K635" s="350"/>
      <c r="L635" s="351"/>
      <c r="S635" s="41"/>
      <c r="T635" s="41"/>
    </row>
    <row r="636" spans="1:20" s="40" customFormat="1" ht="13.5" customHeight="1">
      <c r="A636" s="359"/>
      <c r="B636" s="356" t="s">
        <v>91</v>
      </c>
      <c r="C636" s="357"/>
      <c r="D636" s="119"/>
      <c r="E636" s="114">
        <v>31.65</v>
      </c>
      <c r="F636" s="114">
        <f t="shared" si="122"/>
        <v>31.65</v>
      </c>
      <c r="G636" s="114" t="s">
        <v>58</v>
      </c>
      <c r="H636" s="114">
        <f t="shared" si="123"/>
        <v>20202.737499999999</v>
      </c>
      <c r="I636" s="114">
        <f t="shared" si="124"/>
        <v>1674.2625000000007</v>
      </c>
      <c r="J636" s="115"/>
      <c r="K636" s="350"/>
      <c r="L636" s="351"/>
      <c r="S636" s="41"/>
      <c r="T636" s="41"/>
    </row>
    <row r="637" spans="1:20" s="40" customFormat="1" ht="13.5" customHeight="1">
      <c r="A637" s="360"/>
      <c r="B637" s="356" t="s">
        <v>91</v>
      </c>
      <c r="C637" s="357"/>
      <c r="D637" s="119"/>
      <c r="E637" s="114">
        <v>31.7</v>
      </c>
      <c r="F637" s="114">
        <f t="shared" si="122"/>
        <v>31.7</v>
      </c>
      <c r="G637" s="114" t="s">
        <v>58</v>
      </c>
      <c r="H637" s="114">
        <f t="shared" si="123"/>
        <v>20234.4375</v>
      </c>
      <c r="I637" s="114">
        <f t="shared" si="124"/>
        <v>1642.5625</v>
      </c>
      <c r="J637" s="115"/>
      <c r="K637" s="350"/>
      <c r="L637" s="351"/>
      <c r="S637" s="41"/>
      <c r="T637" s="41"/>
    </row>
    <row r="638" spans="1:20" s="40" customFormat="1" ht="13.5" customHeight="1">
      <c r="A638" s="358" t="s">
        <v>269</v>
      </c>
      <c r="B638" s="352" t="s">
        <v>91</v>
      </c>
      <c r="C638" s="353"/>
      <c r="D638" s="279"/>
      <c r="E638" s="111">
        <v>31.66</v>
      </c>
      <c r="F638" s="111">
        <f t="shared" si="122"/>
        <v>31.66</v>
      </c>
      <c r="G638" s="111" t="s">
        <v>58</v>
      </c>
      <c r="H638" s="111">
        <f t="shared" si="123"/>
        <v>20266.0975</v>
      </c>
      <c r="I638" s="111">
        <f t="shared" si="124"/>
        <v>1610.9025000000001</v>
      </c>
      <c r="J638" s="279"/>
      <c r="K638" s="350"/>
      <c r="L638" s="351"/>
      <c r="S638" s="41"/>
      <c r="T638" s="41"/>
    </row>
    <row r="639" spans="1:20" s="40" customFormat="1" ht="13.5" customHeight="1">
      <c r="A639" s="359"/>
      <c r="B639" s="352" t="s">
        <v>91</v>
      </c>
      <c r="C639" s="353"/>
      <c r="D639" s="177"/>
      <c r="E639" s="111">
        <v>31.72</v>
      </c>
      <c r="F639" s="111">
        <f t="shared" si="122"/>
        <v>31.72</v>
      </c>
      <c r="G639" s="111" t="s">
        <v>58</v>
      </c>
      <c r="H639" s="111">
        <f t="shared" si="123"/>
        <v>20297.817500000001</v>
      </c>
      <c r="I639" s="111">
        <f t="shared" si="124"/>
        <v>1579.182499999999</v>
      </c>
      <c r="J639" s="112"/>
      <c r="K639" s="350"/>
      <c r="L639" s="351"/>
      <c r="S639" s="41"/>
      <c r="T639" s="41"/>
    </row>
    <row r="640" spans="1:20" s="40" customFormat="1" ht="13.5" customHeight="1">
      <c r="A640" s="359"/>
      <c r="B640" s="352" t="s">
        <v>91</v>
      </c>
      <c r="C640" s="353"/>
      <c r="D640" s="177"/>
      <c r="E640" s="111">
        <v>31.52</v>
      </c>
      <c r="F640" s="111">
        <f t="shared" si="122"/>
        <v>31.52</v>
      </c>
      <c r="G640" s="111" t="s">
        <v>58</v>
      </c>
      <c r="H640" s="111">
        <f t="shared" ref="H640:H643" si="125">IF(G640="IN",H639+F640,H639)</f>
        <v>20329.337500000001</v>
      </c>
      <c r="I640" s="111">
        <f t="shared" ref="I640:I643" si="126">IF(H640="","",$K$8-H640)</f>
        <v>1547.6624999999985</v>
      </c>
      <c r="J640" s="112"/>
      <c r="K640" s="350"/>
      <c r="L640" s="351"/>
      <c r="S640" s="41"/>
      <c r="T640" s="41"/>
    </row>
    <row r="641" spans="1:20" s="40" customFormat="1" ht="13.5" customHeight="1">
      <c r="A641" s="360"/>
      <c r="B641" s="352" t="s">
        <v>91</v>
      </c>
      <c r="C641" s="353"/>
      <c r="D641" s="177"/>
      <c r="E641" s="111">
        <v>31.58</v>
      </c>
      <c r="F641" s="111">
        <f t="shared" si="122"/>
        <v>31.58</v>
      </c>
      <c r="G641" s="111" t="s">
        <v>58</v>
      </c>
      <c r="H641" s="111">
        <f t="shared" si="125"/>
        <v>20360.917500000003</v>
      </c>
      <c r="I641" s="111">
        <f t="shared" si="126"/>
        <v>1516.0824999999968</v>
      </c>
      <c r="J641" s="112"/>
      <c r="K641" s="350"/>
      <c r="L641" s="351"/>
      <c r="S641" s="41"/>
      <c r="T641" s="41"/>
    </row>
    <row r="642" spans="1:20" s="40" customFormat="1" ht="13.5" customHeight="1">
      <c r="A642" s="358" t="s">
        <v>133</v>
      </c>
      <c r="B642" s="352" t="s">
        <v>91</v>
      </c>
      <c r="C642" s="353"/>
      <c r="D642" s="279"/>
      <c r="E642" s="111">
        <v>31.64</v>
      </c>
      <c r="F642" s="111">
        <f t="shared" ref="F642:F689" si="127">E642</f>
        <v>31.64</v>
      </c>
      <c r="G642" s="111" t="s">
        <v>58</v>
      </c>
      <c r="H642" s="111">
        <f t="shared" si="125"/>
        <v>20392.557500000003</v>
      </c>
      <c r="I642" s="111">
        <f t="shared" si="126"/>
        <v>1484.4424999999974</v>
      </c>
      <c r="J642" s="279"/>
      <c r="K642" s="350"/>
      <c r="L642" s="351"/>
      <c r="S642" s="41"/>
      <c r="T642" s="41"/>
    </row>
    <row r="643" spans="1:20" s="40" customFormat="1" ht="13.5" customHeight="1">
      <c r="A643" s="359"/>
      <c r="B643" s="352" t="s">
        <v>91</v>
      </c>
      <c r="C643" s="353"/>
      <c r="D643" s="177"/>
      <c r="E643" s="111">
        <v>31.65</v>
      </c>
      <c r="F643" s="111">
        <f t="shared" si="127"/>
        <v>31.65</v>
      </c>
      <c r="G643" s="111" t="s">
        <v>58</v>
      </c>
      <c r="H643" s="111">
        <f t="shared" si="125"/>
        <v>20424.207500000004</v>
      </c>
      <c r="I643" s="111">
        <f t="shared" si="126"/>
        <v>1452.7924999999959</v>
      </c>
      <c r="J643" s="112"/>
      <c r="K643" s="350"/>
      <c r="L643" s="351"/>
      <c r="S643" s="41"/>
      <c r="T643" s="41"/>
    </row>
    <row r="644" spans="1:20" s="40" customFormat="1" ht="13.5" customHeight="1">
      <c r="A644" s="359"/>
      <c r="B644" s="352" t="s">
        <v>91</v>
      </c>
      <c r="C644" s="353"/>
      <c r="D644" s="177"/>
      <c r="E644" s="111">
        <v>31.71</v>
      </c>
      <c r="F644" s="111">
        <f t="shared" si="127"/>
        <v>31.71</v>
      </c>
      <c r="G644" s="111" t="s">
        <v>58</v>
      </c>
      <c r="H644" s="111">
        <f t="shared" ref="H644:H688" si="128">IF(G644="IN",H643+F644,H643)</f>
        <v>20455.917500000003</v>
      </c>
      <c r="I644" s="111">
        <f t="shared" ref="I644:I688" si="129">IF(H644="","",$K$8-H644)</f>
        <v>1421.0824999999968</v>
      </c>
      <c r="J644" s="112"/>
      <c r="K644" s="350"/>
      <c r="L644" s="351"/>
      <c r="S644" s="41"/>
      <c r="T644" s="41"/>
    </row>
    <row r="645" spans="1:20" s="40" customFormat="1" ht="13.5" customHeight="1">
      <c r="A645" s="360"/>
      <c r="B645" s="352" t="s">
        <v>91</v>
      </c>
      <c r="C645" s="353"/>
      <c r="D645" s="177"/>
      <c r="E645" s="111">
        <v>31.68</v>
      </c>
      <c r="F645" s="111">
        <f t="shared" si="127"/>
        <v>31.68</v>
      </c>
      <c r="G645" s="111" t="s">
        <v>58</v>
      </c>
      <c r="H645" s="111">
        <f t="shared" si="128"/>
        <v>20487.597500000003</v>
      </c>
      <c r="I645" s="111">
        <f t="shared" si="129"/>
        <v>1389.4024999999965</v>
      </c>
      <c r="J645" s="112"/>
      <c r="K645" s="350"/>
      <c r="L645" s="351"/>
      <c r="S645" s="41"/>
      <c r="T645" s="41"/>
    </row>
    <row r="646" spans="1:20" s="40" customFormat="1" ht="13.5" customHeight="1">
      <c r="A646" s="358" t="s">
        <v>134</v>
      </c>
      <c r="B646" s="356" t="s">
        <v>91</v>
      </c>
      <c r="C646" s="357"/>
      <c r="D646" s="44"/>
      <c r="E646" s="114">
        <v>31.71</v>
      </c>
      <c r="F646" s="114">
        <f t="shared" si="127"/>
        <v>31.71</v>
      </c>
      <c r="G646" s="114" t="s">
        <v>58</v>
      </c>
      <c r="H646" s="114">
        <f t="shared" si="128"/>
        <v>20519.307500000003</v>
      </c>
      <c r="I646" s="114">
        <f t="shared" si="129"/>
        <v>1357.6924999999974</v>
      </c>
      <c r="J646" s="44"/>
      <c r="K646" s="350"/>
      <c r="L646" s="351"/>
      <c r="S646" s="41"/>
      <c r="T646" s="41"/>
    </row>
    <row r="647" spans="1:20" s="40" customFormat="1" ht="13.5" customHeight="1">
      <c r="A647" s="359"/>
      <c r="B647" s="356" t="s">
        <v>91</v>
      </c>
      <c r="C647" s="357"/>
      <c r="D647" s="119"/>
      <c r="E647" s="114">
        <v>31.66</v>
      </c>
      <c r="F647" s="114">
        <f t="shared" si="127"/>
        <v>31.66</v>
      </c>
      <c r="G647" s="114" t="s">
        <v>58</v>
      </c>
      <c r="H647" s="114">
        <f t="shared" si="128"/>
        <v>20550.967500000002</v>
      </c>
      <c r="I647" s="114">
        <f t="shared" si="129"/>
        <v>1326.0324999999975</v>
      </c>
      <c r="J647" s="115"/>
      <c r="K647" s="350"/>
      <c r="L647" s="351"/>
      <c r="S647" s="41"/>
      <c r="T647" s="41"/>
    </row>
    <row r="648" spans="1:20" s="40" customFormat="1" ht="13.5" customHeight="1">
      <c r="A648" s="359"/>
      <c r="B648" s="356" t="s">
        <v>91</v>
      </c>
      <c r="C648" s="357"/>
      <c r="D648" s="119"/>
      <c r="E648" s="114">
        <v>31.61</v>
      </c>
      <c r="F648" s="114">
        <f t="shared" si="127"/>
        <v>31.61</v>
      </c>
      <c r="G648" s="114" t="s">
        <v>58</v>
      </c>
      <c r="H648" s="114">
        <f t="shared" si="128"/>
        <v>20582.577500000003</v>
      </c>
      <c r="I648" s="114">
        <f t="shared" si="129"/>
        <v>1294.4224999999969</v>
      </c>
      <c r="J648" s="115"/>
      <c r="K648" s="350"/>
      <c r="L648" s="351"/>
      <c r="S648" s="41"/>
      <c r="T648" s="41"/>
    </row>
    <row r="649" spans="1:20" s="40" customFormat="1" ht="13.5" customHeight="1">
      <c r="A649" s="360"/>
      <c r="B649" s="356" t="s">
        <v>91</v>
      </c>
      <c r="C649" s="357"/>
      <c r="D649" s="119"/>
      <c r="E649" s="114">
        <v>31.68</v>
      </c>
      <c r="F649" s="114">
        <f t="shared" si="127"/>
        <v>31.68</v>
      </c>
      <c r="G649" s="114" t="s">
        <v>58</v>
      </c>
      <c r="H649" s="114">
        <f t="shared" si="128"/>
        <v>20614.257500000003</v>
      </c>
      <c r="I649" s="114">
        <f t="shared" si="129"/>
        <v>1262.7424999999967</v>
      </c>
      <c r="J649" s="115"/>
      <c r="K649" s="350"/>
      <c r="L649" s="351"/>
      <c r="S649" s="41"/>
      <c r="T649" s="41"/>
    </row>
    <row r="650" spans="1:20" s="40" customFormat="1" ht="13.5" customHeight="1">
      <c r="A650" s="358" t="s">
        <v>175</v>
      </c>
      <c r="B650" s="352" t="s">
        <v>91</v>
      </c>
      <c r="C650" s="353"/>
      <c r="D650" s="279"/>
      <c r="E650" s="111">
        <v>31.65</v>
      </c>
      <c r="F650" s="111">
        <f t="shared" si="127"/>
        <v>31.65</v>
      </c>
      <c r="G650" s="111" t="s">
        <v>58</v>
      </c>
      <c r="H650" s="111">
        <f t="shared" si="128"/>
        <v>20645.907500000005</v>
      </c>
      <c r="I650" s="111">
        <f t="shared" si="129"/>
        <v>1231.0924999999952</v>
      </c>
      <c r="J650" s="279"/>
      <c r="K650" s="350"/>
      <c r="L650" s="351"/>
      <c r="S650" s="41"/>
      <c r="T650" s="41"/>
    </row>
    <row r="651" spans="1:20" s="40" customFormat="1" ht="13.5" customHeight="1">
      <c r="A651" s="359"/>
      <c r="B651" s="352" t="s">
        <v>91</v>
      </c>
      <c r="C651" s="353"/>
      <c r="D651" s="177"/>
      <c r="E651" s="111">
        <v>31.65</v>
      </c>
      <c r="F651" s="111">
        <f t="shared" si="127"/>
        <v>31.65</v>
      </c>
      <c r="G651" s="111" t="s">
        <v>58</v>
      </c>
      <c r="H651" s="111">
        <f t="shared" si="128"/>
        <v>20677.557500000006</v>
      </c>
      <c r="I651" s="111">
        <f t="shared" si="129"/>
        <v>1199.4424999999937</v>
      </c>
      <c r="J651" s="112"/>
      <c r="K651" s="350"/>
      <c r="L651" s="351"/>
      <c r="S651" s="41"/>
      <c r="T651" s="41"/>
    </row>
    <row r="652" spans="1:20" s="40" customFormat="1" ht="13.5" customHeight="1">
      <c r="A652" s="359"/>
      <c r="B652" s="352" t="s">
        <v>91</v>
      </c>
      <c r="C652" s="353"/>
      <c r="D652" s="177"/>
      <c r="E652" s="111">
        <v>31.68</v>
      </c>
      <c r="F652" s="111">
        <f t="shared" si="127"/>
        <v>31.68</v>
      </c>
      <c r="G652" s="111" t="s">
        <v>58</v>
      </c>
      <c r="H652" s="111">
        <f t="shared" si="128"/>
        <v>20709.237500000007</v>
      </c>
      <c r="I652" s="111">
        <f t="shared" si="129"/>
        <v>1167.7624999999935</v>
      </c>
      <c r="J652" s="112"/>
      <c r="K652" s="350"/>
      <c r="L652" s="351"/>
      <c r="S652" s="41"/>
      <c r="T652" s="41"/>
    </row>
    <row r="653" spans="1:20" s="40" customFormat="1" ht="13.5" customHeight="1">
      <c r="A653" s="360"/>
      <c r="B653" s="352" t="s">
        <v>91</v>
      </c>
      <c r="C653" s="353"/>
      <c r="D653" s="177"/>
      <c r="E653" s="111">
        <v>31.67</v>
      </c>
      <c r="F653" s="111">
        <f t="shared" si="127"/>
        <v>31.67</v>
      </c>
      <c r="G653" s="111" t="s">
        <v>58</v>
      </c>
      <c r="H653" s="111">
        <f t="shared" si="128"/>
        <v>20740.907500000005</v>
      </c>
      <c r="I653" s="111">
        <f t="shared" si="129"/>
        <v>1136.0924999999952</v>
      </c>
      <c r="J653" s="112"/>
      <c r="K653" s="350"/>
      <c r="L653" s="351"/>
      <c r="S653" s="41"/>
      <c r="T653" s="41"/>
    </row>
    <row r="654" spans="1:20" s="40" customFormat="1" ht="13.5" customHeight="1">
      <c r="A654" s="358" t="s">
        <v>176</v>
      </c>
      <c r="B654" s="356" t="s">
        <v>91</v>
      </c>
      <c r="C654" s="357"/>
      <c r="D654" s="272"/>
      <c r="E654" s="139">
        <v>31.48</v>
      </c>
      <c r="F654" s="139">
        <f t="shared" si="127"/>
        <v>31.48</v>
      </c>
      <c r="G654" s="139" t="s">
        <v>58</v>
      </c>
      <c r="H654" s="139">
        <f t="shared" si="128"/>
        <v>20772.387500000004</v>
      </c>
      <c r="I654" s="139">
        <f t="shared" si="129"/>
        <v>1104.6124999999956</v>
      </c>
      <c r="J654" s="140"/>
      <c r="K654" s="350"/>
      <c r="L654" s="351"/>
      <c r="S654" s="41"/>
      <c r="T654" s="41"/>
    </row>
    <row r="655" spans="1:20" s="40" customFormat="1" ht="13.5" customHeight="1">
      <c r="A655" s="359"/>
      <c r="B655" s="356" t="s">
        <v>91</v>
      </c>
      <c r="C655" s="357"/>
      <c r="D655" s="119"/>
      <c r="E655" s="114">
        <v>31.74</v>
      </c>
      <c r="F655" s="114">
        <f t="shared" si="127"/>
        <v>31.74</v>
      </c>
      <c r="G655" s="114" t="s">
        <v>58</v>
      </c>
      <c r="H655" s="114">
        <f t="shared" si="128"/>
        <v>20804.127500000006</v>
      </c>
      <c r="I655" s="114">
        <f t="shared" si="129"/>
        <v>1072.872499999994</v>
      </c>
      <c r="J655" s="115"/>
      <c r="K655" s="350"/>
      <c r="L655" s="351"/>
      <c r="S655" s="41"/>
      <c r="T655" s="41"/>
    </row>
    <row r="656" spans="1:20" s="40" customFormat="1" ht="13.5" customHeight="1">
      <c r="A656" s="359"/>
      <c r="B656" s="356" t="s">
        <v>91</v>
      </c>
      <c r="C656" s="357"/>
      <c r="D656" s="119"/>
      <c r="E656" s="114">
        <v>31.64</v>
      </c>
      <c r="F656" s="114">
        <f t="shared" si="127"/>
        <v>31.64</v>
      </c>
      <c r="G656" s="114" t="s">
        <v>58</v>
      </c>
      <c r="H656" s="114">
        <f t="shared" si="128"/>
        <v>20835.767500000005</v>
      </c>
      <c r="I656" s="114">
        <f t="shared" si="129"/>
        <v>1041.2324999999946</v>
      </c>
      <c r="J656" s="115"/>
      <c r="K656" s="350"/>
      <c r="L656" s="351"/>
      <c r="S656" s="41"/>
      <c r="T656" s="41"/>
    </row>
    <row r="657" spans="1:20" s="40" customFormat="1" ht="13.5" customHeight="1">
      <c r="A657" s="360"/>
      <c r="B657" s="356" t="s">
        <v>91</v>
      </c>
      <c r="C657" s="357"/>
      <c r="D657" s="119"/>
      <c r="E657" s="114">
        <v>31.57</v>
      </c>
      <c r="F657" s="114">
        <f t="shared" si="127"/>
        <v>31.57</v>
      </c>
      <c r="G657" s="114" t="s">
        <v>58</v>
      </c>
      <c r="H657" s="114">
        <f t="shared" si="128"/>
        <v>20867.337500000005</v>
      </c>
      <c r="I657" s="114">
        <f t="shared" si="129"/>
        <v>1009.6624999999949</v>
      </c>
      <c r="J657" s="115"/>
      <c r="K657" s="350"/>
      <c r="L657" s="351"/>
      <c r="S657" s="41"/>
      <c r="T657" s="41"/>
    </row>
    <row r="658" spans="1:20" s="40" customFormat="1" ht="13.5" customHeight="1">
      <c r="A658" s="358" t="s">
        <v>177</v>
      </c>
      <c r="B658" s="352" t="s">
        <v>91</v>
      </c>
      <c r="C658" s="353"/>
      <c r="D658" s="279"/>
      <c r="E658" s="111">
        <v>31.62</v>
      </c>
      <c r="F658" s="111">
        <f t="shared" si="127"/>
        <v>31.62</v>
      </c>
      <c r="G658" s="111" t="s">
        <v>58</v>
      </c>
      <c r="H658" s="111">
        <f t="shared" si="128"/>
        <v>20898.957500000004</v>
      </c>
      <c r="I658" s="111">
        <f t="shared" si="129"/>
        <v>978.04249999999593</v>
      </c>
      <c r="J658" s="279"/>
      <c r="K658" s="350"/>
      <c r="L658" s="351"/>
      <c r="S658" s="41"/>
      <c r="T658" s="41"/>
    </row>
    <row r="659" spans="1:20" s="40" customFormat="1" ht="13.5" customHeight="1">
      <c r="A659" s="359"/>
      <c r="B659" s="352" t="s">
        <v>91</v>
      </c>
      <c r="C659" s="353"/>
      <c r="D659" s="177"/>
      <c r="E659" s="111">
        <v>31.71</v>
      </c>
      <c r="F659" s="111">
        <f t="shared" si="127"/>
        <v>31.71</v>
      </c>
      <c r="G659" s="111" t="s">
        <v>58</v>
      </c>
      <c r="H659" s="111">
        <f t="shared" si="128"/>
        <v>20930.667500000003</v>
      </c>
      <c r="I659" s="111">
        <f t="shared" si="129"/>
        <v>946.3324999999968</v>
      </c>
      <c r="J659" s="112"/>
      <c r="K659" s="350"/>
      <c r="L659" s="351"/>
      <c r="S659" s="41"/>
      <c r="T659" s="41"/>
    </row>
    <row r="660" spans="1:20" s="40" customFormat="1" ht="13.5" customHeight="1">
      <c r="A660" s="359"/>
      <c r="B660" s="352" t="s">
        <v>91</v>
      </c>
      <c r="C660" s="353"/>
      <c r="D660" s="177"/>
      <c r="E660" s="111">
        <v>31.73</v>
      </c>
      <c r="F660" s="111">
        <f t="shared" si="127"/>
        <v>31.73</v>
      </c>
      <c r="G660" s="111" t="s">
        <v>58</v>
      </c>
      <c r="H660" s="111">
        <f t="shared" si="128"/>
        <v>20962.397500000003</v>
      </c>
      <c r="I660" s="111">
        <f t="shared" si="129"/>
        <v>914.60249999999724</v>
      </c>
      <c r="J660" s="112"/>
      <c r="K660" s="350"/>
      <c r="L660" s="351"/>
      <c r="S660" s="41"/>
      <c r="T660" s="41"/>
    </row>
    <row r="661" spans="1:20" s="40" customFormat="1" ht="13.5" customHeight="1">
      <c r="A661" s="360"/>
      <c r="B661" s="352" t="s">
        <v>91</v>
      </c>
      <c r="C661" s="353"/>
      <c r="D661" s="177"/>
      <c r="E661" s="111">
        <v>31.67</v>
      </c>
      <c r="F661" s="111">
        <f t="shared" si="127"/>
        <v>31.67</v>
      </c>
      <c r="G661" s="111" t="s">
        <v>58</v>
      </c>
      <c r="H661" s="111">
        <f t="shared" si="128"/>
        <v>20994.067500000001</v>
      </c>
      <c r="I661" s="111">
        <f t="shared" si="129"/>
        <v>882.93249999999898</v>
      </c>
      <c r="J661" s="112"/>
      <c r="K661" s="350"/>
      <c r="L661" s="351"/>
      <c r="S661" s="41"/>
      <c r="T661" s="41"/>
    </row>
    <row r="662" spans="1:20" s="40" customFormat="1" ht="13.5" customHeight="1">
      <c r="A662" s="358" t="s">
        <v>178</v>
      </c>
      <c r="B662" s="356" t="s">
        <v>91</v>
      </c>
      <c r="C662" s="357"/>
      <c r="D662" s="272"/>
      <c r="E662" s="139">
        <v>31.68</v>
      </c>
      <c r="F662" s="139">
        <f t="shared" si="127"/>
        <v>31.68</v>
      </c>
      <c r="G662" s="139" t="s">
        <v>58</v>
      </c>
      <c r="H662" s="139">
        <f t="shared" si="128"/>
        <v>21025.747500000001</v>
      </c>
      <c r="I662" s="139">
        <f t="shared" si="129"/>
        <v>851.25249999999869</v>
      </c>
      <c r="J662" s="140"/>
      <c r="K662" s="350"/>
      <c r="L662" s="351"/>
      <c r="S662" s="41"/>
      <c r="T662" s="41"/>
    </row>
    <row r="663" spans="1:20" s="40" customFormat="1" ht="13.5" customHeight="1">
      <c r="A663" s="359"/>
      <c r="B663" s="356" t="s">
        <v>91</v>
      </c>
      <c r="C663" s="357"/>
      <c r="D663" s="119"/>
      <c r="E663" s="114">
        <v>31.6</v>
      </c>
      <c r="F663" s="114">
        <f t="shared" si="127"/>
        <v>31.6</v>
      </c>
      <c r="G663" s="114" t="s">
        <v>58</v>
      </c>
      <c r="H663" s="114">
        <f t="shared" si="128"/>
        <v>21057.3475</v>
      </c>
      <c r="I663" s="114">
        <f t="shared" si="129"/>
        <v>819.65250000000015</v>
      </c>
      <c r="J663" s="115"/>
      <c r="K663" s="350"/>
      <c r="L663" s="351"/>
      <c r="S663" s="41"/>
      <c r="T663" s="41"/>
    </row>
    <row r="664" spans="1:20" s="40" customFormat="1" ht="13.5" customHeight="1">
      <c r="A664" s="359"/>
      <c r="B664" s="356" t="s">
        <v>91</v>
      </c>
      <c r="C664" s="357"/>
      <c r="D664" s="119"/>
      <c r="E664" s="114">
        <v>31.62</v>
      </c>
      <c r="F664" s="114">
        <f t="shared" si="127"/>
        <v>31.62</v>
      </c>
      <c r="G664" s="114" t="s">
        <v>58</v>
      </c>
      <c r="H664" s="114">
        <f t="shared" si="128"/>
        <v>21088.967499999999</v>
      </c>
      <c r="I664" s="114">
        <f t="shared" si="129"/>
        <v>788.03250000000116</v>
      </c>
      <c r="J664" s="115"/>
      <c r="K664" s="350"/>
      <c r="L664" s="351"/>
      <c r="S664" s="41"/>
      <c r="T664" s="41"/>
    </row>
    <row r="665" spans="1:20" s="40" customFormat="1" ht="13.5" customHeight="1">
      <c r="A665" s="360"/>
      <c r="B665" s="356" t="s">
        <v>91</v>
      </c>
      <c r="C665" s="357"/>
      <c r="D665" s="119"/>
      <c r="E665" s="114">
        <v>31.64</v>
      </c>
      <c r="F665" s="114">
        <f t="shared" si="127"/>
        <v>31.64</v>
      </c>
      <c r="G665" s="114" t="s">
        <v>58</v>
      </c>
      <c r="H665" s="114">
        <f t="shared" si="128"/>
        <v>21120.607499999998</v>
      </c>
      <c r="I665" s="114">
        <f t="shared" si="129"/>
        <v>756.39250000000175</v>
      </c>
      <c r="J665" s="115"/>
      <c r="K665" s="350"/>
      <c r="L665" s="351"/>
      <c r="S665" s="41"/>
      <c r="T665" s="41"/>
    </row>
    <row r="666" spans="1:20" s="40" customFormat="1" ht="13.5" customHeight="1">
      <c r="A666" s="358" t="s">
        <v>270</v>
      </c>
      <c r="B666" s="352" t="s">
        <v>91</v>
      </c>
      <c r="C666" s="353"/>
      <c r="D666" s="279"/>
      <c r="E666" s="111">
        <v>31.72</v>
      </c>
      <c r="F666" s="111">
        <f t="shared" si="127"/>
        <v>31.72</v>
      </c>
      <c r="G666" s="111" t="s">
        <v>58</v>
      </c>
      <c r="H666" s="111">
        <f t="shared" si="128"/>
        <v>21152.327499999999</v>
      </c>
      <c r="I666" s="111">
        <f t="shared" si="129"/>
        <v>724.67250000000058</v>
      </c>
      <c r="J666" s="279"/>
      <c r="K666" s="350"/>
      <c r="L666" s="351"/>
      <c r="S666" s="41"/>
      <c r="T666" s="41"/>
    </row>
    <row r="667" spans="1:20" s="40" customFormat="1" ht="13.5" customHeight="1">
      <c r="A667" s="359"/>
      <c r="B667" s="352" t="s">
        <v>91</v>
      </c>
      <c r="C667" s="353"/>
      <c r="D667" s="177"/>
      <c r="E667" s="111">
        <v>31.61</v>
      </c>
      <c r="F667" s="111">
        <f t="shared" si="127"/>
        <v>31.61</v>
      </c>
      <c r="G667" s="111" t="s">
        <v>58</v>
      </c>
      <c r="H667" s="111">
        <f t="shared" si="128"/>
        <v>21183.9375</v>
      </c>
      <c r="I667" s="111">
        <f t="shared" si="129"/>
        <v>693.0625</v>
      </c>
      <c r="J667" s="112"/>
      <c r="K667" s="350"/>
      <c r="L667" s="351"/>
      <c r="S667" s="41"/>
      <c r="T667" s="41"/>
    </row>
    <row r="668" spans="1:20" s="40" customFormat="1" ht="13.5" customHeight="1">
      <c r="A668" s="359"/>
      <c r="B668" s="352" t="s">
        <v>91</v>
      </c>
      <c r="C668" s="353"/>
      <c r="D668" s="177"/>
      <c r="E668" s="111">
        <v>31.66</v>
      </c>
      <c r="F668" s="111">
        <f t="shared" si="127"/>
        <v>31.66</v>
      </c>
      <c r="G668" s="111" t="s">
        <v>58</v>
      </c>
      <c r="H668" s="111">
        <f t="shared" si="128"/>
        <v>21215.5975</v>
      </c>
      <c r="I668" s="111">
        <f t="shared" si="129"/>
        <v>661.40250000000015</v>
      </c>
      <c r="J668" s="112"/>
      <c r="K668" s="350"/>
      <c r="L668" s="351"/>
      <c r="S668" s="41"/>
      <c r="T668" s="41"/>
    </row>
    <row r="669" spans="1:20" s="40" customFormat="1" ht="13.5" customHeight="1">
      <c r="A669" s="360"/>
      <c r="B669" s="352" t="s">
        <v>91</v>
      </c>
      <c r="C669" s="353"/>
      <c r="D669" s="177"/>
      <c r="E669" s="111">
        <v>31.73</v>
      </c>
      <c r="F669" s="111">
        <f t="shared" si="127"/>
        <v>31.73</v>
      </c>
      <c r="G669" s="111" t="s">
        <v>58</v>
      </c>
      <c r="H669" s="111">
        <f t="shared" si="128"/>
        <v>21247.327499999999</v>
      </c>
      <c r="I669" s="111">
        <f t="shared" si="129"/>
        <v>629.67250000000058</v>
      </c>
      <c r="J669" s="112"/>
      <c r="K669" s="350"/>
      <c r="L669" s="351"/>
      <c r="S669" s="41"/>
      <c r="T669" s="41"/>
    </row>
    <row r="670" spans="1:20" s="40" customFormat="1" ht="13.5" customHeight="1">
      <c r="A670" s="358" t="s">
        <v>179</v>
      </c>
      <c r="B670" s="356" t="s">
        <v>91</v>
      </c>
      <c r="C670" s="357"/>
      <c r="D670" s="272"/>
      <c r="E670" s="139">
        <v>31.66</v>
      </c>
      <c r="F670" s="139">
        <f t="shared" si="127"/>
        <v>31.66</v>
      </c>
      <c r="G670" s="139" t="s">
        <v>58</v>
      </c>
      <c r="H670" s="139">
        <f t="shared" si="128"/>
        <v>21278.987499999999</v>
      </c>
      <c r="I670" s="139">
        <f t="shared" si="129"/>
        <v>598.01250000000073</v>
      </c>
      <c r="J670" s="140"/>
      <c r="K670" s="350"/>
      <c r="L670" s="351"/>
      <c r="S670" s="41"/>
      <c r="T670" s="41"/>
    </row>
    <row r="671" spans="1:20" s="40" customFormat="1" ht="13.5" customHeight="1">
      <c r="A671" s="359"/>
      <c r="B671" s="356" t="s">
        <v>91</v>
      </c>
      <c r="C671" s="357"/>
      <c r="D671" s="119"/>
      <c r="E671" s="114">
        <v>31.65</v>
      </c>
      <c r="F671" s="114">
        <f t="shared" si="127"/>
        <v>31.65</v>
      </c>
      <c r="G671" s="114" t="s">
        <v>58</v>
      </c>
      <c r="H671" s="114">
        <f t="shared" si="128"/>
        <v>21310.637500000001</v>
      </c>
      <c r="I671" s="114">
        <f t="shared" si="129"/>
        <v>566.36249999999927</v>
      </c>
      <c r="J671" s="115"/>
      <c r="K671" s="350"/>
      <c r="L671" s="351"/>
      <c r="S671" s="41"/>
      <c r="T671" s="41"/>
    </row>
    <row r="672" spans="1:20" s="40" customFormat="1" ht="13.5" customHeight="1">
      <c r="A672" s="359"/>
      <c r="B672" s="356" t="s">
        <v>91</v>
      </c>
      <c r="C672" s="357"/>
      <c r="D672" s="119"/>
      <c r="E672" s="114">
        <v>31.65</v>
      </c>
      <c r="F672" s="114">
        <f t="shared" si="127"/>
        <v>31.65</v>
      </c>
      <c r="G672" s="114" t="s">
        <v>58</v>
      </c>
      <c r="H672" s="114">
        <f t="shared" si="128"/>
        <v>21342.287500000002</v>
      </c>
      <c r="I672" s="114">
        <f t="shared" si="129"/>
        <v>534.71249999999782</v>
      </c>
      <c r="J672" s="115"/>
      <c r="K672" s="350"/>
      <c r="L672" s="351"/>
      <c r="S672" s="41"/>
      <c r="T672" s="41"/>
    </row>
    <row r="673" spans="1:20" s="40" customFormat="1" ht="13.5" customHeight="1">
      <c r="A673" s="360"/>
      <c r="B673" s="356" t="s">
        <v>91</v>
      </c>
      <c r="C673" s="357"/>
      <c r="D673" s="119"/>
      <c r="E673" s="114">
        <v>31.64</v>
      </c>
      <c r="F673" s="114">
        <f t="shared" si="127"/>
        <v>31.64</v>
      </c>
      <c r="G673" s="114" t="s">
        <v>58</v>
      </c>
      <c r="H673" s="114">
        <f t="shared" si="128"/>
        <v>21373.927500000002</v>
      </c>
      <c r="I673" s="114">
        <f t="shared" si="129"/>
        <v>503.0724999999984</v>
      </c>
      <c r="J673" s="115"/>
      <c r="K673" s="350"/>
      <c r="L673" s="351"/>
      <c r="S673" s="41"/>
      <c r="T673" s="41"/>
    </row>
    <row r="674" spans="1:20" s="40" customFormat="1" ht="13.5" customHeight="1">
      <c r="A674" s="358" t="s">
        <v>180</v>
      </c>
      <c r="B674" s="352" t="s">
        <v>91</v>
      </c>
      <c r="C674" s="353"/>
      <c r="D674" s="279"/>
      <c r="E674" s="111">
        <v>31.65</v>
      </c>
      <c r="F674" s="111">
        <f t="shared" si="127"/>
        <v>31.65</v>
      </c>
      <c r="G674" s="111" t="s">
        <v>58</v>
      </c>
      <c r="H674" s="111">
        <f t="shared" si="128"/>
        <v>21405.577500000003</v>
      </c>
      <c r="I674" s="111">
        <f t="shared" si="129"/>
        <v>471.42249999999694</v>
      </c>
      <c r="J674" s="279"/>
      <c r="K674" s="350"/>
      <c r="L674" s="351"/>
      <c r="S674" s="41"/>
      <c r="T674" s="41"/>
    </row>
    <row r="675" spans="1:20" s="40" customFormat="1" ht="13.5" customHeight="1">
      <c r="A675" s="359"/>
      <c r="B675" s="352" t="s">
        <v>91</v>
      </c>
      <c r="C675" s="353"/>
      <c r="D675" s="177"/>
      <c r="E675" s="111">
        <v>31.67</v>
      </c>
      <c r="F675" s="111">
        <f t="shared" si="127"/>
        <v>31.67</v>
      </c>
      <c r="G675" s="111" t="s">
        <v>58</v>
      </c>
      <c r="H675" s="111">
        <f t="shared" si="128"/>
        <v>21437.247500000001</v>
      </c>
      <c r="I675" s="111">
        <f t="shared" si="129"/>
        <v>439.75249999999869</v>
      </c>
      <c r="J675" s="112"/>
      <c r="K675" s="350"/>
      <c r="L675" s="351"/>
      <c r="S675" s="41"/>
      <c r="T675" s="41"/>
    </row>
    <row r="676" spans="1:20" s="40" customFormat="1" ht="13.5" customHeight="1">
      <c r="A676" s="359"/>
      <c r="B676" s="352" t="s">
        <v>91</v>
      </c>
      <c r="C676" s="353"/>
      <c r="D676" s="177"/>
      <c r="E676" s="111">
        <v>31.63</v>
      </c>
      <c r="F676" s="111">
        <f t="shared" si="127"/>
        <v>31.63</v>
      </c>
      <c r="G676" s="111" t="s">
        <v>58</v>
      </c>
      <c r="H676" s="111">
        <f t="shared" si="128"/>
        <v>21468.877500000002</v>
      </c>
      <c r="I676" s="111">
        <f t="shared" si="129"/>
        <v>408.12249999999767</v>
      </c>
      <c r="J676" s="112"/>
      <c r="K676" s="350"/>
      <c r="L676" s="351"/>
      <c r="S676" s="41"/>
      <c r="T676" s="41"/>
    </row>
    <row r="677" spans="1:20" s="40" customFormat="1" ht="13.5" customHeight="1">
      <c r="A677" s="360"/>
      <c r="B677" s="352" t="s">
        <v>91</v>
      </c>
      <c r="C677" s="353"/>
      <c r="D677" s="177"/>
      <c r="E677" s="111">
        <v>31.68</v>
      </c>
      <c r="F677" s="111">
        <f t="shared" si="127"/>
        <v>31.68</v>
      </c>
      <c r="G677" s="111" t="s">
        <v>58</v>
      </c>
      <c r="H677" s="111">
        <f t="shared" si="128"/>
        <v>21500.557500000003</v>
      </c>
      <c r="I677" s="111">
        <f t="shared" si="129"/>
        <v>376.44249999999738</v>
      </c>
      <c r="J677" s="112"/>
      <c r="K677" s="350"/>
      <c r="L677" s="351"/>
      <c r="S677" s="41"/>
      <c r="T677" s="41"/>
    </row>
    <row r="678" spans="1:20" s="40" customFormat="1" ht="13.5" customHeight="1">
      <c r="A678" s="358" t="s">
        <v>181</v>
      </c>
      <c r="B678" s="356" t="s">
        <v>91</v>
      </c>
      <c r="C678" s="357"/>
      <c r="D678" s="272"/>
      <c r="E678" s="139">
        <v>31.46</v>
      </c>
      <c r="F678" s="139">
        <f t="shared" si="127"/>
        <v>31.46</v>
      </c>
      <c r="G678" s="139" t="s">
        <v>58</v>
      </c>
      <c r="H678" s="139">
        <f t="shared" si="128"/>
        <v>21532.017500000002</v>
      </c>
      <c r="I678" s="139">
        <f t="shared" si="129"/>
        <v>344.98249999999825</v>
      </c>
      <c r="J678" s="140"/>
      <c r="K678" s="350"/>
      <c r="L678" s="351"/>
      <c r="S678" s="41"/>
      <c r="T678" s="41"/>
    </row>
    <row r="679" spans="1:20" s="40" customFormat="1" ht="13.5" customHeight="1">
      <c r="A679" s="359"/>
      <c r="B679" s="356" t="s">
        <v>91</v>
      </c>
      <c r="C679" s="357"/>
      <c r="D679" s="119"/>
      <c r="E679" s="114">
        <v>31.65</v>
      </c>
      <c r="F679" s="114">
        <f t="shared" si="127"/>
        <v>31.65</v>
      </c>
      <c r="G679" s="114" t="s">
        <v>58</v>
      </c>
      <c r="H679" s="114">
        <f t="shared" si="128"/>
        <v>21563.667500000003</v>
      </c>
      <c r="I679" s="114">
        <f t="shared" si="129"/>
        <v>313.3324999999968</v>
      </c>
      <c r="J679" s="115"/>
      <c r="K679" s="350"/>
      <c r="L679" s="351"/>
      <c r="S679" s="41"/>
      <c r="T679" s="41"/>
    </row>
    <row r="680" spans="1:20" s="40" customFormat="1" ht="13.5" customHeight="1">
      <c r="A680" s="359"/>
      <c r="B680" s="356" t="s">
        <v>91</v>
      </c>
      <c r="C680" s="357"/>
      <c r="D680" s="119"/>
      <c r="E680" s="114">
        <v>31.65</v>
      </c>
      <c r="F680" s="114">
        <f t="shared" si="127"/>
        <v>31.65</v>
      </c>
      <c r="G680" s="114" t="s">
        <v>58</v>
      </c>
      <c r="H680" s="114">
        <f t="shared" si="128"/>
        <v>21595.317500000005</v>
      </c>
      <c r="I680" s="114">
        <f t="shared" si="129"/>
        <v>281.68249999999534</v>
      </c>
      <c r="J680" s="115"/>
      <c r="K680" s="350"/>
      <c r="L680" s="351"/>
      <c r="S680" s="41"/>
      <c r="T680" s="41"/>
    </row>
    <row r="681" spans="1:20" s="40" customFormat="1" ht="13.5" customHeight="1">
      <c r="A681" s="360"/>
      <c r="B681" s="356" t="s">
        <v>91</v>
      </c>
      <c r="C681" s="357"/>
      <c r="D681" s="119"/>
      <c r="E681" s="114">
        <v>31.66</v>
      </c>
      <c r="F681" s="114">
        <f t="shared" si="127"/>
        <v>31.66</v>
      </c>
      <c r="G681" s="114" t="s">
        <v>58</v>
      </c>
      <c r="H681" s="114">
        <f t="shared" si="128"/>
        <v>21626.977500000005</v>
      </c>
      <c r="I681" s="114">
        <f t="shared" si="129"/>
        <v>250.02249999999549</v>
      </c>
      <c r="J681" s="115"/>
      <c r="K681" s="350"/>
      <c r="L681" s="351"/>
      <c r="S681" s="41"/>
      <c r="T681" s="41"/>
    </row>
    <row r="682" spans="1:20" s="40" customFormat="1" ht="13.5" customHeight="1">
      <c r="A682" s="358" t="s">
        <v>182</v>
      </c>
      <c r="B682" s="352" t="s">
        <v>91</v>
      </c>
      <c r="C682" s="353"/>
      <c r="D682" s="279"/>
      <c r="E682" s="111">
        <v>31.69</v>
      </c>
      <c r="F682" s="111">
        <f t="shared" si="127"/>
        <v>31.69</v>
      </c>
      <c r="G682" s="111" t="s">
        <v>58</v>
      </c>
      <c r="H682" s="111">
        <f t="shared" si="128"/>
        <v>21658.667500000003</v>
      </c>
      <c r="I682" s="111">
        <f t="shared" si="129"/>
        <v>218.3324999999968</v>
      </c>
      <c r="J682" s="279"/>
      <c r="K682" s="350"/>
      <c r="L682" s="351"/>
      <c r="S682" s="41"/>
      <c r="T682" s="41"/>
    </row>
    <row r="683" spans="1:20" s="40" customFormat="1" ht="13.5" customHeight="1">
      <c r="A683" s="359"/>
      <c r="B683" s="352" t="s">
        <v>91</v>
      </c>
      <c r="C683" s="353"/>
      <c r="D683" s="177"/>
      <c r="E683" s="111">
        <v>31.68</v>
      </c>
      <c r="F683" s="111">
        <f t="shared" si="127"/>
        <v>31.68</v>
      </c>
      <c r="G683" s="111" t="s">
        <v>58</v>
      </c>
      <c r="H683" s="111">
        <f t="shared" si="128"/>
        <v>21690.347500000003</v>
      </c>
      <c r="I683" s="111">
        <f t="shared" si="129"/>
        <v>186.65249999999651</v>
      </c>
      <c r="J683" s="112"/>
      <c r="K683" s="350"/>
      <c r="L683" s="351"/>
      <c r="S683" s="41"/>
      <c r="T683" s="41"/>
    </row>
    <row r="684" spans="1:20" s="40" customFormat="1" ht="13.5" customHeight="1">
      <c r="A684" s="359"/>
      <c r="B684" s="352" t="s">
        <v>91</v>
      </c>
      <c r="C684" s="353"/>
      <c r="D684" s="177"/>
      <c r="E684" s="111">
        <v>31.64</v>
      </c>
      <c r="F684" s="111">
        <f t="shared" si="127"/>
        <v>31.64</v>
      </c>
      <c r="G684" s="111" t="s">
        <v>58</v>
      </c>
      <c r="H684" s="111">
        <f t="shared" si="128"/>
        <v>21721.987500000003</v>
      </c>
      <c r="I684" s="111">
        <f t="shared" si="129"/>
        <v>155.01249999999709</v>
      </c>
      <c r="J684" s="112"/>
      <c r="K684" s="350"/>
      <c r="L684" s="351"/>
      <c r="S684" s="41"/>
      <c r="T684" s="41"/>
    </row>
    <row r="685" spans="1:20" s="40" customFormat="1" ht="13.5" customHeight="1">
      <c r="A685" s="360"/>
      <c r="B685" s="352" t="s">
        <v>91</v>
      </c>
      <c r="C685" s="353"/>
      <c r="D685" s="177"/>
      <c r="E685" s="111">
        <v>31.65</v>
      </c>
      <c r="F685" s="111">
        <f t="shared" si="127"/>
        <v>31.65</v>
      </c>
      <c r="G685" s="111" t="s">
        <v>58</v>
      </c>
      <c r="H685" s="111">
        <f t="shared" si="128"/>
        <v>21753.637500000004</v>
      </c>
      <c r="I685" s="111">
        <f t="shared" si="129"/>
        <v>123.36249999999563</v>
      </c>
      <c r="J685" s="112"/>
      <c r="K685" s="350"/>
      <c r="L685" s="351"/>
      <c r="S685" s="41"/>
      <c r="T685" s="41"/>
    </row>
    <row r="686" spans="1:20" s="40" customFormat="1" ht="13.5" customHeight="1">
      <c r="A686" s="358" t="s">
        <v>183</v>
      </c>
      <c r="B686" s="356" t="s">
        <v>91</v>
      </c>
      <c r="C686" s="357"/>
      <c r="D686" s="272"/>
      <c r="E686" s="139">
        <v>31.7</v>
      </c>
      <c r="F686" s="139">
        <f t="shared" si="127"/>
        <v>31.7</v>
      </c>
      <c r="G686" s="139" t="s">
        <v>58</v>
      </c>
      <c r="H686" s="139">
        <f t="shared" si="128"/>
        <v>21785.337500000005</v>
      </c>
      <c r="I686" s="139">
        <f t="shared" si="129"/>
        <v>91.662499999994907</v>
      </c>
      <c r="J686" s="140"/>
      <c r="K686" s="350"/>
      <c r="L686" s="351"/>
      <c r="S686" s="41"/>
      <c r="T686" s="41"/>
    </row>
    <row r="687" spans="1:20" s="40" customFormat="1" ht="13.5" customHeight="1">
      <c r="A687" s="359"/>
      <c r="B687" s="356" t="s">
        <v>91</v>
      </c>
      <c r="C687" s="357"/>
      <c r="D687" s="119"/>
      <c r="E687" s="114">
        <v>31.68</v>
      </c>
      <c r="F687" s="114">
        <f t="shared" si="127"/>
        <v>31.68</v>
      </c>
      <c r="G687" s="114" t="s">
        <v>58</v>
      </c>
      <c r="H687" s="114">
        <f t="shared" si="128"/>
        <v>21817.017500000005</v>
      </c>
      <c r="I687" s="114">
        <f t="shared" si="129"/>
        <v>59.982499999994616</v>
      </c>
      <c r="J687" s="115"/>
      <c r="K687" s="350"/>
      <c r="L687" s="351"/>
      <c r="S687" s="41"/>
      <c r="T687" s="41"/>
    </row>
    <row r="688" spans="1:20" s="40" customFormat="1" ht="13.5" customHeight="1">
      <c r="A688" s="359"/>
      <c r="B688" s="356" t="s">
        <v>91</v>
      </c>
      <c r="C688" s="357"/>
      <c r="D688" s="119"/>
      <c r="E688" s="114">
        <v>31.69</v>
      </c>
      <c r="F688" s="114">
        <f t="shared" si="127"/>
        <v>31.69</v>
      </c>
      <c r="G688" s="114" t="s">
        <v>58</v>
      </c>
      <c r="H688" s="114">
        <f t="shared" si="128"/>
        <v>21848.707500000004</v>
      </c>
      <c r="I688" s="114">
        <f t="shared" si="129"/>
        <v>28.292499999995925</v>
      </c>
      <c r="J688" s="115"/>
      <c r="K688" s="350"/>
      <c r="L688" s="351"/>
      <c r="S688" s="41"/>
      <c r="T688" s="41"/>
    </row>
    <row r="689" spans="1:20" s="40" customFormat="1" ht="13.5" customHeight="1">
      <c r="A689" s="360"/>
      <c r="B689" s="543" t="s">
        <v>287</v>
      </c>
      <c r="C689" s="544"/>
      <c r="D689" s="347"/>
      <c r="E689" s="348">
        <v>25</v>
      </c>
      <c r="F689" s="348">
        <f t="shared" si="127"/>
        <v>25</v>
      </c>
      <c r="G689" s="348" t="s">
        <v>58</v>
      </c>
      <c r="H689" s="348">
        <f t="shared" ref="H689:H691" si="130">IF(G689="IN",H688+F689,H688)</f>
        <v>21873.707500000004</v>
      </c>
      <c r="I689" s="348">
        <f t="shared" ref="I689:I691" si="131">IF(H689="","",$K$8-H689)</f>
        <v>3.2924999999959255</v>
      </c>
      <c r="J689" s="349"/>
      <c r="K689" s="350"/>
      <c r="L689" s="351"/>
      <c r="S689" s="41"/>
      <c r="T689" s="41"/>
    </row>
    <row r="690" spans="1:20" s="40" customFormat="1" ht="18" customHeight="1">
      <c r="A690" s="323"/>
      <c r="B690" s="545" t="s">
        <v>184</v>
      </c>
      <c r="C690" s="546"/>
      <c r="D690" s="326"/>
      <c r="E690" s="327">
        <v>3.55</v>
      </c>
      <c r="F690" s="327">
        <f>E690</f>
        <v>3.55</v>
      </c>
      <c r="G690" s="327" t="s">
        <v>58</v>
      </c>
      <c r="H690" s="327">
        <f t="shared" si="130"/>
        <v>21877.257500000003</v>
      </c>
      <c r="I690" s="327">
        <f t="shared" si="131"/>
        <v>-0.25750000000334694</v>
      </c>
      <c r="J690" s="328"/>
      <c r="K690" s="400" t="s">
        <v>185</v>
      </c>
      <c r="L690" s="401"/>
      <c r="S690" s="41"/>
      <c r="T690" s="41"/>
    </row>
    <row r="691" spans="1:20" s="40" customFormat="1" ht="13.5" customHeight="1">
      <c r="A691" s="503" t="s">
        <v>135</v>
      </c>
      <c r="B691" s="493" t="s">
        <v>136</v>
      </c>
      <c r="C691" s="494"/>
      <c r="D691" s="495"/>
      <c r="E691" s="191">
        <v>3.7</v>
      </c>
      <c r="F691" s="191">
        <f t="shared" ref="F691:F695" si="132">E691</f>
        <v>3.7</v>
      </c>
      <c r="G691" s="217" t="s">
        <v>58</v>
      </c>
      <c r="H691" s="191">
        <f t="shared" si="130"/>
        <v>21880.957500000004</v>
      </c>
      <c r="I691" s="217">
        <f t="shared" si="131"/>
        <v>-3.9575000000040745</v>
      </c>
      <c r="J691" s="496" t="s">
        <v>137</v>
      </c>
      <c r="K691" s="491" t="s">
        <v>138</v>
      </c>
      <c r="L691" s="492"/>
      <c r="S691" s="41"/>
      <c r="T691" s="41"/>
    </row>
    <row r="692" spans="1:20" s="40" customFormat="1" ht="13.5" customHeight="1">
      <c r="A692" s="504"/>
      <c r="B692" s="493" t="s">
        <v>139</v>
      </c>
      <c r="C692" s="494"/>
      <c r="D692" s="495"/>
      <c r="E692" s="191">
        <v>3.8</v>
      </c>
      <c r="F692" s="191">
        <f t="shared" si="132"/>
        <v>3.8</v>
      </c>
      <c r="G692" s="217" t="str">
        <f t="shared" ref="G692:G693" si="133">IF(E692="","OUT","IN")</f>
        <v>IN</v>
      </c>
      <c r="H692" s="217">
        <f t="shared" ref="H692" si="134">IF(G692="IN",H691+F692,H691)</f>
        <v>21884.757500000003</v>
      </c>
      <c r="I692" s="217">
        <f t="shared" ref="I692" si="135">IF(H692="","",$K$8-H692)</f>
        <v>-7.7575000000033469</v>
      </c>
      <c r="J692" s="497"/>
      <c r="K692" s="246" t="s">
        <v>140</v>
      </c>
      <c r="L692" s="247"/>
      <c r="S692" s="41"/>
      <c r="T692" s="41"/>
    </row>
    <row r="693" spans="1:20" s="40" customFormat="1" ht="13.5" customHeight="1">
      <c r="A693" s="504"/>
      <c r="B693" s="507" t="s">
        <v>141</v>
      </c>
      <c r="C693" s="508"/>
      <c r="D693" s="509"/>
      <c r="E693" s="191">
        <v>14.11</v>
      </c>
      <c r="F693" s="191">
        <f t="shared" si="132"/>
        <v>14.11</v>
      </c>
      <c r="G693" s="217" t="str">
        <f t="shared" si="133"/>
        <v>IN</v>
      </c>
      <c r="H693" s="217">
        <f t="shared" ref="H693" si="136">IF(G693="IN",H692+F693,H692)</f>
        <v>21898.867500000004</v>
      </c>
      <c r="I693" s="217">
        <f>IF(H693="","",$K$8-H693)</f>
        <v>-21.867500000003929</v>
      </c>
      <c r="J693" s="497"/>
      <c r="K693" s="246" t="s">
        <v>142</v>
      </c>
      <c r="L693" s="247"/>
      <c r="S693" s="41"/>
      <c r="T693" s="41"/>
    </row>
    <row r="694" spans="1:20" s="40" customFormat="1" ht="13.5" customHeight="1">
      <c r="A694" s="504"/>
      <c r="B694" s="493" t="s">
        <v>143</v>
      </c>
      <c r="C694" s="494" t="s">
        <v>144</v>
      </c>
      <c r="D694" s="495" t="s">
        <v>144</v>
      </c>
      <c r="E694" s="191">
        <v>3.8</v>
      </c>
      <c r="F694" s="191">
        <f t="shared" si="132"/>
        <v>3.8</v>
      </c>
      <c r="G694" s="217" t="str">
        <f>IF(E694="","OUT","IN")</f>
        <v>IN</v>
      </c>
      <c r="H694" s="217">
        <f t="shared" ref="H694" si="137">IF(G694="IN",H693+F694,H693)</f>
        <v>21902.667500000003</v>
      </c>
      <c r="I694" s="191">
        <f t="shared" ref="I694" si="138">IF(H694="","",$K$8-H694)</f>
        <v>-25.667500000003201</v>
      </c>
      <c r="J694" s="497"/>
      <c r="K694" s="246" t="s">
        <v>145</v>
      </c>
      <c r="L694" s="247"/>
      <c r="S694" s="41"/>
      <c r="T694" s="41"/>
    </row>
    <row r="695" spans="1:20" s="40" customFormat="1" ht="13.5" customHeight="1">
      <c r="A695" s="504"/>
      <c r="B695" s="493" t="s">
        <v>146</v>
      </c>
      <c r="C695" s="494"/>
      <c r="D695" s="495"/>
      <c r="E695" s="191">
        <v>3.8</v>
      </c>
      <c r="F695" s="191">
        <f t="shared" si="132"/>
        <v>3.8</v>
      </c>
      <c r="G695" s="217" t="str">
        <f>IF(E695="","OUT","IN")</f>
        <v>IN</v>
      </c>
      <c r="H695" s="217">
        <f t="shared" si="123"/>
        <v>21906.467500000002</v>
      </c>
      <c r="I695" s="191">
        <f t="shared" si="124"/>
        <v>-29.467500000002474</v>
      </c>
      <c r="J695" s="497"/>
      <c r="K695" s="148"/>
      <c r="L695" s="149"/>
      <c r="S695" s="41"/>
      <c r="T695" s="41"/>
    </row>
    <row r="696" spans="1:20" s="40" customFormat="1" ht="13.5" customHeight="1">
      <c r="A696" s="504"/>
      <c r="B696" s="493" t="s">
        <v>147</v>
      </c>
      <c r="C696" s="494" t="s">
        <v>148</v>
      </c>
      <c r="D696" s="495" t="s">
        <v>148</v>
      </c>
      <c r="E696" s="191">
        <v>9.6999999999999993</v>
      </c>
      <c r="F696" s="191">
        <f>E696</f>
        <v>9.6999999999999993</v>
      </c>
      <c r="G696" s="217" t="str">
        <f>IF(E696="","OUT","IN")</f>
        <v>IN</v>
      </c>
      <c r="H696" s="191">
        <f t="shared" si="123"/>
        <v>21916.167500000003</v>
      </c>
      <c r="I696" s="191">
        <f t="shared" si="124"/>
        <v>-39.167500000003201</v>
      </c>
      <c r="J696" s="498"/>
      <c r="K696" s="390"/>
      <c r="L696" s="391"/>
      <c r="S696" s="41"/>
      <c r="T696" s="41"/>
    </row>
    <row r="697" spans="1:20" s="40" customFormat="1" ht="13.5" customHeight="1">
      <c r="A697" s="505"/>
      <c r="B697" s="529" t="s">
        <v>149</v>
      </c>
      <c r="C697" s="530"/>
      <c r="D697" s="531"/>
      <c r="E697" s="124">
        <f>SUM(E691:E696)</f>
        <v>38.909999999999997</v>
      </c>
      <c r="F697" s="120"/>
      <c r="G697" s="121"/>
      <c r="H697" s="122"/>
      <c r="I697" s="122"/>
      <c r="J697" s="123"/>
      <c r="K697" s="487"/>
      <c r="L697" s="488"/>
      <c r="P697" s="69"/>
      <c r="S697" s="41"/>
      <c r="T697" s="41"/>
    </row>
    <row r="698" spans="1:20" s="40" customFormat="1" hidden="1">
      <c r="A698" s="178"/>
      <c r="B698" s="178"/>
      <c r="C698" s="179"/>
      <c r="D698" s="179"/>
      <c r="E698" s="180"/>
      <c r="F698" s="181"/>
      <c r="G698" s="182"/>
      <c r="H698" s="183"/>
      <c r="I698" s="183"/>
      <c r="J698" s="184"/>
      <c r="K698" s="185" t="s">
        <v>150</v>
      </c>
      <c r="L698" s="186">
        <v>0.13919999999999999</v>
      </c>
      <c r="P698" s="69"/>
      <c r="S698" s="41"/>
      <c r="T698" s="41"/>
    </row>
    <row r="699" spans="1:20" s="40" customFormat="1" ht="28.5" hidden="1">
      <c r="A699" s="524" t="s">
        <v>151</v>
      </c>
      <c r="B699" s="525"/>
      <c r="C699" s="525"/>
      <c r="D699" s="526"/>
      <c r="E699" s="164" t="s">
        <v>152</v>
      </c>
      <c r="F699" s="164" t="s">
        <v>153</v>
      </c>
      <c r="G699" s="527" t="s">
        <v>154</v>
      </c>
      <c r="H699" s="528"/>
      <c r="I699" s="127" t="s">
        <v>155</v>
      </c>
      <c r="J699" s="128" t="s">
        <v>156</v>
      </c>
      <c r="K699" s="489" t="s">
        <v>157</v>
      </c>
      <c r="L699" s="490"/>
      <c r="P699" s="69"/>
      <c r="S699" s="41"/>
      <c r="T699" s="41"/>
    </row>
    <row r="700" spans="1:20" s="40" customFormat="1" ht="14.25" hidden="1">
      <c r="A700" s="482" t="s">
        <v>158</v>
      </c>
      <c r="B700" s="483"/>
      <c r="C700" s="483"/>
      <c r="D700" s="484"/>
      <c r="E700" s="129">
        <v>5.0449999999999999</v>
      </c>
      <c r="F700" s="130">
        <v>11021.13</v>
      </c>
      <c r="G700" s="485">
        <v>2.3300000000000001E-2</v>
      </c>
      <c r="H700" s="486"/>
      <c r="I700" s="131">
        <f>G700*F700</f>
        <v>256.792329</v>
      </c>
      <c r="J700" s="132">
        <f>I700/$L$698</f>
        <v>1844.7724784482759</v>
      </c>
      <c r="K700" s="480">
        <f>J700</f>
        <v>1844.7724784482759</v>
      </c>
      <c r="L700" s="481"/>
      <c r="P700" s="69"/>
      <c r="S700" s="41"/>
      <c r="T700" s="41"/>
    </row>
    <row r="701" spans="1:20" s="40" customFormat="1" ht="14.25" hidden="1">
      <c r="A701" s="482" t="s">
        <v>159</v>
      </c>
      <c r="B701" s="483"/>
      <c r="C701" s="483"/>
      <c r="D701" s="484"/>
      <c r="E701" s="129">
        <v>4</v>
      </c>
      <c r="F701" s="130">
        <v>1018.94</v>
      </c>
      <c r="G701" s="485">
        <v>1.55E-2</v>
      </c>
      <c r="H701" s="486"/>
      <c r="I701" s="131">
        <f>G701*F701</f>
        <v>15.793570000000001</v>
      </c>
      <c r="J701" s="132">
        <f>I701/$L$698</f>
        <v>113.45955459770116</v>
      </c>
      <c r="K701" s="480">
        <f>J701+K700</f>
        <v>1958.232033045977</v>
      </c>
      <c r="L701" s="481"/>
      <c r="P701" s="69"/>
      <c r="S701" s="41"/>
      <c r="T701" s="41"/>
    </row>
    <row r="702" spans="1:20" s="40" customFormat="1" ht="14.25" hidden="1">
      <c r="A702" s="482" t="s">
        <v>160</v>
      </c>
      <c r="B702" s="483"/>
      <c r="C702" s="483"/>
      <c r="D702" s="484"/>
      <c r="E702" s="129" t="s">
        <v>51</v>
      </c>
      <c r="F702" s="187" t="s">
        <v>51</v>
      </c>
      <c r="G702" s="485" t="s">
        <v>51</v>
      </c>
      <c r="H702" s="486"/>
      <c r="I702" s="131">
        <v>0.45</v>
      </c>
      <c r="J702" s="132">
        <f t="shared" ref="J702:J704" si="139">I702/$L$698</f>
        <v>3.2327586206896557</v>
      </c>
      <c r="K702" s="480">
        <f>J702+K701</f>
        <v>1961.4647916666668</v>
      </c>
      <c r="L702" s="481"/>
      <c r="P702" s="69"/>
      <c r="S702" s="41"/>
      <c r="T702" s="41"/>
    </row>
    <row r="703" spans="1:20" s="40" customFormat="1" ht="14.25" hidden="1">
      <c r="A703" s="482" t="s">
        <v>161</v>
      </c>
      <c r="B703" s="483"/>
      <c r="C703" s="483"/>
      <c r="D703" s="484"/>
      <c r="E703" s="129">
        <f>G11</f>
        <v>6.2519999999999998</v>
      </c>
      <c r="F703" s="130">
        <v>9696.6200000000008</v>
      </c>
      <c r="G703" s="485">
        <f>0.0009714*E703^2</f>
        <v>3.7969601385599995E-2</v>
      </c>
      <c r="H703" s="486"/>
      <c r="I703" s="131">
        <f>G703*F703</f>
        <v>368.17679618763668</v>
      </c>
      <c r="J703" s="132">
        <f t="shared" si="139"/>
        <v>2644.9482484744017</v>
      </c>
      <c r="K703" s="480">
        <f>J703+K702</f>
        <v>4606.4130401410684</v>
      </c>
      <c r="L703" s="481"/>
      <c r="P703" s="69"/>
      <c r="S703" s="41"/>
      <c r="T703" s="41"/>
    </row>
    <row r="704" spans="1:20" s="40" customFormat="1" ht="14.25" hidden="1">
      <c r="A704" s="482" t="s">
        <v>162</v>
      </c>
      <c r="B704" s="483"/>
      <c r="C704" s="483"/>
      <c r="D704" s="484"/>
      <c r="E704" s="129">
        <f>G11</f>
        <v>6.2519999999999998</v>
      </c>
      <c r="F704" s="130">
        <v>100.98</v>
      </c>
      <c r="G704" s="485">
        <f>0.0009714*E704^2</f>
        <v>3.7969601385599995E-2</v>
      </c>
      <c r="H704" s="486"/>
      <c r="I704" s="131">
        <f>G704*F704</f>
        <v>3.8341703479178877</v>
      </c>
      <c r="J704" s="132">
        <f t="shared" si="139"/>
        <v>27.544327212053794</v>
      </c>
      <c r="K704" s="480">
        <f>J704+K703</f>
        <v>4633.9573673531222</v>
      </c>
      <c r="L704" s="481"/>
      <c r="P704" s="69"/>
      <c r="S704" s="41"/>
      <c r="T704" s="41"/>
    </row>
    <row r="705" spans="1:20" s="40" customFormat="1" ht="14.25" hidden="1">
      <c r="A705" s="499" t="s">
        <v>163</v>
      </c>
      <c r="B705" s="500"/>
      <c r="C705" s="500"/>
      <c r="D705" s="500"/>
      <c r="E705" s="500"/>
      <c r="F705" s="500"/>
      <c r="G705" s="500"/>
      <c r="H705" s="501"/>
      <c r="I705" s="474">
        <f>SUM(I700:I702)</f>
        <v>273.03589899999997</v>
      </c>
      <c r="J705" s="475"/>
      <c r="K705" s="476"/>
      <c r="L705" s="477"/>
      <c r="P705" s="69"/>
      <c r="S705" s="41"/>
      <c r="T705" s="41"/>
    </row>
    <row r="706" spans="1:20" s="40" customFormat="1" ht="14.25" hidden="1">
      <c r="A706" s="499" t="s">
        <v>164</v>
      </c>
      <c r="B706" s="500"/>
      <c r="C706" s="500"/>
      <c r="D706" s="500"/>
      <c r="E706" s="500"/>
      <c r="F706" s="500"/>
      <c r="G706" s="500"/>
      <c r="H706" s="501"/>
      <c r="I706" s="474">
        <f>SUM(I700:I704)</f>
        <v>645.0468655355545</v>
      </c>
      <c r="J706" s="475"/>
      <c r="K706" s="476"/>
      <c r="L706" s="477"/>
      <c r="P706" s="69"/>
      <c r="S706" s="41"/>
      <c r="T706" s="41"/>
    </row>
    <row r="707" spans="1:20" s="40" customFormat="1" ht="14.25" hidden="1">
      <c r="A707" s="499" t="s">
        <v>165</v>
      </c>
      <c r="B707" s="500"/>
      <c r="C707" s="500"/>
      <c r="D707" s="500"/>
      <c r="E707" s="500"/>
      <c r="F707" s="500"/>
      <c r="G707" s="500"/>
      <c r="H707" s="501"/>
      <c r="I707" s="474">
        <f>SUM(I700:I703)</f>
        <v>641.21269518763665</v>
      </c>
      <c r="J707" s="475"/>
      <c r="K707" s="476"/>
      <c r="L707" s="477"/>
      <c r="P707" s="69"/>
      <c r="S707" s="41"/>
      <c r="T707" s="41"/>
    </row>
    <row r="708" spans="1:20" s="40" customFormat="1" ht="14.25" hidden="1">
      <c r="A708" s="499" t="s">
        <v>166</v>
      </c>
      <c r="B708" s="500"/>
      <c r="C708" s="500"/>
      <c r="D708" s="500"/>
      <c r="E708" s="500"/>
      <c r="F708" s="500"/>
      <c r="G708" s="500"/>
      <c r="H708" s="501"/>
      <c r="I708" s="474">
        <f>I704/2</f>
        <v>1.9170851739589438</v>
      </c>
      <c r="J708" s="475"/>
      <c r="K708" s="476"/>
      <c r="L708" s="477"/>
      <c r="P708" s="69"/>
      <c r="S708" s="41"/>
      <c r="T708" s="41"/>
    </row>
    <row r="709" spans="1:20" s="40" customFormat="1" ht="14.25" hidden="1">
      <c r="A709" s="499" t="s">
        <v>167</v>
      </c>
      <c r="B709" s="500"/>
      <c r="C709" s="500"/>
      <c r="D709" s="500"/>
      <c r="E709" s="500"/>
      <c r="F709" s="500"/>
      <c r="G709" s="500"/>
      <c r="H709" s="501"/>
      <c r="I709" s="474">
        <f>((I707+I708)*2500*2.5/1000000)</f>
        <v>4.0195611272599727</v>
      </c>
      <c r="J709" s="475"/>
      <c r="K709" s="476"/>
      <c r="L709" s="477"/>
      <c r="P709" s="69"/>
      <c r="S709" s="41"/>
      <c r="T709" s="41"/>
    </row>
    <row r="710" spans="1:20" s="40" customFormat="1" ht="14.25" hidden="1">
      <c r="A710" s="518" t="s">
        <v>168</v>
      </c>
      <c r="B710" s="519"/>
      <c r="C710" s="519"/>
      <c r="D710" s="519"/>
      <c r="E710" s="519"/>
      <c r="F710" s="519"/>
      <c r="G710" s="519"/>
      <c r="H710" s="520"/>
      <c r="I710" s="474">
        <f>SUM(I707:J709)</f>
        <v>647.14934148885561</v>
      </c>
      <c r="J710" s="475"/>
      <c r="K710" s="476"/>
      <c r="L710" s="477"/>
      <c r="P710" s="69"/>
      <c r="S710" s="41"/>
      <c r="T710" s="41"/>
    </row>
    <row r="711" spans="1:20" s="40" customFormat="1" ht="14.25" hidden="1">
      <c r="A711" s="521"/>
      <c r="B711" s="522"/>
      <c r="C711" s="522"/>
      <c r="D711" s="522"/>
      <c r="E711" s="522"/>
      <c r="F711" s="522"/>
      <c r="G711" s="522"/>
      <c r="H711" s="523"/>
      <c r="I711" s="514"/>
      <c r="J711" s="515"/>
      <c r="K711" s="516"/>
      <c r="L711" s="517"/>
      <c r="S711" s="41"/>
      <c r="T711" s="41"/>
    </row>
    <row r="712" spans="1:20" s="40" customFormat="1" ht="12">
      <c r="A712" s="13"/>
      <c r="B712" s="17"/>
      <c r="C712" s="26"/>
      <c r="D712" s="27"/>
      <c r="E712" s="16"/>
      <c r="F712" s="47"/>
      <c r="G712" s="15"/>
      <c r="H712" s="16"/>
      <c r="I712" s="16"/>
      <c r="J712" s="22"/>
      <c r="K712" s="36"/>
      <c r="L712" s="36"/>
      <c r="S712" s="41"/>
      <c r="T712" s="41"/>
    </row>
    <row r="713" spans="1:20" s="40" customFormat="1" ht="12">
      <c r="A713" s="17"/>
      <c r="B713" s="17"/>
      <c r="C713" s="26"/>
      <c r="D713" s="17"/>
      <c r="E713" s="16"/>
      <c r="F713" s="48"/>
      <c r="G713" s="15"/>
      <c r="H713" s="16"/>
      <c r="I713" s="16"/>
      <c r="J713" s="22"/>
      <c r="K713" s="36"/>
      <c r="L713" s="36"/>
      <c r="S713" s="41"/>
      <c r="T713" s="41"/>
    </row>
    <row r="714" spans="1:20" s="40" customFormat="1" ht="12">
      <c r="A714" s="17"/>
      <c r="B714" s="13"/>
      <c r="C714" s="14"/>
      <c r="D714" s="16"/>
      <c r="E714" s="16"/>
      <c r="F714" s="47"/>
      <c r="G714" s="15"/>
      <c r="H714" s="16"/>
      <c r="I714" s="16"/>
      <c r="J714" s="22"/>
      <c r="K714" s="36"/>
      <c r="L714" s="36"/>
      <c r="S714" s="41"/>
      <c r="T714" s="41"/>
    </row>
    <row r="715" spans="1:20" s="40" customFormat="1" ht="12">
      <c r="A715" s="17"/>
      <c r="B715" s="13"/>
      <c r="C715" s="14"/>
      <c r="D715" s="16"/>
      <c r="E715" s="16"/>
      <c r="F715" s="16"/>
      <c r="G715" s="16"/>
      <c r="H715" s="16"/>
      <c r="I715" s="16"/>
      <c r="J715" s="13"/>
      <c r="K715" s="37"/>
      <c r="L715" s="37"/>
      <c r="S715" s="41"/>
      <c r="T715" s="41"/>
    </row>
    <row r="716" spans="1:20" s="40" customFormat="1" ht="12">
      <c r="A716" s="13"/>
      <c r="B716" s="13"/>
      <c r="C716" s="14"/>
      <c r="D716" s="16"/>
      <c r="E716" s="16"/>
      <c r="F716" s="16"/>
      <c r="G716" s="17"/>
      <c r="H716" s="16"/>
      <c r="I716" s="28"/>
      <c r="J716" s="29"/>
      <c r="K716" s="37"/>
      <c r="L716" s="37"/>
      <c r="S716" s="41"/>
      <c r="T716" s="41"/>
    </row>
    <row r="717" spans="1:20" s="40" customFormat="1" ht="12">
      <c r="A717" s="13"/>
      <c r="B717" s="13"/>
      <c r="C717" s="14"/>
      <c r="D717" s="16"/>
      <c r="E717" s="16"/>
      <c r="F717" s="16"/>
      <c r="G717" s="16"/>
      <c r="H717" s="16"/>
      <c r="I717" s="16"/>
      <c r="J717" s="13"/>
      <c r="K717" s="38"/>
      <c r="L717" s="37"/>
      <c r="S717" s="41"/>
      <c r="T717" s="41"/>
    </row>
    <row r="718" spans="1:20" s="40" customFormat="1">
      <c r="A718" s="18"/>
      <c r="B718" s="19"/>
      <c r="C718" s="20"/>
      <c r="D718" s="16"/>
      <c r="E718" s="16"/>
      <c r="F718" s="16"/>
      <c r="G718" s="17"/>
      <c r="H718" s="17"/>
      <c r="I718" s="17"/>
      <c r="J718" s="17"/>
      <c r="K718" s="37"/>
      <c r="L718" s="37"/>
      <c r="S718" s="41"/>
      <c r="T718" s="41"/>
    </row>
    <row r="719" spans="1:20" s="40" customFormat="1">
      <c r="A719" s="21"/>
      <c r="B719" s="19"/>
      <c r="C719" s="20"/>
      <c r="D719" s="16"/>
      <c r="E719" s="16"/>
      <c r="F719" s="16"/>
      <c r="G719" s="13"/>
      <c r="H719" s="13"/>
      <c r="I719" s="17"/>
      <c r="J719" s="17"/>
      <c r="K719" s="37"/>
      <c r="L719" s="37"/>
      <c r="S719" s="41"/>
      <c r="T719" s="41"/>
    </row>
    <row r="720" spans="1:20" s="40" customFormat="1">
      <c r="A720" s="21"/>
      <c r="B720" s="19"/>
      <c r="C720" s="20"/>
      <c r="D720" s="16"/>
      <c r="E720" s="16"/>
      <c r="F720" s="16"/>
      <c r="G720" s="13"/>
      <c r="H720" s="16"/>
      <c r="I720" s="17"/>
      <c r="J720" s="17"/>
      <c r="K720" s="37"/>
      <c r="L720" s="37"/>
      <c r="S720" s="41"/>
      <c r="T720" s="41"/>
    </row>
    <row r="721" spans="1:20" s="40" customFormat="1">
      <c r="A721" s="21"/>
      <c r="B721" s="19"/>
      <c r="C721" s="20"/>
      <c r="D721" s="17"/>
      <c r="E721" s="13"/>
      <c r="F721" s="13"/>
      <c r="G721" s="17"/>
      <c r="H721" s="17"/>
      <c r="I721" s="17"/>
      <c r="J721" s="17"/>
      <c r="K721" s="37"/>
      <c r="L721" s="37"/>
      <c r="S721" s="41"/>
      <c r="T721" s="41"/>
    </row>
    <row r="722" spans="1:20" s="40" customFormat="1">
      <c r="A722" s="21"/>
      <c r="B722" s="19"/>
      <c r="C722" s="20"/>
      <c r="D722" s="16"/>
      <c r="E722" s="16"/>
      <c r="F722" s="16"/>
      <c r="G722" s="17"/>
      <c r="H722" s="17"/>
      <c r="I722" s="17"/>
      <c r="J722" s="17"/>
      <c r="K722" s="37"/>
      <c r="L722" s="37"/>
      <c r="S722" s="41"/>
      <c r="T722" s="41"/>
    </row>
    <row r="723" spans="1:20" s="40" customFormat="1">
      <c r="A723" s="21"/>
      <c r="B723" s="19"/>
      <c r="C723" s="20"/>
      <c r="D723" s="16"/>
      <c r="E723" s="16"/>
      <c r="F723" s="16"/>
      <c r="G723" s="17"/>
      <c r="H723" s="17"/>
      <c r="I723" s="17"/>
      <c r="J723" s="17"/>
      <c r="K723" s="37"/>
      <c r="L723" s="37"/>
      <c r="S723" s="41"/>
      <c r="T723" s="41"/>
    </row>
    <row r="724" spans="1:20" s="40" customFormat="1">
      <c r="A724" s="23"/>
      <c r="B724" s="19"/>
      <c r="C724" s="20"/>
      <c r="D724" s="16"/>
      <c r="E724" s="16"/>
      <c r="F724" s="16"/>
      <c r="G724" s="17"/>
      <c r="H724" s="17"/>
      <c r="I724" s="17"/>
      <c r="J724" s="17"/>
      <c r="K724" s="37"/>
      <c r="L724" s="37"/>
      <c r="S724" s="41"/>
      <c r="T724" s="41"/>
    </row>
    <row r="725" spans="1:20" s="40" customFormat="1">
      <c r="A725" s="24"/>
      <c r="B725" s="19"/>
      <c r="C725" s="20"/>
      <c r="D725" s="17"/>
      <c r="E725" s="13"/>
      <c r="F725" s="13"/>
      <c r="G725" s="17"/>
      <c r="H725" s="17"/>
      <c r="I725" s="17"/>
      <c r="J725" s="17"/>
      <c r="K725" s="37"/>
      <c r="L725" s="37"/>
      <c r="S725" s="41"/>
      <c r="T725" s="41"/>
    </row>
    <row r="726" spans="1:20" s="40" customFormat="1">
      <c r="A726" s="25"/>
      <c r="B726" s="19"/>
      <c r="C726" s="20"/>
      <c r="D726" s="17"/>
      <c r="E726" s="13"/>
      <c r="F726" s="13"/>
      <c r="G726" s="17"/>
      <c r="H726" s="17"/>
      <c r="I726" s="17"/>
      <c r="J726" s="17"/>
      <c r="K726" s="37"/>
      <c r="L726" s="37"/>
      <c r="S726" s="41"/>
      <c r="T726" s="41"/>
    </row>
    <row r="727" spans="1:20" s="40" customFormat="1" ht="12">
      <c r="A727" s="17"/>
      <c r="B727" s="17"/>
      <c r="C727" s="26"/>
      <c r="D727" s="17"/>
      <c r="E727" s="13"/>
      <c r="F727" s="13"/>
      <c r="G727" s="17"/>
      <c r="H727" s="17"/>
      <c r="I727" s="17"/>
      <c r="J727" s="17"/>
      <c r="K727" s="37"/>
      <c r="L727" s="37"/>
      <c r="S727" s="41"/>
      <c r="T727" s="41"/>
    </row>
    <row r="728" spans="1:20" s="40" customFormat="1" ht="12">
      <c r="A728" s="17"/>
      <c r="B728" s="17"/>
      <c r="C728" s="26"/>
      <c r="D728" s="17"/>
      <c r="E728" s="13"/>
      <c r="F728" s="13"/>
      <c r="G728" s="17"/>
      <c r="H728" s="17"/>
      <c r="I728" s="17"/>
      <c r="J728" s="17"/>
      <c r="K728" s="37"/>
      <c r="L728" s="37"/>
      <c r="S728" s="41"/>
      <c r="T728" s="41"/>
    </row>
    <row r="729" spans="1:20" s="40" customFormat="1" ht="12">
      <c r="A729" s="17"/>
      <c r="B729" s="17"/>
      <c r="C729" s="26"/>
      <c r="D729" s="17"/>
      <c r="E729" s="13"/>
      <c r="F729" s="13"/>
      <c r="G729" s="17"/>
      <c r="H729" s="17"/>
      <c r="I729" s="17"/>
      <c r="J729" s="17"/>
      <c r="K729" s="37"/>
      <c r="L729" s="37"/>
      <c r="S729" s="41"/>
      <c r="T729" s="41"/>
    </row>
    <row r="730" spans="1:20" s="40" customFormat="1" ht="12">
      <c r="A730" s="17"/>
      <c r="B730" s="17"/>
      <c r="C730" s="26"/>
      <c r="D730" s="17"/>
      <c r="E730" s="13"/>
      <c r="F730" s="13"/>
      <c r="G730" s="17"/>
      <c r="H730" s="17"/>
      <c r="I730" s="17"/>
      <c r="J730" s="17"/>
      <c r="K730" s="37"/>
      <c r="L730" s="37"/>
      <c r="S730" s="41"/>
      <c r="T730" s="41"/>
    </row>
    <row r="731" spans="1:20" s="40" customFormat="1" ht="12">
      <c r="A731" s="17"/>
      <c r="B731" s="17"/>
      <c r="C731" s="26"/>
      <c r="D731" s="17"/>
      <c r="E731" s="13"/>
      <c r="F731" s="13"/>
      <c r="G731" s="17"/>
      <c r="H731" s="17"/>
      <c r="I731" s="17"/>
      <c r="J731" s="17"/>
      <c r="K731" s="37"/>
      <c r="L731" s="37"/>
      <c r="S731" s="41"/>
      <c r="T731" s="41"/>
    </row>
    <row r="732" spans="1:20" s="40" customFormat="1" ht="12">
      <c r="A732" s="17"/>
      <c r="B732" s="17"/>
      <c r="C732" s="26"/>
      <c r="D732" s="17"/>
      <c r="E732" s="13"/>
      <c r="F732" s="13"/>
      <c r="G732" s="17"/>
      <c r="H732" s="17"/>
      <c r="I732" s="17"/>
      <c r="J732" s="17"/>
      <c r="K732" s="37"/>
      <c r="L732" s="37"/>
      <c r="S732" s="41"/>
      <c r="T732" s="41"/>
    </row>
    <row r="733" spans="1:20" s="40" customFormat="1" ht="12">
      <c r="A733" s="17"/>
      <c r="B733" s="17"/>
      <c r="C733" s="26"/>
      <c r="D733" s="17"/>
      <c r="E733" s="13"/>
      <c r="F733" s="13"/>
      <c r="G733" s="17"/>
      <c r="H733" s="17"/>
      <c r="I733" s="17"/>
      <c r="J733" s="17"/>
      <c r="K733" s="37"/>
      <c r="L733" s="37"/>
      <c r="S733" s="41"/>
      <c r="T733" s="41"/>
    </row>
    <row r="734" spans="1:20" s="40" customFormat="1" ht="12">
      <c r="A734" s="17"/>
      <c r="B734" s="17"/>
      <c r="C734" s="26"/>
      <c r="D734" s="17"/>
      <c r="E734" s="13"/>
      <c r="F734" s="13"/>
      <c r="G734" s="17"/>
      <c r="H734" s="17"/>
      <c r="I734" s="17"/>
      <c r="J734" s="17"/>
      <c r="K734" s="37"/>
      <c r="L734" s="37"/>
      <c r="S734" s="41"/>
      <c r="T734" s="41"/>
    </row>
    <row r="735" spans="1:20" s="40" customFormat="1" ht="12">
      <c r="A735" s="17"/>
      <c r="B735" s="17"/>
      <c r="C735" s="26"/>
      <c r="D735" s="17"/>
      <c r="E735" s="13"/>
      <c r="F735" s="13"/>
      <c r="G735" s="17"/>
      <c r="H735" s="17"/>
      <c r="I735" s="17"/>
      <c r="J735" s="17"/>
      <c r="K735" s="37"/>
      <c r="L735" s="37"/>
      <c r="S735" s="41"/>
      <c r="T735" s="41"/>
    </row>
    <row r="736" spans="1:20" s="40" customFormat="1" ht="12">
      <c r="A736" s="17"/>
      <c r="B736" s="17"/>
      <c r="C736" s="26"/>
      <c r="D736" s="17"/>
      <c r="E736" s="13"/>
      <c r="F736" s="13"/>
      <c r="G736" s="17"/>
      <c r="H736" s="17"/>
      <c r="I736" s="17"/>
      <c r="J736" s="17"/>
      <c r="K736" s="37"/>
      <c r="L736" s="37"/>
      <c r="S736" s="41"/>
      <c r="T736" s="41"/>
    </row>
    <row r="737" spans="1:20" s="40" customFormat="1" ht="12">
      <c r="A737" s="17"/>
      <c r="B737" s="17"/>
      <c r="C737" s="26"/>
      <c r="D737" s="17"/>
      <c r="E737" s="13"/>
      <c r="F737" s="13"/>
      <c r="G737" s="17"/>
      <c r="H737" s="17"/>
      <c r="I737" s="17"/>
      <c r="J737" s="17"/>
      <c r="K737" s="37"/>
      <c r="L737" s="37"/>
      <c r="S737" s="41"/>
      <c r="T737" s="41"/>
    </row>
    <row r="738" spans="1:20" s="40" customFormat="1" ht="12">
      <c r="A738" s="17"/>
      <c r="B738" s="17"/>
      <c r="C738" s="26"/>
      <c r="D738" s="17"/>
      <c r="E738" s="13"/>
      <c r="F738" s="13"/>
      <c r="G738" s="17"/>
      <c r="H738" s="17"/>
      <c r="I738" s="17"/>
      <c r="J738" s="17"/>
      <c r="K738" s="37"/>
      <c r="L738" s="37"/>
      <c r="S738" s="41"/>
      <c r="T738" s="41"/>
    </row>
    <row r="739" spans="1:20" s="40" customFormat="1" ht="12">
      <c r="A739" s="17"/>
      <c r="B739" s="17"/>
      <c r="C739" s="26"/>
      <c r="D739" s="17"/>
      <c r="E739" s="13"/>
      <c r="F739" s="13"/>
      <c r="G739" s="17"/>
      <c r="H739" s="17"/>
      <c r="I739" s="17"/>
      <c r="J739" s="17"/>
      <c r="K739" s="37"/>
      <c r="L739" s="37"/>
      <c r="S739" s="41"/>
      <c r="T739" s="41"/>
    </row>
    <row r="740" spans="1:20" s="40" customFormat="1" ht="12">
      <c r="A740" s="17"/>
      <c r="B740" s="17"/>
      <c r="C740" s="26"/>
      <c r="D740" s="17"/>
      <c r="E740" s="13"/>
      <c r="F740" s="13"/>
      <c r="G740" s="17"/>
      <c r="H740" s="17"/>
      <c r="I740" s="17"/>
      <c r="J740" s="17"/>
      <c r="K740" s="37"/>
      <c r="L740" s="37"/>
      <c r="S740" s="41"/>
      <c r="T740" s="41"/>
    </row>
    <row r="741" spans="1:20" s="40" customFormat="1">
      <c r="A741" s="17"/>
      <c r="B741" s="2"/>
      <c r="C741" s="30"/>
      <c r="D741" s="2"/>
      <c r="E741" s="31"/>
      <c r="F741" s="31"/>
      <c r="G741" s="2"/>
      <c r="H741" s="2"/>
      <c r="I741" s="2"/>
      <c r="J741" s="2"/>
      <c r="K741" s="37"/>
      <c r="L741" s="37"/>
      <c r="S741" s="41"/>
      <c r="T741" s="41"/>
    </row>
    <row r="742" spans="1:20" s="40" customFormat="1">
      <c r="A742" s="2"/>
      <c r="B742" s="2"/>
      <c r="C742" s="30"/>
      <c r="D742" s="2"/>
      <c r="E742" s="31"/>
      <c r="F742" s="31"/>
      <c r="G742" s="2"/>
      <c r="H742" s="2"/>
      <c r="I742" s="2"/>
      <c r="J742" s="2"/>
      <c r="K742" s="39"/>
      <c r="L742" s="39"/>
      <c r="S742" s="41"/>
      <c r="T742" s="41"/>
    </row>
    <row r="743" spans="1:20" s="40" customFormat="1">
      <c r="A743" s="2"/>
      <c r="B743" s="2"/>
      <c r="C743" s="30"/>
      <c r="D743" s="2"/>
      <c r="E743" s="31"/>
      <c r="F743" s="31"/>
      <c r="G743" s="2"/>
      <c r="H743" s="2"/>
      <c r="I743" s="2"/>
      <c r="J743" s="2"/>
      <c r="K743" s="39"/>
      <c r="L743" s="39"/>
      <c r="S743" s="41"/>
      <c r="T743" s="41"/>
    </row>
    <row r="744" spans="1:20" s="40" customFormat="1">
      <c r="A744" s="2"/>
      <c r="B744" s="2"/>
      <c r="C744" s="30"/>
      <c r="D744" s="2"/>
      <c r="E744" s="31"/>
      <c r="F744" s="31"/>
      <c r="G744" s="2"/>
      <c r="H744" s="2"/>
      <c r="I744" s="2"/>
      <c r="J744" s="2"/>
      <c r="K744" s="39"/>
      <c r="L744" s="39"/>
      <c r="S744" s="41"/>
      <c r="T744" s="41"/>
    </row>
    <row r="745" spans="1:20" s="40" customFormat="1">
      <c r="A745" s="2"/>
      <c r="B745" s="2"/>
      <c r="C745" s="30"/>
      <c r="D745" s="2"/>
      <c r="E745" s="31"/>
      <c r="F745" s="31"/>
      <c r="G745" s="2"/>
      <c r="H745" s="2"/>
      <c r="I745" s="2"/>
      <c r="J745" s="2"/>
      <c r="K745" s="39"/>
      <c r="L745" s="39"/>
      <c r="S745" s="41"/>
      <c r="T745" s="41"/>
    </row>
    <row r="746" spans="1:20" s="40" customFormat="1">
      <c r="A746" s="2"/>
      <c r="B746" s="2"/>
      <c r="C746" s="30"/>
      <c r="D746" s="2"/>
      <c r="E746" s="31"/>
      <c r="F746" s="31"/>
      <c r="G746" s="2"/>
      <c r="H746" s="2"/>
      <c r="I746" s="2"/>
      <c r="J746" s="2"/>
      <c r="K746" s="39"/>
      <c r="L746" s="39"/>
      <c r="S746" s="41"/>
      <c r="T746" s="41"/>
    </row>
    <row r="747" spans="1:20" s="40" customFormat="1">
      <c r="A747" s="2"/>
      <c r="B747" s="2"/>
      <c r="C747" s="30"/>
      <c r="D747" s="2"/>
      <c r="E747" s="31"/>
      <c r="F747" s="31"/>
      <c r="G747" s="2"/>
      <c r="H747" s="2"/>
      <c r="I747" s="2"/>
      <c r="J747" s="2"/>
      <c r="K747" s="39"/>
      <c r="L747" s="39"/>
      <c r="S747" s="41"/>
      <c r="T747" s="41"/>
    </row>
    <row r="748" spans="1:20" s="40" customFormat="1">
      <c r="A748" s="2"/>
      <c r="B748" s="2"/>
      <c r="C748" s="30"/>
      <c r="D748" s="2"/>
      <c r="E748" s="31"/>
      <c r="F748" s="31"/>
      <c r="G748" s="2"/>
      <c r="H748" s="2"/>
      <c r="I748" s="2"/>
      <c r="J748" s="2"/>
      <c r="K748" s="39"/>
      <c r="L748" s="39"/>
      <c r="S748" s="41"/>
      <c r="T748" s="41"/>
    </row>
    <row r="749" spans="1:20" s="40" customFormat="1">
      <c r="A749" s="2"/>
      <c r="B749" s="2"/>
      <c r="C749" s="30"/>
      <c r="D749" s="2"/>
      <c r="E749" s="31"/>
      <c r="F749" s="31"/>
      <c r="G749" s="2"/>
      <c r="H749" s="2"/>
      <c r="I749" s="2"/>
      <c r="J749" s="2"/>
      <c r="K749" s="39"/>
      <c r="L749" s="39"/>
      <c r="S749" s="41"/>
      <c r="T749" s="41"/>
    </row>
    <row r="750" spans="1:20" s="40" customFormat="1">
      <c r="A750" s="2"/>
      <c r="B750" s="2"/>
      <c r="C750" s="30"/>
      <c r="D750" s="2"/>
      <c r="E750" s="31"/>
      <c r="F750" s="31"/>
      <c r="G750" s="2"/>
      <c r="H750" s="2"/>
      <c r="I750" s="2"/>
      <c r="J750" s="2"/>
      <c r="K750" s="39"/>
      <c r="L750" s="39"/>
      <c r="S750" s="41"/>
      <c r="T750" s="41"/>
    </row>
    <row r="751" spans="1:20" s="40" customFormat="1">
      <c r="A751" s="2"/>
      <c r="B751" s="2"/>
      <c r="C751" s="30"/>
      <c r="D751" s="2"/>
      <c r="E751" s="31"/>
      <c r="F751" s="31"/>
      <c r="G751" s="2"/>
      <c r="H751" s="2"/>
      <c r="I751" s="2"/>
      <c r="J751" s="2"/>
      <c r="K751" s="39"/>
      <c r="L751" s="39"/>
      <c r="S751" s="41"/>
      <c r="T751" s="41"/>
    </row>
    <row r="752" spans="1:20" s="40" customFormat="1">
      <c r="A752" s="2"/>
      <c r="B752" s="31"/>
      <c r="C752" s="24"/>
      <c r="D752" s="24"/>
      <c r="E752" s="32"/>
      <c r="F752" s="32"/>
      <c r="G752" s="32"/>
      <c r="H752" s="32"/>
      <c r="I752" s="32"/>
      <c r="J752" s="33"/>
      <c r="K752" s="39"/>
      <c r="L752" s="39"/>
      <c r="S752" s="41"/>
      <c r="T752" s="41"/>
    </row>
  </sheetData>
  <mergeCells count="1133"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557:L557"/>
    <mergeCell ref="K558:L558"/>
    <mergeCell ref="K559:L559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63:L563"/>
    <mergeCell ref="K564:L564"/>
    <mergeCell ref="K565:L565"/>
    <mergeCell ref="K566:L566"/>
    <mergeCell ref="K567:L567"/>
    <mergeCell ref="K568:L568"/>
    <mergeCell ref="K562:L562"/>
    <mergeCell ref="K560:L560"/>
    <mergeCell ref="K561:L561"/>
    <mergeCell ref="K521:L521"/>
    <mergeCell ref="K522:L522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52:L552"/>
    <mergeCell ref="K553:L553"/>
    <mergeCell ref="K554:L554"/>
    <mergeCell ref="K555:L555"/>
    <mergeCell ref="K556:L556"/>
    <mergeCell ref="K551:L551"/>
    <mergeCell ref="K541:L541"/>
    <mergeCell ref="K493:L493"/>
    <mergeCell ref="K494:L494"/>
    <mergeCell ref="K495:L495"/>
    <mergeCell ref="K478:L478"/>
    <mergeCell ref="K479:L479"/>
    <mergeCell ref="K480:L480"/>
    <mergeCell ref="K481:L481"/>
    <mergeCell ref="K482:L482"/>
    <mergeCell ref="K483:L483"/>
    <mergeCell ref="K484:L484"/>
    <mergeCell ref="K514:L514"/>
    <mergeCell ref="K515:L515"/>
    <mergeCell ref="K516:L516"/>
    <mergeCell ref="K517:L517"/>
    <mergeCell ref="K518:L518"/>
    <mergeCell ref="K519:L519"/>
    <mergeCell ref="K520:L520"/>
    <mergeCell ref="K470:L470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48:L448"/>
    <mergeCell ref="K449:L449"/>
    <mergeCell ref="K450:L450"/>
    <mergeCell ref="K451:L451"/>
    <mergeCell ref="K452:L452"/>
    <mergeCell ref="K453:L453"/>
    <mergeCell ref="K492:L492"/>
    <mergeCell ref="A658:A661"/>
    <mergeCell ref="B658:C658"/>
    <mergeCell ref="B659:C659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71:L471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487:L487"/>
    <mergeCell ref="K488:L488"/>
    <mergeCell ref="K489:L489"/>
    <mergeCell ref="K490:L490"/>
    <mergeCell ref="K491:L491"/>
    <mergeCell ref="K463:L463"/>
    <mergeCell ref="K464:L464"/>
    <mergeCell ref="K465:L465"/>
    <mergeCell ref="K466:L466"/>
    <mergeCell ref="K467:L467"/>
    <mergeCell ref="B689:C689"/>
    <mergeCell ref="B690:C690"/>
    <mergeCell ref="K690:L690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A674:A677"/>
    <mergeCell ref="B674:C674"/>
    <mergeCell ref="B675:C675"/>
    <mergeCell ref="B676:C676"/>
    <mergeCell ref="B677:C677"/>
    <mergeCell ref="A678:A681"/>
    <mergeCell ref="B678:C678"/>
    <mergeCell ref="B679:C679"/>
    <mergeCell ref="B680:C680"/>
    <mergeCell ref="B681:C681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A642:A645"/>
    <mergeCell ref="B642:C642"/>
    <mergeCell ref="B643:C643"/>
    <mergeCell ref="B644:C644"/>
    <mergeCell ref="B645:C645"/>
    <mergeCell ref="A646:A649"/>
    <mergeCell ref="B646:C646"/>
    <mergeCell ref="B647:C647"/>
    <mergeCell ref="B648:C648"/>
    <mergeCell ref="B649:C649"/>
    <mergeCell ref="K646:L646"/>
    <mergeCell ref="K647:L647"/>
    <mergeCell ref="K648:L648"/>
    <mergeCell ref="K649:L649"/>
    <mergeCell ref="A650:A653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A666:A669"/>
    <mergeCell ref="K185:L185"/>
    <mergeCell ref="K186:L186"/>
    <mergeCell ref="K187:L187"/>
    <mergeCell ref="A654:A657"/>
    <mergeCell ref="B654:C654"/>
    <mergeCell ref="B655:C655"/>
    <mergeCell ref="B656:C656"/>
    <mergeCell ref="B657:C657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351:L351"/>
    <mergeCell ref="K370:L370"/>
    <mergeCell ref="K398:L398"/>
    <mergeCell ref="K399:L399"/>
    <mergeCell ref="K386:L387"/>
    <mergeCell ref="K392:L392"/>
    <mergeCell ref="K393:L393"/>
    <mergeCell ref="K394:L394"/>
    <mergeCell ref="K395:L395"/>
    <mergeCell ref="K419:L419"/>
    <mergeCell ref="K420:L420"/>
    <mergeCell ref="K423:L423"/>
    <mergeCell ref="K424:L424"/>
    <mergeCell ref="K425:L425"/>
    <mergeCell ref="K468:L468"/>
    <mergeCell ref="K469:L469"/>
    <mergeCell ref="I705:J705"/>
    <mergeCell ref="B697:D697"/>
    <mergeCell ref="B694:D694"/>
    <mergeCell ref="B303:D303"/>
    <mergeCell ref="B311:C311"/>
    <mergeCell ref="B313:C313"/>
    <mergeCell ref="B308:C308"/>
    <mergeCell ref="B307:D307"/>
    <mergeCell ref="A322:A325"/>
    <mergeCell ref="A326:A329"/>
    <mergeCell ref="A330:A333"/>
    <mergeCell ref="A334:A337"/>
    <mergeCell ref="A338:A341"/>
    <mergeCell ref="B335:C335"/>
    <mergeCell ref="B336:C336"/>
    <mergeCell ref="B340:C340"/>
    <mergeCell ref="B331:C331"/>
    <mergeCell ref="B325:C325"/>
    <mergeCell ref="B314:C314"/>
    <mergeCell ref="B319:C319"/>
    <mergeCell ref="B321:C321"/>
    <mergeCell ref="A302:A308"/>
    <mergeCell ref="B302:D302"/>
    <mergeCell ref="B312:C312"/>
    <mergeCell ref="A310:A313"/>
    <mergeCell ref="B326:C326"/>
    <mergeCell ref="B684:C684"/>
    <mergeCell ref="B685:C685"/>
    <mergeCell ref="A686:A689"/>
    <mergeCell ref="B686:C686"/>
    <mergeCell ref="B687:C687"/>
    <mergeCell ref="B688:C688"/>
    <mergeCell ref="B304:D304"/>
    <mergeCell ref="B305:D305"/>
    <mergeCell ref="B306:D306"/>
    <mergeCell ref="I711:J711"/>
    <mergeCell ref="K711:L711"/>
    <mergeCell ref="A709:H709"/>
    <mergeCell ref="I709:J709"/>
    <mergeCell ref="K709:L709"/>
    <mergeCell ref="A710:H710"/>
    <mergeCell ref="I710:J710"/>
    <mergeCell ref="K710:L710"/>
    <mergeCell ref="A707:H707"/>
    <mergeCell ref="I707:J707"/>
    <mergeCell ref="K707:L707"/>
    <mergeCell ref="A708:H708"/>
    <mergeCell ref="I708:J708"/>
    <mergeCell ref="K708:L708"/>
    <mergeCell ref="A711:H711"/>
    <mergeCell ref="B516:C516"/>
    <mergeCell ref="B494:C494"/>
    <mergeCell ref="B495:C495"/>
    <mergeCell ref="B500:C500"/>
    <mergeCell ref="B501:C501"/>
    <mergeCell ref="B507:C507"/>
    <mergeCell ref="B508:C508"/>
    <mergeCell ref="B509:C509"/>
    <mergeCell ref="B497:C497"/>
    <mergeCell ref="A618:A621"/>
    <mergeCell ref="G701:H701"/>
    <mergeCell ref="A705:H705"/>
    <mergeCell ref="A699:D699"/>
    <mergeCell ref="G699:H699"/>
    <mergeCell ref="B661:C661"/>
    <mergeCell ref="B692:D692"/>
    <mergeCell ref="A703:D703"/>
    <mergeCell ref="B510:C510"/>
    <mergeCell ref="G11:H11"/>
    <mergeCell ref="A691:A697"/>
    <mergeCell ref="B491:C491"/>
    <mergeCell ref="B492:C492"/>
    <mergeCell ref="B493:C493"/>
    <mergeCell ref="B535:C535"/>
    <mergeCell ref="B533:C533"/>
    <mergeCell ref="B546:C546"/>
    <mergeCell ref="B547:C547"/>
    <mergeCell ref="B548:C548"/>
    <mergeCell ref="B549:C549"/>
    <mergeCell ref="A350:A353"/>
    <mergeCell ref="A354:A357"/>
    <mergeCell ref="B310:C310"/>
    <mergeCell ref="B309:D309"/>
    <mergeCell ref="A314:A317"/>
    <mergeCell ref="B322:C322"/>
    <mergeCell ref="B323:C323"/>
    <mergeCell ref="B324:C324"/>
    <mergeCell ref="B315:C315"/>
    <mergeCell ref="A318:A321"/>
    <mergeCell ref="B693:D693"/>
    <mergeCell ref="B562:C562"/>
    <mergeCell ref="B561:C561"/>
    <mergeCell ref="B15:C15"/>
    <mergeCell ref="G13:H13"/>
    <mergeCell ref="B337:C337"/>
    <mergeCell ref="B338:C338"/>
    <mergeCell ref="B630:C630"/>
    <mergeCell ref="B583:C583"/>
    <mergeCell ref="B612:C612"/>
    <mergeCell ref="A706:H706"/>
    <mergeCell ref="A701:D701"/>
    <mergeCell ref="B696:D696"/>
    <mergeCell ref="B691:D691"/>
    <mergeCell ref="A606:A609"/>
    <mergeCell ref="B606:C606"/>
    <mergeCell ref="A626:A629"/>
    <mergeCell ref="B626:C626"/>
    <mergeCell ref="B627:C627"/>
    <mergeCell ref="B628:C628"/>
    <mergeCell ref="B629:C629"/>
    <mergeCell ref="A622:A625"/>
    <mergeCell ref="B622:C622"/>
    <mergeCell ref="B623:C623"/>
    <mergeCell ref="B624:C624"/>
    <mergeCell ref="B625:C625"/>
    <mergeCell ref="A638:A641"/>
    <mergeCell ref="B638:C638"/>
    <mergeCell ref="B639:C639"/>
    <mergeCell ref="B650:C650"/>
    <mergeCell ref="B651:C651"/>
    <mergeCell ref="B652:C652"/>
    <mergeCell ref="B653:C653"/>
    <mergeCell ref="A662:A665"/>
    <mergeCell ref="B662:C662"/>
    <mergeCell ref="B663:C663"/>
    <mergeCell ref="B664:C664"/>
    <mergeCell ref="B665:C665"/>
    <mergeCell ref="B660:C660"/>
    <mergeCell ref="J691:J696"/>
    <mergeCell ref="B571:C571"/>
    <mergeCell ref="B576:C576"/>
    <mergeCell ref="G703:H703"/>
    <mergeCell ref="B601:C601"/>
    <mergeCell ref="A594:A597"/>
    <mergeCell ref="B594:C594"/>
    <mergeCell ref="B595:C595"/>
    <mergeCell ref="B596:C596"/>
    <mergeCell ref="B597:C597"/>
    <mergeCell ref="A582:A585"/>
    <mergeCell ref="B582:C582"/>
    <mergeCell ref="A704:D704"/>
    <mergeCell ref="G704:H704"/>
    <mergeCell ref="A670:A673"/>
    <mergeCell ref="B670:C670"/>
    <mergeCell ref="B671:C671"/>
    <mergeCell ref="B672:C672"/>
    <mergeCell ref="B673:C673"/>
    <mergeCell ref="B666:C666"/>
    <mergeCell ref="B667:C667"/>
    <mergeCell ref="B668:C668"/>
    <mergeCell ref="B669:C669"/>
    <mergeCell ref="A682:A685"/>
    <mergeCell ref="B682:C682"/>
    <mergeCell ref="B683:C683"/>
    <mergeCell ref="A634:A637"/>
    <mergeCell ref="B634:C634"/>
    <mergeCell ref="B635:C635"/>
    <mergeCell ref="B636:C636"/>
    <mergeCell ref="B637:C637"/>
    <mergeCell ref="A630:A633"/>
    <mergeCell ref="K229:L229"/>
    <mergeCell ref="K230:L230"/>
    <mergeCell ref="K196:L196"/>
    <mergeCell ref="K704:L704"/>
    <mergeCell ref="B550:C550"/>
    <mergeCell ref="B551:C551"/>
    <mergeCell ref="B552:C552"/>
    <mergeCell ref="B553:C553"/>
    <mergeCell ref="A702:D702"/>
    <mergeCell ref="G702:H702"/>
    <mergeCell ref="K702:L702"/>
    <mergeCell ref="K696:L696"/>
    <mergeCell ref="K701:L701"/>
    <mergeCell ref="K697:L697"/>
    <mergeCell ref="K699:L699"/>
    <mergeCell ref="K700:L700"/>
    <mergeCell ref="K691:L691"/>
    <mergeCell ref="B695:D695"/>
    <mergeCell ref="B556:C556"/>
    <mergeCell ref="B569:C569"/>
    <mergeCell ref="A700:D700"/>
    <mergeCell ref="G700:H700"/>
    <mergeCell ref="A586:A589"/>
    <mergeCell ref="B586:C586"/>
    <mergeCell ref="B587:C587"/>
    <mergeCell ref="B588:C588"/>
    <mergeCell ref="B589:C589"/>
    <mergeCell ref="B577:C577"/>
    <mergeCell ref="A598:A601"/>
    <mergeCell ref="B598:C598"/>
    <mergeCell ref="B599:C599"/>
    <mergeCell ref="B600:C600"/>
    <mergeCell ref="K365:L365"/>
    <mergeCell ref="K363:L363"/>
    <mergeCell ref="K361:L361"/>
    <mergeCell ref="K342:L342"/>
    <mergeCell ref="K343:L343"/>
    <mergeCell ref="I706:J706"/>
    <mergeCell ref="K706:L706"/>
    <mergeCell ref="K705:L705"/>
    <mergeCell ref="K192:L192"/>
    <mergeCell ref="K109:L109"/>
    <mergeCell ref="K344:L344"/>
    <mergeCell ref="K317:L317"/>
    <mergeCell ref="K318:L318"/>
    <mergeCell ref="K337:L337"/>
    <mergeCell ref="K338:L338"/>
    <mergeCell ref="K339:L339"/>
    <mergeCell ref="K328:L328"/>
    <mergeCell ref="K329:L329"/>
    <mergeCell ref="K330:L330"/>
    <mergeCell ref="K331:L331"/>
    <mergeCell ref="K332:L332"/>
    <mergeCell ref="K333:L333"/>
    <mergeCell ref="K231:L231"/>
    <mergeCell ref="K228:L228"/>
    <mergeCell ref="K158:L158"/>
    <mergeCell ref="K178:L178"/>
    <mergeCell ref="K179:L179"/>
    <mergeCell ref="K156:L156"/>
    <mergeCell ref="K319:L319"/>
    <mergeCell ref="K320:L320"/>
    <mergeCell ref="K703:L703"/>
    <mergeCell ref="K210:L210"/>
    <mergeCell ref="K124:L124"/>
    <mergeCell ref="K126:L126"/>
    <mergeCell ref="K127:L127"/>
    <mergeCell ref="K129:L129"/>
    <mergeCell ref="K146:L146"/>
    <mergeCell ref="K184:L184"/>
    <mergeCell ref="K182:L182"/>
    <mergeCell ref="K189:L189"/>
    <mergeCell ref="K211:L211"/>
    <mergeCell ref="K190:L190"/>
    <mergeCell ref="K133:L133"/>
    <mergeCell ref="K134:L134"/>
    <mergeCell ref="K312:L312"/>
    <mergeCell ref="K358:L358"/>
    <mergeCell ref="K359:L359"/>
    <mergeCell ref="K360:L360"/>
    <mergeCell ref="K322:L322"/>
    <mergeCell ref="K334:L334"/>
    <mergeCell ref="K335:L335"/>
    <mergeCell ref="K336:L336"/>
    <mergeCell ref="K345:L345"/>
    <mergeCell ref="K352:L352"/>
    <mergeCell ref="K355:L355"/>
    <mergeCell ref="K356:L356"/>
    <mergeCell ref="K353:L353"/>
    <mergeCell ref="K354:L354"/>
    <mergeCell ref="K346:L346"/>
    <mergeCell ref="K347:L347"/>
    <mergeCell ref="K324:L324"/>
    <mergeCell ref="K325:L325"/>
    <mergeCell ref="K225:L225"/>
    <mergeCell ref="K205:L205"/>
    <mergeCell ref="K52:L52"/>
    <mergeCell ref="K86:L86"/>
    <mergeCell ref="K78:L78"/>
    <mergeCell ref="K79:L79"/>
    <mergeCell ref="K80:L80"/>
    <mergeCell ref="K53:L53"/>
    <mergeCell ref="K66:L66"/>
    <mergeCell ref="K67:L67"/>
    <mergeCell ref="K68:L68"/>
    <mergeCell ref="K107:L107"/>
    <mergeCell ref="K121:L121"/>
    <mergeCell ref="K122:L122"/>
    <mergeCell ref="K113:L113"/>
    <mergeCell ref="K114:L114"/>
    <mergeCell ref="K115:L115"/>
    <mergeCell ref="K63:L63"/>
    <mergeCell ref="K64:L64"/>
    <mergeCell ref="K90:L90"/>
    <mergeCell ref="K92:L92"/>
    <mergeCell ref="K72:L72"/>
    <mergeCell ref="K77:L77"/>
    <mergeCell ref="K83:L83"/>
    <mergeCell ref="K97:L97"/>
    <mergeCell ref="K103:L103"/>
    <mergeCell ref="K58:L58"/>
    <mergeCell ref="K59:L59"/>
    <mergeCell ref="K116:L116"/>
    <mergeCell ref="K75:L75"/>
    <mergeCell ref="K100:L100"/>
    <mergeCell ref="K99:L99"/>
    <mergeCell ref="K84:L84"/>
    <mergeCell ref="K95:L95"/>
    <mergeCell ref="K88:L88"/>
    <mergeCell ref="K87:L87"/>
    <mergeCell ref="K85:L85"/>
    <mergeCell ref="K35:L35"/>
    <mergeCell ref="K61:L61"/>
    <mergeCell ref="K94:L94"/>
    <mergeCell ref="K143:L143"/>
    <mergeCell ref="K144:L144"/>
    <mergeCell ref="K157:L157"/>
    <mergeCell ref="K161:L161"/>
    <mergeCell ref="K101:L101"/>
    <mergeCell ref="K81:L81"/>
    <mergeCell ref="K82:L82"/>
    <mergeCell ref="K91:L91"/>
    <mergeCell ref="K120:L120"/>
    <mergeCell ref="K137:L137"/>
    <mergeCell ref="K76:L76"/>
    <mergeCell ref="K62:L62"/>
    <mergeCell ref="K57:L57"/>
    <mergeCell ref="K60:L60"/>
    <mergeCell ref="K102:L102"/>
    <mergeCell ref="K98:L98"/>
    <mergeCell ref="K37:L37"/>
    <mergeCell ref="K149:L149"/>
    <mergeCell ref="K147:L147"/>
    <mergeCell ref="K139:L139"/>
    <mergeCell ref="K105:L105"/>
    <mergeCell ref="K46:L46"/>
    <mergeCell ref="K47:L47"/>
    <mergeCell ref="K56:L56"/>
    <mergeCell ref="K74:L74"/>
    <mergeCell ref="K51:L51"/>
    <mergeCell ref="A17:A18"/>
    <mergeCell ref="K17:L18"/>
    <mergeCell ref="A19:A21"/>
    <mergeCell ref="K19:L21"/>
    <mergeCell ref="C17:D17"/>
    <mergeCell ref="C18:D18"/>
    <mergeCell ref="C19:D19"/>
    <mergeCell ref="C20:D20"/>
    <mergeCell ref="C21:D21"/>
    <mergeCell ref="K50:L50"/>
    <mergeCell ref="K22:L24"/>
    <mergeCell ref="K25:L25"/>
    <mergeCell ref="K43:L43"/>
    <mergeCell ref="C22:D22"/>
    <mergeCell ref="C23:D23"/>
    <mergeCell ref="C24:D24"/>
    <mergeCell ref="K29:L29"/>
    <mergeCell ref="A22:A24"/>
    <mergeCell ref="K31:L31"/>
    <mergeCell ref="K32:L32"/>
    <mergeCell ref="K15:L16"/>
    <mergeCell ref="K195:L195"/>
    <mergeCell ref="K26:L26"/>
    <mergeCell ref="K39:L39"/>
    <mergeCell ref="K40:L40"/>
    <mergeCell ref="K125:L125"/>
    <mergeCell ref="K36:L36"/>
    <mergeCell ref="K55:L55"/>
    <mergeCell ref="K48:L48"/>
    <mergeCell ref="K49:L49"/>
    <mergeCell ref="K44:L44"/>
    <mergeCell ref="K45:L45"/>
    <mergeCell ref="K54:L54"/>
    <mergeCell ref="K41:L41"/>
    <mergeCell ref="K93:L93"/>
    <mergeCell ref="K65:L65"/>
    <mergeCell ref="K70:L70"/>
    <mergeCell ref="K69:L69"/>
    <mergeCell ref="K71:L71"/>
    <mergeCell ref="K73:L73"/>
    <mergeCell ref="K106:L106"/>
    <mergeCell ref="K117:L117"/>
    <mergeCell ref="K118:L118"/>
    <mergeCell ref="K104:L104"/>
    <mergeCell ref="K131:L131"/>
    <mergeCell ref="K119:L119"/>
    <mergeCell ref="K28:L28"/>
    <mergeCell ref="K33:L33"/>
    <mergeCell ref="K27:L27"/>
    <mergeCell ref="K38:L38"/>
    <mergeCell ref="K42:L42"/>
    <mergeCell ref="K34:L34"/>
    <mergeCell ref="M373:O373"/>
    <mergeCell ref="K138:L138"/>
    <mergeCell ref="K142:L142"/>
    <mergeCell ref="K160:L160"/>
    <mergeCell ref="K165:L165"/>
    <mergeCell ref="K167:L167"/>
    <mergeCell ref="K164:L164"/>
    <mergeCell ref="K174:L174"/>
    <mergeCell ref="K168:L168"/>
    <mergeCell ref="K169:L169"/>
    <mergeCell ref="K171:L171"/>
    <mergeCell ref="K172:L172"/>
    <mergeCell ref="K173:L173"/>
    <mergeCell ref="K163:L163"/>
    <mergeCell ref="K162:L162"/>
    <mergeCell ref="K141:L141"/>
    <mergeCell ref="K316:L316"/>
    <mergeCell ref="K315:L315"/>
    <mergeCell ref="K170:L170"/>
    <mergeCell ref="K150:L150"/>
    <mergeCell ref="K152:L152"/>
    <mergeCell ref="K177:L177"/>
    <mergeCell ref="K151:L151"/>
    <mergeCell ref="K194:L194"/>
    <mergeCell ref="K175:L175"/>
    <mergeCell ref="K176:L176"/>
    <mergeCell ref="K155:L155"/>
    <mergeCell ref="K148:L148"/>
    <mergeCell ref="K153:L153"/>
    <mergeCell ref="K154:L154"/>
    <mergeCell ref="K159:L159"/>
    <mergeCell ref="K341:L341"/>
    <mergeCell ref="K362:L362"/>
    <mergeCell ref="B407:C407"/>
    <mergeCell ref="K380:L380"/>
    <mergeCell ref="K224:L224"/>
    <mergeCell ref="K304:L304"/>
    <mergeCell ref="B332:C332"/>
    <mergeCell ref="B333:C333"/>
    <mergeCell ref="B334:C334"/>
    <mergeCell ref="B339:C339"/>
    <mergeCell ref="K222:L222"/>
    <mergeCell ref="K200:L200"/>
    <mergeCell ref="K326:L326"/>
    <mergeCell ref="K327:L327"/>
    <mergeCell ref="K340:L340"/>
    <mergeCell ref="K273:L273"/>
    <mergeCell ref="K226:L226"/>
    <mergeCell ref="K212:L212"/>
    <mergeCell ref="K206:L206"/>
    <mergeCell ref="K223:L223"/>
    <mergeCell ref="K321:L321"/>
    <mergeCell ref="K214:L214"/>
    <mergeCell ref="K215:L215"/>
    <mergeCell ref="K259:L259"/>
    <mergeCell ref="K260:L260"/>
    <mergeCell ref="K282:L282"/>
    <mergeCell ref="K283:L283"/>
    <mergeCell ref="B316:C316"/>
    <mergeCell ref="B320:C320"/>
    <mergeCell ref="K323:L323"/>
    <mergeCell ref="K290:L290"/>
    <mergeCell ref="K280:L280"/>
    <mergeCell ref="K291:L291"/>
    <mergeCell ref="K135:L135"/>
    <mergeCell ref="K201:L201"/>
    <mergeCell ref="K197:L197"/>
    <mergeCell ref="K166:L166"/>
    <mergeCell ref="K302:L302"/>
    <mergeCell ref="K274:L274"/>
    <mergeCell ref="K193:L193"/>
    <mergeCell ref="K180:L180"/>
    <mergeCell ref="K108:L108"/>
    <mergeCell ref="K110:L110"/>
    <mergeCell ref="K111:L111"/>
    <mergeCell ref="K112:L112"/>
    <mergeCell ref="K136:L136"/>
    <mergeCell ref="K96:L96"/>
    <mergeCell ref="B344:C344"/>
    <mergeCell ref="B341:C341"/>
    <mergeCell ref="B327:C327"/>
    <mergeCell ref="B328:C328"/>
    <mergeCell ref="B329:C329"/>
    <mergeCell ref="B330:C330"/>
    <mergeCell ref="B342:C342"/>
    <mergeCell ref="B343:C343"/>
    <mergeCell ref="K198:L198"/>
    <mergeCell ref="K188:L188"/>
    <mergeCell ref="K183:L183"/>
    <mergeCell ref="K140:L140"/>
    <mergeCell ref="K132:L132"/>
    <mergeCell ref="K128:L128"/>
    <mergeCell ref="K130:L130"/>
    <mergeCell ref="K181:L181"/>
    <mergeCell ref="K191:L191"/>
    <mergeCell ref="K123:L123"/>
    <mergeCell ref="K221:L221"/>
    <mergeCell ref="B454:C454"/>
    <mergeCell ref="B456:C456"/>
    <mergeCell ref="B441:C441"/>
    <mergeCell ref="B442:C442"/>
    <mergeCell ref="B443:C443"/>
    <mergeCell ref="B448:C448"/>
    <mergeCell ref="B431:C431"/>
    <mergeCell ref="B432:C432"/>
    <mergeCell ref="K303:L303"/>
    <mergeCell ref="B444:C444"/>
    <mergeCell ref="B435:C435"/>
    <mergeCell ref="B436:C436"/>
    <mergeCell ref="B419:C419"/>
    <mergeCell ref="B317:C317"/>
    <mergeCell ref="B318:C318"/>
    <mergeCell ref="B372:C372"/>
    <mergeCell ref="B373:C373"/>
    <mergeCell ref="B374:C374"/>
    <mergeCell ref="B390:C390"/>
    <mergeCell ref="B391:C391"/>
    <mergeCell ref="B392:C392"/>
    <mergeCell ref="B393:C393"/>
    <mergeCell ref="B382:C382"/>
    <mergeCell ref="K422:L422"/>
    <mergeCell ref="K443:L443"/>
    <mergeCell ref="K444:L444"/>
    <mergeCell ref="K445:L445"/>
    <mergeCell ref="K446:L446"/>
    <mergeCell ref="K447:L447"/>
    <mergeCell ref="K402:L402"/>
    <mergeCell ref="B405:C405"/>
    <mergeCell ref="K376:L376"/>
    <mergeCell ref="K377:L377"/>
    <mergeCell ref="K428:L428"/>
    <mergeCell ref="K429:L429"/>
    <mergeCell ref="K430:L430"/>
    <mergeCell ref="K431:L431"/>
    <mergeCell ref="B420:C420"/>
    <mergeCell ref="B402:C402"/>
    <mergeCell ref="B403:C403"/>
    <mergeCell ref="B366:C366"/>
    <mergeCell ref="B369:C369"/>
    <mergeCell ref="B409:C409"/>
    <mergeCell ref="B381:C381"/>
    <mergeCell ref="K374:L374"/>
    <mergeCell ref="K375:L375"/>
    <mergeCell ref="K371:L371"/>
    <mergeCell ref="K372:L372"/>
    <mergeCell ref="K373:L373"/>
    <mergeCell ref="B429:C429"/>
    <mergeCell ref="B428:C428"/>
    <mergeCell ref="B406:C406"/>
    <mergeCell ref="B378:C378"/>
    <mergeCell ref="K368:L368"/>
    <mergeCell ref="B348:C348"/>
    <mergeCell ref="B351:C351"/>
    <mergeCell ref="B433:C433"/>
    <mergeCell ref="B434:C434"/>
    <mergeCell ref="B353:C353"/>
    <mergeCell ref="B357:C357"/>
    <mergeCell ref="K348:L348"/>
    <mergeCell ref="K349:L349"/>
    <mergeCell ref="K350:L350"/>
    <mergeCell ref="B427:C427"/>
    <mergeCell ref="K357:L357"/>
    <mergeCell ref="K369:L369"/>
    <mergeCell ref="K367:L367"/>
    <mergeCell ref="K426:L426"/>
    <mergeCell ref="K427:L427"/>
    <mergeCell ref="B416:C416"/>
    <mergeCell ref="B379:C379"/>
    <mergeCell ref="B380:C380"/>
    <mergeCell ref="B361:C361"/>
    <mergeCell ref="B362:C362"/>
    <mergeCell ref="B363:C363"/>
    <mergeCell ref="B354:C354"/>
    <mergeCell ref="B355:C355"/>
    <mergeCell ref="B356:C356"/>
    <mergeCell ref="B408:C408"/>
    <mergeCell ref="B410:C410"/>
    <mergeCell ref="B404:C404"/>
    <mergeCell ref="B414:C414"/>
    <mergeCell ref="B364:C364"/>
    <mergeCell ref="B365:C365"/>
    <mergeCell ref="B383:C383"/>
    <mergeCell ref="B384:C384"/>
    <mergeCell ref="B543:C543"/>
    <mergeCell ref="A490:A493"/>
    <mergeCell ref="A494:A497"/>
    <mergeCell ref="A498:A501"/>
    <mergeCell ref="A502:A505"/>
    <mergeCell ref="A506:A509"/>
    <mergeCell ref="A510:A513"/>
    <mergeCell ref="K366:L366"/>
    <mergeCell ref="B445:C445"/>
    <mergeCell ref="B371:C371"/>
    <mergeCell ref="B367:C367"/>
    <mergeCell ref="B368:C368"/>
    <mergeCell ref="K396:L396"/>
    <mergeCell ref="K397:L397"/>
    <mergeCell ref="K388:L388"/>
    <mergeCell ref="K378:L378"/>
    <mergeCell ref="K379:L379"/>
    <mergeCell ref="K382:L382"/>
    <mergeCell ref="K383:L383"/>
    <mergeCell ref="K384:L384"/>
    <mergeCell ref="K385:L385"/>
    <mergeCell ref="K390:L390"/>
    <mergeCell ref="K381:L381"/>
    <mergeCell ref="K441:L441"/>
    <mergeCell ref="K442:L442"/>
    <mergeCell ref="K403:L403"/>
    <mergeCell ref="K404:L404"/>
    <mergeCell ref="K414:L414"/>
    <mergeCell ref="K415:L415"/>
    <mergeCell ref="K416:L416"/>
    <mergeCell ref="K417:L417"/>
    <mergeCell ref="K418:L418"/>
    <mergeCell ref="A406:A409"/>
    <mergeCell ref="B483:C483"/>
    <mergeCell ref="B482:C482"/>
    <mergeCell ref="B475:C475"/>
    <mergeCell ref="B451:C451"/>
    <mergeCell ref="B452:C452"/>
    <mergeCell ref="B453:C453"/>
    <mergeCell ref="B411:C411"/>
    <mergeCell ref="B412:C412"/>
    <mergeCell ref="B413:C413"/>
    <mergeCell ref="A434:A437"/>
    <mergeCell ref="B559:C559"/>
    <mergeCell ref="B554:C554"/>
    <mergeCell ref="A466:A469"/>
    <mergeCell ref="B457:C457"/>
    <mergeCell ref="B557:C557"/>
    <mergeCell ref="B558:C558"/>
    <mergeCell ref="B545:C545"/>
    <mergeCell ref="B539:C539"/>
    <mergeCell ref="B450:C450"/>
    <mergeCell ref="B449:C449"/>
    <mergeCell ref="A470:A473"/>
    <mergeCell ref="A474:A477"/>
    <mergeCell ref="A478:A481"/>
    <mergeCell ref="A482:A485"/>
    <mergeCell ref="A486:A489"/>
    <mergeCell ref="B461:C461"/>
    <mergeCell ref="B462:C462"/>
    <mergeCell ref="A458:A461"/>
    <mergeCell ref="A462:A465"/>
    <mergeCell ref="B458:C458"/>
    <mergeCell ref="B459:C459"/>
    <mergeCell ref="B345:C345"/>
    <mergeCell ref="B375:C375"/>
    <mergeCell ref="B376:C376"/>
    <mergeCell ref="B377:C377"/>
    <mergeCell ref="B352:C352"/>
    <mergeCell ref="A346:A349"/>
    <mergeCell ref="A426:A429"/>
    <mergeCell ref="A430:A433"/>
    <mergeCell ref="A422:A425"/>
    <mergeCell ref="B385:C385"/>
    <mergeCell ref="B370:C370"/>
    <mergeCell ref="B349:C349"/>
    <mergeCell ref="B350:C350"/>
    <mergeCell ref="A362:A365"/>
    <mergeCell ref="A342:A345"/>
    <mergeCell ref="B421:C421"/>
    <mergeCell ref="A386:A389"/>
    <mergeCell ref="B386:C386"/>
    <mergeCell ref="B387:C387"/>
    <mergeCell ref="B388:C388"/>
    <mergeCell ref="B389:C389"/>
    <mergeCell ref="A382:A385"/>
    <mergeCell ref="A370:A373"/>
    <mergeCell ref="A374:A377"/>
    <mergeCell ref="A378:A381"/>
    <mergeCell ref="B346:C346"/>
    <mergeCell ref="B347:C347"/>
    <mergeCell ref="A358:A361"/>
    <mergeCell ref="B358:C358"/>
    <mergeCell ref="B359:C359"/>
    <mergeCell ref="A366:A369"/>
    <mergeCell ref="B360:C360"/>
    <mergeCell ref="M397:O397"/>
    <mergeCell ref="A398:A401"/>
    <mergeCell ref="B398:C398"/>
    <mergeCell ref="B399:C399"/>
    <mergeCell ref="B400:C400"/>
    <mergeCell ref="B401:C401"/>
    <mergeCell ref="A394:A397"/>
    <mergeCell ref="B394:C394"/>
    <mergeCell ref="B395:C395"/>
    <mergeCell ref="B396:C396"/>
    <mergeCell ref="B397:C397"/>
    <mergeCell ref="K400:L400"/>
    <mergeCell ref="K401:L401"/>
    <mergeCell ref="A410:A413"/>
    <mergeCell ref="A414:A417"/>
    <mergeCell ref="A418:A421"/>
    <mergeCell ref="A390:A393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21:L421"/>
    <mergeCell ref="B415:C415"/>
    <mergeCell ref="B417:C417"/>
    <mergeCell ref="B418:C418"/>
    <mergeCell ref="K391:L391"/>
    <mergeCell ref="A402:A405"/>
    <mergeCell ref="A454:A457"/>
    <mergeCell ref="A450:A453"/>
    <mergeCell ref="A534:A537"/>
    <mergeCell ref="A514:A517"/>
    <mergeCell ref="B537:C537"/>
    <mergeCell ref="B538:C538"/>
    <mergeCell ref="B447:C447"/>
    <mergeCell ref="B446:C446"/>
    <mergeCell ref="B440:C440"/>
    <mergeCell ref="B438:C438"/>
    <mergeCell ref="B439:C439"/>
    <mergeCell ref="A438:A441"/>
    <mergeCell ref="B528:C528"/>
    <mergeCell ref="A442:A445"/>
    <mergeCell ref="A446:A449"/>
    <mergeCell ref="B424:C424"/>
    <mergeCell ref="B422:C422"/>
    <mergeCell ref="B430:C430"/>
    <mergeCell ref="B423:C423"/>
    <mergeCell ref="B425:C425"/>
    <mergeCell ref="B426:C426"/>
    <mergeCell ref="B467:C467"/>
    <mergeCell ref="B536:C536"/>
    <mergeCell ref="B489:C489"/>
    <mergeCell ref="B463:C463"/>
    <mergeCell ref="B464:C464"/>
    <mergeCell ref="B460:C460"/>
    <mergeCell ref="B455:C455"/>
    <mergeCell ref="B437:C437"/>
    <mergeCell ref="B631:C631"/>
    <mergeCell ref="B632:C632"/>
    <mergeCell ref="B633:C633"/>
    <mergeCell ref="A578:A581"/>
    <mergeCell ref="B578:C578"/>
    <mergeCell ref="B579:C579"/>
    <mergeCell ref="B580:C580"/>
    <mergeCell ref="B581:C581"/>
    <mergeCell ref="B607:C607"/>
    <mergeCell ref="B608:C608"/>
    <mergeCell ref="B609:C609"/>
    <mergeCell ref="A590:A593"/>
    <mergeCell ref="B590:C590"/>
    <mergeCell ref="B591:C591"/>
    <mergeCell ref="B592:C592"/>
    <mergeCell ref="B593:C593"/>
    <mergeCell ref="A602:A605"/>
    <mergeCell ref="B602:C602"/>
    <mergeCell ref="B603:C603"/>
    <mergeCell ref="B604:C604"/>
    <mergeCell ref="B605:C605"/>
    <mergeCell ref="B618:C618"/>
    <mergeCell ref="B619:C619"/>
    <mergeCell ref="B620:C620"/>
    <mergeCell ref="B621:C621"/>
    <mergeCell ref="A614:A617"/>
    <mergeCell ref="B614:C614"/>
    <mergeCell ref="B615:C615"/>
    <mergeCell ref="B616:C616"/>
    <mergeCell ref="B617:C617"/>
    <mergeCell ref="A610:A613"/>
    <mergeCell ref="B613:C613"/>
    <mergeCell ref="B575:C575"/>
    <mergeCell ref="B529:C529"/>
    <mergeCell ref="B512:C512"/>
    <mergeCell ref="B514:C514"/>
    <mergeCell ref="B515:C515"/>
    <mergeCell ref="B534:C534"/>
    <mergeCell ref="B513:C513"/>
    <mergeCell ref="B555:C555"/>
    <mergeCell ref="B517:C517"/>
    <mergeCell ref="B518:C518"/>
    <mergeCell ref="A518:A521"/>
    <mergeCell ref="A522:A525"/>
    <mergeCell ref="A526:A529"/>
    <mergeCell ref="A530:A533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B563:C563"/>
    <mergeCell ref="B564:C564"/>
    <mergeCell ref="B565:C565"/>
    <mergeCell ref="B572:C572"/>
    <mergeCell ref="B573:C573"/>
    <mergeCell ref="B544:C544"/>
    <mergeCell ref="B540:C540"/>
    <mergeCell ref="B541:C541"/>
    <mergeCell ref="B542:C542"/>
    <mergeCell ref="B585:C585"/>
    <mergeCell ref="B610:C610"/>
    <mergeCell ref="B611:C611"/>
    <mergeCell ref="B525:C525"/>
    <mergeCell ref="B531:C531"/>
    <mergeCell ref="B566:C566"/>
    <mergeCell ref="B567:C567"/>
    <mergeCell ref="B568:C568"/>
    <mergeCell ref="B560:C560"/>
    <mergeCell ref="B570:C570"/>
    <mergeCell ref="A574:A577"/>
    <mergeCell ref="B574:C574"/>
    <mergeCell ref="K531:L531"/>
    <mergeCell ref="B640:C640"/>
    <mergeCell ref="B641:C6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475:L475"/>
    <mergeCell ref="B584:C584"/>
    <mergeCell ref="K477:L477"/>
    <mergeCell ref="K485:L485"/>
    <mergeCell ref="K486:L486"/>
    <mergeCell ref="B530:C530"/>
    <mergeCell ref="B478:C478"/>
    <mergeCell ref="B498:C498"/>
    <mergeCell ref="B496:C496"/>
    <mergeCell ref="B499:C499"/>
    <mergeCell ref="B503:C503"/>
    <mergeCell ref="B504:C504"/>
    <mergeCell ref="B505:C505"/>
    <mergeCell ref="B485:C485"/>
    <mergeCell ref="B486:C486"/>
    <mergeCell ref="B490:C490"/>
    <mergeCell ref="B506:C506"/>
    <mergeCell ref="B484:C484"/>
    <mergeCell ref="B487:C487"/>
    <mergeCell ref="B488:C488"/>
    <mergeCell ref="B502:C50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B524:C524"/>
    <mergeCell ref="B523:C523"/>
    <mergeCell ref="B526:C526"/>
    <mergeCell ref="K476:L476"/>
    <mergeCell ref="B527:C527"/>
    <mergeCell ref="K279:L279"/>
    <mergeCell ref="K587:L587"/>
    <mergeCell ref="K588:L588"/>
    <mergeCell ref="K589:L589"/>
    <mergeCell ref="K590:L590"/>
    <mergeCell ref="K591:L591"/>
    <mergeCell ref="K532:L532"/>
    <mergeCell ref="B465:C465"/>
    <mergeCell ref="B466:C466"/>
    <mergeCell ref="B471:C471"/>
    <mergeCell ref="B468:C468"/>
    <mergeCell ref="B469:C469"/>
    <mergeCell ref="B470:C470"/>
    <mergeCell ref="B476:C476"/>
    <mergeCell ref="B477:C477"/>
    <mergeCell ref="B480:C480"/>
    <mergeCell ref="B519:C519"/>
    <mergeCell ref="B520:C520"/>
    <mergeCell ref="B532:C532"/>
    <mergeCell ref="B511:C511"/>
    <mergeCell ref="B521:C521"/>
    <mergeCell ref="B522:C522"/>
    <mergeCell ref="B481:C481"/>
    <mergeCell ref="B479:C479"/>
    <mergeCell ref="B472:C472"/>
    <mergeCell ref="B473:C473"/>
    <mergeCell ref="B474:C474"/>
    <mergeCell ref="K472:L472"/>
    <mergeCell ref="K473:L473"/>
    <mergeCell ref="K474:L474"/>
  </mergeCells>
  <phoneticPr fontId="15" type="noConversion"/>
  <dataValidations count="1">
    <dataValidation showInputMessage="1" showErrorMessage="1" sqref="E309 E314:E690" xr:uid="{D5F4AA0E-4C0E-44B9-B282-F9895DB3C59D}"/>
  </dataValidations>
  <printOptions horizontalCentered="1"/>
  <pageMargins left="0.44500000000000001" right="0" top="0.25" bottom="0.1" header="0.05" footer="0.05"/>
  <pageSetup scale="64" fitToHeight="8" orientation="portrait" r:id="rId1"/>
  <headerFooter alignWithMargins="0">
    <oddHeader>&amp;L&amp;"Calibri"&amp;9&amp;K000000Classification: Internal&amp;1#</oddHeader>
    <oddFooter>&amp;CPage &amp;P o&amp;Of &amp;N</oddFooter>
  </headerFooter>
  <rowBreaks count="2" manualBreakCount="2">
    <brk id="81" max="11" man="1"/>
    <brk id="312" max="11" man="1"/>
  </rowBreaks>
  <ignoredErrors>
    <ignoredError sqref="F19 F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0569-A3E7-4F8D-B98A-73A70F0C64E9}">
  <dimension ref="A1:N427"/>
  <sheetViews>
    <sheetView tabSelected="1" topLeftCell="B10" zoomScale="85" zoomScaleNormal="85" workbookViewId="0">
      <selection activeCell="C273" sqref="C14:C273"/>
    </sheetView>
  </sheetViews>
  <sheetFormatPr defaultRowHeight="12.75"/>
  <cols>
    <col min="1" max="1" width="5.140625" customWidth="1"/>
    <col min="2" max="2" width="11.42578125" style="31" customWidth="1"/>
    <col min="3" max="3" width="11.42578125" style="70" customWidth="1"/>
    <col min="4" max="4" width="22.42578125" customWidth="1"/>
    <col min="5" max="5" width="4.140625" customWidth="1"/>
    <col min="6" max="6" width="22.5703125" style="71" customWidth="1"/>
    <col min="7" max="7" width="10.5703125" style="70" bestFit="1" customWidth="1"/>
    <col min="8" max="8" width="10.140625" style="70" customWidth="1"/>
    <col min="10" max="10" width="18.85546875" customWidth="1"/>
    <col min="11" max="11" width="22.42578125" customWidth="1"/>
    <col min="12" max="12" width="18.5703125" customWidth="1"/>
    <col min="14" max="14" width="8.7109375" style="80"/>
  </cols>
  <sheetData>
    <row r="1" spans="1:13" ht="13.5" thickBot="1"/>
    <row r="2" spans="1:13" ht="14.45" customHeight="1" thickBot="1">
      <c r="B2" s="547" t="s">
        <v>169</v>
      </c>
      <c r="C2" s="548"/>
      <c r="D2" s="549"/>
      <c r="F2" s="556" t="s">
        <v>170</v>
      </c>
      <c r="G2" s="557"/>
      <c r="H2" s="558"/>
      <c r="J2" s="553"/>
      <c r="K2" s="554"/>
      <c r="L2" s="555"/>
    </row>
    <row r="3" spans="1:13" ht="14.45" customHeight="1" thickBot="1">
      <c r="B3" s="550"/>
      <c r="C3" s="551"/>
      <c r="D3" s="552"/>
      <c r="F3" s="250" t="s">
        <v>171</v>
      </c>
      <c r="G3" s="250" t="s">
        <v>153</v>
      </c>
      <c r="H3" s="251" t="s">
        <v>172</v>
      </c>
      <c r="J3" s="252"/>
      <c r="K3" s="253"/>
      <c r="L3" s="254"/>
    </row>
    <row r="4" spans="1:13" ht="16.5" thickBot="1">
      <c r="B4" s="145" t="s">
        <v>173</v>
      </c>
      <c r="C4" s="146" t="s">
        <v>153</v>
      </c>
      <c r="D4" s="147" t="s">
        <v>174</v>
      </c>
      <c r="F4" s="170" t="s">
        <v>204</v>
      </c>
      <c r="G4" s="168">
        <v>10.26</v>
      </c>
      <c r="H4" s="169" t="s">
        <v>221</v>
      </c>
      <c r="J4" s="255"/>
      <c r="K4" s="256"/>
      <c r="L4" s="257"/>
    </row>
    <row r="5" spans="1:13" ht="15.75">
      <c r="A5" s="72">
        <v>1</v>
      </c>
      <c r="B5" s="165">
        <v>1</v>
      </c>
      <c r="C5" s="277">
        <v>36.06</v>
      </c>
      <c r="D5" s="155"/>
      <c r="F5" s="170" t="s">
        <v>205</v>
      </c>
      <c r="G5" s="171">
        <v>10.3</v>
      </c>
      <c r="H5" s="169" t="s">
        <v>221</v>
      </c>
      <c r="J5" s="258"/>
      <c r="K5" s="259"/>
      <c r="L5" s="260"/>
      <c r="M5" s="80"/>
    </row>
    <row r="6" spans="1:13" ht="15.75">
      <c r="A6" s="72">
        <v>2</v>
      </c>
      <c r="B6" s="165">
        <v>2</v>
      </c>
      <c r="C6" s="278">
        <v>36.47</v>
      </c>
      <c r="D6" s="157"/>
      <c r="F6" s="170" t="s">
        <v>206</v>
      </c>
      <c r="G6" s="171">
        <v>10.53</v>
      </c>
      <c r="H6" s="172"/>
      <c r="J6" s="258"/>
      <c r="K6" s="259"/>
      <c r="L6" s="260"/>
      <c r="M6" s="80"/>
    </row>
    <row r="7" spans="1:13" ht="15.75">
      <c r="A7" s="72">
        <v>3</v>
      </c>
      <c r="B7" s="165">
        <v>3</v>
      </c>
      <c r="C7" s="278">
        <v>36.090000000000003</v>
      </c>
      <c r="D7" s="157"/>
      <c r="F7" s="170" t="s">
        <v>207</v>
      </c>
      <c r="G7" s="171">
        <v>10.26</v>
      </c>
      <c r="H7" s="169"/>
      <c r="J7" s="258"/>
      <c r="K7" s="259"/>
      <c r="L7" s="260"/>
      <c r="M7" s="80"/>
    </row>
    <row r="8" spans="1:13" ht="15.75">
      <c r="A8" s="72">
        <v>4</v>
      </c>
      <c r="B8" s="165">
        <v>4</v>
      </c>
      <c r="C8" s="278">
        <v>35.85</v>
      </c>
      <c r="D8" s="157"/>
      <c r="F8" s="170" t="s">
        <v>208</v>
      </c>
      <c r="G8" s="171">
        <v>10.25</v>
      </c>
      <c r="H8" s="169"/>
      <c r="J8" s="258"/>
      <c r="K8" s="259"/>
      <c r="L8" s="260"/>
      <c r="M8" s="80"/>
    </row>
    <row r="9" spans="1:13" ht="15.75">
      <c r="A9" s="72">
        <v>5</v>
      </c>
      <c r="B9" s="165">
        <v>5</v>
      </c>
      <c r="C9" s="278">
        <v>36.5</v>
      </c>
      <c r="D9" s="157"/>
      <c r="F9" s="170" t="s">
        <v>209</v>
      </c>
      <c r="G9" s="171">
        <v>10.54</v>
      </c>
      <c r="H9" s="169"/>
      <c r="J9" s="258"/>
      <c r="K9" s="259"/>
      <c r="L9" s="260"/>
      <c r="M9" s="80"/>
    </row>
    <row r="10" spans="1:13" ht="15.75">
      <c r="A10" s="72">
        <v>6</v>
      </c>
      <c r="B10" s="165">
        <v>6</v>
      </c>
      <c r="C10" s="278">
        <v>36.58</v>
      </c>
      <c r="D10" s="157"/>
      <c r="F10" s="170" t="s">
        <v>210</v>
      </c>
      <c r="G10" s="171">
        <v>10.26</v>
      </c>
      <c r="H10" s="169"/>
      <c r="J10" s="258"/>
      <c r="K10" s="259"/>
      <c r="L10" s="260"/>
      <c r="M10" s="80"/>
    </row>
    <row r="11" spans="1:13" ht="15.75">
      <c r="A11" s="72">
        <v>7</v>
      </c>
      <c r="B11" s="165">
        <v>7</v>
      </c>
      <c r="C11" s="278">
        <v>36.47</v>
      </c>
      <c r="D11" s="157"/>
      <c r="F11" s="170"/>
      <c r="G11" s="171"/>
      <c r="H11" s="172"/>
      <c r="J11" s="258"/>
      <c r="K11" s="259"/>
      <c r="L11" s="260"/>
      <c r="M11" s="80"/>
    </row>
    <row r="12" spans="1:13" ht="15.75">
      <c r="A12" s="72">
        <v>8</v>
      </c>
      <c r="B12" s="165">
        <v>8</v>
      </c>
      <c r="C12" s="278">
        <v>36.51</v>
      </c>
      <c r="D12" s="157"/>
      <c r="F12" s="170" t="s">
        <v>211</v>
      </c>
      <c r="G12" s="171">
        <v>20.27</v>
      </c>
      <c r="H12" s="169" t="s">
        <v>221</v>
      </c>
      <c r="J12" s="258"/>
      <c r="K12" s="259"/>
      <c r="L12" s="260"/>
      <c r="M12" s="80"/>
    </row>
    <row r="13" spans="1:13" ht="15.75">
      <c r="A13" s="72">
        <v>9</v>
      </c>
      <c r="B13" s="165">
        <v>9</v>
      </c>
      <c r="C13" s="278">
        <v>36.17</v>
      </c>
      <c r="D13" s="157"/>
      <c r="F13" s="81" t="s">
        <v>212</v>
      </c>
      <c r="G13" s="79">
        <v>20.239999999999998</v>
      </c>
      <c r="H13" s="169" t="s">
        <v>221</v>
      </c>
      <c r="J13" s="258"/>
      <c r="K13" s="259"/>
      <c r="L13" s="260"/>
      <c r="M13" s="80"/>
    </row>
    <row r="14" spans="1:13" ht="15.75">
      <c r="A14" s="72">
        <v>10</v>
      </c>
      <c r="B14" s="165">
        <v>10</v>
      </c>
      <c r="C14" s="278">
        <v>36.200000000000003</v>
      </c>
      <c r="D14" s="157"/>
      <c r="F14" s="81" t="s">
        <v>213</v>
      </c>
      <c r="G14" s="79">
        <v>20.260000000000002</v>
      </c>
      <c r="H14" s="73"/>
      <c r="J14" s="258"/>
      <c r="K14" s="259"/>
      <c r="L14" s="260"/>
      <c r="M14" s="80"/>
    </row>
    <row r="15" spans="1:13" ht="15.75">
      <c r="A15" s="72">
        <v>11</v>
      </c>
      <c r="B15" s="165">
        <v>11</v>
      </c>
      <c r="C15" s="278">
        <v>37.31</v>
      </c>
      <c r="D15" s="157"/>
      <c r="F15" s="81" t="s">
        <v>214</v>
      </c>
      <c r="G15" s="79">
        <v>20.25</v>
      </c>
      <c r="H15" s="73"/>
      <c r="J15" s="258"/>
      <c r="K15" s="259"/>
      <c r="L15" s="260"/>
      <c r="M15" s="80"/>
    </row>
    <row r="16" spans="1:13" ht="15.75">
      <c r="A16" s="72">
        <v>12</v>
      </c>
      <c r="B16" s="165">
        <v>12</v>
      </c>
      <c r="C16" s="278">
        <v>36.56</v>
      </c>
      <c r="D16" s="157"/>
      <c r="F16" s="81" t="s">
        <v>215</v>
      </c>
      <c r="G16" s="79">
        <v>20.2</v>
      </c>
      <c r="H16" s="73"/>
      <c r="J16" s="258"/>
      <c r="K16" s="259"/>
      <c r="L16" s="260"/>
      <c r="M16" s="80"/>
    </row>
    <row r="17" spans="1:13" ht="16.5" thickBot="1">
      <c r="A17" s="72">
        <v>13</v>
      </c>
      <c r="B17" s="165">
        <v>13</v>
      </c>
      <c r="C17" s="278">
        <v>36.46</v>
      </c>
      <c r="D17" s="157"/>
      <c r="F17" s="160" t="s">
        <v>216</v>
      </c>
      <c r="G17" s="161">
        <v>20.25</v>
      </c>
      <c r="H17" s="162"/>
      <c r="J17" s="258"/>
      <c r="K17" s="259"/>
      <c r="L17" s="260"/>
      <c r="M17" s="80"/>
    </row>
    <row r="18" spans="1:13" ht="16.5" thickBot="1">
      <c r="A18" s="72">
        <v>14</v>
      </c>
      <c r="B18" s="165">
        <v>14</v>
      </c>
      <c r="C18" s="278">
        <v>36.56</v>
      </c>
      <c r="D18" s="157"/>
      <c r="F18" s="142"/>
      <c r="G18" s="143"/>
      <c r="H18" s="144"/>
      <c r="J18" s="258"/>
      <c r="K18" s="259"/>
      <c r="L18" s="260"/>
      <c r="M18" s="80"/>
    </row>
    <row r="19" spans="1:13" ht="16.5" thickBot="1">
      <c r="A19" s="72">
        <v>15</v>
      </c>
      <c r="B19" s="165">
        <v>15</v>
      </c>
      <c r="C19" s="278">
        <v>36.619999999999997</v>
      </c>
      <c r="D19" s="157"/>
      <c r="F19" s="553"/>
      <c r="G19" s="554"/>
      <c r="H19" s="555"/>
      <c r="J19" s="258"/>
      <c r="K19" s="259"/>
      <c r="L19" s="260"/>
      <c r="M19" s="80"/>
    </row>
    <row r="20" spans="1:13" ht="16.5" thickBot="1">
      <c r="A20" s="72">
        <v>16</v>
      </c>
      <c r="B20" s="165">
        <v>16</v>
      </c>
      <c r="C20" s="278">
        <v>36.380000000000003</v>
      </c>
      <c r="D20" s="157"/>
      <c r="F20" s="252"/>
      <c r="G20" s="253"/>
      <c r="H20" s="254"/>
      <c r="J20" s="258"/>
      <c r="K20" s="259"/>
      <c r="L20" s="260"/>
      <c r="M20" s="80"/>
    </row>
    <row r="21" spans="1:13" ht="15.75">
      <c r="A21" s="72">
        <v>17</v>
      </c>
      <c r="B21" s="165">
        <v>17</v>
      </c>
      <c r="C21" s="278">
        <v>37.020000000000003</v>
      </c>
      <c r="D21" s="157"/>
      <c r="F21" s="261"/>
      <c r="G21" s="262"/>
      <c r="H21" s="263"/>
      <c r="J21" s="258"/>
      <c r="K21" s="259"/>
      <c r="L21" s="260"/>
      <c r="M21" s="80"/>
    </row>
    <row r="22" spans="1:13" ht="15.75">
      <c r="A22" s="72">
        <v>18</v>
      </c>
      <c r="B22" s="165">
        <v>18</v>
      </c>
      <c r="C22" s="278">
        <v>36.770000000000003</v>
      </c>
      <c r="D22" s="157"/>
      <c r="F22" s="264"/>
      <c r="G22" s="265"/>
      <c r="H22" s="266"/>
      <c r="J22" s="258"/>
      <c r="K22" s="259"/>
      <c r="L22" s="260"/>
      <c r="M22" s="80"/>
    </row>
    <row r="23" spans="1:13" ht="15.75">
      <c r="A23" s="72">
        <v>19</v>
      </c>
      <c r="B23" s="165">
        <v>19</v>
      </c>
      <c r="C23" s="278">
        <v>37.29</v>
      </c>
      <c r="D23" s="157"/>
      <c r="F23" s="264"/>
      <c r="G23" s="265"/>
      <c r="H23" s="263"/>
      <c r="J23" s="258"/>
      <c r="K23" s="259"/>
      <c r="L23" s="260"/>
      <c r="M23" s="80"/>
    </row>
    <row r="24" spans="1:13" ht="15.75">
      <c r="A24" s="72">
        <v>20</v>
      </c>
      <c r="B24" s="165">
        <v>20</v>
      </c>
      <c r="C24" s="278">
        <v>36.44</v>
      </c>
      <c r="D24" s="157"/>
      <c r="F24" s="264"/>
      <c r="G24" s="265"/>
      <c r="H24" s="267"/>
      <c r="J24" s="258"/>
      <c r="K24" s="259"/>
      <c r="L24" s="260"/>
      <c r="M24" s="80"/>
    </row>
    <row r="25" spans="1:13" ht="15.75">
      <c r="A25" s="72">
        <v>21</v>
      </c>
      <c r="B25" s="165">
        <v>21</v>
      </c>
      <c r="C25" s="278">
        <v>36.61</v>
      </c>
      <c r="D25" s="157"/>
      <c r="F25" s="264"/>
      <c r="G25" s="265"/>
      <c r="H25" s="263"/>
      <c r="J25" s="258"/>
      <c r="K25" s="259"/>
      <c r="L25" s="260"/>
      <c r="M25" s="80"/>
    </row>
    <row r="26" spans="1:13" ht="16.5" thickBot="1">
      <c r="A26" s="72">
        <v>22</v>
      </c>
      <c r="B26" s="165">
        <v>22</v>
      </c>
      <c r="C26" s="278">
        <v>36.86</v>
      </c>
      <c r="D26" s="157"/>
      <c r="F26" s="268"/>
      <c r="G26" s="269"/>
      <c r="H26" s="270"/>
      <c r="J26" s="258"/>
      <c r="K26" s="259"/>
      <c r="L26" s="260"/>
      <c r="M26" s="80"/>
    </row>
    <row r="27" spans="1:13" ht="15.75">
      <c r="A27" s="72">
        <v>23</v>
      </c>
      <c r="B27" s="165">
        <v>23</v>
      </c>
      <c r="C27" s="278">
        <v>36.200000000000003</v>
      </c>
      <c r="D27" s="157"/>
      <c r="F27" s="142"/>
      <c r="G27" s="143"/>
      <c r="H27" s="144"/>
      <c r="J27" s="258"/>
      <c r="K27" s="259"/>
      <c r="L27" s="260"/>
      <c r="M27" s="80"/>
    </row>
    <row r="28" spans="1:13" ht="15.75">
      <c r="A28" s="72">
        <v>24</v>
      </c>
      <c r="B28" s="165">
        <v>24</v>
      </c>
      <c r="C28" s="278">
        <v>36.19</v>
      </c>
      <c r="D28" s="157"/>
      <c r="F28" s="142"/>
      <c r="G28" s="143"/>
      <c r="H28" s="144"/>
      <c r="J28" s="258"/>
      <c r="K28" s="259"/>
      <c r="L28" s="260"/>
      <c r="M28" s="80"/>
    </row>
    <row r="29" spans="1:13" ht="15.75">
      <c r="A29" s="72">
        <v>25</v>
      </c>
      <c r="B29" s="165">
        <v>25</v>
      </c>
      <c r="C29" s="278">
        <v>36.54</v>
      </c>
      <c r="D29" s="157"/>
      <c r="F29" s="142"/>
      <c r="G29" s="143"/>
      <c r="H29" s="144"/>
      <c r="J29" s="258"/>
      <c r="K29" s="259"/>
      <c r="L29" s="260"/>
      <c r="M29" s="80"/>
    </row>
    <row r="30" spans="1:13" ht="15.75">
      <c r="A30" s="72">
        <v>26</v>
      </c>
      <c r="B30" s="165">
        <v>26</v>
      </c>
      <c r="C30" s="278">
        <v>36.979999999999997</v>
      </c>
      <c r="D30" s="157"/>
      <c r="F30" s="142"/>
      <c r="G30" s="143"/>
      <c r="H30" s="144"/>
      <c r="J30" s="258"/>
      <c r="K30" s="259"/>
      <c r="L30" s="260"/>
      <c r="M30" s="80"/>
    </row>
    <row r="31" spans="1:13" ht="15.75">
      <c r="A31" s="72">
        <v>27</v>
      </c>
      <c r="B31" s="165">
        <v>27</v>
      </c>
      <c r="C31" s="278">
        <v>36.659999999999997</v>
      </c>
      <c r="D31" s="157"/>
      <c r="F31" s="142"/>
      <c r="G31" s="143"/>
      <c r="H31" s="144"/>
      <c r="J31" s="258"/>
      <c r="K31" s="259"/>
      <c r="L31" s="260"/>
      <c r="M31" s="80"/>
    </row>
    <row r="32" spans="1:13" ht="15.75">
      <c r="A32" s="72">
        <v>28</v>
      </c>
      <c r="B32" s="165">
        <v>28</v>
      </c>
      <c r="C32" s="278">
        <v>36.81</v>
      </c>
      <c r="D32" s="157"/>
      <c r="F32" s="142"/>
      <c r="G32" s="143"/>
      <c r="H32" s="144"/>
      <c r="J32" s="258"/>
      <c r="K32" s="259"/>
      <c r="L32" s="260"/>
      <c r="M32" s="80"/>
    </row>
    <row r="33" spans="1:13" ht="15.75">
      <c r="A33" s="72">
        <v>29</v>
      </c>
      <c r="B33" s="165">
        <v>29</v>
      </c>
      <c r="C33" s="278">
        <v>36.21</v>
      </c>
      <c r="D33" s="157"/>
      <c r="F33" s="142"/>
      <c r="G33" s="143"/>
      <c r="H33" s="144"/>
      <c r="J33" s="258"/>
      <c r="K33" s="259"/>
      <c r="L33" s="260"/>
      <c r="M33" s="80"/>
    </row>
    <row r="34" spans="1:13" ht="15.75">
      <c r="A34" s="72">
        <v>30</v>
      </c>
      <c r="B34" s="165">
        <v>30</v>
      </c>
      <c r="C34" s="278">
        <v>37.58</v>
      </c>
      <c r="D34" s="157"/>
      <c r="F34" s="142"/>
      <c r="G34" s="143"/>
      <c r="H34" s="144"/>
      <c r="J34" s="258"/>
      <c r="K34" s="259"/>
      <c r="L34" s="260"/>
      <c r="M34" s="80"/>
    </row>
    <row r="35" spans="1:13" ht="15.75">
      <c r="A35" s="72">
        <v>31</v>
      </c>
      <c r="B35" s="165">
        <v>31</v>
      </c>
      <c r="C35" s="278">
        <v>36.909999999999997</v>
      </c>
      <c r="D35" s="157"/>
      <c r="F35" s="142"/>
      <c r="G35" s="143"/>
      <c r="H35" s="144"/>
      <c r="J35" s="258"/>
      <c r="K35" s="259"/>
      <c r="L35" s="260"/>
      <c r="M35" s="80"/>
    </row>
    <row r="36" spans="1:13" ht="15.75">
      <c r="A36" s="72">
        <v>32</v>
      </c>
      <c r="B36" s="165">
        <v>32</v>
      </c>
      <c r="C36" s="278">
        <v>36.44</v>
      </c>
      <c r="D36" s="157"/>
      <c r="F36" s="142"/>
      <c r="G36" s="143"/>
      <c r="H36" s="144"/>
      <c r="J36" s="258"/>
      <c r="K36" s="259"/>
      <c r="L36" s="260"/>
      <c r="M36" s="80"/>
    </row>
    <row r="37" spans="1:13" ht="15.75">
      <c r="A37" s="72">
        <v>33</v>
      </c>
      <c r="B37" s="165">
        <v>33</v>
      </c>
      <c r="C37" s="278">
        <v>36.65</v>
      </c>
      <c r="D37" s="157"/>
      <c r="F37" s="142"/>
      <c r="G37" s="143"/>
      <c r="H37" s="144"/>
      <c r="J37" s="258"/>
      <c r="K37" s="259"/>
      <c r="L37" s="260"/>
      <c r="M37" s="80"/>
    </row>
    <row r="38" spans="1:13" ht="15.75">
      <c r="A38" s="72">
        <v>34</v>
      </c>
      <c r="B38" s="165">
        <v>34</v>
      </c>
      <c r="C38" s="278">
        <v>36.28</v>
      </c>
      <c r="D38" s="157"/>
      <c r="F38" s="142"/>
      <c r="G38" s="143"/>
      <c r="H38" s="144"/>
      <c r="J38" s="258"/>
      <c r="K38" s="259"/>
      <c r="L38" s="260"/>
      <c r="M38" s="80"/>
    </row>
    <row r="39" spans="1:13" ht="15.75">
      <c r="A39" s="72">
        <v>35</v>
      </c>
      <c r="B39" s="165">
        <v>35</v>
      </c>
      <c r="C39" s="278">
        <v>37.01</v>
      </c>
      <c r="D39" s="157"/>
      <c r="F39" s="142"/>
      <c r="G39" s="143"/>
      <c r="H39" s="144"/>
      <c r="J39" s="258"/>
      <c r="K39" s="259"/>
      <c r="L39" s="260"/>
      <c r="M39" s="80"/>
    </row>
    <row r="40" spans="1:13" ht="15.75">
      <c r="A40" s="72">
        <v>36</v>
      </c>
      <c r="B40" s="165">
        <v>36</v>
      </c>
      <c r="C40" s="278">
        <v>36.479999999999997</v>
      </c>
      <c r="D40" s="157"/>
      <c r="F40" s="142"/>
      <c r="G40" s="143"/>
      <c r="H40" s="144"/>
      <c r="J40" s="258"/>
      <c r="K40" s="259"/>
      <c r="L40" s="260"/>
      <c r="M40" s="80"/>
    </row>
    <row r="41" spans="1:13" ht="15.75">
      <c r="A41" s="72">
        <v>37</v>
      </c>
      <c r="B41" s="165">
        <v>37</v>
      </c>
      <c r="C41" s="278">
        <v>35.880000000000003</v>
      </c>
      <c r="D41" s="157"/>
      <c r="F41" s="142"/>
      <c r="G41" s="143"/>
      <c r="H41" s="144"/>
      <c r="J41" s="258"/>
      <c r="K41" s="259"/>
      <c r="L41" s="260"/>
      <c r="M41" s="80"/>
    </row>
    <row r="42" spans="1:13" ht="15.75">
      <c r="A42" s="72">
        <v>38</v>
      </c>
      <c r="B42" s="165">
        <v>38</v>
      </c>
      <c r="C42" s="278">
        <v>36.79</v>
      </c>
      <c r="D42" s="157"/>
      <c r="F42" s="142"/>
      <c r="G42" s="143"/>
      <c r="H42" s="144"/>
      <c r="J42" s="258"/>
      <c r="K42" s="259"/>
      <c r="L42" s="260"/>
      <c r="M42" s="80"/>
    </row>
    <row r="43" spans="1:13" ht="15.75">
      <c r="A43" s="72">
        <v>39</v>
      </c>
      <c r="B43" s="165">
        <v>39</v>
      </c>
      <c r="C43" s="278">
        <v>36.54</v>
      </c>
      <c r="D43" s="157"/>
      <c r="F43" s="142"/>
      <c r="G43" s="143"/>
      <c r="H43" s="144"/>
      <c r="J43" s="258"/>
      <c r="K43" s="259"/>
      <c r="L43" s="260"/>
      <c r="M43" s="80"/>
    </row>
    <row r="44" spans="1:13" ht="15.75">
      <c r="A44" s="72">
        <v>40</v>
      </c>
      <c r="B44" s="165">
        <v>40</v>
      </c>
      <c r="C44" s="278">
        <v>36.67</v>
      </c>
      <c r="D44" s="157"/>
      <c r="F44" s="142"/>
      <c r="G44" s="143"/>
      <c r="H44" s="144"/>
      <c r="J44" s="258"/>
      <c r="K44" s="259"/>
      <c r="L44" s="260"/>
      <c r="M44" s="80"/>
    </row>
    <row r="45" spans="1:13" ht="15.75">
      <c r="A45" s="72">
        <v>41</v>
      </c>
      <c r="B45" s="165">
        <v>41</v>
      </c>
      <c r="C45" s="278">
        <v>36.57</v>
      </c>
      <c r="D45" s="157"/>
      <c r="F45" s="142"/>
      <c r="G45" s="143"/>
      <c r="H45" s="144"/>
      <c r="J45" s="165"/>
      <c r="K45" s="166"/>
      <c r="L45" s="167"/>
      <c r="M45" s="80"/>
    </row>
    <row r="46" spans="1:13" ht="15.75">
      <c r="A46" s="72">
        <v>42</v>
      </c>
      <c r="B46" s="165">
        <v>42</v>
      </c>
      <c r="C46" s="278">
        <v>36.270000000000003</v>
      </c>
      <c r="D46" s="157"/>
      <c r="F46" s="142"/>
      <c r="G46" s="143"/>
      <c r="H46" s="144"/>
      <c r="J46" s="165"/>
      <c r="K46" s="166"/>
      <c r="L46" s="167"/>
      <c r="M46" s="80"/>
    </row>
    <row r="47" spans="1:13" ht="15.75">
      <c r="A47" s="72">
        <v>43</v>
      </c>
      <c r="B47" s="165">
        <v>43</v>
      </c>
      <c r="C47" s="278">
        <v>35.83</v>
      </c>
      <c r="D47" s="157"/>
      <c r="F47" s="142"/>
      <c r="G47" s="143"/>
      <c r="H47" s="144"/>
      <c r="J47" s="165"/>
      <c r="K47" s="166"/>
      <c r="L47" s="167"/>
      <c r="M47" s="80"/>
    </row>
    <row r="48" spans="1:13" ht="15.75">
      <c r="A48" s="72">
        <v>44</v>
      </c>
      <c r="B48" s="165">
        <v>44</v>
      </c>
      <c r="C48" s="278">
        <v>36.950000000000003</v>
      </c>
      <c r="D48" s="157"/>
      <c r="F48" s="142"/>
      <c r="G48" s="143"/>
      <c r="H48" s="144"/>
      <c r="J48" s="165"/>
      <c r="K48" s="166"/>
      <c r="L48" s="167"/>
      <c r="M48" s="80"/>
    </row>
    <row r="49" spans="1:13" ht="15.75">
      <c r="A49" s="72">
        <v>45</v>
      </c>
      <c r="B49" s="165">
        <v>45</v>
      </c>
      <c r="C49" s="278">
        <v>36.18</v>
      </c>
      <c r="D49" s="157"/>
      <c r="F49" s="142"/>
      <c r="G49" s="143"/>
      <c r="H49" s="144"/>
      <c r="J49" s="165"/>
      <c r="K49" s="166"/>
      <c r="L49" s="167"/>
      <c r="M49" s="80"/>
    </row>
    <row r="50" spans="1:13" ht="15.75">
      <c r="A50" s="72">
        <v>46</v>
      </c>
      <c r="B50" s="165">
        <v>46</v>
      </c>
      <c r="C50" s="278">
        <v>34.479999999999997</v>
      </c>
      <c r="D50" s="157"/>
      <c r="F50" s="142"/>
      <c r="G50" s="143"/>
      <c r="H50" s="144"/>
      <c r="J50" s="165"/>
      <c r="K50" s="166"/>
      <c r="L50" s="167"/>
      <c r="M50" s="80"/>
    </row>
    <row r="51" spans="1:13" ht="15.75">
      <c r="A51" s="72">
        <v>47</v>
      </c>
      <c r="B51" s="165">
        <v>47</v>
      </c>
      <c r="C51" s="278">
        <v>36.32</v>
      </c>
      <c r="D51" s="157"/>
      <c r="F51" s="142"/>
      <c r="G51" s="143"/>
      <c r="H51" s="144"/>
      <c r="J51" s="165"/>
      <c r="K51" s="166"/>
      <c r="L51" s="167"/>
      <c r="M51" s="80"/>
    </row>
    <row r="52" spans="1:13" ht="15.75">
      <c r="A52" s="72">
        <v>48</v>
      </c>
      <c r="B52" s="165">
        <v>48</v>
      </c>
      <c r="C52" s="278">
        <v>36.799999999999997</v>
      </c>
      <c r="D52" s="157"/>
      <c r="F52" s="142"/>
      <c r="G52" s="143"/>
      <c r="H52" s="144"/>
      <c r="J52" s="165"/>
      <c r="K52" s="166"/>
      <c r="L52" s="167"/>
      <c r="M52" s="80"/>
    </row>
    <row r="53" spans="1:13" ht="15.75">
      <c r="A53" s="72">
        <v>49</v>
      </c>
      <c r="B53" s="165">
        <v>49</v>
      </c>
      <c r="C53" s="278">
        <v>37.369999999999997</v>
      </c>
      <c r="D53" s="157"/>
      <c r="F53" s="142"/>
      <c r="G53" s="143"/>
      <c r="H53" s="144"/>
      <c r="J53" s="165"/>
      <c r="K53" s="166"/>
      <c r="L53" s="167"/>
      <c r="M53" s="80"/>
    </row>
    <row r="54" spans="1:13" ht="15.75">
      <c r="A54" s="72">
        <v>50</v>
      </c>
      <c r="B54" s="165">
        <v>50</v>
      </c>
      <c r="C54" s="278">
        <v>36.61</v>
      </c>
      <c r="D54" s="157"/>
      <c r="F54" s="142"/>
      <c r="G54" s="143"/>
      <c r="H54" s="144"/>
      <c r="J54" s="165"/>
      <c r="K54" s="166"/>
      <c r="L54" s="167"/>
      <c r="M54" s="80"/>
    </row>
    <row r="55" spans="1:13" ht="15.75">
      <c r="A55" s="72">
        <v>51</v>
      </c>
      <c r="B55" s="165">
        <v>51</v>
      </c>
      <c r="C55" s="278">
        <v>37.270000000000003</v>
      </c>
      <c r="D55" s="157"/>
      <c r="F55" s="142"/>
      <c r="G55" s="143"/>
      <c r="H55" s="144"/>
      <c r="J55" s="165"/>
      <c r="K55" s="166"/>
      <c r="L55" s="167"/>
      <c r="M55" s="80"/>
    </row>
    <row r="56" spans="1:13" ht="15.75">
      <c r="A56" s="72">
        <v>52</v>
      </c>
      <c r="B56" s="165">
        <v>52</v>
      </c>
      <c r="C56" s="278">
        <v>37.29</v>
      </c>
      <c r="D56" s="157"/>
      <c r="F56" s="142"/>
      <c r="G56" s="143"/>
      <c r="H56" s="144"/>
      <c r="J56" s="165"/>
      <c r="K56" s="166"/>
      <c r="L56" s="167"/>
      <c r="M56" s="80"/>
    </row>
    <row r="57" spans="1:13" ht="15.75">
      <c r="A57" s="72">
        <v>53</v>
      </c>
      <c r="B57" s="165">
        <v>53</v>
      </c>
      <c r="C57" s="278">
        <v>37.090000000000003</v>
      </c>
      <c r="D57" s="157"/>
      <c r="F57" s="142"/>
      <c r="G57" s="143"/>
      <c r="H57" s="144"/>
      <c r="J57" s="165"/>
      <c r="K57" s="166"/>
      <c r="L57" s="167"/>
      <c r="M57" s="80"/>
    </row>
    <row r="58" spans="1:13" ht="15.75">
      <c r="A58" s="72">
        <v>54</v>
      </c>
      <c r="B58" s="165">
        <v>54</v>
      </c>
      <c r="C58" s="278">
        <v>37.32</v>
      </c>
      <c r="D58" s="157"/>
      <c r="F58" s="142"/>
      <c r="G58" s="143"/>
      <c r="H58" s="144"/>
      <c r="J58" s="165"/>
      <c r="K58" s="166"/>
      <c r="L58" s="167"/>
      <c r="M58" s="80"/>
    </row>
    <row r="59" spans="1:13" ht="15.75">
      <c r="A59" s="72">
        <v>55</v>
      </c>
      <c r="B59" s="165">
        <v>55</v>
      </c>
      <c r="C59" s="278">
        <v>36.69</v>
      </c>
      <c r="D59" s="157"/>
      <c r="F59" s="142"/>
      <c r="G59" s="143"/>
      <c r="H59" s="144"/>
      <c r="J59" s="165"/>
      <c r="K59" s="166"/>
      <c r="L59" s="167"/>
      <c r="M59" s="80"/>
    </row>
    <row r="60" spans="1:13" ht="15.75">
      <c r="A60" s="72">
        <v>56</v>
      </c>
      <c r="B60" s="165">
        <v>56</v>
      </c>
      <c r="C60" s="278">
        <v>36.72</v>
      </c>
      <c r="D60" s="157"/>
      <c r="F60" s="142"/>
      <c r="G60" s="143"/>
      <c r="H60" s="144"/>
      <c r="J60" s="165"/>
      <c r="K60" s="166"/>
      <c r="L60" s="167"/>
      <c r="M60" s="80"/>
    </row>
    <row r="61" spans="1:13" ht="15.75">
      <c r="A61" s="72">
        <v>57</v>
      </c>
      <c r="B61" s="165">
        <v>57</v>
      </c>
      <c r="C61" s="278">
        <v>37.1</v>
      </c>
      <c r="D61" s="157"/>
      <c r="F61" s="142"/>
      <c r="G61" s="143"/>
      <c r="H61" s="144"/>
      <c r="J61" s="165"/>
      <c r="K61" s="166"/>
      <c r="L61" s="167"/>
      <c r="M61" s="80"/>
    </row>
    <row r="62" spans="1:13" ht="15.75">
      <c r="A62" s="72">
        <v>58</v>
      </c>
      <c r="B62" s="165">
        <v>58</v>
      </c>
      <c r="C62" s="278">
        <v>36.51</v>
      </c>
      <c r="D62" s="157"/>
      <c r="F62" s="142"/>
      <c r="G62" s="143"/>
      <c r="H62" s="144"/>
      <c r="J62" s="165"/>
      <c r="K62" s="166"/>
      <c r="L62" s="167"/>
      <c r="M62" s="80"/>
    </row>
    <row r="63" spans="1:13" ht="15.75">
      <c r="A63" s="72">
        <v>59</v>
      </c>
      <c r="B63" s="165">
        <v>59</v>
      </c>
      <c r="C63" s="278">
        <v>36.94</v>
      </c>
      <c r="D63" s="157"/>
      <c r="F63" s="142"/>
      <c r="G63" s="143"/>
      <c r="H63" s="144"/>
      <c r="J63" s="165"/>
      <c r="K63" s="166"/>
      <c r="L63" s="167"/>
      <c r="M63" s="80"/>
    </row>
    <row r="64" spans="1:13" ht="15.75">
      <c r="A64" s="72">
        <v>60</v>
      </c>
      <c r="B64" s="165">
        <v>60</v>
      </c>
      <c r="C64" s="278">
        <v>36.5</v>
      </c>
      <c r="D64" s="157"/>
      <c r="F64" s="142"/>
      <c r="G64" s="143"/>
      <c r="H64" s="144"/>
      <c r="J64" s="165"/>
      <c r="K64" s="166"/>
      <c r="L64" s="167"/>
      <c r="M64" s="80"/>
    </row>
    <row r="65" spans="1:13" ht="15.75">
      <c r="A65" s="72">
        <v>61</v>
      </c>
      <c r="B65" s="165">
        <v>61</v>
      </c>
      <c r="C65" s="278">
        <v>37.659999999999997</v>
      </c>
      <c r="D65" s="157"/>
      <c r="F65" s="142"/>
      <c r="G65" s="143"/>
      <c r="H65" s="144"/>
      <c r="J65" s="165"/>
      <c r="K65" s="166"/>
      <c r="L65" s="167"/>
      <c r="M65" s="80"/>
    </row>
    <row r="66" spans="1:13" ht="15.75">
      <c r="A66" s="72">
        <v>62</v>
      </c>
      <c r="B66" s="165">
        <v>62</v>
      </c>
      <c r="C66" s="278">
        <v>35.49</v>
      </c>
      <c r="D66" s="157"/>
      <c r="F66" s="142"/>
      <c r="G66" s="143"/>
      <c r="H66" s="144"/>
      <c r="J66" s="165"/>
      <c r="K66" s="166"/>
      <c r="L66" s="167"/>
      <c r="M66" s="80"/>
    </row>
    <row r="67" spans="1:13" ht="15.75">
      <c r="A67" s="72">
        <v>63</v>
      </c>
      <c r="B67" s="165">
        <v>63</v>
      </c>
      <c r="C67" s="278">
        <v>35.11</v>
      </c>
      <c r="D67" s="157"/>
      <c r="F67" s="142"/>
      <c r="G67" s="143"/>
      <c r="H67" s="144"/>
      <c r="M67" s="80"/>
    </row>
    <row r="68" spans="1:13" ht="15.75">
      <c r="A68" s="72">
        <v>64</v>
      </c>
      <c r="B68" s="165">
        <v>64</v>
      </c>
      <c r="C68" s="278">
        <v>37.409999999999997</v>
      </c>
      <c r="D68" s="157"/>
      <c r="F68" s="142"/>
      <c r="G68" s="143"/>
      <c r="H68" s="144"/>
      <c r="M68" s="80"/>
    </row>
    <row r="69" spans="1:13" ht="15.75">
      <c r="A69" s="72">
        <v>65</v>
      </c>
      <c r="B69" s="165">
        <v>65</v>
      </c>
      <c r="C69" s="278">
        <v>37.549999999999997</v>
      </c>
      <c r="D69" s="157"/>
      <c r="F69" s="142"/>
      <c r="G69" s="143"/>
      <c r="H69" s="144"/>
      <c r="M69" s="80"/>
    </row>
    <row r="70" spans="1:13" ht="15.75">
      <c r="A70" s="72">
        <v>66</v>
      </c>
      <c r="B70" s="165">
        <v>66</v>
      </c>
      <c r="C70" s="278">
        <v>37.61</v>
      </c>
      <c r="D70" s="157"/>
      <c r="F70" s="142"/>
      <c r="G70" s="143"/>
      <c r="H70" s="144"/>
      <c r="M70" s="80"/>
    </row>
    <row r="71" spans="1:13" ht="15.75">
      <c r="A71" s="72">
        <v>67</v>
      </c>
      <c r="B71" s="165">
        <v>67</v>
      </c>
      <c r="C71" s="278">
        <v>37.369999999999997</v>
      </c>
      <c r="D71" s="157"/>
      <c r="F71" s="142"/>
      <c r="G71" s="143"/>
      <c r="H71" s="144"/>
      <c r="M71" s="80"/>
    </row>
    <row r="72" spans="1:13" ht="15.75">
      <c r="A72" s="72">
        <v>68</v>
      </c>
      <c r="B72" s="165">
        <v>68</v>
      </c>
      <c r="C72" s="278">
        <v>37.549999999999997</v>
      </c>
      <c r="D72" s="157"/>
      <c r="F72" s="142"/>
      <c r="G72" s="143"/>
      <c r="H72" s="144"/>
      <c r="M72" s="80"/>
    </row>
    <row r="73" spans="1:13" ht="15.75">
      <c r="A73" s="72">
        <v>69</v>
      </c>
      <c r="B73" s="165">
        <v>69</v>
      </c>
      <c r="C73" s="278">
        <v>37.25</v>
      </c>
      <c r="D73" s="157"/>
      <c r="F73" s="142"/>
      <c r="G73" s="143"/>
      <c r="H73" s="144"/>
      <c r="M73" s="80"/>
    </row>
    <row r="74" spans="1:13" ht="15.75">
      <c r="A74" s="72">
        <v>70</v>
      </c>
      <c r="B74" s="165">
        <v>70</v>
      </c>
      <c r="C74" s="278">
        <v>37.47</v>
      </c>
      <c r="D74" s="157"/>
      <c r="F74" s="142"/>
      <c r="G74" s="143"/>
      <c r="H74" s="144"/>
      <c r="M74" s="80"/>
    </row>
    <row r="75" spans="1:13" ht="15.75">
      <c r="A75" s="72">
        <v>71</v>
      </c>
      <c r="B75" s="165">
        <v>71</v>
      </c>
      <c r="C75" s="278">
        <v>36.69</v>
      </c>
      <c r="D75" s="157"/>
      <c r="F75" s="142"/>
      <c r="G75" s="143"/>
      <c r="H75" s="144"/>
      <c r="M75" s="80"/>
    </row>
    <row r="76" spans="1:13" ht="15.75">
      <c r="A76" s="72">
        <v>72</v>
      </c>
      <c r="B76" s="165">
        <v>72</v>
      </c>
      <c r="C76" s="278">
        <v>36.17</v>
      </c>
      <c r="D76" s="157"/>
      <c r="F76" s="142"/>
      <c r="G76" s="143"/>
      <c r="H76" s="144"/>
      <c r="M76" s="80"/>
    </row>
    <row r="77" spans="1:13" ht="15.75">
      <c r="A77" s="72">
        <v>73</v>
      </c>
      <c r="B77" s="165">
        <v>73</v>
      </c>
      <c r="C77" s="278">
        <v>36.380000000000003</v>
      </c>
      <c r="D77" s="157"/>
      <c r="F77" s="142"/>
      <c r="G77" s="143"/>
      <c r="H77" s="144"/>
      <c r="M77" s="80"/>
    </row>
    <row r="78" spans="1:13" ht="15.75">
      <c r="A78" s="72">
        <v>74</v>
      </c>
      <c r="B78" s="165">
        <v>74</v>
      </c>
      <c r="C78" s="278">
        <v>37.36</v>
      </c>
      <c r="D78" s="157"/>
      <c r="F78" s="76"/>
      <c r="G78" s="75"/>
      <c r="H78" s="75"/>
      <c r="M78" s="80"/>
    </row>
    <row r="79" spans="1:13" ht="15.75">
      <c r="A79" s="72">
        <v>75</v>
      </c>
      <c r="B79" s="165">
        <v>75</v>
      </c>
      <c r="C79" s="278">
        <v>37.659999999999997</v>
      </c>
      <c r="D79" s="157"/>
      <c r="F79" s="76"/>
      <c r="G79" s="75"/>
      <c r="H79" s="75"/>
      <c r="M79" s="80"/>
    </row>
    <row r="80" spans="1:13" ht="15.75">
      <c r="A80" s="72">
        <v>76</v>
      </c>
      <c r="B80" s="165">
        <v>76</v>
      </c>
      <c r="C80" s="278">
        <v>36.43</v>
      </c>
      <c r="D80" s="157"/>
      <c r="F80" s="76"/>
      <c r="G80" s="75"/>
      <c r="H80" s="75"/>
      <c r="M80" s="80"/>
    </row>
    <row r="81" spans="1:13" ht="15.75">
      <c r="A81" s="72">
        <v>77</v>
      </c>
      <c r="B81" s="165">
        <v>77</v>
      </c>
      <c r="C81" s="278">
        <v>37.659999999999997</v>
      </c>
      <c r="D81" s="157"/>
      <c r="F81" s="76"/>
      <c r="G81" s="75"/>
      <c r="H81" s="75"/>
      <c r="M81" s="80"/>
    </row>
    <row r="82" spans="1:13" ht="15.75">
      <c r="A82" s="72">
        <v>78</v>
      </c>
      <c r="B82" s="165">
        <v>78</v>
      </c>
      <c r="C82" s="278">
        <v>36.81</v>
      </c>
      <c r="D82" s="157"/>
      <c r="F82" s="76"/>
      <c r="G82" s="75"/>
      <c r="H82" s="75"/>
      <c r="M82" s="80"/>
    </row>
    <row r="83" spans="1:13" ht="15.75">
      <c r="A83" s="72">
        <v>79</v>
      </c>
      <c r="B83" s="165">
        <v>79</v>
      </c>
      <c r="C83" s="278">
        <v>37.380000000000003</v>
      </c>
      <c r="D83" s="157"/>
      <c r="F83" s="76"/>
      <c r="G83" s="75"/>
      <c r="H83" s="75"/>
      <c r="M83" s="80"/>
    </row>
    <row r="84" spans="1:13" ht="15.75">
      <c r="A84" s="72">
        <v>80</v>
      </c>
      <c r="B84" s="165">
        <v>80</v>
      </c>
      <c r="C84" s="278">
        <v>37.24</v>
      </c>
      <c r="D84" s="157"/>
      <c r="F84" s="76"/>
      <c r="G84" s="75"/>
      <c r="H84" s="75"/>
      <c r="M84" s="80"/>
    </row>
    <row r="85" spans="1:13" ht="15.75">
      <c r="A85" s="72">
        <v>81</v>
      </c>
      <c r="B85" s="165">
        <v>81</v>
      </c>
      <c r="C85" s="278">
        <v>37.22</v>
      </c>
      <c r="D85" s="157"/>
      <c r="F85" s="76"/>
      <c r="G85" s="75"/>
      <c r="H85" s="75"/>
      <c r="M85" s="80"/>
    </row>
    <row r="86" spans="1:13" ht="15.75">
      <c r="A86" s="72">
        <v>82</v>
      </c>
      <c r="B86" s="165">
        <v>82</v>
      </c>
      <c r="C86" s="278">
        <v>37.369999999999997</v>
      </c>
      <c r="D86" s="157"/>
      <c r="F86" s="76"/>
      <c r="G86" s="75"/>
      <c r="H86" s="75"/>
      <c r="M86" s="80"/>
    </row>
    <row r="87" spans="1:13" ht="15.75">
      <c r="A87" s="72">
        <v>83</v>
      </c>
      <c r="B87" s="165">
        <v>83</v>
      </c>
      <c r="C87" s="278">
        <v>36.520000000000003</v>
      </c>
      <c r="D87" s="157"/>
      <c r="F87" s="76"/>
      <c r="G87" s="75"/>
      <c r="H87" s="75"/>
      <c r="M87" s="80"/>
    </row>
    <row r="88" spans="1:13" ht="15.75">
      <c r="A88" s="72">
        <v>84</v>
      </c>
      <c r="B88" s="165">
        <v>84</v>
      </c>
      <c r="C88" s="278">
        <v>36.36</v>
      </c>
      <c r="D88" s="157"/>
      <c r="F88" s="76"/>
      <c r="G88" s="75"/>
      <c r="H88" s="75"/>
      <c r="M88" s="80"/>
    </row>
    <row r="89" spans="1:13" ht="15.75">
      <c r="A89" s="72">
        <v>85</v>
      </c>
      <c r="B89" s="165">
        <v>85</v>
      </c>
      <c r="C89" s="278">
        <v>37</v>
      </c>
      <c r="D89" s="157"/>
      <c r="F89" s="76"/>
      <c r="G89" s="75"/>
      <c r="H89" s="75"/>
      <c r="M89" s="80"/>
    </row>
    <row r="90" spans="1:13" ht="15.75">
      <c r="A90" s="72">
        <v>86</v>
      </c>
      <c r="B90" s="165">
        <v>86</v>
      </c>
      <c r="C90" s="278">
        <v>37.19</v>
      </c>
      <c r="D90" s="157"/>
      <c r="F90" s="76"/>
      <c r="G90" s="75"/>
      <c r="H90" s="75"/>
      <c r="M90" s="80"/>
    </row>
    <row r="91" spans="1:13" ht="15.75">
      <c r="A91" s="72">
        <v>87</v>
      </c>
      <c r="B91" s="165">
        <v>87</v>
      </c>
      <c r="C91" s="278">
        <v>36.78</v>
      </c>
      <c r="D91" s="157"/>
      <c r="F91" s="76"/>
      <c r="G91" s="75"/>
      <c r="H91" s="75"/>
      <c r="M91" s="80"/>
    </row>
    <row r="92" spans="1:13" ht="15.75">
      <c r="A92" s="72">
        <v>88</v>
      </c>
      <c r="B92" s="165">
        <v>88</v>
      </c>
      <c r="C92" s="278">
        <v>36.82</v>
      </c>
      <c r="D92" s="157"/>
      <c r="F92" s="76"/>
      <c r="G92" s="75"/>
      <c r="H92" s="75"/>
      <c r="M92" s="80"/>
    </row>
    <row r="93" spans="1:13" ht="15.75">
      <c r="A93" s="72">
        <v>89</v>
      </c>
      <c r="B93" s="165">
        <v>89</v>
      </c>
      <c r="C93" s="278">
        <v>37.01</v>
      </c>
      <c r="D93" s="157"/>
      <c r="F93" s="76"/>
      <c r="G93" s="75"/>
      <c r="H93" s="75"/>
      <c r="M93" s="80"/>
    </row>
    <row r="94" spans="1:13" ht="15.75">
      <c r="A94" s="72">
        <v>90</v>
      </c>
      <c r="B94" s="165">
        <v>90</v>
      </c>
      <c r="C94" s="278">
        <v>37.299999999999997</v>
      </c>
      <c r="D94" s="157"/>
      <c r="F94" s="76"/>
      <c r="G94" s="75"/>
      <c r="H94" s="75"/>
      <c r="M94" s="80"/>
    </row>
    <row r="95" spans="1:13" ht="15.75">
      <c r="A95" s="72">
        <v>91</v>
      </c>
      <c r="B95" s="165">
        <v>91</v>
      </c>
      <c r="C95" s="278">
        <v>37.36</v>
      </c>
      <c r="D95" s="157"/>
      <c r="F95" s="76"/>
      <c r="G95" s="75"/>
      <c r="H95" s="75"/>
      <c r="M95" s="80"/>
    </row>
    <row r="96" spans="1:13" ht="15.75">
      <c r="A96" s="72">
        <v>92</v>
      </c>
      <c r="B96" s="165">
        <v>92</v>
      </c>
      <c r="C96" s="278">
        <v>37.36</v>
      </c>
      <c r="D96" s="157"/>
      <c r="F96" s="76"/>
      <c r="G96" s="75"/>
      <c r="H96" s="75"/>
      <c r="M96" s="80"/>
    </row>
    <row r="97" spans="1:13" ht="15.75">
      <c r="A97" s="72">
        <v>93</v>
      </c>
      <c r="B97" s="165">
        <v>93</v>
      </c>
      <c r="C97" s="278">
        <v>37.020000000000003</v>
      </c>
      <c r="D97" s="157"/>
      <c r="F97" s="76"/>
      <c r="G97" s="75"/>
      <c r="H97" s="75"/>
      <c r="M97" s="80"/>
    </row>
    <row r="98" spans="1:13" ht="15.75">
      <c r="A98" s="72">
        <v>94</v>
      </c>
      <c r="B98" s="165">
        <v>94</v>
      </c>
      <c r="C98" s="278">
        <v>35.89</v>
      </c>
      <c r="D98" s="157"/>
      <c r="F98" s="76"/>
      <c r="G98" s="75"/>
      <c r="H98" s="75"/>
      <c r="M98" s="80"/>
    </row>
    <row r="99" spans="1:13" ht="15.75">
      <c r="A99" s="72">
        <v>95</v>
      </c>
      <c r="B99" s="165">
        <v>95</v>
      </c>
      <c r="C99" s="278">
        <v>37.229999999999997</v>
      </c>
      <c r="D99" s="157"/>
      <c r="F99" s="76"/>
      <c r="G99" s="75"/>
      <c r="H99" s="75"/>
      <c r="M99" s="80"/>
    </row>
    <row r="100" spans="1:13" ht="15.75">
      <c r="A100" s="72">
        <v>96</v>
      </c>
      <c r="B100" s="165">
        <v>96</v>
      </c>
      <c r="C100" s="278">
        <v>37.200000000000003</v>
      </c>
      <c r="D100" s="157"/>
      <c r="F100" s="76"/>
      <c r="G100" s="75"/>
      <c r="H100" s="75"/>
      <c r="M100" s="80"/>
    </row>
    <row r="101" spans="1:13" ht="15.75">
      <c r="A101" s="72">
        <v>97</v>
      </c>
      <c r="B101" s="165">
        <v>97</v>
      </c>
      <c r="C101" s="278">
        <v>37.130000000000003</v>
      </c>
      <c r="D101" s="157"/>
      <c r="F101" s="76"/>
      <c r="G101" s="75"/>
      <c r="H101" s="75"/>
      <c r="M101" s="80"/>
    </row>
    <row r="102" spans="1:13" ht="15.75">
      <c r="A102" s="72">
        <v>98</v>
      </c>
      <c r="B102" s="165">
        <v>98</v>
      </c>
      <c r="C102" s="278">
        <v>37.31</v>
      </c>
      <c r="D102" s="157"/>
      <c r="F102" s="76"/>
      <c r="G102" s="75"/>
      <c r="H102" s="75"/>
      <c r="M102" s="80"/>
    </row>
    <row r="103" spans="1:13" ht="15.75">
      <c r="A103" s="72">
        <v>99</v>
      </c>
      <c r="B103" s="165">
        <v>99</v>
      </c>
      <c r="C103" s="278">
        <v>36.57</v>
      </c>
      <c r="D103" s="157"/>
      <c r="F103" s="76"/>
      <c r="G103" s="75"/>
      <c r="H103" s="75"/>
      <c r="M103" s="80"/>
    </row>
    <row r="104" spans="1:13" ht="15.75">
      <c r="A104" s="72">
        <v>100</v>
      </c>
      <c r="B104" s="165">
        <v>100</v>
      </c>
      <c r="C104" s="278">
        <v>37.46</v>
      </c>
      <c r="D104" s="157"/>
      <c r="F104" s="76"/>
      <c r="G104" s="75"/>
      <c r="H104" s="75"/>
      <c r="M104" s="80"/>
    </row>
    <row r="105" spans="1:13" ht="15.75">
      <c r="A105" s="72">
        <v>101</v>
      </c>
      <c r="B105" s="165">
        <v>101</v>
      </c>
      <c r="C105" s="278">
        <v>37.68</v>
      </c>
      <c r="D105" s="157"/>
      <c r="F105" s="76"/>
      <c r="G105" s="75"/>
      <c r="H105" s="75"/>
      <c r="M105" s="80"/>
    </row>
    <row r="106" spans="1:13" ht="15.75">
      <c r="A106" s="72">
        <v>102</v>
      </c>
      <c r="B106" s="165">
        <v>102</v>
      </c>
      <c r="C106" s="278">
        <v>36.92</v>
      </c>
      <c r="D106" s="157"/>
      <c r="F106" s="76"/>
      <c r="G106" s="75"/>
      <c r="H106" s="75"/>
      <c r="M106" s="80"/>
    </row>
    <row r="107" spans="1:13" ht="15.75">
      <c r="A107" s="72">
        <v>103</v>
      </c>
      <c r="B107" s="165">
        <v>103</v>
      </c>
      <c r="C107" s="278">
        <v>37.090000000000003</v>
      </c>
      <c r="D107" s="157"/>
      <c r="F107" s="76"/>
      <c r="G107" s="75"/>
      <c r="H107" s="75"/>
      <c r="M107" s="80"/>
    </row>
    <row r="108" spans="1:13" ht="15.75">
      <c r="A108" s="72">
        <v>104</v>
      </c>
      <c r="B108" s="165">
        <v>104</v>
      </c>
      <c r="C108" s="278">
        <v>35.58</v>
      </c>
      <c r="D108" s="157"/>
      <c r="F108" s="76"/>
      <c r="G108" s="75"/>
      <c r="H108" s="75"/>
      <c r="M108" s="80"/>
    </row>
    <row r="109" spans="1:13" ht="15.75">
      <c r="A109" s="72">
        <v>105</v>
      </c>
      <c r="B109" s="165">
        <v>105</v>
      </c>
      <c r="C109" s="278">
        <v>36.409999999999997</v>
      </c>
      <c r="D109" s="157"/>
      <c r="F109" s="76"/>
      <c r="G109" s="75"/>
      <c r="H109" s="75"/>
      <c r="M109" s="80"/>
    </row>
    <row r="110" spans="1:13" ht="15.75">
      <c r="A110" s="72">
        <v>106</v>
      </c>
      <c r="B110" s="165">
        <v>106</v>
      </c>
      <c r="C110" s="278">
        <v>37.229999999999997</v>
      </c>
      <c r="D110" s="157"/>
      <c r="F110" s="76"/>
      <c r="G110" s="75"/>
      <c r="H110" s="75"/>
      <c r="M110" s="80"/>
    </row>
    <row r="111" spans="1:13" ht="15.75">
      <c r="A111" s="72">
        <v>107</v>
      </c>
      <c r="B111" s="165">
        <v>107</v>
      </c>
      <c r="C111" s="278">
        <v>35.24</v>
      </c>
      <c r="D111" s="157"/>
      <c r="F111" s="76"/>
      <c r="G111" s="75"/>
      <c r="H111" s="75"/>
      <c r="M111" s="80"/>
    </row>
    <row r="112" spans="1:13" ht="15.75">
      <c r="A112" s="72">
        <v>108</v>
      </c>
      <c r="B112" s="165">
        <v>108</v>
      </c>
      <c r="C112" s="278">
        <v>36.54</v>
      </c>
      <c r="D112" s="157"/>
      <c r="F112" s="76"/>
      <c r="G112" s="75"/>
      <c r="H112" s="75"/>
      <c r="M112" s="80"/>
    </row>
    <row r="113" spans="1:13" ht="15.75">
      <c r="A113" s="72">
        <v>109</v>
      </c>
      <c r="B113" s="165">
        <v>109</v>
      </c>
      <c r="C113" s="278">
        <v>36.630000000000003</v>
      </c>
      <c r="D113" s="157"/>
      <c r="F113" s="76"/>
      <c r="G113" s="75"/>
      <c r="H113" s="75"/>
      <c r="M113" s="80"/>
    </row>
    <row r="114" spans="1:13" ht="15.75">
      <c r="A114" s="72">
        <v>110</v>
      </c>
      <c r="B114" s="165">
        <v>110</v>
      </c>
      <c r="C114" s="278">
        <v>36.26</v>
      </c>
      <c r="D114" s="157"/>
      <c r="F114" s="76"/>
      <c r="G114" s="75"/>
      <c r="H114" s="75"/>
      <c r="M114" s="80"/>
    </row>
    <row r="115" spans="1:13" ht="15.75">
      <c r="A115" s="72">
        <v>111</v>
      </c>
      <c r="B115" s="165">
        <v>111</v>
      </c>
      <c r="C115" s="278">
        <v>37.29</v>
      </c>
      <c r="D115" s="157"/>
      <c r="F115" s="76"/>
      <c r="G115" s="75"/>
      <c r="H115" s="75"/>
      <c r="M115" s="80"/>
    </row>
    <row r="116" spans="1:13" ht="15.75">
      <c r="A116" s="72">
        <v>112</v>
      </c>
      <c r="B116" s="165">
        <v>112</v>
      </c>
      <c r="C116" s="278">
        <v>36.619999999999997</v>
      </c>
      <c r="D116" s="157"/>
      <c r="F116" s="76"/>
      <c r="G116" s="75"/>
      <c r="H116" s="75"/>
      <c r="M116" s="80"/>
    </row>
    <row r="117" spans="1:13" ht="15.75">
      <c r="A117" s="72">
        <v>113</v>
      </c>
      <c r="B117" s="165">
        <v>113</v>
      </c>
      <c r="C117" s="278">
        <v>36.64</v>
      </c>
      <c r="D117" s="157"/>
      <c r="F117" s="76"/>
      <c r="G117" s="75"/>
      <c r="H117" s="75"/>
      <c r="M117" s="80"/>
    </row>
    <row r="118" spans="1:13" ht="15.75">
      <c r="A118" s="72">
        <v>114</v>
      </c>
      <c r="B118" s="165">
        <v>114</v>
      </c>
      <c r="C118" s="278">
        <v>36.65</v>
      </c>
      <c r="D118" s="157"/>
      <c r="F118" s="76"/>
      <c r="G118" s="75"/>
      <c r="H118" s="75"/>
      <c r="M118" s="80"/>
    </row>
    <row r="119" spans="1:13" ht="15.75">
      <c r="A119" s="72">
        <v>115</v>
      </c>
      <c r="B119" s="165">
        <v>115</v>
      </c>
      <c r="C119" s="278">
        <v>37.229999999999997</v>
      </c>
      <c r="D119" s="157"/>
      <c r="F119" s="76"/>
      <c r="G119" s="75"/>
      <c r="H119" s="75"/>
      <c r="M119" s="80"/>
    </row>
    <row r="120" spans="1:13" ht="15.75">
      <c r="A120" s="72">
        <v>116</v>
      </c>
      <c r="B120" s="165">
        <v>116</v>
      </c>
      <c r="C120" s="278">
        <v>37.24</v>
      </c>
      <c r="D120" s="157"/>
      <c r="F120" s="76"/>
      <c r="G120" s="75"/>
      <c r="H120" s="75"/>
      <c r="M120" s="80"/>
    </row>
    <row r="121" spans="1:13" ht="15.75">
      <c r="A121" s="72">
        <v>117</v>
      </c>
      <c r="B121" s="165">
        <v>117</v>
      </c>
      <c r="C121" s="278">
        <v>37.43</v>
      </c>
      <c r="D121" s="157"/>
      <c r="F121" s="76"/>
      <c r="G121" s="75"/>
      <c r="H121" s="75"/>
      <c r="M121" s="80"/>
    </row>
    <row r="122" spans="1:13" ht="15.75">
      <c r="A122" s="72">
        <v>118</v>
      </c>
      <c r="B122" s="165">
        <v>118</v>
      </c>
      <c r="C122" s="278">
        <v>37.380000000000003</v>
      </c>
      <c r="D122" s="157"/>
      <c r="F122" s="76"/>
      <c r="G122" s="75"/>
      <c r="H122" s="75"/>
      <c r="M122" s="80"/>
    </row>
    <row r="123" spans="1:13" ht="15.75">
      <c r="A123" s="72">
        <v>119</v>
      </c>
      <c r="B123" s="165">
        <v>119</v>
      </c>
      <c r="C123" s="278">
        <v>37.04</v>
      </c>
      <c r="D123" s="157"/>
      <c r="F123" s="76"/>
      <c r="G123" s="75"/>
      <c r="H123" s="75"/>
      <c r="M123" s="80"/>
    </row>
    <row r="124" spans="1:13" ht="15.75">
      <c r="A124" s="72">
        <v>120</v>
      </c>
      <c r="B124" s="165">
        <v>120</v>
      </c>
      <c r="C124" s="278">
        <v>37.61</v>
      </c>
      <c r="D124" s="157"/>
      <c r="F124" s="76"/>
      <c r="G124" s="75"/>
      <c r="H124" s="75"/>
      <c r="M124" s="80"/>
    </row>
    <row r="125" spans="1:13" ht="15.75">
      <c r="A125" s="72">
        <v>121</v>
      </c>
      <c r="B125" s="165">
        <v>121</v>
      </c>
      <c r="C125" s="278">
        <v>37.28</v>
      </c>
      <c r="D125" s="157"/>
      <c r="F125" s="76"/>
      <c r="G125" s="75"/>
      <c r="H125" s="75"/>
      <c r="M125" s="80"/>
    </row>
    <row r="126" spans="1:13" ht="15.75">
      <c r="A126" s="72">
        <v>122</v>
      </c>
      <c r="B126" s="165">
        <v>122</v>
      </c>
      <c r="C126" s="278">
        <v>37.130000000000003</v>
      </c>
      <c r="D126" s="157"/>
      <c r="F126" s="76"/>
      <c r="G126" s="75"/>
      <c r="H126" s="75"/>
      <c r="M126" s="80"/>
    </row>
    <row r="127" spans="1:13" ht="15.75">
      <c r="A127" s="72">
        <v>123</v>
      </c>
      <c r="B127" s="165">
        <v>123</v>
      </c>
      <c r="C127" s="278">
        <v>37.49</v>
      </c>
      <c r="D127" s="157"/>
      <c r="F127" s="76"/>
      <c r="G127" s="75"/>
      <c r="H127" s="75"/>
      <c r="M127" s="80"/>
    </row>
    <row r="128" spans="1:13" ht="15.75">
      <c r="A128" s="72">
        <v>124</v>
      </c>
      <c r="B128" s="165">
        <v>124</v>
      </c>
      <c r="C128" s="278">
        <v>36.89</v>
      </c>
      <c r="D128" s="157"/>
      <c r="F128" s="76"/>
      <c r="G128" s="75"/>
      <c r="H128" s="75"/>
      <c r="M128" s="80"/>
    </row>
    <row r="129" spans="1:13" ht="15.75">
      <c r="A129" s="72">
        <v>125</v>
      </c>
      <c r="B129" s="165">
        <v>125</v>
      </c>
      <c r="C129" s="278">
        <v>36.29</v>
      </c>
      <c r="D129" s="157"/>
      <c r="F129" s="76"/>
      <c r="G129" s="75"/>
      <c r="H129" s="75"/>
      <c r="M129" s="80"/>
    </row>
    <row r="130" spans="1:13" ht="15.75">
      <c r="A130" s="72">
        <v>126</v>
      </c>
      <c r="B130" s="165">
        <v>126</v>
      </c>
      <c r="C130" s="278">
        <v>36.75</v>
      </c>
      <c r="D130" s="157"/>
      <c r="F130" s="76"/>
      <c r="G130" s="75"/>
      <c r="H130" s="75"/>
      <c r="M130" s="80"/>
    </row>
    <row r="131" spans="1:13" ht="15.75">
      <c r="A131" s="72">
        <v>127</v>
      </c>
      <c r="B131" s="165">
        <v>127</v>
      </c>
      <c r="C131" s="278">
        <v>36.22</v>
      </c>
      <c r="D131" s="157"/>
      <c r="F131" s="76"/>
      <c r="G131" s="75"/>
      <c r="H131" s="75"/>
      <c r="M131" s="80"/>
    </row>
    <row r="132" spans="1:13" ht="15.75">
      <c r="A132" s="72">
        <v>128</v>
      </c>
      <c r="B132" s="165">
        <v>128</v>
      </c>
      <c r="C132" s="278">
        <v>36.520000000000003</v>
      </c>
      <c r="D132" s="157"/>
      <c r="F132" s="76"/>
      <c r="G132" s="75"/>
      <c r="H132" s="75"/>
      <c r="M132" s="80"/>
    </row>
    <row r="133" spans="1:13" ht="15.75">
      <c r="A133" s="72">
        <v>129</v>
      </c>
      <c r="B133" s="165">
        <v>129</v>
      </c>
      <c r="C133" s="278">
        <v>36.25</v>
      </c>
      <c r="D133" s="157"/>
      <c r="F133" s="76"/>
      <c r="G133" s="75"/>
      <c r="H133" s="75"/>
      <c r="M133" s="80"/>
    </row>
    <row r="134" spans="1:13" ht="15.75">
      <c r="A134" s="72">
        <v>130</v>
      </c>
      <c r="B134" s="165">
        <v>130</v>
      </c>
      <c r="C134" s="278">
        <v>37.299999999999997</v>
      </c>
      <c r="D134" s="157"/>
      <c r="F134" s="76"/>
      <c r="G134" s="75"/>
      <c r="H134" s="75"/>
      <c r="M134" s="80"/>
    </row>
    <row r="135" spans="1:13" ht="15.75">
      <c r="A135" s="72">
        <v>131</v>
      </c>
      <c r="B135" s="165">
        <v>131</v>
      </c>
      <c r="C135" s="278">
        <v>36.4</v>
      </c>
      <c r="D135" s="157"/>
      <c r="F135" s="76"/>
      <c r="G135" s="75"/>
      <c r="H135" s="75"/>
      <c r="M135" s="80"/>
    </row>
    <row r="136" spans="1:13" ht="15.75">
      <c r="A136" s="72">
        <v>132</v>
      </c>
      <c r="B136" s="165">
        <v>132</v>
      </c>
      <c r="C136" s="278">
        <v>36.6</v>
      </c>
      <c r="D136" s="157"/>
      <c r="F136" s="76"/>
      <c r="G136" s="75"/>
      <c r="H136" s="75"/>
      <c r="M136" s="80"/>
    </row>
    <row r="137" spans="1:13" ht="15.75">
      <c r="A137" s="72">
        <v>133</v>
      </c>
      <c r="B137" s="165">
        <v>133</v>
      </c>
      <c r="C137" s="278">
        <v>36.19</v>
      </c>
      <c r="D137" s="157"/>
      <c r="F137" s="76"/>
      <c r="G137" s="75"/>
      <c r="H137" s="75"/>
      <c r="M137" s="80"/>
    </row>
    <row r="138" spans="1:13" ht="15.75">
      <c r="A138" s="72">
        <v>134</v>
      </c>
      <c r="B138" s="165">
        <v>134</v>
      </c>
      <c r="C138" s="278">
        <v>36.28</v>
      </c>
      <c r="D138" s="157"/>
      <c r="F138" s="76"/>
      <c r="G138" s="75"/>
      <c r="H138" s="75"/>
      <c r="M138" s="80"/>
    </row>
    <row r="139" spans="1:13" ht="15.75">
      <c r="A139" s="72">
        <v>135</v>
      </c>
      <c r="B139" s="165">
        <v>135</v>
      </c>
      <c r="C139" s="278">
        <v>37.36</v>
      </c>
      <c r="D139" s="157"/>
      <c r="F139" s="76"/>
      <c r="G139" s="75"/>
      <c r="H139" s="75"/>
      <c r="M139" s="80"/>
    </row>
    <row r="140" spans="1:13" ht="15.75">
      <c r="A140" s="72">
        <v>136</v>
      </c>
      <c r="B140" s="165">
        <v>136</v>
      </c>
      <c r="C140" s="278">
        <v>36.79</v>
      </c>
      <c r="D140" s="157"/>
      <c r="F140" s="76"/>
      <c r="G140" s="75"/>
      <c r="H140" s="75"/>
      <c r="M140" s="80"/>
    </row>
    <row r="141" spans="1:13" ht="15.75">
      <c r="A141" s="72">
        <v>137</v>
      </c>
      <c r="B141" s="165">
        <v>137</v>
      </c>
      <c r="C141" s="278">
        <v>37.090000000000003</v>
      </c>
      <c r="D141" s="157"/>
      <c r="F141" s="76"/>
      <c r="G141" s="75"/>
      <c r="H141" s="75"/>
      <c r="M141" s="80"/>
    </row>
    <row r="142" spans="1:13" ht="15.75">
      <c r="A142" s="72">
        <v>138</v>
      </c>
      <c r="B142" s="165">
        <v>138</v>
      </c>
      <c r="C142" s="278">
        <v>37.46</v>
      </c>
      <c r="D142" s="157"/>
      <c r="F142" s="76"/>
      <c r="G142" s="75"/>
      <c r="H142" s="75"/>
      <c r="M142" s="80"/>
    </row>
    <row r="143" spans="1:13" ht="15.75">
      <c r="A143" s="72">
        <v>139</v>
      </c>
      <c r="B143" s="165">
        <v>139</v>
      </c>
      <c r="C143" s="278">
        <v>37.409999999999997</v>
      </c>
      <c r="D143" s="157"/>
      <c r="F143" s="76"/>
      <c r="G143" s="75"/>
      <c r="H143" s="75"/>
      <c r="M143" s="80"/>
    </row>
    <row r="144" spans="1:13" ht="15.75">
      <c r="A144" s="72">
        <v>140</v>
      </c>
      <c r="B144" s="165">
        <v>140</v>
      </c>
      <c r="C144" s="278">
        <v>36.119999999999997</v>
      </c>
      <c r="D144" s="157"/>
      <c r="F144" s="76"/>
      <c r="G144" s="75"/>
      <c r="H144" s="75"/>
      <c r="M144" s="80"/>
    </row>
    <row r="145" spans="1:13" ht="15.75">
      <c r="A145" s="72">
        <v>141</v>
      </c>
      <c r="B145" s="165">
        <v>141</v>
      </c>
      <c r="C145" s="278">
        <v>37</v>
      </c>
      <c r="D145" s="157"/>
      <c r="F145" s="76"/>
      <c r="G145" s="75"/>
      <c r="H145" s="75"/>
      <c r="M145" s="80"/>
    </row>
    <row r="146" spans="1:13" ht="15.75">
      <c r="A146" s="72">
        <v>142</v>
      </c>
      <c r="B146" s="165">
        <v>142</v>
      </c>
      <c r="C146" s="278">
        <v>36.85</v>
      </c>
      <c r="D146" s="157"/>
      <c r="F146" s="76"/>
      <c r="G146" s="75"/>
      <c r="H146" s="75"/>
      <c r="M146" s="80"/>
    </row>
    <row r="147" spans="1:13" ht="15.75">
      <c r="A147" s="72">
        <v>143</v>
      </c>
      <c r="B147" s="165">
        <v>143</v>
      </c>
      <c r="C147" s="278">
        <v>37.049999999999997</v>
      </c>
      <c r="D147" s="157"/>
      <c r="F147" s="76"/>
      <c r="G147" s="75"/>
      <c r="H147" s="75"/>
      <c r="M147" s="80"/>
    </row>
    <row r="148" spans="1:13" ht="15.75">
      <c r="A148" s="72">
        <v>144</v>
      </c>
      <c r="B148" s="165">
        <v>144</v>
      </c>
      <c r="C148" s="278">
        <v>36.61</v>
      </c>
      <c r="D148" s="157"/>
      <c r="F148" s="76"/>
      <c r="G148" s="75"/>
      <c r="H148" s="75"/>
      <c r="M148" s="80"/>
    </row>
    <row r="149" spans="1:13" ht="15.75">
      <c r="A149" s="72">
        <v>145</v>
      </c>
      <c r="B149" s="165">
        <v>145</v>
      </c>
      <c r="C149" s="278">
        <v>36.07</v>
      </c>
      <c r="D149" s="157"/>
      <c r="F149" s="76"/>
      <c r="G149" s="75"/>
      <c r="H149" s="75"/>
      <c r="M149" s="80"/>
    </row>
    <row r="150" spans="1:13" ht="15.75">
      <c r="A150" s="72">
        <v>146</v>
      </c>
      <c r="B150" s="165">
        <v>146</v>
      </c>
      <c r="C150" s="278">
        <v>36.85</v>
      </c>
      <c r="D150" s="157"/>
      <c r="F150" s="76"/>
      <c r="G150" s="75"/>
      <c r="H150" s="75"/>
      <c r="M150" s="80"/>
    </row>
    <row r="151" spans="1:13" ht="15.75">
      <c r="A151" s="72">
        <v>147</v>
      </c>
      <c r="B151" s="165">
        <v>147</v>
      </c>
      <c r="C151" s="278">
        <v>36.69</v>
      </c>
      <c r="D151" s="157"/>
      <c r="F151" s="76"/>
      <c r="G151" s="75"/>
      <c r="H151" s="75"/>
      <c r="M151" s="80"/>
    </row>
    <row r="152" spans="1:13" ht="15.75">
      <c r="A152" s="72">
        <v>148</v>
      </c>
      <c r="B152" s="165">
        <v>148</v>
      </c>
      <c r="C152" s="278">
        <v>36.869999999999997</v>
      </c>
      <c r="D152" s="157"/>
      <c r="F152" s="76"/>
      <c r="G152" s="75"/>
      <c r="H152" s="75"/>
      <c r="M152" s="80"/>
    </row>
    <row r="153" spans="1:13" ht="15.75">
      <c r="A153" s="72">
        <v>149</v>
      </c>
      <c r="B153" s="165">
        <v>149</v>
      </c>
      <c r="C153" s="278">
        <v>38.36</v>
      </c>
      <c r="D153" s="157"/>
      <c r="F153" s="76"/>
      <c r="G153" s="75"/>
      <c r="H153" s="75"/>
      <c r="M153" s="80"/>
    </row>
    <row r="154" spans="1:13" ht="15.75">
      <c r="A154" s="72">
        <v>150</v>
      </c>
      <c r="B154" s="165">
        <v>150</v>
      </c>
      <c r="C154" s="278">
        <v>38.299999999999997</v>
      </c>
      <c r="D154" s="157"/>
      <c r="F154" s="76"/>
      <c r="G154" s="75"/>
      <c r="H154" s="75"/>
      <c r="M154" s="80"/>
    </row>
    <row r="155" spans="1:13" ht="15.75">
      <c r="A155" s="72">
        <v>151</v>
      </c>
      <c r="B155" s="165">
        <v>151</v>
      </c>
      <c r="C155" s="278">
        <v>36.840000000000003</v>
      </c>
      <c r="D155" s="157"/>
      <c r="F155" s="76"/>
      <c r="G155" s="75"/>
      <c r="H155" s="75"/>
      <c r="M155" s="80"/>
    </row>
    <row r="156" spans="1:13" ht="15.75">
      <c r="A156" s="72">
        <v>152</v>
      </c>
      <c r="B156" s="165">
        <v>152</v>
      </c>
      <c r="C156" s="278">
        <v>37.57</v>
      </c>
      <c r="D156" s="157"/>
      <c r="F156" s="76"/>
      <c r="G156" s="75"/>
      <c r="H156" s="75"/>
      <c r="M156" s="80"/>
    </row>
    <row r="157" spans="1:13" ht="15.75">
      <c r="A157" s="72">
        <v>153</v>
      </c>
      <c r="B157" s="165">
        <v>153</v>
      </c>
      <c r="C157" s="278">
        <v>36.78</v>
      </c>
      <c r="D157" s="157"/>
      <c r="F157" s="76"/>
      <c r="G157" s="75"/>
      <c r="H157" s="75"/>
      <c r="M157" s="80"/>
    </row>
    <row r="158" spans="1:13" ht="15.75">
      <c r="A158" s="72">
        <v>154</v>
      </c>
      <c r="B158" s="165">
        <v>154</v>
      </c>
      <c r="C158" s="278">
        <v>37.08</v>
      </c>
      <c r="D158" s="157"/>
      <c r="F158" s="76"/>
      <c r="G158" s="75"/>
      <c r="H158" s="75"/>
      <c r="M158" s="80"/>
    </row>
    <row r="159" spans="1:13" ht="15.75">
      <c r="A159" s="72">
        <v>155</v>
      </c>
      <c r="B159" s="165">
        <v>155</v>
      </c>
      <c r="C159" s="278">
        <v>37.57</v>
      </c>
      <c r="D159" s="157"/>
      <c r="F159" s="76"/>
      <c r="G159" s="75"/>
      <c r="H159" s="75"/>
      <c r="M159" s="80"/>
    </row>
    <row r="160" spans="1:13" ht="15.75">
      <c r="A160" s="72">
        <v>156</v>
      </c>
      <c r="B160" s="165">
        <v>156</v>
      </c>
      <c r="C160" s="278">
        <v>36.93</v>
      </c>
      <c r="D160" s="157"/>
      <c r="F160" s="76"/>
      <c r="G160" s="75"/>
      <c r="H160" s="75"/>
      <c r="M160" s="80"/>
    </row>
    <row r="161" spans="1:13" ht="15.75">
      <c r="A161" s="72">
        <v>157</v>
      </c>
      <c r="B161" s="165">
        <v>157</v>
      </c>
      <c r="C161" s="278">
        <v>37.43</v>
      </c>
      <c r="D161" s="157"/>
      <c r="F161" s="76"/>
      <c r="G161" s="75"/>
      <c r="H161" s="75"/>
      <c r="M161" s="80"/>
    </row>
    <row r="162" spans="1:13" ht="15.75">
      <c r="A162" s="72">
        <v>158</v>
      </c>
      <c r="B162" s="165">
        <v>158</v>
      </c>
      <c r="C162" s="278">
        <v>37.94</v>
      </c>
      <c r="D162" s="157"/>
      <c r="F162" s="76"/>
      <c r="G162" s="75"/>
      <c r="H162" s="75"/>
      <c r="M162" s="80"/>
    </row>
    <row r="163" spans="1:13" ht="15.75">
      <c r="A163" s="72">
        <v>159</v>
      </c>
      <c r="B163" s="165">
        <v>159</v>
      </c>
      <c r="C163" s="278">
        <v>37.18</v>
      </c>
      <c r="D163" s="157"/>
      <c r="F163" s="76"/>
      <c r="G163" s="75"/>
      <c r="H163" s="75"/>
      <c r="M163" s="80"/>
    </row>
    <row r="164" spans="1:13" ht="15.75">
      <c r="A164" s="72">
        <v>160</v>
      </c>
      <c r="B164" s="165">
        <v>160</v>
      </c>
      <c r="C164" s="278">
        <v>35.39</v>
      </c>
      <c r="D164" s="157"/>
      <c r="F164" s="76"/>
      <c r="G164" s="75"/>
      <c r="H164" s="75"/>
      <c r="M164" s="80"/>
    </row>
    <row r="165" spans="1:13" ht="15.75">
      <c r="A165" s="72">
        <v>161</v>
      </c>
      <c r="B165" s="165">
        <v>161</v>
      </c>
      <c r="C165" s="278">
        <v>36.93</v>
      </c>
      <c r="D165" s="157"/>
      <c r="F165" s="76"/>
      <c r="G165" s="75"/>
      <c r="H165" s="75"/>
      <c r="M165" s="80"/>
    </row>
    <row r="166" spans="1:13" ht="15.75">
      <c r="A166" s="72">
        <v>162</v>
      </c>
      <c r="B166" s="165">
        <v>162</v>
      </c>
      <c r="C166" s="278">
        <v>37.049999999999997</v>
      </c>
      <c r="D166" s="157"/>
      <c r="F166" s="76"/>
      <c r="G166" s="75"/>
      <c r="H166" s="75"/>
      <c r="M166" s="80"/>
    </row>
    <row r="167" spans="1:13" ht="15.75">
      <c r="A167" s="72">
        <v>163</v>
      </c>
      <c r="B167" s="165">
        <v>163</v>
      </c>
      <c r="C167" s="278">
        <v>36.299999999999997</v>
      </c>
      <c r="D167" s="157"/>
      <c r="F167" s="76"/>
      <c r="G167" s="75"/>
      <c r="H167" s="75"/>
      <c r="M167" s="80"/>
    </row>
    <row r="168" spans="1:13" ht="15.75">
      <c r="A168" s="72">
        <v>164</v>
      </c>
      <c r="B168" s="165">
        <v>164</v>
      </c>
      <c r="C168" s="278">
        <v>36.01</v>
      </c>
      <c r="D168" s="157"/>
      <c r="F168" s="76"/>
      <c r="G168" s="75"/>
      <c r="H168" s="75"/>
      <c r="M168" s="80"/>
    </row>
    <row r="169" spans="1:13" ht="15.75">
      <c r="A169" s="72">
        <v>165</v>
      </c>
      <c r="B169" s="165">
        <v>165</v>
      </c>
      <c r="C169" s="278">
        <v>36.78</v>
      </c>
      <c r="D169" s="157"/>
      <c r="F169" s="76"/>
      <c r="G169" s="75"/>
      <c r="H169" s="75"/>
      <c r="M169" s="80"/>
    </row>
    <row r="170" spans="1:13" ht="15.75">
      <c r="A170" s="72">
        <v>166</v>
      </c>
      <c r="B170" s="165">
        <v>166</v>
      </c>
      <c r="C170" s="278">
        <v>36.78</v>
      </c>
      <c r="D170" s="157"/>
      <c r="F170" s="76"/>
      <c r="G170" s="75"/>
      <c r="H170" s="75"/>
      <c r="M170" s="80"/>
    </row>
    <row r="171" spans="1:13" ht="15.75">
      <c r="A171" s="72">
        <v>167</v>
      </c>
      <c r="B171" s="165">
        <v>167</v>
      </c>
      <c r="C171" s="278">
        <v>36.72</v>
      </c>
      <c r="D171" s="157"/>
      <c r="F171" s="76"/>
      <c r="G171" s="75"/>
      <c r="H171" s="75"/>
      <c r="M171" s="80"/>
    </row>
    <row r="172" spans="1:13" ht="15.75">
      <c r="A172" s="72">
        <v>168</v>
      </c>
      <c r="B172" s="165">
        <v>168</v>
      </c>
      <c r="C172" s="278">
        <v>36.61</v>
      </c>
      <c r="D172" s="157"/>
      <c r="F172" s="76"/>
      <c r="G172" s="75"/>
      <c r="H172" s="75"/>
      <c r="M172" s="80"/>
    </row>
    <row r="173" spans="1:13" ht="15.75">
      <c r="A173" s="72">
        <v>169</v>
      </c>
      <c r="B173" s="165">
        <v>169</v>
      </c>
      <c r="C173" s="278">
        <v>36.17</v>
      </c>
      <c r="D173" s="157"/>
      <c r="F173" s="76"/>
      <c r="G173" s="75"/>
      <c r="H173" s="75"/>
      <c r="M173" s="80"/>
    </row>
    <row r="174" spans="1:13" ht="15.75">
      <c r="A174" s="72">
        <v>170</v>
      </c>
      <c r="B174" s="165">
        <v>170</v>
      </c>
      <c r="C174" s="278">
        <v>35.979999999999997</v>
      </c>
      <c r="D174" s="157"/>
      <c r="F174" s="76"/>
      <c r="G174" s="75"/>
      <c r="H174" s="75"/>
      <c r="M174" s="80"/>
    </row>
    <row r="175" spans="1:13" ht="15.75">
      <c r="A175" s="72">
        <v>171</v>
      </c>
      <c r="B175" s="165">
        <v>171</v>
      </c>
      <c r="C175" s="278">
        <v>35.57</v>
      </c>
      <c r="D175" s="157"/>
      <c r="F175" s="76"/>
      <c r="G175" s="75"/>
      <c r="H175" s="75"/>
      <c r="M175" s="80"/>
    </row>
    <row r="176" spans="1:13" ht="15.75">
      <c r="A176" s="72">
        <v>172</v>
      </c>
      <c r="B176" s="165">
        <v>172</v>
      </c>
      <c r="C176" s="278">
        <v>36.72</v>
      </c>
      <c r="D176" s="157"/>
      <c r="F176" s="76"/>
      <c r="G176" s="75"/>
      <c r="H176" s="75"/>
      <c r="M176" s="80"/>
    </row>
    <row r="177" spans="1:13" ht="15.75">
      <c r="A177" s="72">
        <v>173</v>
      </c>
      <c r="B177" s="165">
        <v>173</v>
      </c>
      <c r="C177" s="278">
        <v>37.08</v>
      </c>
      <c r="D177" s="157"/>
      <c r="F177" s="76"/>
      <c r="G177" s="75"/>
      <c r="H177" s="75"/>
      <c r="M177" s="80"/>
    </row>
    <row r="178" spans="1:13" ht="15.75">
      <c r="A178" s="72">
        <v>174</v>
      </c>
      <c r="B178" s="165">
        <v>174</v>
      </c>
      <c r="C178" s="278">
        <v>37.33</v>
      </c>
      <c r="D178" s="157"/>
      <c r="F178" s="76"/>
      <c r="G178" s="75"/>
      <c r="H178" s="75"/>
      <c r="M178" s="80"/>
    </row>
    <row r="179" spans="1:13" ht="15.75">
      <c r="A179" s="72">
        <v>175</v>
      </c>
      <c r="B179" s="165">
        <v>175</v>
      </c>
      <c r="C179" s="278">
        <v>37.31</v>
      </c>
      <c r="D179" s="157"/>
      <c r="F179" s="76"/>
      <c r="G179" s="75"/>
      <c r="H179" s="75"/>
      <c r="M179" s="80"/>
    </row>
    <row r="180" spans="1:13" ht="15.75">
      <c r="A180" s="72">
        <v>176</v>
      </c>
      <c r="B180" s="165">
        <v>176</v>
      </c>
      <c r="C180" s="278">
        <v>36.81</v>
      </c>
      <c r="D180" s="157"/>
      <c r="F180" s="76"/>
      <c r="G180" s="75"/>
      <c r="H180" s="75"/>
      <c r="M180" s="80"/>
    </row>
    <row r="181" spans="1:13" ht="15.75">
      <c r="A181" s="72">
        <v>177</v>
      </c>
      <c r="B181" s="165">
        <v>177</v>
      </c>
      <c r="C181" s="278">
        <v>36.369999999999997</v>
      </c>
      <c r="D181" s="157"/>
      <c r="F181" s="76"/>
      <c r="G181" s="75"/>
      <c r="H181" s="75"/>
      <c r="M181" s="80"/>
    </row>
    <row r="182" spans="1:13" ht="15.75">
      <c r="A182" s="72">
        <v>178</v>
      </c>
      <c r="B182" s="165">
        <v>178</v>
      </c>
      <c r="C182" s="278">
        <v>36.270000000000003</v>
      </c>
      <c r="D182" s="157"/>
      <c r="F182" s="76"/>
      <c r="G182" s="75"/>
      <c r="H182" s="75"/>
      <c r="M182" s="80"/>
    </row>
    <row r="183" spans="1:13" ht="15.75">
      <c r="A183" s="72">
        <v>179</v>
      </c>
      <c r="B183" s="165">
        <v>179</v>
      </c>
      <c r="C183" s="278">
        <v>36.58</v>
      </c>
      <c r="D183" s="157"/>
      <c r="F183" s="76"/>
      <c r="G183" s="75"/>
      <c r="H183" s="75"/>
      <c r="M183" s="80"/>
    </row>
    <row r="184" spans="1:13" ht="15.75">
      <c r="A184" s="72">
        <v>180</v>
      </c>
      <c r="B184" s="165">
        <v>180</v>
      </c>
      <c r="C184" s="278">
        <v>36.659999999999997</v>
      </c>
      <c r="D184" s="157"/>
      <c r="F184" s="76"/>
      <c r="G184" s="75"/>
      <c r="H184" s="75"/>
      <c r="M184" s="80"/>
    </row>
    <row r="185" spans="1:13" ht="15.75">
      <c r="A185" s="72">
        <v>181</v>
      </c>
      <c r="B185" s="165">
        <v>181</v>
      </c>
      <c r="C185" s="278">
        <v>36.299999999999997</v>
      </c>
      <c r="D185" s="157"/>
      <c r="F185" s="76"/>
      <c r="G185" s="75"/>
      <c r="H185" s="75"/>
      <c r="M185" s="80"/>
    </row>
    <row r="186" spans="1:13" ht="15.75">
      <c r="A186" s="72">
        <v>182</v>
      </c>
      <c r="B186" s="165">
        <v>182</v>
      </c>
      <c r="C186" s="278">
        <v>36.72</v>
      </c>
      <c r="D186" s="157"/>
      <c r="F186" s="76"/>
      <c r="G186" s="75"/>
      <c r="H186" s="75"/>
      <c r="M186" s="80"/>
    </row>
    <row r="187" spans="1:13" ht="15.75">
      <c r="A187" s="72">
        <v>183</v>
      </c>
      <c r="B187" s="165">
        <v>183</v>
      </c>
      <c r="C187" s="278">
        <v>37.35</v>
      </c>
      <c r="D187" s="157"/>
      <c r="F187" s="76"/>
      <c r="G187" s="75"/>
      <c r="H187" s="75"/>
      <c r="M187" s="80"/>
    </row>
    <row r="188" spans="1:13" ht="15.75">
      <c r="A188" s="72">
        <v>184</v>
      </c>
      <c r="B188" s="165">
        <v>184</v>
      </c>
      <c r="C188" s="278">
        <v>36.31</v>
      </c>
      <c r="D188" s="157"/>
      <c r="F188" s="76"/>
      <c r="G188" s="75"/>
      <c r="H188" s="75"/>
      <c r="M188" s="80"/>
    </row>
    <row r="189" spans="1:13" ht="15.75">
      <c r="A189" s="72">
        <v>185</v>
      </c>
      <c r="B189" s="165">
        <v>185</v>
      </c>
      <c r="C189" s="278">
        <v>36.840000000000003</v>
      </c>
      <c r="D189" s="157"/>
      <c r="F189" s="76"/>
      <c r="G189" s="75"/>
      <c r="H189" s="75"/>
      <c r="M189" s="80"/>
    </row>
    <row r="190" spans="1:13" ht="15.75">
      <c r="A190" s="72">
        <v>186</v>
      </c>
      <c r="B190" s="165">
        <v>186</v>
      </c>
      <c r="C190" s="278">
        <v>36.79</v>
      </c>
      <c r="D190" s="157"/>
      <c r="F190" s="76"/>
      <c r="G190" s="75"/>
      <c r="H190" s="75"/>
      <c r="M190" s="80"/>
    </row>
    <row r="191" spans="1:13" ht="15.75">
      <c r="A191" s="72">
        <v>187</v>
      </c>
      <c r="B191" s="165">
        <v>187</v>
      </c>
      <c r="C191" s="278">
        <v>37.44</v>
      </c>
      <c r="D191" s="157"/>
      <c r="F191" s="76"/>
      <c r="G191" s="75"/>
      <c r="H191" s="75"/>
      <c r="M191" s="80"/>
    </row>
    <row r="192" spans="1:13" ht="15.75">
      <c r="A192" s="72">
        <v>188</v>
      </c>
      <c r="B192" s="165">
        <v>188</v>
      </c>
      <c r="C192" s="278">
        <v>36.380000000000003</v>
      </c>
      <c r="D192" s="157"/>
      <c r="F192" s="76"/>
      <c r="G192" s="75"/>
      <c r="H192" s="75"/>
      <c r="M192" s="80"/>
    </row>
    <row r="193" spans="1:13" ht="15.75">
      <c r="A193" s="72">
        <v>189</v>
      </c>
      <c r="B193" s="165">
        <v>189</v>
      </c>
      <c r="C193" s="278">
        <v>36.56</v>
      </c>
      <c r="D193" s="157"/>
      <c r="F193" s="76"/>
      <c r="G193" s="75"/>
      <c r="H193" s="75"/>
      <c r="M193" s="80"/>
    </row>
    <row r="194" spans="1:13" ht="15.75">
      <c r="A194" s="72">
        <v>190</v>
      </c>
      <c r="B194" s="165">
        <v>190</v>
      </c>
      <c r="C194" s="278">
        <v>36.659999999999997</v>
      </c>
      <c r="D194" s="157"/>
      <c r="F194" s="76"/>
      <c r="G194" s="75"/>
      <c r="H194" s="75"/>
      <c r="M194" s="80"/>
    </row>
    <row r="195" spans="1:13" ht="15.75">
      <c r="A195" s="72">
        <v>191</v>
      </c>
      <c r="B195" s="165">
        <v>191</v>
      </c>
      <c r="C195" s="278">
        <v>36.94</v>
      </c>
      <c r="D195" s="157"/>
      <c r="F195" s="76"/>
      <c r="G195" s="75"/>
      <c r="H195" s="75"/>
      <c r="M195" s="80"/>
    </row>
    <row r="196" spans="1:13" ht="15.75">
      <c r="A196" s="72">
        <v>192</v>
      </c>
      <c r="B196" s="165">
        <v>192</v>
      </c>
      <c r="C196" s="278">
        <v>36.68</v>
      </c>
      <c r="D196" s="157"/>
      <c r="F196" s="76"/>
      <c r="G196" s="75"/>
      <c r="H196" s="75"/>
      <c r="M196" s="80"/>
    </row>
    <row r="197" spans="1:13" ht="15.75">
      <c r="A197" s="72">
        <v>193</v>
      </c>
      <c r="B197" s="165">
        <v>193</v>
      </c>
      <c r="C197" s="278">
        <v>36.840000000000003</v>
      </c>
      <c r="D197" s="157"/>
      <c r="F197" s="76"/>
      <c r="G197" s="75"/>
      <c r="H197" s="75"/>
      <c r="M197" s="80"/>
    </row>
    <row r="198" spans="1:13" ht="15.75">
      <c r="A198" s="72">
        <v>194</v>
      </c>
      <c r="B198" s="165">
        <v>194</v>
      </c>
      <c r="C198" s="278">
        <v>36.479999999999997</v>
      </c>
      <c r="D198" s="157"/>
      <c r="F198" s="76"/>
      <c r="G198" s="75"/>
      <c r="H198" s="75"/>
      <c r="M198" s="80"/>
    </row>
    <row r="199" spans="1:13" ht="15.75">
      <c r="A199" s="72">
        <v>195</v>
      </c>
      <c r="B199" s="165">
        <v>195</v>
      </c>
      <c r="C199" s="278">
        <v>36.47</v>
      </c>
      <c r="D199" s="157"/>
      <c r="F199" s="76"/>
      <c r="G199" s="75"/>
      <c r="H199" s="75"/>
      <c r="M199" s="80"/>
    </row>
    <row r="200" spans="1:13" ht="15.75">
      <c r="A200" s="72">
        <v>196</v>
      </c>
      <c r="B200" s="165">
        <v>196</v>
      </c>
      <c r="C200" s="278">
        <v>36.479999999999997</v>
      </c>
      <c r="D200" s="157"/>
      <c r="F200" s="76"/>
      <c r="G200" s="75"/>
      <c r="H200" s="75"/>
      <c r="M200" s="80"/>
    </row>
    <row r="201" spans="1:13" ht="15.75">
      <c r="A201" s="72">
        <v>197</v>
      </c>
      <c r="B201" s="165">
        <v>197</v>
      </c>
      <c r="C201" s="278">
        <v>36.6</v>
      </c>
      <c r="D201" s="157"/>
      <c r="F201" s="76"/>
      <c r="G201" s="75"/>
      <c r="H201" s="75"/>
      <c r="M201" s="80"/>
    </row>
    <row r="202" spans="1:13" ht="15.75">
      <c r="A202" s="72">
        <v>198</v>
      </c>
      <c r="B202" s="165">
        <v>198</v>
      </c>
      <c r="C202" s="278">
        <v>36.31</v>
      </c>
      <c r="D202" s="157"/>
      <c r="F202" s="76"/>
      <c r="G202" s="75"/>
      <c r="H202" s="75"/>
      <c r="M202" s="80"/>
    </row>
    <row r="203" spans="1:13" ht="15.75">
      <c r="A203" s="72">
        <v>199</v>
      </c>
      <c r="B203" s="165">
        <v>199</v>
      </c>
      <c r="C203" s="278">
        <v>36.54</v>
      </c>
      <c r="D203" s="157"/>
      <c r="F203" s="76"/>
      <c r="G203" s="75"/>
      <c r="H203" s="75"/>
      <c r="M203" s="80"/>
    </row>
    <row r="204" spans="1:13" ht="15.75">
      <c r="A204" s="72">
        <v>200</v>
      </c>
      <c r="B204" s="165">
        <v>200</v>
      </c>
      <c r="C204" s="278">
        <v>37.020000000000003</v>
      </c>
      <c r="D204" s="157"/>
      <c r="F204" s="76"/>
      <c r="G204" s="75"/>
      <c r="H204" s="75"/>
      <c r="M204" s="80"/>
    </row>
    <row r="205" spans="1:13" ht="15.75">
      <c r="A205" s="72">
        <v>201</v>
      </c>
      <c r="B205" s="165">
        <v>201</v>
      </c>
      <c r="C205" s="278">
        <v>37.200000000000003</v>
      </c>
      <c r="D205" s="157"/>
      <c r="F205" s="76"/>
      <c r="G205" s="75"/>
      <c r="H205" s="75"/>
      <c r="M205" s="80"/>
    </row>
    <row r="206" spans="1:13" ht="15.75">
      <c r="A206" s="72">
        <v>202</v>
      </c>
      <c r="B206" s="165">
        <v>202</v>
      </c>
      <c r="C206" s="278">
        <v>37.619999999999997</v>
      </c>
      <c r="D206" s="157"/>
      <c r="F206" s="76"/>
      <c r="G206" s="75"/>
      <c r="H206" s="75"/>
      <c r="M206" s="80"/>
    </row>
    <row r="207" spans="1:13" ht="15.75">
      <c r="A207" s="72">
        <v>203</v>
      </c>
      <c r="B207" s="165">
        <v>203</v>
      </c>
      <c r="C207" s="278">
        <v>35.99</v>
      </c>
      <c r="D207" s="157"/>
      <c r="F207" s="76"/>
      <c r="G207" s="75"/>
      <c r="H207" s="75"/>
      <c r="M207" s="80"/>
    </row>
    <row r="208" spans="1:13" ht="15.75">
      <c r="A208" s="72">
        <v>204</v>
      </c>
      <c r="B208" s="165">
        <v>204</v>
      </c>
      <c r="C208" s="278">
        <v>37.06</v>
      </c>
      <c r="D208" s="157"/>
      <c r="F208" s="76"/>
      <c r="G208" s="75"/>
      <c r="H208" s="75"/>
      <c r="M208" s="80"/>
    </row>
    <row r="209" spans="1:13" ht="15.75">
      <c r="A209" s="72">
        <v>205</v>
      </c>
      <c r="B209" s="165">
        <v>205</v>
      </c>
      <c r="C209" s="278">
        <v>37.14</v>
      </c>
      <c r="D209" s="157"/>
      <c r="F209" s="76"/>
      <c r="G209" s="75"/>
      <c r="H209" s="75"/>
      <c r="M209" s="80"/>
    </row>
    <row r="210" spans="1:13" ht="15.75">
      <c r="A210" s="72">
        <v>206</v>
      </c>
      <c r="B210" s="165">
        <v>206</v>
      </c>
      <c r="C210" s="278">
        <v>36.700000000000003</v>
      </c>
      <c r="D210" s="157"/>
      <c r="F210" s="76"/>
      <c r="G210" s="75"/>
      <c r="H210" s="75"/>
      <c r="M210" s="80"/>
    </row>
    <row r="211" spans="1:13" ht="15.75">
      <c r="A211" s="72">
        <v>207</v>
      </c>
      <c r="B211" s="165">
        <v>207</v>
      </c>
      <c r="C211" s="278">
        <v>36.64</v>
      </c>
      <c r="D211" s="157"/>
      <c r="F211" s="76"/>
      <c r="G211" s="75"/>
      <c r="H211" s="75"/>
      <c r="M211" s="80"/>
    </row>
    <row r="212" spans="1:13" ht="15.75">
      <c r="A212" s="72">
        <v>208</v>
      </c>
      <c r="B212" s="165">
        <v>208</v>
      </c>
      <c r="C212" s="278">
        <v>36.78</v>
      </c>
      <c r="D212" s="157"/>
      <c r="F212" s="76"/>
      <c r="G212" s="75"/>
      <c r="H212" s="75"/>
      <c r="M212" s="80"/>
    </row>
    <row r="213" spans="1:13" ht="15.75">
      <c r="A213" s="72">
        <v>209</v>
      </c>
      <c r="B213" s="165">
        <v>209</v>
      </c>
      <c r="C213" s="278">
        <v>36.35</v>
      </c>
      <c r="D213" s="157"/>
      <c r="F213" s="76"/>
      <c r="G213" s="75"/>
      <c r="H213" s="75"/>
      <c r="M213" s="80"/>
    </row>
    <row r="214" spans="1:13" ht="15.75">
      <c r="A214" s="72">
        <v>210</v>
      </c>
      <c r="B214" s="165">
        <v>210</v>
      </c>
      <c r="C214" s="278">
        <v>36.630000000000003</v>
      </c>
      <c r="D214" s="157"/>
      <c r="F214" s="76"/>
      <c r="G214" s="75"/>
      <c r="H214" s="75"/>
      <c r="M214" s="80"/>
    </row>
    <row r="215" spans="1:13" ht="15.75">
      <c r="A215" s="72">
        <v>211</v>
      </c>
      <c r="B215" s="165">
        <v>211</v>
      </c>
      <c r="C215" s="278">
        <v>36.06</v>
      </c>
      <c r="D215" s="157"/>
      <c r="F215" s="76"/>
      <c r="G215" s="75"/>
      <c r="H215" s="75"/>
      <c r="M215" s="80"/>
    </row>
    <row r="216" spans="1:13" ht="15.75">
      <c r="A216" s="72">
        <v>212</v>
      </c>
      <c r="B216" s="165">
        <v>212</v>
      </c>
      <c r="C216" s="278">
        <v>36.85</v>
      </c>
      <c r="D216" s="157"/>
      <c r="F216" s="76"/>
      <c r="G216" s="75"/>
      <c r="H216" s="75"/>
      <c r="M216" s="80"/>
    </row>
    <row r="217" spans="1:13" ht="15.75">
      <c r="A217" s="72">
        <v>213</v>
      </c>
      <c r="B217" s="165">
        <v>213</v>
      </c>
      <c r="C217" s="278">
        <v>36.94</v>
      </c>
      <c r="D217" s="157"/>
      <c r="F217" s="76"/>
      <c r="G217" s="75"/>
      <c r="H217" s="75"/>
      <c r="M217" s="80"/>
    </row>
    <row r="218" spans="1:13" ht="15.75">
      <c r="A218" s="72">
        <v>214</v>
      </c>
      <c r="B218" s="165">
        <v>214</v>
      </c>
      <c r="C218" s="278">
        <v>36.83</v>
      </c>
      <c r="D218" s="157"/>
      <c r="F218" s="76"/>
      <c r="G218" s="75"/>
      <c r="H218" s="75"/>
      <c r="M218" s="80"/>
    </row>
    <row r="219" spans="1:13" ht="15.75">
      <c r="A219" s="72">
        <v>215</v>
      </c>
      <c r="B219" s="165">
        <v>215</v>
      </c>
      <c r="C219" s="278">
        <v>35.99</v>
      </c>
      <c r="D219" s="157"/>
      <c r="F219" s="76"/>
      <c r="G219" s="75"/>
      <c r="H219" s="75"/>
      <c r="M219" s="80"/>
    </row>
    <row r="220" spans="1:13" ht="15.75">
      <c r="A220" s="72">
        <v>216</v>
      </c>
      <c r="B220" s="165">
        <v>216</v>
      </c>
      <c r="C220" s="278">
        <v>36.340000000000003</v>
      </c>
      <c r="D220" s="157"/>
      <c r="F220" s="76"/>
      <c r="G220" s="75"/>
      <c r="H220" s="75"/>
      <c r="M220" s="80"/>
    </row>
    <row r="221" spans="1:13" ht="15.75">
      <c r="A221" s="72">
        <v>217</v>
      </c>
      <c r="B221" s="165">
        <v>217</v>
      </c>
      <c r="C221" s="278">
        <v>37.22</v>
      </c>
      <c r="D221" s="157"/>
      <c r="F221" s="76"/>
      <c r="G221" s="75"/>
      <c r="H221" s="75"/>
      <c r="M221" s="80"/>
    </row>
    <row r="222" spans="1:13" ht="15.75">
      <c r="A222" s="72">
        <v>218</v>
      </c>
      <c r="B222" s="165">
        <v>218</v>
      </c>
      <c r="C222" s="278">
        <v>35.549999999999997</v>
      </c>
      <c r="D222" s="157"/>
      <c r="F222" s="76"/>
      <c r="G222" s="75"/>
      <c r="H222" s="75"/>
      <c r="M222" s="80"/>
    </row>
    <row r="223" spans="1:13" ht="15.75">
      <c r="A223" s="72">
        <v>219</v>
      </c>
      <c r="B223" s="165">
        <v>219</v>
      </c>
      <c r="C223" s="278">
        <v>36.979999999999997</v>
      </c>
      <c r="D223" s="157"/>
      <c r="F223" s="76"/>
      <c r="G223" s="75"/>
      <c r="H223" s="75"/>
      <c r="M223" s="80"/>
    </row>
    <row r="224" spans="1:13" ht="15.75">
      <c r="A224" s="72">
        <v>220</v>
      </c>
      <c r="B224" s="165">
        <v>220</v>
      </c>
      <c r="C224" s="278">
        <v>36.46</v>
      </c>
      <c r="D224" s="157"/>
      <c r="F224" s="76"/>
      <c r="G224" s="75"/>
      <c r="H224" s="75"/>
      <c r="M224" s="80"/>
    </row>
    <row r="225" spans="1:13" ht="15.75">
      <c r="A225" s="72">
        <v>221</v>
      </c>
      <c r="B225" s="165">
        <v>221</v>
      </c>
      <c r="C225" s="278">
        <v>36.92</v>
      </c>
      <c r="D225" s="157"/>
      <c r="F225" s="76"/>
      <c r="G225" s="75"/>
      <c r="H225" s="75"/>
      <c r="M225" s="80"/>
    </row>
    <row r="226" spans="1:13" ht="15.75">
      <c r="A226" s="72">
        <v>222</v>
      </c>
      <c r="B226" s="165">
        <v>222</v>
      </c>
      <c r="C226" s="278">
        <v>36.69</v>
      </c>
      <c r="D226" s="157"/>
      <c r="F226" s="76"/>
      <c r="G226" s="75"/>
      <c r="H226" s="75"/>
      <c r="M226" s="80"/>
    </row>
    <row r="227" spans="1:13" ht="15.75">
      <c r="A227" s="72">
        <v>223</v>
      </c>
      <c r="B227" s="165">
        <v>223</v>
      </c>
      <c r="C227" s="278">
        <v>37.049999999999997</v>
      </c>
      <c r="D227" s="157"/>
      <c r="F227" s="76"/>
      <c r="G227" s="75"/>
      <c r="H227" s="75"/>
      <c r="M227" s="80"/>
    </row>
    <row r="228" spans="1:13" ht="15.75">
      <c r="A228" s="72">
        <v>224</v>
      </c>
      <c r="B228" s="165">
        <v>224</v>
      </c>
      <c r="C228" s="278">
        <v>35.950000000000003</v>
      </c>
      <c r="D228" s="157"/>
      <c r="F228" s="76"/>
      <c r="G228" s="75"/>
      <c r="H228" s="75"/>
      <c r="M228" s="80"/>
    </row>
    <row r="229" spans="1:13" ht="15.75">
      <c r="A229" s="72">
        <v>225</v>
      </c>
      <c r="B229" s="165">
        <v>225</v>
      </c>
      <c r="C229" s="278">
        <v>36.72</v>
      </c>
      <c r="D229" s="157"/>
      <c r="F229" s="76"/>
      <c r="G229" s="75"/>
      <c r="H229" s="75"/>
      <c r="M229" s="80"/>
    </row>
    <row r="230" spans="1:13" ht="15.75">
      <c r="A230" s="72">
        <v>226</v>
      </c>
      <c r="B230" s="165">
        <v>226</v>
      </c>
      <c r="C230" s="278">
        <v>36.42</v>
      </c>
      <c r="D230" s="157"/>
      <c r="F230" s="76"/>
      <c r="G230" s="75"/>
      <c r="H230" s="75"/>
      <c r="M230" s="80"/>
    </row>
    <row r="231" spans="1:13" ht="15.75">
      <c r="A231" s="72">
        <v>227</v>
      </c>
      <c r="B231" s="165">
        <v>227</v>
      </c>
      <c r="C231" s="278">
        <v>34.43</v>
      </c>
      <c r="D231" s="157"/>
      <c r="F231" s="76"/>
      <c r="G231" s="75"/>
      <c r="H231" s="75"/>
      <c r="M231" s="80"/>
    </row>
    <row r="232" spans="1:13" ht="15.75">
      <c r="A232" s="72">
        <v>228</v>
      </c>
      <c r="B232" s="165">
        <v>228</v>
      </c>
      <c r="C232" s="278">
        <v>34.42</v>
      </c>
      <c r="D232" s="157"/>
      <c r="F232" s="76"/>
      <c r="G232" s="75"/>
      <c r="H232" s="75"/>
      <c r="M232" s="80"/>
    </row>
    <row r="233" spans="1:13" ht="15.75">
      <c r="A233" s="72">
        <v>229</v>
      </c>
      <c r="B233" s="165">
        <v>229</v>
      </c>
      <c r="C233" s="278">
        <v>36.4</v>
      </c>
      <c r="D233" s="157"/>
      <c r="F233" s="76"/>
      <c r="G233" s="75"/>
      <c r="H233" s="75"/>
      <c r="M233" s="80"/>
    </row>
    <row r="234" spans="1:13" ht="15.75">
      <c r="A234" s="72">
        <v>230</v>
      </c>
      <c r="B234" s="165">
        <v>230</v>
      </c>
      <c r="C234" s="278">
        <v>36.15</v>
      </c>
      <c r="D234" s="157"/>
      <c r="F234" s="76"/>
      <c r="G234" s="75"/>
      <c r="H234" s="75"/>
      <c r="M234" s="80"/>
    </row>
    <row r="235" spans="1:13" ht="15.75">
      <c r="A235" s="72">
        <v>231</v>
      </c>
      <c r="B235" s="165">
        <v>231</v>
      </c>
      <c r="C235" s="278">
        <v>36.450000000000003</v>
      </c>
      <c r="D235" s="157"/>
      <c r="F235" s="76"/>
      <c r="G235" s="75"/>
      <c r="H235" s="75"/>
      <c r="M235" s="80"/>
    </row>
    <row r="236" spans="1:13" ht="15.75">
      <c r="A236" s="72">
        <v>232</v>
      </c>
      <c r="B236" s="165">
        <v>232</v>
      </c>
      <c r="C236" s="278">
        <v>36.76</v>
      </c>
      <c r="D236" s="157"/>
      <c r="F236" s="76"/>
      <c r="G236" s="75"/>
      <c r="H236" s="75"/>
      <c r="M236" s="80"/>
    </row>
    <row r="237" spans="1:13" ht="15.75">
      <c r="A237" s="72">
        <v>233</v>
      </c>
      <c r="B237" s="165">
        <v>233</v>
      </c>
      <c r="C237" s="278">
        <v>37.26</v>
      </c>
      <c r="D237" s="157"/>
      <c r="F237" s="76"/>
      <c r="G237" s="75"/>
      <c r="H237" s="75"/>
      <c r="M237" s="80"/>
    </row>
    <row r="238" spans="1:13" ht="15.75">
      <c r="A238" s="72">
        <v>234</v>
      </c>
      <c r="B238" s="165">
        <v>234</v>
      </c>
      <c r="C238" s="278">
        <v>37.19</v>
      </c>
      <c r="D238" s="157"/>
      <c r="F238" s="76"/>
      <c r="G238" s="75"/>
      <c r="H238" s="75"/>
      <c r="M238" s="80"/>
    </row>
    <row r="239" spans="1:13" ht="15.75">
      <c r="A239" s="72">
        <v>235</v>
      </c>
      <c r="B239" s="165">
        <v>235</v>
      </c>
      <c r="C239" s="278">
        <v>37.46</v>
      </c>
      <c r="D239" s="157"/>
      <c r="F239" s="76"/>
      <c r="G239" s="75"/>
      <c r="H239" s="75"/>
      <c r="M239" s="80"/>
    </row>
    <row r="240" spans="1:13" ht="15.75">
      <c r="A240" s="72">
        <v>236</v>
      </c>
      <c r="B240" s="165">
        <v>236</v>
      </c>
      <c r="C240" s="278">
        <v>36.39</v>
      </c>
      <c r="D240" s="157"/>
      <c r="F240" s="76"/>
      <c r="G240" s="75"/>
      <c r="H240" s="75"/>
      <c r="M240" s="80"/>
    </row>
    <row r="241" spans="1:13" ht="15.75">
      <c r="A241" s="72">
        <v>237</v>
      </c>
      <c r="B241" s="165">
        <v>237</v>
      </c>
      <c r="C241" s="278">
        <v>36.53</v>
      </c>
      <c r="D241" s="157"/>
      <c r="F241" s="76"/>
      <c r="G241" s="75"/>
      <c r="H241" s="75"/>
      <c r="M241" s="80"/>
    </row>
    <row r="242" spans="1:13" ht="15.75">
      <c r="A242" s="72">
        <v>238</v>
      </c>
      <c r="B242" s="165">
        <v>238</v>
      </c>
      <c r="C242" s="278">
        <v>36.6</v>
      </c>
      <c r="D242" s="157"/>
      <c r="F242" s="76"/>
      <c r="G242" s="75"/>
      <c r="H242" s="75"/>
      <c r="M242" s="80"/>
    </row>
    <row r="243" spans="1:13" ht="15.75">
      <c r="A243" s="72">
        <v>239</v>
      </c>
      <c r="B243" s="165">
        <v>239</v>
      </c>
      <c r="C243" s="278">
        <v>36.47</v>
      </c>
      <c r="D243" s="157"/>
      <c r="F243" s="76"/>
      <c r="G243" s="75"/>
      <c r="H243" s="75"/>
      <c r="M243" s="80"/>
    </row>
    <row r="244" spans="1:13" ht="15.75">
      <c r="A244" s="72">
        <v>240</v>
      </c>
      <c r="B244" s="165">
        <v>240</v>
      </c>
      <c r="C244" s="278">
        <v>36.479999999999997</v>
      </c>
      <c r="D244" s="157"/>
      <c r="F244" s="76"/>
      <c r="G244" s="75"/>
      <c r="H244" s="75"/>
      <c r="M244" s="80"/>
    </row>
    <row r="245" spans="1:13" ht="15.75">
      <c r="A245" s="72">
        <v>241</v>
      </c>
      <c r="B245" s="165">
        <v>241</v>
      </c>
      <c r="C245" s="278">
        <v>36.880000000000003</v>
      </c>
      <c r="D245" s="157"/>
      <c r="F245" s="76"/>
      <c r="G245" s="75"/>
      <c r="H245" s="75"/>
      <c r="M245" s="80"/>
    </row>
    <row r="246" spans="1:13" ht="15.75">
      <c r="A246" s="72">
        <v>242</v>
      </c>
      <c r="B246" s="165">
        <v>242</v>
      </c>
      <c r="C246" s="278">
        <v>36.9</v>
      </c>
      <c r="D246" s="157"/>
      <c r="F246" s="76"/>
      <c r="G246" s="75"/>
      <c r="H246" s="75"/>
      <c r="M246" s="80"/>
    </row>
    <row r="247" spans="1:13" ht="15.75">
      <c r="A247" s="72">
        <v>243</v>
      </c>
      <c r="B247" s="165">
        <v>243</v>
      </c>
      <c r="C247" s="278">
        <v>36.61</v>
      </c>
      <c r="D247" s="157"/>
      <c r="F247" s="76"/>
      <c r="G247" s="75"/>
      <c r="H247" s="75"/>
      <c r="M247" s="80"/>
    </row>
    <row r="248" spans="1:13" ht="15.75">
      <c r="A248" s="72">
        <v>244</v>
      </c>
      <c r="B248" s="165">
        <v>244</v>
      </c>
      <c r="C248" s="278">
        <v>37.46</v>
      </c>
      <c r="D248" s="157"/>
      <c r="F248" s="76"/>
      <c r="G248" s="75"/>
      <c r="H248" s="75"/>
      <c r="M248" s="80"/>
    </row>
    <row r="249" spans="1:13" ht="15.75">
      <c r="A249" s="72">
        <v>245</v>
      </c>
      <c r="B249" s="165">
        <v>245</v>
      </c>
      <c r="C249" s="278">
        <v>37.11</v>
      </c>
      <c r="D249" s="157"/>
      <c r="F249" s="76"/>
      <c r="G249" s="75"/>
      <c r="H249" s="75"/>
      <c r="M249" s="80"/>
    </row>
    <row r="250" spans="1:13" ht="15.75">
      <c r="A250" s="72">
        <v>246</v>
      </c>
      <c r="B250" s="165">
        <v>246</v>
      </c>
      <c r="C250" s="278">
        <v>36.96</v>
      </c>
      <c r="D250" s="157"/>
      <c r="F250" s="76"/>
      <c r="G250" s="75"/>
      <c r="H250" s="75"/>
      <c r="M250" s="80"/>
    </row>
    <row r="251" spans="1:13" ht="15.75">
      <c r="A251" s="72">
        <v>247</v>
      </c>
      <c r="B251" s="165">
        <v>247</v>
      </c>
      <c r="C251" s="278">
        <v>35.549999999999997</v>
      </c>
      <c r="D251" s="157"/>
      <c r="F251" s="76"/>
      <c r="G251" s="75"/>
      <c r="H251" s="75"/>
      <c r="M251" s="80"/>
    </row>
    <row r="252" spans="1:13" ht="15.75">
      <c r="A252" s="72">
        <v>248</v>
      </c>
      <c r="B252" s="165">
        <v>248</v>
      </c>
      <c r="C252" s="278">
        <v>37.299999999999997</v>
      </c>
      <c r="D252" s="157"/>
      <c r="F252" s="76"/>
      <c r="G252" s="75"/>
      <c r="H252" s="75"/>
      <c r="M252" s="80"/>
    </row>
    <row r="253" spans="1:13" ht="15.75">
      <c r="A253" s="72">
        <v>249</v>
      </c>
      <c r="B253" s="165">
        <v>249</v>
      </c>
      <c r="C253" s="278">
        <v>37.65</v>
      </c>
      <c r="D253" s="157"/>
      <c r="F253" s="76"/>
      <c r="G253" s="75"/>
      <c r="H253" s="77"/>
      <c r="M253" s="80"/>
    </row>
    <row r="254" spans="1:13" ht="15.75">
      <c r="A254" s="72">
        <v>250</v>
      </c>
      <c r="B254" s="165">
        <v>250</v>
      </c>
      <c r="C254" s="278">
        <v>37.53</v>
      </c>
      <c r="D254" s="157"/>
      <c r="F254" s="76"/>
      <c r="G254" s="75"/>
      <c r="H254" s="77"/>
      <c r="M254" s="80"/>
    </row>
    <row r="255" spans="1:13" ht="15.75">
      <c r="A255" s="72">
        <v>251</v>
      </c>
      <c r="B255" s="165">
        <v>251</v>
      </c>
      <c r="C255" s="278">
        <v>36.39</v>
      </c>
      <c r="D255" s="157"/>
      <c r="F255" s="76"/>
      <c r="G255" s="75"/>
      <c r="H255" s="77"/>
      <c r="M255" s="80"/>
    </row>
    <row r="256" spans="1:13" ht="15.75">
      <c r="A256" s="72">
        <v>252</v>
      </c>
      <c r="B256" s="165">
        <v>252</v>
      </c>
      <c r="C256" s="278">
        <v>37.090000000000003</v>
      </c>
      <c r="D256" s="157"/>
      <c r="F256" s="76"/>
      <c r="G256" s="75"/>
      <c r="H256" s="77"/>
      <c r="M256" s="80"/>
    </row>
    <row r="257" spans="1:13" ht="15.75">
      <c r="A257" s="72">
        <v>253</v>
      </c>
      <c r="B257" s="165">
        <v>253</v>
      </c>
      <c r="C257" s="278">
        <v>37.03</v>
      </c>
      <c r="D257" s="157"/>
      <c r="F257" s="76"/>
      <c r="G257" s="75"/>
      <c r="H257" s="77"/>
      <c r="M257" s="80"/>
    </row>
    <row r="258" spans="1:13" ht="15.75">
      <c r="A258" s="72">
        <v>254</v>
      </c>
      <c r="B258" s="165">
        <v>254</v>
      </c>
      <c r="C258" s="278">
        <v>37.08</v>
      </c>
      <c r="D258" s="157"/>
      <c r="F258" s="76"/>
      <c r="G258" s="75"/>
      <c r="H258" s="77"/>
      <c r="M258" s="80"/>
    </row>
    <row r="259" spans="1:13" ht="15.75">
      <c r="A259" s="72">
        <v>255</v>
      </c>
      <c r="B259" s="165">
        <v>255</v>
      </c>
      <c r="C259" s="278">
        <v>36.75</v>
      </c>
      <c r="D259" s="157"/>
      <c r="F259" s="76"/>
      <c r="G259" s="75"/>
      <c r="M259" s="80"/>
    </row>
    <row r="260" spans="1:13" ht="15.75">
      <c r="A260" s="72">
        <v>256</v>
      </c>
      <c r="B260" s="165">
        <v>256</v>
      </c>
      <c r="C260" s="278">
        <v>37.51</v>
      </c>
      <c r="D260" s="157"/>
      <c r="F260" s="76"/>
      <c r="G260" s="75"/>
      <c r="M260" s="80"/>
    </row>
    <row r="261" spans="1:13" ht="15.75">
      <c r="A261" s="72">
        <v>257</v>
      </c>
      <c r="B261" s="165">
        <v>257</v>
      </c>
      <c r="C261" s="278">
        <v>37.049999999999997</v>
      </c>
      <c r="D261" s="157"/>
      <c r="F261" s="76"/>
      <c r="G261" s="75"/>
      <c r="M261" s="80"/>
    </row>
    <row r="262" spans="1:13" ht="15.75">
      <c r="A262" s="72">
        <v>258</v>
      </c>
      <c r="B262" s="165">
        <v>258</v>
      </c>
      <c r="C262" s="278">
        <v>34.69</v>
      </c>
      <c r="D262" s="157"/>
      <c r="M262" s="80"/>
    </row>
    <row r="263" spans="1:13" ht="15.75">
      <c r="A263" s="72">
        <v>259</v>
      </c>
      <c r="B263" s="165">
        <v>259</v>
      </c>
      <c r="C263" s="278">
        <v>36.369999999999997</v>
      </c>
      <c r="D263" s="157"/>
      <c r="M263" s="80"/>
    </row>
    <row r="264" spans="1:13" ht="15.75">
      <c r="A264" s="72">
        <v>260</v>
      </c>
      <c r="B264" s="165">
        <v>260</v>
      </c>
      <c r="C264" s="278">
        <v>37.15</v>
      </c>
      <c r="D264" s="157"/>
      <c r="M264" s="80"/>
    </row>
    <row r="265" spans="1:13" ht="15.75">
      <c r="A265" s="72">
        <v>261</v>
      </c>
      <c r="B265" s="165">
        <v>261</v>
      </c>
      <c r="C265" s="278">
        <v>36.39</v>
      </c>
      <c r="D265" s="157"/>
      <c r="M265" s="80"/>
    </row>
    <row r="266" spans="1:13" ht="15.75">
      <c r="A266" s="72">
        <v>262</v>
      </c>
      <c r="B266" s="165">
        <v>262</v>
      </c>
      <c r="C266" s="278">
        <v>36.020000000000003</v>
      </c>
      <c r="D266" s="157"/>
      <c r="M266" s="80"/>
    </row>
    <row r="267" spans="1:13" ht="15.75">
      <c r="A267" s="72">
        <v>263</v>
      </c>
      <c r="B267" s="165">
        <v>263</v>
      </c>
      <c r="C267" s="278">
        <v>36.520000000000003</v>
      </c>
      <c r="D267" s="157"/>
      <c r="M267" s="80"/>
    </row>
    <row r="268" spans="1:13" ht="15.75">
      <c r="A268" s="72">
        <v>264</v>
      </c>
      <c r="B268" s="165">
        <v>264</v>
      </c>
      <c r="C268" s="278">
        <v>36.619999999999997</v>
      </c>
      <c r="D268" s="157"/>
      <c r="M268" s="80"/>
    </row>
    <row r="269" spans="1:13" ht="15.75">
      <c r="A269" s="72">
        <v>265</v>
      </c>
      <c r="B269" s="165">
        <v>265</v>
      </c>
      <c r="C269" s="278">
        <v>36.799999999999997</v>
      </c>
      <c r="D269" s="157"/>
      <c r="M269" s="80"/>
    </row>
    <row r="270" spans="1:13" ht="15.75">
      <c r="A270" s="72">
        <v>266</v>
      </c>
      <c r="B270" s="165">
        <v>266</v>
      </c>
      <c r="C270" s="278">
        <v>34.909999999999997</v>
      </c>
      <c r="D270" s="157"/>
      <c r="M270" s="80"/>
    </row>
    <row r="271" spans="1:13" ht="15.75">
      <c r="A271" s="72">
        <v>267</v>
      </c>
      <c r="B271" s="165">
        <v>267</v>
      </c>
      <c r="C271" s="278">
        <v>37.049999999999997</v>
      </c>
      <c r="D271" s="157"/>
      <c r="M271" s="80"/>
    </row>
    <row r="272" spans="1:13" ht="15.75">
      <c r="A272" s="72">
        <v>268</v>
      </c>
      <c r="B272" s="165">
        <v>268</v>
      </c>
      <c r="C272" s="278">
        <v>36.28</v>
      </c>
      <c r="D272" s="157"/>
      <c r="M272" s="80"/>
    </row>
    <row r="273" spans="1:13" ht="15.75">
      <c r="A273" s="72">
        <v>269</v>
      </c>
      <c r="B273" s="165">
        <v>269</v>
      </c>
      <c r="C273" s="278">
        <v>36.67</v>
      </c>
      <c r="D273" s="157"/>
      <c r="M273" s="80"/>
    </row>
    <row r="274" spans="1:13" ht="15.75">
      <c r="A274" s="72">
        <v>270</v>
      </c>
      <c r="B274" s="165">
        <v>270</v>
      </c>
      <c r="C274" s="278"/>
      <c r="D274" s="157"/>
      <c r="M274" s="80"/>
    </row>
    <row r="275" spans="1:13" ht="15.75">
      <c r="A275" s="72">
        <v>271</v>
      </c>
      <c r="B275" s="165">
        <v>271</v>
      </c>
      <c r="C275" s="278"/>
      <c r="D275" s="157"/>
      <c r="M275" s="80"/>
    </row>
    <row r="276" spans="1:13" ht="15.75">
      <c r="A276" s="72">
        <v>272</v>
      </c>
      <c r="B276" s="165">
        <v>272</v>
      </c>
      <c r="C276" s="278"/>
      <c r="D276" s="157"/>
      <c r="M276" s="80"/>
    </row>
    <row r="277" spans="1:13" ht="15.75">
      <c r="A277" s="72">
        <v>273</v>
      </c>
      <c r="B277" s="165">
        <v>273</v>
      </c>
      <c r="C277" s="278"/>
      <c r="D277" s="157"/>
      <c r="M277" s="80"/>
    </row>
    <row r="278" spans="1:13" ht="15.75">
      <c r="A278" s="72">
        <v>274</v>
      </c>
      <c r="B278" s="165">
        <v>274</v>
      </c>
      <c r="C278" s="278"/>
      <c r="D278" s="157"/>
      <c r="M278" s="80"/>
    </row>
    <row r="279" spans="1:13" ht="15.75">
      <c r="A279" s="72">
        <v>275</v>
      </c>
      <c r="B279" s="165">
        <v>275</v>
      </c>
      <c r="C279" s="278"/>
      <c r="D279" s="157"/>
      <c r="M279" s="80"/>
    </row>
    <row r="280" spans="1:13" ht="15.75">
      <c r="A280" s="72">
        <v>276</v>
      </c>
      <c r="B280" s="165">
        <v>276</v>
      </c>
      <c r="C280" s="278"/>
      <c r="D280" s="157"/>
      <c r="M280" s="80"/>
    </row>
    <row r="281" spans="1:13" ht="15.75">
      <c r="A281" s="72">
        <v>277</v>
      </c>
      <c r="B281" s="165">
        <v>277</v>
      </c>
      <c r="C281" s="278"/>
      <c r="D281" s="157"/>
      <c r="M281" s="80"/>
    </row>
    <row r="282" spans="1:13" ht="15.75">
      <c r="A282" s="72">
        <v>278</v>
      </c>
      <c r="B282" s="165">
        <v>278</v>
      </c>
      <c r="C282" s="278"/>
      <c r="D282" s="157"/>
      <c r="M282" s="80"/>
    </row>
    <row r="283" spans="1:13" ht="15.75">
      <c r="A283" s="72">
        <v>279</v>
      </c>
      <c r="B283" s="165">
        <v>279</v>
      </c>
      <c r="C283" s="278"/>
      <c r="D283" s="157"/>
      <c r="M283" s="80"/>
    </row>
    <row r="284" spans="1:13" ht="15.75">
      <c r="A284" s="72">
        <v>280</v>
      </c>
      <c r="B284" s="329" t="s">
        <v>189</v>
      </c>
      <c r="C284" s="278">
        <v>36.630000000000003</v>
      </c>
      <c r="D284" s="157"/>
    </row>
    <row r="285" spans="1:13" ht="15.75">
      <c r="A285" s="72">
        <v>281</v>
      </c>
      <c r="B285" s="329" t="s">
        <v>190</v>
      </c>
      <c r="C285" s="278">
        <v>36.96</v>
      </c>
      <c r="D285" s="157"/>
    </row>
    <row r="286" spans="1:13" ht="15.75">
      <c r="A286" s="72">
        <v>282</v>
      </c>
      <c r="B286" s="329" t="s">
        <v>191</v>
      </c>
      <c r="C286" s="278">
        <v>37.29</v>
      </c>
      <c r="D286" s="157"/>
    </row>
    <row r="287" spans="1:13" ht="15.75">
      <c r="A287" s="72">
        <v>283</v>
      </c>
      <c r="B287" s="329" t="s">
        <v>192</v>
      </c>
      <c r="C287" s="278">
        <v>37.090000000000003</v>
      </c>
      <c r="D287" s="157"/>
    </row>
    <row r="288" spans="1:13" ht="15.75">
      <c r="A288" s="72">
        <v>284</v>
      </c>
      <c r="B288" s="329" t="s">
        <v>193</v>
      </c>
      <c r="C288" s="141">
        <v>37.479999999999997</v>
      </c>
      <c r="D288" s="157"/>
    </row>
    <row r="289" spans="1:4" ht="15.75">
      <c r="A289" s="72">
        <v>285</v>
      </c>
      <c r="B289" s="329" t="s">
        <v>194</v>
      </c>
      <c r="C289" s="141">
        <v>37.200000000000003</v>
      </c>
      <c r="D289" s="157"/>
    </row>
    <row r="290" spans="1:4" ht="15.75">
      <c r="A290" s="72">
        <v>286</v>
      </c>
      <c r="B290" s="329" t="s">
        <v>195</v>
      </c>
      <c r="C290" s="141">
        <v>37.01</v>
      </c>
      <c r="D290" s="157"/>
    </row>
    <row r="291" spans="1:4" ht="15.75">
      <c r="A291" s="72">
        <v>287</v>
      </c>
      <c r="B291" s="329" t="s">
        <v>196</v>
      </c>
      <c r="C291" s="141">
        <v>36.909999999999997</v>
      </c>
      <c r="D291" s="157" t="s">
        <v>198</v>
      </c>
    </row>
    <row r="292" spans="1:4" ht="15.75">
      <c r="A292" s="72">
        <v>288</v>
      </c>
      <c r="B292" s="329" t="s">
        <v>197</v>
      </c>
      <c r="C292" s="141">
        <v>36.4</v>
      </c>
      <c r="D292" s="157" t="s">
        <v>198</v>
      </c>
    </row>
    <row r="293" spans="1:4" ht="15.75">
      <c r="A293" s="72">
        <v>289</v>
      </c>
      <c r="B293" s="329"/>
      <c r="C293" s="141"/>
      <c r="D293" s="157"/>
    </row>
    <row r="294" spans="1:4" ht="15.75">
      <c r="A294" s="72">
        <v>290</v>
      </c>
      <c r="B294" s="329"/>
      <c r="C294" s="141"/>
      <c r="D294" s="157"/>
    </row>
    <row r="295" spans="1:4" ht="15.75">
      <c r="A295" s="72">
        <v>291</v>
      </c>
      <c r="B295" s="329"/>
      <c r="C295" s="141"/>
      <c r="D295" s="157"/>
    </row>
    <row r="296" spans="1:4" ht="15.75">
      <c r="A296" s="72">
        <v>292</v>
      </c>
      <c r="B296" s="329"/>
      <c r="C296" s="141"/>
      <c r="D296" s="157"/>
    </row>
    <row r="297" spans="1:4">
      <c r="A297" s="72">
        <v>293</v>
      </c>
      <c r="B297" s="156"/>
      <c r="C297" s="141"/>
      <c r="D297" s="157"/>
    </row>
    <row r="298" spans="1:4">
      <c r="A298" s="72">
        <v>294</v>
      </c>
      <c r="B298" s="156"/>
      <c r="C298" s="141"/>
      <c r="D298" s="157"/>
    </row>
    <row r="299" spans="1:4">
      <c r="A299" s="72">
        <v>295</v>
      </c>
      <c r="B299" s="156"/>
      <c r="C299" s="141"/>
      <c r="D299" s="157"/>
    </row>
    <row r="300" spans="1:4">
      <c r="A300" s="72">
        <v>296</v>
      </c>
      <c r="B300" s="156"/>
      <c r="C300" s="141"/>
      <c r="D300" s="157"/>
    </row>
    <row r="301" spans="1:4">
      <c r="B301" s="71"/>
    </row>
    <row r="302" spans="1:4">
      <c r="B302" s="71"/>
    </row>
    <row r="303" spans="1:4">
      <c r="B303" s="71"/>
    </row>
    <row r="304" spans="1:4">
      <c r="B304" s="71"/>
    </row>
    <row r="305" spans="2:5">
      <c r="B305" s="71"/>
    </row>
    <row r="306" spans="2:5">
      <c r="B306" s="71"/>
    </row>
    <row r="307" spans="2:5">
      <c r="B307" s="71"/>
    </row>
    <row r="308" spans="2:5">
      <c r="B308" s="71"/>
    </row>
    <row r="309" spans="2:5">
      <c r="B309" s="71"/>
    </row>
    <row r="310" spans="2:5">
      <c r="B310" s="71"/>
    </row>
    <row r="311" spans="2:5">
      <c r="B311" s="71"/>
    </row>
    <row r="312" spans="2:5">
      <c r="B312" s="71"/>
    </row>
    <row r="313" spans="2:5">
      <c r="B313" s="71"/>
    </row>
    <row r="314" spans="2:5">
      <c r="B314" s="71"/>
    </row>
    <row r="315" spans="2:5">
      <c r="B315" s="71"/>
    </row>
    <row r="316" spans="2:5">
      <c r="B316" s="71"/>
      <c r="D316" s="74"/>
      <c r="E316" s="74"/>
    </row>
    <row r="317" spans="2:5">
      <c r="B317" s="71"/>
      <c r="D317" s="74"/>
      <c r="E317" s="74"/>
    </row>
    <row r="318" spans="2:5">
      <c r="B318" s="71"/>
    </row>
    <row r="319" spans="2:5">
      <c r="B319" s="71"/>
    </row>
    <row r="320" spans="2:5">
      <c r="B320" s="71"/>
    </row>
    <row r="321" spans="2:2">
      <c r="B321" s="71"/>
    </row>
    <row r="322" spans="2:2">
      <c r="B322" s="71"/>
    </row>
    <row r="323" spans="2:2">
      <c r="B323" s="71"/>
    </row>
    <row r="324" spans="2:2">
      <c r="B324" s="71"/>
    </row>
    <row r="325" spans="2:2">
      <c r="B325" s="71"/>
    </row>
    <row r="326" spans="2:2">
      <c r="B326" s="71"/>
    </row>
    <row r="327" spans="2:2">
      <c r="B327" s="71"/>
    </row>
    <row r="328" spans="2:2">
      <c r="B328" s="71"/>
    </row>
    <row r="329" spans="2:2">
      <c r="B329" s="71"/>
    </row>
    <row r="330" spans="2:2">
      <c r="B330" s="71"/>
    </row>
    <row r="331" spans="2:2">
      <c r="B331" s="71"/>
    </row>
    <row r="332" spans="2:2">
      <c r="B332" s="71"/>
    </row>
    <row r="333" spans="2:2">
      <c r="B333" s="71"/>
    </row>
    <row r="334" spans="2:2">
      <c r="B334" s="71"/>
    </row>
    <row r="335" spans="2:2">
      <c r="B335" s="71"/>
    </row>
    <row r="336" spans="2:2">
      <c r="B336" s="71"/>
    </row>
    <row r="337" spans="2:2">
      <c r="B337" s="71"/>
    </row>
    <row r="338" spans="2:2">
      <c r="B338" s="71"/>
    </row>
    <row r="339" spans="2:2">
      <c r="B339" s="71"/>
    </row>
    <row r="340" spans="2:2">
      <c r="B340" s="71"/>
    </row>
    <row r="341" spans="2:2">
      <c r="B341" s="71"/>
    </row>
    <row r="342" spans="2:2">
      <c r="B342" s="71"/>
    </row>
    <row r="343" spans="2:2">
      <c r="B343" s="71"/>
    </row>
    <row r="344" spans="2:2">
      <c r="B344" s="71"/>
    </row>
    <row r="345" spans="2:2">
      <c r="B345" s="71"/>
    </row>
    <row r="346" spans="2:2">
      <c r="B346" s="71"/>
    </row>
    <row r="347" spans="2:2">
      <c r="B347" s="71"/>
    </row>
    <row r="348" spans="2:2">
      <c r="B348" s="71"/>
    </row>
    <row r="349" spans="2:2">
      <c r="B349" s="71"/>
    </row>
    <row r="350" spans="2:2">
      <c r="B350" s="71"/>
    </row>
    <row r="351" spans="2:2">
      <c r="B351" s="71"/>
    </row>
    <row r="352" spans="2:2">
      <c r="B352" s="71"/>
    </row>
    <row r="353" spans="2:2">
      <c r="B353" s="71"/>
    </row>
    <row r="354" spans="2:2">
      <c r="B354" s="71"/>
    </row>
    <row r="355" spans="2:2">
      <c r="B355" s="71"/>
    </row>
    <row r="356" spans="2:2">
      <c r="B356" s="71"/>
    </row>
    <row r="357" spans="2:2">
      <c r="B357" s="71"/>
    </row>
    <row r="358" spans="2:2">
      <c r="B358" s="71"/>
    </row>
    <row r="359" spans="2:2">
      <c r="B359" s="71"/>
    </row>
    <row r="360" spans="2:2">
      <c r="B360" s="71"/>
    </row>
    <row r="361" spans="2:2">
      <c r="B361" s="71"/>
    </row>
    <row r="362" spans="2:2">
      <c r="B362" s="71"/>
    </row>
    <row r="363" spans="2:2">
      <c r="B363" s="71"/>
    </row>
    <row r="364" spans="2:2">
      <c r="B364" s="71"/>
    </row>
    <row r="365" spans="2:2">
      <c r="B365" s="71"/>
    </row>
    <row r="366" spans="2:2">
      <c r="B366" s="71"/>
    </row>
    <row r="367" spans="2:2">
      <c r="B367" s="71"/>
    </row>
    <row r="368" spans="2:2">
      <c r="B368" s="71"/>
    </row>
    <row r="369" spans="2:2">
      <c r="B369" s="71"/>
    </row>
    <row r="370" spans="2:2">
      <c r="B370" s="71"/>
    </row>
    <row r="371" spans="2:2">
      <c r="B371" s="71"/>
    </row>
    <row r="372" spans="2:2">
      <c r="B372" s="71"/>
    </row>
    <row r="373" spans="2:2">
      <c r="B373" s="71"/>
    </row>
    <row r="374" spans="2:2">
      <c r="B374" s="71"/>
    </row>
    <row r="375" spans="2:2">
      <c r="B375" s="71"/>
    </row>
    <row r="376" spans="2:2">
      <c r="B376" s="71"/>
    </row>
    <row r="377" spans="2:2">
      <c r="B377" s="71"/>
    </row>
    <row r="378" spans="2:2">
      <c r="B378" s="71"/>
    </row>
    <row r="379" spans="2:2">
      <c r="B379" s="71"/>
    </row>
    <row r="380" spans="2:2">
      <c r="B380" s="71"/>
    </row>
    <row r="381" spans="2:2">
      <c r="B381" s="71"/>
    </row>
    <row r="382" spans="2:2">
      <c r="B382" s="71"/>
    </row>
    <row r="383" spans="2:2">
      <c r="B383" s="71"/>
    </row>
    <row r="384" spans="2:2">
      <c r="B384" s="71"/>
    </row>
    <row r="385" spans="2:2">
      <c r="B385" s="71"/>
    </row>
    <row r="386" spans="2:2">
      <c r="B386" s="71"/>
    </row>
    <row r="387" spans="2:2">
      <c r="B387" s="71"/>
    </row>
    <row r="388" spans="2:2">
      <c r="B388" s="71"/>
    </row>
    <row r="389" spans="2:2">
      <c r="B389" s="71"/>
    </row>
    <row r="390" spans="2:2">
      <c r="B390" s="71"/>
    </row>
    <row r="391" spans="2:2">
      <c r="B391" s="71"/>
    </row>
    <row r="392" spans="2:2">
      <c r="B392" s="71"/>
    </row>
    <row r="393" spans="2:2">
      <c r="B393" s="71"/>
    </row>
    <row r="394" spans="2:2">
      <c r="B394" s="71"/>
    </row>
    <row r="395" spans="2:2">
      <c r="B395" s="71"/>
    </row>
    <row r="396" spans="2:2">
      <c r="B396" s="71"/>
    </row>
    <row r="397" spans="2:2">
      <c r="B397" s="71"/>
    </row>
    <row r="398" spans="2:2">
      <c r="B398" s="71"/>
    </row>
    <row r="399" spans="2:2">
      <c r="B399" s="71"/>
    </row>
    <row r="400" spans="2:2">
      <c r="B400" s="71"/>
    </row>
    <row r="401" spans="2:2">
      <c r="B401" s="71"/>
    </row>
    <row r="402" spans="2:2">
      <c r="B402" s="71"/>
    </row>
    <row r="403" spans="2:2">
      <c r="B403" s="71"/>
    </row>
    <row r="404" spans="2:2">
      <c r="B404" s="71"/>
    </row>
    <row r="405" spans="2:2">
      <c r="B405" s="71"/>
    </row>
    <row r="406" spans="2:2">
      <c r="B406" s="71"/>
    </row>
    <row r="407" spans="2:2">
      <c r="B407" s="71"/>
    </row>
    <row r="408" spans="2:2">
      <c r="B408" s="71"/>
    </row>
    <row r="409" spans="2:2">
      <c r="B409" s="71"/>
    </row>
    <row r="410" spans="2:2">
      <c r="B410" s="71"/>
    </row>
    <row r="411" spans="2:2">
      <c r="B411" s="71"/>
    </row>
    <row r="412" spans="2:2">
      <c r="B412" s="71"/>
    </row>
    <row r="413" spans="2:2">
      <c r="B413" s="71"/>
    </row>
    <row r="414" spans="2:2">
      <c r="B414" s="71"/>
    </row>
    <row r="415" spans="2:2">
      <c r="B415" s="71"/>
    </row>
    <row r="416" spans="2:2">
      <c r="B416" s="71"/>
    </row>
    <row r="417" spans="2:2">
      <c r="B417" s="71"/>
    </row>
    <row r="418" spans="2:2">
      <c r="B418" s="71"/>
    </row>
    <row r="419" spans="2:2">
      <c r="B419" s="71"/>
    </row>
    <row r="420" spans="2:2">
      <c r="B420" s="71"/>
    </row>
    <row r="421" spans="2:2">
      <c r="B421" s="71"/>
    </row>
    <row r="422" spans="2:2">
      <c r="B422" s="71"/>
    </row>
    <row r="423" spans="2:2">
      <c r="B423" s="71"/>
    </row>
    <row r="424" spans="2:2">
      <c r="B424" s="70"/>
    </row>
    <row r="425" spans="2:2">
      <c r="B425" s="70"/>
    </row>
    <row r="426" spans="2:2">
      <c r="B426" s="70"/>
    </row>
    <row r="427" spans="2:2">
      <c r="B427" s="70"/>
    </row>
  </sheetData>
  <mergeCells count="4">
    <mergeCell ref="B2:D3"/>
    <mergeCell ref="J2:L2"/>
    <mergeCell ref="F19:H19"/>
    <mergeCell ref="F2:H2"/>
  </mergeCells>
  <phoneticPr fontId="15" type="noConversion"/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F0DC72-9705-4572-B9E3-85FCE38BD0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9772B2-5273-44C5-9BBD-C94F4005D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1623B-8695-4357-AE4B-D27ADD9E1F7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3dac3852-c40f-424b-91f3-2b0e1d122f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Liner Tally NFQ20-6</vt:lpstr>
      <vt:lpstr>Deck Tally</vt:lpstr>
      <vt:lpstr>'Liner Tally NFQ20-6'!EKIKO2</vt:lpstr>
      <vt:lpstr>'Liner Tally NFQ20-6'!Заголовки_для_печати</vt:lpstr>
      <vt:lpstr>'Liner Tally NFQ20-6'!Область_печати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 Dozo</dc:creator>
  <cp:keywords/>
  <dc:description/>
  <cp:lastModifiedBy>Maxim Kiselev</cp:lastModifiedBy>
  <cp:revision/>
  <cp:lastPrinted>2025-03-04T08:26:03Z</cp:lastPrinted>
  <dcterms:created xsi:type="dcterms:W3CDTF">1998-08-22T05:18:06Z</dcterms:created>
  <dcterms:modified xsi:type="dcterms:W3CDTF">2026-01-25T16:47:25Z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b8670-7aa7-46fe-bc5d-db51cd81d267_Enabled">
    <vt:lpwstr>true</vt:lpwstr>
  </property>
  <property fmtid="{D5CDD505-2E9C-101B-9397-08002B2CF9AE}" pid="3" name="MSIP_Label_5e9b8670-7aa7-46fe-bc5d-db51cd81d267_SetDate">
    <vt:lpwstr>2023-10-20T05:24:44Z</vt:lpwstr>
  </property>
  <property fmtid="{D5CDD505-2E9C-101B-9397-08002B2CF9AE}" pid="4" name="MSIP_Label_5e9b8670-7aa7-46fe-bc5d-db51cd81d267_Method">
    <vt:lpwstr>Standard</vt:lpwstr>
  </property>
  <property fmtid="{D5CDD505-2E9C-101B-9397-08002B2CF9AE}" pid="5" name="MSIP_Label_5e9b8670-7aa7-46fe-bc5d-db51cd81d267_Name">
    <vt:lpwstr>Baker Hughes Confidential - Not Encrypted</vt:lpwstr>
  </property>
  <property fmtid="{D5CDD505-2E9C-101B-9397-08002B2CF9AE}" pid="6" name="MSIP_Label_5e9b8670-7aa7-46fe-bc5d-db51cd81d267_SiteId">
    <vt:lpwstr>d584a4b7-b1f2-4714-a578-fd4d43c146a6</vt:lpwstr>
  </property>
  <property fmtid="{D5CDD505-2E9C-101B-9397-08002B2CF9AE}" pid="7" name="MSIP_Label_5e9b8670-7aa7-46fe-bc5d-db51cd81d267_ActionId">
    <vt:lpwstr>7b83d71b-6ee7-4d8f-998c-1d50d5a78917</vt:lpwstr>
  </property>
  <property fmtid="{D5CDD505-2E9C-101B-9397-08002B2CF9AE}" pid="8" name="MSIP_Label_5e9b8670-7aa7-46fe-bc5d-db51cd81d267_ContentBits">
    <vt:lpwstr>2</vt:lpwstr>
  </property>
  <property fmtid="{D5CDD505-2E9C-101B-9397-08002B2CF9AE}" pid="9" name="ContentTypeId">
    <vt:lpwstr>0x010100BE6A0DC3B56C494E81B01879E1F078A5</vt:lpwstr>
  </property>
  <property fmtid="{D5CDD505-2E9C-101B-9397-08002B2CF9AE}" pid="10" name="MSIP_Label_668fbde5-0dd0-43d5-aca2-2bbc289e3948_Enabled">
    <vt:lpwstr>true</vt:lpwstr>
  </property>
  <property fmtid="{D5CDD505-2E9C-101B-9397-08002B2CF9AE}" pid="11" name="MSIP_Label_668fbde5-0dd0-43d5-aca2-2bbc289e3948_SetDate">
    <vt:lpwstr>2025-03-03T05:48:13Z</vt:lpwstr>
  </property>
  <property fmtid="{D5CDD505-2E9C-101B-9397-08002B2CF9AE}" pid="12" name="MSIP_Label_668fbde5-0dd0-43d5-aca2-2bbc289e3948_Method">
    <vt:lpwstr>Privileged</vt:lpwstr>
  </property>
  <property fmtid="{D5CDD505-2E9C-101B-9397-08002B2CF9AE}" pid="13" name="MSIP_Label_668fbde5-0dd0-43d5-aca2-2bbc289e3948_Name">
    <vt:lpwstr>668fbde5-0dd0-43d5-aca2-2bbc289e3948</vt:lpwstr>
  </property>
  <property fmtid="{D5CDD505-2E9C-101B-9397-08002B2CF9AE}" pid="14" name="MSIP_Label_668fbde5-0dd0-43d5-aca2-2bbc289e3948_SiteId">
    <vt:lpwstr>de2c0330-f2e8-4149-a927-0c5a8592f0da</vt:lpwstr>
  </property>
  <property fmtid="{D5CDD505-2E9C-101B-9397-08002B2CF9AE}" pid="15" name="MSIP_Label_668fbde5-0dd0-43d5-aca2-2bbc289e3948_ActionId">
    <vt:lpwstr>5ad9c8ad-8464-48c0-a250-3d09c9443101</vt:lpwstr>
  </property>
  <property fmtid="{D5CDD505-2E9C-101B-9397-08002B2CF9AE}" pid="16" name="MSIP_Label_668fbde5-0dd0-43d5-aca2-2bbc289e3948_ContentBits">
    <vt:lpwstr>1</vt:lpwstr>
  </property>
</Properties>
</file>