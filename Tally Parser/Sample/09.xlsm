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5.xml" ContentType="application/vnd.openxmlformats-officedocument.drawing+xml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drawings/drawing2.xml" ContentType="application/vnd.openxmlformats-officedocument.drawing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ate1904="1" defaultThemeVersion="164011"/>
  <mc:AlternateContent xmlns:mc="http://schemas.openxmlformats.org/markup-compatibility/2006">
    <mc:Choice Requires="x15">
      <x15ac:absPath xmlns:x15ac="http://schemas.microsoft.com/office/spreadsheetml/2010/11/ac" url="C:\Users\bounmoh\Desktop\QG ENTICER NFQ17-9\NFQ17-9 Upper Completion\From Company man\"/>
    </mc:Choice>
  </mc:AlternateContent>
  <bookViews>
    <workbookView xWindow="0" yWindow="0" windowWidth="19200" windowHeight="7050" tabRatio="774" firstSheet="1" activeTab="1"/>
  </bookViews>
  <sheets>
    <sheet name="xxxxxx" sheetId="1" state="veryHidden" r:id="rId1"/>
    <sheet name="PRO TBG FINAL - TALLY" sheetId="15" r:id="rId2"/>
    <sheet name="PRO TBG AS RUN - TALLY" sheetId="14" r:id="rId3"/>
    <sheet name="SPACE OUT Calculation" sheetId="9" r:id="rId4"/>
    <sheet name="7&quot; 26# Deck Tally" sheetId="8" r:id="rId5"/>
    <sheet name="QG - TALLY (DRAFT As-Run)" sheetId="11" state="hidden" r:id="rId6"/>
  </sheets>
  <definedNames>
    <definedName name="EKIKO2" localSheetId="2">'PRO TBG AS RUN - TALLY'!$F$3</definedName>
    <definedName name="EKIKO2" localSheetId="1">'PRO TBG FINAL - TALLY'!$F$3</definedName>
    <definedName name="EKIKO2" localSheetId="5">'QG - TALLY (DRAFT As-Run)'!$E$3</definedName>
    <definedName name="EKIKO2" localSheetId="3">#REF!</definedName>
    <definedName name="EKIKO2">#REF!</definedName>
    <definedName name="_xlnm.Print_Area" localSheetId="2">'PRO TBG AS RUN - TALLY'!$A$1:$M$435</definedName>
    <definedName name="_xlnm.Print_Area" localSheetId="1">'PRO TBG FINAL - TALLY'!$A$1:$M$436</definedName>
    <definedName name="_xlnm.Print_Area" localSheetId="5">'QG - TALLY (DRAFT As-Run)'!$A$1:$L$369</definedName>
    <definedName name="_xlnm.Print_Area" localSheetId="3">'SPACE OUT Calculation'!$A$1:$AK$55</definedName>
    <definedName name="_xlnm.Print_Titles" localSheetId="2">'PRO TBG AS RUN - TALLY'!$10:$11</definedName>
    <definedName name="_xlnm.Print_Titles" localSheetId="1">'PRO TBG FINAL - TALLY'!$10:$11</definedName>
    <definedName name="_xlnm.Print_Titles" localSheetId="5">'QG - TALLY (DRAFT As-Run)'!$10:$11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04" i="14" l="1"/>
  <c r="S58" i="14" l="1"/>
  <c r="G429" i="15"/>
  <c r="G424" i="15"/>
  <c r="G425" i="15"/>
  <c r="G426" i="15"/>
  <c r="F426" i="15"/>
  <c r="F425" i="15"/>
  <c r="G428" i="15" l="1"/>
  <c r="F427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G372" i="15"/>
  <c r="G371" i="15"/>
  <c r="G370" i="15"/>
  <c r="G369" i="15"/>
  <c r="F367" i="15"/>
  <c r="E367" i="15"/>
  <c r="F366" i="15"/>
  <c r="E366" i="15"/>
  <c r="F365" i="15"/>
  <c r="E365" i="15"/>
  <c r="F364" i="15"/>
  <c r="E364" i="15"/>
  <c r="F363" i="15"/>
  <c r="E363" i="15"/>
  <c r="F362" i="15"/>
  <c r="E362" i="15"/>
  <c r="F361" i="15"/>
  <c r="E361" i="15"/>
  <c r="F360" i="15"/>
  <c r="E360" i="15"/>
  <c r="F359" i="15"/>
  <c r="E359" i="15"/>
  <c r="F358" i="15"/>
  <c r="E358" i="15"/>
  <c r="F357" i="15"/>
  <c r="E357" i="15"/>
  <c r="F356" i="15"/>
  <c r="E356" i="15"/>
  <c r="F355" i="15"/>
  <c r="E355" i="15"/>
  <c r="F354" i="15"/>
  <c r="E354" i="15"/>
  <c r="F353" i="15"/>
  <c r="E353" i="15"/>
  <c r="F352" i="15"/>
  <c r="E352" i="15"/>
  <c r="F351" i="15"/>
  <c r="E351" i="15"/>
  <c r="F350" i="15"/>
  <c r="E350" i="15"/>
  <c r="F349" i="15"/>
  <c r="E349" i="15"/>
  <c r="F348" i="15"/>
  <c r="E348" i="15"/>
  <c r="F347" i="15"/>
  <c r="E347" i="15"/>
  <c r="F346" i="15"/>
  <c r="E346" i="15"/>
  <c r="F345" i="15"/>
  <c r="E345" i="15"/>
  <c r="F344" i="15"/>
  <c r="E344" i="15"/>
  <c r="F343" i="15"/>
  <c r="E343" i="15"/>
  <c r="F342" i="15"/>
  <c r="E342" i="15"/>
  <c r="F341" i="15"/>
  <c r="E341" i="15"/>
  <c r="F340" i="15"/>
  <c r="E340" i="15"/>
  <c r="F339" i="15"/>
  <c r="E339" i="15"/>
  <c r="F338" i="15"/>
  <c r="E338" i="15"/>
  <c r="F337" i="15"/>
  <c r="E337" i="15"/>
  <c r="F336" i="15"/>
  <c r="E336" i="15"/>
  <c r="F335" i="15"/>
  <c r="E335" i="15"/>
  <c r="F334" i="15"/>
  <c r="E334" i="15"/>
  <c r="F333" i="15"/>
  <c r="E333" i="15"/>
  <c r="F332" i="15"/>
  <c r="E332" i="15"/>
  <c r="F331" i="15"/>
  <c r="E331" i="15"/>
  <c r="F330" i="15"/>
  <c r="E330" i="15"/>
  <c r="F329" i="15"/>
  <c r="E329" i="15"/>
  <c r="F328" i="15"/>
  <c r="E328" i="15"/>
  <c r="F327" i="15"/>
  <c r="E327" i="15"/>
  <c r="F326" i="15"/>
  <c r="E326" i="15"/>
  <c r="F325" i="15"/>
  <c r="E325" i="15"/>
  <c r="F324" i="15"/>
  <c r="E324" i="15"/>
  <c r="F323" i="15"/>
  <c r="E323" i="15"/>
  <c r="F322" i="15"/>
  <c r="E322" i="15"/>
  <c r="F321" i="15"/>
  <c r="E321" i="15"/>
  <c r="F320" i="15"/>
  <c r="E320" i="15"/>
  <c r="F319" i="15"/>
  <c r="E319" i="15"/>
  <c r="F318" i="15"/>
  <c r="E318" i="15"/>
  <c r="F317" i="15"/>
  <c r="E317" i="15"/>
  <c r="F316" i="15"/>
  <c r="E316" i="15"/>
  <c r="F315" i="15"/>
  <c r="E315" i="15"/>
  <c r="F314" i="15"/>
  <c r="E314" i="15"/>
  <c r="F313" i="15"/>
  <c r="E313" i="15"/>
  <c r="F312" i="15"/>
  <c r="E312" i="15"/>
  <c r="F311" i="15"/>
  <c r="E311" i="15"/>
  <c r="F310" i="15"/>
  <c r="E310" i="15"/>
  <c r="F309" i="15"/>
  <c r="E309" i="15"/>
  <c r="F308" i="15"/>
  <c r="E308" i="15"/>
  <c r="F307" i="15"/>
  <c r="E307" i="15"/>
  <c r="F306" i="15"/>
  <c r="E306" i="15"/>
  <c r="F305" i="15"/>
  <c r="E305" i="15"/>
  <c r="F304" i="15"/>
  <c r="E304" i="15"/>
  <c r="F303" i="15"/>
  <c r="E303" i="15"/>
  <c r="F302" i="15"/>
  <c r="E302" i="15"/>
  <c r="F301" i="15"/>
  <c r="E301" i="15"/>
  <c r="F300" i="15"/>
  <c r="E300" i="15"/>
  <c r="F299" i="15"/>
  <c r="E299" i="15"/>
  <c r="F298" i="15"/>
  <c r="E298" i="15"/>
  <c r="F297" i="15"/>
  <c r="E297" i="15"/>
  <c r="F296" i="15"/>
  <c r="E296" i="15"/>
  <c r="F295" i="15"/>
  <c r="E295" i="15"/>
  <c r="F294" i="15"/>
  <c r="E294" i="15"/>
  <c r="F293" i="15"/>
  <c r="E293" i="15"/>
  <c r="F292" i="15"/>
  <c r="E292" i="15"/>
  <c r="F291" i="15"/>
  <c r="E291" i="15"/>
  <c r="F290" i="15"/>
  <c r="E290" i="15"/>
  <c r="F289" i="15"/>
  <c r="E289" i="15"/>
  <c r="F288" i="15"/>
  <c r="E288" i="15"/>
  <c r="F287" i="15"/>
  <c r="E287" i="15"/>
  <c r="F286" i="15"/>
  <c r="E286" i="15"/>
  <c r="F285" i="15"/>
  <c r="E285" i="15"/>
  <c r="F284" i="15"/>
  <c r="E284" i="15"/>
  <c r="F283" i="15"/>
  <c r="E283" i="15"/>
  <c r="F282" i="15"/>
  <c r="E282" i="15"/>
  <c r="F281" i="15"/>
  <c r="E281" i="15"/>
  <c r="F280" i="15"/>
  <c r="E280" i="15"/>
  <c r="F279" i="15"/>
  <c r="E279" i="15"/>
  <c r="F278" i="15"/>
  <c r="E278" i="15"/>
  <c r="F277" i="15"/>
  <c r="E277" i="15"/>
  <c r="F276" i="15"/>
  <c r="E276" i="15"/>
  <c r="F275" i="15"/>
  <c r="E275" i="15"/>
  <c r="F274" i="15"/>
  <c r="E274" i="15"/>
  <c r="F273" i="15"/>
  <c r="E273" i="15"/>
  <c r="F272" i="15"/>
  <c r="E272" i="15"/>
  <c r="F271" i="15"/>
  <c r="E271" i="15"/>
  <c r="F270" i="15"/>
  <c r="E270" i="15"/>
  <c r="F269" i="15"/>
  <c r="E269" i="15"/>
  <c r="F268" i="15"/>
  <c r="E268" i="15"/>
  <c r="F267" i="15"/>
  <c r="E267" i="15"/>
  <c r="F266" i="15"/>
  <c r="E266" i="15"/>
  <c r="F265" i="15"/>
  <c r="E265" i="15"/>
  <c r="F264" i="15"/>
  <c r="E264" i="15"/>
  <c r="F263" i="15"/>
  <c r="E263" i="15"/>
  <c r="F262" i="15"/>
  <c r="E262" i="15"/>
  <c r="F261" i="15"/>
  <c r="E261" i="15"/>
  <c r="F260" i="15"/>
  <c r="E260" i="15"/>
  <c r="F259" i="15"/>
  <c r="E259" i="15"/>
  <c r="F258" i="15"/>
  <c r="E258" i="15"/>
  <c r="F257" i="15"/>
  <c r="E257" i="15"/>
  <c r="F256" i="15"/>
  <c r="E256" i="15"/>
  <c r="F255" i="15"/>
  <c r="E255" i="15"/>
  <c r="F254" i="15"/>
  <c r="E254" i="15"/>
  <c r="F253" i="15"/>
  <c r="E253" i="15"/>
  <c r="F252" i="15"/>
  <c r="E252" i="15"/>
  <c r="F251" i="15"/>
  <c r="E251" i="15"/>
  <c r="F250" i="15"/>
  <c r="E250" i="15"/>
  <c r="F249" i="15"/>
  <c r="E249" i="15"/>
  <c r="F248" i="15"/>
  <c r="E248" i="15"/>
  <c r="F247" i="15"/>
  <c r="E247" i="15"/>
  <c r="F246" i="15"/>
  <c r="E246" i="15"/>
  <c r="F245" i="15"/>
  <c r="E245" i="15"/>
  <c r="F244" i="15"/>
  <c r="E244" i="15"/>
  <c r="F243" i="15"/>
  <c r="E243" i="15"/>
  <c r="F242" i="15"/>
  <c r="E242" i="15"/>
  <c r="F241" i="15"/>
  <c r="E241" i="15"/>
  <c r="F240" i="15"/>
  <c r="E240" i="15"/>
  <c r="F239" i="15"/>
  <c r="E239" i="15"/>
  <c r="F238" i="15"/>
  <c r="E238" i="15"/>
  <c r="F237" i="15"/>
  <c r="E237" i="15"/>
  <c r="F236" i="15"/>
  <c r="E236" i="15"/>
  <c r="F235" i="15"/>
  <c r="E235" i="15"/>
  <c r="F234" i="15"/>
  <c r="E234" i="15"/>
  <c r="F233" i="15"/>
  <c r="E233" i="15"/>
  <c r="F232" i="15"/>
  <c r="E232" i="15"/>
  <c r="F231" i="15"/>
  <c r="E231" i="15"/>
  <c r="F230" i="15"/>
  <c r="E230" i="15"/>
  <c r="F229" i="15"/>
  <c r="E229" i="15"/>
  <c r="F228" i="15"/>
  <c r="E228" i="15"/>
  <c r="F227" i="15"/>
  <c r="E227" i="15"/>
  <c r="F226" i="15"/>
  <c r="E226" i="15"/>
  <c r="F225" i="15"/>
  <c r="E225" i="15"/>
  <c r="F224" i="15"/>
  <c r="E224" i="15"/>
  <c r="F223" i="15"/>
  <c r="E223" i="15"/>
  <c r="F222" i="15"/>
  <c r="E222" i="15"/>
  <c r="F221" i="15"/>
  <c r="E221" i="15"/>
  <c r="F220" i="15"/>
  <c r="E220" i="15"/>
  <c r="F219" i="15"/>
  <c r="E219" i="15"/>
  <c r="F218" i="15"/>
  <c r="E218" i="15"/>
  <c r="F217" i="15"/>
  <c r="E217" i="15"/>
  <c r="F216" i="15"/>
  <c r="E216" i="15"/>
  <c r="F215" i="15"/>
  <c r="E215" i="15"/>
  <c r="F214" i="15"/>
  <c r="E214" i="15"/>
  <c r="F213" i="15"/>
  <c r="E213" i="15"/>
  <c r="F212" i="15"/>
  <c r="E212" i="15"/>
  <c r="F211" i="15"/>
  <c r="E211" i="15"/>
  <c r="F210" i="15"/>
  <c r="E210" i="15"/>
  <c r="F209" i="15"/>
  <c r="E209" i="15"/>
  <c r="F208" i="15"/>
  <c r="E208" i="15"/>
  <c r="F207" i="15"/>
  <c r="E207" i="15"/>
  <c r="F206" i="15"/>
  <c r="E206" i="15"/>
  <c r="F205" i="15"/>
  <c r="E205" i="15"/>
  <c r="F204" i="15"/>
  <c r="E204" i="15"/>
  <c r="F203" i="15"/>
  <c r="E203" i="15"/>
  <c r="F202" i="15"/>
  <c r="E202" i="15"/>
  <c r="F201" i="15"/>
  <c r="E201" i="15"/>
  <c r="F200" i="15"/>
  <c r="E200" i="15"/>
  <c r="F199" i="15"/>
  <c r="E199" i="15"/>
  <c r="F198" i="15"/>
  <c r="E198" i="15"/>
  <c r="F197" i="15"/>
  <c r="E197" i="15"/>
  <c r="F196" i="15"/>
  <c r="E196" i="15"/>
  <c r="F195" i="15"/>
  <c r="E195" i="15"/>
  <c r="F194" i="15"/>
  <c r="E194" i="15"/>
  <c r="F193" i="15"/>
  <c r="E193" i="15"/>
  <c r="F192" i="15"/>
  <c r="E192" i="15"/>
  <c r="F191" i="15"/>
  <c r="E191" i="15"/>
  <c r="F190" i="15"/>
  <c r="E190" i="15"/>
  <c r="F189" i="15"/>
  <c r="E189" i="15"/>
  <c r="F188" i="15"/>
  <c r="E188" i="15"/>
  <c r="F187" i="15"/>
  <c r="E187" i="15"/>
  <c r="F186" i="15"/>
  <c r="E186" i="15"/>
  <c r="F185" i="15"/>
  <c r="E185" i="15"/>
  <c r="F184" i="15"/>
  <c r="E184" i="15"/>
  <c r="F183" i="15"/>
  <c r="E183" i="15"/>
  <c r="F182" i="15"/>
  <c r="E182" i="15"/>
  <c r="F181" i="15"/>
  <c r="E181" i="15"/>
  <c r="F180" i="15"/>
  <c r="E180" i="15"/>
  <c r="F179" i="15"/>
  <c r="E179" i="15"/>
  <c r="F178" i="15"/>
  <c r="E178" i="15"/>
  <c r="F177" i="15"/>
  <c r="E177" i="15"/>
  <c r="F176" i="15"/>
  <c r="E176" i="15"/>
  <c r="F175" i="15"/>
  <c r="E175" i="15"/>
  <c r="F174" i="15"/>
  <c r="E174" i="15"/>
  <c r="F173" i="15"/>
  <c r="E173" i="15"/>
  <c r="F172" i="15"/>
  <c r="E172" i="15"/>
  <c r="F171" i="15"/>
  <c r="E171" i="15"/>
  <c r="F170" i="15"/>
  <c r="E170" i="15"/>
  <c r="F169" i="15"/>
  <c r="E169" i="15"/>
  <c r="F168" i="15"/>
  <c r="E168" i="15"/>
  <c r="F167" i="15"/>
  <c r="E167" i="15"/>
  <c r="F166" i="15"/>
  <c r="E166" i="15"/>
  <c r="F165" i="15"/>
  <c r="E165" i="15"/>
  <c r="F164" i="15"/>
  <c r="E164" i="15"/>
  <c r="F163" i="15"/>
  <c r="E163" i="15"/>
  <c r="F162" i="15"/>
  <c r="E162" i="15"/>
  <c r="F161" i="15"/>
  <c r="E161" i="15"/>
  <c r="F160" i="15"/>
  <c r="E160" i="15"/>
  <c r="F159" i="15"/>
  <c r="E159" i="15"/>
  <c r="F158" i="15"/>
  <c r="E158" i="15"/>
  <c r="F157" i="15"/>
  <c r="E157" i="15"/>
  <c r="F156" i="15"/>
  <c r="E156" i="15"/>
  <c r="F155" i="15"/>
  <c r="E155" i="15"/>
  <c r="F154" i="15"/>
  <c r="E154" i="15"/>
  <c r="F153" i="15"/>
  <c r="E153" i="15"/>
  <c r="F152" i="15"/>
  <c r="E152" i="15"/>
  <c r="F151" i="15"/>
  <c r="E151" i="15"/>
  <c r="F150" i="15"/>
  <c r="E150" i="15"/>
  <c r="F149" i="15"/>
  <c r="E149" i="15"/>
  <c r="F148" i="15"/>
  <c r="E148" i="15"/>
  <c r="F147" i="15"/>
  <c r="E147" i="15"/>
  <c r="F146" i="15"/>
  <c r="E146" i="15"/>
  <c r="F145" i="15"/>
  <c r="E145" i="15"/>
  <c r="F144" i="15"/>
  <c r="E144" i="15"/>
  <c r="F143" i="15"/>
  <c r="E143" i="15"/>
  <c r="F142" i="15"/>
  <c r="E142" i="15"/>
  <c r="F141" i="15"/>
  <c r="E141" i="15"/>
  <c r="F140" i="15"/>
  <c r="E140" i="15"/>
  <c r="F139" i="15"/>
  <c r="E139" i="15"/>
  <c r="F138" i="15"/>
  <c r="E138" i="15"/>
  <c r="F137" i="15"/>
  <c r="E137" i="15"/>
  <c r="F136" i="15"/>
  <c r="E136" i="15"/>
  <c r="F135" i="15"/>
  <c r="E135" i="15"/>
  <c r="F134" i="15"/>
  <c r="E134" i="15"/>
  <c r="F133" i="15"/>
  <c r="E133" i="15"/>
  <c r="F132" i="15"/>
  <c r="E132" i="15"/>
  <c r="F131" i="15"/>
  <c r="E131" i="15"/>
  <c r="F130" i="15"/>
  <c r="E130" i="15"/>
  <c r="F129" i="15"/>
  <c r="E129" i="15"/>
  <c r="F128" i="15"/>
  <c r="E128" i="15"/>
  <c r="F127" i="15"/>
  <c r="E127" i="15"/>
  <c r="F126" i="15"/>
  <c r="E126" i="15"/>
  <c r="F125" i="15"/>
  <c r="E125" i="15"/>
  <c r="F124" i="15"/>
  <c r="E124" i="15"/>
  <c r="F123" i="15"/>
  <c r="E123" i="15"/>
  <c r="F122" i="15"/>
  <c r="E122" i="15"/>
  <c r="F121" i="15"/>
  <c r="E121" i="15"/>
  <c r="F120" i="15"/>
  <c r="E120" i="15"/>
  <c r="F119" i="15"/>
  <c r="E119" i="15"/>
  <c r="F118" i="15"/>
  <c r="E118" i="15"/>
  <c r="F117" i="15"/>
  <c r="E117" i="15"/>
  <c r="F116" i="15"/>
  <c r="E116" i="15"/>
  <c r="F115" i="15"/>
  <c r="E115" i="15"/>
  <c r="F114" i="15"/>
  <c r="E114" i="15"/>
  <c r="F113" i="15"/>
  <c r="E113" i="15"/>
  <c r="F112" i="15"/>
  <c r="E112" i="15"/>
  <c r="F111" i="15"/>
  <c r="E111" i="15"/>
  <c r="F110" i="15"/>
  <c r="E110" i="15"/>
  <c r="F109" i="15"/>
  <c r="E109" i="15"/>
  <c r="F108" i="15"/>
  <c r="E108" i="15"/>
  <c r="F107" i="15"/>
  <c r="E107" i="15"/>
  <c r="F106" i="15"/>
  <c r="E106" i="15"/>
  <c r="F105" i="15"/>
  <c r="E105" i="15"/>
  <c r="F104" i="15"/>
  <c r="E104" i="15"/>
  <c r="F103" i="15"/>
  <c r="E103" i="15"/>
  <c r="F102" i="15"/>
  <c r="E102" i="15"/>
  <c r="F101" i="15"/>
  <c r="E101" i="15"/>
  <c r="F100" i="15"/>
  <c r="E100" i="15"/>
  <c r="F99" i="15"/>
  <c r="E99" i="15"/>
  <c r="F98" i="15"/>
  <c r="E98" i="15"/>
  <c r="F97" i="15"/>
  <c r="E97" i="15"/>
  <c r="F96" i="15"/>
  <c r="E96" i="15"/>
  <c r="F95" i="15"/>
  <c r="E95" i="15"/>
  <c r="F94" i="15"/>
  <c r="E94" i="15"/>
  <c r="F93" i="15"/>
  <c r="E93" i="15"/>
  <c r="F92" i="15"/>
  <c r="E92" i="15"/>
  <c r="F91" i="15"/>
  <c r="E91" i="15"/>
  <c r="F90" i="15"/>
  <c r="E90" i="15"/>
  <c r="F89" i="15"/>
  <c r="E89" i="15"/>
  <c r="F88" i="15"/>
  <c r="E88" i="15"/>
  <c r="F87" i="15"/>
  <c r="E87" i="15"/>
  <c r="F86" i="15"/>
  <c r="E86" i="15"/>
  <c r="F85" i="15"/>
  <c r="E85" i="15"/>
  <c r="F84" i="15"/>
  <c r="E84" i="15"/>
  <c r="F83" i="15"/>
  <c r="E83" i="15"/>
  <c r="F82" i="15"/>
  <c r="E82" i="15"/>
  <c r="F81" i="15"/>
  <c r="E81" i="15"/>
  <c r="F80" i="15"/>
  <c r="E80" i="15"/>
  <c r="F79" i="15"/>
  <c r="E79" i="15"/>
  <c r="F78" i="15"/>
  <c r="E78" i="15"/>
  <c r="F77" i="15"/>
  <c r="E77" i="15"/>
  <c r="F76" i="15"/>
  <c r="E76" i="15"/>
  <c r="F75" i="15"/>
  <c r="E75" i="15"/>
  <c r="F74" i="15"/>
  <c r="E74" i="15"/>
  <c r="F73" i="15"/>
  <c r="E73" i="15"/>
  <c r="F72" i="15"/>
  <c r="E72" i="15"/>
  <c r="F71" i="15"/>
  <c r="E71" i="15"/>
  <c r="F70" i="15"/>
  <c r="E70" i="15"/>
  <c r="F69" i="15"/>
  <c r="E69" i="15"/>
  <c r="F68" i="15"/>
  <c r="E68" i="15"/>
  <c r="F67" i="15"/>
  <c r="E67" i="15"/>
  <c r="F66" i="15"/>
  <c r="E66" i="15"/>
  <c r="F65" i="15"/>
  <c r="E65" i="15"/>
  <c r="F64" i="15"/>
  <c r="E64" i="15"/>
  <c r="F63" i="15"/>
  <c r="E63" i="15"/>
  <c r="F62" i="15"/>
  <c r="E62" i="15"/>
  <c r="F61" i="15"/>
  <c r="E61" i="15"/>
  <c r="F60" i="15"/>
  <c r="E60" i="15"/>
  <c r="F59" i="15"/>
  <c r="E59" i="15"/>
  <c r="F58" i="15"/>
  <c r="E58" i="15"/>
  <c r="F57" i="15"/>
  <c r="E57" i="15"/>
  <c r="F56" i="15"/>
  <c r="E56" i="15"/>
  <c r="F55" i="15"/>
  <c r="E55" i="15"/>
  <c r="F54" i="15"/>
  <c r="E54" i="15"/>
  <c r="F53" i="15"/>
  <c r="E53" i="15"/>
  <c r="F52" i="15"/>
  <c r="E52" i="15"/>
  <c r="F51" i="15"/>
  <c r="E51" i="15"/>
  <c r="F50" i="15"/>
  <c r="E50" i="15"/>
  <c r="F49" i="15"/>
  <c r="E49" i="15"/>
  <c r="F48" i="15"/>
  <c r="E48" i="15"/>
  <c r="F47" i="15"/>
  <c r="E47" i="15"/>
  <c r="F46" i="15"/>
  <c r="E46" i="15"/>
  <c r="F45" i="15"/>
  <c r="E45" i="15"/>
  <c r="F44" i="15"/>
  <c r="E44" i="15"/>
  <c r="F43" i="15"/>
  <c r="E43" i="15"/>
  <c r="F42" i="15"/>
  <c r="E42" i="15"/>
  <c r="F41" i="15"/>
  <c r="E41" i="15"/>
  <c r="F40" i="15"/>
  <c r="E40" i="15"/>
  <c r="F39" i="15"/>
  <c r="E39" i="15"/>
  <c r="F38" i="15"/>
  <c r="E38" i="15"/>
  <c r="F37" i="15"/>
  <c r="E37" i="15"/>
  <c r="F36" i="15"/>
  <c r="E36" i="15"/>
  <c r="F35" i="15"/>
  <c r="E35" i="15"/>
  <c r="F34" i="15"/>
  <c r="E34" i="15"/>
  <c r="F33" i="15"/>
  <c r="E33" i="15"/>
  <c r="F32" i="15"/>
  <c r="E32" i="15"/>
  <c r="F31" i="15"/>
  <c r="E31" i="15"/>
  <c r="F30" i="15"/>
  <c r="E30" i="15"/>
  <c r="F29" i="15"/>
  <c r="E29" i="15"/>
  <c r="F28" i="15"/>
  <c r="E28" i="15"/>
  <c r="F27" i="15"/>
  <c r="E27" i="15"/>
  <c r="F26" i="15"/>
  <c r="E26" i="15"/>
  <c r="F25" i="15"/>
  <c r="E25" i="15"/>
  <c r="F24" i="15"/>
  <c r="E24" i="15"/>
  <c r="F23" i="15"/>
  <c r="E23" i="15"/>
  <c r="F22" i="15"/>
  <c r="E22" i="15"/>
  <c r="F21" i="15"/>
  <c r="E21" i="15"/>
  <c r="A21" i="15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G20" i="15"/>
  <c r="F19" i="15"/>
  <c r="G18" i="15"/>
  <c r="F16" i="15"/>
  <c r="G15" i="15"/>
  <c r="G14" i="15"/>
  <c r="G13" i="15"/>
  <c r="G12" i="15"/>
  <c r="F9" i="15"/>
  <c r="E9" i="15"/>
  <c r="L8" i="15"/>
  <c r="H8" i="15"/>
  <c r="G19" i="15" l="1"/>
  <c r="G418" i="15"/>
  <c r="G421" i="15"/>
  <c r="G417" i="15"/>
  <c r="G413" i="15"/>
  <c r="G409" i="15"/>
  <c r="G405" i="15"/>
  <c r="G402" i="15"/>
  <c r="G395" i="15"/>
  <c r="G392" i="15"/>
  <c r="G388" i="15"/>
  <c r="G415" i="15"/>
  <c r="G407" i="15"/>
  <c r="G404" i="15"/>
  <c r="G400" i="15"/>
  <c r="G389" i="15"/>
  <c r="G414" i="15"/>
  <c r="G410" i="15"/>
  <c r="G406" i="15"/>
  <c r="G403" i="15"/>
  <c r="G399" i="15"/>
  <c r="G396" i="15"/>
  <c r="G368" i="15"/>
  <c r="G423" i="15"/>
  <c r="G384" i="15"/>
  <c r="G422" i="15"/>
  <c r="G360" i="15"/>
  <c r="G419" i="15"/>
  <c r="G374" i="15"/>
  <c r="G356" i="15"/>
  <c r="G346" i="15"/>
  <c r="G338" i="15"/>
  <c r="G330" i="15"/>
  <c r="G390" i="15"/>
  <c r="G378" i="15"/>
  <c r="G364" i="15"/>
  <c r="G252" i="15"/>
  <c r="G248" i="15"/>
  <c r="G244" i="15"/>
  <c r="G216" i="15"/>
  <c r="G361" i="15"/>
  <c r="G342" i="15"/>
  <c r="G322" i="15"/>
  <c r="G314" i="15"/>
  <c r="G306" i="15"/>
  <c r="G298" i="15"/>
  <c r="G290" i="15"/>
  <c r="G282" i="15"/>
  <c r="G274" i="15"/>
  <c r="G266" i="15"/>
  <c r="G258" i="15"/>
  <c r="G427" i="15"/>
  <c r="G350" i="15"/>
  <c r="G318" i="15"/>
  <c r="G315" i="15"/>
  <c r="G302" i="15"/>
  <c r="G299" i="15"/>
  <c r="G286" i="15"/>
  <c r="G283" i="15"/>
  <c r="G270" i="15"/>
  <c r="G267" i="15"/>
  <c r="G331" i="15"/>
  <c r="G253" i="15"/>
  <c r="G250" i="15"/>
  <c r="G245" i="15"/>
  <c r="G242" i="15"/>
  <c r="G237" i="15"/>
  <c r="G234" i="15"/>
  <c r="G229" i="15"/>
  <c r="G226" i="15"/>
  <c r="G221" i="15"/>
  <c r="G218" i="15"/>
  <c r="G213" i="15"/>
  <c r="G210" i="15"/>
  <c r="G202" i="15"/>
  <c r="G198" i="15"/>
  <c r="G194" i="15"/>
  <c r="G190" i="15"/>
  <c r="G334" i="15"/>
  <c r="G326" i="15"/>
  <c r="G323" i="15"/>
  <c r="G310" i="15"/>
  <c r="G307" i="15"/>
  <c r="G294" i="15"/>
  <c r="G291" i="15"/>
  <c r="G278" i="15"/>
  <c r="G275" i="15"/>
  <c r="G262" i="15"/>
  <c r="G259" i="15"/>
  <c r="G200" i="15"/>
  <c r="G166" i="15"/>
  <c r="G158" i="15"/>
  <c r="G150" i="15"/>
  <c r="G17" i="15"/>
  <c r="G94" i="15"/>
  <c r="G90" i="15"/>
  <c r="G82" i="15"/>
  <c r="G74" i="15"/>
  <c r="G70" i="15"/>
  <c r="G66" i="15"/>
  <c r="G62" i="15"/>
  <c r="G58" i="15"/>
  <c r="G50" i="15"/>
  <c r="G46" i="15"/>
  <c r="G42" i="15"/>
  <c r="G38" i="15"/>
  <c r="G34" i="15"/>
  <c r="G249" i="15"/>
  <c r="G241" i="15"/>
  <c r="G233" i="15"/>
  <c r="G225" i="15"/>
  <c r="G217" i="15"/>
  <c r="G209" i="15"/>
  <c r="G204" i="15"/>
  <c r="G168" i="15"/>
  <c r="G160" i="15"/>
  <c r="G152" i="15"/>
  <c r="G146" i="15"/>
  <c r="G142" i="15"/>
  <c r="G138" i="15"/>
  <c r="G134" i="15"/>
  <c r="G130" i="15"/>
  <c r="G126" i="15"/>
  <c r="G122" i="15"/>
  <c r="G118" i="15"/>
  <c r="G114" i="15"/>
  <c r="G110" i="15"/>
  <c r="G106" i="15"/>
  <c r="G102" i="15"/>
  <c r="G98" i="15"/>
  <c r="G86" i="15"/>
  <c r="G78" i="15"/>
  <c r="G54" i="15"/>
  <c r="G347" i="15"/>
  <c r="G254" i="15"/>
  <c r="G246" i="15"/>
  <c r="G238" i="15"/>
  <c r="G230" i="15"/>
  <c r="G222" i="15"/>
  <c r="G214" i="15"/>
  <c r="G206" i="15"/>
  <c r="G192" i="15"/>
  <c r="G184" i="15"/>
  <c r="G180" i="15"/>
  <c r="G176" i="15"/>
  <c r="G172" i="15"/>
  <c r="G170" i="15"/>
  <c r="G162" i="15"/>
  <c r="G154" i="15"/>
  <c r="G21" i="15"/>
  <c r="G31" i="15"/>
  <c r="G48" i="15"/>
  <c r="G64" i="15"/>
  <c r="G80" i="15"/>
  <c r="G91" i="15"/>
  <c r="G93" i="15"/>
  <c r="G96" i="15"/>
  <c r="G111" i="15"/>
  <c r="G113" i="15"/>
  <c r="G116" i="15"/>
  <c r="G127" i="15"/>
  <c r="G129" i="15"/>
  <c r="G132" i="15"/>
  <c r="G143" i="15"/>
  <c r="G145" i="15"/>
  <c r="G148" i="15"/>
  <c r="G151" i="15"/>
  <c r="G156" i="15"/>
  <c r="G159" i="15"/>
  <c r="G164" i="15"/>
  <c r="G167" i="15"/>
  <c r="G186" i="15"/>
  <c r="G191" i="15"/>
  <c r="G196" i="15"/>
  <c r="I12" i="15"/>
  <c r="L9" i="15"/>
  <c r="G16" i="15"/>
  <c r="G26" i="15"/>
  <c r="G29" i="15"/>
  <c r="G39" i="15"/>
  <c r="G41" i="15"/>
  <c r="G44" i="15"/>
  <c r="G55" i="15"/>
  <c r="G57" i="15"/>
  <c r="G60" i="15"/>
  <c r="G71" i="15"/>
  <c r="G73" i="15"/>
  <c r="G76" i="15"/>
  <c r="G87" i="15"/>
  <c r="G89" i="15"/>
  <c r="G92" i="15"/>
  <c r="G103" i="15"/>
  <c r="G107" i="15"/>
  <c r="G109" i="15"/>
  <c r="G112" i="15"/>
  <c r="G123" i="15"/>
  <c r="G125" i="15"/>
  <c r="G128" i="15"/>
  <c r="G139" i="15"/>
  <c r="G141" i="15"/>
  <c r="G144" i="15"/>
  <c r="G182" i="15"/>
  <c r="G140" i="15"/>
  <c r="G178" i="15"/>
  <c r="G188" i="15"/>
  <c r="G193" i="15"/>
  <c r="G28" i="15"/>
  <c r="G43" i="15"/>
  <c r="G45" i="15"/>
  <c r="G59" i="15"/>
  <c r="G61" i="15"/>
  <c r="G75" i="15"/>
  <c r="G77" i="15"/>
  <c r="G22" i="15"/>
  <c r="G24" i="15"/>
  <c r="G27" i="15"/>
  <c r="G32" i="15"/>
  <c r="G35" i="15"/>
  <c r="G37" i="15"/>
  <c r="G40" i="15"/>
  <c r="G51" i="15"/>
  <c r="G53" i="15"/>
  <c r="G56" i="15"/>
  <c r="G67" i="15"/>
  <c r="G69" i="15"/>
  <c r="G72" i="15"/>
  <c r="G83" i="15"/>
  <c r="G85" i="15"/>
  <c r="G88" i="15"/>
  <c r="G99" i="15"/>
  <c r="G101" i="15"/>
  <c r="G105" i="15"/>
  <c r="G108" i="15"/>
  <c r="G119" i="15"/>
  <c r="G121" i="15"/>
  <c r="G124" i="15"/>
  <c r="G135" i="15"/>
  <c r="G137" i="15"/>
  <c r="G23" i="15"/>
  <c r="G25" i="15"/>
  <c r="G30" i="15"/>
  <c r="G33" i="15"/>
  <c r="G36" i="15"/>
  <c r="G47" i="15"/>
  <c r="G49" i="15"/>
  <c r="G52" i="15"/>
  <c r="G63" i="15"/>
  <c r="G65" i="15"/>
  <c r="G68" i="15"/>
  <c r="G79" i="15"/>
  <c r="G81" i="15"/>
  <c r="G84" i="15"/>
  <c r="G95" i="15"/>
  <c r="G97" i="15"/>
  <c r="G100" i="15"/>
  <c r="G104" i="15"/>
  <c r="G115" i="15"/>
  <c r="G117" i="15"/>
  <c r="G120" i="15"/>
  <c r="G131" i="15"/>
  <c r="G133" i="15"/>
  <c r="G136" i="15"/>
  <c r="G147" i="15"/>
  <c r="G174" i="15"/>
  <c r="G207" i="15"/>
  <c r="G215" i="15"/>
  <c r="G223" i="15"/>
  <c r="G231" i="15"/>
  <c r="G239" i="15"/>
  <c r="G247" i="15"/>
  <c r="G255" i="15"/>
  <c r="G287" i="15"/>
  <c r="G319" i="15"/>
  <c r="G149" i="15"/>
  <c r="G157" i="15"/>
  <c r="G165" i="15"/>
  <c r="G187" i="15"/>
  <c r="G189" i="15"/>
  <c r="G203" i="15"/>
  <c r="G205" i="15"/>
  <c r="G277" i="15"/>
  <c r="G309" i="15"/>
  <c r="G155" i="15"/>
  <c r="G163" i="15"/>
  <c r="G171" i="15"/>
  <c r="G173" i="15"/>
  <c r="G175" i="15"/>
  <c r="G177" i="15"/>
  <c r="G179" i="15"/>
  <c r="G181" i="15"/>
  <c r="G183" i="15"/>
  <c r="G185" i="15"/>
  <c r="G199" i="15"/>
  <c r="G201" i="15"/>
  <c r="G271" i="15"/>
  <c r="G303" i="15"/>
  <c r="G436" i="15"/>
  <c r="G433" i="15"/>
  <c r="G435" i="15"/>
  <c r="G434" i="15"/>
  <c r="G153" i="15"/>
  <c r="G161" i="15"/>
  <c r="G169" i="15"/>
  <c r="G195" i="15"/>
  <c r="G197" i="15"/>
  <c r="G261" i="15"/>
  <c r="G293" i="15"/>
  <c r="G325" i="15"/>
  <c r="G337" i="15"/>
  <c r="G353" i="15"/>
  <c r="G208" i="15"/>
  <c r="G224" i="15"/>
  <c r="G232" i="15"/>
  <c r="G240" i="15"/>
  <c r="G260" i="15"/>
  <c r="G276" i="15"/>
  <c r="G292" i="15"/>
  <c r="G308" i="15"/>
  <c r="G324" i="15"/>
  <c r="G332" i="15"/>
  <c r="G211" i="15"/>
  <c r="G219" i="15"/>
  <c r="G227" i="15"/>
  <c r="G235" i="15"/>
  <c r="G243" i="15"/>
  <c r="G251" i="15"/>
  <c r="G263" i="15"/>
  <c r="G269" i="15"/>
  <c r="G279" i="15"/>
  <c r="G285" i="15"/>
  <c r="G295" i="15"/>
  <c r="G301" i="15"/>
  <c r="G311" i="15"/>
  <c r="G317" i="15"/>
  <c r="G327" i="15"/>
  <c r="G212" i="15"/>
  <c r="G220" i="15"/>
  <c r="G228" i="15"/>
  <c r="G236" i="15"/>
  <c r="G268" i="15"/>
  <c r="G284" i="15"/>
  <c r="G300" i="15"/>
  <c r="G316" i="15"/>
  <c r="G348" i="15"/>
  <c r="G357" i="15"/>
  <c r="G362" i="15"/>
  <c r="G416" i="15"/>
  <c r="G256" i="15"/>
  <c r="G264" i="15"/>
  <c r="G272" i="15"/>
  <c r="G280" i="15"/>
  <c r="G288" i="15"/>
  <c r="G296" i="15"/>
  <c r="G304" i="15"/>
  <c r="G312" i="15"/>
  <c r="G320" i="15"/>
  <c r="G329" i="15"/>
  <c r="G340" i="15"/>
  <c r="G345" i="15"/>
  <c r="G257" i="15"/>
  <c r="G265" i="15"/>
  <c r="G273" i="15"/>
  <c r="G281" i="15"/>
  <c r="G289" i="15"/>
  <c r="G297" i="15"/>
  <c r="G305" i="15"/>
  <c r="G313" i="15"/>
  <c r="G321" i="15"/>
  <c r="G339" i="15"/>
  <c r="G363" i="15"/>
  <c r="G375" i="15"/>
  <c r="G333" i="15"/>
  <c r="G341" i="15"/>
  <c r="G349" i="15"/>
  <c r="G355" i="15"/>
  <c r="G365" i="15"/>
  <c r="G379" i="15"/>
  <c r="G328" i="15"/>
  <c r="G335" i="15"/>
  <c r="G336" i="15"/>
  <c r="G343" i="15"/>
  <c r="G344" i="15"/>
  <c r="G351" i="15"/>
  <c r="G352" i="15"/>
  <c r="G358" i="15"/>
  <c r="G366" i="15"/>
  <c r="E373" i="15"/>
  <c r="G376" i="15"/>
  <c r="G380" i="15"/>
  <c r="G383" i="15"/>
  <c r="G387" i="15"/>
  <c r="G354" i="15"/>
  <c r="G359" i="15"/>
  <c r="G367" i="15"/>
  <c r="G373" i="15"/>
  <c r="G377" i="15"/>
  <c r="G382" i="15"/>
  <c r="G386" i="15"/>
  <c r="G391" i="15"/>
  <c r="G420" i="15"/>
  <c r="G381" i="15"/>
  <c r="G385" i="15"/>
  <c r="G393" i="15"/>
  <c r="G394" i="15"/>
  <c r="G397" i="15"/>
  <c r="G398" i="15"/>
  <c r="G401" i="15"/>
  <c r="G408" i="15"/>
  <c r="G411" i="15"/>
  <c r="G412" i="15"/>
  <c r="M398" i="14"/>
  <c r="F427" i="14"/>
  <c r="J433" i="15" l="1"/>
  <c r="E374" i="15"/>
  <c r="I13" i="15"/>
  <c r="K12" i="15"/>
  <c r="J12" i="15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S421" i="14" s="1"/>
  <c r="F374" i="14"/>
  <c r="F373" i="14"/>
  <c r="E21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23" i="14"/>
  <c r="F22" i="14"/>
  <c r="F21" i="14"/>
  <c r="F16" i="14"/>
  <c r="B6" i="8"/>
  <c r="E23" i="14" s="1"/>
  <c r="B5" i="8"/>
  <c r="E22" i="14" s="1"/>
  <c r="I14" i="15" l="1"/>
  <c r="K13" i="15"/>
  <c r="J13" i="15"/>
  <c r="E375" i="15"/>
  <c r="B7" i="8"/>
  <c r="S368" i="14"/>
  <c r="S369" i="14"/>
  <c r="S370" i="14"/>
  <c r="S371" i="14"/>
  <c r="S372" i="14"/>
  <c r="Q4" i="8"/>
  <c r="F426" i="14" s="1"/>
  <c r="G372" i="14"/>
  <c r="G371" i="14"/>
  <c r="G370" i="14"/>
  <c r="G369" i="14"/>
  <c r="S373" i="14"/>
  <c r="E376" i="15" l="1"/>
  <c r="I15" i="15"/>
  <c r="K14" i="15"/>
  <c r="J14" i="15"/>
  <c r="B8" i="8"/>
  <c r="E2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K15" i="15" l="1"/>
  <c r="I16" i="15"/>
  <c r="J15" i="15"/>
  <c r="E377" i="15"/>
  <c r="B9" i="8"/>
  <c r="E25" i="14"/>
  <c r="F9" i="14"/>
  <c r="F19" i="14"/>
  <c r="G12" i="14"/>
  <c r="L9" i="14" s="1"/>
  <c r="L8" i="14"/>
  <c r="J16" i="15" l="1"/>
  <c r="K16" i="15"/>
  <c r="I17" i="15"/>
  <c r="E378" i="15"/>
  <c r="G421" i="14"/>
  <c r="G423" i="14"/>
  <c r="B10" i="8"/>
  <c r="E26" i="14"/>
  <c r="G368" i="14"/>
  <c r="G422" i="14"/>
  <c r="G375" i="14"/>
  <c r="G373" i="14"/>
  <c r="G377" i="14"/>
  <c r="G376" i="14"/>
  <c r="G374" i="14"/>
  <c r="G417" i="14"/>
  <c r="G405" i="14"/>
  <c r="C43" i="9" s="1"/>
  <c r="G399" i="14"/>
  <c r="G411" i="14"/>
  <c r="G385" i="14"/>
  <c r="G398" i="14"/>
  <c r="G415" i="14"/>
  <c r="G389" i="14"/>
  <c r="G16" i="14"/>
  <c r="G395" i="14"/>
  <c r="G401" i="14"/>
  <c r="G400" i="14"/>
  <c r="G414" i="14"/>
  <c r="G408" i="14"/>
  <c r="G402" i="14"/>
  <c r="G387" i="14"/>
  <c r="G403" i="14"/>
  <c r="G419" i="14"/>
  <c r="G393" i="14"/>
  <c r="G409" i="14"/>
  <c r="G416" i="14"/>
  <c r="G390" i="14"/>
  <c r="G406" i="14"/>
  <c r="C42" i="9" s="1"/>
  <c r="G388" i="14"/>
  <c r="G404" i="14"/>
  <c r="G420" i="14"/>
  <c r="G396" i="14"/>
  <c r="G412" i="14"/>
  <c r="G391" i="14"/>
  <c r="G407" i="14"/>
  <c r="C41" i="9" s="1"/>
  <c r="G397" i="14"/>
  <c r="G413" i="14"/>
  <c r="G392" i="14"/>
  <c r="G394" i="14"/>
  <c r="G410" i="14"/>
  <c r="G386" i="14"/>
  <c r="G418" i="14"/>
  <c r="AI16" i="9"/>
  <c r="I18" i="15" l="1"/>
  <c r="J17" i="15"/>
  <c r="K17" i="15"/>
  <c r="E379" i="15"/>
  <c r="B11" i="8"/>
  <c r="E27" i="14"/>
  <c r="S298" i="14"/>
  <c r="E380" i="15" l="1"/>
  <c r="I19" i="15"/>
  <c r="K18" i="15"/>
  <c r="J18" i="15"/>
  <c r="B12" i="8"/>
  <c r="E28" i="14"/>
  <c r="G297" i="14"/>
  <c r="S297" i="14"/>
  <c r="E381" i="15" l="1"/>
  <c r="K19" i="15"/>
  <c r="I20" i="15"/>
  <c r="J19" i="15"/>
  <c r="B13" i="8"/>
  <c r="E29" i="14"/>
  <c r="G298" i="14"/>
  <c r="J20" i="15" l="1"/>
  <c r="K20" i="15"/>
  <c r="I21" i="15"/>
  <c r="E382" i="15"/>
  <c r="B14" i="8"/>
  <c r="E30" i="14"/>
  <c r="A21" i="14"/>
  <c r="I22" i="15" l="1"/>
  <c r="J21" i="15"/>
  <c r="K21" i="15"/>
  <c r="E383" i="15"/>
  <c r="B15" i="8"/>
  <c r="E31" i="14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E384" i="15" l="1"/>
  <c r="K22" i="15"/>
  <c r="J22" i="15"/>
  <c r="I23" i="15"/>
  <c r="B16" i="8"/>
  <c r="E32" i="14"/>
  <c r="S384" i="14"/>
  <c r="A18" i="8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E385" i="15" l="1"/>
  <c r="J23" i="15"/>
  <c r="I24" i="15"/>
  <c r="K23" i="15"/>
  <c r="B17" i="8"/>
  <c r="E33" i="14"/>
  <c r="G427" i="14"/>
  <c r="S328" i="14"/>
  <c r="S327" i="14"/>
  <c r="S326" i="14"/>
  <c r="S324" i="14"/>
  <c r="S323" i="14"/>
  <c r="S322" i="14"/>
  <c r="S320" i="14"/>
  <c r="S319" i="14"/>
  <c r="S318" i="14"/>
  <c r="S316" i="14"/>
  <c r="S315" i="14"/>
  <c r="S314" i="14"/>
  <c r="S312" i="14"/>
  <c r="S311" i="14"/>
  <c r="S308" i="14"/>
  <c r="S307" i="14"/>
  <c r="S306" i="14"/>
  <c r="S304" i="14"/>
  <c r="S303" i="14"/>
  <c r="S302" i="14"/>
  <c r="S295" i="14"/>
  <c r="S294" i="14"/>
  <c r="S293" i="14"/>
  <c r="S291" i="14"/>
  <c r="S290" i="14"/>
  <c r="S289" i="14"/>
  <c r="S287" i="14"/>
  <c r="S286" i="14"/>
  <c r="S285" i="14"/>
  <c r="S283" i="14"/>
  <c r="S282" i="14"/>
  <c r="S281" i="14"/>
  <c r="S279" i="14"/>
  <c r="S278" i="14"/>
  <c r="S277" i="14"/>
  <c r="S275" i="14"/>
  <c r="S274" i="14"/>
  <c r="S273" i="14"/>
  <c r="S271" i="14"/>
  <c r="S270" i="14"/>
  <c r="S269" i="14"/>
  <c r="S267" i="14"/>
  <c r="S266" i="14"/>
  <c r="S264" i="14"/>
  <c r="S263" i="14"/>
  <c r="S262" i="14"/>
  <c r="S260" i="14"/>
  <c r="S259" i="14"/>
  <c r="S258" i="14"/>
  <c r="S256" i="14"/>
  <c r="S255" i="14"/>
  <c r="S254" i="14"/>
  <c r="S252" i="14"/>
  <c r="S251" i="14"/>
  <c r="S250" i="14"/>
  <c r="S248" i="14"/>
  <c r="S247" i="14"/>
  <c r="S246" i="14"/>
  <c r="S244" i="14"/>
  <c r="S243" i="14"/>
  <c r="S242" i="14"/>
  <c r="S240" i="14"/>
  <c r="S239" i="14"/>
  <c r="S238" i="14"/>
  <c r="S236" i="14"/>
  <c r="S235" i="14"/>
  <c r="S234" i="14"/>
  <c r="S232" i="14"/>
  <c r="S231" i="14"/>
  <c r="S230" i="14"/>
  <c r="S228" i="14"/>
  <c r="S227" i="14"/>
  <c r="S226" i="14"/>
  <c r="S224" i="14"/>
  <c r="S223" i="14"/>
  <c r="S222" i="14"/>
  <c r="S220" i="14"/>
  <c r="S219" i="14"/>
  <c r="S218" i="14"/>
  <c r="S216" i="14"/>
  <c r="S215" i="14"/>
  <c r="S214" i="14"/>
  <c r="S212" i="14"/>
  <c r="S211" i="14"/>
  <c r="S210" i="14"/>
  <c r="S208" i="14"/>
  <c r="S207" i="14"/>
  <c r="S206" i="14"/>
  <c r="S203" i="14"/>
  <c r="S202" i="14"/>
  <c r="S201" i="14"/>
  <c r="S199" i="14"/>
  <c r="S198" i="14"/>
  <c r="S197" i="14"/>
  <c r="S195" i="14"/>
  <c r="S194" i="14"/>
  <c r="S193" i="14"/>
  <c r="S191" i="14"/>
  <c r="S190" i="14"/>
  <c r="S189" i="14"/>
  <c r="S187" i="14"/>
  <c r="S186" i="14"/>
  <c r="S185" i="14"/>
  <c r="S183" i="14"/>
  <c r="S182" i="14"/>
  <c r="S181" i="14"/>
  <c r="S179" i="14"/>
  <c r="S178" i="14"/>
  <c r="S177" i="14"/>
  <c r="S175" i="14"/>
  <c r="S174" i="14"/>
  <c r="S173" i="14"/>
  <c r="S171" i="14"/>
  <c r="S170" i="14"/>
  <c r="S169" i="14"/>
  <c r="S167" i="14"/>
  <c r="S166" i="14"/>
  <c r="S165" i="14"/>
  <c r="S163" i="14"/>
  <c r="S162" i="14"/>
  <c r="S161" i="14"/>
  <c r="S159" i="14"/>
  <c r="S158" i="14"/>
  <c r="S157" i="14"/>
  <c r="S155" i="14"/>
  <c r="S154" i="14"/>
  <c r="S153" i="14"/>
  <c r="S151" i="14"/>
  <c r="S150" i="14"/>
  <c r="S149" i="14"/>
  <c r="S147" i="14"/>
  <c r="S146" i="14"/>
  <c r="S145" i="14"/>
  <c r="S143" i="14"/>
  <c r="S142" i="14"/>
  <c r="S141" i="14"/>
  <c r="S139" i="14"/>
  <c r="S138" i="14"/>
  <c r="S137" i="14"/>
  <c r="S135" i="14"/>
  <c r="S134" i="14"/>
  <c r="S133" i="14"/>
  <c r="S131" i="14"/>
  <c r="S130" i="14"/>
  <c r="S129" i="14"/>
  <c r="S127" i="14"/>
  <c r="S126" i="14"/>
  <c r="S125" i="14"/>
  <c r="S123" i="14"/>
  <c r="S122" i="14"/>
  <c r="S121" i="14"/>
  <c r="S119" i="14"/>
  <c r="S118" i="14"/>
  <c r="S117" i="14"/>
  <c r="S115" i="14"/>
  <c r="S114" i="14"/>
  <c r="S113" i="14"/>
  <c r="S111" i="14"/>
  <c r="S109" i="14"/>
  <c r="S107" i="14"/>
  <c r="S106" i="14"/>
  <c r="S105" i="14"/>
  <c r="S103" i="14"/>
  <c r="S102" i="14"/>
  <c r="S101" i="14"/>
  <c r="S99" i="14"/>
  <c r="S98" i="14"/>
  <c r="S97" i="14"/>
  <c r="S95" i="14"/>
  <c r="S94" i="14"/>
  <c r="S93" i="14"/>
  <c r="S91" i="14"/>
  <c r="S90" i="14"/>
  <c r="S89" i="14"/>
  <c r="S87" i="14"/>
  <c r="S86" i="14"/>
  <c r="S85" i="14"/>
  <c r="S83" i="14"/>
  <c r="S82" i="14"/>
  <c r="S81" i="14"/>
  <c r="S79" i="14"/>
  <c r="S77" i="14"/>
  <c r="S75" i="14"/>
  <c r="S74" i="14"/>
  <c r="S73" i="14"/>
  <c r="S71" i="14"/>
  <c r="S70" i="14"/>
  <c r="S69" i="14"/>
  <c r="S67" i="14"/>
  <c r="S66" i="14"/>
  <c r="S65" i="14"/>
  <c r="S62" i="14"/>
  <c r="S61" i="14"/>
  <c r="S60" i="14"/>
  <c r="S57" i="14"/>
  <c r="S56" i="14"/>
  <c r="S54" i="14"/>
  <c r="S53" i="14"/>
  <c r="S52" i="14"/>
  <c r="S50" i="14"/>
  <c r="S49" i="14"/>
  <c r="S48" i="14"/>
  <c r="S46" i="14"/>
  <c r="S45" i="14"/>
  <c r="S44" i="14"/>
  <c r="S42" i="14"/>
  <c r="S41" i="14"/>
  <c r="S40" i="14"/>
  <c r="S38" i="14"/>
  <c r="S37" i="14"/>
  <c r="S36" i="14"/>
  <c r="S34" i="14"/>
  <c r="S33" i="14"/>
  <c r="S32" i="14"/>
  <c r="S29" i="14"/>
  <c r="S28" i="14"/>
  <c r="S26" i="14"/>
  <c r="S25" i="14"/>
  <c r="S23" i="14"/>
  <c r="G22" i="14"/>
  <c r="A22" i="14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S21" i="14"/>
  <c r="S20" i="14"/>
  <c r="G20" i="14"/>
  <c r="S19" i="14"/>
  <c r="S18" i="14"/>
  <c r="G18" i="14"/>
  <c r="S17" i="14"/>
  <c r="G15" i="14"/>
  <c r="G14" i="14"/>
  <c r="G13" i="14"/>
  <c r="E9" i="14"/>
  <c r="H8" i="14"/>
  <c r="K24" i="15" l="1"/>
  <c r="J24" i="15"/>
  <c r="I25" i="15"/>
  <c r="E386" i="15"/>
  <c r="G435" i="14"/>
  <c r="G434" i="14"/>
  <c r="G433" i="14"/>
  <c r="G432" i="14"/>
  <c r="J432" i="14"/>
  <c r="B18" i="8"/>
  <c r="E34" i="14"/>
  <c r="A368" i="14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G300" i="14"/>
  <c r="S300" i="14"/>
  <c r="G299" i="14"/>
  <c r="S299" i="14"/>
  <c r="G384" i="14"/>
  <c r="S332" i="14"/>
  <c r="G332" i="14"/>
  <c r="G336" i="14"/>
  <c r="S333" i="14"/>
  <c r="G333" i="14"/>
  <c r="S337" i="14"/>
  <c r="G337" i="14"/>
  <c r="G340" i="14"/>
  <c r="S342" i="14"/>
  <c r="G342" i="14"/>
  <c r="G344" i="14"/>
  <c r="S346" i="14"/>
  <c r="G346" i="14"/>
  <c r="S348" i="14"/>
  <c r="G348" i="14"/>
  <c r="G350" i="14"/>
  <c r="S352" i="14"/>
  <c r="G352" i="14"/>
  <c r="G354" i="14"/>
  <c r="S356" i="14"/>
  <c r="G356" i="14"/>
  <c r="G358" i="14"/>
  <c r="S360" i="14"/>
  <c r="G360" i="14"/>
  <c r="G362" i="14"/>
  <c r="S364" i="14"/>
  <c r="G364" i="14"/>
  <c r="G366" i="14"/>
  <c r="S375" i="14"/>
  <c r="S379" i="14"/>
  <c r="G379" i="14"/>
  <c r="G381" i="14"/>
  <c r="S383" i="14"/>
  <c r="G383" i="14"/>
  <c r="S330" i="14"/>
  <c r="G330" i="14"/>
  <c r="S334" i="14"/>
  <c r="G334" i="14"/>
  <c r="S338" i="14"/>
  <c r="G338" i="14"/>
  <c r="S331" i="14"/>
  <c r="G331" i="14"/>
  <c r="S335" i="14"/>
  <c r="G335" i="14"/>
  <c r="S339" i="14"/>
  <c r="G339" i="14"/>
  <c r="S341" i="14"/>
  <c r="G341" i="14"/>
  <c r="S343" i="14"/>
  <c r="G343" i="14"/>
  <c r="S345" i="14"/>
  <c r="G345" i="14"/>
  <c r="S347" i="14"/>
  <c r="G347" i="14"/>
  <c r="S349" i="14"/>
  <c r="G349" i="14"/>
  <c r="S351" i="14"/>
  <c r="G351" i="14"/>
  <c r="S353" i="14"/>
  <c r="G353" i="14"/>
  <c r="S355" i="14"/>
  <c r="G355" i="14"/>
  <c r="S357" i="14"/>
  <c r="G357" i="14"/>
  <c r="S359" i="14"/>
  <c r="G359" i="14"/>
  <c r="S361" i="14"/>
  <c r="G361" i="14"/>
  <c r="S363" i="14"/>
  <c r="G363" i="14"/>
  <c r="S365" i="14"/>
  <c r="G365" i="14"/>
  <c r="S367" i="14"/>
  <c r="G367" i="14"/>
  <c r="S378" i="14"/>
  <c r="G378" i="14"/>
  <c r="S380" i="14"/>
  <c r="G380" i="14"/>
  <c r="S382" i="14"/>
  <c r="G382" i="14"/>
  <c r="G54" i="14"/>
  <c r="G78" i="14"/>
  <c r="G310" i="14"/>
  <c r="G174" i="14"/>
  <c r="I12" i="14"/>
  <c r="I13" i="14" s="1"/>
  <c r="K13" i="14" s="1"/>
  <c r="G30" i="14"/>
  <c r="G102" i="14"/>
  <c r="G110" i="14"/>
  <c r="G142" i="14"/>
  <c r="G70" i="14"/>
  <c r="G287" i="14"/>
  <c r="S30" i="14"/>
  <c r="S110" i="14"/>
  <c r="G118" i="14"/>
  <c r="G150" i="14"/>
  <c r="G182" i="14"/>
  <c r="S78" i="14"/>
  <c r="G86" i="14"/>
  <c r="G38" i="14"/>
  <c r="G50" i="14"/>
  <c r="G62" i="14"/>
  <c r="G94" i="14"/>
  <c r="G126" i="14"/>
  <c r="G158" i="14"/>
  <c r="G190" i="14"/>
  <c r="S310" i="14"/>
  <c r="G320" i="14"/>
  <c r="G34" i="14"/>
  <c r="G46" i="14"/>
  <c r="G134" i="14"/>
  <c r="G166" i="14"/>
  <c r="G198" i="14"/>
  <c r="G47" i="14"/>
  <c r="S47" i="14"/>
  <c r="G224" i="14"/>
  <c r="G256" i="14"/>
  <c r="G31" i="14"/>
  <c r="S31" i="14"/>
  <c r="G277" i="14"/>
  <c r="S63" i="14"/>
  <c r="G63" i="14"/>
  <c r="G19" i="14"/>
  <c r="G35" i="14"/>
  <c r="S35" i="14"/>
  <c r="S51" i="14"/>
  <c r="G51" i="14"/>
  <c r="G21" i="14"/>
  <c r="S24" i="14"/>
  <c r="G24" i="14"/>
  <c r="G39" i="14"/>
  <c r="S39" i="14"/>
  <c r="G55" i="14"/>
  <c r="S55" i="14"/>
  <c r="S68" i="14"/>
  <c r="G68" i="14"/>
  <c r="S76" i="14"/>
  <c r="G76" i="14"/>
  <c r="S84" i="14"/>
  <c r="G84" i="14"/>
  <c r="S92" i="14"/>
  <c r="G92" i="14"/>
  <c r="S100" i="14"/>
  <c r="G100" i="14"/>
  <c r="S108" i="14"/>
  <c r="G108" i="14"/>
  <c r="S116" i="14"/>
  <c r="G116" i="14"/>
  <c r="S124" i="14"/>
  <c r="G124" i="14"/>
  <c r="S132" i="14"/>
  <c r="G132" i="14"/>
  <c r="S140" i="14"/>
  <c r="G140" i="14"/>
  <c r="S148" i="14"/>
  <c r="G148" i="14"/>
  <c r="S156" i="14"/>
  <c r="G156" i="14"/>
  <c r="S164" i="14"/>
  <c r="G164" i="14"/>
  <c r="S172" i="14"/>
  <c r="G172" i="14"/>
  <c r="S180" i="14"/>
  <c r="G180" i="14"/>
  <c r="S188" i="14"/>
  <c r="G188" i="14"/>
  <c r="S196" i="14"/>
  <c r="G196" i="14"/>
  <c r="S204" i="14"/>
  <c r="G204" i="14"/>
  <c r="G426" i="14"/>
  <c r="C48" i="9" s="1"/>
  <c r="G306" i="14"/>
  <c r="G269" i="14"/>
  <c r="G327" i="14"/>
  <c r="G319" i="14"/>
  <c r="G311" i="14"/>
  <c r="G303" i="14"/>
  <c r="G294" i="14"/>
  <c r="G286" i="14"/>
  <c r="G278" i="14"/>
  <c r="G270" i="14"/>
  <c r="G210" i="14"/>
  <c r="G263" i="14"/>
  <c r="G255" i="14"/>
  <c r="G247" i="14"/>
  <c r="G239" i="14"/>
  <c r="G231" i="14"/>
  <c r="G223" i="14"/>
  <c r="G215" i="14"/>
  <c r="G207" i="14"/>
  <c r="G137" i="14"/>
  <c r="G315" i="14"/>
  <c r="G282" i="14"/>
  <c r="G323" i="14"/>
  <c r="G290" i="14"/>
  <c r="G259" i="14"/>
  <c r="G243" i="14"/>
  <c r="G227" i="14"/>
  <c r="G211" i="14"/>
  <c r="G61" i="14"/>
  <c r="G57" i="14"/>
  <c r="G53" i="14"/>
  <c r="G49" i="14"/>
  <c r="G45" i="14"/>
  <c r="G41" i="14"/>
  <c r="G37" i="14"/>
  <c r="G33" i="14"/>
  <c r="G29" i="14"/>
  <c r="G25" i="14"/>
  <c r="G23" i="14"/>
  <c r="G307" i="14"/>
  <c r="G235" i="14"/>
  <c r="G219" i="14"/>
  <c r="G202" i="14"/>
  <c r="G194" i="14"/>
  <c r="G186" i="14"/>
  <c r="G178" i="14"/>
  <c r="G170" i="14"/>
  <c r="G162" i="14"/>
  <c r="G154" i="14"/>
  <c r="G146" i="14"/>
  <c r="G138" i="14"/>
  <c r="G130" i="14"/>
  <c r="G122" i="14"/>
  <c r="G114" i="14"/>
  <c r="G106" i="14"/>
  <c r="G98" i="14"/>
  <c r="G90" i="14"/>
  <c r="G82" i="14"/>
  <c r="G74" i="14"/>
  <c r="G66" i="14"/>
  <c r="G17" i="14"/>
  <c r="G274" i="14"/>
  <c r="G267" i="14"/>
  <c r="G251" i="14"/>
  <c r="S22" i="14"/>
  <c r="G26" i="14"/>
  <c r="G27" i="14"/>
  <c r="S27" i="14"/>
  <c r="G42" i="14"/>
  <c r="S43" i="14"/>
  <c r="G43" i="14"/>
  <c r="G58" i="14"/>
  <c r="G59" i="14"/>
  <c r="S59" i="14"/>
  <c r="G67" i="14"/>
  <c r="G75" i="14"/>
  <c r="G83" i="14"/>
  <c r="G91" i="14"/>
  <c r="G99" i="14"/>
  <c r="G107" i="14"/>
  <c r="G115" i="14"/>
  <c r="G123" i="14"/>
  <c r="G131" i="14"/>
  <c r="G139" i="14"/>
  <c r="G147" i="14"/>
  <c r="G155" i="14"/>
  <c r="G163" i="14"/>
  <c r="G171" i="14"/>
  <c r="G179" i="14"/>
  <c r="G187" i="14"/>
  <c r="G195" i="14"/>
  <c r="G203" i="14"/>
  <c r="G208" i="14"/>
  <c r="G240" i="14"/>
  <c r="S374" i="14"/>
  <c r="G85" i="14"/>
  <c r="G101" i="14"/>
  <c r="G117" i="14"/>
  <c r="G125" i="14"/>
  <c r="G133" i="14"/>
  <c r="G157" i="14"/>
  <c r="G165" i="14"/>
  <c r="G197" i="14"/>
  <c r="G206" i="14"/>
  <c r="G222" i="14"/>
  <c r="G238" i="14"/>
  <c r="S249" i="14"/>
  <c r="G249" i="14"/>
  <c r="G254" i="14"/>
  <c r="S265" i="14"/>
  <c r="G265" i="14"/>
  <c r="S272" i="14"/>
  <c r="G272" i="14"/>
  <c r="S305" i="14"/>
  <c r="G305" i="14"/>
  <c r="G28" i="14"/>
  <c r="G32" i="14"/>
  <c r="G36" i="14"/>
  <c r="G40" i="14"/>
  <c r="G44" i="14"/>
  <c r="G48" i="14"/>
  <c r="G52" i="14"/>
  <c r="G56" i="14"/>
  <c r="G60" i="14"/>
  <c r="S64" i="14"/>
  <c r="G64" i="14"/>
  <c r="G71" i="14"/>
  <c r="S72" i="14"/>
  <c r="G72" i="14"/>
  <c r="G79" i="14"/>
  <c r="S80" i="14"/>
  <c r="G80" i="14"/>
  <c r="G87" i="14"/>
  <c r="S88" i="14"/>
  <c r="G88" i="14"/>
  <c r="G95" i="14"/>
  <c r="S96" i="14"/>
  <c r="G96" i="14"/>
  <c r="G103" i="14"/>
  <c r="S104" i="14"/>
  <c r="G104" i="14"/>
  <c r="G111" i="14"/>
  <c r="S112" i="14"/>
  <c r="G112" i="14"/>
  <c r="G119" i="14"/>
  <c r="S120" i="14"/>
  <c r="G120" i="14"/>
  <c r="G127" i="14"/>
  <c r="S128" i="14"/>
  <c r="G128" i="14"/>
  <c r="G135" i="14"/>
  <c r="S136" i="14"/>
  <c r="G136" i="14"/>
  <c r="G143" i="14"/>
  <c r="S144" i="14"/>
  <c r="G144" i="14"/>
  <c r="G151" i="14"/>
  <c r="S152" i="14"/>
  <c r="G152" i="14"/>
  <c r="G159" i="14"/>
  <c r="S160" i="14"/>
  <c r="G160" i="14"/>
  <c r="G167" i="14"/>
  <c r="S168" i="14"/>
  <c r="G168" i="14"/>
  <c r="G175" i="14"/>
  <c r="S176" i="14"/>
  <c r="G176" i="14"/>
  <c r="G183" i="14"/>
  <c r="S184" i="14"/>
  <c r="G184" i="14"/>
  <c r="G191" i="14"/>
  <c r="S192" i="14"/>
  <c r="G192" i="14"/>
  <c r="G199" i="14"/>
  <c r="S200" i="14"/>
  <c r="G200" i="14"/>
  <c r="G216" i="14"/>
  <c r="G232" i="14"/>
  <c r="G248" i="14"/>
  <c r="G264" i="14"/>
  <c r="G271" i="14"/>
  <c r="G293" i="14"/>
  <c r="G304" i="14"/>
  <c r="G326" i="14"/>
  <c r="G69" i="14"/>
  <c r="G77" i="14"/>
  <c r="G93" i="14"/>
  <c r="G109" i="14"/>
  <c r="G141" i="14"/>
  <c r="G149" i="14"/>
  <c r="G173" i="14"/>
  <c r="G181" i="14"/>
  <c r="G189" i="14"/>
  <c r="S217" i="14"/>
  <c r="G217" i="14"/>
  <c r="S233" i="14"/>
  <c r="G233" i="14"/>
  <c r="S336" i="14"/>
  <c r="G65" i="14"/>
  <c r="G73" i="14"/>
  <c r="G81" i="14"/>
  <c r="G89" i="14"/>
  <c r="G97" i="14"/>
  <c r="G105" i="14"/>
  <c r="G113" i="14"/>
  <c r="G121" i="14"/>
  <c r="G129" i="14"/>
  <c r="G145" i="14"/>
  <c r="G153" i="14"/>
  <c r="G161" i="14"/>
  <c r="G169" i="14"/>
  <c r="G177" i="14"/>
  <c r="G185" i="14"/>
  <c r="G193" i="14"/>
  <c r="G201" i="14"/>
  <c r="S209" i="14"/>
  <c r="G209" i="14"/>
  <c r="G214" i="14"/>
  <c r="S225" i="14"/>
  <c r="G225" i="14"/>
  <c r="G230" i="14"/>
  <c r="S241" i="14"/>
  <c r="G241" i="14"/>
  <c r="G246" i="14"/>
  <c r="S257" i="14"/>
  <c r="G257" i="14"/>
  <c r="G262" i="14"/>
  <c r="S288" i="14"/>
  <c r="G288" i="14"/>
  <c r="S321" i="14"/>
  <c r="G321" i="14"/>
  <c r="S205" i="14"/>
  <c r="G205" i="14"/>
  <c r="G218" i="14"/>
  <c r="G226" i="14"/>
  <c r="G234" i="14"/>
  <c r="G242" i="14"/>
  <c r="G250" i="14"/>
  <c r="G258" i="14"/>
  <c r="G266" i="14"/>
  <c r="S280" i="14"/>
  <c r="G280" i="14"/>
  <c r="G285" i="14"/>
  <c r="S296" i="14"/>
  <c r="G296" i="14"/>
  <c r="G302" i="14"/>
  <c r="S313" i="14"/>
  <c r="G313" i="14"/>
  <c r="G318" i="14"/>
  <c r="S329" i="14"/>
  <c r="G329" i="14"/>
  <c r="S344" i="14"/>
  <c r="S354" i="14"/>
  <c r="G212" i="14"/>
  <c r="S213" i="14"/>
  <c r="G213" i="14"/>
  <c r="G220" i="14"/>
  <c r="S221" i="14"/>
  <c r="G221" i="14"/>
  <c r="G228" i="14"/>
  <c r="S229" i="14"/>
  <c r="G229" i="14"/>
  <c r="G236" i="14"/>
  <c r="S237" i="14"/>
  <c r="G237" i="14"/>
  <c r="G244" i="14"/>
  <c r="S245" i="14"/>
  <c r="G245" i="14"/>
  <c r="G252" i="14"/>
  <c r="S253" i="14"/>
  <c r="G253" i="14"/>
  <c r="G260" i="14"/>
  <c r="S261" i="14"/>
  <c r="G261" i="14"/>
  <c r="G279" i="14"/>
  <c r="G295" i="14"/>
  <c r="G312" i="14"/>
  <c r="G328" i="14"/>
  <c r="G273" i="14"/>
  <c r="G281" i="14"/>
  <c r="G289" i="14"/>
  <c r="G314" i="14"/>
  <c r="G322" i="14"/>
  <c r="S362" i="14"/>
  <c r="S381" i="14"/>
  <c r="S268" i="14"/>
  <c r="G268" i="14"/>
  <c r="G275" i="14"/>
  <c r="S276" i="14"/>
  <c r="G276" i="14"/>
  <c r="G283" i="14"/>
  <c r="S284" i="14"/>
  <c r="G284" i="14"/>
  <c r="G291" i="14"/>
  <c r="S292" i="14"/>
  <c r="G292" i="14"/>
  <c r="S301" i="14"/>
  <c r="G301" i="14"/>
  <c r="G308" i="14"/>
  <c r="S309" i="14"/>
  <c r="G309" i="14"/>
  <c r="G316" i="14"/>
  <c r="S317" i="14"/>
  <c r="G317" i="14"/>
  <c r="G324" i="14"/>
  <c r="S325" i="14"/>
  <c r="G325" i="14"/>
  <c r="S340" i="14"/>
  <c r="S350" i="14"/>
  <c r="S358" i="14"/>
  <c r="S366" i="14"/>
  <c r="S376" i="14"/>
  <c r="S377" i="14"/>
  <c r="I26" i="15" l="1"/>
  <c r="J25" i="15"/>
  <c r="K25" i="15"/>
  <c r="E387" i="15"/>
  <c r="B19" i="8"/>
  <c r="E35" i="14"/>
  <c r="J12" i="14"/>
  <c r="J13" i="14"/>
  <c r="K12" i="14"/>
  <c r="I14" i="14"/>
  <c r="K14" i="14" s="1"/>
  <c r="E388" i="15" l="1"/>
  <c r="K26" i="15"/>
  <c r="I27" i="15"/>
  <c r="J26" i="15"/>
  <c r="B20" i="8"/>
  <c r="E36" i="14"/>
  <c r="J14" i="14"/>
  <c r="I15" i="14"/>
  <c r="I28" i="15" l="1"/>
  <c r="J27" i="15"/>
  <c r="K27" i="15"/>
  <c r="E389" i="15"/>
  <c r="B21" i="8"/>
  <c r="E37" i="14"/>
  <c r="I16" i="14"/>
  <c r="K15" i="14"/>
  <c r="J15" i="14"/>
  <c r="G23" i="8"/>
  <c r="E390" i="15" l="1"/>
  <c r="K28" i="15"/>
  <c r="I29" i="15"/>
  <c r="J28" i="15"/>
  <c r="B22" i="8"/>
  <c r="E38" i="14"/>
  <c r="I17" i="14"/>
  <c r="K16" i="14"/>
  <c r="J16" i="14"/>
  <c r="I30" i="15" l="1"/>
  <c r="J29" i="15"/>
  <c r="K29" i="15"/>
  <c r="E391" i="15"/>
  <c r="B23" i="8"/>
  <c r="E39" i="14"/>
  <c r="J17" i="14"/>
  <c r="K17" i="14"/>
  <c r="I18" i="14"/>
  <c r="Q21" i="14"/>
  <c r="Q22" i="14"/>
  <c r="E392" i="15" l="1"/>
  <c r="K30" i="15"/>
  <c r="J30" i="15"/>
  <c r="I31" i="15"/>
  <c r="B24" i="8"/>
  <c r="E40" i="14"/>
  <c r="K18" i="14"/>
  <c r="I19" i="14"/>
  <c r="J18" i="14"/>
  <c r="Q23" i="14"/>
  <c r="E393" i="15" l="1"/>
  <c r="I32" i="15"/>
  <c r="J31" i="15"/>
  <c r="K31" i="15"/>
  <c r="B25" i="8"/>
  <c r="E41" i="14"/>
  <c r="N23" i="14"/>
  <c r="O23" i="14"/>
  <c r="K19" i="14"/>
  <c r="I20" i="14"/>
  <c r="J19" i="14"/>
  <c r="Q24" i="14"/>
  <c r="K32" i="15" l="1"/>
  <c r="I33" i="15"/>
  <c r="J32" i="15"/>
  <c r="E394" i="15"/>
  <c r="B26" i="8"/>
  <c r="E42" i="14"/>
  <c r="I21" i="14"/>
  <c r="J20" i="14"/>
  <c r="K20" i="14"/>
  <c r="Q25" i="14"/>
  <c r="E395" i="15" l="1"/>
  <c r="I34" i="15"/>
  <c r="J33" i="15"/>
  <c r="K33" i="15"/>
  <c r="B27" i="8"/>
  <c r="E43" i="14"/>
  <c r="J21" i="14"/>
  <c r="I22" i="14"/>
  <c r="K21" i="14"/>
  <c r="Q26" i="14"/>
  <c r="K34" i="15" l="1"/>
  <c r="I35" i="15"/>
  <c r="J34" i="15"/>
  <c r="E396" i="15"/>
  <c r="B28" i="8"/>
  <c r="E44" i="14"/>
  <c r="K22" i="14"/>
  <c r="I23" i="14"/>
  <c r="I24" i="14" s="1"/>
  <c r="J22" i="14"/>
  <c r="Q27" i="14"/>
  <c r="K35" i="15" l="1"/>
  <c r="I36" i="15"/>
  <c r="J35" i="15"/>
  <c r="E397" i="15"/>
  <c r="B29" i="8"/>
  <c r="E45" i="14"/>
  <c r="K23" i="14"/>
  <c r="J23" i="14"/>
  <c r="K24" i="14"/>
  <c r="J24" i="14"/>
  <c r="Q28" i="14"/>
  <c r="I25" i="14"/>
  <c r="E398" i="15" l="1"/>
  <c r="K36" i="15"/>
  <c r="I37" i="15"/>
  <c r="J36" i="15"/>
  <c r="B30" i="8"/>
  <c r="E46" i="14"/>
  <c r="J25" i="14"/>
  <c r="K25" i="14"/>
  <c r="Q29" i="14"/>
  <c r="I26" i="14"/>
  <c r="K26" i="14" s="1"/>
  <c r="I38" i="15" l="1"/>
  <c r="J37" i="15"/>
  <c r="K37" i="15"/>
  <c r="E399" i="15"/>
  <c r="B31" i="8"/>
  <c r="E47" i="14"/>
  <c r="Q30" i="14"/>
  <c r="I27" i="14"/>
  <c r="K27" i="14" s="1"/>
  <c r="J26" i="14"/>
  <c r="E400" i="15" l="1"/>
  <c r="K38" i="15"/>
  <c r="I39" i="15"/>
  <c r="J38" i="15"/>
  <c r="B32" i="8"/>
  <c r="E48" i="14"/>
  <c r="Q31" i="14"/>
  <c r="I28" i="14"/>
  <c r="J27" i="14"/>
  <c r="K39" i="15" l="1"/>
  <c r="I40" i="15"/>
  <c r="J39" i="15"/>
  <c r="E401" i="15"/>
  <c r="B33" i="8"/>
  <c r="E49" i="14"/>
  <c r="Q32" i="14"/>
  <c r="K28" i="14"/>
  <c r="I29" i="14"/>
  <c r="J28" i="14"/>
  <c r="E402" i="15" l="1"/>
  <c r="K40" i="15"/>
  <c r="J40" i="15"/>
  <c r="I41" i="15"/>
  <c r="B34" i="8"/>
  <c r="E50" i="14"/>
  <c r="Q33" i="14"/>
  <c r="I30" i="14"/>
  <c r="K29" i="14"/>
  <c r="J29" i="14"/>
  <c r="I42" i="15" l="1"/>
  <c r="J41" i="15"/>
  <c r="K41" i="15"/>
  <c r="E403" i="15"/>
  <c r="B35" i="8"/>
  <c r="E51" i="14"/>
  <c r="Q34" i="14"/>
  <c r="K30" i="14"/>
  <c r="I31" i="14"/>
  <c r="J30" i="14"/>
  <c r="K42" i="15" l="1"/>
  <c r="I43" i="15"/>
  <c r="J42" i="15"/>
  <c r="E404" i="15"/>
  <c r="B36" i="8"/>
  <c r="E52" i="14"/>
  <c r="Q35" i="14"/>
  <c r="I32" i="14"/>
  <c r="J31" i="14"/>
  <c r="K31" i="14"/>
  <c r="C45" i="9"/>
  <c r="E405" i="15" l="1"/>
  <c r="K43" i="15"/>
  <c r="I44" i="15"/>
  <c r="J43" i="15"/>
  <c r="B37" i="8"/>
  <c r="E53" i="14"/>
  <c r="Q36" i="14"/>
  <c r="K32" i="14"/>
  <c r="I33" i="14"/>
  <c r="J32" i="14"/>
  <c r="K44" i="15" l="1"/>
  <c r="I45" i="15"/>
  <c r="J44" i="15"/>
  <c r="E406" i="15"/>
  <c r="B38" i="8"/>
  <c r="E54" i="14"/>
  <c r="Q37" i="14"/>
  <c r="I34" i="14"/>
  <c r="K33" i="14"/>
  <c r="J33" i="14"/>
  <c r="E407" i="15" l="1"/>
  <c r="I46" i="15"/>
  <c r="J45" i="15"/>
  <c r="K45" i="15"/>
  <c r="B39" i="8"/>
  <c r="E55" i="14"/>
  <c r="Q38" i="14"/>
  <c r="K34" i="14"/>
  <c r="I35" i="14"/>
  <c r="J34" i="14"/>
  <c r="AE8" i="9"/>
  <c r="AE9" i="9"/>
  <c r="AE10" i="9"/>
  <c r="AE11" i="9"/>
  <c r="AE12" i="9"/>
  <c r="AE13" i="9"/>
  <c r="AE14" i="9"/>
  <c r="AE15" i="9"/>
  <c r="AE16" i="9"/>
  <c r="AE7" i="9"/>
  <c r="AH8" i="9"/>
  <c r="AH9" i="9"/>
  <c r="AH10" i="9"/>
  <c r="AH11" i="9"/>
  <c r="AH12" i="9"/>
  <c r="AH13" i="9"/>
  <c r="AH14" i="9"/>
  <c r="AH15" i="9"/>
  <c r="AH16" i="9"/>
  <c r="AH7" i="9"/>
  <c r="E408" i="15" l="1"/>
  <c r="K46" i="15"/>
  <c r="J46" i="15"/>
  <c r="I47" i="15"/>
  <c r="B40" i="8"/>
  <c r="E56" i="14"/>
  <c r="Q39" i="14"/>
  <c r="I36" i="14"/>
  <c r="J35" i="14"/>
  <c r="K35" i="14"/>
  <c r="D330" i="11"/>
  <c r="D331" i="11" s="1"/>
  <c r="D302" i="11"/>
  <c r="D303" i="11" s="1"/>
  <c r="D304" i="11" s="1"/>
  <c r="D305" i="11" s="1"/>
  <c r="D306" i="11" s="1"/>
  <c r="D307" i="11" s="1"/>
  <c r="D308" i="11" s="1"/>
  <c r="D309" i="11" s="1"/>
  <c r="D310" i="11" s="1"/>
  <c r="D311" i="11" s="1"/>
  <c r="D312" i="11" s="1"/>
  <c r="D313" i="11" s="1"/>
  <c r="D314" i="11" s="1"/>
  <c r="D315" i="11" s="1"/>
  <c r="D316" i="11" s="1"/>
  <c r="D317" i="11" s="1"/>
  <c r="D318" i="11" s="1"/>
  <c r="D319" i="11" s="1"/>
  <c r="D320" i="11" s="1"/>
  <c r="D321" i="11" s="1"/>
  <c r="D322" i="11" s="1"/>
  <c r="D323" i="11" s="1"/>
  <c r="D324" i="11" s="1"/>
  <c r="D325" i="11" s="1"/>
  <c r="D326" i="11" s="1"/>
  <c r="F300" i="11"/>
  <c r="F299" i="11"/>
  <c r="F298" i="11"/>
  <c r="F297" i="11"/>
  <c r="F111" i="11"/>
  <c r="F79" i="11"/>
  <c r="D22" i="1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D111" i="11" s="1"/>
  <c r="D112" i="11" s="1"/>
  <c r="D113" i="11" s="1"/>
  <c r="D114" i="11" s="1"/>
  <c r="D115" i="11" s="1"/>
  <c r="D116" i="11" s="1"/>
  <c r="D117" i="11" s="1"/>
  <c r="D118" i="11" s="1"/>
  <c r="D119" i="11" s="1"/>
  <c r="D120" i="11" s="1"/>
  <c r="D121" i="11" s="1"/>
  <c r="D122" i="11" s="1"/>
  <c r="D123" i="11" s="1"/>
  <c r="D124" i="11" s="1"/>
  <c r="D125" i="11" s="1"/>
  <c r="D126" i="11" s="1"/>
  <c r="D127" i="11" s="1"/>
  <c r="D128" i="11" s="1"/>
  <c r="D129" i="11" s="1"/>
  <c r="D130" i="11" s="1"/>
  <c r="D131" i="11" s="1"/>
  <c r="D132" i="11" s="1"/>
  <c r="D133" i="11" s="1"/>
  <c r="D134" i="11" s="1"/>
  <c r="D135" i="11" s="1"/>
  <c r="D136" i="11" s="1"/>
  <c r="D137" i="11" s="1"/>
  <c r="D138" i="11" s="1"/>
  <c r="D139" i="11" s="1"/>
  <c r="D140" i="11" s="1"/>
  <c r="D141" i="11" s="1"/>
  <c r="D142" i="11" s="1"/>
  <c r="D143" i="11" s="1"/>
  <c r="D144" i="11" s="1"/>
  <c r="D145" i="11" s="1"/>
  <c r="D146" i="11" s="1"/>
  <c r="D147" i="11" s="1"/>
  <c r="D148" i="11" s="1"/>
  <c r="D149" i="11" s="1"/>
  <c r="D150" i="11" s="1"/>
  <c r="D151" i="11" s="1"/>
  <c r="D152" i="11" s="1"/>
  <c r="D153" i="11" s="1"/>
  <c r="D154" i="11" s="1"/>
  <c r="D155" i="11" s="1"/>
  <c r="D156" i="11" s="1"/>
  <c r="D157" i="11" s="1"/>
  <c r="D158" i="11" s="1"/>
  <c r="D159" i="11" s="1"/>
  <c r="D160" i="11" s="1"/>
  <c r="D161" i="11" s="1"/>
  <c r="D162" i="11" s="1"/>
  <c r="D163" i="11" s="1"/>
  <c r="D164" i="11" s="1"/>
  <c r="D165" i="11" s="1"/>
  <c r="D166" i="11" s="1"/>
  <c r="D167" i="11" s="1"/>
  <c r="D168" i="11" s="1"/>
  <c r="D169" i="11" s="1"/>
  <c r="D170" i="11" s="1"/>
  <c r="D171" i="11" s="1"/>
  <c r="D172" i="11" s="1"/>
  <c r="D173" i="11" s="1"/>
  <c r="D174" i="11" s="1"/>
  <c r="D175" i="11" s="1"/>
  <c r="D176" i="11" s="1"/>
  <c r="D177" i="11" s="1"/>
  <c r="D178" i="11" s="1"/>
  <c r="D179" i="11" s="1"/>
  <c r="D180" i="11" s="1"/>
  <c r="D181" i="11" s="1"/>
  <c r="D182" i="11" s="1"/>
  <c r="D183" i="11" s="1"/>
  <c r="D184" i="11" s="1"/>
  <c r="D185" i="11" s="1"/>
  <c r="D186" i="11" s="1"/>
  <c r="D187" i="11" s="1"/>
  <c r="D188" i="11" s="1"/>
  <c r="D189" i="11" s="1"/>
  <c r="D190" i="11" s="1"/>
  <c r="D191" i="11" s="1"/>
  <c r="D192" i="11" s="1"/>
  <c r="D193" i="11" s="1"/>
  <c r="D194" i="11" s="1"/>
  <c r="D195" i="11" s="1"/>
  <c r="D196" i="11" s="1"/>
  <c r="D197" i="11" s="1"/>
  <c r="D198" i="11" s="1"/>
  <c r="D199" i="11" s="1"/>
  <c r="D200" i="11" s="1"/>
  <c r="D201" i="11" s="1"/>
  <c r="D202" i="11" s="1"/>
  <c r="D203" i="11" s="1"/>
  <c r="D204" i="11" s="1"/>
  <c r="D205" i="11" s="1"/>
  <c r="D206" i="11" s="1"/>
  <c r="D207" i="11" s="1"/>
  <c r="D208" i="11" s="1"/>
  <c r="D209" i="11" s="1"/>
  <c r="D210" i="11" s="1"/>
  <c r="D211" i="11" s="1"/>
  <c r="D212" i="11" s="1"/>
  <c r="D213" i="11" s="1"/>
  <c r="D214" i="11" s="1"/>
  <c r="D215" i="11" s="1"/>
  <c r="D216" i="11" s="1"/>
  <c r="D217" i="11" s="1"/>
  <c r="D218" i="11" s="1"/>
  <c r="D219" i="11" s="1"/>
  <c r="D220" i="11" s="1"/>
  <c r="D221" i="11" s="1"/>
  <c r="D222" i="11" s="1"/>
  <c r="D223" i="11" s="1"/>
  <c r="D224" i="11" s="1"/>
  <c r="D225" i="11" s="1"/>
  <c r="D226" i="11" s="1"/>
  <c r="D227" i="11" s="1"/>
  <c r="D228" i="11" s="1"/>
  <c r="D229" i="11" s="1"/>
  <c r="D230" i="11" s="1"/>
  <c r="D231" i="11" s="1"/>
  <c r="D232" i="11" s="1"/>
  <c r="D233" i="11" s="1"/>
  <c r="D234" i="11" s="1"/>
  <c r="D235" i="11" s="1"/>
  <c r="D236" i="11" s="1"/>
  <c r="D237" i="11" s="1"/>
  <c r="D238" i="11" s="1"/>
  <c r="D239" i="11" s="1"/>
  <c r="D240" i="11" s="1"/>
  <c r="D241" i="11" s="1"/>
  <c r="D242" i="11" s="1"/>
  <c r="D243" i="11" s="1"/>
  <c r="D244" i="11" s="1"/>
  <c r="D245" i="11" s="1"/>
  <c r="D246" i="11" s="1"/>
  <c r="D247" i="11" s="1"/>
  <c r="D248" i="11" s="1"/>
  <c r="D249" i="11" s="1"/>
  <c r="D250" i="11" s="1"/>
  <c r="D251" i="11" s="1"/>
  <c r="D252" i="11" s="1"/>
  <c r="D253" i="11" s="1"/>
  <c r="D254" i="11" s="1"/>
  <c r="D255" i="11" s="1"/>
  <c r="D256" i="11" s="1"/>
  <c r="D257" i="11" s="1"/>
  <c r="D258" i="11" s="1"/>
  <c r="D259" i="11" s="1"/>
  <c r="D260" i="11" s="1"/>
  <c r="D261" i="11" s="1"/>
  <c r="D262" i="11" s="1"/>
  <c r="D263" i="11" s="1"/>
  <c r="D264" i="11" s="1"/>
  <c r="D265" i="11" s="1"/>
  <c r="D266" i="11" s="1"/>
  <c r="D267" i="11" s="1"/>
  <c r="D268" i="11" s="1"/>
  <c r="D269" i="11" s="1"/>
  <c r="D270" i="11" s="1"/>
  <c r="D271" i="11" s="1"/>
  <c r="D272" i="11" s="1"/>
  <c r="D273" i="11" s="1"/>
  <c r="D274" i="11" s="1"/>
  <c r="D275" i="11" s="1"/>
  <c r="D276" i="11" s="1"/>
  <c r="D277" i="11" s="1"/>
  <c r="D278" i="11" s="1"/>
  <c r="D279" i="11" s="1"/>
  <c r="D280" i="11" s="1"/>
  <c r="D281" i="11" s="1"/>
  <c r="D282" i="11" s="1"/>
  <c r="D283" i="11" s="1"/>
  <c r="D284" i="11" s="1"/>
  <c r="D285" i="11" s="1"/>
  <c r="D286" i="11" s="1"/>
  <c r="D287" i="11" s="1"/>
  <c r="D288" i="11" s="1"/>
  <c r="D289" i="11" s="1"/>
  <c r="D290" i="11" s="1"/>
  <c r="D291" i="11" s="1"/>
  <c r="D292" i="11" s="1"/>
  <c r="D293" i="11" s="1"/>
  <c r="D294" i="11" s="1"/>
  <c r="D295" i="11" s="1"/>
  <c r="F21" i="11"/>
  <c r="E20" i="11"/>
  <c r="F20" i="11" s="1"/>
  <c r="F19" i="11"/>
  <c r="F15" i="11"/>
  <c r="F14" i="11"/>
  <c r="F13" i="11"/>
  <c r="F12" i="11"/>
  <c r="H12" i="11" s="1"/>
  <c r="K9" i="11"/>
  <c r="E9" i="11"/>
  <c r="F186" i="11" s="1"/>
  <c r="D9" i="11"/>
  <c r="G8" i="11"/>
  <c r="K47" i="15" l="1"/>
  <c r="I48" i="15"/>
  <c r="J47" i="15"/>
  <c r="E409" i="15"/>
  <c r="F116" i="11"/>
  <c r="F28" i="11"/>
  <c r="F127" i="11"/>
  <c r="F327" i="11"/>
  <c r="F124" i="11"/>
  <c r="F36" i="11"/>
  <c r="F328" i="11"/>
  <c r="F31" i="11"/>
  <c r="F32" i="11"/>
  <c r="F170" i="11"/>
  <c r="F16" i="11"/>
  <c r="F119" i="11"/>
  <c r="F329" i="11"/>
  <c r="F190" i="11"/>
  <c r="F63" i="11"/>
  <c r="F68" i="11"/>
  <c r="F71" i="11"/>
  <c r="F35" i="11"/>
  <c r="F202" i="11"/>
  <c r="F17" i="11"/>
  <c r="F18" i="11"/>
  <c r="F76" i="11"/>
  <c r="B41" i="8"/>
  <c r="E57" i="14"/>
  <c r="F330" i="11"/>
  <c r="F84" i="11"/>
  <c r="F132" i="11"/>
  <c r="F331" i="11"/>
  <c r="F39" i="11"/>
  <c r="F40" i="11"/>
  <c r="F87" i="11"/>
  <c r="F135" i="11"/>
  <c r="F140" i="11"/>
  <c r="F23" i="11"/>
  <c r="F47" i="11"/>
  <c r="F95" i="11"/>
  <c r="F143" i="11"/>
  <c r="F52" i="11"/>
  <c r="F100" i="11"/>
  <c r="F148" i="11"/>
  <c r="F324" i="11"/>
  <c r="F92" i="11"/>
  <c r="F24" i="11"/>
  <c r="F55" i="11"/>
  <c r="F103" i="11"/>
  <c r="F151" i="11"/>
  <c r="F325" i="11"/>
  <c r="F44" i="11"/>
  <c r="F27" i="11"/>
  <c r="F60" i="11"/>
  <c r="F108" i="11"/>
  <c r="F156" i="11"/>
  <c r="F326" i="11"/>
  <c r="Q40" i="14"/>
  <c r="K36" i="14"/>
  <c r="I37" i="14"/>
  <c r="J36" i="14"/>
  <c r="I12" i="11"/>
  <c r="H13" i="11"/>
  <c r="J12" i="11"/>
  <c r="F25" i="11"/>
  <c r="F29" i="11"/>
  <c r="F33" i="11"/>
  <c r="F37" i="11"/>
  <c r="F43" i="11"/>
  <c r="F51" i="11"/>
  <c r="F59" i="11"/>
  <c r="F67" i="11"/>
  <c r="F75" i="11"/>
  <c r="F83" i="11"/>
  <c r="F91" i="11"/>
  <c r="F99" i="11"/>
  <c r="F107" i="11"/>
  <c r="F115" i="11"/>
  <c r="F123" i="11"/>
  <c r="F131" i="11"/>
  <c r="F139" i="11"/>
  <c r="F147" i="11"/>
  <c r="F155" i="11"/>
  <c r="F322" i="11"/>
  <c r="F318" i="11"/>
  <c r="F314" i="11"/>
  <c r="F310" i="11"/>
  <c r="F306" i="11"/>
  <c r="F302" i="11"/>
  <c r="F293" i="11"/>
  <c r="F289" i="11"/>
  <c r="F285" i="11"/>
  <c r="F281" i="11"/>
  <c r="F277" i="11"/>
  <c r="F273" i="11"/>
  <c r="F269" i="11"/>
  <c r="F265" i="11"/>
  <c r="F261" i="11"/>
  <c r="F321" i="11"/>
  <c r="F317" i="11"/>
  <c r="F313" i="11"/>
  <c r="F309" i="11"/>
  <c r="F305" i="11"/>
  <c r="F301" i="11"/>
  <c r="F296" i="11"/>
  <c r="F295" i="11"/>
  <c r="F292" i="11"/>
  <c r="F288" i="11"/>
  <c r="F284" i="11"/>
  <c r="F280" i="11"/>
  <c r="F276" i="11"/>
  <c r="F320" i="11"/>
  <c r="F316" i="11"/>
  <c r="F312" i="11"/>
  <c r="F308" i="11"/>
  <c r="F304" i="11"/>
  <c r="F291" i="11"/>
  <c r="F287" i="11"/>
  <c r="F283" i="11"/>
  <c r="F279" i="11"/>
  <c r="F275" i="11"/>
  <c r="F271" i="11"/>
  <c r="F267" i="11"/>
  <c r="F263" i="11"/>
  <c r="F259" i="11"/>
  <c r="F255" i="11"/>
  <c r="F323" i="11"/>
  <c r="F307" i="11"/>
  <c r="F294" i="11"/>
  <c r="F278" i="11"/>
  <c r="F266" i="11"/>
  <c r="F252" i="11"/>
  <c r="F248" i="11"/>
  <c r="F244" i="11"/>
  <c r="F240" i="11"/>
  <c r="F236" i="11"/>
  <c r="F232" i="11"/>
  <c r="F228" i="11"/>
  <c r="F224" i="11"/>
  <c r="F220" i="11"/>
  <c r="F216" i="11"/>
  <c r="F212" i="11"/>
  <c r="F319" i="11"/>
  <c r="F303" i="11"/>
  <c r="F290" i="11"/>
  <c r="F274" i="11"/>
  <c r="F272" i="11"/>
  <c r="F264" i="11"/>
  <c r="F251" i="11"/>
  <c r="F247" i="11"/>
  <c r="F243" i="11"/>
  <c r="F239" i="11"/>
  <c r="F235" i="11"/>
  <c r="F231" i="11"/>
  <c r="F227" i="11"/>
  <c r="F223" i="11"/>
  <c r="F219" i="11"/>
  <c r="F215" i="11"/>
  <c r="F211" i="11"/>
  <c r="F315" i="11"/>
  <c r="F286" i="11"/>
  <c r="F270" i="11"/>
  <c r="F262" i="11"/>
  <c r="F258" i="11"/>
  <c r="F257" i="11"/>
  <c r="F256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60" i="11"/>
  <c r="F249" i="11"/>
  <c r="F233" i="11"/>
  <c r="F217" i="11"/>
  <c r="F209" i="11"/>
  <c r="F205" i="11"/>
  <c r="F201" i="11"/>
  <c r="F197" i="11"/>
  <c r="F193" i="11"/>
  <c r="F189" i="11"/>
  <c r="F185" i="11"/>
  <c r="F181" i="11"/>
  <c r="F177" i="11"/>
  <c r="F173" i="11"/>
  <c r="F169" i="11"/>
  <c r="F165" i="11"/>
  <c r="F161" i="11"/>
  <c r="F282" i="11"/>
  <c r="F245" i="11"/>
  <c r="F229" i="11"/>
  <c r="F213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241" i="11"/>
  <c r="F225" i="11"/>
  <c r="F207" i="11"/>
  <c r="F203" i="11"/>
  <c r="F199" i="11"/>
  <c r="F195" i="11"/>
  <c r="F191" i="11"/>
  <c r="F187" i="11"/>
  <c r="F183" i="11"/>
  <c r="F179" i="11"/>
  <c r="F175" i="11"/>
  <c r="F171" i="11"/>
  <c r="F167" i="11"/>
  <c r="F163" i="11"/>
  <c r="F311" i="11"/>
  <c r="F253" i="11"/>
  <c r="F198" i="11"/>
  <c r="F182" i="11"/>
  <c r="F166" i="11"/>
  <c r="F159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268" i="11"/>
  <c r="F237" i="11"/>
  <c r="F194" i="11"/>
  <c r="F178" i="11"/>
  <c r="F162" i="11"/>
  <c r="F157" i="11"/>
  <c r="F153" i="11"/>
  <c r="F149" i="11"/>
  <c r="F145" i="11"/>
  <c r="F141" i="11"/>
  <c r="F137" i="11"/>
  <c r="F133" i="11"/>
  <c r="F129" i="11"/>
  <c r="F125" i="11"/>
  <c r="F121" i="11"/>
  <c r="F117" i="11"/>
  <c r="F113" i="11"/>
  <c r="F109" i="11"/>
  <c r="F105" i="11"/>
  <c r="F101" i="11"/>
  <c r="F97" i="11"/>
  <c r="F93" i="11"/>
  <c r="F89" i="11"/>
  <c r="F85" i="11"/>
  <c r="F81" i="11"/>
  <c r="F77" i="11"/>
  <c r="F73" i="11"/>
  <c r="F69" i="11"/>
  <c r="F65" i="11"/>
  <c r="F61" i="11"/>
  <c r="F57" i="11"/>
  <c r="F53" i="11"/>
  <c r="F49" i="11"/>
  <c r="F45" i="11"/>
  <c r="F41" i="11"/>
  <c r="F22" i="11"/>
  <c r="F26" i="11"/>
  <c r="F30" i="11"/>
  <c r="F34" i="11"/>
  <c r="F38" i="11"/>
  <c r="F48" i="11"/>
  <c r="F56" i="11"/>
  <c r="F64" i="11"/>
  <c r="F72" i="11"/>
  <c r="F80" i="11"/>
  <c r="F88" i="11"/>
  <c r="F96" i="11"/>
  <c r="F104" i="11"/>
  <c r="F112" i="11"/>
  <c r="F120" i="11"/>
  <c r="F128" i="11"/>
  <c r="F136" i="11"/>
  <c r="F144" i="11"/>
  <c r="F152" i="11"/>
  <c r="F174" i="11"/>
  <c r="F206" i="11"/>
  <c r="F221" i="11"/>
  <c r="E410" i="15" l="1"/>
  <c r="K48" i="15"/>
  <c r="I49" i="15"/>
  <c r="J48" i="15"/>
  <c r="B42" i="8"/>
  <c r="E58" i="14"/>
  <c r="Q41" i="14"/>
  <c r="I38" i="14"/>
  <c r="K37" i="14"/>
  <c r="J37" i="14"/>
  <c r="I13" i="11"/>
  <c r="H14" i="11"/>
  <c r="J13" i="11"/>
  <c r="I50" i="15" l="1"/>
  <c r="J49" i="15"/>
  <c r="K49" i="15"/>
  <c r="E411" i="15"/>
  <c r="B43" i="8"/>
  <c r="E59" i="14"/>
  <c r="Q42" i="14"/>
  <c r="K38" i="14"/>
  <c r="I39" i="14"/>
  <c r="J38" i="14"/>
  <c r="I14" i="11"/>
  <c r="H15" i="11"/>
  <c r="J14" i="11"/>
  <c r="K50" i="15" l="1"/>
  <c r="I51" i="15"/>
  <c r="J50" i="15"/>
  <c r="E412" i="15"/>
  <c r="B44" i="8"/>
  <c r="E60" i="14"/>
  <c r="Q43" i="14"/>
  <c r="I40" i="14"/>
  <c r="J39" i="14"/>
  <c r="K39" i="14"/>
  <c r="I15" i="11"/>
  <c r="H16" i="11"/>
  <c r="J15" i="11"/>
  <c r="E413" i="15" l="1"/>
  <c r="K51" i="15"/>
  <c r="I52" i="15"/>
  <c r="J51" i="15"/>
  <c r="B45" i="8"/>
  <c r="E61" i="14"/>
  <c r="Q44" i="14"/>
  <c r="K40" i="14"/>
  <c r="I41" i="14"/>
  <c r="J40" i="14"/>
  <c r="I16" i="11"/>
  <c r="H17" i="11"/>
  <c r="J16" i="11"/>
  <c r="AF24" i="9"/>
  <c r="AF25" i="9"/>
  <c r="K52" i="15" l="1"/>
  <c r="J52" i="15"/>
  <c r="I53" i="15"/>
  <c r="E414" i="15"/>
  <c r="B46" i="8"/>
  <c r="E62" i="14"/>
  <c r="Q45" i="14"/>
  <c r="J41" i="14"/>
  <c r="K41" i="14"/>
  <c r="I42" i="14"/>
  <c r="I17" i="11"/>
  <c r="H18" i="11"/>
  <c r="J17" i="11"/>
  <c r="I54" i="15" l="1"/>
  <c r="J53" i="15"/>
  <c r="K53" i="15"/>
  <c r="E415" i="15"/>
  <c r="B47" i="8"/>
  <c r="E63" i="14"/>
  <c r="Q46" i="14"/>
  <c r="K42" i="14"/>
  <c r="I43" i="14"/>
  <c r="J42" i="14"/>
  <c r="I18" i="11"/>
  <c r="H19" i="11"/>
  <c r="J18" i="11"/>
  <c r="E416" i="15" l="1"/>
  <c r="K54" i="15"/>
  <c r="I55" i="15"/>
  <c r="J54" i="15"/>
  <c r="B48" i="8"/>
  <c r="E64" i="14"/>
  <c r="Q47" i="14"/>
  <c r="I44" i="14"/>
  <c r="J43" i="14"/>
  <c r="K43" i="14"/>
  <c r="H20" i="11"/>
  <c r="I19" i="11"/>
  <c r="J19" i="11"/>
  <c r="K55" i="15" l="1"/>
  <c r="I56" i="15"/>
  <c r="J55" i="15"/>
  <c r="E417" i="15"/>
  <c r="B49" i="8"/>
  <c r="E65" i="14"/>
  <c r="Q48" i="14"/>
  <c r="K44" i="14"/>
  <c r="I45" i="14"/>
  <c r="J44" i="14"/>
  <c r="H21" i="11"/>
  <c r="J20" i="11"/>
  <c r="I20" i="11"/>
  <c r="K56" i="15" l="1"/>
  <c r="I57" i="15"/>
  <c r="J56" i="15"/>
  <c r="E418" i="15"/>
  <c r="B50" i="8"/>
  <c r="E66" i="14"/>
  <c r="Q49" i="14"/>
  <c r="J45" i="14"/>
  <c r="K45" i="14"/>
  <c r="I46" i="14"/>
  <c r="J21" i="11"/>
  <c r="H22" i="11"/>
  <c r="I21" i="11"/>
  <c r="I58" i="15" l="1"/>
  <c r="J57" i="15"/>
  <c r="K57" i="15"/>
  <c r="E419" i="15"/>
  <c r="B51" i="8"/>
  <c r="E67" i="14"/>
  <c r="Q50" i="14"/>
  <c r="K46" i="14"/>
  <c r="I47" i="14"/>
  <c r="J46" i="14"/>
  <c r="I22" i="11"/>
  <c r="J22" i="11"/>
  <c r="H23" i="11"/>
  <c r="E420" i="15" l="1"/>
  <c r="K58" i="15"/>
  <c r="I59" i="15"/>
  <c r="J58" i="15"/>
  <c r="B52" i="8"/>
  <c r="E68" i="14"/>
  <c r="Q51" i="14"/>
  <c r="I48" i="14"/>
  <c r="J47" i="14"/>
  <c r="K47" i="14"/>
  <c r="J23" i="11"/>
  <c r="H24" i="11"/>
  <c r="I23" i="11"/>
  <c r="K59" i="15" l="1"/>
  <c r="I60" i="15"/>
  <c r="J59" i="15"/>
  <c r="E421" i="15"/>
  <c r="B53" i="8"/>
  <c r="E69" i="14"/>
  <c r="Q52" i="14"/>
  <c r="K48" i="14"/>
  <c r="I49" i="14"/>
  <c r="J48" i="14"/>
  <c r="H25" i="11"/>
  <c r="I24" i="11"/>
  <c r="J24" i="11"/>
  <c r="K60" i="15" l="1"/>
  <c r="J60" i="15"/>
  <c r="I61" i="15"/>
  <c r="B54" i="8"/>
  <c r="E70" i="14"/>
  <c r="Q53" i="14"/>
  <c r="K49" i="14"/>
  <c r="I50" i="14"/>
  <c r="J49" i="14"/>
  <c r="J25" i="11"/>
  <c r="H26" i="11"/>
  <c r="I25" i="11"/>
  <c r="I62" i="15" l="1"/>
  <c r="J61" i="15"/>
  <c r="K61" i="15"/>
  <c r="B55" i="8"/>
  <c r="E71" i="14"/>
  <c r="Q54" i="14"/>
  <c r="K50" i="14"/>
  <c r="I51" i="14"/>
  <c r="J50" i="14"/>
  <c r="H27" i="11"/>
  <c r="J26" i="11"/>
  <c r="I26" i="11"/>
  <c r="K62" i="15" l="1"/>
  <c r="J62" i="15"/>
  <c r="I63" i="15"/>
  <c r="B56" i="8"/>
  <c r="E72" i="14"/>
  <c r="Q55" i="14"/>
  <c r="I52" i="14"/>
  <c r="J51" i="14"/>
  <c r="K51" i="14"/>
  <c r="J27" i="11"/>
  <c r="H28" i="11"/>
  <c r="I27" i="11"/>
  <c r="K63" i="15" l="1"/>
  <c r="I64" i="15"/>
  <c r="J63" i="15"/>
  <c r="B57" i="8"/>
  <c r="E73" i="14"/>
  <c r="Q56" i="14"/>
  <c r="K52" i="14"/>
  <c r="I53" i="14"/>
  <c r="J52" i="14"/>
  <c r="H29" i="11"/>
  <c r="I28" i="11"/>
  <c r="J28" i="11"/>
  <c r="K64" i="15" l="1"/>
  <c r="I65" i="15"/>
  <c r="J64" i="15"/>
  <c r="B58" i="8"/>
  <c r="E74" i="14"/>
  <c r="Q57" i="14"/>
  <c r="I54" i="14"/>
  <c r="J53" i="14"/>
  <c r="K53" i="14"/>
  <c r="J29" i="11"/>
  <c r="H30" i="11"/>
  <c r="I29" i="11"/>
  <c r="I66" i="15" l="1"/>
  <c r="J65" i="15"/>
  <c r="K65" i="15"/>
  <c r="B59" i="8"/>
  <c r="E75" i="14"/>
  <c r="Q58" i="14"/>
  <c r="K54" i="14"/>
  <c r="I55" i="14"/>
  <c r="J54" i="14"/>
  <c r="H31" i="11"/>
  <c r="J30" i="11"/>
  <c r="I30" i="11"/>
  <c r="K66" i="15" l="1"/>
  <c r="I67" i="15"/>
  <c r="J66" i="15"/>
  <c r="B60" i="8"/>
  <c r="E76" i="14"/>
  <c r="Q59" i="14"/>
  <c r="I56" i="14"/>
  <c r="J55" i="14"/>
  <c r="K55" i="14"/>
  <c r="J31" i="11"/>
  <c r="H32" i="11"/>
  <c r="I31" i="11"/>
  <c r="K67" i="15" l="1"/>
  <c r="I68" i="15"/>
  <c r="J67" i="15"/>
  <c r="B61" i="8"/>
  <c r="E77" i="14"/>
  <c r="Q60" i="14"/>
  <c r="K56" i="14"/>
  <c r="I57" i="14"/>
  <c r="J56" i="14"/>
  <c r="H33" i="11"/>
  <c r="I32" i="11"/>
  <c r="J32" i="11"/>
  <c r="K68" i="15" l="1"/>
  <c r="I69" i="15"/>
  <c r="J68" i="15"/>
  <c r="B62" i="8"/>
  <c r="E78" i="14"/>
  <c r="Q61" i="14"/>
  <c r="I58" i="14"/>
  <c r="K57" i="14"/>
  <c r="J57" i="14"/>
  <c r="J33" i="11"/>
  <c r="H34" i="11"/>
  <c r="I33" i="11"/>
  <c r="I70" i="15" l="1"/>
  <c r="J69" i="15"/>
  <c r="K69" i="15"/>
  <c r="B63" i="8"/>
  <c r="E79" i="14"/>
  <c r="Q62" i="14"/>
  <c r="K58" i="14"/>
  <c r="I59" i="14"/>
  <c r="J58" i="14"/>
  <c r="I34" i="11"/>
  <c r="J34" i="11"/>
  <c r="H35" i="11"/>
  <c r="K70" i="15" l="1"/>
  <c r="I71" i="15"/>
  <c r="J70" i="15"/>
  <c r="B64" i="8"/>
  <c r="E80" i="14"/>
  <c r="Q63" i="14"/>
  <c r="I60" i="14"/>
  <c r="J59" i="14"/>
  <c r="K59" i="14"/>
  <c r="J35" i="11"/>
  <c r="H36" i="11"/>
  <c r="I35" i="11"/>
  <c r="K71" i="15" l="1"/>
  <c r="I72" i="15"/>
  <c r="J71" i="15"/>
  <c r="B65" i="8"/>
  <c r="E81" i="14"/>
  <c r="Q64" i="14"/>
  <c r="K60" i="14"/>
  <c r="J60" i="14"/>
  <c r="I61" i="14"/>
  <c r="H37" i="11"/>
  <c r="I36" i="11"/>
  <c r="J36" i="11"/>
  <c r="K72" i="15" l="1"/>
  <c r="I73" i="15"/>
  <c r="J72" i="15"/>
  <c r="B66" i="8"/>
  <c r="E82" i="14"/>
  <c r="Q65" i="14"/>
  <c r="I62" i="14"/>
  <c r="K61" i="14"/>
  <c r="J61" i="14"/>
  <c r="J37" i="11"/>
  <c r="H38" i="11"/>
  <c r="I37" i="11"/>
  <c r="I74" i="15" l="1"/>
  <c r="J73" i="15"/>
  <c r="K73" i="15"/>
  <c r="B67" i="8"/>
  <c r="E83" i="14"/>
  <c r="Q66" i="14"/>
  <c r="K62" i="14"/>
  <c r="I63" i="14"/>
  <c r="J62" i="14"/>
  <c r="H39" i="11"/>
  <c r="J38" i="11"/>
  <c r="I38" i="11"/>
  <c r="K74" i="15" l="1"/>
  <c r="I75" i="15"/>
  <c r="J74" i="15"/>
  <c r="B68" i="8"/>
  <c r="E84" i="14"/>
  <c r="Q67" i="14"/>
  <c r="I64" i="14"/>
  <c r="J63" i="14"/>
  <c r="K63" i="14"/>
  <c r="J39" i="11"/>
  <c r="H40" i="11"/>
  <c r="I39" i="11"/>
  <c r="K75" i="15" l="1"/>
  <c r="I76" i="15"/>
  <c r="J75" i="15"/>
  <c r="B69" i="8"/>
  <c r="E85" i="14"/>
  <c r="Q68" i="14"/>
  <c r="J64" i="14"/>
  <c r="I65" i="14"/>
  <c r="K64" i="14"/>
  <c r="H41" i="11"/>
  <c r="I40" i="11"/>
  <c r="J40" i="11"/>
  <c r="K76" i="15" l="1"/>
  <c r="I77" i="15"/>
  <c r="J76" i="15"/>
  <c r="B70" i="8"/>
  <c r="E86" i="14"/>
  <c r="Q69" i="14"/>
  <c r="K65" i="14"/>
  <c r="I66" i="14"/>
  <c r="J65" i="14"/>
  <c r="J41" i="11"/>
  <c r="I41" i="11"/>
  <c r="H42" i="11"/>
  <c r="I78" i="15" l="1"/>
  <c r="J77" i="15"/>
  <c r="K77" i="15"/>
  <c r="B71" i="8"/>
  <c r="E87" i="14"/>
  <c r="Q70" i="14"/>
  <c r="K66" i="14"/>
  <c r="I67" i="14"/>
  <c r="J66" i="14"/>
  <c r="J42" i="11"/>
  <c r="H43" i="11"/>
  <c r="I42" i="11"/>
  <c r="K78" i="15" l="1"/>
  <c r="J78" i="15"/>
  <c r="I79" i="15"/>
  <c r="B72" i="8"/>
  <c r="E88" i="14"/>
  <c r="Q71" i="14"/>
  <c r="I68" i="14"/>
  <c r="J67" i="14"/>
  <c r="K67" i="14"/>
  <c r="J43" i="11"/>
  <c r="H44" i="11"/>
  <c r="I43" i="11"/>
  <c r="K79" i="15" l="1"/>
  <c r="I80" i="15"/>
  <c r="J79" i="15"/>
  <c r="B73" i="8"/>
  <c r="E89" i="14"/>
  <c r="Q72" i="14"/>
  <c r="I69" i="14"/>
  <c r="K68" i="14"/>
  <c r="J68" i="14"/>
  <c r="H45" i="11"/>
  <c r="I44" i="11"/>
  <c r="J44" i="11"/>
  <c r="K80" i="15" l="1"/>
  <c r="I81" i="15"/>
  <c r="J80" i="15"/>
  <c r="B74" i="8"/>
  <c r="E90" i="14"/>
  <c r="Q73" i="14"/>
  <c r="K69" i="14"/>
  <c r="J69" i="14"/>
  <c r="I70" i="14"/>
  <c r="J45" i="11"/>
  <c r="H46" i="11"/>
  <c r="I45" i="11"/>
  <c r="I82" i="15" l="1"/>
  <c r="J81" i="15"/>
  <c r="K81" i="15"/>
  <c r="B75" i="8"/>
  <c r="E91" i="14"/>
  <c r="Q74" i="14"/>
  <c r="K70" i="14"/>
  <c r="I71" i="14"/>
  <c r="J70" i="14"/>
  <c r="J46" i="11"/>
  <c r="I46" i="11"/>
  <c r="H47" i="11"/>
  <c r="K82" i="15" l="1"/>
  <c r="I83" i="15"/>
  <c r="J82" i="15"/>
  <c r="B76" i="8"/>
  <c r="E92" i="14"/>
  <c r="Q75" i="14"/>
  <c r="I72" i="14"/>
  <c r="J71" i="14"/>
  <c r="K71" i="14"/>
  <c r="J47" i="11"/>
  <c r="H48" i="11"/>
  <c r="I47" i="11"/>
  <c r="K83" i="15" l="1"/>
  <c r="I84" i="15"/>
  <c r="J83" i="15"/>
  <c r="B77" i="8"/>
  <c r="E93" i="14"/>
  <c r="Q76" i="14"/>
  <c r="J72" i="14"/>
  <c r="I73" i="14"/>
  <c r="K72" i="14"/>
  <c r="H49" i="11"/>
  <c r="I48" i="11"/>
  <c r="J48" i="11"/>
  <c r="K84" i="15" l="1"/>
  <c r="J84" i="15"/>
  <c r="I85" i="15"/>
  <c r="B78" i="8"/>
  <c r="E94" i="14"/>
  <c r="Q77" i="14"/>
  <c r="K73" i="14"/>
  <c r="I74" i="14"/>
  <c r="J73" i="14"/>
  <c r="J49" i="11"/>
  <c r="I49" i="11"/>
  <c r="H50" i="11"/>
  <c r="I86" i="15" l="1"/>
  <c r="J85" i="15"/>
  <c r="K85" i="15"/>
  <c r="B79" i="8"/>
  <c r="E95" i="14"/>
  <c r="Q78" i="14"/>
  <c r="K74" i="14"/>
  <c r="I75" i="14"/>
  <c r="J74" i="14"/>
  <c r="J50" i="11"/>
  <c r="H51" i="11"/>
  <c r="I50" i="11"/>
  <c r="K86" i="15" l="1"/>
  <c r="I87" i="15"/>
  <c r="J86" i="15"/>
  <c r="B80" i="8"/>
  <c r="E96" i="14"/>
  <c r="Q79" i="14"/>
  <c r="I76" i="14"/>
  <c r="J75" i="14"/>
  <c r="K75" i="14"/>
  <c r="J51" i="11"/>
  <c r="H52" i="11"/>
  <c r="I51" i="11"/>
  <c r="K87" i="15" l="1"/>
  <c r="I88" i="15"/>
  <c r="J87" i="15"/>
  <c r="B81" i="8"/>
  <c r="E97" i="14"/>
  <c r="Q80" i="14"/>
  <c r="I77" i="14"/>
  <c r="K76" i="14"/>
  <c r="J76" i="14"/>
  <c r="H53" i="11"/>
  <c r="I52" i="11"/>
  <c r="J52" i="11"/>
  <c r="K88" i="15" l="1"/>
  <c r="I89" i="15"/>
  <c r="J88" i="15"/>
  <c r="B82" i="8"/>
  <c r="E98" i="14"/>
  <c r="Q81" i="14"/>
  <c r="K77" i="14"/>
  <c r="J77" i="14"/>
  <c r="I78" i="14"/>
  <c r="J53" i="11"/>
  <c r="H54" i="11"/>
  <c r="I53" i="11"/>
  <c r="I90" i="15" l="1"/>
  <c r="J89" i="15"/>
  <c r="K89" i="15"/>
  <c r="B83" i="8"/>
  <c r="E99" i="14"/>
  <c r="Q82" i="14"/>
  <c r="K78" i="14"/>
  <c r="I79" i="14"/>
  <c r="J78" i="14"/>
  <c r="J54" i="11"/>
  <c r="I54" i="11"/>
  <c r="H55" i="11"/>
  <c r="K90" i="15" l="1"/>
  <c r="I91" i="15"/>
  <c r="J90" i="15"/>
  <c r="B84" i="8"/>
  <c r="E100" i="14"/>
  <c r="Q83" i="14"/>
  <c r="I80" i="14"/>
  <c r="J79" i="14"/>
  <c r="K79" i="14"/>
  <c r="J55" i="11"/>
  <c r="H56" i="11"/>
  <c r="I55" i="11"/>
  <c r="K91" i="15" l="1"/>
  <c r="I92" i="15"/>
  <c r="J91" i="15"/>
  <c r="B85" i="8"/>
  <c r="E101" i="14"/>
  <c r="Q84" i="14"/>
  <c r="J80" i="14"/>
  <c r="I81" i="14"/>
  <c r="K80" i="14"/>
  <c r="H57" i="11"/>
  <c r="I56" i="11"/>
  <c r="J56" i="11"/>
  <c r="K92" i="15" l="1"/>
  <c r="I93" i="15"/>
  <c r="J92" i="15"/>
  <c r="B86" i="8"/>
  <c r="E102" i="14"/>
  <c r="Q85" i="14"/>
  <c r="K81" i="14"/>
  <c r="I82" i="14"/>
  <c r="J81" i="14"/>
  <c r="J57" i="11"/>
  <c r="I57" i="11"/>
  <c r="H58" i="11"/>
  <c r="I94" i="15" l="1"/>
  <c r="J93" i="15"/>
  <c r="K93" i="15"/>
  <c r="B87" i="8"/>
  <c r="E103" i="14"/>
  <c r="Q86" i="14"/>
  <c r="K82" i="14"/>
  <c r="I83" i="14"/>
  <c r="J82" i="14"/>
  <c r="J58" i="11"/>
  <c r="H59" i="11"/>
  <c r="I58" i="11"/>
  <c r="AF23" i="9"/>
  <c r="AF22" i="9"/>
  <c r="AF21" i="9"/>
  <c r="AF20" i="9"/>
  <c r="AF19" i="9"/>
  <c r="AF18" i="9"/>
  <c r="AF17" i="9"/>
  <c r="AF16" i="9"/>
  <c r="K94" i="15" l="1"/>
  <c r="I95" i="15"/>
  <c r="J94" i="15"/>
  <c r="B88" i="8"/>
  <c r="E104" i="14"/>
  <c r="Q87" i="14"/>
  <c r="I84" i="14"/>
  <c r="J83" i="14"/>
  <c r="K83" i="14"/>
  <c r="J59" i="11"/>
  <c r="H60" i="11"/>
  <c r="I59" i="11"/>
  <c r="K95" i="15" l="1"/>
  <c r="I96" i="15"/>
  <c r="J95" i="15"/>
  <c r="B89" i="8"/>
  <c r="E105" i="14"/>
  <c r="Q88" i="14"/>
  <c r="J84" i="14"/>
  <c r="I85" i="14"/>
  <c r="K84" i="14"/>
  <c r="H61" i="11"/>
  <c r="I60" i="11"/>
  <c r="J60" i="11"/>
  <c r="D332" i="11"/>
  <c r="D333" i="11" s="1"/>
  <c r="D334" i="11" s="1"/>
  <c r="D335" i="11" s="1"/>
  <c r="D336" i="11" s="1"/>
  <c r="D337" i="11" s="1"/>
  <c r="D338" i="11" s="1"/>
  <c r="D339" i="11" s="1"/>
  <c r="D340" i="11" s="1"/>
  <c r="D341" i="11" s="1"/>
  <c r="D342" i="11" s="1"/>
  <c r="D343" i="11" s="1"/>
  <c r="D344" i="11" s="1"/>
  <c r="D345" i="11" s="1"/>
  <c r="D346" i="11" s="1"/>
  <c r="D347" i="11" s="1"/>
  <c r="D348" i="11" s="1"/>
  <c r="D349" i="11" s="1"/>
  <c r="F334" i="11"/>
  <c r="K96" i="15" l="1"/>
  <c r="I97" i="15"/>
  <c r="J96" i="15"/>
  <c r="B90" i="8"/>
  <c r="E106" i="14"/>
  <c r="Q89" i="14"/>
  <c r="K85" i="14"/>
  <c r="J85" i="14"/>
  <c r="I86" i="14"/>
  <c r="J61" i="11"/>
  <c r="H62" i="11"/>
  <c r="I61" i="11"/>
  <c r="F333" i="11"/>
  <c r="F332" i="11"/>
  <c r="I98" i="15" l="1"/>
  <c r="J97" i="15"/>
  <c r="K97" i="15"/>
  <c r="B91" i="8"/>
  <c r="E107" i="14"/>
  <c r="Q90" i="14"/>
  <c r="K86" i="14"/>
  <c r="I87" i="14"/>
  <c r="J86" i="14"/>
  <c r="J62" i="11"/>
  <c r="I62" i="11"/>
  <c r="H63" i="11"/>
  <c r="K98" i="15" l="1"/>
  <c r="I99" i="15"/>
  <c r="J98" i="15"/>
  <c r="B92" i="8"/>
  <c r="E108" i="14"/>
  <c r="Q91" i="14"/>
  <c r="I88" i="14"/>
  <c r="J87" i="14"/>
  <c r="K87" i="14"/>
  <c r="J63" i="11"/>
  <c r="H64" i="11"/>
  <c r="I63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8" i="11"/>
  <c r="K99" i="15" l="1"/>
  <c r="I100" i="15"/>
  <c r="J99" i="15"/>
  <c r="B93" i="8"/>
  <c r="E109" i="14"/>
  <c r="Q92" i="14"/>
  <c r="J88" i="14"/>
  <c r="I89" i="14"/>
  <c r="K88" i="14"/>
  <c r="H65" i="11"/>
  <c r="I64" i="11"/>
  <c r="J64" i="11"/>
  <c r="F346" i="11"/>
  <c r="F347" i="11"/>
  <c r="F349" i="11"/>
  <c r="F345" i="11"/>
  <c r="F344" i="11"/>
  <c r="F340" i="11"/>
  <c r="F336" i="11"/>
  <c r="F343" i="11"/>
  <c r="F339" i="11"/>
  <c r="F335" i="11"/>
  <c r="F337" i="11"/>
  <c r="F338" i="11"/>
  <c r="F341" i="11"/>
  <c r="F342" i="11"/>
  <c r="K100" i="15" l="1"/>
  <c r="I101" i="15"/>
  <c r="J100" i="15"/>
  <c r="B94" i="8"/>
  <c r="E110" i="14"/>
  <c r="Q93" i="14"/>
  <c r="K89" i="14"/>
  <c r="I90" i="14"/>
  <c r="J89" i="14"/>
  <c r="J65" i="11"/>
  <c r="I65" i="11"/>
  <c r="H66" i="11"/>
  <c r="I102" i="15" l="1"/>
  <c r="J101" i="15"/>
  <c r="K101" i="15"/>
  <c r="B95" i="8"/>
  <c r="E111" i="14"/>
  <c r="Q94" i="14"/>
  <c r="K90" i="14"/>
  <c r="I91" i="14"/>
  <c r="J90" i="14"/>
  <c r="J66" i="11"/>
  <c r="H67" i="11"/>
  <c r="I66" i="11"/>
  <c r="K102" i="15" l="1"/>
  <c r="I103" i="15"/>
  <c r="J102" i="15"/>
  <c r="B96" i="8"/>
  <c r="E112" i="14"/>
  <c r="Q95" i="14"/>
  <c r="I92" i="14"/>
  <c r="J91" i="14"/>
  <c r="K91" i="14"/>
  <c r="J67" i="11"/>
  <c r="H68" i="11"/>
  <c r="I67" i="11"/>
  <c r="K103" i="15" l="1"/>
  <c r="I104" i="15"/>
  <c r="J103" i="15"/>
  <c r="B97" i="8"/>
  <c r="E113" i="14"/>
  <c r="Q96" i="14"/>
  <c r="I93" i="14"/>
  <c r="K92" i="14"/>
  <c r="J92" i="14"/>
  <c r="H69" i="11"/>
  <c r="I68" i="11"/>
  <c r="J68" i="11"/>
  <c r="K104" i="15" l="1"/>
  <c r="I105" i="15"/>
  <c r="J104" i="15"/>
  <c r="B98" i="8"/>
  <c r="E114" i="14"/>
  <c r="Q97" i="14"/>
  <c r="K93" i="14"/>
  <c r="J93" i="14"/>
  <c r="I94" i="14"/>
  <c r="H70" i="11"/>
  <c r="J69" i="11"/>
  <c r="I69" i="11"/>
  <c r="I106" i="15" l="1"/>
  <c r="J105" i="15"/>
  <c r="K105" i="15"/>
  <c r="B99" i="8"/>
  <c r="E115" i="14"/>
  <c r="Q98" i="14"/>
  <c r="K94" i="14"/>
  <c r="I95" i="14"/>
  <c r="J94" i="14"/>
  <c r="J70" i="11"/>
  <c r="I70" i="11"/>
  <c r="H71" i="11"/>
  <c r="K106" i="15" l="1"/>
  <c r="I107" i="15"/>
  <c r="J106" i="15"/>
  <c r="B100" i="8"/>
  <c r="E116" i="14"/>
  <c r="Q99" i="14"/>
  <c r="I96" i="14"/>
  <c r="J95" i="14"/>
  <c r="K95" i="14"/>
  <c r="J71" i="11"/>
  <c r="H72" i="11"/>
  <c r="I71" i="11"/>
  <c r="K107" i="15" l="1"/>
  <c r="I108" i="15"/>
  <c r="J107" i="15"/>
  <c r="B101" i="8"/>
  <c r="E117" i="14"/>
  <c r="Q100" i="14"/>
  <c r="J96" i="14"/>
  <c r="I97" i="14"/>
  <c r="K96" i="14"/>
  <c r="H73" i="11"/>
  <c r="I72" i="11"/>
  <c r="J72" i="11"/>
  <c r="K108" i="15" l="1"/>
  <c r="I109" i="15"/>
  <c r="J108" i="15"/>
  <c r="B102" i="8"/>
  <c r="E118" i="14"/>
  <c r="Q101" i="14"/>
  <c r="K97" i="14"/>
  <c r="I98" i="14"/>
  <c r="J97" i="14"/>
  <c r="J73" i="11"/>
  <c r="I73" i="11"/>
  <c r="H74" i="11"/>
  <c r="I110" i="15" l="1"/>
  <c r="J109" i="15"/>
  <c r="K109" i="15"/>
  <c r="B103" i="8"/>
  <c r="E119" i="14"/>
  <c r="Q102" i="14"/>
  <c r="K98" i="14"/>
  <c r="I99" i="14"/>
  <c r="J98" i="14"/>
  <c r="J74" i="11"/>
  <c r="H75" i="11"/>
  <c r="I74" i="11"/>
  <c r="K110" i="15" l="1"/>
  <c r="I111" i="15"/>
  <c r="J110" i="15"/>
  <c r="B104" i="8"/>
  <c r="E120" i="14"/>
  <c r="Q103" i="14"/>
  <c r="I100" i="14"/>
  <c r="J99" i="14"/>
  <c r="K99" i="14"/>
  <c r="J75" i="11"/>
  <c r="H76" i="11"/>
  <c r="I75" i="11"/>
  <c r="K111" i="15" l="1"/>
  <c r="I112" i="15"/>
  <c r="J111" i="15"/>
  <c r="B105" i="8"/>
  <c r="E121" i="14"/>
  <c r="Q104" i="14"/>
  <c r="J100" i="14"/>
  <c r="I101" i="14"/>
  <c r="K100" i="14"/>
  <c r="H77" i="11"/>
  <c r="I76" i="11"/>
  <c r="J76" i="11"/>
  <c r="K112" i="15" l="1"/>
  <c r="I113" i="15"/>
  <c r="J112" i="15"/>
  <c r="B106" i="8"/>
  <c r="E122" i="14"/>
  <c r="Q105" i="14"/>
  <c r="K101" i="14"/>
  <c r="J101" i="14"/>
  <c r="I102" i="14"/>
  <c r="J77" i="11"/>
  <c r="H78" i="11"/>
  <c r="I77" i="11"/>
  <c r="I114" i="15" l="1"/>
  <c r="J113" i="15"/>
  <c r="K113" i="15"/>
  <c r="B107" i="8"/>
  <c r="E123" i="14"/>
  <c r="Q106" i="14"/>
  <c r="K102" i="14"/>
  <c r="I103" i="14"/>
  <c r="J102" i="14"/>
  <c r="J78" i="11"/>
  <c r="I78" i="11"/>
  <c r="H79" i="11"/>
  <c r="K114" i="15" l="1"/>
  <c r="I115" i="15"/>
  <c r="J114" i="15"/>
  <c r="B108" i="8"/>
  <c r="E124" i="14"/>
  <c r="Q107" i="14"/>
  <c r="I104" i="14"/>
  <c r="J103" i="14"/>
  <c r="K103" i="14"/>
  <c r="J79" i="11"/>
  <c r="H80" i="11"/>
  <c r="I79" i="11"/>
  <c r="K115" i="15" l="1"/>
  <c r="I116" i="15"/>
  <c r="J115" i="15"/>
  <c r="B109" i="8"/>
  <c r="E125" i="14"/>
  <c r="Q108" i="14"/>
  <c r="J104" i="14"/>
  <c r="I105" i="14"/>
  <c r="K104" i="14"/>
  <c r="H81" i="11"/>
  <c r="I80" i="11"/>
  <c r="J80" i="11"/>
  <c r="K116" i="15" l="1"/>
  <c r="I117" i="15"/>
  <c r="J116" i="15"/>
  <c r="B110" i="8"/>
  <c r="E126" i="14"/>
  <c r="Q109" i="14"/>
  <c r="K105" i="14"/>
  <c r="I106" i="14"/>
  <c r="J105" i="14"/>
  <c r="J81" i="11"/>
  <c r="I81" i="11"/>
  <c r="H82" i="11"/>
  <c r="I118" i="15" l="1"/>
  <c r="J117" i="15"/>
  <c r="K117" i="15"/>
  <c r="B111" i="8"/>
  <c r="E127" i="14"/>
  <c r="Q110" i="14"/>
  <c r="K106" i="14"/>
  <c r="I107" i="14"/>
  <c r="J106" i="14"/>
  <c r="J82" i="11"/>
  <c r="H83" i="11"/>
  <c r="I82" i="11"/>
  <c r="K118" i="15" l="1"/>
  <c r="I119" i="15"/>
  <c r="J118" i="15"/>
  <c r="B112" i="8"/>
  <c r="E128" i="14"/>
  <c r="Q111" i="14"/>
  <c r="I108" i="14"/>
  <c r="J107" i="14"/>
  <c r="K107" i="14"/>
  <c r="J83" i="11"/>
  <c r="H84" i="11"/>
  <c r="I83" i="11"/>
  <c r="K119" i="15" l="1"/>
  <c r="I120" i="15"/>
  <c r="J119" i="15"/>
  <c r="B113" i="8"/>
  <c r="E129" i="14"/>
  <c r="Q112" i="14"/>
  <c r="I109" i="14"/>
  <c r="K108" i="14"/>
  <c r="J108" i="14"/>
  <c r="H85" i="11"/>
  <c r="I84" i="11"/>
  <c r="J84" i="11"/>
  <c r="K120" i="15" l="1"/>
  <c r="I121" i="15"/>
  <c r="J120" i="15"/>
  <c r="B114" i="8"/>
  <c r="E130" i="14"/>
  <c r="Q113" i="14"/>
  <c r="K109" i="14"/>
  <c r="J109" i="14"/>
  <c r="I110" i="14"/>
  <c r="H86" i="11"/>
  <c r="J85" i="11"/>
  <c r="I85" i="11"/>
  <c r="I122" i="15" l="1"/>
  <c r="J121" i="15"/>
  <c r="K121" i="15"/>
  <c r="B115" i="8"/>
  <c r="E131" i="14"/>
  <c r="Q114" i="14"/>
  <c r="K110" i="14"/>
  <c r="I111" i="14"/>
  <c r="J110" i="14"/>
  <c r="J86" i="11"/>
  <c r="I86" i="11"/>
  <c r="H87" i="11"/>
  <c r="K122" i="15" l="1"/>
  <c r="I123" i="15"/>
  <c r="J122" i="15"/>
  <c r="B116" i="8"/>
  <c r="E132" i="14"/>
  <c r="Q115" i="14"/>
  <c r="I112" i="14"/>
  <c r="J111" i="14"/>
  <c r="K111" i="14"/>
  <c r="J87" i="11"/>
  <c r="H88" i="11"/>
  <c r="I87" i="11"/>
  <c r="K123" i="15" l="1"/>
  <c r="I124" i="15"/>
  <c r="J123" i="15"/>
  <c r="B117" i="8"/>
  <c r="E133" i="14"/>
  <c r="Q116" i="14"/>
  <c r="J112" i="14"/>
  <c r="I113" i="14"/>
  <c r="K112" i="14"/>
  <c r="H89" i="11"/>
  <c r="I88" i="11"/>
  <c r="J88" i="11"/>
  <c r="K124" i="15" l="1"/>
  <c r="I125" i="15"/>
  <c r="J124" i="15"/>
  <c r="B118" i="8"/>
  <c r="E134" i="14"/>
  <c r="Q117" i="14"/>
  <c r="K113" i="14"/>
  <c r="I114" i="14"/>
  <c r="J113" i="14"/>
  <c r="J89" i="11"/>
  <c r="I89" i="11"/>
  <c r="H90" i="11"/>
  <c r="I126" i="15" l="1"/>
  <c r="J125" i="15"/>
  <c r="K125" i="15"/>
  <c r="B119" i="8"/>
  <c r="E135" i="14"/>
  <c r="Q118" i="14"/>
  <c r="K114" i="14"/>
  <c r="I115" i="14"/>
  <c r="J114" i="14"/>
  <c r="J90" i="11"/>
  <c r="H91" i="11"/>
  <c r="I90" i="11"/>
  <c r="K126" i="15" l="1"/>
  <c r="I127" i="15"/>
  <c r="J126" i="15"/>
  <c r="B120" i="8"/>
  <c r="E136" i="14"/>
  <c r="Q119" i="14"/>
  <c r="I116" i="14"/>
  <c r="J115" i="14"/>
  <c r="K115" i="14"/>
  <c r="J91" i="11"/>
  <c r="H92" i="11"/>
  <c r="I91" i="11"/>
  <c r="K127" i="15" l="1"/>
  <c r="I128" i="15"/>
  <c r="J127" i="15"/>
  <c r="B121" i="8"/>
  <c r="E137" i="14"/>
  <c r="Q120" i="14"/>
  <c r="J116" i="14"/>
  <c r="I117" i="14"/>
  <c r="K116" i="14"/>
  <c r="H93" i="11"/>
  <c r="I92" i="11"/>
  <c r="J92" i="11"/>
  <c r="K128" i="15" l="1"/>
  <c r="I129" i="15"/>
  <c r="J128" i="15"/>
  <c r="B122" i="8"/>
  <c r="E138" i="14"/>
  <c r="Q121" i="14"/>
  <c r="K117" i="14"/>
  <c r="J117" i="14"/>
  <c r="I118" i="14"/>
  <c r="H94" i="11"/>
  <c r="J93" i="11"/>
  <c r="I93" i="11"/>
  <c r="I130" i="15" l="1"/>
  <c r="J129" i="15"/>
  <c r="K129" i="15"/>
  <c r="B123" i="8"/>
  <c r="E139" i="14"/>
  <c r="Q122" i="14"/>
  <c r="K118" i="14"/>
  <c r="I119" i="14"/>
  <c r="J118" i="14"/>
  <c r="J94" i="11"/>
  <c r="I94" i="11"/>
  <c r="H95" i="11"/>
  <c r="K130" i="15" l="1"/>
  <c r="I131" i="15"/>
  <c r="J130" i="15"/>
  <c r="B124" i="8"/>
  <c r="E140" i="14"/>
  <c r="Q123" i="14"/>
  <c r="I120" i="14"/>
  <c r="J119" i="14"/>
  <c r="K119" i="14"/>
  <c r="J95" i="11"/>
  <c r="H96" i="11"/>
  <c r="I95" i="11"/>
  <c r="K131" i="15" l="1"/>
  <c r="I132" i="15"/>
  <c r="J131" i="15"/>
  <c r="B125" i="8"/>
  <c r="E141" i="14"/>
  <c r="Q124" i="14"/>
  <c r="J120" i="14"/>
  <c r="I121" i="14"/>
  <c r="K120" i="14"/>
  <c r="H97" i="11"/>
  <c r="I96" i="11"/>
  <c r="J96" i="11"/>
  <c r="K132" i="15" l="1"/>
  <c r="I133" i="15"/>
  <c r="J132" i="15"/>
  <c r="B126" i="8"/>
  <c r="E142" i="14"/>
  <c r="Q125" i="14"/>
  <c r="K121" i="14"/>
  <c r="I122" i="14"/>
  <c r="J121" i="14"/>
  <c r="J97" i="11"/>
  <c r="I97" i="11"/>
  <c r="H98" i="11"/>
  <c r="I134" i="15" l="1"/>
  <c r="J133" i="15"/>
  <c r="K133" i="15"/>
  <c r="B127" i="8"/>
  <c r="E143" i="14"/>
  <c r="Q126" i="14"/>
  <c r="K122" i="14"/>
  <c r="I123" i="14"/>
  <c r="J122" i="14"/>
  <c r="J98" i="11"/>
  <c r="H99" i="11"/>
  <c r="I98" i="11"/>
  <c r="K134" i="15" l="1"/>
  <c r="I135" i="15"/>
  <c r="J134" i="15"/>
  <c r="B128" i="8"/>
  <c r="E144" i="14"/>
  <c r="Q127" i="14"/>
  <c r="I124" i="14"/>
  <c r="J123" i="14"/>
  <c r="K123" i="14"/>
  <c r="J99" i="11"/>
  <c r="H100" i="11"/>
  <c r="I99" i="11"/>
  <c r="K135" i="15" l="1"/>
  <c r="I136" i="15"/>
  <c r="J135" i="15"/>
  <c r="B129" i="8"/>
  <c r="E145" i="14"/>
  <c r="Q128" i="14"/>
  <c r="J124" i="14"/>
  <c r="I125" i="14"/>
  <c r="K124" i="14"/>
  <c r="H101" i="11"/>
  <c r="I100" i="11"/>
  <c r="J100" i="11"/>
  <c r="K136" i="15" l="1"/>
  <c r="I137" i="15"/>
  <c r="J136" i="15"/>
  <c r="B130" i="8"/>
  <c r="E146" i="14"/>
  <c r="Q129" i="14"/>
  <c r="K125" i="14"/>
  <c r="J125" i="14"/>
  <c r="I126" i="14"/>
  <c r="J101" i="11"/>
  <c r="H102" i="11"/>
  <c r="I101" i="11"/>
  <c r="I138" i="15" l="1"/>
  <c r="J137" i="15"/>
  <c r="K137" i="15"/>
  <c r="B131" i="8"/>
  <c r="E147" i="14"/>
  <c r="Q130" i="14"/>
  <c r="K126" i="14"/>
  <c r="I127" i="14"/>
  <c r="J126" i="14"/>
  <c r="J102" i="11"/>
  <c r="I102" i="11"/>
  <c r="H103" i="11"/>
  <c r="K138" i="15" l="1"/>
  <c r="J138" i="15"/>
  <c r="I139" i="15"/>
  <c r="B132" i="8"/>
  <c r="E148" i="14"/>
  <c r="Q131" i="14"/>
  <c r="I128" i="14"/>
  <c r="J127" i="14"/>
  <c r="K127" i="14"/>
  <c r="J103" i="11"/>
  <c r="H104" i="11"/>
  <c r="I103" i="11"/>
  <c r="K139" i="15" l="1"/>
  <c r="I140" i="15"/>
  <c r="J139" i="15"/>
  <c r="B133" i="8"/>
  <c r="E149" i="14"/>
  <c r="Q132" i="14"/>
  <c r="J128" i="14"/>
  <c r="I129" i="14"/>
  <c r="K128" i="14"/>
  <c r="H105" i="11"/>
  <c r="I104" i="11"/>
  <c r="J104" i="11"/>
  <c r="K140" i="15" l="1"/>
  <c r="I141" i="15"/>
  <c r="J140" i="15"/>
  <c r="B134" i="8"/>
  <c r="E150" i="14"/>
  <c r="Q133" i="14"/>
  <c r="K129" i="14"/>
  <c r="I130" i="14"/>
  <c r="J129" i="14"/>
  <c r="J105" i="11"/>
  <c r="I105" i="11"/>
  <c r="H106" i="11"/>
  <c r="I142" i="15" l="1"/>
  <c r="J141" i="15"/>
  <c r="K141" i="15"/>
  <c r="B135" i="8"/>
  <c r="E151" i="14"/>
  <c r="Q134" i="14"/>
  <c r="K130" i="14"/>
  <c r="I131" i="14"/>
  <c r="J130" i="14"/>
  <c r="J106" i="11"/>
  <c r="H107" i="11"/>
  <c r="I106" i="11"/>
  <c r="K142" i="15" l="1"/>
  <c r="I143" i="15"/>
  <c r="J142" i="15"/>
  <c r="B136" i="8"/>
  <c r="E152" i="14"/>
  <c r="Q135" i="14"/>
  <c r="I132" i="14"/>
  <c r="J131" i="14"/>
  <c r="K131" i="14"/>
  <c r="J107" i="11"/>
  <c r="H108" i="11"/>
  <c r="I107" i="11"/>
  <c r="K143" i="15" l="1"/>
  <c r="I144" i="15"/>
  <c r="J143" i="15"/>
  <c r="B137" i="8"/>
  <c r="E153" i="14"/>
  <c r="Q136" i="14"/>
  <c r="J132" i="14"/>
  <c r="I133" i="14"/>
  <c r="K132" i="14"/>
  <c r="H109" i="11"/>
  <c r="I108" i="11"/>
  <c r="J108" i="11"/>
  <c r="K144" i="15" l="1"/>
  <c r="I145" i="15"/>
  <c r="J144" i="15"/>
  <c r="B138" i="8"/>
  <c r="E154" i="14"/>
  <c r="Q137" i="14"/>
  <c r="K133" i="14"/>
  <c r="J133" i="14"/>
  <c r="I134" i="14"/>
  <c r="J109" i="11"/>
  <c r="H110" i="11"/>
  <c r="I109" i="11"/>
  <c r="I146" i="15" l="1"/>
  <c r="J145" i="15"/>
  <c r="K145" i="15"/>
  <c r="B139" i="8"/>
  <c r="E155" i="14"/>
  <c r="Q138" i="14"/>
  <c r="K134" i="14"/>
  <c r="I135" i="14"/>
  <c r="J134" i="14"/>
  <c r="J110" i="11"/>
  <c r="I110" i="11"/>
  <c r="H111" i="11"/>
  <c r="K146" i="15" l="1"/>
  <c r="I147" i="15"/>
  <c r="J146" i="15"/>
  <c r="B140" i="8"/>
  <c r="E156" i="14"/>
  <c r="Q139" i="14"/>
  <c r="I136" i="14"/>
  <c r="J135" i="14"/>
  <c r="K135" i="14"/>
  <c r="J111" i="11"/>
  <c r="H112" i="11"/>
  <c r="I111" i="11"/>
  <c r="I148" i="15" l="1"/>
  <c r="K147" i="15"/>
  <c r="J147" i="15"/>
  <c r="B141" i="8"/>
  <c r="E157" i="14"/>
  <c r="Q140" i="14"/>
  <c r="J136" i="14"/>
  <c r="I137" i="14"/>
  <c r="K136" i="14"/>
  <c r="H113" i="11"/>
  <c r="I112" i="11"/>
  <c r="J112" i="11"/>
  <c r="K148" i="15" l="1"/>
  <c r="I149" i="15"/>
  <c r="J148" i="15"/>
  <c r="B142" i="8"/>
  <c r="E158" i="14"/>
  <c r="Q141" i="14"/>
  <c r="K137" i="14"/>
  <c r="I138" i="14"/>
  <c r="J137" i="14"/>
  <c r="J113" i="11"/>
  <c r="I113" i="11"/>
  <c r="H114" i="11"/>
  <c r="I150" i="15" l="1"/>
  <c r="J149" i="15"/>
  <c r="K149" i="15"/>
  <c r="B143" i="8"/>
  <c r="E159" i="14"/>
  <c r="Q142" i="14"/>
  <c r="K138" i="14"/>
  <c r="I139" i="14"/>
  <c r="J138" i="14"/>
  <c r="J114" i="11"/>
  <c r="H115" i="11"/>
  <c r="I114" i="11"/>
  <c r="K150" i="15" l="1"/>
  <c r="I151" i="15"/>
  <c r="J150" i="15"/>
  <c r="B144" i="8"/>
  <c r="E160" i="14"/>
  <c r="Q143" i="14"/>
  <c r="I140" i="14"/>
  <c r="J139" i="14"/>
  <c r="K139" i="14"/>
  <c r="J115" i="11"/>
  <c r="H116" i="11"/>
  <c r="I115" i="11"/>
  <c r="I152" i="15" l="1"/>
  <c r="J151" i="15"/>
  <c r="K151" i="15"/>
  <c r="B145" i="8"/>
  <c r="E161" i="14"/>
  <c r="Q144" i="14"/>
  <c r="I141" i="14"/>
  <c r="K140" i="14"/>
  <c r="J140" i="14"/>
  <c r="H117" i="11"/>
  <c r="I116" i="11"/>
  <c r="J116" i="11"/>
  <c r="K152" i="15" l="1"/>
  <c r="J152" i="15"/>
  <c r="I153" i="15"/>
  <c r="B146" i="8"/>
  <c r="E162" i="14"/>
  <c r="Q145" i="14"/>
  <c r="K141" i="14"/>
  <c r="J141" i="14"/>
  <c r="I142" i="14"/>
  <c r="H118" i="11"/>
  <c r="J117" i="11"/>
  <c r="I117" i="11"/>
  <c r="I154" i="15" l="1"/>
  <c r="J153" i="15"/>
  <c r="K153" i="15"/>
  <c r="B147" i="8"/>
  <c r="E163" i="14"/>
  <c r="Q146" i="14"/>
  <c r="K142" i="14"/>
  <c r="I143" i="14"/>
  <c r="J142" i="14"/>
  <c r="J118" i="11"/>
  <c r="I118" i="11"/>
  <c r="H119" i="11"/>
  <c r="K154" i="15" l="1"/>
  <c r="I155" i="15"/>
  <c r="J154" i="15"/>
  <c r="B148" i="8"/>
  <c r="E164" i="14"/>
  <c r="Q147" i="14"/>
  <c r="I144" i="14"/>
  <c r="J143" i="14"/>
  <c r="K143" i="14"/>
  <c r="J119" i="11"/>
  <c r="H120" i="11"/>
  <c r="I119" i="11"/>
  <c r="I156" i="15" l="1"/>
  <c r="J155" i="15"/>
  <c r="K155" i="15"/>
  <c r="B149" i="8"/>
  <c r="E165" i="14"/>
  <c r="Q148" i="14"/>
  <c r="J144" i="14"/>
  <c r="I145" i="14"/>
  <c r="K144" i="14"/>
  <c r="H121" i="11"/>
  <c r="I120" i="11"/>
  <c r="J120" i="11"/>
  <c r="K156" i="15" l="1"/>
  <c r="I157" i="15"/>
  <c r="J156" i="15"/>
  <c r="B150" i="8"/>
  <c r="E166" i="14"/>
  <c r="Q149" i="14"/>
  <c r="K145" i="14"/>
  <c r="I146" i="14"/>
  <c r="J145" i="14"/>
  <c r="J121" i="11"/>
  <c r="I121" i="11"/>
  <c r="H122" i="11"/>
  <c r="I158" i="15" l="1"/>
  <c r="J157" i="15"/>
  <c r="K157" i="15"/>
  <c r="B151" i="8"/>
  <c r="E167" i="14"/>
  <c r="Q150" i="14"/>
  <c r="K146" i="14"/>
  <c r="I147" i="14"/>
  <c r="J146" i="14"/>
  <c r="J122" i="11"/>
  <c r="H123" i="11"/>
  <c r="I122" i="11"/>
  <c r="K158" i="15" l="1"/>
  <c r="I159" i="15"/>
  <c r="J158" i="15"/>
  <c r="B152" i="8"/>
  <c r="E168" i="14"/>
  <c r="Q151" i="14"/>
  <c r="I148" i="14"/>
  <c r="J147" i="14"/>
  <c r="K147" i="14"/>
  <c r="J123" i="11"/>
  <c r="H124" i="11"/>
  <c r="I123" i="11"/>
  <c r="I160" i="15" l="1"/>
  <c r="J159" i="15"/>
  <c r="K159" i="15"/>
  <c r="B153" i="8"/>
  <c r="E169" i="14"/>
  <c r="Q152" i="14"/>
  <c r="I149" i="14"/>
  <c r="K148" i="14"/>
  <c r="J148" i="14"/>
  <c r="H125" i="11"/>
  <c r="I124" i="11"/>
  <c r="J124" i="11"/>
  <c r="K160" i="15" l="1"/>
  <c r="J160" i="15"/>
  <c r="I161" i="15"/>
  <c r="B154" i="8"/>
  <c r="E170" i="14"/>
  <c r="Q153" i="14"/>
  <c r="K149" i="14"/>
  <c r="J149" i="14"/>
  <c r="I150" i="14"/>
  <c r="J125" i="11"/>
  <c r="H126" i="11"/>
  <c r="I125" i="11"/>
  <c r="I162" i="15" l="1"/>
  <c r="J161" i="15"/>
  <c r="K161" i="15"/>
  <c r="B155" i="8"/>
  <c r="E171" i="14"/>
  <c r="Q154" i="14"/>
  <c r="K150" i="14"/>
  <c r="I151" i="14"/>
  <c r="J150" i="14"/>
  <c r="J126" i="11"/>
  <c r="I126" i="11"/>
  <c r="H127" i="11"/>
  <c r="K162" i="15" l="1"/>
  <c r="I163" i="15"/>
  <c r="J162" i="15"/>
  <c r="B156" i="8"/>
  <c r="E172" i="14"/>
  <c r="Q155" i="14"/>
  <c r="I152" i="14"/>
  <c r="J151" i="14"/>
  <c r="K151" i="14"/>
  <c r="J127" i="11"/>
  <c r="H128" i="11"/>
  <c r="I127" i="11"/>
  <c r="I164" i="15" l="1"/>
  <c r="J163" i="15"/>
  <c r="K163" i="15"/>
  <c r="B157" i="8"/>
  <c r="E173" i="14"/>
  <c r="Q156" i="14"/>
  <c r="J152" i="14"/>
  <c r="I153" i="14"/>
  <c r="K152" i="14"/>
  <c r="H129" i="11"/>
  <c r="I128" i="11"/>
  <c r="J128" i="11"/>
  <c r="K164" i="15" l="1"/>
  <c r="I165" i="15"/>
  <c r="J164" i="15"/>
  <c r="B158" i="8"/>
  <c r="E174" i="14"/>
  <c r="Q157" i="14"/>
  <c r="K153" i="14"/>
  <c r="I154" i="14"/>
  <c r="J153" i="14"/>
  <c r="J129" i="11"/>
  <c r="I129" i="11"/>
  <c r="H130" i="11"/>
  <c r="I166" i="15" l="1"/>
  <c r="J165" i="15"/>
  <c r="K165" i="15"/>
  <c r="B159" i="8"/>
  <c r="E175" i="14"/>
  <c r="Q158" i="14"/>
  <c r="K154" i="14"/>
  <c r="I155" i="14"/>
  <c r="J154" i="14"/>
  <c r="J130" i="11"/>
  <c r="H131" i="11"/>
  <c r="I130" i="11"/>
  <c r="K166" i="15" l="1"/>
  <c r="I167" i="15"/>
  <c r="J166" i="15"/>
  <c r="B160" i="8"/>
  <c r="E176" i="14"/>
  <c r="Q159" i="14"/>
  <c r="I156" i="14"/>
  <c r="J155" i="14"/>
  <c r="K155" i="14"/>
  <c r="J131" i="11"/>
  <c r="H132" i="11"/>
  <c r="I131" i="11"/>
  <c r="I168" i="15" l="1"/>
  <c r="J167" i="15"/>
  <c r="K167" i="15"/>
  <c r="B161" i="8"/>
  <c r="E177" i="14"/>
  <c r="Q160" i="14"/>
  <c r="J156" i="14"/>
  <c r="I157" i="14"/>
  <c r="K156" i="14"/>
  <c r="H133" i="11"/>
  <c r="I132" i="11"/>
  <c r="J132" i="11"/>
  <c r="K168" i="15" l="1"/>
  <c r="J168" i="15"/>
  <c r="I169" i="15"/>
  <c r="B162" i="8"/>
  <c r="E178" i="14"/>
  <c r="Q161" i="14"/>
  <c r="K157" i="14"/>
  <c r="J157" i="14"/>
  <c r="I158" i="14"/>
  <c r="H134" i="11"/>
  <c r="J133" i="11"/>
  <c r="I133" i="11"/>
  <c r="I170" i="15" l="1"/>
  <c r="J169" i="15"/>
  <c r="K169" i="15"/>
  <c r="B163" i="8"/>
  <c r="E179" i="14"/>
  <c r="Q162" i="14"/>
  <c r="K158" i="14"/>
  <c r="I159" i="14"/>
  <c r="J158" i="14"/>
  <c r="J134" i="11"/>
  <c r="I134" i="11"/>
  <c r="H135" i="11"/>
  <c r="K170" i="15" l="1"/>
  <c r="I171" i="15"/>
  <c r="J170" i="15"/>
  <c r="B164" i="8"/>
  <c r="E180" i="14"/>
  <c r="Q163" i="14"/>
  <c r="I160" i="14"/>
  <c r="J159" i="14"/>
  <c r="K159" i="14"/>
  <c r="J135" i="11"/>
  <c r="H136" i="11"/>
  <c r="I135" i="11"/>
  <c r="I172" i="15" l="1"/>
  <c r="J171" i="15"/>
  <c r="K171" i="15"/>
  <c r="B165" i="8"/>
  <c r="E181" i="14"/>
  <c r="Q164" i="14"/>
  <c r="J160" i="14"/>
  <c r="I161" i="14"/>
  <c r="K160" i="14"/>
  <c r="H137" i="11"/>
  <c r="I136" i="11"/>
  <c r="J136" i="11"/>
  <c r="K172" i="15" l="1"/>
  <c r="I173" i="15"/>
  <c r="J172" i="15"/>
  <c r="B166" i="8"/>
  <c r="E182" i="14"/>
  <c r="Q165" i="14"/>
  <c r="K161" i="14"/>
  <c r="I162" i="14"/>
  <c r="J161" i="14"/>
  <c r="J137" i="11"/>
  <c r="I137" i="11"/>
  <c r="H138" i="11"/>
  <c r="I174" i="15" l="1"/>
  <c r="J173" i="15"/>
  <c r="K173" i="15"/>
  <c r="B167" i="8"/>
  <c r="E183" i="14"/>
  <c r="Q166" i="14"/>
  <c r="K162" i="14"/>
  <c r="I163" i="14"/>
  <c r="J162" i="14"/>
  <c r="J138" i="11"/>
  <c r="H139" i="11"/>
  <c r="I138" i="11"/>
  <c r="K174" i="15" l="1"/>
  <c r="I175" i="15"/>
  <c r="J174" i="15"/>
  <c r="B168" i="8"/>
  <c r="E184" i="14"/>
  <c r="Q167" i="14"/>
  <c r="I164" i="14"/>
  <c r="J163" i="14"/>
  <c r="K163" i="14"/>
  <c r="J139" i="11"/>
  <c r="H140" i="11"/>
  <c r="I139" i="11"/>
  <c r="I176" i="15" l="1"/>
  <c r="J175" i="15"/>
  <c r="K175" i="15"/>
  <c r="B169" i="8"/>
  <c r="E185" i="14"/>
  <c r="Q168" i="14"/>
  <c r="J164" i="14"/>
  <c r="I165" i="14"/>
  <c r="K164" i="14"/>
  <c r="H141" i="11"/>
  <c r="I140" i="11"/>
  <c r="J140" i="11"/>
  <c r="K176" i="15" l="1"/>
  <c r="I177" i="15"/>
  <c r="J176" i="15"/>
  <c r="B170" i="8"/>
  <c r="E186" i="14"/>
  <c r="Q169" i="14"/>
  <c r="K165" i="14"/>
  <c r="J165" i="14"/>
  <c r="I166" i="14"/>
  <c r="H142" i="11"/>
  <c r="J141" i="11"/>
  <c r="I141" i="11"/>
  <c r="I178" i="15" l="1"/>
  <c r="J177" i="15"/>
  <c r="K177" i="15"/>
  <c r="B171" i="8"/>
  <c r="E187" i="14"/>
  <c r="Q170" i="14"/>
  <c r="K166" i="14"/>
  <c r="I167" i="14"/>
  <c r="J166" i="14"/>
  <c r="J142" i="11"/>
  <c r="I142" i="11"/>
  <c r="H143" i="11"/>
  <c r="K178" i="15" l="1"/>
  <c r="I179" i="15"/>
  <c r="J178" i="15"/>
  <c r="B172" i="8"/>
  <c r="E188" i="14"/>
  <c r="Q171" i="14"/>
  <c r="I168" i="14"/>
  <c r="J167" i="14"/>
  <c r="K167" i="14"/>
  <c r="J143" i="11"/>
  <c r="H144" i="11"/>
  <c r="I143" i="11"/>
  <c r="I180" i="15" l="1"/>
  <c r="J179" i="15"/>
  <c r="K179" i="15"/>
  <c r="B173" i="8"/>
  <c r="E189" i="14"/>
  <c r="Q172" i="14"/>
  <c r="J168" i="14"/>
  <c r="I169" i="14"/>
  <c r="K168" i="14"/>
  <c r="H145" i="11"/>
  <c r="I144" i="11"/>
  <c r="J144" i="11"/>
  <c r="K180" i="15" l="1"/>
  <c r="I181" i="15"/>
  <c r="J180" i="15"/>
  <c r="B174" i="8"/>
  <c r="E190" i="14"/>
  <c r="Q173" i="14"/>
  <c r="K169" i="14"/>
  <c r="I170" i="14"/>
  <c r="J169" i="14"/>
  <c r="J145" i="11"/>
  <c r="I145" i="11"/>
  <c r="H146" i="11"/>
  <c r="I182" i="15" l="1"/>
  <c r="J181" i="15"/>
  <c r="K181" i="15"/>
  <c r="B175" i="8"/>
  <c r="E191" i="14"/>
  <c r="Q174" i="14"/>
  <c r="K170" i="14"/>
  <c r="I171" i="14"/>
  <c r="J170" i="14"/>
  <c r="J146" i="11"/>
  <c r="H147" i="11"/>
  <c r="I146" i="11"/>
  <c r="K182" i="15" l="1"/>
  <c r="I183" i="15"/>
  <c r="J182" i="15"/>
  <c r="B176" i="8"/>
  <c r="E192" i="14"/>
  <c r="Q175" i="14"/>
  <c r="I172" i="14"/>
  <c r="J171" i="14"/>
  <c r="K171" i="14"/>
  <c r="J147" i="11"/>
  <c r="H148" i="11"/>
  <c r="I147" i="11"/>
  <c r="I184" i="15" l="1"/>
  <c r="J183" i="15"/>
  <c r="K183" i="15"/>
  <c r="B177" i="8"/>
  <c r="E193" i="14"/>
  <c r="Q176" i="14"/>
  <c r="I173" i="14"/>
  <c r="K172" i="14"/>
  <c r="J172" i="14"/>
  <c r="H149" i="11"/>
  <c r="I148" i="11"/>
  <c r="J148" i="11"/>
  <c r="K184" i="15" l="1"/>
  <c r="I185" i="15"/>
  <c r="J184" i="15"/>
  <c r="B178" i="8"/>
  <c r="E194" i="14"/>
  <c r="Q177" i="14"/>
  <c r="K173" i="14"/>
  <c r="J173" i="14"/>
  <c r="I174" i="14"/>
  <c r="H150" i="11"/>
  <c r="J149" i="11"/>
  <c r="I149" i="11"/>
  <c r="I186" i="15" l="1"/>
  <c r="J185" i="15"/>
  <c r="K185" i="15"/>
  <c r="B179" i="8"/>
  <c r="E195" i="14"/>
  <c r="Q178" i="14"/>
  <c r="K174" i="14"/>
  <c r="I175" i="14"/>
  <c r="J174" i="14"/>
  <c r="J150" i="11"/>
  <c r="I150" i="11"/>
  <c r="H151" i="11"/>
  <c r="K186" i="15" l="1"/>
  <c r="I187" i="15"/>
  <c r="J186" i="15"/>
  <c r="B180" i="8"/>
  <c r="E196" i="14"/>
  <c r="Q179" i="14"/>
  <c r="I176" i="14"/>
  <c r="J175" i="14"/>
  <c r="K175" i="14"/>
  <c r="J151" i="11"/>
  <c r="H152" i="11"/>
  <c r="I151" i="11"/>
  <c r="I188" i="15" l="1"/>
  <c r="J187" i="15"/>
  <c r="K187" i="15"/>
  <c r="B181" i="8"/>
  <c r="E197" i="14"/>
  <c r="Q180" i="14"/>
  <c r="J176" i="14"/>
  <c r="I177" i="14"/>
  <c r="K176" i="14"/>
  <c r="H153" i="11"/>
  <c r="I152" i="11"/>
  <c r="J152" i="11"/>
  <c r="K188" i="15" l="1"/>
  <c r="I189" i="15"/>
  <c r="J188" i="15"/>
  <c r="B182" i="8"/>
  <c r="E198" i="14"/>
  <c r="Q181" i="14"/>
  <c r="K177" i="14"/>
  <c r="I178" i="14"/>
  <c r="J177" i="14"/>
  <c r="J153" i="11"/>
  <c r="H154" i="11"/>
  <c r="I153" i="11"/>
  <c r="I190" i="15" l="1"/>
  <c r="J189" i="15"/>
  <c r="K189" i="15"/>
  <c r="B183" i="8"/>
  <c r="E199" i="14"/>
  <c r="Q182" i="14"/>
  <c r="K178" i="14"/>
  <c r="I179" i="14"/>
  <c r="J178" i="14"/>
  <c r="J154" i="11"/>
  <c r="H155" i="11"/>
  <c r="I154" i="11"/>
  <c r="K190" i="15" l="1"/>
  <c r="I191" i="15"/>
  <c r="J190" i="15"/>
  <c r="B184" i="8"/>
  <c r="E200" i="14"/>
  <c r="Q183" i="14"/>
  <c r="I180" i="14"/>
  <c r="J179" i="14"/>
  <c r="K179" i="14"/>
  <c r="J155" i="11"/>
  <c r="H156" i="11"/>
  <c r="I155" i="11"/>
  <c r="K191" i="15" l="1"/>
  <c r="I192" i="15"/>
  <c r="J191" i="15"/>
  <c r="B185" i="8"/>
  <c r="E201" i="14"/>
  <c r="Q184" i="14"/>
  <c r="I181" i="14"/>
  <c r="K180" i="14"/>
  <c r="J180" i="14"/>
  <c r="H157" i="11"/>
  <c r="I156" i="11"/>
  <c r="J156" i="11"/>
  <c r="K192" i="15" l="1"/>
  <c r="I193" i="15"/>
  <c r="J192" i="15"/>
  <c r="B186" i="8"/>
  <c r="E202" i="14"/>
  <c r="Q185" i="14"/>
  <c r="K181" i="14"/>
  <c r="J181" i="14"/>
  <c r="I182" i="14"/>
  <c r="I157" i="11"/>
  <c r="H158" i="11"/>
  <c r="J157" i="11"/>
  <c r="I194" i="15" l="1"/>
  <c r="J193" i="15"/>
  <c r="K193" i="15"/>
  <c r="B187" i="8"/>
  <c r="E203" i="14"/>
  <c r="Q186" i="14"/>
  <c r="K182" i="14"/>
  <c r="I183" i="14"/>
  <c r="J182" i="14"/>
  <c r="J158" i="11"/>
  <c r="H159" i="11"/>
  <c r="I158" i="11"/>
  <c r="K194" i="15" l="1"/>
  <c r="J194" i="15"/>
  <c r="I195" i="15"/>
  <c r="B188" i="8"/>
  <c r="E204" i="14"/>
  <c r="Q187" i="14"/>
  <c r="I184" i="14"/>
  <c r="J183" i="14"/>
  <c r="K183" i="14"/>
  <c r="H160" i="11"/>
  <c r="I159" i="11"/>
  <c r="J159" i="11"/>
  <c r="K195" i="15" l="1"/>
  <c r="I196" i="15"/>
  <c r="J195" i="15"/>
  <c r="B189" i="8"/>
  <c r="E205" i="14"/>
  <c r="Q188" i="14"/>
  <c r="J184" i="14"/>
  <c r="I185" i="14"/>
  <c r="K184" i="14"/>
  <c r="J160" i="11"/>
  <c r="I160" i="11"/>
  <c r="H161" i="11"/>
  <c r="K196" i="15" l="1"/>
  <c r="I197" i="15"/>
  <c r="J196" i="15"/>
  <c r="B190" i="8"/>
  <c r="E206" i="14"/>
  <c r="Q189" i="14"/>
  <c r="K185" i="14"/>
  <c r="I186" i="14"/>
  <c r="J185" i="14"/>
  <c r="J161" i="11"/>
  <c r="H162" i="11"/>
  <c r="I161" i="11"/>
  <c r="I198" i="15" l="1"/>
  <c r="J197" i="15"/>
  <c r="K197" i="15"/>
  <c r="B191" i="8"/>
  <c r="E207" i="14"/>
  <c r="Q190" i="14"/>
  <c r="K186" i="14"/>
  <c r="I187" i="14"/>
  <c r="J186" i="14"/>
  <c r="J162" i="11"/>
  <c r="H163" i="11"/>
  <c r="I162" i="11"/>
  <c r="K198" i="15" l="1"/>
  <c r="I199" i="15"/>
  <c r="J198" i="15"/>
  <c r="B192" i="8"/>
  <c r="E208" i="14"/>
  <c r="Q191" i="14"/>
  <c r="I188" i="14"/>
  <c r="J187" i="14"/>
  <c r="K187" i="14"/>
  <c r="H164" i="11"/>
  <c r="I163" i="11"/>
  <c r="J163" i="11"/>
  <c r="K199" i="15" l="1"/>
  <c r="I200" i="15"/>
  <c r="J199" i="15"/>
  <c r="B193" i="8"/>
  <c r="E209" i="14"/>
  <c r="Q192" i="14"/>
  <c r="I189" i="14"/>
  <c r="K188" i="14"/>
  <c r="J188" i="14"/>
  <c r="J164" i="11"/>
  <c r="H165" i="11"/>
  <c r="I164" i="11"/>
  <c r="K200" i="15" l="1"/>
  <c r="I201" i="15"/>
  <c r="J200" i="15"/>
  <c r="B194" i="8"/>
  <c r="E210" i="14"/>
  <c r="Q193" i="14"/>
  <c r="K189" i="14"/>
  <c r="J189" i="14"/>
  <c r="I190" i="14"/>
  <c r="J165" i="11"/>
  <c r="H166" i="11"/>
  <c r="I165" i="11"/>
  <c r="I202" i="15" l="1"/>
  <c r="J201" i="15"/>
  <c r="K201" i="15"/>
  <c r="B195" i="8"/>
  <c r="E211" i="14"/>
  <c r="Q194" i="14"/>
  <c r="K190" i="14"/>
  <c r="I191" i="14"/>
  <c r="J190" i="14"/>
  <c r="J166" i="11"/>
  <c r="H167" i="11"/>
  <c r="I166" i="11"/>
  <c r="K202" i="15" l="1"/>
  <c r="I203" i="15"/>
  <c r="J202" i="15"/>
  <c r="B196" i="8"/>
  <c r="E212" i="14"/>
  <c r="Q195" i="14"/>
  <c r="I192" i="14"/>
  <c r="J191" i="14"/>
  <c r="K191" i="14"/>
  <c r="H168" i="11"/>
  <c r="I167" i="11"/>
  <c r="J167" i="11"/>
  <c r="K203" i="15" l="1"/>
  <c r="I204" i="15"/>
  <c r="J203" i="15"/>
  <c r="B197" i="8"/>
  <c r="E213" i="14"/>
  <c r="Q196" i="14"/>
  <c r="J192" i="14"/>
  <c r="I193" i="14"/>
  <c r="K192" i="14"/>
  <c r="J168" i="11"/>
  <c r="H169" i="11"/>
  <c r="I168" i="11"/>
  <c r="K204" i="15" l="1"/>
  <c r="I205" i="15"/>
  <c r="J204" i="15"/>
  <c r="B198" i="8"/>
  <c r="E214" i="14"/>
  <c r="Q197" i="14"/>
  <c r="K193" i="14"/>
  <c r="I194" i="14"/>
  <c r="J193" i="14"/>
  <c r="J169" i="11"/>
  <c r="H170" i="11"/>
  <c r="I169" i="11"/>
  <c r="K205" i="15" l="1"/>
  <c r="I206" i="15"/>
  <c r="J205" i="15"/>
  <c r="B199" i="8"/>
  <c r="E215" i="14"/>
  <c r="Q198" i="14"/>
  <c r="K194" i="14"/>
  <c r="I195" i="14"/>
  <c r="J194" i="14"/>
  <c r="J170" i="11"/>
  <c r="H171" i="11"/>
  <c r="I170" i="11"/>
  <c r="I207" i="15" l="1"/>
  <c r="J206" i="15"/>
  <c r="K206" i="15"/>
  <c r="B200" i="8"/>
  <c r="E216" i="14"/>
  <c r="Q199" i="14"/>
  <c r="I196" i="14"/>
  <c r="J195" i="14"/>
  <c r="K195" i="14"/>
  <c r="H172" i="11"/>
  <c r="I171" i="11"/>
  <c r="J171" i="11"/>
  <c r="I208" i="15" l="1"/>
  <c r="K207" i="15"/>
  <c r="J207" i="15"/>
  <c r="B201" i="8"/>
  <c r="E217" i="14"/>
  <c r="Q200" i="14"/>
  <c r="J196" i="14"/>
  <c r="I197" i="14"/>
  <c r="K196" i="14"/>
  <c r="J172" i="11"/>
  <c r="I172" i="11"/>
  <c r="H173" i="11"/>
  <c r="K208" i="15" l="1"/>
  <c r="J208" i="15"/>
  <c r="I209" i="15"/>
  <c r="B202" i="8"/>
  <c r="E218" i="14"/>
  <c r="Q201" i="14"/>
  <c r="K197" i="14"/>
  <c r="J197" i="14"/>
  <c r="I198" i="14"/>
  <c r="J173" i="11"/>
  <c r="H174" i="11"/>
  <c r="I173" i="11"/>
  <c r="K209" i="15" l="1"/>
  <c r="I210" i="15"/>
  <c r="J209" i="15"/>
  <c r="B203" i="8"/>
  <c r="E219" i="14"/>
  <c r="Q202" i="14"/>
  <c r="K198" i="14"/>
  <c r="I199" i="14"/>
  <c r="J198" i="14"/>
  <c r="J174" i="11"/>
  <c r="H175" i="11"/>
  <c r="I174" i="11"/>
  <c r="I211" i="15" l="1"/>
  <c r="J210" i="15"/>
  <c r="K210" i="15"/>
  <c r="B204" i="8"/>
  <c r="E220" i="14"/>
  <c r="Q203" i="14"/>
  <c r="I200" i="14"/>
  <c r="J199" i="14"/>
  <c r="K199" i="14"/>
  <c r="H176" i="11"/>
  <c r="I175" i="11"/>
  <c r="J175" i="11"/>
  <c r="J211" i="15" l="1"/>
  <c r="K211" i="15"/>
  <c r="I212" i="15"/>
  <c r="B205" i="8"/>
  <c r="E221" i="14"/>
  <c r="Q204" i="14"/>
  <c r="J200" i="14"/>
  <c r="I201" i="14"/>
  <c r="K200" i="14"/>
  <c r="J176" i="11"/>
  <c r="H177" i="11"/>
  <c r="I176" i="11"/>
  <c r="K212" i="15" l="1"/>
  <c r="I213" i="15"/>
  <c r="J212" i="15"/>
  <c r="B206" i="8"/>
  <c r="E222" i="14"/>
  <c r="Q205" i="14"/>
  <c r="K201" i="14"/>
  <c r="I202" i="14"/>
  <c r="J201" i="14"/>
  <c r="J177" i="11"/>
  <c r="H178" i="11"/>
  <c r="I177" i="11"/>
  <c r="K213" i="15" l="1"/>
  <c r="I214" i="15"/>
  <c r="J213" i="15"/>
  <c r="B207" i="8"/>
  <c r="E223" i="14"/>
  <c r="Q206" i="14"/>
  <c r="K202" i="14"/>
  <c r="I203" i="14"/>
  <c r="J202" i="14"/>
  <c r="J178" i="11"/>
  <c r="H179" i="11"/>
  <c r="I178" i="11"/>
  <c r="I215" i="15" l="1"/>
  <c r="J214" i="15"/>
  <c r="K214" i="15"/>
  <c r="B208" i="8"/>
  <c r="E224" i="14"/>
  <c r="Q207" i="14"/>
  <c r="I204" i="14"/>
  <c r="J203" i="14"/>
  <c r="K203" i="14"/>
  <c r="H180" i="11"/>
  <c r="I179" i="11"/>
  <c r="J179" i="11"/>
  <c r="I216" i="15" l="1"/>
  <c r="K215" i="15"/>
  <c r="J215" i="15"/>
  <c r="B209" i="8"/>
  <c r="E225" i="14"/>
  <c r="Q208" i="14"/>
  <c r="I205" i="14"/>
  <c r="J204" i="14"/>
  <c r="K204" i="14"/>
  <c r="J180" i="11"/>
  <c r="H181" i="11"/>
  <c r="I180" i="11"/>
  <c r="K216" i="15" l="1"/>
  <c r="J216" i="15"/>
  <c r="I217" i="15"/>
  <c r="B210" i="8"/>
  <c r="E226" i="14"/>
  <c r="Q209" i="14"/>
  <c r="K205" i="14"/>
  <c r="I206" i="14"/>
  <c r="J205" i="14"/>
  <c r="J181" i="11"/>
  <c r="H182" i="11"/>
  <c r="I181" i="11"/>
  <c r="K217" i="15" l="1"/>
  <c r="I218" i="15"/>
  <c r="J217" i="15"/>
  <c r="B211" i="8"/>
  <c r="E227" i="14"/>
  <c r="Q210" i="14"/>
  <c r="K206" i="14"/>
  <c r="J206" i="14"/>
  <c r="I207" i="14"/>
  <c r="J182" i="11"/>
  <c r="H183" i="11"/>
  <c r="I182" i="11"/>
  <c r="I219" i="15" l="1"/>
  <c r="J218" i="15"/>
  <c r="K218" i="15"/>
  <c r="B212" i="8"/>
  <c r="E228" i="14"/>
  <c r="Q211" i="14"/>
  <c r="K207" i="14"/>
  <c r="I208" i="14"/>
  <c r="J207" i="14"/>
  <c r="H184" i="11"/>
  <c r="I183" i="11"/>
  <c r="J183" i="11"/>
  <c r="J219" i="15" l="1"/>
  <c r="K219" i="15"/>
  <c r="I220" i="15"/>
  <c r="B213" i="8"/>
  <c r="E229" i="14"/>
  <c r="Q212" i="14"/>
  <c r="I209" i="14"/>
  <c r="J208" i="14"/>
  <c r="K208" i="14"/>
  <c r="J184" i="11"/>
  <c r="H185" i="11"/>
  <c r="I184" i="11"/>
  <c r="K220" i="15" l="1"/>
  <c r="I221" i="15"/>
  <c r="J220" i="15"/>
  <c r="B214" i="8"/>
  <c r="E230" i="14"/>
  <c r="Q213" i="14"/>
  <c r="I210" i="14"/>
  <c r="K209" i="14"/>
  <c r="J209" i="14"/>
  <c r="J185" i="11"/>
  <c r="H186" i="11"/>
  <c r="I185" i="11"/>
  <c r="K221" i="15" l="1"/>
  <c r="I222" i="15"/>
  <c r="J221" i="15"/>
  <c r="B215" i="8"/>
  <c r="E231" i="14"/>
  <c r="Q214" i="14"/>
  <c r="K210" i="14"/>
  <c r="I211" i="14"/>
  <c r="J210" i="14"/>
  <c r="J186" i="11"/>
  <c r="H187" i="11"/>
  <c r="I186" i="11"/>
  <c r="I223" i="15" l="1"/>
  <c r="J222" i="15"/>
  <c r="K222" i="15"/>
  <c r="B216" i="8"/>
  <c r="E232" i="14"/>
  <c r="Q215" i="14"/>
  <c r="K211" i="14"/>
  <c r="I212" i="14"/>
  <c r="J211" i="14"/>
  <c r="H188" i="11"/>
  <c r="I187" i="11"/>
  <c r="J187" i="11"/>
  <c r="I224" i="15" l="1"/>
  <c r="K223" i="15"/>
  <c r="J223" i="15"/>
  <c r="B217" i="8"/>
  <c r="E233" i="14"/>
  <c r="Q216" i="14"/>
  <c r="I213" i="14"/>
  <c r="J212" i="14"/>
  <c r="K212" i="14"/>
  <c r="J188" i="11"/>
  <c r="I188" i="11"/>
  <c r="H189" i="11"/>
  <c r="K224" i="15" l="1"/>
  <c r="J224" i="15"/>
  <c r="I225" i="15"/>
  <c r="B218" i="8"/>
  <c r="E234" i="14"/>
  <c r="Q217" i="14"/>
  <c r="K213" i="14"/>
  <c r="I214" i="14"/>
  <c r="J213" i="14"/>
  <c r="J189" i="11"/>
  <c r="H190" i="11"/>
  <c r="I189" i="11"/>
  <c r="K225" i="15" l="1"/>
  <c r="I226" i="15"/>
  <c r="J225" i="15"/>
  <c r="B219" i="8"/>
  <c r="E235" i="14"/>
  <c r="Q218" i="14"/>
  <c r="K214" i="14"/>
  <c r="J214" i="14"/>
  <c r="I215" i="14"/>
  <c r="J190" i="11"/>
  <c r="H191" i="11"/>
  <c r="I190" i="11"/>
  <c r="I227" i="15" l="1"/>
  <c r="J226" i="15"/>
  <c r="K226" i="15"/>
  <c r="B220" i="8"/>
  <c r="E236" i="14"/>
  <c r="Q219" i="14"/>
  <c r="K215" i="14"/>
  <c r="I216" i="14"/>
  <c r="J215" i="14"/>
  <c r="H192" i="11"/>
  <c r="I191" i="11"/>
  <c r="J191" i="11"/>
  <c r="J227" i="15" l="1"/>
  <c r="K227" i="15"/>
  <c r="I228" i="15"/>
  <c r="B221" i="8"/>
  <c r="E237" i="14"/>
  <c r="Q220" i="14"/>
  <c r="I217" i="14"/>
  <c r="J216" i="14"/>
  <c r="K216" i="14"/>
  <c r="J192" i="11"/>
  <c r="H193" i="11"/>
  <c r="I192" i="11"/>
  <c r="K228" i="15" l="1"/>
  <c r="I229" i="15"/>
  <c r="J228" i="15"/>
  <c r="B222" i="8"/>
  <c r="E238" i="14"/>
  <c r="Q221" i="14"/>
  <c r="I218" i="14"/>
  <c r="K217" i="14"/>
  <c r="J217" i="14"/>
  <c r="J193" i="11"/>
  <c r="H194" i="11"/>
  <c r="I193" i="11"/>
  <c r="K229" i="15" l="1"/>
  <c r="I230" i="15"/>
  <c r="J229" i="15"/>
  <c r="B223" i="8"/>
  <c r="E239" i="14"/>
  <c r="Q222" i="14"/>
  <c r="K218" i="14"/>
  <c r="I219" i="14"/>
  <c r="J218" i="14"/>
  <c r="J194" i="11"/>
  <c r="H195" i="11"/>
  <c r="I194" i="11"/>
  <c r="I231" i="15" l="1"/>
  <c r="J230" i="15"/>
  <c r="K230" i="15"/>
  <c r="B224" i="8"/>
  <c r="E240" i="14"/>
  <c r="Q223" i="14"/>
  <c r="K219" i="14"/>
  <c r="I220" i="14"/>
  <c r="J219" i="14"/>
  <c r="H196" i="11"/>
  <c r="I195" i="11"/>
  <c r="J195" i="11"/>
  <c r="I232" i="15" l="1"/>
  <c r="K231" i="15"/>
  <c r="J231" i="15"/>
  <c r="B225" i="8"/>
  <c r="E241" i="14"/>
  <c r="Q224" i="14"/>
  <c r="I221" i="14"/>
  <c r="J220" i="14"/>
  <c r="K220" i="14"/>
  <c r="J196" i="11"/>
  <c r="H197" i="11"/>
  <c r="I196" i="11"/>
  <c r="K232" i="15" l="1"/>
  <c r="J232" i="15"/>
  <c r="I233" i="15"/>
  <c r="B226" i="8"/>
  <c r="E242" i="14"/>
  <c r="Q225" i="14"/>
  <c r="K221" i="14"/>
  <c r="I222" i="14"/>
  <c r="J221" i="14"/>
  <c r="J197" i="11"/>
  <c r="H198" i="11"/>
  <c r="I197" i="11"/>
  <c r="K233" i="15" l="1"/>
  <c r="I234" i="15"/>
  <c r="J233" i="15"/>
  <c r="B227" i="8"/>
  <c r="E243" i="14"/>
  <c r="Q226" i="14"/>
  <c r="K222" i="14"/>
  <c r="J222" i="14"/>
  <c r="I223" i="14"/>
  <c r="J198" i="11"/>
  <c r="H199" i="11"/>
  <c r="I198" i="11"/>
  <c r="I235" i="15" l="1"/>
  <c r="J234" i="15"/>
  <c r="K234" i="15"/>
  <c r="B228" i="8"/>
  <c r="E244" i="14"/>
  <c r="Q227" i="14"/>
  <c r="K223" i="14"/>
  <c r="I224" i="14"/>
  <c r="J223" i="14"/>
  <c r="H200" i="11"/>
  <c r="I199" i="11"/>
  <c r="J199" i="11"/>
  <c r="J235" i="15" l="1"/>
  <c r="K235" i="15"/>
  <c r="I236" i="15"/>
  <c r="B229" i="8"/>
  <c r="E245" i="14"/>
  <c r="Q228" i="14"/>
  <c r="I225" i="14"/>
  <c r="J224" i="14"/>
  <c r="K224" i="14"/>
  <c r="J200" i="11"/>
  <c r="H201" i="11"/>
  <c r="I200" i="11"/>
  <c r="K236" i="15" l="1"/>
  <c r="I237" i="15"/>
  <c r="J236" i="15"/>
  <c r="B230" i="8"/>
  <c r="E246" i="14"/>
  <c r="Q229" i="14"/>
  <c r="I226" i="14"/>
  <c r="K225" i="14"/>
  <c r="J225" i="14"/>
  <c r="J201" i="11"/>
  <c r="H202" i="11"/>
  <c r="I201" i="11"/>
  <c r="K237" i="15" l="1"/>
  <c r="I238" i="15"/>
  <c r="J237" i="15"/>
  <c r="B231" i="8"/>
  <c r="E247" i="14"/>
  <c r="Q230" i="14"/>
  <c r="K226" i="14"/>
  <c r="I227" i="14"/>
  <c r="J226" i="14"/>
  <c r="J202" i="11"/>
  <c r="H203" i="11"/>
  <c r="I202" i="11"/>
  <c r="I239" i="15" l="1"/>
  <c r="J238" i="15"/>
  <c r="K238" i="15"/>
  <c r="B232" i="8"/>
  <c r="E248" i="14"/>
  <c r="Q231" i="14"/>
  <c r="K227" i="14"/>
  <c r="I228" i="14"/>
  <c r="J227" i="14"/>
  <c r="H204" i="11"/>
  <c r="I203" i="11"/>
  <c r="J203" i="11"/>
  <c r="I240" i="15" l="1"/>
  <c r="K239" i="15"/>
  <c r="J239" i="15"/>
  <c r="B233" i="8"/>
  <c r="E249" i="14"/>
  <c r="Q232" i="14"/>
  <c r="I229" i="14"/>
  <c r="J228" i="14"/>
  <c r="K228" i="14"/>
  <c r="J204" i="11"/>
  <c r="I204" i="11"/>
  <c r="H205" i="11"/>
  <c r="K240" i="15" l="1"/>
  <c r="J240" i="15"/>
  <c r="I241" i="15"/>
  <c r="B234" i="8"/>
  <c r="E250" i="14"/>
  <c r="Q233" i="14"/>
  <c r="K229" i="14"/>
  <c r="J229" i="14"/>
  <c r="I230" i="14"/>
  <c r="J205" i="11"/>
  <c r="H206" i="11"/>
  <c r="I205" i="11"/>
  <c r="K241" i="15" l="1"/>
  <c r="I242" i="15"/>
  <c r="J241" i="15"/>
  <c r="B235" i="8"/>
  <c r="E251" i="14"/>
  <c r="Q234" i="14"/>
  <c r="K230" i="14"/>
  <c r="J230" i="14"/>
  <c r="I231" i="14"/>
  <c r="J206" i="11"/>
  <c r="H207" i="11"/>
  <c r="I206" i="11"/>
  <c r="I243" i="15" l="1"/>
  <c r="J242" i="15"/>
  <c r="K242" i="15"/>
  <c r="B236" i="8"/>
  <c r="E252" i="14"/>
  <c r="Q235" i="14"/>
  <c r="K231" i="14"/>
  <c r="I232" i="14"/>
  <c r="J231" i="14"/>
  <c r="H208" i="11"/>
  <c r="I207" i="11"/>
  <c r="J207" i="11"/>
  <c r="J243" i="15" l="1"/>
  <c r="K243" i="15"/>
  <c r="I244" i="15"/>
  <c r="B237" i="8"/>
  <c r="E253" i="14"/>
  <c r="Q236" i="14"/>
  <c r="I233" i="14"/>
  <c r="J232" i="14"/>
  <c r="K232" i="14"/>
  <c r="H209" i="11"/>
  <c r="J208" i="11"/>
  <c r="I208" i="11"/>
  <c r="K244" i="15" l="1"/>
  <c r="I245" i="15"/>
  <c r="J244" i="15"/>
  <c r="B238" i="8"/>
  <c r="E254" i="14"/>
  <c r="Q237" i="14"/>
  <c r="I234" i="14"/>
  <c r="K233" i="14"/>
  <c r="J233" i="14"/>
  <c r="J209" i="11"/>
  <c r="H210" i="11"/>
  <c r="I209" i="11"/>
  <c r="K245" i="15" l="1"/>
  <c r="I246" i="15"/>
  <c r="J245" i="15"/>
  <c r="B239" i="8"/>
  <c r="E255" i="14"/>
  <c r="Q238" i="14"/>
  <c r="K234" i="14"/>
  <c r="I235" i="14"/>
  <c r="J234" i="14"/>
  <c r="H211" i="11"/>
  <c r="I210" i="11"/>
  <c r="J210" i="11"/>
  <c r="I247" i="15" l="1"/>
  <c r="J246" i="15"/>
  <c r="K246" i="15"/>
  <c r="B240" i="8"/>
  <c r="E256" i="14"/>
  <c r="Q239" i="14"/>
  <c r="K235" i="14"/>
  <c r="I236" i="14"/>
  <c r="J235" i="14"/>
  <c r="J211" i="11"/>
  <c r="H212" i="11"/>
  <c r="I211" i="11"/>
  <c r="I248" i="15" l="1"/>
  <c r="K247" i="15"/>
  <c r="J247" i="15"/>
  <c r="B241" i="8"/>
  <c r="E257" i="14"/>
  <c r="Q240" i="14"/>
  <c r="I237" i="14"/>
  <c r="J236" i="14"/>
  <c r="K236" i="14"/>
  <c r="J212" i="11"/>
  <c r="H213" i="11"/>
  <c r="I212" i="11"/>
  <c r="K248" i="15" l="1"/>
  <c r="J248" i="15"/>
  <c r="I249" i="15"/>
  <c r="B242" i="8"/>
  <c r="E258" i="14"/>
  <c r="Q241" i="14"/>
  <c r="K237" i="14"/>
  <c r="I238" i="14"/>
  <c r="J237" i="14"/>
  <c r="J213" i="11"/>
  <c r="H214" i="11"/>
  <c r="I213" i="11"/>
  <c r="K249" i="15" l="1"/>
  <c r="I250" i="15"/>
  <c r="J249" i="15"/>
  <c r="B243" i="8"/>
  <c r="E259" i="14"/>
  <c r="Q242" i="14"/>
  <c r="K238" i="14"/>
  <c r="J238" i="14"/>
  <c r="I239" i="14"/>
  <c r="H215" i="11"/>
  <c r="I214" i="11"/>
  <c r="J214" i="11"/>
  <c r="I251" i="15" l="1"/>
  <c r="J250" i="15"/>
  <c r="K250" i="15"/>
  <c r="B244" i="8"/>
  <c r="E260" i="14"/>
  <c r="Q243" i="14"/>
  <c r="K239" i="14"/>
  <c r="I240" i="14"/>
  <c r="J239" i="14"/>
  <c r="J215" i="11"/>
  <c r="H216" i="11"/>
  <c r="I215" i="11"/>
  <c r="J251" i="15" l="1"/>
  <c r="K251" i="15"/>
  <c r="I252" i="15"/>
  <c r="B245" i="8"/>
  <c r="E261" i="14"/>
  <c r="Q244" i="14"/>
  <c r="I241" i="14"/>
  <c r="J240" i="14"/>
  <c r="K240" i="14"/>
  <c r="J216" i="11"/>
  <c r="H217" i="11"/>
  <c r="I216" i="11"/>
  <c r="K252" i="15" l="1"/>
  <c r="I253" i="15"/>
  <c r="J252" i="15"/>
  <c r="B246" i="8"/>
  <c r="E262" i="14"/>
  <c r="Q245" i="14"/>
  <c r="I242" i="14"/>
  <c r="K241" i="14"/>
  <c r="J241" i="14"/>
  <c r="J217" i="11"/>
  <c r="H218" i="11"/>
  <c r="I217" i="11"/>
  <c r="K253" i="15" l="1"/>
  <c r="I254" i="15"/>
  <c r="J253" i="15"/>
  <c r="B247" i="8"/>
  <c r="E263" i="14"/>
  <c r="Q246" i="14"/>
  <c r="K242" i="14"/>
  <c r="I243" i="14"/>
  <c r="J242" i="14"/>
  <c r="H219" i="11"/>
  <c r="I218" i="11"/>
  <c r="J218" i="11"/>
  <c r="I255" i="15" l="1"/>
  <c r="J254" i="15"/>
  <c r="K254" i="15"/>
  <c r="B248" i="8"/>
  <c r="E264" i="14"/>
  <c r="Q247" i="14"/>
  <c r="K243" i="14"/>
  <c r="I244" i="14"/>
  <c r="J243" i="14"/>
  <c r="J219" i="11"/>
  <c r="H220" i="11"/>
  <c r="I219" i="11"/>
  <c r="I256" i="15" l="1"/>
  <c r="J255" i="15"/>
  <c r="K255" i="15"/>
  <c r="B249" i="8"/>
  <c r="E265" i="14"/>
  <c r="Q248" i="14"/>
  <c r="I245" i="14"/>
  <c r="J244" i="14"/>
  <c r="K244" i="14"/>
  <c r="J220" i="11"/>
  <c r="H221" i="11"/>
  <c r="I220" i="11"/>
  <c r="J256" i="15" l="1"/>
  <c r="I257" i="15"/>
  <c r="K256" i="15"/>
  <c r="B250" i="8"/>
  <c r="E266" i="14"/>
  <c r="Q249" i="14"/>
  <c r="K245" i="14"/>
  <c r="I246" i="14"/>
  <c r="J245" i="14"/>
  <c r="J221" i="11"/>
  <c r="H222" i="11"/>
  <c r="I221" i="11"/>
  <c r="K257" i="15" l="1"/>
  <c r="I258" i="15"/>
  <c r="J257" i="15"/>
  <c r="B251" i="8"/>
  <c r="E267" i="14"/>
  <c r="Q250" i="14"/>
  <c r="K246" i="14"/>
  <c r="J246" i="14"/>
  <c r="I247" i="14"/>
  <c r="H223" i="11"/>
  <c r="I222" i="11"/>
  <c r="J222" i="11"/>
  <c r="K258" i="15" l="1"/>
  <c r="I259" i="15"/>
  <c r="J258" i="15"/>
  <c r="B252" i="8"/>
  <c r="E268" i="14"/>
  <c r="Q251" i="14"/>
  <c r="K247" i="14"/>
  <c r="I248" i="14"/>
  <c r="J247" i="14"/>
  <c r="J223" i="11"/>
  <c r="I223" i="11"/>
  <c r="H224" i="11"/>
  <c r="I260" i="15" l="1"/>
  <c r="J259" i="15"/>
  <c r="K259" i="15"/>
  <c r="B253" i="8"/>
  <c r="E269" i="14"/>
  <c r="Q252" i="14"/>
  <c r="I249" i="14"/>
  <c r="J248" i="14"/>
  <c r="K248" i="14"/>
  <c r="J224" i="11"/>
  <c r="H225" i="11"/>
  <c r="I224" i="11"/>
  <c r="I261" i="15" l="1"/>
  <c r="K260" i="15"/>
  <c r="J260" i="15"/>
  <c r="B254" i="8"/>
  <c r="E270" i="14"/>
  <c r="Q253" i="14"/>
  <c r="I250" i="14"/>
  <c r="K249" i="14"/>
  <c r="J249" i="14"/>
  <c r="J225" i="11"/>
  <c r="H226" i="11"/>
  <c r="I225" i="11"/>
  <c r="K261" i="15" l="1"/>
  <c r="J261" i="15"/>
  <c r="I262" i="15"/>
  <c r="B255" i="8"/>
  <c r="E271" i="14"/>
  <c r="Q254" i="14"/>
  <c r="K250" i="14"/>
  <c r="I251" i="14"/>
  <c r="J250" i="14"/>
  <c r="H227" i="11"/>
  <c r="I226" i="11"/>
  <c r="J226" i="11"/>
  <c r="K262" i="15" l="1"/>
  <c r="I263" i="15"/>
  <c r="J262" i="15"/>
  <c r="B256" i="8"/>
  <c r="E272" i="14"/>
  <c r="Q255" i="14"/>
  <c r="K251" i="14"/>
  <c r="I252" i="14"/>
  <c r="J251" i="14"/>
  <c r="J227" i="11"/>
  <c r="H228" i="11"/>
  <c r="I227" i="11"/>
  <c r="I264" i="15" l="1"/>
  <c r="J263" i="15"/>
  <c r="K263" i="15"/>
  <c r="B257" i="8"/>
  <c r="E273" i="14"/>
  <c r="Q256" i="14"/>
  <c r="I253" i="14"/>
  <c r="J252" i="14"/>
  <c r="K252" i="14"/>
  <c r="J228" i="11"/>
  <c r="H229" i="11"/>
  <c r="I228" i="11"/>
  <c r="J264" i="15" l="1"/>
  <c r="I265" i="15"/>
  <c r="K264" i="15"/>
  <c r="B258" i="8"/>
  <c r="E274" i="14"/>
  <c r="Q257" i="14"/>
  <c r="K253" i="14"/>
  <c r="I254" i="14"/>
  <c r="J253" i="14"/>
  <c r="J229" i="11"/>
  <c r="H230" i="11"/>
  <c r="I229" i="11"/>
  <c r="K265" i="15" l="1"/>
  <c r="I266" i="15"/>
  <c r="J265" i="15"/>
  <c r="B259" i="8"/>
  <c r="E275" i="14"/>
  <c r="Q258" i="14"/>
  <c r="K254" i="14"/>
  <c r="J254" i="14"/>
  <c r="I255" i="14"/>
  <c r="H231" i="11"/>
  <c r="I230" i="11"/>
  <c r="J230" i="11"/>
  <c r="K266" i="15" l="1"/>
  <c r="I267" i="15"/>
  <c r="J266" i="15"/>
  <c r="B260" i="8"/>
  <c r="E276" i="14"/>
  <c r="Q259" i="14"/>
  <c r="K255" i="14"/>
  <c r="I256" i="14"/>
  <c r="J255" i="14"/>
  <c r="J231" i="11"/>
  <c r="H232" i="11"/>
  <c r="I231" i="11"/>
  <c r="I268" i="15" l="1"/>
  <c r="J267" i="15"/>
  <c r="K267" i="15"/>
  <c r="B261" i="8"/>
  <c r="E277" i="14"/>
  <c r="Q260" i="14"/>
  <c r="I257" i="14"/>
  <c r="J256" i="14"/>
  <c r="K256" i="14"/>
  <c r="J232" i="11"/>
  <c r="H233" i="11"/>
  <c r="I232" i="11"/>
  <c r="I269" i="15" l="1"/>
  <c r="K268" i="15"/>
  <c r="J268" i="15"/>
  <c r="B262" i="8"/>
  <c r="E278" i="14"/>
  <c r="Q261" i="14"/>
  <c r="I258" i="14"/>
  <c r="K257" i="14"/>
  <c r="J257" i="14"/>
  <c r="J233" i="11"/>
  <c r="H234" i="11"/>
  <c r="I233" i="11"/>
  <c r="K269" i="15" l="1"/>
  <c r="J269" i="15"/>
  <c r="I270" i="15"/>
  <c r="B263" i="8"/>
  <c r="E279" i="14"/>
  <c r="Q262" i="14"/>
  <c r="K258" i="14"/>
  <c r="I259" i="14"/>
  <c r="J258" i="14"/>
  <c r="H235" i="11"/>
  <c r="I234" i="11"/>
  <c r="J234" i="11"/>
  <c r="K270" i="15" l="1"/>
  <c r="I271" i="15"/>
  <c r="J270" i="15"/>
  <c r="B264" i="8"/>
  <c r="E280" i="14"/>
  <c r="Q263" i="14"/>
  <c r="K259" i="14"/>
  <c r="I260" i="14"/>
  <c r="J259" i="14"/>
  <c r="J235" i="11"/>
  <c r="H236" i="11"/>
  <c r="I235" i="11"/>
  <c r="I272" i="15" l="1"/>
  <c r="J271" i="15"/>
  <c r="K271" i="15"/>
  <c r="B265" i="8"/>
  <c r="E281" i="14"/>
  <c r="Q264" i="14"/>
  <c r="I261" i="14"/>
  <c r="J260" i="14"/>
  <c r="K260" i="14"/>
  <c r="J236" i="11"/>
  <c r="H237" i="11"/>
  <c r="I236" i="11"/>
  <c r="J272" i="15" l="1"/>
  <c r="K272" i="15"/>
  <c r="I273" i="15"/>
  <c r="B266" i="8"/>
  <c r="E282" i="14"/>
  <c r="Q265" i="14"/>
  <c r="K261" i="14"/>
  <c r="J261" i="14"/>
  <c r="I262" i="14"/>
  <c r="J237" i="11"/>
  <c r="H238" i="11"/>
  <c r="I237" i="11"/>
  <c r="K273" i="15" l="1"/>
  <c r="I274" i="15"/>
  <c r="J273" i="15"/>
  <c r="B267" i="8"/>
  <c r="E283" i="14"/>
  <c r="Q266" i="14"/>
  <c r="K262" i="14"/>
  <c r="J262" i="14"/>
  <c r="I263" i="14"/>
  <c r="H239" i="11"/>
  <c r="I238" i="11"/>
  <c r="J238" i="11"/>
  <c r="K274" i="15" l="1"/>
  <c r="I275" i="15"/>
  <c r="J274" i="15"/>
  <c r="B268" i="8"/>
  <c r="E284" i="14"/>
  <c r="Q267" i="14"/>
  <c r="K263" i="14"/>
  <c r="I264" i="14"/>
  <c r="J263" i="14"/>
  <c r="J239" i="11"/>
  <c r="I239" i="11"/>
  <c r="H240" i="11"/>
  <c r="I276" i="15" l="1"/>
  <c r="J275" i="15"/>
  <c r="K275" i="15"/>
  <c r="B269" i="8"/>
  <c r="E285" i="14"/>
  <c r="Q268" i="14"/>
  <c r="I265" i="14"/>
  <c r="J264" i="14"/>
  <c r="K264" i="14"/>
  <c r="J240" i="11"/>
  <c r="H241" i="11"/>
  <c r="I240" i="11"/>
  <c r="I277" i="15" l="1"/>
  <c r="K276" i="15"/>
  <c r="J276" i="15"/>
  <c r="B270" i="8"/>
  <c r="E286" i="14"/>
  <c r="Q269" i="14"/>
  <c r="I266" i="14"/>
  <c r="K265" i="14"/>
  <c r="J265" i="14"/>
  <c r="J241" i="11"/>
  <c r="H242" i="11"/>
  <c r="I241" i="11"/>
  <c r="K277" i="15" l="1"/>
  <c r="J277" i="15"/>
  <c r="I278" i="15"/>
  <c r="B271" i="8"/>
  <c r="E287" i="14"/>
  <c r="Q270" i="14"/>
  <c r="K266" i="14"/>
  <c r="I267" i="14"/>
  <c r="J266" i="14"/>
  <c r="H243" i="11"/>
  <c r="I242" i="11"/>
  <c r="J242" i="11"/>
  <c r="K278" i="15" l="1"/>
  <c r="I279" i="15"/>
  <c r="J278" i="15"/>
  <c r="B272" i="8"/>
  <c r="E288" i="14"/>
  <c r="Q271" i="14"/>
  <c r="I268" i="14"/>
  <c r="K267" i="14"/>
  <c r="J267" i="14"/>
  <c r="J243" i="11"/>
  <c r="H244" i="11"/>
  <c r="I243" i="11"/>
  <c r="I280" i="15" l="1"/>
  <c r="J279" i="15"/>
  <c r="K279" i="15"/>
  <c r="B273" i="8"/>
  <c r="E289" i="14"/>
  <c r="Q272" i="14"/>
  <c r="I269" i="14"/>
  <c r="J268" i="14"/>
  <c r="K268" i="14"/>
  <c r="J244" i="11"/>
  <c r="H245" i="11"/>
  <c r="I244" i="11"/>
  <c r="J280" i="15" l="1"/>
  <c r="I281" i="15"/>
  <c r="K280" i="15"/>
  <c r="B274" i="8"/>
  <c r="E290" i="14"/>
  <c r="Q273" i="14"/>
  <c r="K269" i="14"/>
  <c r="J269" i="14"/>
  <c r="I270" i="14"/>
  <c r="J245" i="11"/>
  <c r="H246" i="11"/>
  <c r="I245" i="11"/>
  <c r="K281" i="15" l="1"/>
  <c r="I282" i="15"/>
  <c r="J281" i="15"/>
  <c r="B275" i="8"/>
  <c r="E291" i="14"/>
  <c r="Q274" i="14"/>
  <c r="K270" i="14"/>
  <c r="I271" i="14"/>
  <c r="J270" i="14"/>
  <c r="H247" i="11"/>
  <c r="I246" i="11"/>
  <c r="J246" i="11"/>
  <c r="K282" i="15" l="1"/>
  <c r="I283" i="15"/>
  <c r="J282" i="15"/>
  <c r="B276" i="8"/>
  <c r="E292" i="14"/>
  <c r="Q275" i="14"/>
  <c r="I272" i="14"/>
  <c r="J271" i="14"/>
  <c r="K271" i="14"/>
  <c r="J247" i="11"/>
  <c r="H248" i="11"/>
  <c r="I247" i="11"/>
  <c r="I284" i="15" l="1"/>
  <c r="J283" i="15"/>
  <c r="K283" i="15"/>
  <c r="B277" i="8"/>
  <c r="E293" i="14"/>
  <c r="Q276" i="14"/>
  <c r="I273" i="14"/>
  <c r="K272" i="14"/>
  <c r="J272" i="14"/>
  <c r="J248" i="11"/>
  <c r="H249" i="11"/>
  <c r="I248" i="11"/>
  <c r="I285" i="15" l="1"/>
  <c r="K284" i="15"/>
  <c r="J284" i="15"/>
  <c r="B278" i="8"/>
  <c r="E294" i="14"/>
  <c r="Q277" i="14"/>
  <c r="K273" i="14"/>
  <c r="I274" i="14"/>
  <c r="J273" i="14"/>
  <c r="J249" i="11"/>
  <c r="H250" i="11"/>
  <c r="I249" i="11"/>
  <c r="K285" i="15" l="1"/>
  <c r="J285" i="15"/>
  <c r="I286" i="15"/>
  <c r="B279" i="8"/>
  <c r="E295" i="14"/>
  <c r="Q278" i="14"/>
  <c r="K274" i="14"/>
  <c r="I275" i="14"/>
  <c r="J274" i="14"/>
  <c r="H251" i="11"/>
  <c r="I250" i="11"/>
  <c r="J250" i="11"/>
  <c r="K286" i="15" l="1"/>
  <c r="I287" i="15"/>
  <c r="J286" i="15"/>
  <c r="B280" i="8"/>
  <c r="E296" i="14"/>
  <c r="Q279" i="14"/>
  <c r="I276" i="14"/>
  <c r="J275" i="14"/>
  <c r="K275" i="14"/>
  <c r="J251" i="11"/>
  <c r="H252" i="11"/>
  <c r="I251" i="11"/>
  <c r="I288" i="15" l="1"/>
  <c r="J287" i="15"/>
  <c r="K287" i="15"/>
  <c r="B281" i="8"/>
  <c r="E297" i="14"/>
  <c r="Q297" i="14" s="1"/>
  <c r="Q280" i="14"/>
  <c r="K276" i="14"/>
  <c r="I277" i="14"/>
  <c r="J276" i="14"/>
  <c r="J252" i="11"/>
  <c r="H253" i="11"/>
  <c r="I252" i="11"/>
  <c r="J288" i="15" l="1"/>
  <c r="I289" i="15"/>
  <c r="K288" i="15"/>
  <c r="B282" i="8"/>
  <c r="E298" i="14"/>
  <c r="Q298" i="14" s="1"/>
  <c r="K277" i="14"/>
  <c r="J277" i="14"/>
  <c r="I278" i="14"/>
  <c r="J253" i="11"/>
  <c r="H254" i="11"/>
  <c r="I253" i="11"/>
  <c r="K289" i="15" l="1"/>
  <c r="I290" i="15"/>
  <c r="J289" i="15"/>
  <c r="B283" i="8"/>
  <c r="E299" i="14"/>
  <c r="Q299" i="14" s="1"/>
  <c r="Q281" i="14"/>
  <c r="Q282" i="14"/>
  <c r="K278" i="14"/>
  <c r="I279" i="14"/>
  <c r="J278" i="14"/>
  <c r="I254" i="11"/>
  <c r="H255" i="11"/>
  <c r="J254" i="11"/>
  <c r="K290" i="15" l="1"/>
  <c r="I291" i="15"/>
  <c r="J290" i="15"/>
  <c r="B284" i="8"/>
  <c r="E300" i="14"/>
  <c r="Q283" i="14"/>
  <c r="I280" i="14"/>
  <c r="J279" i="14"/>
  <c r="K279" i="14"/>
  <c r="I255" i="11"/>
  <c r="H256" i="11"/>
  <c r="J255" i="11"/>
  <c r="I292" i="15" l="1"/>
  <c r="J291" i="15"/>
  <c r="K291" i="15"/>
  <c r="B285" i="8"/>
  <c r="E301" i="14"/>
  <c r="Q284" i="14"/>
  <c r="I281" i="14"/>
  <c r="K280" i="14"/>
  <c r="J280" i="14"/>
  <c r="J256" i="11"/>
  <c r="I256" i="11"/>
  <c r="H257" i="11"/>
  <c r="I293" i="15" l="1"/>
  <c r="K292" i="15"/>
  <c r="J292" i="15"/>
  <c r="B286" i="8"/>
  <c r="E302" i="14"/>
  <c r="Q285" i="14"/>
  <c r="K281" i="14"/>
  <c r="I282" i="14"/>
  <c r="J281" i="14"/>
  <c r="H258" i="11"/>
  <c r="I257" i="11"/>
  <c r="J257" i="11"/>
  <c r="K293" i="15" l="1"/>
  <c r="J293" i="15"/>
  <c r="I294" i="15"/>
  <c r="B287" i="8"/>
  <c r="E303" i="14"/>
  <c r="Q286" i="14"/>
  <c r="K282" i="14"/>
  <c r="I283" i="14"/>
  <c r="J282" i="14"/>
  <c r="J258" i="11"/>
  <c r="I258" i="11"/>
  <c r="H259" i="11"/>
  <c r="K294" i="15" l="1"/>
  <c r="I295" i="15"/>
  <c r="J294" i="15"/>
  <c r="B288" i="8"/>
  <c r="E304" i="14"/>
  <c r="Q287" i="14"/>
  <c r="I284" i="14"/>
  <c r="J283" i="14"/>
  <c r="K283" i="14"/>
  <c r="H260" i="11"/>
  <c r="J259" i="11"/>
  <c r="I259" i="11"/>
  <c r="I296" i="15" l="1"/>
  <c r="J295" i="15"/>
  <c r="K295" i="15"/>
  <c r="B289" i="8"/>
  <c r="E305" i="14"/>
  <c r="Q288" i="14"/>
  <c r="I285" i="14"/>
  <c r="J284" i="14"/>
  <c r="K284" i="14"/>
  <c r="J260" i="11"/>
  <c r="H261" i="11"/>
  <c r="I260" i="11"/>
  <c r="J296" i="15" l="1"/>
  <c r="I297" i="15"/>
  <c r="K296" i="15"/>
  <c r="B290" i="8"/>
  <c r="E306" i="14"/>
  <c r="Q289" i="14"/>
  <c r="K285" i="14"/>
  <c r="J285" i="14"/>
  <c r="I286" i="14"/>
  <c r="H262" i="11"/>
  <c r="I261" i="11"/>
  <c r="J261" i="11"/>
  <c r="K297" i="15" l="1"/>
  <c r="I298" i="15"/>
  <c r="J297" i="15"/>
  <c r="B291" i="8"/>
  <c r="E307" i="14"/>
  <c r="Q290" i="14"/>
  <c r="K286" i="14"/>
  <c r="I287" i="14"/>
  <c r="J286" i="14"/>
  <c r="J262" i="11"/>
  <c r="I262" i="11"/>
  <c r="H263" i="11"/>
  <c r="K298" i="15" l="1"/>
  <c r="I299" i="15"/>
  <c r="J298" i="15"/>
  <c r="B292" i="8"/>
  <c r="E308" i="14"/>
  <c r="Q291" i="14"/>
  <c r="I288" i="14"/>
  <c r="J287" i="14"/>
  <c r="K287" i="14"/>
  <c r="H264" i="11"/>
  <c r="I263" i="11"/>
  <c r="J263" i="11"/>
  <c r="I300" i="15" l="1"/>
  <c r="J299" i="15"/>
  <c r="K299" i="15"/>
  <c r="B293" i="8"/>
  <c r="E309" i="14"/>
  <c r="Q292" i="14"/>
  <c r="I289" i="14"/>
  <c r="K288" i="14"/>
  <c r="J288" i="14"/>
  <c r="J264" i="11"/>
  <c r="I264" i="11"/>
  <c r="H265" i="11"/>
  <c r="I301" i="15" l="1"/>
  <c r="K300" i="15"/>
  <c r="J300" i="15"/>
  <c r="B294" i="8"/>
  <c r="E310" i="14"/>
  <c r="Q293" i="14"/>
  <c r="K289" i="14"/>
  <c r="I290" i="14"/>
  <c r="J289" i="14"/>
  <c r="H266" i="11"/>
  <c r="I265" i="11"/>
  <c r="J265" i="11"/>
  <c r="K301" i="15" l="1"/>
  <c r="J301" i="15"/>
  <c r="I302" i="15"/>
  <c r="B295" i="8"/>
  <c r="E311" i="14"/>
  <c r="Q294" i="14"/>
  <c r="K290" i="14"/>
  <c r="I291" i="14"/>
  <c r="J290" i="14"/>
  <c r="J266" i="11"/>
  <c r="H267" i="11"/>
  <c r="I266" i="11"/>
  <c r="K302" i="15" l="1"/>
  <c r="I303" i="15"/>
  <c r="J302" i="15"/>
  <c r="B296" i="8"/>
  <c r="E312" i="14"/>
  <c r="Q295" i="14"/>
  <c r="I292" i="14"/>
  <c r="J291" i="14"/>
  <c r="K291" i="14"/>
  <c r="H268" i="11"/>
  <c r="I267" i="11"/>
  <c r="J267" i="11"/>
  <c r="I304" i="15" l="1"/>
  <c r="J303" i="15"/>
  <c r="K303" i="15"/>
  <c r="B297" i="8"/>
  <c r="E313" i="14"/>
  <c r="Q296" i="14"/>
  <c r="K292" i="14"/>
  <c r="I293" i="14"/>
  <c r="J292" i="14"/>
  <c r="J268" i="11"/>
  <c r="H269" i="11"/>
  <c r="I268" i="11"/>
  <c r="J304" i="15" l="1"/>
  <c r="K304" i="15"/>
  <c r="I305" i="15"/>
  <c r="B298" i="8"/>
  <c r="E314" i="14"/>
  <c r="K293" i="14"/>
  <c r="J293" i="14"/>
  <c r="I294" i="14"/>
  <c r="H270" i="11"/>
  <c r="I269" i="11"/>
  <c r="J269" i="11"/>
  <c r="K305" i="15" l="1"/>
  <c r="I306" i="15"/>
  <c r="J305" i="15"/>
  <c r="B299" i="8"/>
  <c r="E315" i="14"/>
  <c r="I295" i="14"/>
  <c r="I296" i="14" s="1"/>
  <c r="K294" i="14"/>
  <c r="J294" i="14"/>
  <c r="J270" i="11"/>
  <c r="I270" i="11"/>
  <c r="H271" i="11"/>
  <c r="K306" i="15" l="1"/>
  <c r="I307" i="15"/>
  <c r="J306" i="15"/>
  <c r="B300" i="8"/>
  <c r="E316" i="14"/>
  <c r="I297" i="14"/>
  <c r="K296" i="14"/>
  <c r="J295" i="14"/>
  <c r="K295" i="14"/>
  <c r="Q300" i="14"/>
  <c r="H272" i="11"/>
  <c r="I271" i="11"/>
  <c r="J271" i="11"/>
  <c r="I308" i="15" l="1"/>
  <c r="J307" i="15"/>
  <c r="K307" i="15"/>
  <c r="B301" i="8"/>
  <c r="E317" i="14"/>
  <c r="I298" i="14"/>
  <c r="K297" i="14"/>
  <c r="J297" i="14"/>
  <c r="J296" i="14"/>
  <c r="Q301" i="14"/>
  <c r="J272" i="11"/>
  <c r="I272" i="11"/>
  <c r="H273" i="11"/>
  <c r="I309" i="15" l="1"/>
  <c r="K308" i="15"/>
  <c r="J308" i="15"/>
  <c r="B302" i="8"/>
  <c r="E318" i="14"/>
  <c r="I299" i="14"/>
  <c r="J298" i="14"/>
  <c r="K298" i="14"/>
  <c r="Q302" i="14"/>
  <c r="J273" i="11"/>
  <c r="H274" i="11"/>
  <c r="I273" i="11"/>
  <c r="K309" i="15" l="1"/>
  <c r="J309" i="15"/>
  <c r="I310" i="15"/>
  <c r="B303" i="8"/>
  <c r="E319" i="14"/>
  <c r="I300" i="14"/>
  <c r="K299" i="14"/>
  <c r="J299" i="14"/>
  <c r="Q303" i="14"/>
  <c r="J274" i="11"/>
  <c r="H275" i="11"/>
  <c r="I274" i="11"/>
  <c r="K310" i="15" l="1"/>
  <c r="I311" i="15"/>
  <c r="J310" i="15"/>
  <c r="B304" i="8"/>
  <c r="E320" i="14"/>
  <c r="K300" i="14"/>
  <c r="J300" i="14"/>
  <c r="Q304" i="14"/>
  <c r="H276" i="11"/>
  <c r="I275" i="11"/>
  <c r="J275" i="11"/>
  <c r="I312" i="15" l="1"/>
  <c r="J311" i="15"/>
  <c r="K311" i="15"/>
  <c r="B305" i="8"/>
  <c r="E321" i="14"/>
  <c r="Q305" i="14"/>
  <c r="J276" i="11"/>
  <c r="H277" i="11"/>
  <c r="I276" i="11"/>
  <c r="J312" i="15" l="1"/>
  <c r="I313" i="15"/>
  <c r="K312" i="15"/>
  <c r="B306" i="8"/>
  <c r="E322" i="14"/>
  <c r="Q306" i="14"/>
  <c r="J277" i="11"/>
  <c r="H278" i="11"/>
  <c r="I277" i="11"/>
  <c r="K313" i="15" l="1"/>
  <c r="I314" i="15"/>
  <c r="J313" i="15"/>
  <c r="B307" i="8"/>
  <c r="E323" i="14"/>
  <c r="Q307" i="14"/>
  <c r="J278" i="11"/>
  <c r="H279" i="11"/>
  <c r="I278" i="11"/>
  <c r="K314" i="15" l="1"/>
  <c r="I315" i="15"/>
  <c r="J314" i="15"/>
  <c r="B308" i="8"/>
  <c r="E324" i="14"/>
  <c r="Q308" i="14"/>
  <c r="H280" i="11"/>
  <c r="I279" i="11"/>
  <c r="J279" i="11"/>
  <c r="I316" i="15" l="1"/>
  <c r="J315" i="15"/>
  <c r="K315" i="15"/>
  <c r="B309" i="8"/>
  <c r="E325" i="14"/>
  <c r="I301" i="14"/>
  <c r="Q309" i="14"/>
  <c r="J280" i="11"/>
  <c r="H281" i="11"/>
  <c r="I280" i="11"/>
  <c r="I317" i="15" l="1"/>
  <c r="K316" i="15"/>
  <c r="J316" i="15"/>
  <c r="B310" i="8"/>
  <c r="E326" i="14"/>
  <c r="K301" i="14"/>
  <c r="J301" i="14"/>
  <c r="I302" i="14"/>
  <c r="Q310" i="14"/>
  <c r="J281" i="11"/>
  <c r="H282" i="11"/>
  <c r="I281" i="11"/>
  <c r="K317" i="15" l="1"/>
  <c r="J317" i="15"/>
  <c r="I318" i="15"/>
  <c r="B311" i="8"/>
  <c r="E327" i="14"/>
  <c r="J302" i="14"/>
  <c r="K302" i="14"/>
  <c r="I303" i="14"/>
  <c r="Q311" i="14"/>
  <c r="J282" i="11"/>
  <c r="H283" i="11"/>
  <c r="I282" i="11"/>
  <c r="K318" i="15" l="1"/>
  <c r="I319" i="15"/>
  <c r="J318" i="15"/>
  <c r="B312" i="8"/>
  <c r="E328" i="14"/>
  <c r="K303" i="14"/>
  <c r="J303" i="14"/>
  <c r="I304" i="14"/>
  <c r="Q312" i="14"/>
  <c r="H284" i="11"/>
  <c r="I283" i="11"/>
  <c r="J283" i="11"/>
  <c r="I320" i="15" l="1"/>
  <c r="J319" i="15"/>
  <c r="K319" i="15"/>
  <c r="B313" i="8"/>
  <c r="E329" i="14"/>
  <c r="K304" i="14"/>
  <c r="J304" i="14"/>
  <c r="I305" i="14"/>
  <c r="Q313" i="14"/>
  <c r="J284" i="11"/>
  <c r="I284" i="11"/>
  <c r="H285" i="11"/>
  <c r="J320" i="15" l="1"/>
  <c r="I321" i="15"/>
  <c r="K320" i="15"/>
  <c r="B314" i="8"/>
  <c r="E330" i="14"/>
  <c r="K305" i="14"/>
  <c r="J305" i="14"/>
  <c r="I306" i="14"/>
  <c r="Q314" i="14"/>
  <c r="J285" i="11"/>
  <c r="H286" i="11"/>
  <c r="I285" i="11"/>
  <c r="K321" i="15" l="1"/>
  <c r="I322" i="15"/>
  <c r="J321" i="15"/>
  <c r="B315" i="8"/>
  <c r="E331" i="14"/>
  <c r="K306" i="14"/>
  <c r="J306" i="14"/>
  <c r="I307" i="14"/>
  <c r="Q315" i="14"/>
  <c r="J286" i="11"/>
  <c r="H287" i="11"/>
  <c r="I286" i="11"/>
  <c r="K322" i="15" l="1"/>
  <c r="I323" i="15"/>
  <c r="J322" i="15"/>
  <c r="B316" i="8"/>
  <c r="E332" i="14"/>
  <c r="K307" i="14"/>
  <c r="J307" i="14"/>
  <c r="I308" i="14"/>
  <c r="Q316" i="14"/>
  <c r="H288" i="11"/>
  <c r="I287" i="11"/>
  <c r="J287" i="11"/>
  <c r="I324" i="15" l="1"/>
  <c r="J323" i="15"/>
  <c r="K323" i="15"/>
  <c r="B317" i="8"/>
  <c r="E333" i="14"/>
  <c r="K308" i="14"/>
  <c r="J308" i="14"/>
  <c r="I309" i="14"/>
  <c r="Q317" i="14"/>
  <c r="J288" i="11"/>
  <c r="H289" i="11"/>
  <c r="I288" i="11"/>
  <c r="I325" i="15" l="1"/>
  <c r="K324" i="15"/>
  <c r="J324" i="15"/>
  <c r="B318" i="8"/>
  <c r="E334" i="14"/>
  <c r="K309" i="14"/>
  <c r="J309" i="14"/>
  <c r="I310" i="14"/>
  <c r="Q318" i="14"/>
  <c r="J289" i="11"/>
  <c r="H290" i="11"/>
  <c r="I289" i="11"/>
  <c r="K325" i="15" l="1"/>
  <c r="J325" i="15"/>
  <c r="I326" i="15"/>
  <c r="B319" i="8"/>
  <c r="E335" i="14"/>
  <c r="K310" i="14"/>
  <c r="J310" i="14"/>
  <c r="I311" i="14"/>
  <c r="Q319" i="14"/>
  <c r="J290" i="11"/>
  <c r="H291" i="11"/>
  <c r="I290" i="11"/>
  <c r="K326" i="15" l="1"/>
  <c r="I327" i="15"/>
  <c r="J326" i="15"/>
  <c r="B320" i="8"/>
  <c r="E336" i="14"/>
  <c r="K311" i="14"/>
  <c r="I312" i="14"/>
  <c r="J311" i="14"/>
  <c r="Q320" i="14"/>
  <c r="H292" i="11"/>
  <c r="I291" i="11"/>
  <c r="J291" i="11"/>
  <c r="I328" i="15" l="1"/>
  <c r="J327" i="15"/>
  <c r="K327" i="15"/>
  <c r="B321" i="8"/>
  <c r="E337" i="14"/>
  <c r="I313" i="14"/>
  <c r="J312" i="14"/>
  <c r="K312" i="14"/>
  <c r="Q321" i="14"/>
  <c r="J292" i="11"/>
  <c r="H293" i="11"/>
  <c r="I292" i="11"/>
  <c r="I329" i="15" l="1"/>
  <c r="J328" i="15"/>
  <c r="K328" i="15"/>
  <c r="B322" i="8"/>
  <c r="E338" i="14"/>
  <c r="I314" i="14"/>
  <c r="K313" i="14"/>
  <c r="J313" i="14"/>
  <c r="Q322" i="14"/>
  <c r="J293" i="11"/>
  <c r="H294" i="11"/>
  <c r="I293" i="11"/>
  <c r="K329" i="15" l="1"/>
  <c r="J329" i="15"/>
  <c r="I330" i="15"/>
  <c r="B323" i="8"/>
  <c r="E339" i="14"/>
  <c r="K314" i="14"/>
  <c r="I315" i="14"/>
  <c r="J314" i="14"/>
  <c r="Q323" i="14"/>
  <c r="H295" i="11"/>
  <c r="J294" i="11"/>
  <c r="I294" i="11"/>
  <c r="K330" i="15" l="1"/>
  <c r="I331" i="15"/>
  <c r="J330" i="15"/>
  <c r="B324" i="8"/>
  <c r="E340" i="14"/>
  <c r="Q340" i="14" s="1"/>
  <c r="K315" i="14"/>
  <c r="I316" i="14"/>
  <c r="J315" i="14"/>
  <c r="Q324" i="14"/>
  <c r="H296" i="11"/>
  <c r="J295" i="11"/>
  <c r="I295" i="11"/>
  <c r="I332" i="15" l="1"/>
  <c r="J331" i="15"/>
  <c r="K331" i="15"/>
  <c r="B325" i="8"/>
  <c r="E341" i="14"/>
  <c r="Q341" i="14" s="1"/>
  <c r="I317" i="14"/>
  <c r="J316" i="14"/>
  <c r="K316" i="14"/>
  <c r="Q325" i="14"/>
  <c r="H297" i="11"/>
  <c r="J296" i="11"/>
  <c r="I296" i="11"/>
  <c r="I333" i="15" l="1"/>
  <c r="K332" i="15"/>
  <c r="J332" i="15"/>
  <c r="B326" i="8"/>
  <c r="E342" i="14"/>
  <c r="Q342" i="14" s="1"/>
  <c r="I318" i="14"/>
  <c r="J317" i="14"/>
  <c r="K317" i="14"/>
  <c r="H298" i="11"/>
  <c r="J297" i="11"/>
  <c r="I297" i="11"/>
  <c r="K333" i="15" l="1"/>
  <c r="I334" i="15"/>
  <c r="J333" i="15"/>
  <c r="B327" i="8"/>
  <c r="E343" i="14"/>
  <c r="Q343" i="14" s="1"/>
  <c r="Q326" i="14"/>
  <c r="K318" i="14"/>
  <c r="J318" i="14"/>
  <c r="I319" i="14"/>
  <c r="Q327" i="14"/>
  <c r="H299" i="11"/>
  <c r="J298" i="11"/>
  <c r="I298" i="11"/>
  <c r="L294" i="11" s="1"/>
  <c r="K334" i="15" l="1"/>
  <c r="I335" i="15"/>
  <c r="J334" i="15"/>
  <c r="B328" i="8"/>
  <c r="E344" i="14"/>
  <c r="Q344" i="14" s="1"/>
  <c r="K319" i="14"/>
  <c r="I320" i="14"/>
  <c r="J319" i="14"/>
  <c r="Q328" i="14"/>
  <c r="H300" i="11"/>
  <c r="J299" i="11"/>
  <c r="I299" i="11"/>
  <c r="I336" i="15" l="1"/>
  <c r="J335" i="15"/>
  <c r="K335" i="15"/>
  <c r="B329" i="8"/>
  <c r="E345" i="14"/>
  <c r="Q345" i="14" s="1"/>
  <c r="I321" i="14"/>
  <c r="J320" i="14"/>
  <c r="K320" i="14"/>
  <c r="Q329" i="14"/>
  <c r="H301" i="11"/>
  <c r="J300" i="11"/>
  <c r="I300" i="11"/>
  <c r="K336" i="15" l="1"/>
  <c r="J336" i="15"/>
  <c r="I337" i="15"/>
  <c r="B330" i="8"/>
  <c r="E346" i="14"/>
  <c r="Q346" i="14" s="1"/>
  <c r="I322" i="14"/>
  <c r="K321" i="14"/>
  <c r="J321" i="14"/>
  <c r="Q330" i="14"/>
  <c r="J301" i="11"/>
  <c r="I301" i="11"/>
  <c r="H302" i="11"/>
  <c r="K337" i="15" l="1"/>
  <c r="J337" i="15"/>
  <c r="I338" i="15"/>
  <c r="B331" i="8"/>
  <c r="E347" i="14"/>
  <c r="Q347" i="14" s="1"/>
  <c r="K322" i="14"/>
  <c r="I323" i="14"/>
  <c r="J322" i="14"/>
  <c r="Q331" i="14"/>
  <c r="J302" i="11"/>
  <c r="H303" i="11"/>
  <c r="I302" i="11"/>
  <c r="K338" i="15" l="1"/>
  <c r="I339" i="15"/>
  <c r="J338" i="15"/>
  <c r="B332" i="8"/>
  <c r="E348" i="14"/>
  <c r="Q348" i="14" s="1"/>
  <c r="K323" i="14"/>
  <c r="I324" i="14"/>
  <c r="J323" i="14"/>
  <c r="Q332" i="14"/>
  <c r="J303" i="11"/>
  <c r="H304" i="11"/>
  <c r="I303" i="11"/>
  <c r="I340" i="15" l="1"/>
  <c r="J339" i="15"/>
  <c r="K339" i="15"/>
  <c r="B333" i="8"/>
  <c r="E349" i="14"/>
  <c r="Q349" i="14" s="1"/>
  <c r="I325" i="14"/>
  <c r="J324" i="14"/>
  <c r="K324" i="14"/>
  <c r="H305" i="11"/>
  <c r="I304" i="11"/>
  <c r="J304" i="11"/>
  <c r="I341" i="15" l="1"/>
  <c r="K340" i="15"/>
  <c r="J340" i="15"/>
  <c r="B334" i="8"/>
  <c r="E350" i="14"/>
  <c r="Q350" i="14" s="1"/>
  <c r="K325" i="14"/>
  <c r="I326" i="14"/>
  <c r="I327" i="14" s="1"/>
  <c r="J325" i="14"/>
  <c r="Q333" i="14"/>
  <c r="J305" i="11"/>
  <c r="H306" i="11"/>
  <c r="I305" i="11"/>
  <c r="K341" i="15" l="1"/>
  <c r="I342" i="15"/>
  <c r="J341" i="15"/>
  <c r="B335" i="8"/>
  <c r="E351" i="14"/>
  <c r="Q351" i="14" s="1"/>
  <c r="J327" i="14"/>
  <c r="I328" i="14"/>
  <c r="K326" i="14"/>
  <c r="J326" i="14"/>
  <c r="Q334" i="14"/>
  <c r="J306" i="11"/>
  <c r="H307" i="11"/>
  <c r="I306" i="11"/>
  <c r="K342" i="15" l="1"/>
  <c r="I343" i="15"/>
  <c r="J342" i="15"/>
  <c r="B336" i="8"/>
  <c r="E352" i="14"/>
  <c r="Q352" i="14" s="1"/>
  <c r="I329" i="14"/>
  <c r="J328" i="14"/>
  <c r="K327" i="14"/>
  <c r="Q335" i="14"/>
  <c r="J307" i="11"/>
  <c r="H308" i="11"/>
  <c r="I307" i="11"/>
  <c r="I344" i="15" l="1"/>
  <c r="J343" i="15"/>
  <c r="K343" i="15"/>
  <c r="B337" i="8"/>
  <c r="E353" i="14"/>
  <c r="Q353" i="14" s="1"/>
  <c r="I330" i="14"/>
  <c r="J329" i="14"/>
  <c r="K328" i="14"/>
  <c r="Q336" i="14"/>
  <c r="H309" i="11"/>
  <c r="I308" i="11"/>
  <c r="J308" i="11"/>
  <c r="I345" i="15" l="1"/>
  <c r="J344" i="15"/>
  <c r="K344" i="15"/>
  <c r="B338" i="8"/>
  <c r="E354" i="14"/>
  <c r="Q354" i="14" s="1"/>
  <c r="I331" i="14"/>
  <c r="J330" i="14"/>
  <c r="K329" i="14"/>
  <c r="Q337" i="14"/>
  <c r="J309" i="11"/>
  <c r="H310" i="11"/>
  <c r="I309" i="11"/>
  <c r="K345" i="15" l="1"/>
  <c r="J345" i="15"/>
  <c r="I346" i="15"/>
  <c r="B339" i="8"/>
  <c r="E355" i="14"/>
  <c r="Q355" i="14" s="1"/>
  <c r="I332" i="14"/>
  <c r="J331" i="14"/>
  <c r="K331" i="14"/>
  <c r="K330" i="14"/>
  <c r="Q338" i="14"/>
  <c r="J310" i="11"/>
  <c r="H311" i="11"/>
  <c r="I310" i="11"/>
  <c r="K346" i="15" l="1"/>
  <c r="I347" i="15"/>
  <c r="J346" i="15"/>
  <c r="B340" i="8"/>
  <c r="E356" i="14"/>
  <c r="Q356" i="14" s="1"/>
  <c r="I333" i="14"/>
  <c r="J332" i="14"/>
  <c r="K332" i="14"/>
  <c r="Q339" i="14"/>
  <c r="J311" i="11"/>
  <c r="H312" i="11"/>
  <c r="I311" i="11"/>
  <c r="I348" i="15" l="1"/>
  <c r="J347" i="15"/>
  <c r="K347" i="15"/>
  <c r="B341" i="8"/>
  <c r="E357" i="14"/>
  <c r="Q357" i="14" s="1"/>
  <c r="I334" i="14"/>
  <c r="J333" i="14"/>
  <c r="H313" i="11"/>
  <c r="I312" i="11"/>
  <c r="J312" i="11"/>
  <c r="I349" i="15" l="1"/>
  <c r="K348" i="15"/>
  <c r="J348" i="15"/>
  <c r="B342" i="8"/>
  <c r="E358" i="14"/>
  <c r="Q358" i="14" s="1"/>
  <c r="I335" i="14"/>
  <c r="J334" i="14"/>
  <c r="J313" i="11"/>
  <c r="I313" i="11"/>
  <c r="H314" i="11"/>
  <c r="K349" i="15" l="1"/>
  <c r="I350" i="15"/>
  <c r="J349" i="15"/>
  <c r="B343" i="8"/>
  <c r="E359" i="14"/>
  <c r="Q359" i="14" s="1"/>
  <c r="I336" i="14"/>
  <c r="J335" i="14"/>
  <c r="J314" i="11"/>
  <c r="H315" i="11"/>
  <c r="I314" i="11"/>
  <c r="K350" i="15" l="1"/>
  <c r="I351" i="15"/>
  <c r="J350" i="15"/>
  <c r="B344" i="8"/>
  <c r="E360" i="14"/>
  <c r="Q360" i="14" s="1"/>
  <c r="I337" i="14"/>
  <c r="J337" i="14" s="1"/>
  <c r="J336" i="14"/>
  <c r="K333" i="14"/>
  <c r="K334" i="14"/>
  <c r="K335" i="14"/>
  <c r="J315" i="11"/>
  <c r="H316" i="11"/>
  <c r="I315" i="11"/>
  <c r="I352" i="15" l="1"/>
  <c r="J351" i="15"/>
  <c r="K351" i="15"/>
  <c r="B345" i="8"/>
  <c r="E361" i="14"/>
  <c r="Q361" i="14" s="1"/>
  <c r="I338" i="14"/>
  <c r="J338" i="14" s="1"/>
  <c r="K336" i="14"/>
  <c r="H317" i="11"/>
  <c r="I316" i="11"/>
  <c r="J316" i="11"/>
  <c r="K352" i="15" l="1"/>
  <c r="I353" i="15"/>
  <c r="J352" i="15"/>
  <c r="B346" i="8"/>
  <c r="E362" i="14"/>
  <c r="Q362" i="14" s="1"/>
  <c r="I339" i="14"/>
  <c r="J339" i="14" s="1"/>
  <c r="J317" i="11"/>
  <c r="H318" i="11"/>
  <c r="I317" i="11"/>
  <c r="K353" i="15" l="1"/>
  <c r="I354" i="15"/>
  <c r="J353" i="15"/>
  <c r="B347" i="8"/>
  <c r="E363" i="14"/>
  <c r="Q363" i="14" s="1"/>
  <c r="I340" i="14"/>
  <c r="J340" i="14" s="1"/>
  <c r="K337" i="14"/>
  <c r="J318" i="11"/>
  <c r="H319" i="11"/>
  <c r="I318" i="11"/>
  <c r="I355" i="15" l="1"/>
  <c r="K354" i="15"/>
  <c r="J354" i="15"/>
  <c r="B348" i="8"/>
  <c r="E364" i="14"/>
  <c r="Q364" i="14" s="1"/>
  <c r="I341" i="14"/>
  <c r="J341" i="14" s="1"/>
  <c r="K338" i="14"/>
  <c r="J319" i="11"/>
  <c r="H320" i="11"/>
  <c r="I319" i="11"/>
  <c r="K355" i="15" l="1"/>
  <c r="J355" i="15"/>
  <c r="I356" i="15"/>
  <c r="B349" i="8"/>
  <c r="E365" i="14"/>
  <c r="Q365" i="14" s="1"/>
  <c r="I342" i="14"/>
  <c r="J342" i="14" s="1"/>
  <c r="K339" i="14"/>
  <c r="H321" i="11"/>
  <c r="I320" i="11"/>
  <c r="J320" i="11"/>
  <c r="K356" i="15" l="1"/>
  <c r="I357" i="15"/>
  <c r="J356" i="15"/>
  <c r="B350" i="8"/>
  <c r="E366" i="14"/>
  <c r="Q366" i="14" s="1"/>
  <c r="I343" i="14"/>
  <c r="J343" i="14" s="1"/>
  <c r="K340" i="14"/>
  <c r="J321" i="11"/>
  <c r="H322" i="11"/>
  <c r="I321" i="11"/>
  <c r="I358" i="15" l="1"/>
  <c r="J357" i="15"/>
  <c r="K357" i="15"/>
  <c r="B351" i="8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E367" i="14"/>
  <c r="I344" i="14"/>
  <c r="J344" i="14" s="1"/>
  <c r="K341" i="14"/>
  <c r="J322" i="11"/>
  <c r="H323" i="11"/>
  <c r="H324" i="11" s="1"/>
  <c r="I322" i="11"/>
  <c r="J358" i="15" l="1"/>
  <c r="I359" i="15"/>
  <c r="K358" i="15"/>
  <c r="E373" i="14"/>
  <c r="Q367" i="14"/>
  <c r="I345" i="14"/>
  <c r="J345" i="14" s="1"/>
  <c r="J324" i="11"/>
  <c r="I324" i="11"/>
  <c r="H325" i="11"/>
  <c r="K342" i="14"/>
  <c r="J323" i="11"/>
  <c r="I323" i="11"/>
  <c r="K359" i="15" l="1"/>
  <c r="I360" i="15"/>
  <c r="J359" i="15"/>
  <c r="E374" i="14"/>
  <c r="Q373" i="14"/>
  <c r="I346" i="14"/>
  <c r="J346" i="14" s="1"/>
  <c r="H326" i="11"/>
  <c r="I325" i="11"/>
  <c r="J325" i="11"/>
  <c r="K343" i="14"/>
  <c r="K360" i="15" l="1"/>
  <c r="I361" i="15"/>
  <c r="J360" i="15"/>
  <c r="E375" i="14"/>
  <c r="Q374" i="14"/>
  <c r="I347" i="14"/>
  <c r="J347" i="14" s="1"/>
  <c r="I326" i="11"/>
  <c r="J326" i="11"/>
  <c r="H327" i="11"/>
  <c r="K344" i="14"/>
  <c r="I362" i="15" l="1"/>
  <c r="J361" i="15"/>
  <c r="K361" i="15"/>
  <c r="E376" i="14"/>
  <c r="Q375" i="14"/>
  <c r="I348" i="14"/>
  <c r="J348" i="14" s="1"/>
  <c r="J327" i="11"/>
  <c r="H328" i="11"/>
  <c r="I327" i="11"/>
  <c r="K345" i="14"/>
  <c r="I363" i="15" l="1"/>
  <c r="K362" i="15"/>
  <c r="J362" i="15"/>
  <c r="E377" i="14"/>
  <c r="Q376" i="14"/>
  <c r="I349" i="14"/>
  <c r="J349" i="14" s="1"/>
  <c r="J328" i="11"/>
  <c r="H329" i="11"/>
  <c r="I328" i="11"/>
  <c r="K346" i="14"/>
  <c r="K363" i="15" l="1"/>
  <c r="J363" i="15"/>
  <c r="I364" i="15"/>
  <c r="E378" i="14"/>
  <c r="Q377" i="14"/>
  <c r="I350" i="14"/>
  <c r="J350" i="14" s="1"/>
  <c r="H330" i="11"/>
  <c r="J329" i="11"/>
  <c r="I329" i="11"/>
  <c r="K347" i="14"/>
  <c r="K364" i="15" l="1"/>
  <c r="I365" i="15"/>
  <c r="J364" i="15"/>
  <c r="E379" i="14"/>
  <c r="Q378" i="14"/>
  <c r="I351" i="14"/>
  <c r="J351" i="14" s="1"/>
  <c r="H331" i="11"/>
  <c r="J330" i="11"/>
  <c r="I330" i="11"/>
  <c r="K348" i="14"/>
  <c r="I366" i="15" l="1"/>
  <c r="J365" i="15"/>
  <c r="K365" i="15"/>
  <c r="E380" i="14"/>
  <c r="Q379" i="14"/>
  <c r="I352" i="14"/>
  <c r="J352" i="14" s="1"/>
  <c r="I331" i="11"/>
  <c r="J331" i="11"/>
  <c r="H332" i="11"/>
  <c r="K349" i="14"/>
  <c r="J366" i="15" l="1"/>
  <c r="I367" i="15"/>
  <c r="K366" i="15"/>
  <c r="E381" i="14"/>
  <c r="Q380" i="14"/>
  <c r="I353" i="14"/>
  <c r="J353" i="14" s="1"/>
  <c r="H333" i="11"/>
  <c r="I332" i="11"/>
  <c r="J332" i="11"/>
  <c r="K350" i="14"/>
  <c r="I368" i="15" l="1"/>
  <c r="K367" i="15"/>
  <c r="J367" i="15"/>
  <c r="E382" i="14"/>
  <c r="Q381" i="14"/>
  <c r="I354" i="14"/>
  <c r="J354" i="14" s="1"/>
  <c r="H334" i="11"/>
  <c r="J333" i="11"/>
  <c r="I333" i="11"/>
  <c r="K351" i="14"/>
  <c r="K368" i="15" l="1"/>
  <c r="J368" i="15"/>
  <c r="I369" i="15"/>
  <c r="E383" i="14"/>
  <c r="Q382" i="14"/>
  <c r="I355" i="14"/>
  <c r="J355" i="14" s="1"/>
  <c r="I334" i="11"/>
  <c r="H335" i="11"/>
  <c r="J334" i="11"/>
  <c r="K352" i="14"/>
  <c r="K369" i="15" l="1"/>
  <c r="I370" i="15"/>
  <c r="J369" i="15"/>
  <c r="E384" i="14"/>
  <c r="Q383" i="14"/>
  <c r="I356" i="14"/>
  <c r="J356" i="14" s="1"/>
  <c r="H336" i="11"/>
  <c r="I335" i="11"/>
  <c r="J335" i="11"/>
  <c r="K353" i="14"/>
  <c r="I371" i="15" l="1"/>
  <c r="J370" i="15"/>
  <c r="M368" i="15" s="1"/>
  <c r="K370" i="15"/>
  <c r="E385" i="14"/>
  <c r="Q384" i="14"/>
  <c r="I357" i="14"/>
  <c r="J357" i="14" s="1"/>
  <c r="I336" i="11"/>
  <c r="H337" i="11"/>
  <c r="J336" i="11"/>
  <c r="K354" i="14"/>
  <c r="AI10" i="9"/>
  <c r="K371" i="15" l="1"/>
  <c r="I372" i="15"/>
  <c r="J371" i="15"/>
  <c r="E386" i="14"/>
  <c r="Q385" i="14"/>
  <c r="I358" i="14"/>
  <c r="J358" i="14" s="1"/>
  <c r="H338" i="11"/>
  <c r="I337" i="11"/>
  <c r="J337" i="11"/>
  <c r="I359" i="14"/>
  <c r="K355" i="14"/>
  <c r="AF7" i="9"/>
  <c r="AF8" i="9"/>
  <c r="AF9" i="9"/>
  <c r="AI9" i="9" s="1"/>
  <c r="AF10" i="9"/>
  <c r="AF11" i="9"/>
  <c r="AI11" i="9" s="1"/>
  <c r="AF12" i="9"/>
  <c r="AF13" i="9"/>
  <c r="AF14" i="9"/>
  <c r="AF15" i="9"/>
  <c r="K372" i="15" l="1"/>
  <c r="J372" i="15"/>
  <c r="I373" i="15"/>
  <c r="E387" i="14"/>
  <c r="Q386" i="14"/>
  <c r="I338" i="11"/>
  <c r="J338" i="11"/>
  <c r="H339" i="11"/>
  <c r="I360" i="14"/>
  <c r="J359" i="14"/>
  <c r="K356" i="14"/>
  <c r="S45" i="9"/>
  <c r="AF36" i="9"/>
  <c r="AF35" i="9"/>
  <c r="AF34" i="9"/>
  <c r="AF33" i="9"/>
  <c r="AF32" i="9"/>
  <c r="AF31" i="9"/>
  <c r="AF30" i="9"/>
  <c r="AF29" i="9"/>
  <c r="AF28" i="9"/>
  <c r="AF27" i="9"/>
  <c r="AF26" i="9"/>
  <c r="AI15" i="9"/>
  <c r="AI14" i="9"/>
  <c r="AI13" i="9"/>
  <c r="AI12" i="9"/>
  <c r="AI8" i="9"/>
  <c r="AI7" i="9"/>
  <c r="K373" i="15" l="1"/>
  <c r="I374" i="15"/>
  <c r="J373" i="15"/>
  <c r="E388" i="14"/>
  <c r="Q387" i="14"/>
  <c r="J339" i="11"/>
  <c r="I339" i="11"/>
  <c r="H340" i="11"/>
  <c r="I361" i="14"/>
  <c r="J360" i="14"/>
  <c r="K357" i="14"/>
  <c r="AF37" i="9"/>
  <c r="S49" i="9" s="1"/>
  <c r="K374" i="15" l="1"/>
  <c r="I375" i="15"/>
  <c r="J374" i="15"/>
  <c r="E389" i="14"/>
  <c r="Q388" i="14"/>
  <c r="I340" i="11"/>
  <c r="J340" i="11"/>
  <c r="H341" i="11"/>
  <c r="I362" i="14"/>
  <c r="J361" i="14"/>
  <c r="K358" i="14"/>
  <c r="C49" i="9"/>
  <c r="S46" i="9" s="1"/>
  <c r="S48" i="9" s="1"/>
  <c r="S50" i="9" s="1"/>
  <c r="I376" i="15" l="1"/>
  <c r="J375" i="15"/>
  <c r="K375" i="15"/>
  <c r="E390" i="14"/>
  <c r="Q389" i="14"/>
  <c r="J341" i="11"/>
  <c r="H342" i="11"/>
  <c r="I341" i="11"/>
  <c r="I363" i="14"/>
  <c r="I364" i="14" s="1"/>
  <c r="I365" i="14" s="1"/>
  <c r="J362" i="14"/>
  <c r="K359" i="14"/>
  <c r="J376" i="15" l="1"/>
  <c r="I377" i="15"/>
  <c r="K376" i="15"/>
  <c r="E391" i="14"/>
  <c r="Q390" i="14"/>
  <c r="I366" i="14"/>
  <c r="J365" i="14"/>
  <c r="I342" i="11"/>
  <c r="J342" i="11"/>
  <c r="H343" i="11"/>
  <c r="J363" i="14"/>
  <c r="K360" i="14"/>
  <c r="K377" i="15" l="1"/>
  <c r="I378" i="15"/>
  <c r="J377" i="15"/>
  <c r="E392" i="14"/>
  <c r="Q391" i="14"/>
  <c r="I367" i="14"/>
  <c r="J366" i="14"/>
  <c r="I343" i="11"/>
  <c r="J343" i="11"/>
  <c r="H344" i="11"/>
  <c r="J364" i="14"/>
  <c r="K361" i="14"/>
  <c r="K378" i="15" l="1"/>
  <c r="I379" i="15"/>
  <c r="J378" i="15"/>
  <c r="E393" i="14"/>
  <c r="Q392" i="14"/>
  <c r="I368" i="14"/>
  <c r="J367" i="14"/>
  <c r="I344" i="11"/>
  <c r="J344" i="11"/>
  <c r="H345" i="11"/>
  <c r="K362" i="14"/>
  <c r="I380" i="15" l="1"/>
  <c r="J379" i="15"/>
  <c r="K379" i="15"/>
  <c r="E394" i="14"/>
  <c r="Q393" i="14"/>
  <c r="I369" i="14"/>
  <c r="J368" i="14"/>
  <c r="K368" i="14"/>
  <c r="J345" i="11"/>
  <c r="H346" i="11"/>
  <c r="I345" i="11"/>
  <c r="K363" i="14"/>
  <c r="J380" i="15" l="1"/>
  <c r="K380" i="15"/>
  <c r="I381" i="15"/>
  <c r="E395" i="14"/>
  <c r="Q394" i="14"/>
  <c r="I370" i="14"/>
  <c r="J369" i="14"/>
  <c r="K369" i="14"/>
  <c r="I346" i="11"/>
  <c r="H347" i="11"/>
  <c r="J346" i="11"/>
  <c r="K364" i="14"/>
  <c r="I382" i="15" l="1"/>
  <c r="J381" i="15"/>
  <c r="K381" i="15"/>
  <c r="E396" i="14"/>
  <c r="Q395" i="14"/>
  <c r="I371" i="14"/>
  <c r="J370" i="14"/>
  <c r="M368" i="14" s="1"/>
  <c r="K370" i="14"/>
  <c r="H348" i="11"/>
  <c r="J347" i="11"/>
  <c r="I347" i="11"/>
  <c r="K365" i="14"/>
  <c r="J382" i="15" l="1"/>
  <c r="I383" i="15"/>
  <c r="K382" i="15"/>
  <c r="E397" i="14"/>
  <c r="Q396" i="14"/>
  <c r="I372" i="14"/>
  <c r="J371" i="14"/>
  <c r="K371" i="14"/>
  <c r="I348" i="11"/>
  <c r="J348" i="11"/>
  <c r="H349" i="11"/>
  <c r="K366" i="14"/>
  <c r="K383" i="15" l="1"/>
  <c r="J383" i="15"/>
  <c r="I384" i="15"/>
  <c r="E398" i="14"/>
  <c r="Q397" i="14"/>
  <c r="I373" i="14"/>
  <c r="J372" i="14"/>
  <c r="K372" i="14"/>
  <c r="J349" i="11"/>
  <c r="I349" i="11"/>
  <c r="H350" i="11"/>
  <c r="K367" i="14"/>
  <c r="K384" i="15" l="1"/>
  <c r="J384" i="15"/>
  <c r="I385" i="15"/>
  <c r="E399" i="14"/>
  <c r="Q398" i="14"/>
  <c r="I374" i="14"/>
  <c r="J373" i="14"/>
  <c r="K373" i="14"/>
  <c r="I350" i="11"/>
  <c r="J350" i="11"/>
  <c r="H351" i="11"/>
  <c r="I386" i="15" l="1"/>
  <c r="J385" i="15"/>
  <c r="K385" i="15"/>
  <c r="E400" i="14"/>
  <c r="Q399" i="14"/>
  <c r="I375" i="14"/>
  <c r="J374" i="14"/>
  <c r="K374" i="14"/>
  <c r="J351" i="11"/>
  <c r="I351" i="11"/>
  <c r="H352" i="11"/>
  <c r="I387" i="15" l="1"/>
  <c r="J386" i="15"/>
  <c r="K386" i="15"/>
  <c r="E401" i="14"/>
  <c r="Q400" i="14"/>
  <c r="I376" i="14"/>
  <c r="J375" i="14"/>
  <c r="K375" i="14"/>
  <c r="J352" i="11"/>
  <c r="H353" i="11"/>
  <c r="I352" i="11"/>
  <c r="I388" i="15" l="1"/>
  <c r="K387" i="15"/>
  <c r="J387" i="15"/>
  <c r="E402" i="14"/>
  <c r="Q401" i="14"/>
  <c r="J376" i="14"/>
  <c r="I377" i="14"/>
  <c r="K376" i="14"/>
  <c r="I353" i="11"/>
  <c r="H354" i="11"/>
  <c r="K388" i="15" l="1"/>
  <c r="J388" i="15"/>
  <c r="I389" i="15"/>
  <c r="E403" i="14"/>
  <c r="Q402" i="14"/>
  <c r="J377" i="14"/>
  <c r="K377" i="14"/>
  <c r="I378" i="14"/>
  <c r="I354" i="11"/>
  <c r="H355" i="11"/>
  <c r="K389" i="15" l="1"/>
  <c r="I390" i="15"/>
  <c r="J389" i="15"/>
  <c r="E404" i="14"/>
  <c r="Q403" i="14"/>
  <c r="J378" i="14"/>
  <c r="I379" i="14"/>
  <c r="I355" i="11"/>
  <c r="H356" i="11"/>
  <c r="K378" i="14"/>
  <c r="I391" i="15" l="1"/>
  <c r="J390" i="15"/>
  <c r="K390" i="15"/>
  <c r="E405" i="14"/>
  <c r="Q404" i="14"/>
  <c r="I380" i="14"/>
  <c r="J379" i="14"/>
  <c r="I356" i="11"/>
  <c r="H357" i="11"/>
  <c r="K379" i="14"/>
  <c r="I392" i="15" l="1"/>
  <c r="K391" i="15"/>
  <c r="J391" i="15"/>
  <c r="E406" i="14"/>
  <c r="Q405" i="14"/>
  <c r="J380" i="14"/>
  <c r="I381" i="14"/>
  <c r="I357" i="11"/>
  <c r="H358" i="11"/>
  <c r="K380" i="14"/>
  <c r="I393" i="15" l="1"/>
  <c r="K392" i="15"/>
  <c r="J392" i="15"/>
  <c r="E407" i="14"/>
  <c r="Q406" i="14"/>
  <c r="I382" i="14"/>
  <c r="J381" i="14"/>
  <c r="I358" i="11"/>
  <c r="H359" i="11"/>
  <c r="K381" i="14"/>
  <c r="J353" i="11"/>
  <c r="I394" i="15" l="1"/>
  <c r="J393" i="15"/>
  <c r="K393" i="15"/>
  <c r="E408" i="14"/>
  <c r="Q407" i="14"/>
  <c r="I383" i="14"/>
  <c r="J382" i="14"/>
  <c r="I359" i="11"/>
  <c r="H360" i="11"/>
  <c r="K382" i="14"/>
  <c r="J354" i="11"/>
  <c r="K394" i="15" l="1"/>
  <c r="J394" i="15"/>
  <c r="I395" i="15"/>
  <c r="E409" i="14"/>
  <c r="M392" i="14"/>
  <c r="Q408" i="14"/>
  <c r="I384" i="14"/>
  <c r="K384" i="14" s="1"/>
  <c r="J383" i="14"/>
  <c r="I360" i="11"/>
  <c r="H361" i="11"/>
  <c r="K383" i="14"/>
  <c r="J355" i="11"/>
  <c r="K395" i="15" l="1"/>
  <c r="I396" i="15"/>
  <c r="J395" i="15"/>
  <c r="E410" i="14"/>
  <c r="Q409" i="14"/>
  <c r="I385" i="14"/>
  <c r="J384" i="14"/>
  <c r="I361" i="11"/>
  <c r="H362" i="11"/>
  <c r="J356" i="11"/>
  <c r="K396" i="15" l="1"/>
  <c r="I397" i="15"/>
  <c r="J396" i="15"/>
  <c r="E411" i="14"/>
  <c r="Q410" i="14"/>
  <c r="I386" i="14"/>
  <c r="J385" i="14"/>
  <c r="K385" i="14"/>
  <c r="I362" i="11"/>
  <c r="H363" i="11"/>
  <c r="J357" i="11"/>
  <c r="I398" i="15" l="1"/>
  <c r="J397" i="15"/>
  <c r="K397" i="15"/>
  <c r="E412" i="14"/>
  <c r="Q411" i="14"/>
  <c r="J386" i="14"/>
  <c r="K386" i="14"/>
  <c r="I387" i="14"/>
  <c r="H364" i="11"/>
  <c r="I364" i="11" s="1"/>
  <c r="I363" i="11"/>
  <c r="J358" i="11"/>
  <c r="I399" i="15" l="1"/>
  <c r="K398" i="15"/>
  <c r="J398" i="15"/>
  <c r="E413" i="14"/>
  <c r="Q412" i="14"/>
  <c r="K387" i="14"/>
  <c r="J387" i="14"/>
  <c r="I388" i="14"/>
  <c r="H365" i="11"/>
  <c r="I365" i="11" s="1"/>
  <c r="K399" i="15" l="1"/>
  <c r="I400" i="15"/>
  <c r="J399" i="15"/>
  <c r="E414" i="14"/>
  <c r="Q413" i="14"/>
  <c r="J388" i="14"/>
  <c r="I389" i="14"/>
  <c r="K388" i="14"/>
  <c r="H366" i="11"/>
  <c r="I366" i="11" s="1"/>
  <c r="I401" i="15" l="1"/>
  <c r="J400" i="15"/>
  <c r="K400" i="15"/>
  <c r="E415" i="14"/>
  <c r="Q414" i="14"/>
  <c r="K389" i="14"/>
  <c r="J389" i="14"/>
  <c r="I390" i="14"/>
  <c r="J359" i="11"/>
  <c r="K401" i="15" l="1"/>
  <c r="J401" i="15"/>
  <c r="I402" i="15"/>
  <c r="E416" i="14"/>
  <c r="Q415" i="14"/>
  <c r="K390" i="14"/>
  <c r="J390" i="14"/>
  <c r="I391" i="14"/>
  <c r="J360" i="11"/>
  <c r="K402" i="15" l="1"/>
  <c r="I403" i="15"/>
  <c r="J402" i="15"/>
  <c r="E417" i="14"/>
  <c r="Q416" i="14"/>
  <c r="K391" i="14"/>
  <c r="J391" i="14"/>
  <c r="I392" i="14"/>
  <c r="J361" i="11"/>
  <c r="K403" i="15" l="1"/>
  <c r="I404" i="15"/>
  <c r="J403" i="15"/>
  <c r="E418" i="14"/>
  <c r="Q417" i="14"/>
  <c r="K392" i="14"/>
  <c r="J392" i="14"/>
  <c r="I393" i="14"/>
  <c r="J362" i="11"/>
  <c r="J404" i="15" l="1"/>
  <c r="K404" i="15"/>
  <c r="I405" i="15"/>
  <c r="E419" i="14"/>
  <c r="Q418" i="14"/>
  <c r="J393" i="14"/>
  <c r="K393" i="14"/>
  <c r="I394" i="14"/>
  <c r="J363" i="11"/>
  <c r="K405" i="15" l="1"/>
  <c r="I406" i="15"/>
  <c r="J405" i="15"/>
  <c r="E420" i="14"/>
  <c r="Q419" i="14"/>
  <c r="J394" i="14"/>
  <c r="I395" i="14"/>
  <c r="K394" i="14"/>
  <c r="J364" i="11"/>
  <c r="K406" i="15" l="1"/>
  <c r="I407" i="15"/>
  <c r="I408" i="15" s="1"/>
  <c r="J406" i="15"/>
  <c r="E421" i="14"/>
  <c r="Q421" i="14" s="1"/>
  <c r="Q420" i="14"/>
  <c r="K395" i="14"/>
  <c r="J395" i="14"/>
  <c r="I396" i="14"/>
  <c r="J365" i="11"/>
  <c r="J408" i="15" l="1"/>
  <c r="I409" i="15"/>
  <c r="J407" i="15"/>
  <c r="K407" i="15"/>
  <c r="K396" i="14"/>
  <c r="J396" i="14"/>
  <c r="I397" i="14"/>
  <c r="H367" i="11"/>
  <c r="J366" i="11"/>
  <c r="I410" i="15" l="1"/>
  <c r="J409" i="15"/>
  <c r="K408" i="15"/>
  <c r="K397" i="14"/>
  <c r="J397" i="14"/>
  <c r="I398" i="14"/>
  <c r="H368" i="11"/>
  <c r="I368" i="11" s="1"/>
  <c r="F369" i="11" s="1"/>
  <c r="H369" i="11" s="1"/>
  <c r="I369" i="11" s="1"/>
  <c r="I367" i="11"/>
  <c r="I411" i="15" l="1"/>
  <c r="J410" i="15"/>
  <c r="K409" i="15"/>
  <c r="K398" i="14"/>
  <c r="J398" i="14"/>
  <c r="I399" i="14"/>
  <c r="I412" i="15" l="1"/>
  <c r="J411" i="15"/>
  <c r="K410" i="15"/>
  <c r="J399" i="14"/>
  <c r="K399" i="14"/>
  <c r="I400" i="14"/>
  <c r="I413" i="15" l="1"/>
  <c r="J412" i="15"/>
  <c r="K411" i="15"/>
  <c r="J400" i="14"/>
  <c r="K400" i="14"/>
  <c r="I401" i="14"/>
  <c r="I414" i="15" l="1"/>
  <c r="J413" i="15"/>
  <c r="K412" i="15"/>
  <c r="J401" i="14"/>
  <c r="I402" i="14"/>
  <c r="K401" i="14"/>
  <c r="I415" i="15" l="1"/>
  <c r="J414" i="15"/>
  <c r="K413" i="15"/>
  <c r="K402" i="14"/>
  <c r="J402" i="14"/>
  <c r="I403" i="14"/>
  <c r="I416" i="15" l="1"/>
  <c r="J415" i="15"/>
  <c r="K414" i="15"/>
  <c r="K403" i="14"/>
  <c r="J403" i="14"/>
  <c r="I404" i="14"/>
  <c r="I417" i="15" l="1"/>
  <c r="J416" i="15"/>
  <c r="K415" i="15"/>
  <c r="J404" i="14"/>
  <c r="K404" i="14"/>
  <c r="I405" i="14"/>
  <c r="I418" i="15" l="1"/>
  <c r="J417" i="15"/>
  <c r="K416" i="15"/>
  <c r="K405" i="14"/>
  <c r="J405" i="14"/>
  <c r="I406" i="14"/>
  <c r="I419" i="15" l="1"/>
  <c r="J418" i="15"/>
  <c r="K417" i="15"/>
  <c r="K406" i="14"/>
  <c r="J406" i="14"/>
  <c r="I407" i="14"/>
  <c r="I420" i="15" l="1"/>
  <c r="J419" i="15"/>
  <c r="K418" i="15"/>
  <c r="J407" i="14"/>
  <c r="K407" i="14"/>
  <c r="I408" i="14"/>
  <c r="I421" i="15" l="1"/>
  <c r="J420" i="15"/>
  <c r="K419" i="15"/>
  <c r="K408" i="14"/>
  <c r="J408" i="14"/>
  <c r="I409" i="14"/>
  <c r="I422" i="15" l="1"/>
  <c r="J421" i="15"/>
  <c r="K420" i="15"/>
  <c r="K409" i="14"/>
  <c r="J409" i="14"/>
  <c r="I410" i="14"/>
  <c r="I423" i="15" l="1"/>
  <c r="J422" i="15"/>
  <c r="K421" i="15"/>
  <c r="K410" i="14"/>
  <c r="J410" i="14"/>
  <c r="I411" i="14"/>
  <c r="I424" i="15" l="1"/>
  <c r="I425" i="15" s="1"/>
  <c r="J423" i="15"/>
  <c r="K422" i="15"/>
  <c r="K411" i="14"/>
  <c r="J411" i="14"/>
  <c r="I412" i="14"/>
  <c r="I426" i="15" l="1"/>
  <c r="J425" i="15"/>
  <c r="J424" i="15"/>
  <c r="K423" i="15"/>
  <c r="K412" i="14"/>
  <c r="J412" i="14"/>
  <c r="I413" i="14"/>
  <c r="I427" i="15" l="1"/>
  <c r="J427" i="15" s="1"/>
  <c r="J426" i="15"/>
  <c r="K424" i="15"/>
  <c r="K413" i="14"/>
  <c r="J413" i="14"/>
  <c r="I414" i="14"/>
  <c r="I428" i="15" l="1"/>
  <c r="J414" i="14"/>
  <c r="K414" i="14"/>
  <c r="I415" i="14"/>
  <c r="J428" i="15" l="1"/>
  <c r="I429" i="15"/>
  <c r="J429" i="15" s="1"/>
  <c r="K415" i="14"/>
  <c r="J415" i="14"/>
  <c r="I416" i="14"/>
  <c r="K416" i="14" l="1"/>
  <c r="J416" i="14"/>
  <c r="I417" i="14"/>
  <c r="K417" i="14" s="1"/>
  <c r="J417" i="14" l="1"/>
  <c r="I418" i="14"/>
  <c r="K418" i="14" s="1"/>
  <c r="J418" i="14" l="1"/>
  <c r="I419" i="14"/>
  <c r="K419" i="14" s="1"/>
  <c r="J419" i="14" l="1"/>
  <c r="I420" i="14"/>
  <c r="I421" i="14" s="1"/>
  <c r="I422" i="14" l="1"/>
  <c r="K421" i="14"/>
  <c r="J421" i="14"/>
  <c r="K420" i="14"/>
  <c r="J420" i="14"/>
  <c r="J422" i="14" l="1"/>
  <c r="I423" i="14"/>
  <c r="K422" i="14"/>
  <c r="I424" i="14" l="1"/>
  <c r="J423" i="14"/>
  <c r="K423" i="14"/>
  <c r="K424" i="14" l="1"/>
  <c r="J424" i="14"/>
</calcChain>
</file>

<file path=xl/sharedStrings.xml><?xml version="1.0" encoding="utf-8"?>
<sst xmlns="http://schemas.openxmlformats.org/spreadsheetml/2006/main" count="2792" uniqueCount="268">
  <si>
    <t>WELL:</t>
  </si>
  <si>
    <t>RIG:</t>
  </si>
  <si>
    <t>BLK WT:</t>
  </si>
  <si>
    <t>WEIGHT:</t>
  </si>
  <si>
    <t>MW:</t>
  </si>
  <si>
    <t>TOTAL DEPTH:</t>
  </si>
  <si>
    <t>GRADE:</t>
  </si>
  <si>
    <t>BF:</t>
  </si>
  <si>
    <t xml:space="preserve"> </t>
  </si>
  <si>
    <t>IN</t>
  </si>
  <si>
    <t>MAKE UP LOSS:</t>
  </si>
  <si>
    <t>OUT</t>
  </si>
  <si>
    <t>RKB</t>
  </si>
  <si>
    <t>DATE:</t>
  </si>
  <si>
    <t>BAKER HUGHES</t>
  </si>
  <si>
    <t>COMPLETION TALLY</t>
  </si>
  <si>
    <t>L-80</t>
  </si>
  <si>
    <t>Baker Hughes:</t>
  </si>
  <si>
    <t>7" TOL:</t>
  </si>
  <si>
    <t>7" Shoe:</t>
  </si>
  <si>
    <t>LOCATOR SUB</t>
  </si>
  <si>
    <t>LOCATOR NO-GO</t>
  </si>
  <si>
    <t>PUP JOINT</t>
  </si>
  <si>
    <t xml:space="preserve">BAKER LOCATOR ASSY. </t>
  </si>
  <si>
    <t>PUP JT</t>
  </si>
  <si>
    <t xml:space="preserve">BAKER PREMIER PACKER ASSY. </t>
  </si>
  <si>
    <t xml:space="preserve">7.625"  </t>
  </si>
  <si>
    <t>TRSSSV</t>
  </si>
  <si>
    <t xml:space="preserve">PREMIER PKR </t>
  </si>
  <si>
    <t>out</t>
  </si>
  <si>
    <t xml:space="preserve">END OF M/SHOE: </t>
  </si>
  <si>
    <t>FT</t>
  </si>
  <si>
    <t>9-5/8" Couplings at:</t>
  </si>
  <si>
    <t>All measurements in feet (ft)</t>
  </si>
  <si>
    <t>Mechanical Completion Space Out Calculations</t>
  </si>
  <si>
    <t>Landing</t>
  </si>
  <si>
    <t>Length</t>
  </si>
  <si>
    <t>Eff Length</t>
  </si>
  <si>
    <t>String</t>
  </si>
  <si>
    <t>Space</t>
  </si>
  <si>
    <t>THRT</t>
  </si>
  <si>
    <t>above</t>
  </si>
  <si>
    <t>Hgr Load Shldr</t>
  </si>
  <si>
    <t>below</t>
  </si>
  <si>
    <t>pups</t>
  </si>
  <si>
    <t>Prod Pkr Element</t>
  </si>
  <si>
    <t>pup</t>
  </si>
  <si>
    <t>Locator NoGo</t>
  </si>
  <si>
    <t>PBR Top</t>
  </si>
  <si>
    <t>EOT Muleshoe</t>
  </si>
  <si>
    <t>Top Liner Pkr</t>
  </si>
  <si>
    <t>LANDED POSITION</t>
  </si>
  <si>
    <t>LOCATE POSITION</t>
  </si>
  <si>
    <t>Actual Pup Length</t>
  </si>
  <si>
    <t>ft</t>
  </si>
  <si>
    <t>Required Pup Length Calculations</t>
  </si>
  <si>
    <t xml:space="preserve">Total Length Out </t>
  </si>
  <si>
    <t>Length Out</t>
  </si>
  <si>
    <t>Length In</t>
  </si>
  <si>
    <t>Elevation = RKB to Hanger Load Shoulder</t>
  </si>
  <si>
    <t>Locator NoGo from Locate to Landed Position</t>
  </si>
  <si>
    <t>Hanger load shoulder to hanger assembly bottom</t>
  </si>
  <si>
    <t>Ideal Pups Req'd to Land w/ Neutral Wgt</t>
  </si>
  <si>
    <t>Length  In = Elevation + Hanger Assembly</t>
  </si>
  <si>
    <t>Actual Pup Length Used</t>
  </si>
  <si>
    <t>Difference (- short, + long)</t>
  </si>
  <si>
    <t>Tolerance (-1, +1) ft</t>
  </si>
  <si>
    <t>SPACE-OUT FACTOR</t>
  </si>
  <si>
    <t>TH + PUP JT.</t>
  </si>
  <si>
    <t>CASING CORRECTION FACTOR</t>
  </si>
  <si>
    <t>COMMENTS</t>
  </si>
  <si>
    <t>JOINT LENGTH</t>
  </si>
  <si>
    <t>EFFECTIVE LENGTH</t>
  </si>
  <si>
    <t>JOINT IN/OUT</t>
  </si>
  <si>
    <t>TOTAL LENGTH</t>
  </si>
  <si>
    <t>DEPTH OF TOP OF JT.</t>
  </si>
  <si>
    <t xml:space="preserve">EST STRG WEIGHT </t>
  </si>
  <si>
    <t>TBG SIZE:</t>
  </si>
  <si>
    <t>CONN: VAM TOP HC</t>
  </si>
  <si>
    <t>ALJASSRA</t>
  </si>
  <si>
    <t>QG PERSONNEL:</t>
  </si>
  <si>
    <t>9-5/8" TOP:</t>
  </si>
  <si>
    <t>P-110</t>
  </si>
  <si>
    <t xml:space="preserve">PKR ELEMENT </t>
  </si>
  <si>
    <t>7.00" PUP JT</t>
  </si>
  <si>
    <t>7.00" FLOW COUPLING</t>
  </si>
  <si>
    <t>CAMERON PRIMARY TH</t>
  </si>
  <si>
    <t>-</t>
  </si>
  <si>
    <t>H784650159GRG1</t>
  </si>
  <si>
    <t>7" 26# Deck Tally</t>
  </si>
  <si>
    <t>7-5/8" 33.7# Csg Jnt'S</t>
  </si>
  <si>
    <t>7-5/8" 33.7# Pup Jnt'S</t>
  </si>
  <si>
    <t>SPACE-OUT JT</t>
  </si>
  <si>
    <t xml:space="preserve">7" TOL: </t>
  </si>
  <si>
    <t>S</t>
  </si>
  <si>
    <t>X</t>
  </si>
  <si>
    <t>JOINT NO (Deck):</t>
  </si>
  <si>
    <t>DESCRIPTION</t>
  </si>
  <si>
    <t>7" 26# VTHC Tubing</t>
  </si>
  <si>
    <t xml:space="preserve">SPACE OUT 7" PUP JT </t>
  </si>
  <si>
    <t>V</t>
  </si>
  <si>
    <t>W</t>
  </si>
  <si>
    <t>Z</t>
  </si>
  <si>
    <t>Q</t>
  </si>
  <si>
    <t>TORQUE 7-5/8" 33.7# VTHC-NA</t>
  </si>
  <si>
    <t>15,300, 17,000, 18,700 ft-lbs</t>
  </si>
  <si>
    <t>13,700, 15,200, 16,700 ft-lbs</t>
  </si>
  <si>
    <t>TORQUE 7" 26# VTHC</t>
  </si>
  <si>
    <t>IN/OUT</t>
  </si>
  <si>
    <t>DECK#</t>
  </si>
  <si>
    <t>RKB - TH LOAD SHOULDER</t>
  </si>
  <si>
    <t>7.000"</t>
  </si>
  <si>
    <t>FSSD: 2,000'</t>
  </si>
  <si>
    <t xml:space="preserve"> TRSV DEPTH: </t>
  </si>
  <si>
    <t>WFT 7” Optimax WSP(E)-7.5</t>
  </si>
  <si>
    <t>Tubing Hanger Running Tool:</t>
  </si>
  <si>
    <t>Tubing Hanger +THRT:</t>
  </si>
  <si>
    <t>RKB - Load Shoulder:</t>
  </si>
  <si>
    <t>Load Shoulder to Pin:</t>
  </si>
  <si>
    <t>PUP JT "U"</t>
  </si>
  <si>
    <t>PN: 2201888-6000062</t>
  </si>
  <si>
    <t>PUP JOINT - Q</t>
  </si>
  <si>
    <t>PUP JOINT - S</t>
  </si>
  <si>
    <t>PUP JOINT - V</t>
  </si>
  <si>
    <t>PUP JOINT - W</t>
  </si>
  <si>
    <t>PUP JOINT - X</t>
  </si>
  <si>
    <t>PUP JOINT - Z</t>
  </si>
  <si>
    <t>TOTAL</t>
  </si>
  <si>
    <t>6 ft</t>
  </si>
  <si>
    <t>10 ft</t>
  </si>
  <si>
    <t>15 ft</t>
  </si>
  <si>
    <t>20 ft</t>
  </si>
  <si>
    <t>Total Number</t>
  </si>
  <si>
    <t>3 ft</t>
  </si>
  <si>
    <t>10-3/4" X 9-5/8": 1321.33'</t>
  </si>
  <si>
    <t>PIP TAG DISTANCE: 10.15'</t>
  </si>
  <si>
    <t>8.5K</t>
  </si>
  <si>
    <t>D</t>
  </si>
  <si>
    <t>G</t>
  </si>
  <si>
    <t>K</t>
  </si>
  <si>
    <t>L</t>
  </si>
  <si>
    <t>M</t>
  </si>
  <si>
    <t>N</t>
  </si>
  <si>
    <t>O</t>
  </si>
  <si>
    <t>P</t>
  </si>
  <si>
    <t>T</t>
  </si>
  <si>
    <t>U</t>
  </si>
  <si>
    <t>Y</t>
  </si>
  <si>
    <t>Length (ft)</t>
  </si>
  <si>
    <t>Deck #</t>
  </si>
  <si>
    <t>PUP JOINT - D</t>
  </si>
  <si>
    <t>PUP JOINT - G</t>
  </si>
  <si>
    <t>PUP JOINT - K</t>
  </si>
  <si>
    <t>PUP JOINT - L</t>
  </si>
  <si>
    <t>PUP JOINT - M</t>
  </si>
  <si>
    <t>PUP JOINT - N</t>
  </si>
  <si>
    <t>PUP JOINT - O</t>
  </si>
  <si>
    <t>PUP JOINT - P</t>
  </si>
  <si>
    <t>PUP JOINT - T</t>
  </si>
  <si>
    <t>PUP JOINT - U</t>
  </si>
  <si>
    <t>PUP JOINT - Y</t>
  </si>
  <si>
    <t>7" 26# Pup Joints</t>
  </si>
  <si>
    <t>SM2535-110</t>
  </si>
  <si>
    <t>TRSV PN: 2521432</t>
  </si>
  <si>
    <t>QG-TRSV-NFR13-5</t>
  </si>
  <si>
    <t>(QG-7IN-SHL-38)</t>
  </si>
  <si>
    <t>(QG-7IN-PP-40-NFPS)</t>
  </si>
  <si>
    <t>PN: H297551898GRG1
SN: 107320274-01</t>
  </si>
  <si>
    <t>S/N:107353407-01</t>
  </si>
  <si>
    <t>CUT ZONE: 2.24 Ft</t>
  </si>
  <si>
    <t xml:space="preserve">Firdaus Ismail / Mohammed Bounehidja </t>
  </si>
  <si>
    <t>SHL LAND OUT: 19.54'</t>
  </si>
  <si>
    <t>Shear to End of M/Shoe: 3.37'</t>
  </si>
  <si>
    <t>No-Go to Shear Ring: 16.17'</t>
  </si>
  <si>
    <t>SN: 121678832001</t>
  </si>
  <si>
    <t>Bottom Collar</t>
  </si>
  <si>
    <t>Top Collar</t>
  </si>
  <si>
    <t>Checker / DSV Input (Threads-ON)</t>
  </si>
  <si>
    <t>Result</t>
  </si>
  <si>
    <t>10109.02', 10062.66', 10017.50'</t>
  </si>
  <si>
    <t>Joey Thomas / Graham Hay</t>
  </si>
  <si>
    <t>TRSV SN: OF72133</t>
  </si>
  <si>
    <t>NFR13-5</t>
  </si>
  <si>
    <t>DRAFT 3</t>
  </si>
  <si>
    <t>** TOTAL 302 JOINTS</t>
  </si>
  <si>
    <t>**Last JOINT RIH Deck #71</t>
  </si>
  <si>
    <t>4 ft</t>
  </si>
  <si>
    <t>PACKER</t>
  </si>
  <si>
    <t xml:space="preserve">**Total Jt Run </t>
  </si>
  <si>
    <t>LJ 1</t>
  </si>
  <si>
    <t>LJ 2</t>
  </si>
  <si>
    <t>Location</t>
  </si>
  <si>
    <t>7" 26# PJ Length</t>
  </si>
  <si>
    <t>7" 26# Pup Jnt'S</t>
  </si>
  <si>
    <t>TBG GRADE:</t>
  </si>
  <si>
    <t>H784650177GRG1</t>
  </si>
  <si>
    <r>
      <t>7'' CSG NOM ID:</t>
    </r>
    <r>
      <rPr>
        <b/>
        <sz val="9"/>
        <rFont val="Geneva"/>
      </rPr>
      <t xml:space="preserve"> 6.276"</t>
    </r>
  </si>
  <si>
    <t>LJ 3</t>
  </si>
  <si>
    <t>LJ 4</t>
  </si>
  <si>
    <t>LP-1</t>
  </si>
  <si>
    <t>LP-2</t>
  </si>
  <si>
    <t>LP-3</t>
  </si>
  <si>
    <t>LP-4</t>
  </si>
  <si>
    <t>LP-5</t>
  </si>
  <si>
    <t>LP-6</t>
  </si>
  <si>
    <t>LP-7</t>
  </si>
  <si>
    <t>LP-8</t>
  </si>
  <si>
    <t>Mohammed Bounehidja</t>
  </si>
  <si>
    <t>CAMERON PRIMARY TH Assy#1</t>
  </si>
  <si>
    <t>Order Numbers</t>
  </si>
  <si>
    <t>At the Canteliver</t>
  </si>
  <si>
    <t>Load Shoulder toTop of RT</t>
  </si>
  <si>
    <t>Shear Ring to End of M/Shoe: 3.38'</t>
  </si>
  <si>
    <t>No-Go to Shear Ring: 16.16'</t>
  </si>
  <si>
    <t>Use Pups</t>
  </si>
  <si>
    <t>NFQ17-9</t>
  </si>
  <si>
    <t>Energy Enticer</t>
  </si>
  <si>
    <t>Aaron / James / George</t>
  </si>
  <si>
    <t>7" Liner Shoe:</t>
  </si>
  <si>
    <t>(QG-7IN-SHL-84)</t>
  </si>
  <si>
    <t>PN: H297551898GRG1
SN: 107349928-01</t>
  </si>
  <si>
    <t>(QG-7IN-PP-86-NFE1)</t>
  </si>
  <si>
    <t>S/N:107342519-01</t>
  </si>
  <si>
    <t>12,685.21',12,732.33', 12,775.89'</t>
  </si>
  <si>
    <t>7" 26# VTHC TBG Pup Joint</t>
  </si>
  <si>
    <t>_</t>
  </si>
  <si>
    <t>TRSV SN: 10371350-2</t>
  </si>
  <si>
    <t>OP: 3.250 psi</t>
  </si>
  <si>
    <t>CP: 1,000 PSI</t>
  </si>
  <si>
    <t>RETURN VOL: 258 ml</t>
  </si>
  <si>
    <t>QG-TRSV-NFQ17-9</t>
  </si>
  <si>
    <t>SN: 121794712001</t>
  </si>
  <si>
    <t>TRSCSSSV</t>
  </si>
  <si>
    <t>Crossover 7in VTHC to Delta 576</t>
  </si>
  <si>
    <t>5-1/2 Delta 576 DP Pup Joint</t>
  </si>
  <si>
    <t>Elevation RKB to TBG HGR Shoulder</t>
  </si>
  <si>
    <t>7-5/8 Landing Pup Joint (F)</t>
  </si>
  <si>
    <t xml:space="preserve">7-5/8 Landing Joint # 3 </t>
  </si>
  <si>
    <t>7-5/8 Landing Joint # 4</t>
  </si>
  <si>
    <t xml:space="preserve">Crossover 7-5/8 VTHC NA to Delta 576 </t>
  </si>
  <si>
    <t>LDG STRG</t>
  </si>
  <si>
    <t>Stick up Landing String  above RKB</t>
  </si>
  <si>
    <t>**Last Jt RIH Deck #15</t>
  </si>
  <si>
    <t>Deck Jt from Pervious Job</t>
  </si>
  <si>
    <r>
      <t xml:space="preserve">Effective </t>
    </r>
    <r>
      <rPr>
        <b/>
        <sz val="8"/>
        <rFont val="Geneva"/>
      </rPr>
      <t>TH</t>
    </r>
    <r>
      <rPr>
        <b/>
        <sz val="9"/>
        <rFont val="Geneva"/>
      </rPr>
      <t xml:space="preserve"> above Shoulder</t>
    </r>
  </si>
  <si>
    <t>7'' TBG THRD: VAM TOP HC</t>
  </si>
  <si>
    <t>PJ A</t>
  </si>
  <si>
    <t>PJ B</t>
  </si>
  <si>
    <t>PJ C</t>
  </si>
  <si>
    <t>PJ D</t>
  </si>
  <si>
    <t>PJ E</t>
  </si>
  <si>
    <t>PJ F</t>
  </si>
  <si>
    <t>PJ H</t>
  </si>
  <si>
    <t>PJ G</t>
  </si>
  <si>
    <t>PJ I</t>
  </si>
  <si>
    <t>PJ J</t>
  </si>
  <si>
    <t>Pup- PJ G</t>
  </si>
  <si>
    <t>Effective Length of Space Out Joint Below RKB</t>
  </si>
  <si>
    <r>
      <t xml:space="preserve">Effective Length 7" </t>
    </r>
    <r>
      <rPr>
        <sz val="8"/>
        <color rgb="FFFF0000"/>
        <rFont val="Arial"/>
        <family val="2"/>
      </rPr>
      <t>Joint# 15</t>
    </r>
    <r>
      <rPr>
        <sz val="8"/>
        <rFont val="Arial"/>
        <family val="2"/>
      </rPr>
      <t xml:space="preserve"> Laid Down    </t>
    </r>
  </si>
  <si>
    <r>
      <t xml:space="preserve">Effective Length 7" </t>
    </r>
    <r>
      <rPr>
        <sz val="8"/>
        <color rgb="FFFF0000"/>
        <rFont val="Arial"/>
        <family val="2"/>
      </rPr>
      <t>Joint# 16</t>
    </r>
    <r>
      <rPr>
        <sz val="8"/>
        <rFont val="Arial"/>
        <family val="2"/>
      </rPr>
      <t xml:space="preserve"> Laid Down    </t>
    </r>
  </si>
  <si>
    <r>
      <t xml:space="preserve">Effective Length 7" </t>
    </r>
    <r>
      <rPr>
        <sz val="8"/>
        <color rgb="FFFF0000"/>
        <rFont val="Arial"/>
        <family val="2"/>
      </rPr>
      <t>Joint# 17</t>
    </r>
    <r>
      <rPr>
        <sz val="8"/>
        <rFont val="Arial"/>
        <family val="2"/>
      </rPr>
      <t xml:space="preserve"> Laid Down    </t>
    </r>
  </si>
  <si>
    <r>
      <t xml:space="preserve">Effective Length 7" </t>
    </r>
    <r>
      <rPr>
        <sz val="8"/>
        <color rgb="FFFF0000"/>
        <rFont val="Arial"/>
        <family val="2"/>
      </rPr>
      <t>Joint# 18</t>
    </r>
    <r>
      <rPr>
        <sz val="8"/>
        <rFont val="Arial"/>
        <family val="2"/>
      </rPr>
      <t xml:space="preserve"> Laid Down    </t>
    </r>
  </si>
  <si>
    <t>AS RUN</t>
  </si>
  <si>
    <t>Pup Jt A</t>
  </si>
  <si>
    <t>Pup Jt E</t>
  </si>
  <si>
    <t>FINAL AS RUN</t>
  </si>
  <si>
    <t>Stick-Up (EOT above TOL) Joint 15 on csg slips</t>
  </si>
  <si>
    <t>100.75ft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</si>
</sst>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\ &quot;PPG&quot;"/>
    <numFmt numFmtId="166" formatCode="0\ &quot;K&quot;"/>
    <numFmt numFmtId="167" formatCode="0.0\ &quot;PPF&quot;"/>
    <numFmt numFmtId="168" formatCode="[$-409]d\-mmm\-yy;@"/>
    <numFmt numFmtId="169" formatCode="0.00\ &quot;PPG&quot;"/>
    <numFmt numFmtId="170" formatCode="0.000\ &quot;ft&quot;"/>
    <numFmt numFmtId="171" formatCode="0.00\ &quot;ft&quot;"/>
    <numFmt numFmtId="172" formatCode="0\ &quot;Joints&quot;"/>
    <numFmt numFmtId="173" formatCode="0.0000000000000"/>
  </numFmts>
  <fonts count="59">
    <font>
      <sz val="10"/>
      <name val="Geneva"/>
    </font>
    <font>
      <b/>
      <sz val="10"/>
      <name val="Geneva"/>
    </font>
    <font>
      <sz val="10"/>
      <name val="Geneva"/>
    </font>
    <font>
      <sz val="10"/>
      <name val="Geneva"/>
    </font>
    <font>
      <b/>
      <sz val="9"/>
      <name val="Geneva"/>
    </font>
    <font>
      <b/>
      <sz val="12"/>
      <name val="Geneva"/>
    </font>
    <font>
      <sz val="9"/>
      <name val="Geneva"/>
    </font>
    <font>
      <b/>
      <sz val="14"/>
      <name val="Geneva"/>
    </font>
    <font>
      <b/>
      <shadow/>
      <sz val="14"/>
      <color indexed="12"/>
      <name val="Geneva"/>
    </font>
    <font>
      <sz val="8"/>
      <name val="Geneva"/>
    </font>
    <font>
      <sz val="10"/>
      <name val="Arial"/>
      <family val="2"/>
    </font>
    <font>
      <b/>
      <sz val="12"/>
      <color indexed="10"/>
      <name val="Geneva"/>
    </font>
    <font>
      <b/>
      <sz val="9"/>
      <color indexed="10"/>
      <name val="Geneva"/>
    </font>
    <font>
      <b/>
      <sz val="9"/>
      <color indexed="13"/>
      <name val="Geneva"/>
    </font>
    <font>
      <sz val="9"/>
      <color indexed="10"/>
      <name val="Geneva"/>
    </font>
    <font>
      <b/>
      <sz val="10"/>
      <name val="Arial"/>
      <family val="2"/>
    </font>
    <font>
      <b/>
      <sz val="10"/>
      <color indexed="10"/>
      <name val="Geneva"/>
    </font>
    <font>
      <b/>
      <sz val="8"/>
      <name val="Geneva"/>
    </font>
    <font>
      <sz val="8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sz val="10"/>
      <name val="Times New Roman"/>
      <family val="1"/>
    </font>
    <font>
      <b/>
      <sz val="9"/>
      <color theme="0"/>
      <name val="Geneva"/>
    </font>
    <font>
      <b/>
      <sz val="9"/>
      <color rgb="FFFF0000"/>
      <name val="Geneva"/>
    </font>
    <font>
      <sz val="11"/>
      <color rgb="FFFF0000"/>
      <name val="Arial"/>
      <family val="2"/>
    </font>
    <font>
      <b/>
      <sz val="9"/>
      <color rgb="FF00B050"/>
      <name val="Geneva"/>
    </font>
    <font>
      <sz val="9"/>
      <color rgb="FFFF0000"/>
      <name val="Geneva"/>
    </font>
    <font>
      <sz val="9"/>
      <color theme="1"/>
      <name val="Geneva"/>
    </font>
    <font>
      <sz val="10"/>
      <color rgb="FFFF0000"/>
      <name val="Geneva"/>
    </font>
    <font>
      <b/>
      <sz val="9"/>
      <color theme="1"/>
      <name val="Geneva"/>
    </font>
    <font>
      <sz val="8"/>
      <color rgb="FFFF0000"/>
      <name val="Arial"/>
      <family val="2"/>
    </font>
    <font>
      <b/>
      <sz val="10"/>
      <color rgb="FFFF0000"/>
      <name val="Geneva"/>
    </font>
    <font>
      <b/>
      <sz val="10"/>
      <color theme="1"/>
      <name val="Geneva"/>
    </font>
    <font>
      <sz val="7"/>
      <name val="Geneva"/>
    </font>
    <font>
      <b/>
      <sz val="8"/>
      <color theme="0"/>
      <name val="Geneva"/>
    </font>
    <font>
      <b/>
      <sz val="11"/>
      <name val="Geneva"/>
    </font>
    <font>
      <sz val="11"/>
      <name val="Geneva"/>
    </font>
    <font>
      <b/>
      <sz val="11"/>
      <color indexed="10"/>
      <name val="Arial"/>
      <family val="2"/>
    </font>
    <font>
      <b/>
      <sz val="10"/>
      <color rgb="FF7030A0"/>
      <name val="Geneva"/>
    </font>
    <font>
      <b/>
      <sz val="11"/>
      <color theme="1"/>
      <name val="Geneva"/>
    </font>
    <font>
      <b/>
      <sz val="11"/>
      <color theme="0"/>
      <name val="GEneva"/>
    </font>
    <font>
      <b/>
      <sz val="7"/>
      <color theme="0"/>
      <name val="Geneva"/>
    </font>
    <font>
      <b/>
      <sz val="7"/>
      <color theme="1"/>
      <name val="Geneva"/>
    </font>
    <font>
      <b/>
      <sz val="10"/>
      <color rgb="FFC00000"/>
      <name val="Geneva"/>
    </font>
    <font>
      <b/>
      <sz val="18"/>
      <name val="Geneva"/>
    </font>
    <font>
      <sz val="8"/>
      <color rgb="FFFF0000"/>
      <name val="Geneva"/>
    </font>
    <font>
      <sz val="5"/>
      <color rgb="FFC00000"/>
      <name val="Geneva"/>
    </font>
    <font>
      <sz val="6"/>
      <color rgb="FFC00000"/>
      <name val="Geneva"/>
    </font>
    <font>
      <sz val="11"/>
      <color rgb="FFC00000"/>
      <name val="Geneva"/>
    </font>
    <font>
      <b/>
      <sz val="10"/>
      <color theme="4" tint="-0.499984740745262"/>
      <name val="Geneva"/>
    </font>
    <font>
      <b/>
      <sz val="18"/>
      <color theme="1"/>
      <name val="GEneva"/>
    </font>
    <font>
      <sz val="10"/>
      <color rgb="FFC00000"/>
      <name val="Geneva"/>
    </font>
    <font>
      <sz val="5"/>
      <color rgb="FFFF0000"/>
      <name val="Geneva"/>
    </font>
    <font>
      <b/>
      <sz val="7.5"/>
      <name val="Geneva"/>
    </font>
  </fonts>
  <fills count="3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darkDown">
        <bgColor theme="1"/>
      </patternFill>
    </fill>
    <fill>
      <patternFill patternType="darkUp"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FFC000"/>
        <bgColor indexed="64"/>
      </patternFill>
    </fill>
  </fills>
  <borders count="15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/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indexed="1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 style="thick">
        <color theme="9"/>
      </right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/>
      <right style="thick">
        <color theme="1"/>
      </right>
      <top/>
      <bottom style="dashed">
        <color indexed="64"/>
      </bottom>
      <diagonal/>
    </border>
    <border>
      <left style="thick">
        <color theme="1"/>
      </left>
      <right style="thick">
        <color theme="1"/>
      </right>
      <top/>
      <bottom style="dashed">
        <color indexed="64"/>
      </bottom>
      <diagonal/>
    </border>
    <border>
      <left/>
      <right style="thick">
        <color theme="9"/>
      </right>
      <top style="dashed">
        <color indexed="64"/>
      </top>
      <bottom/>
      <diagonal/>
    </border>
    <border>
      <left style="thick">
        <color theme="9"/>
      </left>
      <right style="thick">
        <color theme="9"/>
      </right>
      <top/>
      <bottom style="thick">
        <color theme="9"/>
      </bottom>
      <diagonal/>
    </border>
    <border>
      <left/>
      <right style="thick">
        <color theme="1"/>
      </right>
      <top style="dashed">
        <color indexed="64"/>
      </top>
      <bottom/>
      <diagonal/>
    </border>
    <border>
      <left style="thick">
        <color theme="1"/>
      </left>
      <right style="thick">
        <color theme="1"/>
      </right>
      <top style="dashed">
        <color indexed="64"/>
      </top>
      <bottom/>
      <diagonal/>
    </border>
    <border>
      <left/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 style="thick">
        <color indexed="64"/>
      </left>
      <right style="thick">
        <color theme="9"/>
      </right>
      <top/>
      <bottom style="thick">
        <color indexed="64"/>
      </bottom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 style="thick">
        <color theme="9"/>
      </right>
      <top style="dashed">
        <color indexed="14"/>
      </top>
      <bottom/>
      <diagonal/>
    </border>
    <border>
      <left style="thick">
        <color theme="5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 style="thick">
        <color theme="5"/>
      </right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theme="5"/>
      </left>
      <right style="thick">
        <color theme="5"/>
      </right>
      <top/>
      <bottom style="thick">
        <color theme="5"/>
      </bottom>
      <diagonal/>
    </border>
    <border>
      <left style="thick">
        <color rgb="FF0070C0"/>
      </left>
      <right style="thick">
        <color rgb="FF0070C0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/>
      <bottom style="thick">
        <color rgb="FF0070C0"/>
      </bottom>
      <diagonal/>
    </border>
    <border>
      <left/>
      <right/>
      <top/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/>
      <diagonal/>
    </border>
    <border>
      <left style="thin">
        <color indexed="64"/>
      </left>
      <right style="thick">
        <color theme="1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thin">
        <color auto="1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theme="1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" fontId="2" fillId="0" borderId="0" applyFont="0" applyFill="0" applyBorder="0" applyAlignment="0" applyProtection="0"/>
    <xf numFmtId="0" fontId="10" fillId="0" borderId="0"/>
    <xf numFmtId="0" fontId="10" fillId="0" borderId="0"/>
  </cellStyleXfs>
  <cellXfs count="10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1" fontId="4" fillId="0" borderId="0" xfId="0" applyNumberFormat="1" applyFont="1" applyBorder="1" applyAlignment="1">
      <alignment horizontal="right"/>
    </xf>
    <xf numFmtId="1" fontId="0" fillId="0" borderId="0" xfId="0" applyNumberFormat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2" fontId="6" fillId="0" borderId="0" xfId="0" applyNumberFormat="1" applyFont="1" applyBorder="1" applyAlignment="1">
      <alignment horizontal="right"/>
    </xf>
    <xf numFmtId="2" fontId="6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6" fillId="0" borderId="0" xfId="0" applyFont="1"/>
    <xf numFmtId="0" fontId="3" fillId="0" borderId="0" xfId="0" applyFont="1"/>
    <xf numFmtId="0" fontId="2" fillId="0" borderId="0" xfId="0" applyFont="1"/>
    <xf numFmtId="2" fontId="6" fillId="0" borderId="2" xfId="0" applyNumberFormat="1" applyFont="1" applyBorder="1" applyAlignment="1">
      <alignment horizontal="center"/>
    </xf>
    <xf numFmtId="2" fontId="0" fillId="0" borderId="0" xfId="0" applyNumberFormat="1"/>
    <xf numFmtId="1" fontId="4" fillId="0" borderId="0" xfId="0" applyNumberFormat="1" applyFont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left"/>
    </xf>
    <xf numFmtId="2" fontId="3" fillId="0" borderId="0" xfId="0" applyNumberFormat="1" applyFont="1"/>
    <xf numFmtId="2" fontId="2" fillId="0" borderId="0" xfId="0" applyNumberFormat="1" applyFont="1"/>
    <xf numFmtId="1" fontId="6" fillId="0" borderId="0" xfId="0" applyNumberFormat="1" applyFont="1" applyBorder="1" applyAlignment="1">
      <alignment horizontal="center"/>
    </xf>
    <xf numFmtId="1" fontId="0" fillId="0" borderId="0" xfId="0" applyNumberFormat="1"/>
    <xf numFmtId="0" fontId="0" fillId="0" borderId="0" xfId="0" applyBorder="1"/>
    <xf numFmtId="0" fontId="8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2" fillId="0" borderId="0" xfId="0" applyFont="1" applyFill="1"/>
    <xf numFmtId="2" fontId="3" fillId="0" borderId="0" xfId="0" applyNumberFormat="1" applyFont="1" applyFill="1"/>
    <xf numFmtId="2" fontId="6" fillId="0" borderId="2" xfId="0" applyNumberFormat="1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Border="1"/>
    <xf numFmtId="2" fontId="16" fillId="0" borderId="0" xfId="0" applyNumberFormat="1" applyFont="1"/>
    <xf numFmtId="0" fontId="1" fillId="8" borderId="0" xfId="0" applyFont="1" applyFill="1" applyBorder="1"/>
    <xf numFmtId="0" fontId="6" fillId="8" borderId="0" xfId="0" applyFont="1" applyFill="1" applyBorder="1"/>
    <xf numFmtId="0" fontId="0" fillId="0" borderId="15" xfId="0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2" fontId="6" fillId="8" borderId="0" xfId="0" applyNumberFormat="1" applyFont="1" applyFill="1" applyBorder="1" applyAlignment="1">
      <alignment horizontal="center"/>
    </xf>
    <xf numFmtId="0" fontId="18" fillId="0" borderId="0" xfId="2" applyFont="1"/>
    <xf numFmtId="0" fontId="18" fillId="0" borderId="0" xfId="2" applyFont="1" applyAlignment="1">
      <alignment horizontal="center"/>
    </xf>
    <xf numFmtId="0" fontId="18" fillId="3" borderId="0" xfId="2" applyFont="1" applyFill="1"/>
    <xf numFmtId="0" fontId="18" fillId="0" borderId="15" xfId="2" applyFont="1" applyBorder="1"/>
    <xf numFmtId="0" fontId="18" fillId="0" borderId="32" xfId="2" applyFont="1" applyFill="1" applyBorder="1"/>
    <xf numFmtId="0" fontId="18" fillId="0" borderId="32" xfId="2" applyFont="1" applyFill="1" applyBorder="1" applyAlignment="1">
      <alignment horizontal="center"/>
    </xf>
    <xf numFmtId="0" fontId="18" fillId="0" borderId="14" xfId="2" applyFont="1" applyBorder="1"/>
    <xf numFmtId="0" fontId="18" fillId="0" borderId="9" xfId="2" applyFont="1" applyBorder="1"/>
    <xf numFmtId="0" fontId="18" fillId="0" borderId="0" xfId="2" applyFont="1" applyFill="1" applyBorder="1"/>
    <xf numFmtId="0" fontId="18" fillId="0" borderId="0" xfId="2" applyFont="1" applyFill="1" applyBorder="1" applyAlignment="1">
      <alignment horizontal="center"/>
    </xf>
    <xf numFmtId="0" fontId="19" fillId="0" borderId="0" xfId="2" applyFont="1" applyFill="1" applyBorder="1" applyAlignment="1">
      <alignment horizontal="center"/>
    </xf>
    <xf numFmtId="0" fontId="18" fillId="0" borderId="10" xfId="2" applyFont="1" applyBorder="1"/>
    <xf numFmtId="0" fontId="18" fillId="0" borderId="0" xfId="2" applyFont="1" applyBorder="1"/>
    <xf numFmtId="0" fontId="18" fillId="0" borderId="0" xfId="2" applyFont="1" applyBorder="1" applyAlignment="1">
      <alignment horizontal="center"/>
    </xf>
    <xf numFmtId="0" fontId="18" fillId="3" borderId="0" xfId="2" applyFont="1" applyFill="1" applyBorder="1"/>
    <xf numFmtId="0" fontId="21" fillId="0" borderId="9" xfId="2" applyFont="1" applyBorder="1"/>
    <xf numFmtId="0" fontId="20" fillId="3" borderId="0" xfId="2" applyFont="1" applyFill="1" applyBorder="1"/>
    <xf numFmtId="0" fontId="21" fillId="3" borderId="0" xfId="2" applyFont="1" applyFill="1" applyBorder="1" applyAlignment="1">
      <alignment horizontal="center"/>
    </xf>
    <xf numFmtId="0" fontId="21" fillId="3" borderId="0" xfId="2" applyFont="1" applyFill="1" applyBorder="1"/>
    <xf numFmtId="0" fontId="21" fillId="3" borderId="69" xfId="2" applyFont="1" applyFill="1" applyBorder="1"/>
    <xf numFmtId="0" fontId="10" fillId="3" borderId="70" xfId="2" applyFont="1" applyFill="1" applyBorder="1" applyAlignment="1">
      <alignment horizontal="center"/>
    </xf>
    <xf numFmtId="0" fontId="21" fillId="3" borderId="71" xfId="2" applyFont="1" applyFill="1" applyBorder="1"/>
    <xf numFmtId="0" fontId="21" fillId="3" borderId="72" xfId="2" applyFont="1" applyFill="1" applyBorder="1" applyAlignment="1">
      <alignment horizontal="center"/>
    </xf>
    <xf numFmtId="0" fontId="21" fillId="0" borderId="10" xfId="2" applyFont="1" applyBorder="1"/>
    <xf numFmtId="0" fontId="21" fillId="0" borderId="0" xfId="2" applyFont="1"/>
    <xf numFmtId="0" fontId="21" fillId="3" borderId="33" xfId="2" applyFont="1" applyFill="1" applyBorder="1"/>
    <xf numFmtId="0" fontId="21" fillId="3" borderId="33" xfId="2" applyFont="1" applyFill="1" applyBorder="1" applyAlignment="1">
      <alignment horizontal="center"/>
    </xf>
    <xf numFmtId="0" fontId="20" fillId="3" borderId="33" xfId="2" applyFont="1" applyFill="1" applyBorder="1" applyAlignment="1">
      <alignment horizontal="center"/>
    </xf>
    <xf numFmtId="0" fontId="21" fillId="3" borderId="73" xfId="2" applyFont="1" applyFill="1" applyBorder="1"/>
    <xf numFmtId="0" fontId="21" fillId="3" borderId="74" xfId="2" applyFont="1" applyFill="1" applyBorder="1" applyAlignment="1">
      <alignment horizontal="center"/>
    </xf>
    <xf numFmtId="0" fontId="20" fillId="4" borderId="7" xfId="3" applyFont="1" applyFill="1" applyBorder="1" applyAlignment="1">
      <alignment horizontal="center"/>
    </xf>
    <xf numFmtId="0" fontId="21" fillId="3" borderId="34" xfId="2" applyFont="1" applyFill="1" applyBorder="1" applyAlignment="1">
      <alignment horizontal="center"/>
    </xf>
    <xf numFmtId="0" fontId="21" fillId="3" borderId="35" xfId="2" applyFont="1" applyFill="1" applyBorder="1"/>
    <xf numFmtId="0" fontId="21" fillId="3" borderId="34" xfId="2" applyFont="1" applyFill="1" applyBorder="1"/>
    <xf numFmtId="0" fontId="21" fillId="3" borderId="75" xfId="2" applyFont="1" applyFill="1" applyBorder="1"/>
    <xf numFmtId="0" fontId="10" fillId="3" borderId="76" xfId="2" applyFont="1" applyFill="1" applyBorder="1" applyAlignment="1">
      <alignment horizontal="center"/>
    </xf>
    <xf numFmtId="0" fontId="21" fillId="3" borderId="36" xfId="2" applyFont="1" applyFill="1" applyBorder="1"/>
    <xf numFmtId="0" fontId="21" fillId="3" borderId="77" xfId="2" applyFont="1" applyFill="1" applyBorder="1"/>
    <xf numFmtId="0" fontId="21" fillId="3" borderId="78" xfId="2" applyFont="1" applyFill="1" applyBorder="1" applyAlignment="1">
      <alignment horizontal="center"/>
    </xf>
    <xf numFmtId="0" fontId="21" fillId="3" borderId="37" xfId="2" applyFont="1" applyFill="1" applyBorder="1"/>
    <xf numFmtId="0" fontId="21" fillId="3" borderId="79" xfId="2" applyFont="1" applyFill="1" applyBorder="1"/>
    <xf numFmtId="0" fontId="21" fillId="3" borderId="80" xfId="2" applyFont="1" applyFill="1" applyBorder="1"/>
    <xf numFmtId="0" fontId="21" fillId="3" borderId="38" xfId="2" applyFont="1" applyFill="1" applyBorder="1"/>
    <xf numFmtId="0" fontId="21" fillId="3" borderId="81" xfId="2" applyFont="1" applyFill="1" applyBorder="1"/>
    <xf numFmtId="0" fontId="21" fillId="3" borderId="82" xfId="2" applyFont="1" applyFill="1" applyBorder="1"/>
    <xf numFmtId="0" fontId="21" fillId="3" borderId="83" xfId="2" applyFont="1" applyFill="1" applyBorder="1"/>
    <xf numFmtId="0" fontId="10" fillId="3" borderId="39" xfId="2" applyFont="1" applyFill="1" applyBorder="1" applyAlignment="1">
      <alignment horizontal="center"/>
    </xf>
    <xf numFmtId="0" fontId="21" fillId="3" borderId="84" xfId="2" applyFont="1" applyFill="1" applyBorder="1"/>
    <xf numFmtId="0" fontId="21" fillId="3" borderId="40" xfId="2" applyFont="1" applyFill="1" applyBorder="1"/>
    <xf numFmtId="0" fontId="21" fillId="3" borderId="41" xfId="2" applyFont="1" applyFill="1" applyBorder="1"/>
    <xf numFmtId="0" fontId="21" fillId="3" borderId="85" xfId="2" applyFont="1" applyFill="1" applyBorder="1"/>
    <xf numFmtId="0" fontId="10" fillId="3" borderId="86" xfId="2" applyFont="1" applyFill="1" applyBorder="1" applyAlignment="1">
      <alignment horizontal="center"/>
    </xf>
    <xf numFmtId="0" fontId="21" fillId="3" borderId="71" xfId="2" applyFont="1" applyFill="1" applyBorder="1" applyAlignment="1">
      <alignment horizontal="center"/>
    </xf>
    <xf numFmtId="0" fontId="10" fillId="3" borderId="87" xfId="2" applyFont="1" applyFill="1" applyBorder="1" applyAlignment="1">
      <alignment horizontal="center"/>
    </xf>
    <xf numFmtId="0" fontId="20" fillId="0" borderId="72" xfId="2" applyFont="1" applyBorder="1" applyAlignment="1">
      <alignment horizontal="center"/>
    </xf>
    <xf numFmtId="0" fontId="10" fillId="3" borderId="88" xfId="2" applyFont="1" applyFill="1" applyBorder="1" applyAlignment="1">
      <alignment horizontal="center"/>
    </xf>
    <xf numFmtId="0" fontId="21" fillId="3" borderId="89" xfId="2" applyFont="1" applyFill="1" applyBorder="1"/>
    <xf numFmtId="0" fontId="22" fillId="0" borderId="90" xfId="2" applyFont="1" applyBorder="1" applyAlignment="1">
      <alignment horizontal="center"/>
    </xf>
    <xf numFmtId="0" fontId="20" fillId="3" borderId="91" xfId="2" applyFont="1" applyFill="1" applyBorder="1" applyAlignment="1">
      <alignment horizontal="center"/>
    </xf>
    <xf numFmtId="0" fontId="20" fillId="0" borderId="92" xfId="2" applyFont="1" applyBorder="1" applyAlignment="1">
      <alignment horizontal="center"/>
    </xf>
    <xf numFmtId="0" fontId="21" fillId="11" borderId="89" xfId="2" applyFont="1" applyFill="1" applyBorder="1"/>
    <xf numFmtId="0" fontId="21" fillId="11" borderId="91" xfId="2" applyFont="1" applyFill="1" applyBorder="1"/>
    <xf numFmtId="0" fontId="21" fillId="3" borderId="91" xfId="2" applyFont="1" applyFill="1" applyBorder="1" applyAlignment="1">
      <alignment horizontal="center"/>
    </xf>
    <xf numFmtId="0" fontId="21" fillId="11" borderId="93" xfId="2" applyFont="1" applyFill="1" applyBorder="1"/>
    <xf numFmtId="0" fontId="21" fillId="11" borderId="94" xfId="2" applyFont="1" applyFill="1" applyBorder="1"/>
    <xf numFmtId="0" fontId="20" fillId="3" borderId="33" xfId="2" applyFont="1" applyFill="1" applyBorder="1" applyAlignment="1">
      <alignment horizontal="left"/>
    </xf>
    <xf numFmtId="0" fontId="20" fillId="3" borderId="42" xfId="2" applyFont="1" applyFill="1" applyBorder="1"/>
    <xf numFmtId="0" fontId="21" fillId="11" borderId="95" xfId="2" applyFont="1" applyFill="1" applyBorder="1"/>
    <xf numFmtId="0" fontId="21" fillId="11" borderId="96" xfId="2" applyFont="1" applyFill="1" applyBorder="1"/>
    <xf numFmtId="0" fontId="21" fillId="11" borderId="97" xfId="2" applyFont="1" applyFill="1" applyBorder="1"/>
    <xf numFmtId="0" fontId="21" fillId="11" borderId="0" xfId="2" applyFont="1" applyFill="1" applyBorder="1"/>
    <xf numFmtId="0" fontId="29" fillId="11" borderId="93" xfId="2" applyFont="1" applyFill="1" applyBorder="1"/>
    <xf numFmtId="0" fontId="20" fillId="3" borderId="34" xfId="2" applyFont="1" applyFill="1" applyBorder="1" applyAlignment="1">
      <alignment horizontal="left"/>
    </xf>
    <xf numFmtId="0" fontId="20" fillId="3" borderId="36" xfId="2" applyFont="1" applyFill="1" applyBorder="1"/>
    <xf numFmtId="0" fontId="21" fillId="11" borderId="98" xfId="2" applyFont="1" applyFill="1" applyBorder="1"/>
    <xf numFmtId="0" fontId="21" fillId="11" borderId="99" xfId="2" applyFont="1" applyFill="1" applyBorder="1"/>
    <xf numFmtId="0" fontId="21" fillId="11" borderId="100" xfId="2" applyFont="1" applyFill="1" applyBorder="1"/>
    <xf numFmtId="0" fontId="21" fillId="3" borderId="89" xfId="2" applyFont="1" applyFill="1" applyBorder="1" applyAlignment="1">
      <alignment horizontal="center"/>
    </xf>
    <xf numFmtId="0" fontId="20" fillId="3" borderId="0" xfId="2" applyFont="1" applyFill="1" applyBorder="1" applyAlignment="1">
      <alignment horizontal="center"/>
    </xf>
    <xf numFmtId="0" fontId="21" fillId="3" borderId="43" xfId="2" applyFont="1" applyFill="1" applyBorder="1"/>
    <xf numFmtId="0" fontId="21" fillId="3" borderId="44" xfId="2" applyFont="1" applyFill="1" applyBorder="1"/>
    <xf numFmtId="0" fontId="21" fillId="3" borderId="97" xfId="2" applyFont="1" applyFill="1" applyBorder="1"/>
    <xf numFmtId="0" fontId="21" fillId="0" borderId="0" xfId="2" applyFont="1" applyBorder="1"/>
    <xf numFmtId="0" fontId="10" fillId="3" borderId="101" xfId="2" applyFont="1" applyFill="1" applyBorder="1" applyAlignment="1">
      <alignment horizontal="center"/>
    </xf>
    <xf numFmtId="0" fontId="21" fillId="3" borderId="102" xfId="2" applyFont="1" applyFill="1" applyBorder="1"/>
    <xf numFmtId="0" fontId="21" fillId="3" borderId="98" xfId="2" applyFont="1" applyFill="1" applyBorder="1"/>
    <xf numFmtId="0" fontId="21" fillId="3" borderId="100" xfId="2" applyFont="1" applyFill="1" applyBorder="1"/>
    <xf numFmtId="0" fontId="20" fillId="3" borderId="38" xfId="2" applyFont="1" applyFill="1" applyBorder="1"/>
    <xf numFmtId="0" fontId="21" fillId="3" borderId="42" xfId="2" applyFont="1" applyFill="1" applyBorder="1"/>
    <xf numFmtId="0" fontId="21" fillId="0" borderId="98" xfId="2" applyFont="1" applyFill="1" applyBorder="1"/>
    <xf numFmtId="0" fontId="21" fillId="0" borderId="100" xfId="2" applyFont="1" applyFill="1" applyBorder="1"/>
    <xf numFmtId="0" fontId="21" fillId="9" borderId="0" xfId="2" applyFont="1" applyFill="1" applyBorder="1"/>
    <xf numFmtId="0" fontId="21" fillId="0" borderId="89" xfId="2" applyFont="1" applyBorder="1"/>
    <xf numFmtId="0" fontId="21" fillId="0" borderId="89" xfId="2" applyFont="1" applyFill="1" applyBorder="1"/>
    <xf numFmtId="0" fontId="21" fillId="9" borderId="103" xfId="2" applyFont="1" applyFill="1" applyBorder="1"/>
    <xf numFmtId="0" fontId="21" fillId="0" borderId="103" xfId="2" applyFont="1" applyFill="1" applyBorder="1"/>
    <xf numFmtId="0" fontId="21" fillId="2" borderId="2" xfId="2" applyFont="1" applyFill="1" applyBorder="1"/>
    <xf numFmtId="0" fontId="21" fillId="0" borderId="104" xfId="2" applyFont="1" applyFill="1" applyBorder="1"/>
    <xf numFmtId="0" fontId="21" fillId="0" borderId="0" xfId="2" applyFont="1" applyFill="1" applyBorder="1"/>
    <xf numFmtId="0" fontId="21" fillId="12" borderId="105" xfId="2" applyFont="1" applyFill="1" applyBorder="1"/>
    <xf numFmtId="0" fontId="21" fillId="13" borderId="0" xfId="2" applyFont="1" applyFill="1" applyBorder="1"/>
    <xf numFmtId="0" fontId="21" fillId="2" borderId="45" xfId="2" applyFont="1" applyFill="1" applyBorder="1"/>
    <xf numFmtId="0" fontId="21" fillId="0" borderId="105" xfId="2" applyFont="1" applyFill="1" applyBorder="1"/>
    <xf numFmtId="0" fontId="21" fillId="3" borderId="38" xfId="2" applyFont="1" applyFill="1" applyBorder="1" applyAlignment="1">
      <alignment horizontal="center"/>
    </xf>
    <xf numFmtId="0" fontId="21" fillId="3" borderId="3" xfId="2" applyFont="1" applyFill="1" applyBorder="1"/>
    <xf numFmtId="0" fontId="21" fillId="3" borderId="46" xfId="2" applyFont="1" applyFill="1" applyBorder="1"/>
    <xf numFmtId="0" fontId="20" fillId="3" borderId="46" xfId="2" applyFont="1" applyFill="1" applyBorder="1" applyAlignment="1">
      <alignment horizontal="center"/>
    </xf>
    <xf numFmtId="0" fontId="21" fillId="3" borderId="4" xfId="2" applyFont="1" applyFill="1" applyBorder="1"/>
    <xf numFmtId="2" fontId="22" fillId="6" borderId="47" xfId="2" applyNumberFormat="1" applyFont="1" applyFill="1" applyBorder="1" applyProtection="1">
      <protection locked="0"/>
    </xf>
    <xf numFmtId="0" fontId="18" fillId="0" borderId="48" xfId="2" applyFont="1" applyBorder="1"/>
    <xf numFmtId="0" fontId="18" fillId="0" borderId="49" xfId="2" applyFont="1" applyBorder="1"/>
    <xf numFmtId="0" fontId="18" fillId="0" borderId="49" xfId="2" applyFont="1" applyBorder="1" applyAlignment="1">
      <alignment horizontal="center"/>
    </xf>
    <xf numFmtId="0" fontId="18" fillId="3" borderId="49" xfId="2" applyFont="1" applyFill="1" applyBorder="1"/>
    <xf numFmtId="0" fontId="18" fillId="0" borderId="50" xfId="2" applyFont="1" applyBorder="1"/>
    <xf numFmtId="0" fontId="18" fillId="3" borderId="0" xfId="2" applyFont="1" applyFill="1" applyBorder="1" applyAlignment="1">
      <alignment horizontal="center"/>
    </xf>
    <xf numFmtId="2" fontId="22" fillId="6" borderId="2" xfId="2" applyNumberFormat="1" applyFont="1" applyFill="1" applyBorder="1" applyProtection="1">
      <protection locked="0"/>
    </xf>
    <xf numFmtId="0" fontId="10" fillId="0" borderId="0" xfId="2" applyBorder="1"/>
    <xf numFmtId="2" fontId="22" fillId="6" borderId="45" xfId="2" applyNumberFormat="1" applyFont="1" applyFill="1" applyBorder="1" applyProtection="1">
      <protection locked="0"/>
    </xf>
    <xf numFmtId="0" fontId="18" fillId="0" borderId="52" xfId="2" applyFont="1" applyBorder="1"/>
    <xf numFmtId="0" fontId="18" fillId="0" borderId="52" xfId="2" applyFont="1" applyBorder="1" applyAlignment="1">
      <alignment horizontal="center"/>
    </xf>
    <xf numFmtId="0" fontId="18" fillId="3" borderId="52" xfId="2" applyFont="1" applyFill="1" applyBorder="1"/>
    <xf numFmtId="0" fontId="18" fillId="0" borderId="53" xfId="2" applyFont="1" applyBorder="1"/>
    <xf numFmtId="0" fontId="23" fillId="0" borderId="0" xfId="2" applyFont="1" applyBorder="1"/>
    <xf numFmtId="2" fontId="22" fillId="10" borderId="7" xfId="2" applyNumberFormat="1" applyFont="1" applyFill="1" applyBorder="1"/>
    <xf numFmtId="0" fontId="23" fillId="10" borderId="5" xfId="2" applyFont="1" applyFill="1" applyBorder="1"/>
    <xf numFmtId="0" fontId="23" fillId="10" borderId="30" xfId="2" applyFont="1" applyFill="1" applyBorder="1"/>
    <xf numFmtId="0" fontId="23" fillId="10" borderId="30" xfId="2" applyFont="1" applyFill="1" applyBorder="1" applyAlignment="1">
      <alignment horizontal="center"/>
    </xf>
    <xf numFmtId="0" fontId="18" fillId="10" borderId="6" xfId="2" applyFont="1" applyFill="1" applyBorder="1"/>
    <xf numFmtId="2" fontId="24" fillId="0" borderId="0" xfId="2" applyNumberFormat="1" applyFont="1" applyBorder="1"/>
    <xf numFmtId="2" fontId="22" fillId="8" borderId="47" xfId="2" applyNumberFormat="1" applyFont="1" applyFill="1" applyBorder="1" applyProtection="1">
      <protection locked="0"/>
    </xf>
    <xf numFmtId="2" fontId="22" fillId="8" borderId="45" xfId="2" applyNumberFormat="1" applyFont="1" applyFill="1" applyBorder="1" applyProtection="1">
      <protection locked="0"/>
    </xf>
    <xf numFmtId="0" fontId="18" fillId="0" borderId="54" xfId="2" applyFont="1" applyBorder="1"/>
    <xf numFmtId="0" fontId="24" fillId="0" borderId="0" xfId="2" applyFont="1" applyBorder="1"/>
    <xf numFmtId="0" fontId="25" fillId="0" borderId="0" xfId="2" applyFont="1" applyBorder="1"/>
    <xf numFmtId="0" fontId="18" fillId="0" borderId="55" xfId="2" applyFont="1" applyBorder="1"/>
    <xf numFmtId="0" fontId="24" fillId="0" borderId="56" xfId="2" applyFont="1" applyBorder="1"/>
    <xf numFmtId="0" fontId="18" fillId="0" borderId="56" xfId="2" applyFont="1" applyBorder="1"/>
    <xf numFmtId="0" fontId="18" fillId="0" borderId="56" xfId="2" applyFont="1" applyBorder="1" applyAlignment="1">
      <alignment horizontal="center"/>
    </xf>
    <xf numFmtId="0" fontId="18" fillId="3" borderId="56" xfId="2" applyFont="1" applyFill="1" applyBorder="1"/>
    <xf numFmtId="0" fontId="10" fillId="0" borderId="56" xfId="2" applyBorder="1"/>
    <xf numFmtId="0" fontId="18" fillId="0" borderId="11" xfId="2" applyFont="1" applyBorder="1"/>
    <xf numFmtId="0" fontId="24" fillId="0" borderId="0" xfId="2" applyFont="1"/>
    <xf numFmtId="0" fontId="10" fillId="0" borderId="0" xfId="2"/>
    <xf numFmtId="0" fontId="10" fillId="0" borderId="0" xfId="2" applyFont="1"/>
    <xf numFmtId="0" fontId="18" fillId="0" borderId="0" xfId="2" applyFont="1" applyFill="1"/>
    <xf numFmtId="0" fontId="18" fillId="0" borderId="0" xfId="2" applyFont="1" applyFill="1" applyAlignment="1">
      <alignment horizontal="center"/>
    </xf>
    <xf numFmtId="0" fontId="26" fillId="0" borderId="0" xfId="2" applyFont="1"/>
    <xf numFmtId="2" fontId="4" fillId="6" borderId="0" xfId="0" applyNumberFormat="1" applyFont="1" applyFill="1" applyBorder="1" applyAlignment="1">
      <alignment horizontal="center"/>
    </xf>
    <xf numFmtId="0" fontId="6" fillId="0" borderId="10" xfId="0" applyFont="1" applyBorder="1"/>
    <xf numFmtId="2" fontId="27" fillId="7" borderId="0" xfId="0" applyNumberFormat="1" applyFont="1" applyFill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6" fontId="6" fillId="0" borderId="0" xfId="0" applyNumberFormat="1" applyFont="1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164" fontId="6" fillId="8" borderId="0" xfId="0" applyNumberFormat="1" applyFont="1" applyFill="1" applyBorder="1" applyAlignment="1">
      <alignment horizontal="center"/>
    </xf>
    <xf numFmtId="1" fontId="4" fillId="8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Border="1"/>
    <xf numFmtId="2" fontId="6" fillId="15" borderId="0" xfId="0" applyNumberFormat="1" applyFont="1" applyFill="1" applyBorder="1" applyAlignment="1">
      <alignment horizontal="center"/>
    </xf>
    <xf numFmtId="2" fontId="27" fillId="15" borderId="57" xfId="0" applyNumberFormat="1" applyFont="1" applyFill="1" applyBorder="1" applyAlignment="1">
      <alignment horizontal="center"/>
    </xf>
    <xf numFmtId="2" fontId="4" fillId="6" borderId="32" xfId="0" applyNumberFormat="1" applyFont="1" applyFill="1" applyBorder="1" applyAlignment="1">
      <alignment horizontal="center"/>
    </xf>
    <xf numFmtId="2" fontId="4" fillId="6" borderId="58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4" fillId="0" borderId="32" xfId="0" applyNumberFormat="1" applyFont="1" applyBorder="1" applyAlignment="1">
      <alignment horizontal="right"/>
    </xf>
    <xf numFmtId="2" fontId="4" fillId="0" borderId="32" xfId="0" applyNumberFormat="1" applyFont="1" applyBorder="1" applyAlignment="1">
      <alignment horizontal="right"/>
    </xf>
    <xf numFmtId="2" fontId="4" fillId="0" borderId="32" xfId="0" applyNumberFormat="1" applyFont="1" applyBorder="1" applyAlignment="1">
      <alignment horizontal="center"/>
    </xf>
    <xf numFmtId="2" fontId="5" fillId="0" borderId="32" xfId="0" applyNumberFormat="1" applyFont="1" applyBorder="1" applyAlignment="1">
      <alignment horizontal="center"/>
    </xf>
    <xf numFmtId="0" fontId="7" fillId="0" borderId="32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15" fontId="11" fillId="0" borderId="32" xfId="0" applyNumberFormat="1" applyFont="1" applyBorder="1" applyAlignment="1">
      <alignment horizontal="center"/>
    </xf>
    <xf numFmtId="0" fontId="0" fillId="0" borderId="14" xfId="0" applyBorder="1"/>
    <xf numFmtId="0" fontId="14" fillId="0" borderId="10" xfId="0" applyFont="1" applyBorder="1"/>
    <xf numFmtId="0" fontId="8" fillId="0" borderId="9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0" xfId="0" applyFont="1" applyFill="1" applyBorder="1"/>
    <xf numFmtId="0" fontId="4" fillId="0" borderId="10" xfId="0" applyFont="1" applyFill="1" applyBorder="1"/>
    <xf numFmtId="0" fontId="6" fillId="8" borderId="10" xfId="0" applyFont="1" applyFill="1" applyBorder="1"/>
    <xf numFmtId="0" fontId="6" fillId="0" borderId="55" xfId="0" applyFont="1" applyBorder="1" applyAlignment="1">
      <alignment horizontal="center"/>
    </xf>
    <xf numFmtId="2" fontId="6" fillId="0" borderId="59" xfId="0" applyNumberFormat="1" applyFont="1" applyFill="1" applyBorder="1" applyAlignment="1">
      <alignment horizontal="center"/>
    </xf>
    <xf numFmtId="2" fontId="4" fillId="0" borderId="56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right"/>
    </xf>
    <xf numFmtId="164" fontId="6" fillId="0" borderId="56" xfId="0" applyNumberFormat="1" applyFont="1" applyBorder="1" applyAlignment="1">
      <alignment horizontal="center"/>
    </xf>
    <xf numFmtId="2" fontId="6" fillId="0" borderId="56" xfId="0" applyNumberFormat="1" applyFont="1" applyBorder="1" applyAlignment="1">
      <alignment horizontal="center"/>
    </xf>
    <xf numFmtId="0" fontId="4" fillId="0" borderId="56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2" fontId="0" fillId="0" borderId="0" xfId="0" applyNumberFormat="1" applyBorder="1"/>
    <xf numFmtId="167" fontId="17" fillId="0" borderId="9" xfId="0" applyNumberFormat="1" applyFont="1" applyBorder="1" applyAlignment="1">
      <alignment horizontal="center"/>
    </xf>
    <xf numFmtId="167" fontId="17" fillId="0" borderId="12" xfId="0" applyNumberFormat="1" applyFont="1" applyBorder="1" applyAlignment="1">
      <alignment horizontal="center"/>
    </xf>
    <xf numFmtId="165" fontId="17" fillId="0" borderId="13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6" fontId="6" fillId="0" borderId="1" xfId="0" applyNumberFormat="1" applyFont="1" applyFill="1" applyBorder="1" applyAlignment="1">
      <alignment horizontal="center"/>
    </xf>
    <xf numFmtId="2" fontId="27" fillId="7" borderId="57" xfId="0" applyNumberFormat="1" applyFont="1" applyFill="1" applyBorder="1" applyAlignment="1">
      <alignment horizontal="center"/>
    </xf>
    <xf numFmtId="4" fontId="0" fillId="0" borderId="0" xfId="0" applyNumberFormat="1"/>
    <xf numFmtId="169" fontId="4" fillId="0" borderId="0" xfId="0" applyNumberFormat="1" applyFont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/>
    </xf>
    <xf numFmtId="0" fontId="1" fillId="0" borderId="0" xfId="0" applyFont="1" applyFill="1"/>
    <xf numFmtId="4" fontId="1" fillId="0" borderId="0" xfId="0" applyNumberFormat="1" applyFont="1" applyFill="1" applyBorder="1" applyAlignment="1">
      <alignment horizontal="center"/>
    </xf>
    <xf numFmtId="0" fontId="0" fillId="0" borderId="0" xfId="0" applyFont="1"/>
    <xf numFmtId="0" fontId="20" fillId="8" borderId="7" xfId="3" applyFont="1" applyFill="1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0" fontId="6" fillId="0" borderId="9" xfId="0" applyFont="1" applyFill="1" applyBorder="1" applyAlignment="1">
      <alignment horizontal="left"/>
    </xf>
    <xf numFmtId="0" fontId="13" fillId="0" borderId="9" xfId="0" applyFont="1" applyFill="1" applyBorder="1" applyAlignment="1">
      <alignment horizontal="left"/>
    </xf>
    <xf numFmtId="0" fontId="12" fillId="0" borderId="9" xfId="0" applyFont="1" applyFill="1" applyBorder="1" applyAlignment="1">
      <alignment horizontal="left"/>
    </xf>
    <xf numFmtId="0" fontId="6" fillId="0" borderId="9" xfId="0" applyFont="1" applyBorder="1"/>
    <xf numFmtId="2" fontId="27" fillId="16" borderId="32" xfId="0" applyNumberFormat="1" applyFont="1" applyFill="1" applyBorder="1" applyAlignment="1">
      <alignment horizontal="center" vertical="center"/>
    </xf>
    <xf numFmtId="2" fontId="27" fillId="16" borderId="58" xfId="0" applyNumberFormat="1" applyFont="1" applyFill="1" applyBorder="1" applyAlignment="1">
      <alignment horizontal="center" vertical="center"/>
    </xf>
    <xf numFmtId="2" fontId="27" fillId="16" borderId="0" xfId="0" applyNumberFormat="1" applyFont="1" applyFill="1" applyBorder="1" applyAlignment="1">
      <alignment horizontal="center" vertical="center"/>
    </xf>
    <xf numFmtId="2" fontId="6" fillId="16" borderId="0" xfId="0" applyNumberFormat="1" applyFont="1" applyFill="1" applyBorder="1" applyAlignment="1">
      <alignment horizontal="center" vertical="center"/>
    </xf>
    <xf numFmtId="2" fontId="28" fillId="7" borderId="0" xfId="0" applyNumberFormat="1" applyFont="1" applyFill="1" applyBorder="1" applyAlignment="1">
      <alignment horizontal="center" vertical="center"/>
    </xf>
    <xf numFmtId="2" fontId="6" fillId="16" borderId="32" xfId="0" applyNumberFormat="1" applyFont="1" applyFill="1" applyBorder="1" applyAlignment="1">
      <alignment horizontal="center" vertical="center"/>
    </xf>
    <xf numFmtId="166" fontId="27" fillId="16" borderId="14" xfId="0" applyNumberFormat="1" applyFont="1" applyFill="1" applyBorder="1" applyAlignment="1">
      <alignment horizontal="center" vertical="center"/>
    </xf>
    <xf numFmtId="166" fontId="27" fillId="16" borderId="10" xfId="0" applyNumberFormat="1" applyFont="1" applyFill="1" applyBorder="1" applyAlignment="1">
      <alignment horizontal="center" vertical="center"/>
    </xf>
    <xf numFmtId="2" fontId="27" fillId="16" borderId="56" xfId="0" applyNumberFormat="1" applyFont="1" applyFill="1" applyBorder="1" applyAlignment="1">
      <alignment horizontal="center" vertical="center"/>
    </xf>
    <xf numFmtId="2" fontId="6" fillId="16" borderId="56" xfId="0" applyNumberFormat="1" applyFont="1" applyFill="1" applyBorder="1" applyAlignment="1">
      <alignment horizontal="center" vertical="center"/>
    </xf>
    <xf numFmtId="166" fontId="27" fillId="16" borderId="11" xfId="0" applyNumberFormat="1" applyFont="1" applyFill="1" applyBorder="1" applyAlignment="1">
      <alignment horizontal="center" vertical="center"/>
    </xf>
    <xf numFmtId="2" fontId="4" fillId="6" borderId="0" xfId="0" applyNumberFormat="1" applyFont="1" applyFill="1" applyBorder="1" applyAlignment="1">
      <alignment horizontal="center" vertical="center"/>
    </xf>
    <xf numFmtId="2" fontId="4" fillId="6" borderId="32" xfId="0" applyNumberFormat="1" applyFont="1" applyFill="1" applyBorder="1" applyAlignment="1">
      <alignment horizontal="center" vertical="center"/>
    </xf>
    <xf numFmtId="166" fontId="4" fillId="6" borderId="14" xfId="0" applyNumberFormat="1" applyFont="1" applyFill="1" applyBorder="1" applyAlignment="1">
      <alignment horizontal="center" vertical="center"/>
    </xf>
    <xf numFmtId="166" fontId="4" fillId="6" borderId="10" xfId="0" applyNumberFormat="1" applyFont="1" applyFill="1" applyBorder="1" applyAlignment="1">
      <alignment horizontal="center" vertical="center"/>
    </xf>
    <xf numFmtId="2" fontId="4" fillId="6" borderId="56" xfId="0" applyNumberFormat="1" applyFont="1" applyFill="1" applyBorder="1" applyAlignment="1">
      <alignment horizontal="center" vertical="center"/>
    </xf>
    <xf numFmtId="166" fontId="4" fillId="6" borderId="11" xfId="0" applyNumberFormat="1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166" fontId="6" fillId="0" borderId="1" xfId="0" applyNumberFormat="1" applyFont="1" applyFill="1" applyBorder="1" applyAlignment="1">
      <alignment horizontal="center" vertical="center"/>
    </xf>
    <xf numFmtId="166" fontId="28" fillId="7" borderId="10" xfId="0" applyNumberFormat="1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2" fontId="6" fillId="0" borderId="9" xfId="0" applyNumberFormat="1" applyFont="1" applyFill="1" applyBorder="1"/>
    <xf numFmtId="1" fontId="4" fillId="8" borderId="9" xfId="0" applyNumberFormat="1" applyFont="1" applyFill="1" applyBorder="1" applyAlignment="1">
      <alignment horizontal="center"/>
    </xf>
    <xf numFmtId="0" fontId="6" fillId="8" borderId="9" xfId="0" applyFont="1" applyFill="1" applyBorder="1"/>
    <xf numFmtId="1" fontId="4" fillId="14" borderId="57" xfId="0" applyNumberFormat="1" applyFont="1" applyFill="1" applyBorder="1" applyAlignment="1">
      <alignment horizontal="center" vertical="center"/>
    </xf>
    <xf numFmtId="2" fontId="6" fillId="14" borderId="57" xfId="0" applyNumberFormat="1" applyFont="1" applyFill="1" applyBorder="1" applyAlignment="1">
      <alignment horizontal="center" vertical="center"/>
    </xf>
    <xf numFmtId="166" fontId="4" fillId="14" borderId="63" xfId="0" applyNumberFormat="1" applyFont="1" applyFill="1" applyBorder="1" applyAlignment="1">
      <alignment horizontal="center" vertical="center"/>
    </xf>
    <xf numFmtId="0" fontId="33" fillId="0" borderId="0" xfId="0" applyFont="1" applyFill="1" applyBorder="1"/>
    <xf numFmtId="0" fontId="6" fillId="0" borderId="9" xfId="0" applyFont="1" applyFill="1" applyBorder="1"/>
    <xf numFmtId="2" fontId="1" fillId="0" borderId="0" xfId="0" applyNumberFormat="1" applyFont="1"/>
    <xf numFmtId="2" fontId="0" fillId="0" borderId="0" xfId="0" applyNumberFormat="1" applyFont="1"/>
    <xf numFmtId="4" fontId="27" fillId="9" borderId="113" xfId="1" applyFont="1" applyFill="1" applyBorder="1" applyAlignment="1">
      <alignment horizontal="center"/>
    </xf>
    <xf numFmtId="4" fontId="27" fillId="7" borderId="113" xfId="1" applyFont="1" applyFill="1" applyBorder="1" applyAlignment="1">
      <alignment horizontal="center"/>
    </xf>
    <xf numFmtId="4" fontId="4" fillId="6" borderId="113" xfId="1" applyFont="1" applyFill="1" applyBorder="1" applyAlignment="1">
      <alignment horizontal="center"/>
    </xf>
    <xf numFmtId="4" fontId="4" fillId="23" borderId="113" xfId="1" applyFont="1" applyFill="1" applyBorder="1" applyAlignment="1">
      <alignment horizontal="center"/>
    </xf>
    <xf numFmtId="1" fontId="27" fillId="20" borderId="3" xfId="0" applyNumberFormat="1" applyFont="1" applyFill="1" applyBorder="1" applyAlignment="1">
      <alignment horizontal="right"/>
    </xf>
    <xf numFmtId="164" fontId="27" fillId="20" borderId="3" xfId="0" applyNumberFormat="1" applyFont="1" applyFill="1" applyBorder="1" applyAlignment="1">
      <alignment horizontal="center"/>
    </xf>
    <xf numFmtId="164" fontId="27" fillId="20" borderId="113" xfId="0" applyNumberFormat="1" applyFont="1" applyFill="1" applyBorder="1" applyAlignment="1">
      <alignment horizontal="center"/>
    </xf>
    <xf numFmtId="2" fontId="27" fillId="7" borderId="113" xfId="0" applyNumberFormat="1" applyFont="1" applyFill="1" applyBorder="1" applyAlignment="1">
      <alignment horizontal="center" vertical="center"/>
    </xf>
    <xf numFmtId="0" fontId="15" fillId="21" borderId="114" xfId="3" applyFont="1" applyFill="1" applyBorder="1" applyAlignment="1">
      <alignment horizontal="center" vertical="center"/>
    </xf>
    <xf numFmtId="0" fontId="15" fillId="21" borderId="58" xfId="3" applyFont="1" applyFill="1" applyBorder="1" applyAlignment="1">
      <alignment horizontal="left" vertical="center"/>
    </xf>
    <xf numFmtId="0" fontId="15" fillId="21" borderId="58" xfId="3" applyFont="1" applyFill="1" applyBorder="1" applyAlignment="1">
      <alignment horizontal="center" vertical="center"/>
    </xf>
    <xf numFmtId="0" fontId="20" fillId="21" borderId="106" xfId="3" applyFont="1" applyFill="1" applyBorder="1"/>
    <xf numFmtId="2" fontId="10" fillId="0" borderId="10" xfId="2" applyNumberFormat="1" applyFill="1" applyBorder="1" applyAlignment="1">
      <alignment horizontal="center"/>
    </xf>
    <xf numFmtId="0" fontId="20" fillId="8" borderId="67" xfId="3" applyFont="1" applyFill="1" applyBorder="1" applyAlignment="1">
      <alignment horizontal="center" vertical="center"/>
    </xf>
    <xf numFmtId="0" fontId="21" fillId="3" borderId="27" xfId="3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2" fontId="4" fillId="14" borderId="56" xfId="0" applyNumberFormat="1" applyFont="1" applyFill="1" applyBorder="1" applyAlignment="1">
      <alignment horizontal="center" vertical="center"/>
    </xf>
    <xf numFmtId="2" fontId="27" fillId="16" borderId="60" xfId="0" applyNumberFormat="1" applyFont="1" applyFill="1" applyBorder="1" applyAlignment="1">
      <alignment horizontal="center" vertical="center"/>
    </xf>
    <xf numFmtId="166" fontId="4" fillId="6" borderId="32" xfId="0" applyNumberFormat="1" applyFont="1" applyFill="1" applyBorder="1" applyAlignment="1">
      <alignment horizontal="center" vertical="center"/>
    </xf>
    <xf numFmtId="2" fontId="4" fillId="6" borderId="113" xfId="0" applyNumberFormat="1" applyFont="1" applyFill="1" applyBorder="1" applyAlignment="1">
      <alignment horizontal="center" vertical="center"/>
    </xf>
    <xf numFmtId="0" fontId="31" fillId="0" borderId="9" xfId="0" applyFont="1" applyBorder="1"/>
    <xf numFmtId="0" fontId="31" fillId="0" borderId="10" xfId="0" applyFont="1" applyBorder="1"/>
    <xf numFmtId="2" fontId="21" fillId="10" borderId="7" xfId="3" applyNumberFormat="1" applyFont="1" applyFill="1" applyBorder="1" applyAlignment="1">
      <alignment horizontal="center" vertical="center"/>
    </xf>
    <xf numFmtId="2" fontId="21" fillId="10" borderId="19" xfId="3" applyNumberFormat="1" applyFont="1" applyFill="1" applyBorder="1" applyAlignment="1">
      <alignment horizontal="center" vertical="center"/>
    </xf>
    <xf numFmtId="2" fontId="20" fillId="0" borderId="23" xfId="2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left"/>
    </xf>
    <xf numFmtId="170" fontId="17" fillId="9" borderId="3" xfId="0" applyNumberFormat="1" applyFont="1" applyFill="1" applyBorder="1" applyAlignment="1">
      <alignment horizontal="center"/>
    </xf>
    <xf numFmtId="170" fontId="17" fillId="9" borderId="113" xfId="0" applyNumberFormat="1" applyFont="1" applyFill="1" applyBorder="1" applyAlignment="1">
      <alignment horizontal="center"/>
    </xf>
    <xf numFmtId="1" fontId="4" fillId="0" borderId="55" xfId="0" applyNumberFormat="1" applyFont="1" applyBorder="1" applyAlignment="1">
      <alignment horizontal="right"/>
    </xf>
    <xf numFmtId="0" fontId="37" fillId="22" borderId="3" xfId="0" applyFont="1" applyFill="1" applyBorder="1" applyAlignment="1">
      <alignment horizontal="right" vertical="center"/>
    </xf>
    <xf numFmtId="171" fontId="37" fillId="22" borderId="4" xfId="0" applyNumberFormat="1" applyFont="1" applyFill="1" applyBorder="1" applyAlignment="1">
      <alignment horizontal="left" vertical="center"/>
    </xf>
    <xf numFmtId="2" fontId="34" fillId="6" borderId="58" xfId="0" applyNumberFormat="1" applyFont="1" applyFill="1" applyBorder="1" applyAlignment="1">
      <alignment horizontal="center" vertical="center"/>
    </xf>
    <xf numFmtId="2" fontId="34" fillId="6" borderId="2" xfId="0" applyNumberFormat="1" applyFont="1" applyFill="1" applyBorder="1" applyAlignment="1">
      <alignment horizontal="center" vertical="center"/>
    </xf>
    <xf numFmtId="2" fontId="32" fillId="6" borderId="2" xfId="0" applyNumberFormat="1" applyFont="1" applyFill="1" applyBorder="1" applyAlignment="1">
      <alignment horizontal="center"/>
    </xf>
    <xf numFmtId="166" fontId="32" fillId="6" borderId="117" xfId="0" applyNumberFormat="1" applyFont="1" applyFill="1" applyBorder="1" applyAlignment="1">
      <alignment horizontal="center"/>
    </xf>
    <xf numFmtId="2" fontId="34" fillId="6" borderId="59" xfId="0" applyNumberFormat="1" applyFont="1" applyFill="1" applyBorder="1" applyAlignment="1">
      <alignment horizontal="center" vertical="center"/>
    </xf>
    <xf numFmtId="2" fontId="32" fillId="6" borderId="59" xfId="0" applyNumberFormat="1" applyFont="1" applyFill="1" applyBorder="1" applyAlignment="1">
      <alignment horizontal="center"/>
    </xf>
    <xf numFmtId="166" fontId="32" fillId="6" borderId="118" xfId="0" applyNumberFormat="1" applyFont="1" applyFill="1" applyBorder="1" applyAlignment="1">
      <alignment horizontal="center"/>
    </xf>
    <xf numFmtId="2" fontId="27" fillId="7" borderId="2" xfId="0" applyNumberFormat="1" applyFont="1" applyFill="1" applyBorder="1" applyAlignment="1">
      <alignment horizontal="center" vertical="center"/>
    </xf>
    <xf numFmtId="2" fontId="27" fillId="7" borderId="2" xfId="0" applyNumberFormat="1" applyFont="1" applyFill="1" applyBorder="1" applyAlignment="1">
      <alignment horizontal="center"/>
    </xf>
    <xf numFmtId="166" fontId="27" fillId="7" borderId="117" xfId="0" applyNumberFormat="1" applyFont="1" applyFill="1" applyBorder="1" applyAlignment="1">
      <alignment horizontal="center"/>
    </xf>
    <xf numFmtId="2" fontId="6" fillId="27" borderId="58" xfId="0" applyNumberFormat="1" applyFont="1" applyFill="1" applyBorder="1" applyAlignment="1">
      <alignment horizontal="center"/>
    </xf>
    <xf numFmtId="166" fontId="6" fillId="27" borderId="63" xfId="0" applyNumberFormat="1" applyFont="1" applyFill="1" applyBorder="1" applyAlignment="1">
      <alignment horizontal="center"/>
    </xf>
    <xf numFmtId="2" fontId="6" fillId="27" borderId="57" xfId="0" applyNumberFormat="1" applyFont="1" applyFill="1" applyBorder="1" applyAlignment="1">
      <alignment horizontal="center"/>
    </xf>
    <xf numFmtId="2" fontId="4" fillId="6" borderId="59" xfId="0" applyNumberFormat="1" applyFont="1" applyFill="1" applyBorder="1" applyAlignment="1">
      <alignment horizontal="center"/>
    </xf>
    <xf numFmtId="0" fontId="36" fillId="0" borderId="0" xfId="0" applyFont="1" applyBorder="1"/>
    <xf numFmtId="0" fontId="0" fillId="0" borderId="0" xfId="0" applyFont="1" applyFill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18" borderId="3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2" fontId="6" fillId="6" borderId="58" xfId="0" applyNumberFormat="1" applyFont="1" applyFill="1" applyBorder="1" applyAlignment="1">
      <alignment horizontal="center"/>
    </xf>
    <xf numFmtId="166" fontId="6" fillId="6" borderId="106" xfId="0" applyNumberFormat="1" applyFont="1" applyFill="1" applyBorder="1" applyAlignment="1">
      <alignment horizontal="center"/>
    </xf>
    <xf numFmtId="2" fontId="4" fillId="6" borderId="57" xfId="0" applyNumberFormat="1" applyFont="1" applyFill="1" applyBorder="1" applyAlignment="1">
      <alignment horizontal="center"/>
    </xf>
    <xf numFmtId="2" fontId="4" fillId="6" borderId="46" xfId="0" applyNumberFormat="1" applyFont="1" applyFill="1" applyBorder="1" applyAlignment="1">
      <alignment horizontal="center"/>
    </xf>
    <xf numFmtId="2" fontId="40" fillId="0" borderId="66" xfId="0" applyNumberFormat="1" applyFont="1" applyBorder="1" applyAlignment="1">
      <alignment horizontal="center"/>
    </xf>
    <xf numFmtId="2" fontId="40" fillId="0" borderId="67" xfId="0" applyNumberFormat="1" applyFont="1" applyBorder="1" applyAlignment="1">
      <alignment horizontal="center"/>
    </xf>
    <xf numFmtId="2" fontId="40" fillId="0" borderId="67" xfId="0" applyNumberFormat="1" applyFont="1" applyFill="1" applyBorder="1" applyAlignment="1">
      <alignment horizontal="center"/>
    </xf>
    <xf numFmtId="2" fontId="41" fillId="0" borderId="23" xfId="0" applyNumberFormat="1" applyFont="1" applyBorder="1" applyAlignment="1">
      <alignment horizontal="center"/>
    </xf>
    <xf numFmtId="0" fontId="40" fillId="0" borderId="67" xfId="0" applyFont="1" applyBorder="1" applyAlignment="1">
      <alignment horizontal="center"/>
    </xf>
    <xf numFmtId="2" fontId="41" fillId="0" borderId="23" xfId="0" applyNumberFormat="1" applyFont="1" applyFill="1" applyBorder="1" applyAlignment="1">
      <alignment horizontal="center"/>
    </xf>
    <xf numFmtId="0" fontId="21" fillId="3" borderId="24" xfId="3" applyFont="1" applyFill="1" applyBorder="1" applyAlignment="1">
      <alignment horizontal="center"/>
    </xf>
    <xf numFmtId="2" fontId="42" fillId="3" borderId="27" xfId="3" applyNumberFormat="1" applyFont="1" applyFill="1" applyBorder="1" applyAlignment="1">
      <alignment horizontal="center"/>
    </xf>
    <xf numFmtId="2" fontId="21" fillId="3" borderId="68" xfId="3" applyNumberFormat="1" applyFont="1" applyFill="1" applyBorder="1"/>
    <xf numFmtId="2" fontId="4" fillId="0" borderId="0" xfId="0" applyNumberFormat="1" applyFont="1" applyBorder="1" applyAlignment="1">
      <alignment horizontal="left" vertical="center"/>
    </xf>
    <xf numFmtId="166" fontId="4" fillId="0" borderId="0" xfId="0" applyNumberFormat="1" applyFont="1" applyBorder="1" applyAlignment="1">
      <alignment horizontal="left"/>
    </xf>
    <xf numFmtId="2" fontId="2" fillId="0" borderId="0" xfId="0" applyNumberFormat="1" applyFont="1" applyFill="1"/>
    <xf numFmtId="0" fontId="0" fillId="0" borderId="10" xfId="0" applyBorder="1"/>
    <xf numFmtId="0" fontId="4" fillId="18" borderId="113" xfId="0" applyFont="1" applyFill="1" applyBorder="1" applyAlignment="1">
      <alignment horizontal="left" vertical="center"/>
    </xf>
    <xf numFmtId="0" fontId="4" fillId="17" borderId="31" xfId="0" applyFont="1" applyFill="1" applyBorder="1" applyAlignment="1">
      <alignment vertical="center"/>
    </xf>
    <xf numFmtId="171" fontId="6" fillId="0" borderId="66" xfId="0" applyNumberFormat="1" applyFont="1" applyBorder="1" applyAlignment="1">
      <alignment horizontal="center" vertical="center"/>
    </xf>
    <xf numFmtId="0" fontId="4" fillId="30" borderId="23" xfId="0" applyFont="1" applyFill="1" applyBorder="1" applyAlignment="1">
      <alignment vertical="center"/>
    </xf>
    <xf numFmtId="171" fontId="6" fillId="0" borderId="67" xfId="0" applyNumberFormat="1" applyFont="1" applyBorder="1" applyAlignment="1">
      <alignment horizontal="center" vertical="center"/>
    </xf>
    <xf numFmtId="0" fontId="40" fillId="6" borderId="31" xfId="0" applyFont="1" applyFill="1" applyBorder="1" applyAlignment="1">
      <alignment horizontal="center"/>
    </xf>
    <xf numFmtId="0" fontId="4" fillId="29" borderId="23" xfId="0" applyFont="1" applyFill="1" applyBorder="1" applyAlignment="1">
      <alignment vertical="center"/>
    </xf>
    <xf numFmtId="0" fontId="4" fillId="19" borderId="24" xfId="0" applyFont="1" applyFill="1" applyBorder="1" applyAlignment="1">
      <alignment vertical="center"/>
    </xf>
    <xf numFmtId="0" fontId="44" fillId="10" borderId="67" xfId="0" applyFont="1" applyFill="1" applyBorder="1" applyAlignment="1">
      <alignment horizontal="center"/>
    </xf>
    <xf numFmtId="0" fontId="45" fillId="7" borderId="68" xfId="0" applyFont="1" applyFill="1" applyBorder="1" applyAlignment="1">
      <alignment horizontal="center"/>
    </xf>
    <xf numFmtId="2" fontId="6" fillId="0" borderId="120" xfId="0" applyNumberFormat="1" applyFont="1" applyFill="1" applyBorder="1" applyAlignment="1">
      <alignment horizontal="center"/>
    </xf>
    <xf numFmtId="166" fontId="6" fillId="27" borderId="108" xfId="0" applyNumberFormat="1" applyFont="1" applyFill="1" applyBorder="1" applyAlignment="1">
      <alignment horizontal="center"/>
    </xf>
    <xf numFmtId="0" fontId="6" fillId="0" borderId="11" xfId="0" applyFont="1" applyBorder="1"/>
    <xf numFmtId="0" fontId="9" fillId="0" borderId="125" xfId="0" applyFont="1" applyFill="1" applyBorder="1" applyAlignment="1">
      <alignment horizontal="center"/>
    </xf>
    <xf numFmtId="4" fontId="4" fillId="24" borderId="113" xfId="1" applyFont="1" applyFill="1" applyBorder="1" applyAlignment="1">
      <alignment horizontal="center"/>
    </xf>
    <xf numFmtId="0" fontId="17" fillId="0" borderId="0" xfId="0" applyFont="1"/>
    <xf numFmtId="168" fontId="6" fillId="0" borderId="0" xfId="0" applyNumberFormat="1" applyFont="1" applyBorder="1" applyAlignment="1">
      <alignment horizontal="center"/>
    </xf>
    <xf numFmtId="166" fontId="6" fillId="8" borderId="1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2" fontId="6" fillId="0" borderId="0" xfId="0" applyNumberFormat="1" applyFont="1" applyBorder="1"/>
    <xf numFmtId="0" fontId="4" fillId="8" borderId="9" xfId="0" applyFont="1" applyFill="1" applyBorder="1" applyAlignment="1">
      <alignment horizontal="center"/>
    </xf>
    <xf numFmtId="0" fontId="28" fillId="0" borderId="2" xfId="0" applyFont="1" applyFill="1" applyBorder="1" applyAlignment="1">
      <alignment horizontal="center"/>
    </xf>
    <xf numFmtId="2" fontId="28" fillId="0" borderId="120" xfId="0" applyNumberFormat="1" applyFont="1" applyFill="1" applyBorder="1" applyAlignment="1">
      <alignment horizontal="center"/>
    </xf>
    <xf numFmtId="2" fontId="28" fillId="0" borderId="2" xfId="0" applyNumberFormat="1" applyFont="1" applyFill="1" applyBorder="1" applyAlignment="1">
      <alignment horizontal="center"/>
    </xf>
    <xf numFmtId="166" fontId="28" fillId="0" borderId="1" xfId="0" applyNumberFormat="1" applyFont="1" applyFill="1" applyBorder="1" applyAlignment="1">
      <alignment horizontal="center"/>
    </xf>
    <xf numFmtId="0" fontId="0" fillId="0" borderId="132" xfId="0" applyBorder="1"/>
    <xf numFmtId="2" fontId="6" fillId="0" borderId="0" xfId="0" applyNumberFormat="1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44" fillId="10" borderId="23" xfId="0" applyFont="1" applyFill="1" applyBorder="1" applyAlignment="1">
      <alignment horizontal="center"/>
    </xf>
    <xf numFmtId="0" fontId="44" fillId="18" borderId="23" xfId="0" applyFont="1" applyFill="1" applyBorder="1" applyAlignment="1">
      <alignment horizontal="center"/>
    </xf>
    <xf numFmtId="0" fontId="28" fillId="0" borderId="9" xfId="0" applyFont="1" applyFill="1" applyBorder="1" applyAlignment="1"/>
    <xf numFmtId="0" fontId="28" fillId="0" borderId="10" xfId="0" applyFont="1" applyFill="1" applyBorder="1" applyAlignment="1"/>
    <xf numFmtId="2" fontId="34" fillId="6" borderId="133" xfId="0" applyNumberFormat="1" applyFont="1" applyFill="1" applyBorder="1" applyAlignment="1">
      <alignment horizontal="center" vertical="center"/>
    </xf>
    <xf numFmtId="1" fontId="52" fillId="0" borderId="0" xfId="0" applyNumberFormat="1" applyFont="1" applyBorder="1"/>
    <xf numFmtId="1" fontId="52" fillId="0" borderId="0" xfId="0" applyNumberFormat="1" applyFont="1"/>
    <xf numFmtId="1" fontId="52" fillId="0" borderId="0" xfId="0" applyNumberFormat="1" applyFont="1" applyFill="1" applyBorder="1"/>
    <xf numFmtId="0" fontId="9" fillId="25" borderId="125" xfId="0" applyFont="1" applyFill="1" applyBorder="1" applyAlignment="1">
      <alignment horizontal="center"/>
    </xf>
    <xf numFmtId="4" fontId="0" fillId="0" borderId="0" xfId="0" applyNumberFormat="1" applyFill="1"/>
    <xf numFmtId="2" fontId="0" fillId="0" borderId="0" xfId="0" applyNumberFormat="1" applyFill="1"/>
    <xf numFmtId="0" fontId="46" fillId="0" borderId="0" xfId="0" applyFont="1" applyFill="1" applyBorder="1" applyAlignment="1">
      <alignment horizontal="center" vertical="center" wrapText="1"/>
    </xf>
    <xf numFmtId="2" fontId="50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wrapText="1"/>
    </xf>
    <xf numFmtId="2" fontId="0" fillId="0" borderId="0" xfId="0" applyNumberFormat="1" applyFill="1" applyBorder="1"/>
    <xf numFmtId="3" fontId="1" fillId="18" borderId="67" xfId="0" applyNumberFormat="1" applyFont="1" applyFill="1" applyBorder="1" applyAlignment="1">
      <alignment horizontal="center"/>
    </xf>
    <xf numFmtId="0" fontId="44" fillId="27" borderId="67" xfId="0" applyFont="1" applyFill="1" applyBorder="1" applyAlignment="1">
      <alignment horizontal="center"/>
    </xf>
    <xf numFmtId="0" fontId="44" fillId="19" borderId="67" xfId="0" applyFont="1" applyFill="1" applyBorder="1" applyAlignment="1">
      <alignment horizontal="center"/>
    </xf>
    <xf numFmtId="0" fontId="40" fillId="19" borderId="23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0" fillId="0" borderId="31" xfId="0" applyFont="1" applyFill="1" applyBorder="1" applyAlignment="1">
      <alignment horizontal="center"/>
    </xf>
    <xf numFmtId="0" fontId="0" fillId="0" borderId="24" xfId="0" applyFont="1" applyFill="1" applyBorder="1" applyAlignment="1">
      <alignment horizontal="center"/>
    </xf>
    <xf numFmtId="4" fontId="0" fillId="0" borderId="27" xfId="0" applyNumberFormat="1" applyFont="1" applyFill="1" applyBorder="1" applyAlignment="1">
      <alignment horizontal="center"/>
    </xf>
    <xf numFmtId="4" fontId="0" fillId="0" borderId="7" xfId="0" applyNumberFormat="1" applyFont="1" applyFill="1" applyBorder="1" applyAlignment="1">
      <alignment horizontal="center"/>
    </xf>
    <xf numFmtId="0" fontId="0" fillId="0" borderId="23" xfId="0" applyFont="1" applyFill="1" applyBorder="1" applyAlignment="1">
      <alignment horizontal="center"/>
    </xf>
    <xf numFmtId="0" fontId="44" fillId="29" borderId="119" xfId="0" applyFont="1" applyFill="1" applyBorder="1" applyAlignment="1">
      <alignment horizontal="center"/>
    </xf>
    <xf numFmtId="0" fontId="44" fillId="28" borderId="23" xfId="0" applyFont="1" applyFill="1" applyBorder="1" applyAlignment="1">
      <alignment horizontal="center"/>
    </xf>
    <xf numFmtId="0" fontId="44" fillId="27" borderId="21" xfId="0" applyFont="1" applyFill="1" applyBorder="1" applyAlignment="1">
      <alignment horizontal="center"/>
    </xf>
    <xf numFmtId="0" fontId="44" fillId="19" borderId="21" xfId="0" applyFont="1" applyFill="1" applyBorder="1" applyAlignment="1">
      <alignment horizontal="center"/>
    </xf>
    <xf numFmtId="0" fontId="45" fillId="7" borderId="64" xfId="0" applyFont="1" applyFill="1" applyBorder="1" applyAlignment="1">
      <alignment horizontal="center"/>
    </xf>
    <xf numFmtId="0" fontId="40" fillId="0" borderId="7" xfId="0" applyFont="1" applyFill="1" applyBorder="1" applyAlignment="1">
      <alignment horizontal="center"/>
    </xf>
    <xf numFmtId="0" fontId="40" fillId="0" borderId="19" xfId="0" applyFont="1" applyFill="1" applyBorder="1" applyAlignment="1">
      <alignment horizontal="center"/>
    </xf>
    <xf numFmtId="4" fontId="53" fillId="0" borderId="23" xfId="0" applyNumberFormat="1" applyFont="1" applyFill="1" applyBorder="1" applyAlignment="1">
      <alignment horizontal="center"/>
    </xf>
    <xf numFmtId="4" fontId="41" fillId="0" borderId="23" xfId="0" applyNumberFormat="1" applyFont="1" applyFill="1" applyBorder="1" applyAlignment="1">
      <alignment horizontal="center"/>
    </xf>
    <xf numFmtId="4" fontId="41" fillId="0" borderId="31" xfId="0" applyNumberFormat="1" applyFont="1" applyFill="1" applyBorder="1" applyAlignment="1">
      <alignment horizontal="center"/>
    </xf>
    <xf numFmtId="0" fontId="44" fillId="6" borderId="31" xfId="0" applyFont="1" applyFill="1" applyBorder="1" applyAlignment="1">
      <alignment horizontal="center" vertical="center" wrapText="1"/>
    </xf>
    <xf numFmtId="0" fontId="40" fillId="6" borderId="107" xfId="0" applyFont="1" applyFill="1" applyBorder="1" applyAlignment="1">
      <alignment horizontal="center"/>
    </xf>
    <xf numFmtId="4" fontId="40" fillId="6" borderId="108" xfId="0" applyNumberFormat="1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0" fontId="45" fillId="0" borderId="0" xfId="0" applyFont="1" applyFill="1" applyBorder="1" applyAlignment="1">
      <alignment horizontal="center"/>
    </xf>
    <xf numFmtId="4" fontId="0" fillId="0" borderId="0" xfId="0" applyNumberFormat="1" applyFill="1" applyAlignment="1">
      <alignment horizontal="center"/>
    </xf>
    <xf numFmtId="4" fontId="41" fillId="19" borderId="7" xfId="0" applyNumberFormat="1" applyFont="1" applyFill="1" applyBorder="1" applyAlignment="1">
      <alignment horizontal="center"/>
    </xf>
    <xf numFmtId="4" fontId="40" fillId="6" borderId="19" xfId="0" applyNumberFormat="1" applyFont="1" applyFill="1" applyBorder="1" applyAlignment="1">
      <alignment horizontal="center"/>
    </xf>
    <xf numFmtId="0" fontId="1" fillId="6" borderId="66" xfId="0" applyFont="1" applyFill="1" applyBorder="1" applyAlignment="1">
      <alignment horizontal="center" vertical="center" wrapText="1"/>
    </xf>
    <xf numFmtId="0" fontId="51" fillId="0" borderId="0" xfId="0" applyFont="1"/>
    <xf numFmtId="164" fontId="6" fillId="0" borderId="0" xfId="0" applyNumberFormat="1" applyFont="1" applyBorder="1" applyAlignment="1">
      <alignment horizontal="left"/>
    </xf>
    <xf numFmtId="164" fontId="4" fillId="0" borderId="0" xfId="0" applyNumberFormat="1" applyFont="1" applyBorder="1" applyAlignment="1">
      <alignment horizontal="left"/>
    </xf>
    <xf numFmtId="171" fontId="37" fillId="0" borderId="10" xfId="0" applyNumberFormat="1" applyFont="1" applyFill="1" applyBorder="1" applyAlignment="1">
      <alignment horizontal="left" vertical="center"/>
    </xf>
    <xf numFmtId="2" fontId="21" fillId="0" borderId="0" xfId="2" applyNumberFormat="1" applyFont="1"/>
    <xf numFmtId="0" fontId="9" fillId="0" borderId="9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2" fontId="6" fillId="6" borderId="2" xfId="0" applyNumberFormat="1" applyFont="1" applyFill="1" applyBorder="1" applyAlignment="1">
      <alignment horizontal="center"/>
    </xf>
    <xf numFmtId="0" fontId="0" fillId="0" borderId="0" xfId="0" applyFill="1" applyAlignment="1"/>
    <xf numFmtId="0" fontId="0" fillId="0" borderId="0" xfId="0" applyAlignment="1"/>
    <xf numFmtId="0" fontId="37" fillId="0" borderId="9" xfId="0" applyFont="1" applyFill="1" applyBorder="1" applyAlignment="1">
      <alignment horizontal="right" vertical="center"/>
    </xf>
    <xf numFmtId="0" fontId="44" fillId="6" borderId="17" xfId="0" applyFont="1" applyFill="1" applyBorder="1" applyAlignment="1">
      <alignment horizontal="center" vertical="center" wrapText="1"/>
    </xf>
    <xf numFmtId="0" fontId="44" fillId="29" borderId="54" xfId="0" applyFont="1" applyFill="1" applyBorder="1" applyAlignment="1">
      <alignment horizontal="center"/>
    </xf>
    <xf numFmtId="0" fontId="44" fillId="28" borderId="5" xfId="0" applyFont="1" applyFill="1" applyBorder="1" applyAlignment="1">
      <alignment horizontal="center"/>
    </xf>
    <xf numFmtId="4" fontId="41" fillId="0" borderId="48" xfId="0" applyNumberFormat="1" applyFont="1" applyFill="1" applyBorder="1" applyAlignment="1">
      <alignment horizontal="center" vertical="center" wrapText="1"/>
    </xf>
    <xf numFmtId="4" fontId="41" fillId="0" borderId="1" xfId="0" applyNumberFormat="1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37" xfId="0" applyBorder="1" applyAlignment="1"/>
    <xf numFmtId="4" fontId="0" fillId="0" borderId="17" xfId="0" applyNumberFormat="1" applyFont="1" applyFill="1" applyBorder="1" applyAlignment="1">
      <alignment horizontal="center"/>
    </xf>
    <xf numFmtId="4" fontId="0" fillId="0" borderId="25" xfId="0" applyNumberFormat="1" applyFont="1" applyFill="1" applyBorder="1" applyAlignment="1">
      <alignment horizontal="center"/>
    </xf>
    <xf numFmtId="2" fontId="21" fillId="17" borderId="7" xfId="3" applyNumberFormat="1" applyFont="1" applyFill="1" applyBorder="1" applyAlignment="1">
      <alignment horizontal="center" vertical="center"/>
    </xf>
    <xf numFmtId="4" fontId="1" fillId="9" borderId="7" xfId="0" applyNumberFormat="1" applyFont="1" applyFill="1" applyBorder="1" applyAlignment="1">
      <alignment horizontal="center"/>
    </xf>
    <xf numFmtId="2" fontId="4" fillId="9" borderId="5" xfId="0" applyNumberFormat="1" applyFont="1" applyFill="1" applyBorder="1" applyAlignment="1">
      <alignment horizontal="center" vertical="center"/>
    </xf>
    <xf numFmtId="2" fontId="4" fillId="9" borderId="7" xfId="0" applyNumberFormat="1" applyFont="1" applyFill="1" applyBorder="1" applyAlignment="1">
      <alignment horizontal="center" vertical="center"/>
    </xf>
    <xf numFmtId="2" fontId="4" fillId="9" borderId="45" xfId="0" applyNumberFormat="1" applyFont="1" applyFill="1" applyBorder="1" applyAlignment="1">
      <alignment horizontal="center" vertical="center"/>
    </xf>
    <xf numFmtId="2" fontId="4" fillId="9" borderId="54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0" xfId="0" applyFont="1" applyFill="1" applyBorder="1" applyAlignment="1">
      <alignment horizontal="left" vertical="center"/>
    </xf>
    <xf numFmtId="173" fontId="0" fillId="0" borderId="0" xfId="0" applyNumberFormat="1" applyBorder="1"/>
    <xf numFmtId="2" fontId="9" fillId="25" borderId="125" xfId="0" applyNumberFormat="1" applyFont="1" applyFill="1" applyBorder="1" applyAlignment="1">
      <alignment horizontal="center" vertical="center"/>
    </xf>
    <xf numFmtId="2" fontId="21" fillId="0" borderId="0" xfId="2" applyNumberFormat="1" applyFont="1" applyBorder="1"/>
    <xf numFmtId="2" fontId="21" fillId="3" borderId="0" xfId="2" applyNumberFormat="1" applyFont="1" applyFill="1" applyBorder="1"/>
    <xf numFmtId="2" fontId="18" fillId="0" borderId="0" xfId="2" applyNumberFormat="1" applyFont="1" applyBorder="1"/>
    <xf numFmtId="4" fontId="18" fillId="0" borderId="0" xfId="2" applyNumberFormat="1" applyFont="1" applyBorder="1"/>
    <xf numFmtId="2" fontId="9" fillId="0" borderId="9" xfId="0" applyNumberFormat="1" applyFont="1" applyBorder="1" applyAlignment="1">
      <alignment horizontal="center" wrapText="1"/>
    </xf>
    <xf numFmtId="2" fontId="0" fillId="0" borderId="0" xfId="0" applyNumberFormat="1" applyAlignment="1"/>
    <xf numFmtId="0" fontId="0" fillId="0" borderId="0" xfId="0" applyAlignment="1">
      <alignment horizontal="center"/>
    </xf>
    <xf numFmtId="171" fontId="4" fillId="0" borderId="113" xfId="0" applyNumberFormat="1" applyFont="1" applyFill="1" applyBorder="1" applyAlignment="1">
      <alignment horizontal="center" vertical="center"/>
    </xf>
    <xf numFmtId="2" fontId="17" fillId="0" borderId="125" xfId="0" applyNumberFormat="1" applyFont="1" applyBorder="1" applyAlignment="1">
      <alignment horizontal="center" vertical="center"/>
    </xf>
    <xf numFmtId="0" fontId="0" fillId="0" borderId="12" xfId="0" applyBorder="1"/>
    <xf numFmtId="0" fontId="0" fillId="0" borderId="9" xfId="0" applyBorder="1"/>
    <xf numFmtId="164" fontId="27" fillId="7" borderId="57" xfId="0" applyNumberFormat="1" applyFont="1" applyFill="1" applyBorder="1" applyAlignment="1">
      <alignment horizontal="center"/>
    </xf>
    <xf numFmtId="1" fontId="27" fillId="7" borderId="57" xfId="0" applyNumberFormat="1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4" fontId="18" fillId="0" borderId="0" xfId="2" applyNumberFormat="1" applyFont="1"/>
    <xf numFmtId="2" fontId="18" fillId="0" borderId="0" xfId="2" applyNumberFormat="1" applyFont="1"/>
    <xf numFmtId="2" fontId="4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37" xfId="0" applyBorder="1" applyAlignment="1"/>
    <xf numFmtId="4" fontId="4" fillId="0" borderId="113" xfId="1" applyFont="1" applyFill="1" applyBorder="1" applyAlignment="1">
      <alignment horizontal="center"/>
    </xf>
    <xf numFmtId="0" fontId="51" fillId="0" borderId="0" xfId="0" applyFont="1" applyFill="1" applyBorder="1"/>
    <xf numFmtId="0" fontId="57" fillId="0" borderId="0" xfId="0" applyFont="1"/>
    <xf numFmtId="0" fontId="4" fillId="33" borderId="24" xfId="0" applyFont="1" applyFill="1" applyBorder="1" applyAlignment="1">
      <alignment vertical="center"/>
    </xf>
    <xf numFmtId="171" fontId="6" fillId="33" borderId="68" xfId="0" applyNumberFormat="1" applyFont="1" applyFill="1" applyBorder="1" applyAlignment="1">
      <alignment horizontal="center" vertical="center"/>
    </xf>
    <xf numFmtId="2" fontId="31" fillId="0" borderId="2" xfId="0" applyNumberFormat="1" applyFont="1" applyFill="1" applyBorder="1" applyAlignment="1">
      <alignment horizontal="center"/>
    </xf>
    <xf numFmtId="2" fontId="6" fillId="6" borderId="133" xfId="0" applyNumberFormat="1" applyFont="1" applyFill="1" applyBorder="1" applyAlignment="1">
      <alignment horizontal="center"/>
    </xf>
    <xf numFmtId="2" fontId="27" fillId="34" borderId="32" xfId="0" applyNumberFormat="1" applyFont="1" applyFill="1" applyBorder="1" applyAlignment="1">
      <alignment horizontal="center" vertical="center"/>
    </xf>
    <xf numFmtId="2" fontId="4" fillId="34" borderId="0" xfId="0" applyNumberFormat="1" applyFont="1" applyFill="1" applyBorder="1" applyAlignment="1">
      <alignment horizontal="center" vertical="center"/>
    </xf>
    <xf numFmtId="2" fontId="27" fillId="34" borderId="0" xfId="0" applyNumberFormat="1" applyFont="1" applyFill="1" applyBorder="1" applyAlignment="1">
      <alignment horizontal="center" vertical="center"/>
    </xf>
    <xf numFmtId="2" fontId="27" fillId="34" borderId="56" xfId="0" applyNumberFormat="1" applyFont="1" applyFill="1" applyBorder="1" applyAlignment="1">
      <alignment horizontal="center" vertical="center"/>
    </xf>
    <xf numFmtId="2" fontId="4" fillId="34" borderId="56" xfId="0" applyNumberFormat="1" applyFont="1" applyFill="1" applyBorder="1" applyAlignment="1">
      <alignment horizontal="center" vertical="center"/>
    </xf>
    <xf numFmtId="2" fontId="41" fillId="0" borderId="23" xfId="0" applyNumberFormat="1" applyFont="1" applyFill="1" applyBorder="1" applyAlignment="1">
      <alignment horizontal="center" vertical="center"/>
    </xf>
    <xf numFmtId="0" fontId="18" fillId="0" borderId="5" xfId="2" applyFont="1" applyBorder="1"/>
    <xf numFmtId="0" fontId="18" fillId="0" borderId="30" xfId="2" applyFont="1" applyBorder="1"/>
    <xf numFmtId="0" fontId="18" fillId="0" borderId="30" xfId="2" applyFont="1" applyBorder="1" applyAlignment="1">
      <alignment horizontal="center"/>
    </xf>
    <xf numFmtId="0" fontId="18" fillId="3" borderId="30" xfId="2" applyFont="1" applyFill="1" applyBorder="1"/>
    <xf numFmtId="0" fontId="18" fillId="0" borderId="6" xfId="2" applyFont="1" applyBorder="1"/>
    <xf numFmtId="0" fontId="9" fillId="6" borderId="125" xfId="0" applyFont="1" applyFill="1" applyBorder="1" applyAlignment="1">
      <alignment horizontal="center"/>
    </xf>
    <xf numFmtId="0" fontId="9" fillId="0" borderId="138" xfId="0" applyFont="1" applyFill="1" applyBorder="1" applyAlignment="1">
      <alignment horizontal="center"/>
    </xf>
    <xf numFmtId="0" fontId="9" fillId="0" borderId="0" xfId="0" applyFont="1" applyBorder="1" applyAlignment="1">
      <alignment horizontal="center" wrapText="1"/>
    </xf>
    <xf numFmtId="166" fontId="6" fillId="6" borderId="1" xfId="0" applyNumberFormat="1" applyFont="1" applyFill="1" applyBorder="1" applyAlignment="1">
      <alignment horizontal="center"/>
    </xf>
    <xf numFmtId="1" fontId="16" fillId="0" borderId="0" xfId="0" applyNumberFormat="1" applyFont="1" applyFill="1" applyAlignment="1">
      <alignment horizontal="center"/>
    </xf>
    <xf numFmtId="4" fontId="36" fillId="0" borderId="113" xfId="0" applyNumberFormat="1" applyFont="1" applyBorder="1" applyAlignment="1">
      <alignment vertical="center" wrapText="1"/>
    </xf>
    <xf numFmtId="4" fontId="1" fillId="0" borderId="113" xfId="0" applyNumberFormat="1" applyFont="1" applyFill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47" fillId="0" borderId="125" xfId="0" applyFont="1" applyBorder="1" applyAlignment="1">
      <alignment horizontal="center" vertical="center"/>
    </xf>
    <xf numFmtId="0" fontId="47" fillId="0" borderId="12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9" fontId="17" fillId="0" borderId="0" xfId="0" applyNumberFormat="1" applyFont="1" applyFill="1" applyBorder="1" applyAlignment="1">
      <alignment horizontal="left"/>
    </xf>
    <xf numFmtId="0" fontId="2" fillId="0" borderId="9" xfId="0" applyFont="1" applyFill="1" applyBorder="1" applyAlignment="1">
      <alignment horizontal="center" vertical="center"/>
    </xf>
    <xf numFmtId="2" fontId="4" fillId="0" borderId="56" xfId="0" applyNumberFormat="1" applyFont="1" applyFill="1" applyBorder="1" applyAlignment="1">
      <alignment horizontal="center" vertical="center"/>
    </xf>
    <xf numFmtId="0" fontId="51" fillId="0" borderId="0" xfId="0" applyFont="1" applyBorder="1"/>
    <xf numFmtId="2" fontId="4" fillId="0" borderId="131" xfId="0" applyNumberFormat="1" applyFont="1" applyFill="1" applyBorder="1" applyAlignment="1">
      <alignment horizontal="center" vertical="center"/>
    </xf>
    <xf numFmtId="0" fontId="0" fillId="0" borderId="139" xfId="0" applyBorder="1"/>
    <xf numFmtId="0" fontId="4" fillId="9" borderId="141" xfId="0" applyFont="1" applyFill="1" applyBorder="1" applyAlignment="1">
      <alignment horizontal="center" vertical="center"/>
    </xf>
    <xf numFmtId="4" fontId="1" fillId="9" borderId="45" xfId="0" applyNumberFormat="1" applyFont="1" applyFill="1" applyBorder="1" applyAlignment="1">
      <alignment horizontal="center"/>
    </xf>
    <xf numFmtId="0" fontId="1" fillId="9" borderId="31" xfId="0" applyFont="1" applyFill="1" applyBorder="1" applyAlignment="1">
      <alignment horizontal="center" vertical="center"/>
    </xf>
    <xf numFmtId="4" fontId="1" fillId="9" borderId="66" xfId="0" applyNumberFormat="1" applyFont="1" applyFill="1" applyBorder="1" applyAlignment="1">
      <alignment horizontal="center"/>
    </xf>
    <xf numFmtId="0" fontId="0" fillId="0" borderId="136" xfId="0" applyBorder="1"/>
    <xf numFmtId="2" fontId="9" fillId="0" borderId="125" xfId="0" applyNumberFormat="1" applyFont="1" applyBorder="1" applyAlignment="1">
      <alignment horizontal="center" vertical="center"/>
    </xf>
    <xf numFmtId="2" fontId="9" fillId="0" borderId="138" xfId="0" applyNumberFormat="1" applyFont="1" applyBorder="1" applyAlignment="1">
      <alignment horizontal="center" vertical="center"/>
    </xf>
    <xf numFmtId="2" fontId="9" fillId="6" borderId="125" xfId="0" applyNumberFormat="1" applyFont="1" applyFill="1" applyBorder="1" applyAlignment="1">
      <alignment horizontal="center" vertical="center"/>
    </xf>
    <xf numFmtId="2" fontId="4" fillId="9" borderId="48" xfId="0" applyNumberFormat="1" applyFont="1" applyFill="1" applyBorder="1" applyAlignment="1">
      <alignment horizontal="center" vertical="center"/>
    </xf>
    <xf numFmtId="2" fontId="6" fillId="0" borderId="58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 vertical="center"/>
    </xf>
    <xf numFmtId="2" fontId="6" fillId="15" borderId="57" xfId="0" applyNumberFormat="1" applyFont="1" applyFill="1" applyBorder="1" applyAlignment="1">
      <alignment horizontal="center"/>
    </xf>
    <xf numFmtId="0" fontId="6" fillId="0" borderId="0" xfId="0" applyFont="1" applyBorder="1"/>
    <xf numFmtId="0" fontId="4" fillId="8" borderId="32" xfId="0" applyFont="1" applyFill="1" applyBorder="1" applyAlignment="1">
      <alignment horizontal="center" vertical="center" wrapText="1"/>
    </xf>
    <xf numFmtId="0" fontId="0" fillId="0" borderId="0" xfId="0"/>
    <xf numFmtId="2" fontId="0" fillId="0" borderId="0" xfId="0" applyNumberFormat="1"/>
    <xf numFmtId="0" fontId="0" fillId="0" borderId="0" xfId="0" applyBorder="1" applyAlignment="1">
      <alignment horizontal="center"/>
    </xf>
    <xf numFmtId="2" fontId="6" fillId="0" borderId="2" xfId="0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20" fillId="4" borderId="7" xfId="3" applyFont="1" applyFill="1" applyBorder="1" applyAlignment="1">
      <alignment horizontal="center"/>
    </xf>
    <xf numFmtId="0" fontId="6" fillId="0" borderId="10" xfId="0" applyFont="1" applyBorder="1"/>
    <xf numFmtId="166" fontId="6" fillId="0" borderId="0" xfId="0" applyNumberFormat="1" applyFont="1" applyFill="1" applyBorder="1" applyAlignment="1">
      <alignment horizontal="center"/>
    </xf>
    <xf numFmtId="2" fontId="4" fillId="6" borderId="58" xfId="0" applyNumberFormat="1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2" fontId="0" fillId="0" borderId="0" xfId="0" applyNumberFormat="1" applyBorder="1"/>
    <xf numFmtId="4" fontId="0" fillId="0" borderId="0" xfId="0" applyNumberFormat="1"/>
    <xf numFmtId="0" fontId="0" fillId="0" borderId="0" xfId="0" applyFill="1"/>
    <xf numFmtId="4" fontId="1" fillId="0" borderId="0" xfId="0" applyNumberFormat="1" applyFont="1" applyFill="1" applyBorder="1" applyAlignment="1">
      <alignment horizontal="center"/>
    </xf>
    <xf numFmtId="0" fontId="6" fillId="0" borderId="9" xfId="0" applyFont="1" applyBorder="1"/>
    <xf numFmtId="0" fontId="1" fillId="0" borderId="0" xfId="0" applyFont="1" applyFill="1" applyBorder="1" applyAlignment="1">
      <alignment horizontal="center"/>
    </xf>
    <xf numFmtId="2" fontId="4" fillId="6" borderId="59" xfId="0" applyNumberFormat="1" applyFont="1" applyFill="1" applyBorder="1" applyAlignment="1">
      <alignment horizontal="center"/>
    </xf>
    <xf numFmtId="0" fontId="4" fillId="18" borderId="3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2" fontId="6" fillId="6" borderId="58" xfId="0" applyNumberFormat="1" applyFont="1" applyFill="1" applyBorder="1" applyAlignment="1">
      <alignment horizontal="center"/>
    </xf>
    <xf numFmtId="0" fontId="4" fillId="18" borderId="113" xfId="0" applyFont="1" applyFill="1" applyBorder="1" applyAlignment="1">
      <alignment horizontal="left" vertical="center"/>
    </xf>
    <xf numFmtId="2" fontId="4" fillId="6" borderId="56" xfId="0" applyNumberFormat="1" applyFont="1" applyFill="1" applyBorder="1" applyAlignment="1">
      <alignment horizontal="center"/>
    </xf>
    <xf numFmtId="0" fontId="9" fillId="0" borderId="125" xfId="0" applyFont="1" applyFill="1" applyBorder="1" applyAlignment="1">
      <alignment horizontal="center"/>
    </xf>
    <xf numFmtId="0" fontId="0" fillId="0" borderId="132" xfId="0" applyBorder="1"/>
    <xf numFmtId="1" fontId="52" fillId="0" borderId="0" xfId="0" applyNumberFormat="1" applyFont="1"/>
    <xf numFmtId="0" fontId="9" fillId="0" borderId="0" xfId="0" applyFont="1" applyFill="1" applyAlignment="1">
      <alignment horizontal="center" wrapText="1"/>
    </xf>
    <xf numFmtId="172" fontId="54" fillId="26" borderId="4" xfId="0" applyNumberFormat="1" applyFont="1" applyFill="1" applyBorder="1" applyAlignment="1">
      <alignment horizontal="center" vertical="center"/>
    </xf>
    <xf numFmtId="0" fontId="54" fillId="26" borderId="3" xfId="0" applyFont="1" applyFill="1" applyBorder="1" applyAlignment="1">
      <alignment horizontal="right" vertical="center"/>
    </xf>
    <xf numFmtId="0" fontId="40" fillId="19" borderId="23" xfId="0" applyFont="1" applyFill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2" fontId="6" fillId="6" borderId="59" xfId="0" applyNumberFormat="1" applyFont="1" applyFill="1" applyBorder="1" applyAlignment="1">
      <alignment horizontal="center"/>
    </xf>
    <xf numFmtId="0" fontId="0" fillId="0" borderId="0" xfId="0" applyFill="1" applyAlignment="1"/>
    <xf numFmtId="0" fontId="0" fillId="0" borderId="0" xfId="0" applyAlignment="1"/>
    <xf numFmtId="2" fontId="4" fillId="9" borderId="5" xfId="0" applyNumberFormat="1" applyFont="1" applyFill="1" applyBorder="1" applyAlignment="1">
      <alignment horizontal="center" vertical="center"/>
    </xf>
    <xf numFmtId="2" fontId="0" fillId="0" borderId="0" xfId="0" applyNumberFormat="1" applyAlignment="1"/>
    <xf numFmtId="0" fontId="1" fillId="17" borderId="3" xfId="0" applyFont="1" applyFill="1" applyBorder="1" applyAlignment="1">
      <alignment horizontal="left" vertical="center"/>
    </xf>
    <xf numFmtId="171" fontId="1" fillId="17" borderId="4" xfId="0" applyNumberFormat="1" applyFont="1" applyFill="1" applyBorder="1" applyAlignment="1">
      <alignment horizontal="left" vertical="center"/>
    </xf>
    <xf numFmtId="0" fontId="0" fillId="0" borderId="9" xfId="0" applyBorder="1"/>
    <xf numFmtId="0" fontId="2" fillId="0" borderId="9" xfId="0" applyFont="1" applyBorder="1" applyAlignment="1">
      <alignment horizontal="center" vertical="center"/>
    </xf>
    <xf numFmtId="2" fontId="4" fillId="0" borderId="5" xfId="0" applyNumberFormat="1" applyFont="1" applyFill="1" applyBorder="1" applyAlignment="1">
      <alignment horizontal="center" vertical="center"/>
    </xf>
    <xf numFmtId="2" fontId="6" fillId="0" borderId="62" xfId="0" applyNumberFormat="1" applyFont="1" applyFill="1" applyBorder="1" applyAlignment="1">
      <alignment horizontal="center"/>
    </xf>
    <xf numFmtId="2" fontId="6" fillId="0" borderId="51" xfId="0" applyNumberFormat="1" applyFont="1" applyFill="1" applyBorder="1" applyAlignment="1">
      <alignment horizontal="center"/>
    </xf>
    <xf numFmtId="0" fontId="17" fillId="0" borderId="0" xfId="0" applyFont="1" applyFill="1"/>
    <xf numFmtId="0" fontId="31" fillId="0" borderId="0" xfId="0" applyFont="1" applyFill="1" applyBorder="1"/>
    <xf numFmtId="2" fontId="34" fillId="0" borderId="0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right" vertical="center"/>
    </xf>
    <xf numFmtId="171" fontId="37" fillId="0" borderId="0" xfId="0" applyNumberFormat="1" applyFont="1" applyFill="1" applyBorder="1" applyAlignment="1">
      <alignment horizontal="left" vertical="center"/>
    </xf>
    <xf numFmtId="2" fontId="27" fillId="0" borderId="0" xfId="0" applyNumberFormat="1" applyFont="1" applyFill="1" applyBorder="1" applyAlignment="1">
      <alignment horizontal="center" vertical="center"/>
    </xf>
    <xf numFmtId="2" fontId="27" fillId="0" borderId="0" xfId="0" applyNumberFormat="1" applyFont="1" applyFill="1" applyBorder="1" applyAlignment="1">
      <alignment horizontal="center"/>
    </xf>
    <xf numFmtId="166" fontId="27" fillId="0" borderId="0" xfId="0" applyNumberFormat="1" applyFont="1" applyFill="1" applyBorder="1" applyAlignment="1">
      <alignment horizontal="center"/>
    </xf>
    <xf numFmtId="0" fontId="27" fillId="0" borderId="9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2" fontId="4" fillId="32" borderId="145" xfId="0" applyNumberFormat="1" applyFont="1" applyFill="1" applyBorder="1" applyAlignment="1">
      <alignment horizontal="center"/>
    </xf>
    <xf numFmtId="2" fontId="4" fillId="32" borderId="146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6" fillId="0" borderId="62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2" fontId="6" fillId="32" borderId="59" xfId="0" applyNumberFormat="1" applyFont="1" applyFill="1" applyBorder="1" applyAlignment="1">
      <alignment horizontal="center"/>
    </xf>
    <xf numFmtId="0" fontId="0" fillId="32" borderId="59" xfId="0" applyFill="1" applyBorder="1" applyAlignment="1">
      <alignment horizontal="center"/>
    </xf>
    <xf numFmtId="2" fontId="4" fillId="29" borderId="145" xfId="0" applyNumberFormat="1" applyFont="1" applyFill="1" applyBorder="1" applyAlignment="1">
      <alignment horizontal="center"/>
    </xf>
    <xf numFmtId="2" fontId="4" fillId="29" borderId="146" xfId="0" applyNumberFormat="1" applyFont="1" applyFill="1" applyBorder="1" applyAlignment="1">
      <alignment horizontal="center"/>
    </xf>
    <xf numFmtId="0" fontId="4" fillId="0" borderId="141" xfId="0" applyFont="1" applyFill="1" applyBorder="1" applyAlignment="1">
      <alignment horizontal="center" vertical="center"/>
    </xf>
    <xf numFmtId="0" fontId="4" fillId="0" borderId="142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vertical="center"/>
    </xf>
    <xf numFmtId="0" fontId="48" fillId="0" borderId="0" xfId="0" applyFont="1" applyBorder="1" applyAlignment="1">
      <alignment vertical="center"/>
    </xf>
    <xf numFmtId="3" fontId="48" fillId="0" borderId="0" xfId="0" applyNumberFormat="1" applyFont="1" applyFill="1" applyBorder="1" applyAlignment="1">
      <alignment horizontal="center" vertical="center"/>
    </xf>
    <xf numFmtId="3" fontId="56" fillId="0" borderId="0" xfId="0" applyNumberFormat="1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Border="1" applyAlignment="1">
      <alignment vertical="center"/>
    </xf>
    <xf numFmtId="3" fontId="48" fillId="0" borderId="0" xfId="0" applyNumberFormat="1" applyFont="1" applyBorder="1" applyAlignment="1">
      <alignment horizontal="center" vertical="center"/>
    </xf>
    <xf numFmtId="0" fontId="0" fillId="0" borderId="0" xfId="0" applyFill="1" applyBorder="1" applyAlignment="1"/>
    <xf numFmtId="1" fontId="48" fillId="0" borderId="0" xfId="0" applyNumberFormat="1" applyFont="1" applyFill="1" applyBorder="1" applyAlignment="1">
      <alignment horizontal="center" vertical="center"/>
    </xf>
    <xf numFmtId="2" fontId="48" fillId="0" borderId="0" xfId="0" applyNumberFormat="1" applyFont="1" applyFill="1" applyBorder="1" applyAlignment="1">
      <alignment horizontal="center" vertical="center"/>
    </xf>
    <xf numFmtId="2" fontId="9" fillId="0" borderId="0" xfId="0" applyNumberFormat="1" applyFont="1" applyAlignment="1">
      <alignment horizontal="center" wrapText="1"/>
    </xf>
    <xf numFmtId="0" fontId="20" fillId="9" borderId="19" xfId="3" applyFont="1" applyFill="1" applyBorder="1" applyAlignment="1">
      <alignment horizontal="center"/>
    </xf>
    <xf numFmtId="0" fontId="20" fillId="9" borderId="7" xfId="3" applyFont="1" applyFill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left"/>
    </xf>
    <xf numFmtId="166" fontId="30" fillId="15" borderId="63" xfId="0" applyNumberFormat="1" applyFont="1" applyFill="1" applyBorder="1" applyAlignment="1">
      <alignment horizontal="center"/>
    </xf>
    <xf numFmtId="0" fontId="2" fillId="0" borderId="119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/>
    </xf>
    <xf numFmtId="2" fontId="6" fillId="0" borderId="45" xfId="0" applyNumberFormat="1" applyFont="1" applyFill="1" applyBorder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2" fontId="6" fillId="0" borderId="19" xfId="0" applyNumberFormat="1" applyFont="1" applyFill="1" applyBorder="1" applyAlignment="1">
      <alignment horizontal="center"/>
    </xf>
    <xf numFmtId="2" fontId="4" fillId="0" borderId="19" xfId="0" applyNumberFormat="1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/>
    </xf>
    <xf numFmtId="2" fontId="6" fillId="0" borderId="7" xfId="0" applyNumberFormat="1" applyFont="1" applyFill="1" applyBorder="1" applyAlignment="1">
      <alignment horizontal="center"/>
    </xf>
    <xf numFmtId="2" fontId="4" fillId="0" borderId="7" xfId="0" applyNumberFormat="1" applyFont="1" applyFill="1" applyBorder="1" applyAlignment="1">
      <alignment horizontal="center" vertical="center"/>
    </xf>
    <xf numFmtId="0" fontId="2" fillId="0" borderId="147" xfId="0" applyFont="1" applyFill="1" applyBorder="1" applyAlignment="1">
      <alignment horizontal="center" vertical="center"/>
    </xf>
    <xf numFmtId="0" fontId="4" fillId="27" borderId="47" xfId="0" applyFont="1" applyFill="1" applyBorder="1" applyAlignment="1">
      <alignment horizontal="center"/>
    </xf>
    <xf numFmtId="2" fontId="6" fillId="27" borderId="47" xfId="0" applyNumberFormat="1" applyFont="1" applyFill="1" applyBorder="1" applyAlignment="1">
      <alignment horizontal="center"/>
    </xf>
    <xf numFmtId="2" fontId="6" fillId="32" borderId="47" xfId="0" applyNumberFormat="1" applyFont="1" applyFill="1" applyBorder="1" applyAlignment="1">
      <alignment horizontal="center"/>
    </xf>
    <xf numFmtId="166" fontId="4" fillId="0" borderId="46" xfId="0" applyNumberFormat="1" applyFont="1" applyFill="1" applyBorder="1" applyAlignment="1">
      <alignment horizontal="center" vertical="center"/>
    </xf>
    <xf numFmtId="166" fontId="4" fillId="34" borderId="0" xfId="0" applyNumberFormat="1" applyFont="1" applyFill="1" applyBorder="1" applyAlignment="1">
      <alignment horizontal="center" vertical="center"/>
    </xf>
    <xf numFmtId="166" fontId="28" fillId="7" borderId="0" xfId="0" applyNumberFormat="1" applyFont="1" applyFill="1" applyBorder="1" applyAlignment="1">
      <alignment horizontal="center" vertical="center"/>
    </xf>
    <xf numFmtId="166" fontId="4" fillId="34" borderId="56" xfId="0" applyNumberFormat="1" applyFont="1" applyFill="1" applyBorder="1" applyAlignment="1">
      <alignment horizontal="center" vertical="center"/>
    </xf>
    <xf numFmtId="166" fontId="4" fillId="0" borderId="17" xfId="0" applyNumberFormat="1" applyFont="1" applyFill="1" applyBorder="1" applyAlignment="1">
      <alignment horizontal="center" vertical="center"/>
    </xf>
    <xf numFmtId="166" fontId="4" fillId="0" borderId="5" xfId="0" applyNumberFormat="1" applyFont="1" applyFill="1" applyBorder="1" applyAlignment="1">
      <alignment horizontal="center" vertical="center"/>
    </xf>
    <xf numFmtId="166" fontId="6" fillId="0" borderId="5" xfId="0" applyNumberFormat="1" applyFont="1" applyFill="1" applyBorder="1" applyAlignment="1">
      <alignment horizontal="center"/>
    </xf>
    <xf numFmtId="166" fontId="6" fillId="8" borderId="5" xfId="0" applyNumberFormat="1" applyFont="1" applyFill="1" applyBorder="1" applyAlignment="1">
      <alignment horizontal="center"/>
    </xf>
    <xf numFmtId="166" fontId="27" fillId="7" borderId="1" xfId="0" applyNumberFormat="1" applyFont="1" applyFill="1" applyBorder="1" applyAlignment="1">
      <alignment horizontal="center"/>
    </xf>
    <xf numFmtId="166" fontId="6" fillId="6" borderId="148" xfId="0" applyNumberFormat="1" applyFont="1" applyFill="1" applyBorder="1" applyAlignment="1">
      <alignment horizontal="center"/>
    </xf>
    <xf numFmtId="166" fontId="6" fillId="8" borderId="54" xfId="0" applyNumberFormat="1" applyFont="1" applyFill="1" applyBorder="1" applyAlignment="1">
      <alignment horizontal="center"/>
    </xf>
    <xf numFmtId="166" fontId="6" fillId="32" borderId="48" xfId="0" applyNumberFormat="1" applyFont="1" applyFill="1" applyBorder="1" applyAlignment="1">
      <alignment horizontal="center"/>
    </xf>
    <xf numFmtId="166" fontId="27" fillId="7" borderId="63" xfId="0" applyNumberFormat="1" applyFont="1" applyFill="1" applyBorder="1" applyAlignment="1">
      <alignment horizontal="center"/>
    </xf>
    <xf numFmtId="166" fontId="6" fillId="0" borderId="60" xfId="0" applyNumberFormat="1" applyFont="1" applyFill="1" applyBorder="1" applyAlignment="1">
      <alignment horizontal="center"/>
    </xf>
    <xf numFmtId="166" fontId="4" fillId="32" borderId="149" xfId="0" applyNumberFormat="1" applyFont="1" applyFill="1" applyBorder="1" applyAlignment="1">
      <alignment horizontal="center"/>
    </xf>
    <xf numFmtId="166" fontId="38" fillId="8" borderId="60" xfId="0" applyNumberFormat="1" applyFont="1" applyFill="1" applyBorder="1" applyAlignment="1">
      <alignment horizontal="center"/>
    </xf>
    <xf numFmtId="166" fontId="17" fillId="8" borderId="150" xfId="0" applyNumberFormat="1" applyFont="1" applyFill="1" applyBorder="1" applyAlignment="1">
      <alignment horizontal="center"/>
    </xf>
    <xf numFmtId="166" fontId="4" fillId="29" borderId="149" xfId="0" applyNumberFormat="1" applyFont="1" applyFill="1" applyBorder="1" applyAlignment="1">
      <alignment horizontal="center"/>
    </xf>
    <xf numFmtId="0" fontId="1" fillId="32" borderId="150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171" fontId="6" fillId="8" borderId="10" xfId="0" applyNumberFormat="1" applyFont="1" applyFill="1" applyBorder="1" applyAlignment="1">
      <alignment horizontal="center" vertical="center"/>
    </xf>
    <xf numFmtId="171" fontId="6" fillId="8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/>
    <xf numFmtId="0" fontId="6" fillId="0" borderId="0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left"/>
    </xf>
    <xf numFmtId="166" fontId="30" fillId="15" borderId="63" xfId="0" applyNumberFormat="1" applyFont="1" applyFill="1" applyBorder="1" applyAlignment="1">
      <alignment horizontal="center"/>
    </xf>
    <xf numFmtId="0" fontId="4" fillId="0" borderId="8" xfId="0" applyFont="1" applyBorder="1" applyAlignment="1">
      <alignment textRotation="90"/>
    </xf>
    <xf numFmtId="0" fontId="4" fillId="0" borderId="12" xfId="0" applyFont="1" applyBorder="1" applyAlignment="1">
      <alignment textRotation="90"/>
    </xf>
    <xf numFmtId="0" fontId="4" fillId="0" borderId="13" xfId="0" applyFont="1" applyBorder="1" applyAlignment="1">
      <alignment textRotation="90"/>
    </xf>
    <xf numFmtId="2" fontId="4" fillId="0" borderId="58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6" fontId="4" fillId="0" borderId="6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3" fillId="26" borderId="107" xfId="0" applyFont="1" applyFill="1" applyBorder="1" applyAlignment="1">
      <alignment horizontal="center" vertical="center"/>
    </xf>
    <xf numFmtId="0" fontId="43" fillId="26" borderId="108" xfId="0" applyFont="1" applyFill="1" applyBorder="1" applyAlignment="1">
      <alignment horizontal="center" vertical="center"/>
    </xf>
    <xf numFmtId="0" fontId="40" fillId="35" borderId="3" xfId="0" applyFont="1" applyFill="1" applyBorder="1" applyAlignment="1">
      <alignment horizontal="center" vertical="center"/>
    </xf>
    <xf numFmtId="0" fontId="40" fillId="35" borderId="4" xfId="0" applyFont="1" applyFill="1" applyBorder="1" applyAlignment="1">
      <alignment horizontal="center" vertical="center"/>
    </xf>
    <xf numFmtId="0" fontId="4" fillId="29" borderId="143" xfId="0" applyFont="1" applyFill="1" applyBorder="1" applyAlignment="1">
      <alignment horizontal="left"/>
    </xf>
    <xf numFmtId="0" fontId="0" fillId="29" borderId="144" xfId="0" applyFont="1" applyFill="1" applyBorder="1" applyAlignment="1">
      <alignment horizontal="left"/>
    </xf>
    <xf numFmtId="0" fontId="0" fillId="29" borderId="145" xfId="0" applyFont="1" applyFill="1" applyBorder="1" applyAlignment="1">
      <alignment horizontal="left"/>
    </xf>
    <xf numFmtId="0" fontId="4" fillId="8" borderId="8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71" fontId="4" fillId="8" borderId="8" xfId="0" applyNumberFormat="1" applyFont="1" applyFill="1" applyBorder="1" applyAlignment="1">
      <alignment horizontal="center" vertical="center"/>
    </xf>
    <xf numFmtId="171" fontId="4" fillId="8" borderId="12" xfId="0" applyNumberFormat="1" applyFont="1" applyFill="1" applyBorder="1" applyAlignment="1">
      <alignment horizontal="center" vertical="center"/>
    </xf>
    <xf numFmtId="171" fontId="4" fillId="8" borderId="13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left"/>
    </xf>
    <xf numFmtId="0" fontId="0" fillId="0" borderId="32" xfId="0" applyFont="1" applyFill="1" applyBorder="1" applyAlignment="1">
      <alignment horizontal="left"/>
    </xf>
    <xf numFmtId="0" fontId="0" fillId="0" borderId="62" xfId="0" applyBorder="1" applyAlignment="1">
      <alignment horizontal="left"/>
    </xf>
    <xf numFmtId="0" fontId="4" fillId="0" borderId="9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51" xfId="0" applyFont="1" applyFill="1" applyBorder="1" applyAlignment="1">
      <alignment horizontal="left"/>
    </xf>
    <xf numFmtId="0" fontId="4" fillId="32" borderId="143" xfId="0" applyFont="1" applyFill="1" applyBorder="1" applyAlignment="1">
      <alignment horizontal="left"/>
    </xf>
    <xf numFmtId="0" fontId="0" fillId="32" borderId="144" xfId="0" applyFont="1" applyFill="1" applyBorder="1" applyAlignment="1">
      <alignment horizontal="left"/>
    </xf>
    <xf numFmtId="0" fontId="0" fillId="32" borderId="145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32" borderId="55" xfId="0" applyFont="1" applyFill="1" applyBorder="1" applyAlignment="1">
      <alignment horizontal="left"/>
    </xf>
    <xf numFmtId="0" fontId="0" fillId="32" borderId="56" xfId="0" applyFill="1" applyBorder="1" applyAlignment="1">
      <alignment horizontal="left"/>
    </xf>
    <xf numFmtId="0" fontId="0" fillId="32" borderId="112" xfId="0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51" xfId="0" applyFill="1" applyBorder="1" applyAlignment="1">
      <alignment horizontal="left"/>
    </xf>
    <xf numFmtId="0" fontId="6" fillId="0" borderId="15" xfId="0" applyFon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6" fillId="0" borderId="15" xfId="0" applyFont="1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0" fontId="0" fillId="0" borderId="62" xfId="0" applyFill="1" applyBorder="1" applyAlignment="1">
      <alignment horizontal="left"/>
    </xf>
    <xf numFmtId="0" fontId="6" fillId="0" borderId="7" xfId="0" applyFont="1" applyFill="1" applyBorder="1" applyAlignment="1">
      <alignment horizontal="center" vertical="center"/>
    </xf>
    <xf numFmtId="0" fontId="6" fillId="0" borderId="45" xfId="0" applyFont="1" applyFill="1" applyBorder="1" applyAlignment="1">
      <alignment horizontal="center" vertical="center"/>
    </xf>
    <xf numFmtId="0" fontId="40" fillId="0" borderId="9" xfId="0" applyFont="1" applyFill="1" applyBorder="1" applyAlignment="1">
      <alignment horizontal="center" vertical="center"/>
    </xf>
    <xf numFmtId="0" fontId="40" fillId="0" borderId="10" xfId="0" applyFont="1" applyFill="1" applyBorder="1" applyAlignment="1">
      <alignment horizontal="center" vertical="center"/>
    </xf>
    <xf numFmtId="0" fontId="43" fillId="0" borderId="9" xfId="0" applyFont="1" applyFill="1" applyBorder="1" applyAlignment="1">
      <alignment horizontal="center" vertical="center"/>
    </xf>
    <xf numFmtId="0" fontId="43" fillId="0" borderId="10" xfId="0" applyFont="1" applyFill="1" applyBorder="1" applyAlignment="1">
      <alignment horizontal="center" vertical="center"/>
    </xf>
    <xf numFmtId="0" fontId="6" fillId="0" borderId="9" xfId="0" applyFont="1" applyBorder="1" applyAlignment="1"/>
    <xf numFmtId="0" fontId="0" fillId="0" borderId="10" xfId="0" applyBorder="1" applyAlignment="1"/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34" fillId="19" borderId="15" xfId="0" applyFont="1" applyFill="1" applyBorder="1" applyAlignment="1">
      <alignment horizontal="center"/>
    </xf>
    <xf numFmtId="0" fontId="34" fillId="19" borderId="14" xfId="0" applyFont="1" applyFill="1" applyBorder="1" applyAlignment="1">
      <alignment horizontal="center"/>
    </xf>
    <xf numFmtId="0" fontId="34" fillId="19" borderId="55" xfId="0" applyFont="1" applyFill="1" applyBorder="1" applyAlignment="1">
      <alignment horizontal="center"/>
    </xf>
    <xf numFmtId="0" fontId="34" fillId="19" borderId="11" xfId="0" applyFont="1" applyFill="1" applyBorder="1" applyAlignment="1">
      <alignment horizontal="center"/>
    </xf>
    <xf numFmtId="0" fontId="27" fillId="7" borderId="55" xfId="0" applyFont="1" applyFill="1" applyBorder="1" applyAlignment="1">
      <alignment horizontal="center"/>
    </xf>
    <xf numFmtId="0" fontId="27" fillId="7" borderId="11" xfId="0" applyFont="1" applyFill="1" applyBorder="1" applyAlignment="1">
      <alignment horizontal="center"/>
    </xf>
    <xf numFmtId="0" fontId="46" fillId="7" borderId="121" xfId="0" applyFont="1" applyFill="1" applyBorder="1" applyAlignment="1">
      <alignment horizontal="center" vertical="center" wrapText="1"/>
    </xf>
    <xf numFmtId="0" fontId="46" fillId="7" borderId="123" xfId="0" applyFont="1" applyFill="1" applyBorder="1" applyAlignment="1">
      <alignment horizontal="center" vertical="center" wrapText="1"/>
    </xf>
    <xf numFmtId="0" fontId="46" fillId="7" borderId="122" xfId="0" applyFont="1" applyFill="1" applyBorder="1" applyAlignment="1">
      <alignment horizontal="center" vertical="center" wrapText="1"/>
    </xf>
    <xf numFmtId="0" fontId="46" fillId="7" borderId="124" xfId="0" applyFont="1" applyFill="1" applyBorder="1" applyAlignment="1">
      <alignment horizontal="center" vertical="center" wrapText="1"/>
    </xf>
    <xf numFmtId="0" fontId="27" fillId="7" borderId="15" xfId="0" applyFont="1" applyFill="1" applyBorder="1" applyAlignment="1">
      <alignment horizontal="center"/>
    </xf>
    <xf numFmtId="0" fontId="27" fillId="7" borderId="14" xfId="0" applyFont="1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9" fillId="34" borderId="16" xfId="0" applyFont="1" applyFill="1" applyBorder="1" applyAlignment="1">
      <alignment horizontal="center" vertical="center" wrapText="1"/>
    </xf>
    <xf numFmtId="0" fontId="39" fillId="34" borderId="21" xfId="0" applyFont="1" applyFill="1" applyBorder="1" applyAlignment="1">
      <alignment horizontal="center" vertical="center" wrapText="1"/>
    </xf>
    <xf numFmtId="0" fontId="39" fillId="34" borderId="64" xfId="0" applyFont="1" applyFill="1" applyBorder="1" applyAlignment="1">
      <alignment horizontal="center" vertical="center" wrapText="1"/>
    </xf>
    <xf numFmtId="0" fontId="39" fillId="34" borderId="109" xfId="0" applyFont="1" applyFill="1" applyBorder="1" applyAlignment="1">
      <alignment horizontal="center" vertical="center" textRotation="90" wrapText="1"/>
    </xf>
    <xf numFmtId="0" fontId="39" fillId="34" borderId="110" xfId="0" applyFont="1" applyFill="1" applyBorder="1" applyAlignment="1">
      <alignment horizontal="center" vertical="center" textRotation="90" wrapText="1"/>
    </xf>
    <xf numFmtId="0" fontId="39" fillId="34" borderId="111" xfId="0" applyFont="1" applyFill="1" applyBorder="1" applyAlignment="1">
      <alignment horizontal="center" vertical="center" textRotation="90" wrapText="1"/>
    </xf>
    <xf numFmtId="1" fontId="27" fillId="34" borderId="15" xfId="0" applyNumberFormat="1" applyFont="1" applyFill="1" applyBorder="1" applyAlignment="1">
      <alignment horizontal="left" vertical="center"/>
    </xf>
    <xf numFmtId="1" fontId="27" fillId="34" borderId="32" xfId="0" applyNumberFormat="1" applyFont="1" applyFill="1" applyBorder="1" applyAlignment="1">
      <alignment horizontal="left" vertical="center"/>
    </xf>
    <xf numFmtId="0" fontId="27" fillId="34" borderId="15" xfId="0" applyFont="1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/>
    </xf>
    <xf numFmtId="0" fontId="36" fillId="0" borderId="4" xfId="0" applyFont="1" applyBorder="1" applyAlignment="1"/>
    <xf numFmtId="0" fontId="6" fillId="0" borderId="19" xfId="0" applyFont="1" applyFill="1" applyBorder="1" applyAlignment="1">
      <alignment horizontal="center" vertical="center"/>
    </xf>
    <xf numFmtId="1" fontId="53" fillId="25" borderId="134" xfId="0" applyNumberFormat="1" applyFont="1" applyFill="1" applyBorder="1" applyAlignment="1">
      <alignment horizontal="center" textRotation="90"/>
    </xf>
    <xf numFmtId="1" fontId="28" fillId="7" borderId="9" xfId="0" applyNumberFormat="1" applyFont="1" applyFill="1" applyBorder="1" applyAlignment="1">
      <alignment horizontal="left" vertical="center"/>
    </xf>
    <xf numFmtId="1" fontId="28" fillId="7" borderId="0" xfId="0" applyNumberFormat="1" applyFont="1" applyFill="1" applyBorder="1" applyAlignment="1">
      <alignment horizontal="left" vertical="center"/>
    </xf>
    <xf numFmtId="0" fontId="27" fillId="34" borderId="9" xfId="0" applyFont="1" applyFill="1" applyBorder="1" applyAlignment="1">
      <alignment horizontal="center" vertical="center" wrapText="1"/>
    </xf>
    <xf numFmtId="0" fontId="27" fillId="34" borderId="10" xfId="0" applyFont="1" applyFill="1" applyBorder="1" applyAlignment="1">
      <alignment horizontal="center" vertical="center"/>
    </xf>
    <xf numFmtId="1" fontId="27" fillId="34" borderId="9" xfId="0" applyNumberFormat="1" applyFont="1" applyFill="1" applyBorder="1" applyAlignment="1">
      <alignment horizontal="left" vertical="center"/>
    </xf>
    <xf numFmtId="1" fontId="27" fillId="34" borderId="0" xfId="0" applyNumberFormat="1" applyFont="1" applyFill="1" applyBorder="1" applyAlignment="1">
      <alignment horizontal="left" vertical="center"/>
    </xf>
    <xf numFmtId="0" fontId="27" fillId="34" borderId="9" xfId="0" applyFont="1" applyFill="1" applyBorder="1" applyAlignment="1">
      <alignment horizontal="center" vertical="center"/>
    </xf>
    <xf numFmtId="0" fontId="47" fillId="0" borderId="125" xfId="0" applyFont="1" applyBorder="1" applyAlignment="1">
      <alignment horizontal="center" vertical="center" wrapText="1"/>
    </xf>
    <xf numFmtId="0" fontId="47" fillId="0" borderId="125" xfId="0" applyFont="1" applyBorder="1" applyAlignment="1">
      <alignment horizontal="center" vertical="center"/>
    </xf>
    <xf numFmtId="1" fontId="4" fillId="6" borderId="9" xfId="0" applyNumberFormat="1" applyFont="1" applyFill="1" applyBorder="1" applyAlignment="1">
      <alignment horizontal="left" vertical="center"/>
    </xf>
    <xf numFmtId="1" fontId="4" fillId="6" borderId="0" xfId="0" applyNumberFormat="1" applyFont="1" applyFill="1" applyBorder="1" applyAlignment="1">
      <alignment horizontal="left" vertical="center"/>
    </xf>
    <xf numFmtId="1" fontId="4" fillId="6" borderId="55" xfId="0" applyNumberFormat="1" applyFont="1" applyFill="1" applyBorder="1" applyAlignment="1">
      <alignment horizontal="left" vertical="center"/>
    </xf>
    <xf numFmtId="1" fontId="4" fillId="6" borderId="56" xfId="0" applyNumberFormat="1" applyFont="1" applyFill="1" applyBorder="1" applyAlignment="1">
      <alignment horizontal="left" vertical="center"/>
    </xf>
    <xf numFmtId="1" fontId="27" fillId="34" borderId="55" xfId="0" applyNumberFormat="1" applyFont="1" applyFill="1" applyBorder="1" applyAlignment="1">
      <alignment horizontal="left" vertical="center"/>
    </xf>
    <xf numFmtId="1" fontId="27" fillId="34" borderId="56" xfId="0" applyNumberFormat="1" applyFont="1" applyFill="1" applyBorder="1" applyAlignment="1">
      <alignment horizontal="left" vertical="center"/>
    </xf>
    <xf numFmtId="0" fontId="27" fillId="34" borderId="55" xfId="0" applyFont="1" applyFill="1" applyBorder="1" applyAlignment="1">
      <alignment horizontal="center" vertical="center"/>
    </xf>
    <xf numFmtId="0" fontId="27" fillId="34" borderId="1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27" fillId="16" borderId="15" xfId="0" applyFont="1" applyFill="1" applyBorder="1" applyAlignment="1">
      <alignment horizontal="center" vertical="center"/>
    </xf>
    <xf numFmtId="0" fontId="27" fillId="16" borderId="32" xfId="0" applyFont="1" applyFill="1" applyBorder="1" applyAlignment="1">
      <alignment horizontal="center" vertical="center"/>
    </xf>
    <xf numFmtId="0" fontId="27" fillId="16" borderId="62" xfId="0" applyFont="1" applyFill="1" applyBorder="1" applyAlignment="1">
      <alignment horizontal="center" vertical="center"/>
    </xf>
    <xf numFmtId="0" fontId="4" fillId="15" borderId="15" xfId="0" applyFont="1" applyFill="1" applyBorder="1" applyAlignment="1">
      <alignment horizontal="left" vertical="center"/>
    </xf>
    <xf numFmtId="0" fontId="4" fillId="15" borderId="14" xfId="0" applyFont="1" applyFill="1" applyBorder="1" applyAlignment="1">
      <alignment horizontal="left" vertical="center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center" textRotation="90" wrapText="1"/>
    </xf>
    <xf numFmtId="0" fontId="17" fillId="6" borderId="12" xfId="0" applyFont="1" applyFill="1" applyBorder="1" applyAlignment="1">
      <alignment horizontal="center" vertical="center" textRotation="90" wrapText="1"/>
    </xf>
    <xf numFmtId="0" fontId="17" fillId="6" borderId="13" xfId="0" applyFont="1" applyFill="1" applyBorder="1" applyAlignment="1">
      <alignment horizontal="center" vertical="center" textRotation="90" wrapText="1"/>
    </xf>
    <xf numFmtId="1" fontId="4" fillId="6" borderId="15" xfId="0" applyNumberFormat="1" applyFont="1" applyFill="1" applyBorder="1" applyAlignment="1">
      <alignment horizontal="left" vertical="center"/>
    </xf>
    <xf numFmtId="1" fontId="4" fillId="6" borderId="32" xfId="0" applyNumberFormat="1" applyFont="1" applyFill="1" applyBorder="1" applyAlignment="1">
      <alignment horizontal="left" vertical="center"/>
    </xf>
    <xf numFmtId="0" fontId="4" fillId="6" borderId="32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0" fontId="4" fillId="6" borderId="56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40" fillId="0" borderId="8" xfId="0" applyNumberFormat="1" applyFont="1" applyBorder="1" applyAlignment="1">
      <alignment horizontal="left" vertical="center" textRotation="90" wrapText="1"/>
    </xf>
    <xf numFmtId="0" fontId="40" fillId="0" borderId="12" xfId="0" applyNumberFormat="1" applyFont="1" applyBorder="1" applyAlignment="1">
      <alignment horizontal="left" vertical="center" textRotation="90" wrapText="1"/>
    </xf>
    <xf numFmtId="0" fontId="40" fillId="0" borderId="13" xfId="0" applyNumberFormat="1" applyFont="1" applyBorder="1" applyAlignment="1">
      <alignment horizontal="left" vertical="center" textRotation="90" wrapText="1"/>
    </xf>
    <xf numFmtId="2" fontId="17" fillId="0" borderId="0" xfId="0" applyNumberFormat="1" applyFont="1" applyBorder="1" applyAlignment="1">
      <alignment horizontal="right"/>
    </xf>
    <xf numFmtId="0" fontId="9" fillId="0" borderId="0" xfId="0" applyFont="1" applyAlignment="1">
      <alignment horizontal="right"/>
    </xf>
    <xf numFmtId="164" fontId="6" fillId="0" borderId="0" xfId="0" applyNumberFormat="1" applyFont="1" applyBorder="1" applyAlignment="1"/>
    <xf numFmtId="0" fontId="0" fillId="0" borderId="0" xfId="0" applyAlignment="1"/>
    <xf numFmtId="1" fontId="4" fillId="0" borderId="3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 vertical="center" wrapText="1"/>
    </xf>
    <xf numFmtId="0" fontId="4" fillId="0" borderId="55" xfId="0" applyFont="1" applyBorder="1" applyAlignment="1">
      <alignment horizontal="center" vertical="center" wrapText="1"/>
    </xf>
    <xf numFmtId="0" fontId="4" fillId="0" borderId="5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1" fontId="4" fillId="0" borderId="8" xfId="0" applyNumberFormat="1" applyFont="1" applyBorder="1" applyAlignment="1">
      <alignment horizontal="center" vertical="center" wrapText="1"/>
    </xf>
    <xf numFmtId="1" fontId="4" fillId="0" borderId="12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3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1" fontId="53" fillId="6" borderId="134" xfId="0" applyNumberFormat="1" applyFont="1" applyFill="1" applyBorder="1" applyAlignment="1">
      <alignment horizontal="center" vertical="center" textRotation="90"/>
    </xf>
    <xf numFmtId="0" fontId="0" fillId="6" borderId="134" xfId="0" applyFill="1" applyBorder="1" applyAlignment="1">
      <alignment vertical="center"/>
    </xf>
    <xf numFmtId="164" fontId="4" fillId="6" borderId="9" xfId="0" applyNumberFormat="1" applyFont="1" applyFill="1" applyBorder="1" applyAlignment="1">
      <alignment horizontal="left" vertical="center"/>
    </xf>
    <xf numFmtId="164" fontId="4" fillId="6" borderId="51" xfId="0" applyNumberFormat="1" applyFont="1" applyFill="1" applyBorder="1" applyAlignment="1">
      <alignment horizontal="left" vertical="center"/>
    </xf>
    <xf numFmtId="164" fontId="27" fillId="7" borderId="9" xfId="0" applyNumberFormat="1" applyFont="1" applyFill="1" applyBorder="1" applyAlignment="1">
      <alignment horizontal="left" vertical="center"/>
    </xf>
    <xf numFmtId="164" fontId="27" fillId="7" borderId="51" xfId="0" applyNumberFormat="1" applyFont="1" applyFill="1" applyBorder="1" applyAlignment="1">
      <alignment horizontal="left" vertical="center"/>
    </xf>
    <xf numFmtId="0" fontId="34" fillId="6" borderId="15" xfId="0" applyFont="1" applyFill="1" applyBorder="1" applyAlignment="1">
      <alignment horizontal="center" vertical="center" wrapText="1"/>
    </xf>
    <xf numFmtId="0" fontId="34" fillId="6" borderId="14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7" fillId="0" borderId="15" xfId="0" applyFont="1" applyFill="1" applyBorder="1" applyAlignment="1">
      <alignment horizontal="center" vertical="center"/>
    </xf>
    <xf numFmtId="0" fontId="27" fillId="0" borderId="14" xfId="0" applyFont="1" applyFill="1" applyBorder="1" applyAlignment="1">
      <alignment horizontal="center" vertical="center"/>
    </xf>
    <xf numFmtId="171" fontId="6" fillId="8" borderId="10" xfId="0" applyNumberFormat="1" applyFont="1" applyFill="1" applyBorder="1" applyAlignment="1">
      <alignment horizontal="center" vertical="center"/>
    </xf>
    <xf numFmtId="171" fontId="6" fillId="8" borderId="11" xfId="0" applyNumberFormat="1" applyFont="1" applyFill="1" applyBorder="1" applyAlignment="1">
      <alignment horizontal="center" vertical="center"/>
    </xf>
    <xf numFmtId="164" fontId="4" fillId="6" borderId="15" xfId="0" applyNumberFormat="1" applyFont="1" applyFill="1" applyBorder="1" applyAlignment="1">
      <alignment horizontal="left"/>
    </xf>
    <xf numFmtId="164" fontId="4" fillId="6" borderId="32" xfId="0" applyNumberFormat="1" applyFont="1" applyFill="1" applyBorder="1" applyAlignment="1">
      <alignment horizontal="left"/>
    </xf>
    <xf numFmtId="164" fontId="4" fillId="6" borderId="62" xfId="0" applyNumberFormat="1" applyFont="1" applyFill="1" applyBorder="1" applyAlignment="1">
      <alignment horizontal="left"/>
    </xf>
    <xf numFmtId="164" fontId="4" fillId="6" borderId="55" xfId="0" applyNumberFormat="1" applyFont="1" applyFill="1" applyBorder="1" applyAlignment="1">
      <alignment horizontal="left"/>
    </xf>
    <xf numFmtId="164" fontId="4" fillId="6" borderId="56" xfId="0" applyNumberFormat="1" applyFont="1" applyFill="1" applyBorder="1" applyAlignment="1">
      <alignment horizontal="left"/>
    </xf>
    <xf numFmtId="164" fontId="4" fillId="6" borderId="112" xfId="0" applyNumberFormat="1" applyFont="1" applyFill="1" applyBorder="1" applyAlignment="1">
      <alignment horizontal="left"/>
    </xf>
    <xf numFmtId="0" fontId="27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textRotation="90" wrapText="1"/>
    </xf>
    <xf numFmtId="0" fontId="0" fillId="0" borderId="135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27" fillId="7" borderId="141" xfId="0" applyFont="1" applyFill="1" applyBorder="1" applyAlignment="1">
      <alignment horizontal="center" vertical="center" wrapText="1"/>
    </xf>
    <xf numFmtId="0" fontId="27" fillId="7" borderId="129" xfId="0" applyFont="1" applyFill="1" applyBorder="1" applyAlignment="1">
      <alignment horizontal="center" vertical="center" wrapText="1"/>
    </xf>
    <xf numFmtId="0" fontId="27" fillId="7" borderId="130" xfId="0" applyFont="1" applyFill="1" applyBorder="1" applyAlignment="1">
      <alignment horizontal="center" vertical="center" wrapText="1"/>
    </xf>
    <xf numFmtId="0" fontId="1" fillId="6" borderId="54" xfId="0" applyFont="1" applyFill="1" applyBorder="1" applyAlignment="1">
      <alignment horizontal="center" vertical="center" textRotation="90" wrapText="1"/>
    </xf>
    <xf numFmtId="0" fontId="1" fillId="6" borderId="5" xfId="0" applyFont="1" applyFill="1" applyBorder="1" applyAlignment="1">
      <alignment horizontal="center" vertical="center" textRotation="90" wrapText="1"/>
    </xf>
    <xf numFmtId="0" fontId="1" fillId="6" borderId="131" xfId="0" applyFont="1" applyFill="1" applyBorder="1" applyAlignment="1">
      <alignment horizontal="center" vertical="center" textRotation="90" wrapText="1"/>
    </xf>
    <xf numFmtId="164" fontId="4" fillId="6" borderId="128" xfId="0" applyNumberFormat="1" applyFont="1" applyFill="1" applyBorder="1" applyAlignment="1">
      <alignment horizontal="left" vertical="center"/>
    </xf>
    <xf numFmtId="164" fontId="4" fillId="6" borderId="140" xfId="0" applyNumberFormat="1" applyFont="1" applyFill="1" applyBorder="1" applyAlignment="1">
      <alignment horizontal="left" vertical="center"/>
    </xf>
    <xf numFmtId="0" fontId="4" fillId="6" borderId="55" xfId="0" applyFont="1" applyFill="1" applyBorder="1" applyAlignment="1">
      <alignment horizontal="center" vertical="center" wrapText="1"/>
    </xf>
    <xf numFmtId="164" fontId="27" fillId="0" borderId="0" xfId="0" applyNumberFormat="1" applyFont="1" applyFill="1" applyBorder="1" applyAlignment="1">
      <alignment horizontal="left" vertical="center"/>
    </xf>
    <xf numFmtId="0" fontId="27" fillId="7" borderId="3" xfId="0" applyFont="1" applyFill="1" applyBorder="1" applyAlignment="1">
      <alignment horizontal="center"/>
    </xf>
    <xf numFmtId="0" fontId="27" fillId="7" borderId="61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 vertical="center" wrapText="1"/>
    </xf>
    <xf numFmtId="0" fontId="27" fillId="7" borderId="12" xfId="0" applyFont="1" applyFill="1" applyBorder="1" applyAlignment="1">
      <alignment horizontal="center" vertical="center" wrapText="1"/>
    </xf>
    <xf numFmtId="0" fontId="27" fillId="7" borderId="13" xfId="0" applyFont="1" applyFill="1" applyBorder="1" applyAlignment="1">
      <alignment horizontal="center" vertical="center" wrapText="1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46" xfId="0" applyFont="1" applyFill="1" applyBorder="1" applyAlignment="1">
      <alignment horizontal="center" vertical="center" wrapText="1"/>
    </xf>
    <xf numFmtId="0" fontId="27" fillId="15" borderId="61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6" fillId="32" borderId="47" xfId="0" applyFont="1" applyFill="1" applyBorder="1" applyAlignment="1">
      <alignment horizontal="center" vertical="center"/>
    </xf>
    <xf numFmtId="0" fontId="15" fillId="9" borderId="3" xfId="3" applyFont="1" applyFill="1" applyBorder="1" applyAlignment="1">
      <alignment horizontal="center" vertical="center"/>
    </xf>
    <xf numFmtId="0" fontId="15" fillId="9" borderId="46" xfId="3" applyFont="1" applyFill="1" applyBorder="1" applyAlignment="1">
      <alignment horizontal="center" vertical="center"/>
    </xf>
    <xf numFmtId="0" fontId="15" fillId="9" borderId="4" xfId="3" applyFont="1" applyFill="1" applyBorder="1" applyAlignment="1">
      <alignment horizontal="center" vertical="center"/>
    </xf>
    <xf numFmtId="2" fontId="22" fillId="0" borderId="64" xfId="2" applyNumberFormat="1" applyFont="1" applyBorder="1" applyAlignment="1">
      <alignment horizontal="center"/>
    </xf>
    <xf numFmtId="2" fontId="22" fillId="0" borderId="65" xfId="2" applyNumberFormat="1" applyFont="1" applyBorder="1" applyAlignment="1">
      <alignment horizontal="center"/>
    </xf>
    <xf numFmtId="2" fontId="22" fillId="0" borderId="26" xfId="2" applyNumberFormat="1" applyFont="1" applyBorder="1" applyAlignment="1">
      <alignment horizontal="center"/>
    </xf>
    <xf numFmtId="0" fontId="23" fillId="0" borderId="25" xfId="2" applyFont="1" applyBorder="1" applyAlignment="1"/>
    <xf numFmtId="0" fontId="23" fillId="0" borderId="65" xfId="2" applyFont="1" applyBorder="1" applyAlignment="1"/>
    <xf numFmtId="0" fontId="23" fillId="0" borderId="28" xfId="2" applyFont="1" applyBorder="1" applyAlignment="1"/>
    <xf numFmtId="2" fontId="24" fillId="0" borderId="17" xfId="2" applyNumberFormat="1" applyFont="1" applyFill="1" applyBorder="1" applyAlignment="1" applyProtection="1">
      <alignment horizontal="center"/>
      <protection locked="0"/>
    </xf>
    <xf numFmtId="2" fontId="24" fillId="0" borderId="29" xfId="2" applyNumberFormat="1" applyFont="1" applyFill="1" applyBorder="1" applyAlignment="1" applyProtection="1">
      <alignment horizontal="center"/>
      <protection locked="0"/>
    </xf>
    <xf numFmtId="2" fontId="24" fillId="0" borderId="18" xfId="2" applyNumberFormat="1" applyFont="1" applyFill="1" applyBorder="1" applyAlignment="1" applyProtection="1">
      <alignment horizontal="center"/>
      <protection locked="0"/>
    </xf>
    <xf numFmtId="0" fontId="25" fillId="0" borderId="17" xfId="2" applyFont="1" applyBorder="1" applyAlignment="1"/>
    <xf numFmtId="0" fontId="25" fillId="0" borderId="29" xfId="2" applyFont="1" applyBorder="1" applyAlignment="1"/>
    <xf numFmtId="0" fontId="25" fillId="0" borderId="18" xfId="2" applyFont="1" applyBorder="1" applyAlignment="1"/>
    <xf numFmtId="2" fontId="24" fillId="0" borderId="5" xfId="2" applyNumberFormat="1" applyFont="1" applyBorder="1" applyAlignment="1">
      <alignment horizontal="center"/>
    </xf>
    <xf numFmtId="2" fontId="24" fillId="0" borderId="30" xfId="2" applyNumberFormat="1" applyFont="1" applyBorder="1" applyAlignment="1">
      <alignment horizontal="center"/>
    </xf>
    <xf numFmtId="2" fontId="24" fillId="0" borderId="6" xfId="2" applyNumberFormat="1" applyFont="1" applyBorder="1" applyAlignment="1">
      <alignment horizontal="center"/>
    </xf>
    <xf numFmtId="0" fontId="25" fillId="0" borderId="5" xfId="2" applyFont="1" applyBorder="1" applyAlignment="1"/>
    <xf numFmtId="0" fontId="25" fillId="0" borderId="30" xfId="2" applyFont="1" applyBorder="1" applyAlignment="1"/>
    <xf numFmtId="0" fontId="25" fillId="0" borderId="6" xfId="2" applyFont="1" applyBorder="1" applyAlignment="1"/>
    <xf numFmtId="2" fontId="24" fillId="0" borderId="16" xfId="2" applyNumberFormat="1" applyFont="1" applyBorder="1" applyAlignment="1">
      <alignment horizontal="center"/>
    </xf>
    <xf numFmtId="2" fontId="24" fillId="0" borderId="29" xfId="2" applyNumberFormat="1" applyFont="1" applyBorder="1" applyAlignment="1">
      <alignment horizontal="center"/>
    </xf>
    <xf numFmtId="2" fontId="24" fillId="0" borderId="18" xfId="2" applyNumberFormat="1" applyFont="1" applyBorder="1" applyAlignment="1">
      <alignment horizontal="center"/>
    </xf>
    <xf numFmtId="0" fontId="18" fillId="0" borderId="17" xfId="2" applyFont="1" applyBorder="1" applyAlignment="1"/>
    <xf numFmtId="0" fontId="18" fillId="0" borderId="29" xfId="2" applyFont="1" applyBorder="1" applyAlignment="1"/>
    <xf numFmtId="0" fontId="18" fillId="0" borderId="20" xfId="2" applyFont="1" applyBorder="1" applyAlignment="1"/>
    <xf numFmtId="4" fontId="24" fillId="0" borderId="21" xfId="2" applyNumberFormat="1" applyFont="1" applyBorder="1" applyAlignment="1">
      <alignment horizontal="center"/>
    </xf>
    <xf numFmtId="4" fontId="24" fillId="0" borderId="30" xfId="2" applyNumberFormat="1" applyFont="1" applyBorder="1" applyAlignment="1">
      <alignment horizontal="center"/>
    </xf>
    <xf numFmtId="4" fontId="24" fillId="0" borderId="6" xfId="2" applyNumberFormat="1" applyFont="1" applyBorder="1" applyAlignment="1">
      <alignment horizontal="center"/>
    </xf>
    <xf numFmtId="0" fontId="18" fillId="0" borderId="5" xfId="2" applyFont="1" applyBorder="1" applyAlignment="1"/>
    <xf numFmtId="0" fontId="18" fillId="0" borderId="30" xfId="2" applyFont="1" applyBorder="1" applyAlignment="1"/>
    <xf numFmtId="0" fontId="18" fillId="0" borderId="22" xfId="2" applyFont="1" applyBorder="1" applyAlignment="1"/>
    <xf numFmtId="2" fontId="24" fillId="0" borderId="21" xfId="2" applyNumberFormat="1" applyFont="1" applyBorder="1" applyAlignment="1">
      <alignment horizontal="center"/>
    </xf>
    <xf numFmtId="0" fontId="49" fillId="6" borderId="126" xfId="0" applyFont="1" applyFill="1" applyBorder="1" applyAlignment="1">
      <alignment horizontal="center" vertical="center" wrapText="1"/>
    </xf>
    <xf numFmtId="0" fontId="49" fillId="6" borderId="127" xfId="0" applyFont="1" applyFill="1" applyBorder="1" applyAlignment="1">
      <alignment horizontal="center" vertical="center" wrapText="1"/>
    </xf>
    <xf numFmtId="0" fontId="49" fillId="6" borderId="43" xfId="0" applyFont="1" applyFill="1" applyBorder="1" applyAlignment="1">
      <alignment horizontal="center" vertical="center" wrapText="1"/>
    </xf>
    <xf numFmtId="0" fontId="49" fillId="6" borderId="9" xfId="0" applyFont="1" applyFill="1" applyBorder="1" applyAlignment="1">
      <alignment horizontal="center" vertical="center" wrapText="1"/>
    </xf>
    <xf numFmtId="0" fontId="49" fillId="6" borderId="0" xfId="0" applyFont="1" applyFill="1" applyBorder="1" applyAlignment="1">
      <alignment horizontal="center" vertical="center" wrapText="1"/>
    </xf>
    <xf numFmtId="0" fontId="49" fillId="6" borderId="38" xfId="0" applyFont="1" applyFill="1" applyBorder="1" applyAlignment="1">
      <alignment horizontal="center" vertical="center" wrapText="1"/>
    </xf>
    <xf numFmtId="0" fontId="55" fillId="6" borderId="15" xfId="0" applyFont="1" applyFill="1" applyBorder="1" applyAlignment="1">
      <alignment horizontal="center" vertical="center"/>
    </xf>
    <xf numFmtId="0" fontId="55" fillId="6" borderId="32" xfId="0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5" fillId="6" borderId="9" xfId="0" applyFont="1" applyFill="1" applyBorder="1" applyAlignment="1">
      <alignment horizontal="center" vertical="center"/>
    </xf>
    <xf numFmtId="0" fontId="55" fillId="6" borderId="0" xfId="0" applyFont="1" applyFill="1" applyBorder="1" applyAlignment="1">
      <alignment horizontal="center" vertical="center"/>
    </xf>
    <xf numFmtId="0" fontId="55" fillId="6" borderId="10" xfId="0" applyFont="1" applyFill="1" applyBorder="1" applyAlignment="1">
      <alignment horizontal="center" vertical="center"/>
    </xf>
    <xf numFmtId="0" fontId="49" fillId="6" borderId="15" xfId="0" applyFont="1" applyFill="1" applyBorder="1" applyAlignment="1">
      <alignment horizontal="center" vertical="center" wrapText="1"/>
    </xf>
    <xf numFmtId="0" fontId="49" fillId="6" borderId="32" xfId="0" applyFont="1" applyFill="1" applyBorder="1" applyAlignment="1">
      <alignment horizontal="center" vertical="center" wrapText="1"/>
    </xf>
    <xf numFmtId="0" fontId="49" fillId="6" borderId="14" xfId="0" applyFont="1" applyFill="1" applyBorder="1" applyAlignment="1">
      <alignment horizontal="center" vertical="center" wrapText="1"/>
    </xf>
    <xf numFmtId="0" fontId="49" fillId="6" borderId="10" xfId="0" applyFont="1" applyFill="1" applyBorder="1" applyAlignment="1">
      <alignment horizontal="center" vertical="center" wrapText="1"/>
    </xf>
    <xf numFmtId="0" fontId="0" fillId="0" borderId="58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59" xfId="0" applyFont="1" applyBorder="1" applyAlignment="1">
      <alignment horizontal="center" vertical="center" wrapText="1"/>
    </xf>
    <xf numFmtId="0" fontId="49" fillId="6" borderId="15" xfId="0" applyFont="1" applyFill="1" applyBorder="1" applyAlignment="1">
      <alignment horizontal="center"/>
    </xf>
    <xf numFmtId="0" fontId="49" fillId="6" borderId="32" xfId="0" applyFont="1" applyFill="1" applyBorder="1" applyAlignment="1">
      <alignment horizontal="center"/>
    </xf>
    <xf numFmtId="0" fontId="49" fillId="6" borderId="14" xfId="0" applyFont="1" applyFill="1" applyBorder="1" applyAlignment="1">
      <alignment horizontal="center"/>
    </xf>
    <xf numFmtId="0" fontId="49" fillId="6" borderId="55" xfId="0" applyFont="1" applyFill="1" applyBorder="1" applyAlignment="1">
      <alignment horizontal="center"/>
    </xf>
    <xf numFmtId="0" fontId="49" fillId="6" borderId="56" xfId="0" applyFont="1" applyFill="1" applyBorder="1" applyAlignment="1">
      <alignment horizontal="center"/>
    </xf>
    <xf numFmtId="0" fontId="49" fillId="6" borderId="11" xfId="0" applyFont="1" applyFill="1" applyBorder="1" applyAlignment="1">
      <alignment horizontal="center"/>
    </xf>
    <xf numFmtId="4" fontId="0" fillId="0" borderId="8" xfId="0" applyNumberFormat="1" applyFont="1" applyFill="1" applyBorder="1" applyAlignment="1">
      <alignment horizontal="center" vertical="center" wrapText="1"/>
    </xf>
    <xf numFmtId="4" fontId="0" fillId="0" borderId="12" xfId="0" applyNumberFormat="1" applyFont="1" applyFill="1" applyBorder="1" applyAlignment="1">
      <alignment horizontal="center" vertical="center" wrapText="1"/>
    </xf>
    <xf numFmtId="4" fontId="0" fillId="0" borderId="13" xfId="0" applyNumberFormat="1" applyFont="1" applyFill="1" applyBorder="1" applyAlignment="1">
      <alignment horizontal="center" vertical="center" wrapText="1"/>
    </xf>
    <xf numFmtId="4" fontId="41" fillId="0" borderId="47" xfId="0" applyNumberFormat="1" applyFont="1" applyFill="1" applyBorder="1" applyAlignment="1">
      <alignment horizontal="center" vertical="center" wrapText="1"/>
    </xf>
    <xf numFmtId="4" fontId="41" fillId="0" borderId="2" xfId="0" applyNumberFormat="1" applyFont="1" applyFill="1" applyBorder="1" applyAlignment="1">
      <alignment horizontal="center" vertical="center" wrapText="1"/>
    </xf>
    <xf numFmtId="4" fontId="41" fillId="0" borderId="45" xfId="0" applyNumberFormat="1" applyFont="1" applyFill="1" applyBorder="1" applyAlignment="1">
      <alignment horizontal="center" vertical="center" wrapText="1"/>
    </xf>
    <xf numFmtId="0" fontId="4" fillId="27" borderId="3" xfId="0" applyFont="1" applyFill="1" applyBorder="1" applyAlignment="1">
      <alignment horizontal="center" vertical="center"/>
    </xf>
    <xf numFmtId="0" fontId="4" fillId="27" borderId="4" xfId="0" applyFont="1" applyFill="1" applyBorder="1" applyAlignment="1">
      <alignment horizontal="center" vertical="center"/>
    </xf>
    <xf numFmtId="166" fontId="30" fillId="15" borderId="63" xfId="0" applyNumberFormat="1" applyFont="1" applyFill="1" applyBorder="1" applyAlignment="1">
      <alignment horizontal="center"/>
    </xf>
    <xf numFmtId="166" fontId="30" fillId="15" borderId="46" xfId="0" applyNumberFormat="1" applyFont="1" applyFill="1" applyBorder="1" applyAlignment="1">
      <alignment horizontal="center"/>
    </xf>
    <xf numFmtId="166" fontId="30" fillId="15" borderId="4" xfId="0" applyNumberFormat="1" applyFont="1" applyFill="1" applyBorder="1" applyAlignment="1">
      <alignment horizontal="center"/>
    </xf>
    <xf numFmtId="0" fontId="1" fillId="27" borderId="3" xfId="0" applyFont="1" applyFill="1" applyBorder="1" applyAlignment="1">
      <alignment horizontal="center" vertical="center"/>
    </xf>
    <xf numFmtId="0" fontId="1" fillId="27" borderId="46" xfId="0" applyFont="1" applyFill="1" applyBorder="1" applyAlignment="1">
      <alignment horizontal="center" vertical="center"/>
    </xf>
    <xf numFmtId="0" fontId="1" fillId="27" borderId="61" xfId="0" applyFont="1" applyFill="1" applyBorder="1" applyAlignment="1">
      <alignment horizontal="center" vertical="center"/>
    </xf>
    <xf numFmtId="2" fontId="1" fillId="6" borderId="63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2" fontId="1" fillId="6" borderId="4" xfId="0" applyNumberFormat="1" applyFont="1" applyFill="1" applyBorder="1" applyAlignment="1">
      <alignment horizontal="center"/>
    </xf>
    <xf numFmtId="164" fontId="4" fillId="6" borderId="3" xfId="0" applyNumberFormat="1" applyFont="1" applyFill="1" applyBorder="1" applyAlignment="1">
      <alignment horizontal="left"/>
    </xf>
    <xf numFmtId="164" fontId="4" fillId="6" borderId="46" xfId="0" applyNumberFormat="1" applyFont="1" applyFill="1" applyBorder="1" applyAlignment="1">
      <alignment horizontal="left"/>
    </xf>
    <xf numFmtId="164" fontId="4" fillId="6" borderId="61" xfId="0" applyNumberFormat="1" applyFont="1" applyFill="1" applyBorder="1" applyAlignment="1">
      <alignment horizontal="left"/>
    </xf>
    <xf numFmtId="0" fontId="4" fillId="5" borderId="0" xfId="0" applyFont="1" applyFill="1" applyBorder="1" applyAlignment="1">
      <alignment horizontal="center"/>
    </xf>
    <xf numFmtId="164" fontId="27" fillId="7" borderId="0" xfId="0" applyNumberFormat="1" applyFont="1" applyFill="1" applyBorder="1" applyAlignment="1">
      <alignment horizontal="left"/>
    </xf>
    <xf numFmtId="164" fontId="4" fillId="6" borderId="0" xfId="0" applyNumberFormat="1" applyFont="1" applyFill="1" applyBorder="1" applyAlignment="1">
      <alignment horizontal="left"/>
    </xf>
    <xf numFmtId="0" fontId="28" fillId="0" borderId="9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164" fontId="4" fillId="6" borderId="114" xfId="0" applyNumberFormat="1" applyFont="1" applyFill="1" applyBorder="1" applyAlignment="1">
      <alignment horizontal="left" vertical="center"/>
    </xf>
    <xf numFmtId="164" fontId="4" fillId="6" borderId="58" xfId="0" applyNumberFormat="1" applyFont="1" applyFill="1" applyBorder="1" applyAlignment="1">
      <alignment horizontal="left" vertical="center"/>
    </xf>
    <xf numFmtId="164" fontId="4" fillId="6" borderId="115" xfId="0" applyNumberFormat="1" applyFont="1" applyFill="1" applyBorder="1" applyAlignment="1">
      <alignment horizontal="left" vertical="center"/>
    </xf>
    <xf numFmtId="164" fontId="4" fillId="6" borderId="2" xfId="0" applyNumberFormat="1" applyFont="1" applyFill="1" applyBorder="1" applyAlignment="1">
      <alignment horizontal="left" vertical="center"/>
    </xf>
    <xf numFmtId="1" fontId="27" fillId="16" borderId="55" xfId="0" applyNumberFormat="1" applyFont="1" applyFill="1" applyBorder="1" applyAlignment="1">
      <alignment horizontal="left" vertical="center"/>
    </xf>
    <xf numFmtId="1" fontId="27" fillId="16" borderId="56" xfId="0" applyNumberFormat="1" applyFont="1" applyFill="1" applyBorder="1" applyAlignment="1">
      <alignment horizontal="left" vertical="center"/>
    </xf>
    <xf numFmtId="0" fontId="27" fillId="16" borderId="56" xfId="0" applyFont="1" applyFill="1" applyBorder="1" applyAlignment="1">
      <alignment horizontal="center" vertical="center"/>
    </xf>
    <xf numFmtId="0" fontId="27" fillId="16" borderId="11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 vertical="center"/>
    </xf>
    <xf numFmtId="0" fontId="4" fillId="14" borderId="61" xfId="0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39" fillId="16" borderId="16" xfId="0" applyFont="1" applyFill="1" applyBorder="1" applyAlignment="1">
      <alignment horizontal="center" vertical="center" wrapText="1"/>
    </xf>
    <xf numFmtId="0" fontId="39" fillId="16" borderId="21" xfId="0" applyFont="1" applyFill="1" applyBorder="1" applyAlignment="1">
      <alignment horizontal="center" vertical="center" wrapText="1"/>
    </xf>
    <xf numFmtId="0" fontId="39" fillId="16" borderId="64" xfId="0" applyFont="1" applyFill="1" applyBorder="1" applyAlignment="1">
      <alignment horizontal="center" vertical="center" wrapText="1"/>
    </xf>
    <xf numFmtId="0" fontId="39" fillId="16" borderId="109" xfId="0" applyFont="1" applyFill="1" applyBorder="1" applyAlignment="1">
      <alignment horizontal="center" vertical="center" textRotation="90" wrapText="1"/>
    </xf>
    <xf numFmtId="0" fontId="39" fillId="16" borderId="110" xfId="0" applyFont="1" applyFill="1" applyBorder="1" applyAlignment="1">
      <alignment horizontal="center" vertical="center" textRotation="90" wrapText="1"/>
    </xf>
    <xf numFmtId="0" fontId="39" fillId="16" borderId="111" xfId="0" applyFont="1" applyFill="1" applyBorder="1" applyAlignment="1">
      <alignment horizontal="center" vertical="center" textRotation="90" wrapText="1"/>
    </xf>
    <xf numFmtId="1" fontId="27" fillId="16" borderId="15" xfId="0" applyNumberFormat="1" applyFont="1" applyFill="1" applyBorder="1" applyAlignment="1">
      <alignment horizontal="left" vertical="center"/>
    </xf>
    <xf numFmtId="1" fontId="27" fillId="16" borderId="32" xfId="0" applyNumberFormat="1" applyFont="1" applyFill="1" applyBorder="1" applyAlignment="1">
      <alignment horizontal="left" vertical="center"/>
    </xf>
    <xf numFmtId="0" fontId="27" fillId="16" borderId="14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 wrapText="1"/>
    </xf>
    <xf numFmtId="0" fontId="27" fillId="16" borderId="10" xfId="0" applyFont="1" applyFill="1" applyBorder="1" applyAlignment="1">
      <alignment horizontal="center" vertical="center"/>
    </xf>
    <xf numFmtId="0" fontId="1" fillId="31" borderId="107" xfId="0" applyFont="1" applyFill="1" applyBorder="1" applyAlignment="1">
      <alignment horizontal="center" vertical="center"/>
    </xf>
    <xf numFmtId="0" fontId="1" fillId="31" borderId="108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/>
    </xf>
    <xf numFmtId="0" fontId="1" fillId="28" borderId="4" xfId="0" applyFont="1" applyFill="1" applyBorder="1" applyAlignment="1">
      <alignment horizontal="center"/>
    </xf>
    <xf numFmtId="0" fontId="39" fillId="7" borderId="15" xfId="0" applyFont="1" applyFill="1" applyBorder="1" applyAlignment="1">
      <alignment horizontal="center" vertical="center" wrapText="1"/>
    </xf>
    <xf numFmtId="0" fontId="39" fillId="7" borderId="9" xfId="0" applyFont="1" applyFill="1" applyBorder="1" applyAlignment="1">
      <alignment horizontal="center" vertical="center" wrapText="1"/>
    </xf>
    <xf numFmtId="0" fontId="39" fillId="7" borderId="55" xfId="0" applyFont="1" applyFill="1" applyBorder="1" applyAlignment="1">
      <alignment horizontal="center" vertical="center" wrapText="1"/>
    </xf>
    <xf numFmtId="1" fontId="27" fillId="16" borderId="9" xfId="0" applyNumberFormat="1" applyFont="1" applyFill="1" applyBorder="1" applyAlignment="1">
      <alignment horizontal="left" vertical="center"/>
    </xf>
    <xf numFmtId="1" fontId="27" fillId="16" borderId="0" xfId="0" applyNumberFormat="1" applyFont="1" applyFill="1" applyBorder="1" applyAlignment="1">
      <alignment horizontal="left" vertical="center"/>
    </xf>
    <xf numFmtId="0" fontId="27" fillId="16" borderId="0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15" borderId="4" xfId="0" applyFont="1" applyFill="1" applyBorder="1" applyAlignment="1">
      <alignment horizontal="center" vertical="center"/>
    </xf>
    <xf numFmtId="164" fontId="27" fillId="7" borderId="115" xfId="0" applyNumberFormat="1" applyFont="1" applyFill="1" applyBorder="1" applyAlignment="1">
      <alignment horizontal="left" vertical="center"/>
    </xf>
    <xf numFmtId="164" fontId="27" fillId="7" borderId="2" xfId="0" applyNumberFormat="1" applyFont="1" applyFill="1" applyBorder="1" applyAlignment="1">
      <alignment horizontal="left" vertical="center"/>
    </xf>
    <xf numFmtId="0" fontId="27" fillId="7" borderId="31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horizontal="center" vertical="center" textRotation="90" wrapText="1"/>
    </xf>
    <xf numFmtId="0" fontId="1" fillId="6" borderId="25" xfId="0" applyFont="1" applyFill="1" applyBorder="1" applyAlignment="1">
      <alignment horizontal="center" vertical="center" textRotation="90" wrapText="1"/>
    </xf>
    <xf numFmtId="164" fontId="4" fillId="6" borderId="116" xfId="0" applyNumberFormat="1" applyFont="1" applyFill="1" applyBorder="1" applyAlignment="1">
      <alignment horizontal="left" vertical="center"/>
    </xf>
    <xf numFmtId="164" fontId="4" fillId="6" borderId="59" xfId="0" applyNumberFormat="1" applyFont="1" applyFill="1" applyBorder="1" applyAlignment="1">
      <alignment horizontal="left" vertical="center"/>
    </xf>
    <xf numFmtId="2" fontId="6" fillId="0" borderId="47" xfId="0" applyNumberFormat="1" applyFont="1" applyFill="1" applyBorder="1" applyAlignment="1">
      <alignment horizontal="center"/>
    </xf>
    <xf numFmtId="164" fontId="58" fillId="6" borderId="55" xfId="0" applyNumberFormat="1" applyFont="1" applyFill="1" applyBorder="1" applyAlignment="1">
      <alignment horizontal="left"/>
    </xf>
    <xf numFmtId="164" fontId="58" fillId="6" borderId="56" xfId="0" applyNumberFormat="1" applyFont="1" applyFill="1" applyBorder="1" applyAlignment="1">
      <alignment horizontal="left"/>
    </xf>
    <xf numFmtId="164" fontId="58" fillId="6" borderId="112" xfId="0" applyNumberFormat="1" applyFont="1" applyFill="1" applyBorder="1" applyAlignment="1">
      <alignment horizontal="left"/>
    </xf>
    <xf numFmtId="166" fontId="6" fillId="0" borderId="48" xfId="0" applyNumberFormat="1" applyFont="1" applyFill="1" applyBorder="1" applyAlignment="1">
      <alignment horizontal="center"/>
    </xf>
    <xf numFmtId="0" fontId="2" fillId="0" borderId="151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/>
    </xf>
    <xf numFmtId="2" fontId="6" fillId="0" borderId="27" xfId="0" applyNumberFormat="1" applyFont="1" applyFill="1" applyBorder="1" applyAlignment="1">
      <alignment horizontal="center"/>
    </xf>
    <xf numFmtId="2" fontId="27" fillId="7" borderId="47" xfId="0" applyNumberFormat="1" applyFont="1" applyFill="1" applyBorder="1" applyAlignment="1">
      <alignment horizontal="center"/>
    </xf>
    <xf numFmtId="2" fontId="6" fillId="6" borderId="27" xfId="0" applyNumberFormat="1" applyFont="1" applyFill="1" applyBorder="1" applyAlignment="1">
      <alignment horizontal="center"/>
    </xf>
    <xf numFmtId="166" fontId="6" fillId="0" borderId="110" xfId="0" applyNumberFormat="1" applyFont="1" applyFill="1" applyBorder="1" applyAlignment="1">
      <alignment horizontal="center"/>
    </xf>
    <xf numFmtId="166" fontId="6" fillId="0" borderId="111" xfId="0" applyNumberFormat="1" applyFont="1" applyFill="1" applyBorder="1" applyAlignment="1">
      <alignment horizontal="center"/>
    </xf>
    <xf numFmtId="0" fontId="0" fillId="0" borderId="6" xfId="0" applyFont="1" applyFill="1" applyBorder="1" applyAlignment="1">
      <alignment horizontal="left"/>
    </xf>
    <xf numFmtId="2" fontId="6" fillId="6" borderId="19" xfId="0" applyNumberFormat="1" applyFont="1" applyFill="1" applyBorder="1" applyAlignment="1">
      <alignment horizontal="center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1" fontId="53" fillId="0" borderId="0" xfId="0" applyNumberFormat="1" applyFont="1" applyFill="1" applyBorder="1" applyAlignment="1">
      <alignment horizontal="center" textRotation="90"/>
    </xf>
    <xf numFmtId="2" fontId="0" fillId="0" borderId="0" xfId="0" applyNumberFormat="1" applyFill="1" applyAlignment="1"/>
    <xf numFmtId="171" fontId="6" fillId="0" borderId="68" xfId="0" applyNumberFormat="1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_2-9 Tubing spaceout" xfId="2"/>
    <cellStyle name="Normal_Spaceout calc_drw 7-4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333FF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D4EFA0.01FC613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D4EFA0.01FC613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D4EFA0.01FC613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25400</xdr:rowOff>
    </xdr:from>
    <xdr:to>
      <xdr:col>3</xdr:col>
      <xdr:colOff>44450</xdr:colOff>
      <xdr:row>3</xdr:row>
      <xdr:rowOff>50800</xdr:rowOff>
    </xdr:to>
    <xdr:pic>
      <xdr:nvPicPr>
        <xdr:cNvPr id="2" name="Picture 1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3" name="Picture 155" descr="cid:image001.gif@01D374D0.A6E6A7B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38100"/>
          <a:ext cx="14033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82550</xdr:colOff>
      <xdr:row>0</xdr:row>
      <xdr:rowOff>25400</xdr:rowOff>
    </xdr:from>
    <xdr:to>
      <xdr:col>3</xdr:col>
      <xdr:colOff>107950</xdr:colOff>
      <xdr:row>3</xdr:row>
      <xdr:rowOff>50800</xdr:rowOff>
    </xdr:to>
    <xdr:pic>
      <xdr:nvPicPr>
        <xdr:cNvPr id="4" name="Picture 1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7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5" name="Picture 155" descr="cid:image001.gif@01D374D0.A6E6A7B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38100"/>
          <a:ext cx="14033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25400</xdr:rowOff>
    </xdr:from>
    <xdr:to>
      <xdr:col>3</xdr:col>
      <xdr:colOff>44450</xdr:colOff>
      <xdr:row>3</xdr:row>
      <xdr:rowOff>50800</xdr:rowOff>
    </xdr:to>
    <xdr:pic>
      <xdr:nvPicPr>
        <xdr:cNvPr id="2" name="Picture 1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3" name="Picture 155" descr="cid:image001.gif@01D374D0.A6E6A7B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30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82550</xdr:colOff>
      <xdr:row>0</xdr:row>
      <xdr:rowOff>25400</xdr:rowOff>
    </xdr:from>
    <xdr:to>
      <xdr:col>3</xdr:col>
      <xdr:colOff>107950</xdr:colOff>
      <xdr:row>3</xdr:row>
      <xdr:rowOff>50800</xdr:rowOff>
    </xdr:to>
    <xdr:pic>
      <xdr:nvPicPr>
        <xdr:cNvPr id="6" name="Picture 1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7" name="Picture 155" descr="cid:image001.gif@01D374D0.A6E6A7B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30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450850</xdr:colOff>
      <xdr:row>399</xdr:row>
      <xdr:rowOff>120650</xdr:rowOff>
    </xdr:from>
    <xdr:to>
      <xdr:col>11</xdr:col>
      <xdr:colOff>152400</xdr:colOff>
      <xdr:row>406</xdr:row>
      <xdr:rowOff>69850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V="1">
          <a:off x="2419350" y="65551050"/>
          <a:ext cx="4610100" cy="11049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260350</xdr:colOff>
      <xdr:row>401</xdr:row>
      <xdr:rowOff>127000</xdr:rowOff>
    </xdr:from>
    <xdr:to>
      <xdr:col>11</xdr:col>
      <xdr:colOff>127000</xdr:colOff>
      <xdr:row>421</xdr:row>
      <xdr:rowOff>69850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2889250" y="65893950"/>
          <a:ext cx="4114800" cy="927100"/>
        </a:xfrm>
        <a:prstGeom prst="straightConnector1">
          <a:avLst/>
        </a:prstGeom>
        <a:noFill/>
        <a:ln w="28575" cap="flat" cmpd="sng" algn="ctr">
          <a:solidFill>
            <a:srgbClr val="00B0F0"/>
          </a:solidFill>
          <a:prstDash val="sysDot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</xdr:colOff>
      <xdr:row>19</xdr:row>
      <xdr:rowOff>71072</xdr:rowOff>
    </xdr:from>
    <xdr:to>
      <xdr:col>18</xdr:col>
      <xdr:colOff>52098</xdr:colOff>
      <xdr:row>21</xdr:row>
      <xdr:rowOff>68872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3657600" y="3690572"/>
          <a:ext cx="1239548" cy="4169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Locator NoGo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 ft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above PBR top</a:t>
          </a:r>
        </a:p>
      </xdr:txBody>
    </xdr:sp>
    <xdr:clientData/>
  </xdr:twoCellAnchor>
  <xdr:twoCellAnchor>
    <xdr:from>
      <xdr:col>12</xdr:col>
      <xdr:colOff>12700</xdr:colOff>
      <xdr:row>20</xdr:row>
      <xdr:rowOff>82550</xdr:rowOff>
    </xdr:from>
    <xdr:to>
      <xdr:col>15</xdr:col>
      <xdr:colOff>31750</xdr:colOff>
      <xdr:row>21</xdr:row>
      <xdr:rowOff>190500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H="1">
          <a:off x="3213100" y="3911600"/>
          <a:ext cx="450850" cy="317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12700</xdr:colOff>
      <xdr:row>44</xdr:row>
      <xdr:rowOff>82550</xdr:rowOff>
    </xdr:from>
    <xdr:to>
      <xdr:col>17</xdr:col>
      <xdr:colOff>381000</xdr:colOff>
      <xdr:row>44</xdr:row>
      <xdr:rowOff>82550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4476750" y="8382000"/>
          <a:ext cx="368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450850</xdr:colOff>
      <xdr:row>45</xdr:row>
      <xdr:rowOff>101600</xdr:rowOff>
    </xdr:from>
    <xdr:to>
      <xdr:col>17</xdr:col>
      <xdr:colOff>349250</xdr:colOff>
      <xdr:row>48</xdr:row>
      <xdr:rowOff>57150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 flipV="1">
          <a:off x="4464050" y="8559800"/>
          <a:ext cx="34925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482600</xdr:colOff>
      <xdr:row>48</xdr:row>
      <xdr:rowOff>95250</xdr:rowOff>
    </xdr:from>
    <xdr:to>
      <xdr:col>31</xdr:col>
      <xdr:colOff>387350</xdr:colOff>
      <xdr:row>48</xdr:row>
      <xdr:rowOff>95250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ShapeType="1"/>
        </xdr:cNvSpPr>
      </xdr:nvSpPr>
      <xdr:spPr bwMode="auto">
        <a:xfrm flipH="1" flipV="1">
          <a:off x="7486650" y="90360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374650</xdr:colOff>
      <xdr:row>37</xdr:row>
      <xdr:rowOff>12700</xdr:rowOff>
    </xdr:from>
    <xdr:to>
      <xdr:col>31</xdr:col>
      <xdr:colOff>374650</xdr:colOff>
      <xdr:row>48</xdr:row>
      <xdr:rowOff>95250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ShapeType="1"/>
        </xdr:cNvSpPr>
      </xdr:nvSpPr>
      <xdr:spPr bwMode="auto">
        <a:xfrm>
          <a:off x="7969250" y="7150100"/>
          <a:ext cx="0" cy="1885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80962</xdr:colOff>
      <xdr:row>25</xdr:row>
      <xdr:rowOff>109904</xdr:rowOff>
    </xdr:from>
    <xdr:to>
      <xdr:col>17</xdr:col>
      <xdr:colOff>347552</xdr:colOff>
      <xdr:row>27</xdr:row>
      <xdr:rowOff>106971</xdr:rowOff>
    </xdr:to>
    <xdr:sp macro="" textlink="">
      <xdr:nvSpPr>
        <xdr:cNvPr id="8" name="Text Box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3586162" y="4974004"/>
          <a:ext cx="1225440" cy="390767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EOT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2.3 ft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above Liner Packer</a:t>
          </a:r>
        </a:p>
      </xdr:txBody>
    </xdr:sp>
    <xdr:clientData/>
  </xdr:twoCellAnchor>
  <xdr:twoCellAnchor>
    <xdr:from>
      <xdr:col>10</xdr:col>
      <xdr:colOff>25400</xdr:colOff>
      <xdr:row>26</xdr:row>
      <xdr:rowOff>101600</xdr:rowOff>
    </xdr:from>
    <xdr:to>
      <xdr:col>14</xdr:col>
      <xdr:colOff>88900</xdr:colOff>
      <xdr:row>27</xdr:row>
      <xdr:rowOff>196850</xdr:rowOff>
    </xdr:to>
    <xdr:sp macro="" textlink="">
      <xdr:nvSpPr>
        <xdr:cNvPr id="9" name="Lin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ShapeType="1"/>
        </xdr:cNvSpPr>
      </xdr:nvSpPr>
      <xdr:spPr bwMode="auto">
        <a:xfrm flipH="1">
          <a:off x="3149600" y="5162550"/>
          <a:ext cx="444500" cy="292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87633</xdr:colOff>
      <xdr:row>15</xdr:row>
      <xdr:rowOff>41269</xdr:rowOff>
    </xdr:from>
    <xdr:to>
      <xdr:col>18</xdr:col>
      <xdr:colOff>1335</xdr:colOff>
      <xdr:row>17</xdr:row>
      <xdr:rowOff>19425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3592833" y="2822569"/>
          <a:ext cx="1253552" cy="397256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Prod Pkr Element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across any csg collar</a:t>
          </a:r>
        </a:p>
      </xdr:txBody>
    </xdr:sp>
    <xdr:clientData/>
  </xdr:twoCellAnchor>
  <xdr:twoCellAnchor>
    <xdr:from>
      <xdr:col>13</xdr:col>
      <xdr:colOff>25400</xdr:colOff>
      <xdr:row>16</xdr:row>
      <xdr:rowOff>107950</xdr:rowOff>
    </xdr:from>
    <xdr:to>
      <xdr:col>14</xdr:col>
      <xdr:colOff>127000</xdr:colOff>
      <xdr:row>17</xdr:row>
      <xdr:rowOff>0</xdr:rowOff>
    </xdr:to>
    <xdr:sp macro="" textlink="">
      <xdr:nvSpPr>
        <xdr:cNvPr id="11" name="Lin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ShapeType="1"/>
        </xdr:cNvSpPr>
      </xdr:nvSpPr>
      <xdr:spPr bwMode="auto">
        <a:xfrm flipH="1">
          <a:off x="3378200" y="3098800"/>
          <a:ext cx="254000" cy="101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821765</xdr:colOff>
      <xdr:row>384</xdr:row>
      <xdr:rowOff>149412</xdr:rowOff>
    </xdr:from>
    <xdr:to>
      <xdr:col>3</xdr:col>
      <xdr:colOff>851647</xdr:colOff>
      <xdr:row>399</xdr:row>
      <xdr:rowOff>29882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H="1">
          <a:off x="2779059" y="62865000"/>
          <a:ext cx="29882" cy="2248647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403412</xdr:colOff>
      <xdr:row>389</xdr:row>
      <xdr:rowOff>127001</xdr:rowOff>
    </xdr:from>
    <xdr:ext cx="948764" cy="61258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 rot="10800000" flipV="1">
          <a:off x="2360706" y="63559766"/>
          <a:ext cx="948764" cy="612588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 i="0" baseline="0">
              <a:latin typeface="Geneva"/>
            </a:rPr>
            <a:t>SPARE</a:t>
          </a:r>
          <a:r>
            <a:rPr lang="en-US" sz="2000" b="1" i="0" baseline="0">
              <a:latin typeface="Geneva"/>
            </a:rPr>
            <a:t> </a:t>
          </a:r>
        </a:p>
        <a:p>
          <a:pPr algn="ctr"/>
          <a:r>
            <a:rPr lang="en-US" sz="1600" b="1" i="0" baseline="0">
              <a:latin typeface="Geneva"/>
            </a:rPr>
            <a:t>JOINTS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" name="Picture 1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3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5" name="Picture 1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6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9" name="Picture 17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0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13" name="Picture 17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4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15" name="Picture 17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6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457200</xdr:colOff>
      <xdr:row>329</xdr:row>
      <xdr:rowOff>82550</xdr:rowOff>
    </xdr:from>
    <xdr:to>
      <xdr:col>10</xdr:col>
      <xdr:colOff>63500</xdr:colOff>
      <xdr:row>329</xdr:row>
      <xdr:rowOff>107950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159000" y="53155850"/>
          <a:ext cx="4457700" cy="254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0" name="Picture 17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22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590550</xdr:colOff>
      <xdr:row>293</xdr:row>
      <xdr:rowOff>139700</xdr:rowOff>
    </xdr:from>
    <xdr:to>
      <xdr:col>10</xdr:col>
      <xdr:colOff>387350</xdr:colOff>
      <xdr:row>297</xdr:row>
      <xdr:rowOff>99360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V="1">
          <a:off x="5499100" y="47434500"/>
          <a:ext cx="1441450" cy="61371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4" name="Picture 17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25" name="Picture 155" descr="cid:image001.gif@01D374D0.A6E6A7B0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5"/>
  <sheetData/>
  <phoneticPr fontId="9" type="noConversion"/>
  <pageMargins left="0.75" right="0.75" top="1" bottom="1" header="0.5" footer="0.5"/>
  <pageSetup orientation="portrait" r:id="rId1"/>
  <headerFooter alignWithMargins="0">
    <oddHeader>&amp;A&amp;L&amp;"Calibri"&amp;9&amp;K000000Classification: Internal&amp;1#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A1:Z472"/>
  <sheetViews>
    <sheetView showGridLines="0" tabSelected="1" defaultGridColor="0" topLeftCell="E391" colorId="10" zoomScaleNormal="100" zoomScaleSheetLayoutView="100" workbookViewId="0">
      <selection activeCell="I440" sqref="I440"/>
    </sheetView>
  </sheetViews>
  <sheetFormatPr defaultColWidth="11.453125" defaultRowHeight="12.5"/>
  <cols>
    <col min="1" max="1" width="4.453125" style="526" customWidth="1"/>
    <col min="2" max="2" width="9.26953125" style="1" customWidth="1"/>
    <col min="3" max="3" width="5.7265625" style="528" customWidth="1"/>
    <col min="4" max="5" width="9.453125" style="7" customWidth="1"/>
    <col min="6" max="6" width="7.453125" style="2" customWidth="1"/>
    <col min="7" max="7" width="10.453125" style="2" customWidth="1"/>
    <col min="8" max="8" width="8.1796875" style="2" customWidth="1"/>
    <col min="9" max="9" width="9.7265625" style="2" customWidth="1"/>
    <col min="10" max="10" width="10" style="2" customWidth="1"/>
    <col min="11" max="11" width="13.54296875" style="5" customWidth="1"/>
    <col min="12" max="12" width="14.1796875" style="16" customWidth="1"/>
    <col min="13" max="13" width="16.26953125" style="526" customWidth="1"/>
    <col min="14" max="14" width="10.54296875" style="526" customWidth="1"/>
    <col min="15" max="15" width="9.453125" style="526" customWidth="1"/>
    <col min="16" max="16" width="5.81640625" style="538" customWidth="1"/>
    <col min="17" max="17" width="6" style="550" customWidth="1"/>
    <col min="18" max="18" width="8.81640625" style="526" customWidth="1"/>
    <col min="19" max="19" width="6.54296875" style="526" customWidth="1"/>
    <col min="20" max="16384" width="11.453125" style="526"/>
  </cols>
  <sheetData>
    <row r="1" spans="1:20" s="28" customFormat="1" ht="18">
      <c r="A1" s="783" t="s">
        <v>209</v>
      </c>
      <c r="B1" s="40"/>
      <c r="C1" s="205"/>
      <c r="D1" s="206"/>
      <c r="E1" s="207"/>
      <c r="F1" s="208"/>
      <c r="G1" s="209"/>
      <c r="H1" s="208"/>
      <c r="I1" s="210" t="s">
        <v>14</v>
      </c>
      <c r="J1" s="211"/>
      <c r="K1" s="212"/>
      <c r="L1" s="213" t="s">
        <v>265</v>
      </c>
      <c r="M1" s="214"/>
      <c r="P1" s="199"/>
      <c r="Q1" s="386"/>
    </row>
    <row r="2" spans="1:20" ht="15.5">
      <c r="A2" s="784"/>
      <c r="B2" s="332"/>
      <c r="C2" s="651"/>
      <c r="D2" s="21"/>
      <c r="E2" s="21"/>
      <c r="F2" s="3"/>
      <c r="G2" s="474"/>
      <c r="H2" s="3"/>
      <c r="I2" s="22" t="s">
        <v>15</v>
      </c>
      <c r="J2" s="8"/>
      <c r="K2" s="15" t="s">
        <v>13</v>
      </c>
      <c r="L2" s="369">
        <v>43692</v>
      </c>
      <c r="M2" s="215"/>
    </row>
    <row r="3" spans="1:20" ht="18">
      <c r="A3" s="784"/>
      <c r="B3" s="216"/>
      <c r="C3" s="29"/>
      <c r="D3" s="6"/>
      <c r="E3" s="14"/>
      <c r="F3" s="3"/>
      <c r="G3" s="23" t="s">
        <v>0</v>
      </c>
      <c r="H3" s="23" t="s">
        <v>215</v>
      </c>
      <c r="I3" s="14"/>
      <c r="J3" s="14"/>
      <c r="K3" s="4" t="s">
        <v>80</v>
      </c>
      <c r="L3" s="800" t="s">
        <v>217</v>
      </c>
      <c r="M3" s="801"/>
      <c r="P3" s="391"/>
    </row>
    <row r="4" spans="1:20" ht="13" thickBot="1">
      <c r="A4" s="784"/>
      <c r="B4" s="217"/>
      <c r="C4" s="651"/>
      <c r="D4" s="6"/>
      <c r="E4" s="14"/>
      <c r="F4" s="3"/>
      <c r="G4" s="23" t="s">
        <v>1</v>
      </c>
      <c r="H4" s="349" t="s">
        <v>216</v>
      </c>
      <c r="I4" s="14"/>
      <c r="J4" s="9"/>
      <c r="K4" s="4" t="s">
        <v>17</v>
      </c>
      <c r="L4" s="800" t="s">
        <v>207</v>
      </c>
      <c r="M4" s="802"/>
      <c r="O4" s="537"/>
      <c r="P4" s="391"/>
      <c r="R4" s="537"/>
    </row>
    <row r="5" spans="1:20" ht="13" thickBot="1">
      <c r="A5" s="784"/>
      <c r="B5" s="332"/>
      <c r="C5" s="651"/>
      <c r="D5" s="26"/>
      <c r="E5" s="6"/>
      <c r="F5" s="3"/>
      <c r="G5" s="23" t="s">
        <v>194</v>
      </c>
      <c r="H5" s="350" t="s">
        <v>162</v>
      </c>
      <c r="I5" s="14"/>
      <c r="J5" s="14"/>
      <c r="K5" s="15" t="s">
        <v>81</v>
      </c>
      <c r="L5" s="465">
        <v>1341</v>
      </c>
      <c r="M5" s="532" t="s">
        <v>31</v>
      </c>
      <c r="P5" s="391"/>
    </row>
    <row r="6" spans="1:20" ht="13" thickBot="1">
      <c r="A6" s="784"/>
      <c r="B6" s="332"/>
      <c r="C6" s="651"/>
      <c r="D6" s="289" t="s">
        <v>77</v>
      </c>
      <c r="E6" s="290" t="s">
        <v>26</v>
      </c>
      <c r="F6" s="291" t="s">
        <v>111</v>
      </c>
      <c r="G6" s="23" t="s">
        <v>2</v>
      </c>
      <c r="H6" s="350">
        <v>128</v>
      </c>
      <c r="I6" s="786" t="s">
        <v>245</v>
      </c>
      <c r="J6" s="787"/>
      <c r="K6" s="15" t="s">
        <v>18</v>
      </c>
      <c r="L6" s="286">
        <v>12763.06</v>
      </c>
      <c r="M6" s="532" t="s">
        <v>31</v>
      </c>
      <c r="N6" s="537"/>
      <c r="O6" s="537"/>
      <c r="P6" s="390"/>
    </row>
    <row r="7" spans="1:20" ht="13" thickBot="1">
      <c r="A7" s="784"/>
      <c r="B7" s="332"/>
      <c r="C7" s="651"/>
      <c r="D7" s="226" t="s">
        <v>3</v>
      </c>
      <c r="E7" s="232">
        <v>33.700000000000003</v>
      </c>
      <c r="F7" s="233">
        <v>26</v>
      </c>
      <c r="G7" s="23" t="s">
        <v>4</v>
      </c>
      <c r="H7" s="506">
        <v>10</v>
      </c>
      <c r="I7" s="788" t="s">
        <v>196</v>
      </c>
      <c r="J7" s="789"/>
      <c r="K7" s="15" t="s">
        <v>5</v>
      </c>
      <c r="L7" s="287">
        <v>21145</v>
      </c>
      <c r="M7" s="532" t="s">
        <v>31</v>
      </c>
      <c r="N7" s="537"/>
      <c r="O7" s="537"/>
      <c r="P7" s="390"/>
      <c r="R7" s="527"/>
    </row>
    <row r="8" spans="1:20" ht="13" thickBot="1">
      <c r="A8" s="784"/>
      <c r="B8" s="332"/>
      <c r="C8" s="651"/>
      <c r="D8" s="313" t="s">
        <v>6</v>
      </c>
      <c r="E8" s="234" t="s">
        <v>16</v>
      </c>
      <c r="F8" s="234" t="s">
        <v>82</v>
      </c>
      <c r="G8" s="23" t="s">
        <v>7</v>
      </c>
      <c r="H8" s="430">
        <f>(65.45-H7)/65.45</f>
        <v>0.84721161191749428</v>
      </c>
      <c r="I8" s="429"/>
      <c r="J8" s="14"/>
      <c r="K8" s="15" t="s">
        <v>218</v>
      </c>
      <c r="L8" s="477">
        <f>L7-5</f>
        <v>21140</v>
      </c>
      <c r="M8" s="532" t="s">
        <v>31</v>
      </c>
    </row>
    <row r="9" spans="1:20" ht="13" thickBot="1">
      <c r="A9" s="784"/>
      <c r="B9" s="223"/>
      <c r="C9" s="790" t="s">
        <v>10</v>
      </c>
      <c r="D9" s="791"/>
      <c r="E9" s="311">
        <f>3.783/12</f>
        <v>0.31524999999999997</v>
      </c>
      <c r="F9" s="312">
        <f>4.776/12</f>
        <v>0.39799999999999996</v>
      </c>
      <c r="G9" s="225"/>
      <c r="H9" s="227"/>
      <c r="I9" s="227"/>
      <c r="J9" s="228"/>
      <c r="K9" s="229" t="s">
        <v>30</v>
      </c>
      <c r="L9" s="367">
        <f>L6+F13-G12</f>
        <v>12781.11</v>
      </c>
      <c r="M9" s="365" t="s">
        <v>31</v>
      </c>
      <c r="N9" s="527"/>
    </row>
    <row r="10" spans="1:20" ht="12.65" customHeight="1">
      <c r="A10" s="784"/>
      <c r="B10" s="760" t="s">
        <v>97</v>
      </c>
      <c r="C10" s="792"/>
      <c r="D10" s="762"/>
      <c r="E10" s="796" t="s">
        <v>96</v>
      </c>
      <c r="F10" s="798" t="s">
        <v>71</v>
      </c>
      <c r="G10" s="798" t="s">
        <v>72</v>
      </c>
      <c r="H10" s="798" t="s">
        <v>73</v>
      </c>
      <c r="I10" s="798" t="s">
        <v>74</v>
      </c>
      <c r="J10" s="798" t="s">
        <v>75</v>
      </c>
      <c r="K10" s="760" t="s">
        <v>76</v>
      </c>
      <c r="L10" s="760" t="s">
        <v>70</v>
      </c>
      <c r="M10" s="762"/>
      <c r="N10" s="527"/>
    </row>
    <row r="11" spans="1:20" ht="15" customHeight="1" thickBot="1">
      <c r="A11" s="785"/>
      <c r="B11" s="793"/>
      <c r="C11" s="794"/>
      <c r="D11" s="795"/>
      <c r="E11" s="797"/>
      <c r="F11" s="799"/>
      <c r="G11" s="799"/>
      <c r="H11" s="799"/>
      <c r="I11" s="799"/>
      <c r="J11" s="799"/>
      <c r="K11" s="761"/>
      <c r="L11" s="761"/>
      <c r="M11" s="763"/>
      <c r="N11" s="527"/>
      <c r="R11" s="527"/>
    </row>
    <row r="12" spans="1:20" ht="13" thickBot="1">
      <c r="A12" s="467"/>
      <c r="B12" s="764" t="s">
        <v>67</v>
      </c>
      <c r="C12" s="765"/>
      <c r="D12" s="765"/>
      <c r="E12" s="766"/>
      <c r="F12" s="252">
        <v>1.49</v>
      </c>
      <c r="G12" s="253">
        <f>F12</f>
        <v>1.49</v>
      </c>
      <c r="H12" s="253" t="s">
        <v>9</v>
      </c>
      <c r="I12" s="302">
        <f>IF(H12="IN",I11+G12,I11)</f>
        <v>1.49</v>
      </c>
      <c r="J12" s="304">
        <f>IF(I12="","",$L$6-I12)</f>
        <v>12761.57</v>
      </c>
      <c r="K12" s="303">
        <f t="shared" ref="K12:K75" si="0">$H$6+(I12*$F$7*$H$8/1000)</f>
        <v>128.03282097784569</v>
      </c>
      <c r="L12" s="767"/>
      <c r="M12" s="768"/>
      <c r="N12" s="537"/>
      <c r="O12" s="537"/>
      <c r="P12" s="390"/>
      <c r="Q12" s="386"/>
      <c r="R12" s="28"/>
      <c r="S12" s="28"/>
      <c r="T12" s="28"/>
    </row>
    <row r="13" spans="1:20" ht="13" customHeight="1" thickBot="1">
      <c r="A13" s="726">
        <v>1</v>
      </c>
      <c r="B13" s="769" t="s">
        <v>23</v>
      </c>
      <c r="C13" s="772" t="s">
        <v>219</v>
      </c>
      <c r="D13" s="775" t="s">
        <v>21</v>
      </c>
      <c r="E13" s="776"/>
      <c r="F13" s="264">
        <v>19.54</v>
      </c>
      <c r="G13" s="264">
        <f>F13</f>
        <v>19.54</v>
      </c>
      <c r="H13" s="292" t="s">
        <v>11</v>
      </c>
      <c r="I13" s="264">
        <f t="shared" ref="I13:I76" si="1">IF(H13="IN",I12+G13,I12)</f>
        <v>1.49</v>
      </c>
      <c r="J13" s="264">
        <f>IF(I13="","",$L$6-I13)</f>
        <v>12761.57</v>
      </c>
      <c r="K13" s="265">
        <f t="shared" si="0"/>
        <v>128.03282097784569</v>
      </c>
      <c r="L13" s="777" t="s">
        <v>220</v>
      </c>
      <c r="M13" s="778"/>
      <c r="N13" s="527"/>
      <c r="O13" s="537"/>
      <c r="P13" s="390"/>
      <c r="Q13" s="386"/>
      <c r="R13" s="997"/>
      <c r="S13" s="998"/>
      <c r="T13" s="28"/>
    </row>
    <row r="14" spans="1:20" ht="13" customHeight="1">
      <c r="A14" s="727"/>
      <c r="B14" s="770"/>
      <c r="C14" s="773"/>
      <c r="D14" s="752" t="s">
        <v>20</v>
      </c>
      <c r="E14" s="753"/>
      <c r="F14" s="263">
        <v>2.68</v>
      </c>
      <c r="G14" s="263">
        <f>F14</f>
        <v>2.68</v>
      </c>
      <c r="H14" s="263" t="s">
        <v>9</v>
      </c>
      <c r="I14" s="263">
        <f t="shared" si="1"/>
        <v>4.17</v>
      </c>
      <c r="J14" s="263">
        <f>IF(I14="","",$L$6-I14)</f>
        <v>12758.89</v>
      </c>
      <c r="K14" s="266">
        <f t="shared" si="0"/>
        <v>128.09185468296408</v>
      </c>
      <c r="L14" s="779"/>
      <c r="M14" s="780"/>
      <c r="N14" s="527"/>
      <c r="Q14" s="386"/>
      <c r="R14" s="997"/>
      <c r="S14" s="998"/>
      <c r="T14" s="28"/>
    </row>
    <row r="15" spans="1:20" ht="12.65" customHeight="1" thickBot="1">
      <c r="A15" s="728"/>
      <c r="B15" s="771"/>
      <c r="C15" s="774"/>
      <c r="D15" s="754" t="s">
        <v>22</v>
      </c>
      <c r="E15" s="755"/>
      <c r="F15" s="267">
        <v>14.81</v>
      </c>
      <c r="G15" s="267">
        <f>F15</f>
        <v>14.81</v>
      </c>
      <c r="H15" s="267" t="s">
        <v>9</v>
      </c>
      <c r="I15" s="267">
        <f t="shared" si="1"/>
        <v>18.98</v>
      </c>
      <c r="J15" s="267">
        <f>IF(I15="","",$L$6-I15)</f>
        <v>12744.08</v>
      </c>
      <c r="K15" s="266">
        <f t="shared" si="0"/>
        <v>128.41808198624904</v>
      </c>
      <c r="L15" s="781"/>
      <c r="M15" s="782"/>
      <c r="N15" s="527"/>
      <c r="Q15" s="386"/>
      <c r="R15" s="997"/>
      <c r="S15" s="998"/>
      <c r="T15" s="28"/>
    </row>
    <row r="16" spans="1:20" ht="12.65" customHeight="1" thickBot="1">
      <c r="A16" s="649">
        <v>2</v>
      </c>
      <c r="B16" s="687" t="s">
        <v>224</v>
      </c>
      <c r="C16" s="688"/>
      <c r="D16" s="689"/>
      <c r="E16" s="522" t="s">
        <v>256</v>
      </c>
      <c r="F16" s="380">
        <f>'7" 26# Deck Tally'!G11</f>
        <v>15.2</v>
      </c>
      <c r="G16" s="380">
        <f>F16-F9</f>
        <v>14.802</v>
      </c>
      <c r="H16" s="508" t="s">
        <v>9</v>
      </c>
      <c r="I16" s="508">
        <f t="shared" si="1"/>
        <v>33.781999999999996</v>
      </c>
      <c r="J16" s="508">
        <f t="shared" ref="J16:J79" si="2">IF(I16="","",$L$6-I16)</f>
        <v>12729.278</v>
      </c>
      <c r="K16" s="625">
        <f t="shared" si="0"/>
        <v>128.74413306951871</v>
      </c>
      <c r="L16" s="644"/>
      <c r="M16" s="645"/>
      <c r="N16" s="527"/>
      <c r="Q16" s="386"/>
      <c r="R16" s="999"/>
      <c r="S16" s="1000"/>
      <c r="T16" s="28"/>
    </row>
    <row r="17" spans="1:20" ht="13" customHeight="1">
      <c r="A17" s="726">
        <v>3</v>
      </c>
      <c r="B17" s="729" t="s">
        <v>25</v>
      </c>
      <c r="C17" s="732" t="s">
        <v>221</v>
      </c>
      <c r="D17" s="735" t="s">
        <v>24</v>
      </c>
      <c r="E17" s="736"/>
      <c r="F17" s="484">
        <v>10.220000000000001</v>
      </c>
      <c r="G17" s="484">
        <f>F17-($F$9)</f>
        <v>9.822000000000001</v>
      </c>
      <c r="H17" s="485" t="s">
        <v>9</v>
      </c>
      <c r="I17" s="485">
        <f t="shared" si="1"/>
        <v>43.603999999999999</v>
      </c>
      <c r="J17" s="485">
        <f t="shared" si="2"/>
        <v>12719.456</v>
      </c>
      <c r="K17" s="626">
        <f t="shared" si="0"/>
        <v>128.96048719327732</v>
      </c>
      <c r="L17" s="737" t="s">
        <v>195</v>
      </c>
      <c r="M17" s="738"/>
      <c r="N17" s="527"/>
      <c r="O17" s="527"/>
      <c r="P17" s="1004"/>
      <c r="Q17" s="1003"/>
      <c r="R17" s="1001"/>
      <c r="S17" s="1002"/>
      <c r="T17" s="595"/>
    </row>
    <row r="18" spans="1:20" ht="13" customHeight="1">
      <c r="A18" s="727"/>
      <c r="B18" s="730"/>
      <c r="C18" s="733"/>
      <c r="D18" s="743" t="s">
        <v>83</v>
      </c>
      <c r="E18" s="744"/>
      <c r="F18" s="256">
        <v>9.9499999999999993</v>
      </c>
      <c r="G18" s="256">
        <f>F18</f>
        <v>9.9499999999999993</v>
      </c>
      <c r="H18" s="256" t="s">
        <v>9</v>
      </c>
      <c r="I18" s="256">
        <f t="shared" si="1"/>
        <v>53.554000000000002</v>
      </c>
      <c r="J18" s="256">
        <f t="shared" si="2"/>
        <v>12709.505999999999</v>
      </c>
      <c r="K18" s="627">
        <f t="shared" si="0"/>
        <v>129.17966083728038</v>
      </c>
      <c r="L18" s="745" t="s">
        <v>222</v>
      </c>
      <c r="M18" s="746"/>
      <c r="N18" s="527"/>
      <c r="O18" s="527"/>
      <c r="P18" s="1004"/>
      <c r="Q18" s="1003"/>
      <c r="R18" s="1001"/>
      <c r="S18" s="1002"/>
      <c r="T18" s="595"/>
    </row>
    <row r="19" spans="1:20" ht="13" customHeight="1">
      <c r="A19" s="727"/>
      <c r="B19" s="730"/>
      <c r="C19" s="733"/>
      <c r="D19" s="747" t="s">
        <v>28</v>
      </c>
      <c r="E19" s="748"/>
      <c r="F19" s="486">
        <f>3.24+2.46</f>
        <v>5.7</v>
      </c>
      <c r="G19" s="486">
        <f>F19</f>
        <v>5.7</v>
      </c>
      <c r="H19" s="485" t="s">
        <v>9</v>
      </c>
      <c r="I19" s="485">
        <f t="shared" si="1"/>
        <v>59.254000000000005</v>
      </c>
      <c r="J19" s="485">
        <f t="shared" si="2"/>
        <v>12703.805999999999</v>
      </c>
      <c r="K19" s="626">
        <f t="shared" si="0"/>
        <v>129.30521759816654</v>
      </c>
      <c r="L19" s="749" t="s">
        <v>135</v>
      </c>
      <c r="M19" s="746"/>
      <c r="N19" s="527"/>
      <c r="O19" s="527"/>
      <c r="P19" s="1004"/>
      <c r="Q19" s="1003"/>
      <c r="R19" s="1001"/>
      <c r="S19" s="1002"/>
      <c r="T19" s="595"/>
    </row>
    <row r="20" spans="1:20" ht="13" customHeight="1" thickBot="1">
      <c r="A20" s="728"/>
      <c r="B20" s="731"/>
      <c r="C20" s="734"/>
      <c r="D20" s="756" t="s">
        <v>24</v>
      </c>
      <c r="E20" s="757"/>
      <c r="F20" s="487">
        <v>9.82</v>
      </c>
      <c r="G20" s="487">
        <f>F20</f>
        <v>9.82</v>
      </c>
      <c r="H20" s="488" t="s">
        <v>9</v>
      </c>
      <c r="I20" s="488">
        <f t="shared" si="1"/>
        <v>69.074000000000012</v>
      </c>
      <c r="J20" s="488">
        <f t="shared" si="2"/>
        <v>12693.985999999999</v>
      </c>
      <c r="K20" s="628">
        <f t="shared" si="0"/>
        <v>129.52152766692132</v>
      </c>
      <c r="L20" s="758" t="s">
        <v>169</v>
      </c>
      <c r="M20" s="759"/>
      <c r="N20" s="527"/>
      <c r="O20" s="527"/>
      <c r="P20" s="1004"/>
      <c r="Q20" s="1003"/>
      <c r="R20" s="1001"/>
      <c r="S20" s="1002"/>
      <c r="T20" s="595"/>
    </row>
    <row r="21" spans="1:20" s="18" customFormat="1" ht="14.15" customHeight="1" thickBot="1">
      <c r="A21" s="613">
        <f>A17+1</f>
        <v>4</v>
      </c>
      <c r="B21" s="741" t="s">
        <v>98</v>
      </c>
      <c r="C21" s="741"/>
      <c r="D21" s="741"/>
      <c r="E21" s="614">
        <f>'7" 26# Deck Tally'!B4</f>
        <v>396</v>
      </c>
      <c r="F21" s="615">
        <f>'7" 26# Deck Tally'!C4</f>
        <v>33.33</v>
      </c>
      <c r="G21" s="615">
        <f t="shared" ref="G21:G84" si="3">F21-($F$9)</f>
        <v>32.931999999999995</v>
      </c>
      <c r="H21" s="615" t="s">
        <v>9</v>
      </c>
      <c r="I21" s="616">
        <f t="shared" si="1"/>
        <v>102.006</v>
      </c>
      <c r="J21" s="616">
        <f t="shared" si="2"/>
        <v>12661.054</v>
      </c>
      <c r="K21" s="629">
        <f t="shared" si="0"/>
        <v>130.24693735981666</v>
      </c>
      <c r="L21" s="739"/>
      <c r="M21" s="740"/>
      <c r="N21" s="527"/>
      <c r="O21" s="527"/>
      <c r="P21" s="392">
        <v>33</v>
      </c>
      <c r="Q21" s="1003"/>
      <c r="R21" s="1001"/>
      <c r="S21" s="1002"/>
    </row>
    <row r="22" spans="1:20" s="18" customFormat="1" ht="14.15" customHeight="1">
      <c r="A22" s="617">
        <f>A21+1</f>
        <v>5</v>
      </c>
      <c r="B22" s="702" t="s">
        <v>98</v>
      </c>
      <c r="C22" s="702"/>
      <c r="D22" s="702"/>
      <c r="E22" s="618">
        <f>'7" 26# Deck Tally'!B5</f>
        <v>395</v>
      </c>
      <c r="F22" s="619">
        <f>'7" 26# Deck Tally'!C5</f>
        <v>33.049999999999997</v>
      </c>
      <c r="G22" s="619">
        <f t="shared" si="3"/>
        <v>32.651999999999994</v>
      </c>
      <c r="H22" s="619" t="s">
        <v>9</v>
      </c>
      <c r="I22" s="620">
        <f t="shared" si="1"/>
        <v>134.65799999999999</v>
      </c>
      <c r="J22" s="620">
        <f t="shared" si="2"/>
        <v>12628.402</v>
      </c>
      <c r="K22" s="630">
        <f t="shared" si="0"/>
        <v>130.96617935217722</v>
      </c>
      <c r="L22" s="724" t="s">
        <v>32</v>
      </c>
      <c r="M22" s="725"/>
      <c r="N22" s="527"/>
      <c r="O22" s="527"/>
      <c r="P22" s="392">
        <v>1</v>
      </c>
      <c r="Q22" s="1003"/>
      <c r="R22" s="1001"/>
      <c r="S22" s="1002"/>
    </row>
    <row r="23" spans="1:20" s="18" customFormat="1" ht="14.15" customHeight="1" thickBot="1">
      <c r="A23" s="617">
        <f t="shared" ref="A23:A86" si="4">A22+1</f>
        <v>6</v>
      </c>
      <c r="B23" s="702" t="s">
        <v>98</v>
      </c>
      <c r="C23" s="702"/>
      <c r="D23" s="702"/>
      <c r="E23" s="618">
        <f>'7" 26# Deck Tally'!B6</f>
        <v>394</v>
      </c>
      <c r="F23" s="619">
        <f>'7" 26# Deck Tally'!C6</f>
        <v>33.81</v>
      </c>
      <c r="G23" s="619">
        <f t="shared" si="3"/>
        <v>33.411999999999999</v>
      </c>
      <c r="H23" s="619" t="s">
        <v>9</v>
      </c>
      <c r="I23" s="620">
        <f t="shared" si="1"/>
        <v>168.07</v>
      </c>
      <c r="J23" s="620">
        <f t="shared" si="2"/>
        <v>12594.99</v>
      </c>
      <c r="K23" s="630">
        <f t="shared" si="0"/>
        <v>131.70216224598931</v>
      </c>
      <c r="L23" s="718" t="s">
        <v>223</v>
      </c>
      <c r="M23" s="719"/>
      <c r="N23" s="527"/>
      <c r="O23" s="527"/>
      <c r="P23" s="393"/>
      <c r="Q23" s="1003"/>
      <c r="R23" s="1001"/>
      <c r="S23" s="1002"/>
    </row>
    <row r="24" spans="1:20" s="18" customFormat="1" ht="14.15" customHeight="1">
      <c r="A24" s="617">
        <f t="shared" si="4"/>
        <v>7</v>
      </c>
      <c r="B24" s="702" t="s">
        <v>98</v>
      </c>
      <c r="C24" s="702"/>
      <c r="D24" s="702"/>
      <c r="E24" s="618">
        <f>'7" 26# Deck Tally'!B7</f>
        <v>393</v>
      </c>
      <c r="F24" s="619">
        <f>'7" 26# Deck Tally'!C7</f>
        <v>33.28</v>
      </c>
      <c r="G24" s="619">
        <f t="shared" si="3"/>
        <v>32.881999999999998</v>
      </c>
      <c r="H24" s="619" t="s">
        <v>9</v>
      </c>
      <c r="I24" s="619">
        <f t="shared" si="1"/>
        <v>200.952</v>
      </c>
      <c r="J24" s="620">
        <f t="shared" si="2"/>
        <v>12562.108</v>
      </c>
      <c r="K24" s="630">
        <f t="shared" si="0"/>
        <v>132.42647056378917</v>
      </c>
      <c r="L24" s="217"/>
      <c r="M24" s="652"/>
      <c r="N24" s="37"/>
      <c r="O24" s="37"/>
      <c r="P24" s="499"/>
      <c r="Q24" s="1003"/>
      <c r="R24" s="1001"/>
      <c r="S24" s="1002"/>
    </row>
    <row r="25" spans="1:20" s="18" customFormat="1" ht="14.15" customHeight="1" thickBot="1">
      <c r="A25" s="617">
        <f t="shared" si="4"/>
        <v>8</v>
      </c>
      <c r="B25" s="702" t="s">
        <v>98</v>
      </c>
      <c r="C25" s="702"/>
      <c r="D25" s="702"/>
      <c r="E25" s="618">
        <f>'7" 26# Deck Tally'!B8</f>
        <v>392</v>
      </c>
      <c r="F25" s="619">
        <f>'7" 26# Deck Tally'!C8</f>
        <v>33.72</v>
      </c>
      <c r="G25" s="619">
        <f t="shared" si="3"/>
        <v>33.321999999999996</v>
      </c>
      <c r="H25" s="619" t="s">
        <v>9</v>
      </c>
      <c r="I25" s="619">
        <f t="shared" si="1"/>
        <v>234.274</v>
      </c>
      <c r="J25" s="620">
        <f t="shared" si="2"/>
        <v>12528.786</v>
      </c>
      <c r="K25" s="630">
        <f t="shared" si="0"/>
        <v>133.16047098242933</v>
      </c>
      <c r="L25" s="217"/>
      <c r="M25" s="652"/>
      <c r="N25" s="25"/>
      <c r="O25" s="25"/>
      <c r="P25" s="499"/>
      <c r="Q25" s="1003"/>
      <c r="R25" s="1001"/>
      <c r="S25" s="1002"/>
    </row>
    <row r="26" spans="1:20" s="18" customFormat="1" ht="14.15" customHeight="1">
      <c r="A26" s="617">
        <f t="shared" si="4"/>
        <v>9</v>
      </c>
      <c r="B26" s="702" t="s">
        <v>98</v>
      </c>
      <c r="C26" s="702"/>
      <c r="D26" s="702"/>
      <c r="E26" s="618">
        <f>'7" 26# Deck Tally'!B9</f>
        <v>391</v>
      </c>
      <c r="F26" s="619">
        <f>'7" 26# Deck Tally'!C9</f>
        <v>32.15</v>
      </c>
      <c r="G26" s="619">
        <f t="shared" si="3"/>
        <v>31.751999999999999</v>
      </c>
      <c r="H26" s="619" t="s">
        <v>9</v>
      </c>
      <c r="I26" s="619">
        <f t="shared" si="1"/>
        <v>266.02600000000001</v>
      </c>
      <c r="J26" s="619">
        <f t="shared" si="2"/>
        <v>12497.034</v>
      </c>
      <c r="K26" s="630">
        <f t="shared" si="0"/>
        <v>133.85988822307104</v>
      </c>
      <c r="L26" s="714" t="s">
        <v>104</v>
      </c>
      <c r="M26" s="715"/>
      <c r="N26" s="25"/>
      <c r="O26" s="25"/>
      <c r="P26" s="499"/>
      <c r="Q26" s="1003"/>
      <c r="R26" s="1001"/>
      <c r="S26" s="1002"/>
    </row>
    <row r="27" spans="1:20" s="18" customFormat="1" ht="14.15" customHeight="1" thickBot="1">
      <c r="A27" s="617">
        <f t="shared" si="4"/>
        <v>10</v>
      </c>
      <c r="B27" s="702" t="s">
        <v>98</v>
      </c>
      <c r="C27" s="702"/>
      <c r="D27" s="702"/>
      <c r="E27" s="618">
        <f>'7" 26# Deck Tally'!B10</f>
        <v>390</v>
      </c>
      <c r="F27" s="619">
        <f>'7" 26# Deck Tally'!C10</f>
        <v>33.28</v>
      </c>
      <c r="G27" s="619">
        <f t="shared" si="3"/>
        <v>32.881999999999998</v>
      </c>
      <c r="H27" s="619" t="s">
        <v>9</v>
      </c>
      <c r="I27" s="619">
        <f t="shared" si="1"/>
        <v>298.90800000000002</v>
      </c>
      <c r="J27" s="619">
        <f t="shared" si="2"/>
        <v>12464.152</v>
      </c>
      <c r="K27" s="630">
        <f t="shared" si="0"/>
        <v>134.58419654087089</v>
      </c>
      <c r="L27" s="716" t="s">
        <v>105</v>
      </c>
      <c r="M27" s="717"/>
      <c r="N27" s="25"/>
      <c r="O27" s="25"/>
      <c r="P27" s="499"/>
      <c r="Q27" s="1003"/>
      <c r="R27" s="1001"/>
      <c r="S27" s="1002"/>
    </row>
    <row r="28" spans="1:20" s="18" customFormat="1" ht="13" customHeight="1" thickBot="1">
      <c r="A28" s="617">
        <f t="shared" si="4"/>
        <v>11</v>
      </c>
      <c r="B28" s="702" t="s">
        <v>98</v>
      </c>
      <c r="C28" s="702"/>
      <c r="D28" s="702"/>
      <c r="E28" s="618">
        <f>'7" 26# Deck Tally'!B11</f>
        <v>389</v>
      </c>
      <c r="F28" s="619">
        <f>'7" 26# Deck Tally'!C11</f>
        <v>33.67</v>
      </c>
      <c r="G28" s="619">
        <f t="shared" si="3"/>
        <v>33.271999999999998</v>
      </c>
      <c r="H28" s="619" t="s">
        <v>9</v>
      </c>
      <c r="I28" s="619">
        <f t="shared" si="1"/>
        <v>332.18</v>
      </c>
      <c r="J28" s="619">
        <f t="shared" si="2"/>
        <v>12430.88</v>
      </c>
      <c r="K28" s="631">
        <f t="shared" si="0"/>
        <v>135.3170955844156</v>
      </c>
      <c r="L28" s="217"/>
      <c r="M28" s="652"/>
      <c r="N28" s="25"/>
      <c r="O28" s="25"/>
      <c r="P28" s="499"/>
      <c r="Q28" s="1003"/>
      <c r="R28" s="1001"/>
      <c r="S28" s="1002"/>
    </row>
    <row r="29" spans="1:20" s="18" customFormat="1" ht="13" customHeight="1">
      <c r="A29" s="617">
        <f t="shared" si="4"/>
        <v>12</v>
      </c>
      <c r="B29" s="702" t="s">
        <v>98</v>
      </c>
      <c r="C29" s="702"/>
      <c r="D29" s="702"/>
      <c r="E29" s="618">
        <f>'7" 26# Deck Tally'!B12</f>
        <v>388</v>
      </c>
      <c r="F29" s="619">
        <f>'7" 26# Deck Tally'!C12</f>
        <v>33.21</v>
      </c>
      <c r="G29" s="619">
        <f t="shared" si="3"/>
        <v>32.811999999999998</v>
      </c>
      <c r="H29" s="619" t="s">
        <v>9</v>
      </c>
      <c r="I29" s="619">
        <f t="shared" si="1"/>
        <v>364.99200000000002</v>
      </c>
      <c r="J29" s="619">
        <f t="shared" si="2"/>
        <v>12398.067999999999</v>
      </c>
      <c r="K29" s="631">
        <f t="shared" si="0"/>
        <v>136.03986197708176</v>
      </c>
      <c r="L29" s="714" t="s">
        <v>107</v>
      </c>
      <c r="M29" s="715"/>
      <c r="N29" s="25"/>
      <c r="O29" s="25"/>
      <c r="P29" s="499"/>
      <c r="Q29" s="1003"/>
      <c r="R29" s="1001"/>
      <c r="S29" s="1002"/>
    </row>
    <row r="30" spans="1:20" s="18" customFormat="1" ht="13" customHeight="1" thickBot="1">
      <c r="A30" s="617">
        <f t="shared" si="4"/>
        <v>13</v>
      </c>
      <c r="B30" s="702" t="s">
        <v>98</v>
      </c>
      <c r="C30" s="702"/>
      <c r="D30" s="702"/>
      <c r="E30" s="618">
        <f>'7" 26# Deck Tally'!B13</f>
        <v>387</v>
      </c>
      <c r="F30" s="619">
        <f>'7" 26# Deck Tally'!C13</f>
        <v>33.93</v>
      </c>
      <c r="G30" s="619">
        <f t="shared" si="3"/>
        <v>33.531999999999996</v>
      </c>
      <c r="H30" s="619" t="s">
        <v>9</v>
      </c>
      <c r="I30" s="619">
        <f t="shared" si="1"/>
        <v>398.524</v>
      </c>
      <c r="J30" s="619">
        <f t="shared" si="2"/>
        <v>12364.536</v>
      </c>
      <c r="K30" s="631">
        <f t="shared" si="0"/>
        <v>136.778488171123</v>
      </c>
      <c r="L30" s="716" t="s">
        <v>106</v>
      </c>
      <c r="M30" s="717"/>
      <c r="N30" s="25"/>
      <c r="O30" s="25"/>
      <c r="P30" s="499"/>
      <c r="Q30" s="1003"/>
      <c r="R30" s="1001"/>
      <c r="S30" s="1002"/>
    </row>
    <row r="31" spans="1:20" s="18" customFormat="1" ht="13" customHeight="1">
      <c r="A31" s="617">
        <f t="shared" si="4"/>
        <v>14</v>
      </c>
      <c r="B31" s="702" t="s">
        <v>98</v>
      </c>
      <c r="C31" s="702"/>
      <c r="D31" s="702"/>
      <c r="E31" s="618">
        <f>'7" 26# Deck Tally'!B14</f>
        <v>386</v>
      </c>
      <c r="F31" s="619">
        <f>'7" 26# Deck Tally'!C14</f>
        <v>33.93</v>
      </c>
      <c r="G31" s="619">
        <f t="shared" si="3"/>
        <v>33.531999999999996</v>
      </c>
      <c r="H31" s="619" t="s">
        <v>9</v>
      </c>
      <c r="I31" s="619">
        <f t="shared" si="1"/>
        <v>432.05599999999998</v>
      </c>
      <c r="J31" s="619">
        <f t="shared" si="2"/>
        <v>12331.003999999999</v>
      </c>
      <c r="K31" s="631">
        <f t="shared" si="0"/>
        <v>137.51711436516425</v>
      </c>
      <c r="L31" s="656"/>
      <c r="M31" s="655"/>
      <c r="P31" s="499"/>
      <c r="Q31" s="1003"/>
      <c r="R31" s="1001"/>
      <c r="S31" s="1002"/>
    </row>
    <row r="32" spans="1:20" s="18" customFormat="1" ht="13" customHeight="1">
      <c r="A32" s="617">
        <f t="shared" si="4"/>
        <v>15</v>
      </c>
      <c r="B32" s="702" t="s">
        <v>98</v>
      </c>
      <c r="C32" s="702"/>
      <c r="D32" s="702"/>
      <c r="E32" s="618">
        <f>'7" 26# Deck Tally'!B15</f>
        <v>385</v>
      </c>
      <c r="F32" s="619">
        <f>'7" 26# Deck Tally'!C15</f>
        <v>31.95</v>
      </c>
      <c r="G32" s="619">
        <f t="shared" si="3"/>
        <v>31.552</v>
      </c>
      <c r="H32" s="619" t="s">
        <v>9</v>
      </c>
      <c r="I32" s="619">
        <f t="shared" si="1"/>
        <v>463.608</v>
      </c>
      <c r="J32" s="619">
        <f t="shared" si="2"/>
        <v>12299.451999999999</v>
      </c>
      <c r="K32" s="631">
        <f t="shared" si="0"/>
        <v>138.21212610542398</v>
      </c>
      <c r="L32" s="217"/>
      <c r="M32" s="652"/>
      <c r="N32" s="25"/>
      <c r="O32" s="25"/>
      <c r="P32" s="499"/>
      <c r="Q32" s="1003"/>
      <c r="R32" s="1001"/>
      <c r="S32" s="1002"/>
    </row>
    <row r="33" spans="1:19" s="18" customFormat="1" ht="13" customHeight="1">
      <c r="A33" s="617">
        <f t="shared" si="4"/>
        <v>16</v>
      </c>
      <c r="B33" s="702" t="s">
        <v>98</v>
      </c>
      <c r="C33" s="702"/>
      <c r="D33" s="702"/>
      <c r="E33" s="618">
        <f>'7" 26# Deck Tally'!B16</f>
        <v>384</v>
      </c>
      <c r="F33" s="619">
        <f>'7" 26# Deck Tally'!C16</f>
        <v>33.93</v>
      </c>
      <c r="G33" s="619">
        <f t="shared" si="3"/>
        <v>33.531999999999996</v>
      </c>
      <c r="H33" s="619" t="s">
        <v>9</v>
      </c>
      <c r="I33" s="619">
        <f t="shared" si="1"/>
        <v>497.14</v>
      </c>
      <c r="J33" s="619">
        <f t="shared" si="2"/>
        <v>12265.92</v>
      </c>
      <c r="K33" s="631">
        <f t="shared" si="0"/>
        <v>138.95075229946525</v>
      </c>
      <c r="L33" s="217"/>
      <c r="M33" s="652"/>
      <c r="N33" s="25"/>
      <c r="O33" s="25"/>
      <c r="P33" s="499"/>
      <c r="Q33" s="1003"/>
      <c r="R33" s="1001"/>
      <c r="S33" s="1002"/>
    </row>
    <row r="34" spans="1:19" s="18" customFormat="1" ht="13" customHeight="1">
      <c r="A34" s="617">
        <f t="shared" si="4"/>
        <v>17</v>
      </c>
      <c r="B34" s="702" t="s">
        <v>98</v>
      </c>
      <c r="C34" s="702"/>
      <c r="D34" s="702"/>
      <c r="E34" s="618">
        <f>'7" 26# Deck Tally'!B17</f>
        <v>383</v>
      </c>
      <c r="F34" s="619">
        <f>'7" 26# Deck Tally'!C17</f>
        <v>33.72</v>
      </c>
      <c r="G34" s="619">
        <f t="shared" si="3"/>
        <v>33.321999999999996</v>
      </c>
      <c r="H34" s="619" t="s">
        <v>9</v>
      </c>
      <c r="I34" s="619">
        <f t="shared" si="1"/>
        <v>530.46199999999999</v>
      </c>
      <c r="J34" s="619">
        <f t="shared" si="2"/>
        <v>12232.598</v>
      </c>
      <c r="K34" s="631">
        <f t="shared" si="0"/>
        <v>139.68475271810541</v>
      </c>
      <c r="L34" s="656"/>
      <c r="M34" s="655"/>
      <c r="N34" s="25"/>
      <c r="O34" s="25"/>
      <c r="P34" s="499"/>
      <c r="Q34" s="1003"/>
      <c r="R34" s="1001"/>
      <c r="S34" s="1002"/>
    </row>
    <row r="35" spans="1:19" s="18" customFormat="1" ht="13" customHeight="1">
      <c r="A35" s="617">
        <f t="shared" si="4"/>
        <v>18</v>
      </c>
      <c r="B35" s="702" t="s">
        <v>98</v>
      </c>
      <c r="C35" s="702"/>
      <c r="D35" s="702"/>
      <c r="E35" s="618">
        <f>'7" 26# Deck Tally'!B18</f>
        <v>382</v>
      </c>
      <c r="F35" s="619">
        <f>'7" 26# Deck Tally'!C18</f>
        <v>33.340000000000003</v>
      </c>
      <c r="G35" s="619">
        <f t="shared" si="3"/>
        <v>32.942</v>
      </c>
      <c r="H35" s="619" t="s">
        <v>9</v>
      </c>
      <c r="I35" s="619">
        <f t="shared" si="1"/>
        <v>563.404</v>
      </c>
      <c r="J35" s="619">
        <f t="shared" si="2"/>
        <v>12199.655999999999</v>
      </c>
      <c r="K35" s="631">
        <f t="shared" si="0"/>
        <v>140.41038268601986</v>
      </c>
      <c r="L35" s="217"/>
      <c r="M35" s="652"/>
      <c r="N35" s="25"/>
      <c r="O35" s="25"/>
      <c r="P35" s="499"/>
      <c r="Q35" s="1003"/>
      <c r="R35" s="1001"/>
      <c r="S35" s="1002"/>
    </row>
    <row r="36" spans="1:19" s="18" customFormat="1" ht="13" customHeight="1">
      <c r="A36" s="617">
        <f t="shared" si="4"/>
        <v>19</v>
      </c>
      <c r="B36" s="702" t="s">
        <v>98</v>
      </c>
      <c r="C36" s="702"/>
      <c r="D36" s="702"/>
      <c r="E36" s="618">
        <f>'7" 26# Deck Tally'!B19</f>
        <v>381</v>
      </c>
      <c r="F36" s="619">
        <f>'7" 26# Deck Tally'!C19</f>
        <v>33.71</v>
      </c>
      <c r="G36" s="619">
        <f t="shared" si="3"/>
        <v>33.311999999999998</v>
      </c>
      <c r="H36" s="619" t="s">
        <v>9</v>
      </c>
      <c r="I36" s="619">
        <f t="shared" si="1"/>
        <v>596.71600000000001</v>
      </c>
      <c r="J36" s="619">
        <f t="shared" si="2"/>
        <v>12166.343999999999</v>
      </c>
      <c r="K36" s="631">
        <f t="shared" si="0"/>
        <v>141.14416282964095</v>
      </c>
      <c r="L36" s="217"/>
      <c r="M36" s="652"/>
      <c r="N36" s="25"/>
      <c r="O36" s="25"/>
      <c r="P36" s="499"/>
      <c r="Q36" s="1003"/>
      <c r="R36" s="1001"/>
      <c r="S36" s="1002"/>
    </row>
    <row r="37" spans="1:19" s="18" customFormat="1" ht="13" customHeight="1">
      <c r="A37" s="617">
        <f t="shared" si="4"/>
        <v>20</v>
      </c>
      <c r="B37" s="702" t="s">
        <v>98</v>
      </c>
      <c r="C37" s="702"/>
      <c r="D37" s="702"/>
      <c r="E37" s="618">
        <f>'7" 26# Deck Tally'!B20</f>
        <v>380</v>
      </c>
      <c r="F37" s="619">
        <f>'7" 26# Deck Tally'!C20</f>
        <v>33.5</v>
      </c>
      <c r="G37" s="619">
        <f t="shared" si="3"/>
        <v>33.101999999999997</v>
      </c>
      <c r="H37" s="619" t="s">
        <v>9</v>
      </c>
      <c r="I37" s="619">
        <f t="shared" si="1"/>
        <v>629.81799999999998</v>
      </c>
      <c r="J37" s="619">
        <f t="shared" si="2"/>
        <v>12133.242</v>
      </c>
      <c r="K37" s="631">
        <f t="shared" si="0"/>
        <v>141.87331719786096</v>
      </c>
      <c r="L37" s="217"/>
      <c r="M37" s="652"/>
      <c r="N37" s="25"/>
      <c r="O37" s="25"/>
      <c r="P37" s="499"/>
      <c r="Q37" s="1003"/>
      <c r="R37" s="1001"/>
      <c r="S37" s="1002"/>
    </row>
    <row r="38" spans="1:19" s="18" customFormat="1" ht="13" customHeight="1">
      <c r="A38" s="617">
        <f t="shared" si="4"/>
        <v>21</v>
      </c>
      <c r="B38" s="702" t="s">
        <v>98</v>
      </c>
      <c r="C38" s="702"/>
      <c r="D38" s="702"/>
      <c r="E38" s="618">
        <f>'7" 26# Deck Tally'!B21</f>
        <v>379</v>
      </c>
      <c r="F38" s="619">
        <f>'7" 26# Deck Tally'!C21</f>
        <v>33.630000000000003</v>
      </c>
      <c r="G38" s="619">
        <f t="shared" si="3"/>
        <v>33.231999999999999</v>
      </c>
      <c r="H38" s="619" t="s">
        <v>9</v>
      </c>
      <c r="I38" s="619">
        <f t="shared" si="1"/>
        <v>663.05</v>
      </c>
      <c r="J38" s="619">
        <f t="shared" si="2"/>
        <v>12100.01</v>
      </c>
      <c r="K38" s="631">
        <f t="shared" si="0"/>
        <v>142.60533514132925</v>
      </c>
      <c r="L38" s="217"/>
      <c r="M38" s="652"/>
      <c r="N38" s="25"/>
      <c r="O38" s="25"/>
      <c r="P38" s="499"/>
      <c r="Q38" s="1003"/>
      <c r="R38" s="1001"/>
      <c r="S38" s="1002"/>
    </row>
    <row r="39" spans="1:19" s="18" customFormat="1" ht="13" customHeight="1">
      <c r="A39" s="617">
        <f t="shared" si="4"/>
        <v>22</v>
      </c>
      <c r="B39" s="702" t="s">
        <v>98</v>
      </c>
      <c r="C39" s="702"/>
      <c r="D39" s="702"/>
      <c r="E39" s="618">
        <f>'7" 26# Deck Tally'!B22</f>
        <v>378</v>
      </c>
      <c r="F39" s="619">
        <f>'7" 26# Deck Tally'!C22</f>
        <v>33.33</v>
      </c>
      <c r="G39" s="619">
        <f t="shared" si="3"/>
        <v>32.931999999999995</v>
      </c>
      <c r="H39" s="619" t="s">
        <v>9</v>
      </c>
      <c r="I39" s="619">
        <f t="shared" si="1"/>
        <v>695.98199999999997</v>
      </c>
      <c r="J39" s="619">
        <f t="shared" si="2"/>
        <v>12067.078</v>
      </c>
      <c r="K39" s="631">
        <f t="shared" si="0"/>
        <v>143.33074483422459</v>
      </c>
      <c r="L39" s="275"/>
      <c r="M39" s="655"/>
      <c r="N39" s="351"/>
      <c r="O39" s="351"/>
      <c r="P39" s="499"/>
      <c r="Q39" s="1003"/>
      <c r="R39" s="1001"/>
      <c r="S39" s="1002"/>
    </row>
    <row r="40" spans="1:19" s="18" customFormat="1" ht="13" customHeight="1">
      <c r="A40" s="617">
        <f t="shared" si="4"/>
        <v>23</v>
      </c>
      <c r="B40" s="702" t="s">
        <v>98</v>
      </c>
      <c r="C40" s="702"/>
      <c r="D40" s="702"/>
      <c r="E40" s="618">
        <f>'7" 26# Deck Tally'!B23</f>
        <v>377</v>
      </c>
      <c r="F40" s="619">
        <f>'7" 26# Deck Tally'!C23</f>
        <v>33.82</v>
      </c>
      <c r="G40" s="619">
        <f t="shared" si="3"/>
        <v>33.421999999999997</v>
      </c>
      <c r="H40" s="619" t="s">
        <v>9</v>
      </c>
      <c r="I40" s="619">
        <f t="shared" si="1"/>
        <v>729.404</v>
      </c>
      <c r="J40" s="619">
        <f t="shared" si="2"/>
        <v>12033.655999999999</v>
      </c>
      <c r="K40" s="631">
        <f t="shared" si="0"/>
        <v>144.06694800305576</v>
      </c>
      <c r="L40" s="217"/>
      <c r="M40" s="652"/>
      <c r="N40" s="25"/>
      <c r="O40" s="25"/>
      <c r="P40" s="499"/>
      <c r="Q40" s="1003"/>
      <c r="R40" s="1001"/>
      <c r="S40" s="1002"/>
    </row>
    <row r="41" spans="1:19" s="18" customFormat="1" ht="13" customHeight="1">
      <c r="A41" s="617">
        <f t="shared" si="4"/>
        <v>24</v>
      </c>
      <c r="B41" s="702" t="s">
        <v>98</v>
      </c>
      <c r="C41" s="702"/>
      <c r="D41" s="702"/>
      <c r="E41" s="618">
        <f>'7" 26# Deck Tally'!B24</f>
        <v>376</v>
      </c>
      <c r="F41" s="619">
        <f>'7" 26# Deck Tally'!C24</f>
        <v>33.85</v>
      </c>
      <c r="G41" s="619">
        <f t="shared" si="3"/>
        <v>33.451999999999998</v>
      </c>
      <c r="H41" s="619" t="s">
        <v>9</v>
      </c>
      <c r="I41" s="619">
        <f t="shared" si="1"/>
        <v>762.85599999999999</v>
      </c>
      <c r="J41" s="619">
        <f t="shared" si="2"/>
        <v>12000.204</v>
      </c>
      <c r="K41" s="631">
        <f t="shared" si="0"/>
        <v>144.80381199694423</v>
      </c>
      <c r="L41" s="217"/>
      <c r="M41" s="652"/>
      <c r="N41" s="25"/>
      <c r="O41" s="25"/>
      <c r="P41" s="499"/>
      <c r="Q41" s="1003"/>
      <c r="R41" s="1001"/>
      <c r="S41" s="1002"/>
    </row>
    <row r="42" spans="1:19" s="18" customFormat="1" ht="13" customHeight="1">
      <c r="A42" s="617">
        <f t="shared" si="4"/>
        <v>25</v>
      </c>
      <c r="B42" s="702" t="s">
        <v>98</v>
      </c>
      <c r="C42" s="702"/>
      <c r="D42" s="702"/>
      <c r="E42" s="618">
        <f>'7" 26# Deck Tally'!B25</f>
        <v>375</v>
      </c>
      <c r="F42" s="619">
        <f>'7" 26# Deck Tally'!C25</f>
        <v>33.47</v>
      </c>
      <c r="G42" s="619">
        <f t="shared" si="3"/>
        <v>33.071999999999996</v>
      </c>
      <c r="H42" s="619" t="s">
        <v>9</v>
      </c>
      <c r="I42" s="619">
        <f t="shared" si="1"/>
        <v>795.928</v>
      </c>
      <c r="J42" s="619">
        <f t="shared" si="2"/>
        <v>11967.132</v>
      </c>
      <c r="K42" s="631">
        <f t="shared" si="0"/>
        <v>145.53230554010696</v>
      </c>
      <c r="L42" s="217"/>
      <c r="M42" s="652"/>
      <c r="N42" s="25"/>
      <c r="O42" s="25"/>
      <c r="P42" s="499"/>
      <c r="Q42" s="1003"/>
      <c r="R42" s="1001"/>
      <c r="S42" s="1002"/>
    </row>
    <row r="43" spans="1:19" s="18" customFormat="1" ht="13" customHeight="1">
      <c r="A43" s="617">
        <f t="shared" si="4"/>
        <v>26</v>
      </c>
      <c r="B43" s="702" t="s">
        <v>98</v>
      </c>
      <c r="C43" s="702"/>
      <c r="D43" s="702"/>
      <c r="E43" s="618">
        <f>'7" 26# Deck Tally'!B26</f>
        <v>374</v>
      </c>
      <c r="F43" s="619">
        <f>'7" 26# Deck Tally'!C26</f>
        <v>33.65</v>
      </c>
      <c r="G43" s="619">
        <f t="shared" si="3"/>
        <v>33.251999999999995</v>
      </c>
      <c r="H43" s="619" t="s">
        <v>9</v>
      </c>
      <c r="I43" s="619">
        <f t="shared" si="1"/>
        <v>829.18</v>
      </c>
      <c r="J43" s="619">
        <f t="shared" si="2"/>
        <v>11933.88</v>
      </c>
      <c r="K43" s="631">
        <f t="shared" si="0"/>
        <v>146.26476403361346</v>
      </c>
      <c r="L43" s="217"/>
      <c r="M43" s="652"/>
      <c r="N43" s="25"/>
      <c r="O43" s="25"/>
      <c r="P43" s="499"/>
      <c r="Q43" s="1003"/>
      <c r="R43" s="1001"/>
      <c r="S43" s="1002"/>
    </row>
    <row r="44" spans="1:19" s="18" customFormat="1" ht="13" customHeight="1">
      <c r="A44" s="617">
        <f t="shared" si="4"/>
        <v>27</v>
      </c>
      <c r="B44" s="702" t="s">
        <v>98</v>
      </c>
      <c r="C44" s="702"/>
      <c r="D44" s="702"/>
      <c r="E44" s="618">
        <f>'7" 26# Deck Tally'!B27</f>
        <v>373</v>
      </c>
      <c r="F44" s="619">
        <f>'7" 26# Deck Tally'!C27</f>
        <v>33.92</v>
      </c>
      <c r="G44" s="619">
        <f t="shared" si="3"/>
        <v>33.521999999999998</v>
      </c>
      <c r="H44" s="619" t="s">
        <v>9</v>
      </c>
      <c r="I44" s="619">
        <f t="shared" si="1"/>
        <v>862.702</v>
      </c>
      <c r="J44" s="619">
        <f t="shared" si="2"/>
        <v>11900.358</v>
      </c>
      <c r="K44" s="631">
        <f t="shared" si="0"/>
        <v>147.0031699526356</v>
      </c>
      <c r="L44" s="217"/>
      <c r="M44" s="652"/>
      <c r="N44" s="25"/>
      <c r="O44" s="25"/>
      <c r="P44" s="499"/>
      <c r="Q44" s="1003"/>
      <c r="R44" s="1001"/>
      <c r="S44" s="1002"/>
    </row>
    <row r="45" spans="1:19" s="18" customFormat="1" ht="13" customHeight="1">
      <c r="A45" s="617">
        <f t="shared" si="4"/>
        <v>28</v>
      </c>
      <c r="B45" s="702" t="s">
        <v>98</v>
      </c>
      <c r="C45" s="702"/>
      <c r="D45" s="702"/>
      <c r="E45" s="618">
        <f>'7" 26# Deck Tally'!B28</f>
        <v>372</v>
      </c>
      <c r="F45" s="619">
        <f>'7" 26# Deck Tally'!C28</f>
        <v>33.840000000000003</v>
      </c>
      <c r="G45" s="619">
        <f t="shared" si="3"/>
        <v>33.442</v>
      </c>
      <c r="H45" s="619" t="s">
        <v>9</v>
      </c>
      <c r="I45" s="619">
        <f t="shared" si="1"/>
        <v>896.14400000000001</v>
      </c>
      <c r="J45" s="619">
        <f t="shared" si="2"/>
        <v>11866.915999999999</v>
      </c>
      <c r="K45" s="631">
        <f t="shared" si="0"/>
        <v>147.73981367150498</v>
      </c>
      <c r="L45" s="217"/>
      <c r="M45" s="652"/>
      <c r="N45" s="25"/>
      <c r="O45" s="25"/>
      <c r="P45" s="499"/>
      <c r="Q45" s="1003"/>
      <c r="R45" s="1001"/>
      <c r="S45" s="1002"/>
    </row>
    <row r="46" spans="1:19" s="18" customFormat="1" ht="13" customHeight="1">
      <c r="A46" s="617">
        <f t="shared" si="4"/>
        <v>29</v>
      </c>
      <c r="B46" s="702" t="s">
        <v>98</v>
      </c>
      <c r="C46" s="702"/>
      <c r="D46" s="702"/>
      <c r="E46" s="618">
        <f>'7" 26# Deck Tally'!B29</f>
        <v>371</v>
      </c>
      <c r="F46" s="619">
        <f>'7" 26# Deck Tally'!C29</f>
        <v>33.94</v>
      </c>
      <c r="G46" s="619">
        <f t="shared" si="3"/>
        <v>33.541999999999994</v>
      </c>
      <c r="H46" s="619" t="s">
        <v>9</v>
      </c>
      <c r="I46" s="619">
        <f t="shared" si="1"/>
        <v>929.68600000000004</v>
      </c>
      <c r="J46" s="619">
        <f t="shared" si="2"/>
        <v>11833.374</v>
      </c>
      <c r="K46" s="631">
        <f t="shared" si="0"/>
        <v>148.47866014056532</v>
      </c>
      <c r="L46" s="217"/>
      <c r="M46" s="652"/>
      <c r="N46" s="25"/>
      <c r="O46" s="25"/>
      <c r="P46" s="499"/>
      <c r="Q46" s="1003"/>
      <c r="R46" s="1001"/>
      <c r="S46" s="1002"/>
    </row>
    <row r="47" spans="1:19" s="18" customFormat="1" ht="13" customHeight="1">
      <c r="A47" s="617">
        <f t="shared" si="4"/>
        <v>30</v>
      </c>
      <c r="B47" s="702" t="s">
        <v>98</v>
      </c>
      <c r="C47" s="702"/>
      <c r="D47" s="702"/>
      <c r="E47" s="618">
        <f>'7" 26# Deck Tally'!B30</f>
        <v>370</v>
      </c>
      <c r="F47" s="619">
        <f>'7" 26# Deck Tally'!C30</f>
        <v>33.94</v>
      </c>
      <c r="G47" s="619">
        <f t="shared" si="3"/>
        <v>33.541999999999994</v>
      </c>
      <c r="H47" s="619" t="s">
        <v>9</v>
      </c>
      <c r="I47" s="619">
        <f t="shared" si="1"/>
        <v>963.22800000000007</v>
      </c>
      <c r="J47" s="619">
        <f t="shared" si="2"/>
        <v>11799.831999999999</v>
      </c>
      <c r="K47" s="631">
        <f t="shared" si="0"/>
        <v>149.21750660962567</v>
      </c>
      <c r="L47" s="217"/>
      <c r="M47" s="652"/>
      <c r="N47" s="25"/>
      <c r="O47" s="25"/>
      <c r="P47" s="499"/>
      <c r="Q47" s="1003"/>
      <c r="R47" s="1001"/>
      <c r="S47" s="1002"/>
    </row>
    <row r="48" spans="1:19" s="18" customFormat="1" ht="13" customHeight="1">
      <c r="A48" s="617">
        <f t="shared" si="4"/>
        <v>31</v>
      </c>
      <c r="B48" s="702" t="s">
        <v>98</v>
      </c>
      <c r="C48" s="702"/>
      <c r="D48" s="702"/>
      <c r="E48" s="618">
        <f>'7" 26# Deck Tally'!B31</f>
        <v>369</v>
      </c>
      <c r="F48" s="619">
        <f>'7" 26# Deck Tally'!C31</f>
        <v>33.49</v>
      </c>
      <c r="G48" s="619">
        <f t="shared" si="3"/>
        <v>33.091999999999999</v>
      </c>
      <c r="H48" s="619" t="s">
        <v>9</v>
      </c>
      <c r="I48" s="619">
        <f t="shared" si="1"/>
        <v>996.32</v>
      </c>
      <c r="J48" s="619">
        <f t="shared" si="2"/>
        <v>11766.74</v>
      </c>
      <c r="K48" s="631">
        <f t="shared" si="0"/>
        <v>149.94644070282658</v>
      </c>
      <c r="L48" s="217"/>
      <c r="M48" s="652"/>
      <c r="N48" s="25"/>
      <c r="O48" s="25"/>
      <c r="P48" s="499"/>
      <c r="Q48" s="1003"/>
      <c r="R48" s="1001"/>
      <c r="S48" s="1002"/>
    </row>
    <row r="49" spans="1:19" s="18" customFormat="1" ht="13" customHeight="1">
      <c r="A49" s="617">
        <f t="shared" si="4"/>
        <v>32</v>
      </c>
      <c r="B49" s="702" t="s">
        <v>98</v>
      </c>
      <c r="C49" s="702"/>
      <c r="D49" s="702"/>
      <c r="E49" s="618">
        <f>'7" 26# Deck Tally'!B32</f>
        <v>368</v>
      </c>
      <c r="F49" s="619">
        <f>'7" 26# Deck Tally'!C32</f>
        <v>33.6</v>
      </c>
      <c r="G49" s="619">
        <f t="shared" si="3"/>
        <v>33.201999999999998</v>
      </c>
      <c r="H49" s="619" t="s">
        <v>9</v>
      </c>
      <c r="I49" s="619">
        <f t="shared" si="1"/>
        <v>1029.5219999999999</v>
      </c>
      <c r="J49" s="619">
        <f t="shared" si="2"/>
        <v>11733.538</v>
      </c>
      <c r="K49" s="631">
        <f t="shared" si="0"/>
        <v>150.67779782123759</v>
      </c>
      <c r="L49" s="217"/>
      <c r="M49" s="532"/>
      <c r="N49" s="25"/>
      <c r="O49" s="25"/>
      <c r="P49" s="499"/>
      <c r="Q49" s="1003"/>
      <c r="R49" s="1001"/>
      <c r="S49" s="1002"/>
    </row>
    <row r="50" spans="1:19" s="18" customFormat="1" ht="13" customHeight="1">
      <c r="A50" s="617">
        <f t="shared" si="4"/>
        <v>33</v>
      </c>
      <c r="B50" s="702" t="s">
        <v>98</v>
      </c>
      <c r="C50" s="702"/>
      <c r="D50" s="702"/>
      <c r="E50" s="618">
        <f>'7" 26# Deck Tally'!B33</f>
        <v>367</v>
      </c>
      <c r="F50" s="619">
        <f>'7" 26# Deck Tally'!C33</f>
        <v>33.19</v>
      </c>
      <c r="G50" s="619">
        <f t="shared" si="3"/>
        <v>32.791999999999994</v>
      </c>
      <c r="H50" s="619" t="s">
        <v>9</v>
      </c>
      <c r="I50" s="619">
        <f t="shared" si="1"/>
        <v>1062.3139999999999</v>
      </c>
      <c r="J50" s="619">
        <f t="shared" si="2"/>
        <v>11700.745999999999</v>
      </c>
      <c r="K50" s="631">
        <f t="shared" si="0"/>
        <v>151.40012366386554</v>
      </c>
      <c r="L50" s="217"/>
      <c r="M50" s="532"/>
      <c r="N50" s="25"/>
      <c r="O50" s="25"/>
      <c r="P50" s="499"/>
      <c r="Q50" s="1003"/>
      <c r="R50" s="1001"/>
      <c r="S50" s="1002"/>
    </row>
    <row r="51" spans="1:19" s="18" customFormat="1" ht="13" customHeight="1">
      <c r="A51" s="617">
        <f t="shared" si="4"/>
        <v>34</v>
      </c>
      <c r="B51" s="702" t="s">
        <v>98</v>
      </c>
      <c r="C51" s="702"/>
      <c r="D51" s="702"/>
      <c r="E51" s="618">
        <f>'7" 26# Deck Tally'!B34</f>
        <v>366</v>
      </c>
      <c r="F51" s="619">
        <f>'7" 26# Deck Tally'!C34</f>
        <v>33.36</v>
      </c>
      <c r="G51" s="619">
        <f t="shared" si="3"/>
        <v>32.961999999999996</v>
      </c>
      <c r="H51" s="619" t="s">
        <v>9</v>
      </c>
      <c r="I51" s="619">
        <f t="shared" si="1"/>
        <v>1095.2759999999998</v>
      </c>
      <c r="J51" s="619">
        <f t="shared" si="2"/>
        <v>11667.784</v>
      </c>
      <c r="K51" s="631">
        <f t="shared" si="0"/>
        <v>152.12619418181816</v>
      </c>
      <c r="L51" s="217" t="s">
        <v>8</v>
      </c>
      <c r="M51" s="532"/>
      <c r="N51" s="25"/>
      <c r="O51" s="25"/>
      <c r="P51" s="499"/>
      <c r="Q51" s="1003"/>
      <c r="R51" s="1001"/>
      <c r="S51" s="1002"/>
    </row>
    <row r="52" spans="1:19" s="18" customFormat="1" ht="13" customHeight="1">
      <c r="A52" s="617">
        <f t="shared" si="4"/>
        <v>35</v>
      </c>
      <c r="B52" s="702" t="s">
        <v>98</v>
      </c>
      <c r="C52" s="702"/>
      <c r="D52" s="702"/>
      <c r="E52" s="618">
        <f>'7" 26# Deck Tally'!B35</f>
        <v>365</v>
      </c>
      <c r="F52" s="619">
        <f>'7" 26# Deck Tally'!C35</f>
        <v>33.31</v>
      </c>
      <c r="G52" s="619">
        <f t="shared" si="3"/>
        <v>32.911999999999999</v>
      </c>
      <c r="H52" s="619" t="s">
        <v>9</v>
      </c>
      <c r="I52" s="619">
        <f t="shared" si="1"/>
        <v>1128.1879999999999</v>
      </c>
      <c r="J52" s="619">
        <f t="shared" si="2"/>
        <v>11634.871999999999</v>
      </c>
      <c r="K52" s="631">
        <f t="shared" si="0"/>
        <v>152.85116332467533</v>
      </c>
      <c r="L52" s="217"/>
      <c r="M52" s="532"/>
      <c r="N52" s="25"/>
      <c r="O52" s="25"/>
      <c r="P52" s="499"/>
      <c r="Q52" s="1003"/>
      <c r="R52" s="1001"/>
      <c r="S52" s="1002"/>
    </row>
    <row r="53" spans="1:19" s="18" customFormat="1" ht="13" customHeight="1">
      <c r="A53" s="617">
        <f t="shared" si="4"/>
        <v>36</v>
      </c>
      <c r="B53" s="702" t="s">
        <v>98</v>
      </c>
      <c r="C53" s="702"/>
      <c r="D53" s="702"/>
      <c r="E53" s="618">
        <f>'7" 26# Deck Tally'!B36</f>
        <v>364</v>
      </c>
      <c r="F53" s="619">
        <f>'7" 26# Deck Tally'!C36</f>
        <v>33.520000000000003</v>
      </c>
      <c r="G53" s="619">
        <f t="shared" si="3"/>
        <v>33.122</v>
      </c>
      <c r="H53" s="619" t="s">
        <v>9</v>
      </c>
      <c r="I53" s="619">
        <f t="shared" si="1"/>
        <v>1161.31</v>
      </c>
      <c r="J53" s="619">
        <f t="shared" si="2"/>
        <v>11601.75</v>
      </c>
      <c r="K53" s="631">
        <f t="shared" si="0"/>
        <v>153.58075824293354</v>
      </c>
      <c r="L53" s="217"/>
      <c r="M53" s="532"/>
      <c r="N53" s="25"/>
      <c r="O53" s="25"/>
      <c r="P53" s="499"/>
      <c r="Q53" s="1003"/>
      <c r="R53" s="1001"/>
      <c r="S53" s="1002"/>
    </row>
    <row r="54" spans="1:19" s="18" customFormat="1" ht="13" customHeight="1">
      <c r="A54" s="617">
        <f t="shared" si="4"/>
        <v>37</v>
      </c>
      <c r="B54" s="702" t="s">
        <v>98</v>
      </c>
      <c r="C54" s="702"/>
      <c r="D54" s="702"/>
      <c r="E54" s="618">
        <f>'7" 26# Deck Tally'!B37</f>
        <v>363</v>
      </c>
      <c r="F54" s="619">
        <f>'7" 26# Deck Tally'!C37</f>
        <v>33.46</v>
      </c>
      <c r="G54" s="619">
        <f t="shared" si="3"/>
        <v>33.061999999999998</v>
      </c>
      <c r="H54" s="619" t="s">
        <v>9</v>
      </c>
      <c r="I54" s="619">
        <f t="shared" si="1"/>
        <v>1194.3719999999998</v>
      </c>
      <c r="J54" s="619">
        <f t="shared" si="2"/>
        <v>11568.688</v>
      </c>
      <c r="K54" s="631">
        <f t="shared" si="0"/>
        <v>154.30903151107717</v>
      </c>
      <c r="L54" s="217"/>
      <c r="M54" s="532"/>
      <c r="N54" s="25"/>
      <c r="O54" s="25"/>
      <c r="P54" s="499"/>
      <c r="Q54" s="1003"/>
      <c r="R54" s="1001"/>
      <c r="S54" s="1002"/>
    </row>
    <row r="55" spans="1:19" s="18" customFormat="1" ht="13" customHeight="1">
      <c r="A55" s="617">
        <f t="shared" si="4"/>
        <v>38</v>
      </c>
      <c r="B55" s="702" t="s">
        <v>98</v>
      </c>
      <c r="C55" s="702"/>
      <c r="D55" s="702"/>
      <c r="E55" s="618">
        <f>'7" 26# Deck Tally'!B38</f>
        <v>362</v>
      </c>
      <c r="F55" s="619">
        <f>'7" 26# Deck Tally'!C38</f>
        <v>33.299999999999997</v>
      </c>
      <c r="G55" s="619">
        <f t="shared" si="3"/>
        <v>32.901999999999994</v>
      </c>
      <c r="H55" s="619" t="s">
        <v>9</v>
      </c>
      <c r="I55" s="619">
        <f t="shared" si="1"/>
        <v>1227.2739999999999</v>
      </c>
      <c r="J55" s="619">
        <f t="shared" si="2"/>
        <v>11535.786</v>
      </c>
      <c r="K55" s="631">
        <f t="shared" si="0"/>
        <v>155.0337803789152</v>
      </c>
      <c r="L55" s="217"/>
      <c r="M55" s="532"/>
      <c r="N55" s="25"/>
      <c r="O55" s="25"/>
      <c r="P55" s="499"/>
      <c r="Q55" s="1003"/>
      <c r="R55" s="1001"/>
      <c r="S55" s="1002"/>
    </row>
    <row r="56" spans="1:19" s="18" customFormat="1" ht="13" customHeight="1">
      <c r="A56" s="617">
        <f t="shared" si="4"/>
        <v>39</v>
      </c>
      <c r="B56" s="702" t="s">
        <v>98</v>
      </c>
      <c r="C56" s="702"/>
      <c r="D56" s="702"/>
      <c r="E56" s="618">
        <f>'7" 26# Deck Tally'!B39</f>
        <v>361</v>
      </c>
      <c r="F56" s="619">
        <f>'7" 26# Deck Tally'!C39</f>
        <v>33.43</v>
      </c>
      <c r="G56" s="619">
        <f t="shared" si="3"/>
        <v>33.031999999999996</v>
      </c>
      <c r="H56" s="619" t="s">
        <v>9</v>
      </c>
      <c r="I56" s="619">
        <f t="shared" si="1"/>
        <v>1260.3059999999998</v>
      </c>
      <c r="J56" s="619">
        <f t="shared" si="2"/>
        <v>11502.753999999999</v>
      </c>
      <c r="K56" s="631">
        <f t="shared" si="0"/>
        <v>155.76139282200151</v>
      </c>
      <c r="L56" s="217"/>
      <c r="M56" s="532"/>
      <c r="N56" s="25"/>
      <c r="O56" s="25"/>
      <c r="P56" s="499"/>
      <c r="Q56" s="1003"/>
      <c r="R56" s="1001"/>
      <c r="S56" s="1002"/>
    </row>
    <row r="57" spans="1:19" s="18" customFormat="1" ht="13" customHeight="1">
      <c r="A57" s="617">
        <f t="shared" si="4"/>
        <v>40</v>
      </c>
      <c r="B57" s="702" t="s">
        <v>98</v>
      </c>
      <c r="C57" s="702"/>
      <c r="D57" s="702"/>
      <c r="E57" s="618">
        <f>'7" 26# Deck Tally'!B40</f>
        <v>360</v>
      </c>
      <c r="F57" s="619">
        <f>'7" 26# Deck Tally'!C40</f>
        <v>33.409999999999997</v>
      </c>
      <c r="G57" s="619">
        <f t="shared" si="3"/>
        <v>33.011999999999993</v>
      </c>
      <c r="H57" s="619" t="s">
        <v>9</v>
      </c>
      <c r="I57" s="619">
        <f t="shared" si="1"/>
        <v>1293.3179999999998</v>
      </c>
      <c r="J57" s="619">
        <f t="shared" si="2"/>
        <v>11469.742</v>
      </c>
      <c r="K57" s="631">
        <f t="shared" si="0"/>
        <v>156.48856471504965</v>
      </c>
      <c r="L57" s="249"/>
      <c r="M57" s="220"/>
      <c r="N57" s="25"/>
      <c r="O57" s="25"/>
      <c r="P57" s="499"/>
      <c r="Q57" s="1003"/>
      <c r="R57" s="1001"/>
      <c r="S57" s="1002"/>
    </row>
    <row r="58" spans="1:19" s="18" customFormat="1" ht="13" customHeight="1">
      <c r="A58" s="617">
        <f t="shared" si="4"/>
        <v>41</v>
      </c>
      <c r="B58" s="702" t="s">
        <v>98</v>
      </c>
      <c r="C58" s="702"/>
      <c r="D58" s="702"/>
      <c r="E58" s="618">
        <f>'7" 26# Deck Tally'!B41</f>
        <v>359</v>
      </c>
      <c r="F58" s="619">
        <f>'7" 26# Deck Tally'!C41</f>
        <v>33.64</v>
      </c>
      <c r="G58" s="619">
        <f t="shared" si="3"/>
        <v>33.241999999999997</v>
      </c>
      <c r="H58" s="619" t="s">
        <v>9</v>
      </c>
      <c r="I58" s="619">
        <f t="shared" si="1"/>
        <v>1326.5599999999997</v>
      </c>
      <c r="J58" s="619">
        <f t="shared" si="2"/>
        <v>11436.5</v>
      </c>
      <c r="K58" s="631">
        <f t="shared" si="0"/>
        <v>157.22080293353704</v>
      </c>
      <c r="L58" s="656"/>
      <c r="M58" s="532"/>
      <c r="N58" s="25"/>
      <c r="O58" s="25"/>
      <c r="P58" s="499"/>
      <c r="Q58" s="1003"/>
      <c r="R58" s="1001"/>
      <c r="S58" s="1002"/>
    </row>
    <row r="59" spans="1:19" s="18" customFormat="1" ht="13" customHeight="1">
      <c r="A59" s="617">
        <f t="shared" si="4"/>
        <v>42</v>
      </c>
      <c r="B59" s="702" t="s">
        <v>98</v>
      </c>
      <c r="C59" s="702"/>
      <c r="D59" s="702"/>
      <c r="E59" s="618">
        <f>'7" 26# Deck Tally'!B42</f>
        <v>358</v>
      </c>
      <c r="F59" s="619">
        <f>'7" 26# Deck Tally'!C42</f>
        <v>33.39</v>
      </c>
      <c r="G59" s="619">
        <f t="shared" si="3"/>
        <v>32.991999999999997</v>
      </c>
      <c r="H59" s="619" t="s">
        <v>9</v>
      </c>
      <c r="I59" s="619">
        <f t="shared" si="1"/>
        <v>1359.5519999999997</v>
      </c>
      <c r="J59" s="619">
        <f t="shared" si="2"/>
        <v>11403.508</v>
      </c>
      <c r="K59" s="631">
        <f t="shared" si="0"/>
        <v>157.94753427654697</v>
      </c>
      <c r="L59" s="249"/>
      <c r="M59" s="532"/>
      <c r="N59" s="25"/>
      <c r="O59" s="25"/>
      <c r="P59" s="499"/>
      <c r="Q59" s="1003"/>
      <c r="R59" s="1001"/>
      <c r="S59" s="1002"/>
    </row>
    <row r="60" spans="1:19" s="18" customFormat="1" ht="13" customHeight="1">
      <c r="A60" s="617">
        <f t="shared" si="4"/>
        <v>43</v>
      </c>
      <c r="B60" s="702" t="s">
        <v>98</v>
      </c>
      <c r="C60" s="702"/>
      <c r="D60" s="702"/>
      <c r="E60" s="618">
        <f>'7" 26# Deck Tally'!B43</f>
        <v>357</v>
      </c>
      <c r="F60" s="619">
        <f>'7" 26# Deck Tally'!C43</f>
        <v>33.89</v>
      </c>
      <c r="G60" s="619">
        <f t="shared" si="3"/>
        <v>33.491999999999997</v>
      </c>
      <c r="H60" s="619" t="s">
        <v>9</v>
      </c>
      <c r="I60" s="619">
        <f t="shared" si="1"/>
        <v>1393.0439999999996</v>
      </c>
      <c r="J60" s="619">
        <f t="shared" si="2"/>
        <v>11370.016</v>
      </c>
      <c r="K60" s="631">
        <f t="shared" si="0"/>
        <v>158.68527937051184</v>
      </c>
      <c r="L60" s="656"/>
      <c r="M60" s="532"/>
      <c r="N60" s="25"/>
      <c r="O60" s="25"/>
      <c r="P60" s="499"/>
      <c r="Q60" s="1003"/>
      <c r="R60" s="1001"/>
      <c r="S60" s="1002"/>
    </row>
    <row r="61" spans="1:19" s="18" customFormat="1" ht="13" customHeight="1">
      <c r="A61" s="617">
        <f t="shared" si="4"/>
        <v>44</v>
      </c>
      <c r="B61" s="702" t="s">
        <v>98</v>
      </c>
      <c r="C61" s="702"/>
      <c r="D61" s="702"/>
      <c r="E61" s="618">
        <f>'7" 26# Deck Tally'!B44</f>
        <v>356</v>
      </c>
      <c r="F61" s="619">
        <f>'7" 26# Deck Tally'!C44</f>
        <v>33.46</v>
      </c>
      <c r="G61" s="619">
        <f t="shared" si="3"/>
        <v>33.061999999999998</v>
      </c>
      <c r="H61" s="619" t="s">
        <v>9</v>
      </c>
      <c r="I61" s="619">
        <f t="shared" si="1"/>
        <v>1426.1059999999995</v>
      </c>
      <c r="J61" s="619">
        <f t="shared" si="2"/>
        <v>11336.954</v>
      </c>
      <c r="K61" s="631">
        <f t="shared" si="0"/>
        <v>159.41355263865546</v>
      </c>
      <c r="L61" s="249"/>
      <c r="M61" s="221"/>
      <c r="N61" s="25"/>
      <c r="O61" s="25"/>
      <c r="P61" s="499"/>
      <c r="Q61" s="1003"/>
      <c r="R61" s="1001"/>
      <c r="S61" s="1002"/>
    </row>
    <row r="62" spans="1:19" s="18" customFormat="1" ht="13" customHeight="1">
      <c r="A62" s="617">
        <f t="shared" si="4"/>
        <v>45</v>
      </c>
      <c r="B62" s="702" t="s">
        <v>98</v>
      </c>
      <c r="C62" s="702"/>
      <c r="D62" s="702"/>
      <c r="E62" s="618">
        <f>'7" 26# Deck Tally'!B45</f>
        <v>355</v>
      </c>
      <c r="F62" s="619">
        <f>'7" 26# Deck Tally'!C45</f>
        <v>33.229999999999997</v>
      </c>
      <c r="G62" s="619">
        <f t="shared" si="3"/>
        <v>32.831999999999994</v>
      </c>
      <c r="H62" s="619" t="s">
        <v>9</v>
      </c>
      <c r="I62" s="619">
        <f t="shared" si="1"/>
        <v>1458.9379999999996</v>
      </c>
      <c r="J62" s="619">
        <f t="shared" si="2"/>
        <v>11304.121999999999</v>
      </c>
      <c r="K62" s="631">
        <f t="shared" si="0"/>
        <v>160.1367595813598</v>
      </c>
      <c r="L62" s="656"/>
      <c r="M62" s="532"/>
      <c r="N62" s="25"/>
      <c r="O62" s="25"/>
      <c r="P62" s="499"/>
      <c r="Q62" s="1003"/>
      <c r="R62" s="1001"/>
      <c r="S62" s="1002"/>
    </row>
    <row r="63" spans="1:19" s="18" customFormat="1" ht="13" customHeight="1">
      <c r="A63" s="617">
        <f t="shared" si="4"/>
        <v>46</v>
      </c>
      <c r="B63" s="702" t="s">
        <v>98</v>
      </c>
      <c r="C63" s="702"/>
      <c r="D63" s="702"/>
      <c r="E63" s="618">
        <f>'7" 26# Deck Tally'!B46</f>
        <v>354</v>
      </c>
      <c r="F63" s="619">
        <f>'7" 26# Deck Tally'!C46</f>
        <v>33.520000000000003</v>
      </c>
      <c r="G63" s="619">
        <f t="shared" si="3"/>
        <v>33.122</v>
      </c>
      <c r="H63" s="619" t="s">
        <v>9</v>
      </c>
      <c r="I63" s="619">
        <f t="shared" si="1"/>
        <v>1492.0599999999997</v>
      </c>
      <c r="J63" s="619">
        <f t="shared" si="2"/>
        <v>11271</v>
      </c>
      <c r="K63" s="631">
        <f t="shared" si="0"/>
        <v>160.86635449961801</v>
      </c>
      <c r="L63" s="250"/>
      <c r="M63" s="220"/>
      <c r="N63" s="25"/>
      <c r="O63" s="25"/>
      <c r="P63" s="499"/>
      <c r="Q63" s="1003"/>
      <c r="R63" s="1001"/>
      <c r="S63" s="1002"/>
    </row>
    <row r="64" spans="1:19" s="18" customFormat="1" ht="13" customHeight="1">
      <c r="A64" s="617">
        <f t="shared" si="4"/>
        <v>47</v>
      </c>
      <c r="B64" s="702" t="s">
        <v>98</v>
      </c>
      <c r="C64" s="702"/>
      <c r="D64" s="702"/>
      <c r="E64" s="618">
        <f>'7" 26# Deck Tally'!B47</f>
        <v>353</v>
      </c>
      <c r="F64" s="619">
        <f>'7" 26# Deck Tally'!C47</f>
        <v>33.090000000000003</v>
      </c>
      <c r="G64" s="619">
        <f t="shared" si="3"/>
        <v>32.692</v>
      </c>
      <c r="H64" s="619" t="s">
        <v>9</v>
      </c>
      <c r="I64" s="619">
        <f t="shared" si="1"/>
        <v>1524.7519999999997</v>
      </c>
      <c r="J64" s="619">
        <f t="shared" si="2"/>
        <v>11238.307999999999</v>
      </c>
      <c r="K64" s="631">
        <f t="shared" si="0"/>
        <v>161.58647759205502</v>
      </c>
      <c r="L64" s="540"/>
      <c r="M64" s="532"/>
      <c r="N64" s="25"/>
      <c r="O64" s="25"/>
      <c r="P64" s="499"/>
      <c r="Q64" s="1003"/>
      <c r="R64" s="1001"/>
      <c r="S64" s="1002"/>
    </row>
    <row r="65" spans="1:19" s="18" customFormat="1" ht="13" customHeight="1">
      <c r="A65" s="617">
        <f t="shared" si="4"/>
        <v>48</v>
      </c>
      <c r="B65" s="702" t="s">
        <v>98</v>
      </c>
      <c r="C65" s="702"/>
      <c r="D65" s="702"/>
      <c r="E65" s="618">
        <f>'7" 26# Deck Tally'!B48</f>
        <v>352</v>
      </c>
      <c r="F65" s="619">
        <f>'7" 26# Deck Tally'!C48</f>
        <v>33.94</v>
      </c>
      <c r="G65" s="619">
        <f t="shared" si="3"/>
        <v>33.541999999999994</v>
      </c>
      <c r="H65" s="619" t="s">
        <v>9</v>
      </c>
      <c r="I65" s="619">
        <f t="shared" si="1"/>
        <v>1558.2939999999996</v>
      </c>
      <c r="J65" s="619">
        <f t="shared" si="2"/>
        <v>11204.766</v>
      </c>
      <c r="K65" s="631">
        <f t="shared" si="0"/>
        <v>162.32532406111534</v>
      </c>
      <c r="L65" s="250"/>
      <c r="M65" s="220"/>
      <c r="N65" s="25"/>
      <c r="O65" s="25"/>
      <c r="P65" s="499"/>
      <c r="Q65" s="1003"/>
      <c r="R65" s="1001"/>
      <c r="S65" s="1002"/>
    </row>
    <row r="66" spans="1:19" s="18" customFormat="1" ht="13" customHeight="1">
      <c r="A66" s="617">
        <f t="shared" si="4"/>
        <v>49</v>
      </c>
      <c r="B66" s="702" t="s">
        <v>98</v>
      </c>
      <c r="C66" s="702"/>
      <c r="D66" s="702"/>
      <c r="E66" s="618">
        <f>'7" 26# Deck Tally'!B49</f>
        <v>351</v>
      </c>
      <c r="F66" s="619">
        <f>'7" 26# Deck Tally'!C49</f>
        <v>33.64</v>
      </c>
      <c r="G66" s="619">
        <f t="shared" si="3"/>
        <v>33.241999999999997</v>
      </c>
      <c r="H66" s="619" t="s">
        <v>9</v>
      </c>
      <c r="I66" s="619">
        <f t="shared" si="1"/>
        <v>1591.5359999999996</v>
      </c>
      <c r="J66" s="619">
        <f t="shared" si="2"/>
        <v>11171.523999999999</v>
      </c>
      <c r="K66" s="631">
        <f t="shared" si="0"/>
        <v>163.05756227960273</v>
      </c>
      <c r="L66" s="656"/>
      <c r="M66" s="532"/>
      <c r="N66" s="25"/>
      <c r="O66" s="25"/>
      <c r="P66" s="499"/>
      <c r="Q66" s="1003"/>
      <c r="R66" s="1001"/>
      <c r="S66" s="1002"/>
    </row>
    <row r="67" spans="1:19" s="18" customFormat="1" ht="13" customHeight="1">
      <c r="A67" s="617">
        <f t="shared" si="4"/>
        <v>50</v>
      </c>
      <c r="B67" s="702" t="s">
        <v>98</v>
      </c>
      <c r="C67" s="702"/>
      <c r="D67" s="702"/>
      <c r="E67" s="618">
        <f>'7" 26# Deck Tally'!B50</f>
        <v>350</v>
      </c>
      <c r="F67" s="619">
        <f>'7" 26# Deck Tally'!C50</f>
        <v>33.68</v>
      </c>
      <c r="G67" s="619">
        <f t="shared" si="3"/>
        <v>33.281999999999996</v>
      </c>
      <c r="H67" s="619" t="s">
        <v>9</v>
      </c>
      <c r="I67" s="619">
        <f t="shared" si="1"/>
        <v>1624.8179999999995</v>
      </c>
      <c r="J67" s="619">
        <f t="shared" si="2"/>
        <v>11138.242</v>
      </c>
      <c r="K67" s="631">
        <f t="shared" si="0"/>
        <v>163.79068159816654</v>
      </c>
      <c r="L67" s="249"/>
      <c r="M67" s="532"/>
      <c r="N67" s="25"/>
      <c r="O67" s="25"/>
      <c r="P67" s="499"/>
      <c r="Q67" s="1003"/>
      <c r="R67" s="1001"/>
      <c r="S67" s="1002"/>
    </row>
    <row r="68" spans="1:19" s="18" customFormat="1" ht="13" customHeight="1">
      <c r="A68" s="617">
        <f t="shared" si="4"/>
        <v>51</v>
      </c>
      <c r="B68" s="702" t="s">
        <v>98</v>
      </c>
      <c r="C68" s="702"/>
      <c r="D68" s="702"/>
      <c r="E68" s="618">
        <f>'7" 26# Deck Tally'!B51</f>
        <v>349</v>
      </c>
      <c r="F68" s="619">
        <f>'7" 26# Deck Tally'!C51</f>
        <v>33.29</v>
      </c>
      <c r="G68" s="619">
        <f t="shared" si="3"/>
        <v>32.891999999999996</v>
      </c>
      <c r="H68" s="619" t="s">
        <v>9</v>
      </c>
      <c r="I68" s="619">
        <f t="shared" si="1"/>
        <v>1657.7099999999996</v>
      </c>
      <c r="J68" s="619">
        <f t="shared" si="2"/>
        <v>11105.35</v>
      </c>
      <c r="K68" s="631">
        <f t="shared" si="0"/>
        <v>164.51521019098547</v>
      </c>
      <c r="L68" s="656"/>
      <c r="M68" s="532"/>
      <c r="N68" s="25"/>
      <c r="O68" s="25"/>
      <c r="P68" s="499"/>
      <c r="Q68" s="1003"/>
      <c r="R68" s="1001"/>
      <c r="S68" s="1002"/>
    </row>
    <row r="69" spans="1:19" s="18" customFormat="1" ht="13" customHeight="1">
      <c r="A69" s="617">
        <f t="shared" si="4"/>
        <v>52</v>
      </c>
      <c r="B69" s="702" t="s">
        <v>98</v>
      </c>
      <c r="C69" s="702"/>
      <c r="D69" s="702"/>
      <c r="E69" s="618">
        <f>'7" 26# Deck Tally'!B52</f>
        <v>348</v>
      </c>
      <c r="F69" s="619">
        <f>'7" 26# Deck Tally'!C52</f>
        <v>33.4</v>
      </c>
      <c r="G69" s="619">
        <f t="shared" si="3"/>
        <v>33.001999999999995</v>
      </c>
      <c r="H69" s="619" t="s">
        <v>9</v>
      </c>
      <c r="I69" s="619">
        <f t="shared" si="1"/>
        <v>1690.7119999999995</v>
      </c>
      <c r="J69" s="619">
        <f t="shared" si="2"/>
        <v>11072.348</v>
      </c>
      <c r="K69" s="631">
        <f t="shared" si="0"/>
        <v>165.2421618090145</v>
      </c>
      <c r="L69" s="249"/>
      <c r="M69" s="532"/>
      <c r="N69" s="25"/>
      <c r="O69" s="25"/>
      <c r="P69" s="499"/>
      <c r="Q69" s="1003"/>
      <c r="R69" s="1001"/>
      <c r="S69" s="1002"/>
    </row>
    <row r="70" spans="1:19" s="18" customFormat="1" ht="13" customHeight="1">
      <c r="A70" s="617">
        <f t="shared" si="4"/>
        <v>53</v>
      </c>
      <c r="B70" s="702" t="s">
        <v>98</v>
      </c>
      <c r="C70" s="702"/>
      <c r="D70" s="702"/>
      <c r="E70" s="618">
        <f>'7" 26# Deck Tally'!B53</f>
        <v>347</v>
      </c>
      <c r="F70" s="619">
        <f>'7" 26# Deck Tally'!C53</f>
        <v>33.270000000000003</v>
      </c>
      <c r="G70" s="619">
        <f t="shared" si="3"/>
        <v>32.872</v>
      </c>
      <c r="H70" s="619" t="s">
        <v>9</v>
      </c>
      <c r="I70" s="619">
        <f t="shared" si="1"/>
        <v>1723.5839999999996</v>
      </c>
      <c r="J70" s="619">
        <f t="shared" si="2"/>
        <v>11039.476000000001</v>
      </c>
      <c r="K70" s="631">
        <f t="shared" si="0"/>
        <v>165.96624985179525</v>
      </c>
      <c r="L70" s="275"/>
      <c r="M70" s="220"/>
      <c r="N70" s="351"/>
      <c r="O70" s="351"/>
      <c r="P70" s="499"/>
      <c r="Q70" s="1003"/>
      <c r="R70" s="1001"/>
      <c r="S70" s="1002"/>
    </row>
    <row r="71" spans="1:19" s="18" customFormat="1" ht="13" customHeight="1">
      <c r="A71" s="617">
        <f t="shared" si="4"/>
        <v>54</v>
      </c>
      <c r="B71" s="702" t="s">
        <v>98</v>
      </c>
      <c r="C71" s="702"/>
      <c r="D71" s="702"/>
      <c r="E71" s="618">
        <f>'7" 26# Deck Tally'!B54</f>
        <v>346</v>
      </c>
      <c r="F71" s="619">
        <f>'7" 26# Deck Tally'!C54</f>
        <v>33.32</v>
      </c>
      <c r="G71" s="619">
        <f t="shared" si="3"/>
        <v>32.921999999999997</v>
      </c>
      <c r="H71" s="619" t="s">
        <v>9</v>
      </c>
      <c r="I71" s="619">
        <f t="shared" si="1"/>
        <v>1756.5059999999996</v>
      </c>
      <c r="J71" s="619">
        <f t="shared" si="2"/>
        <v>11006.554</v>
      </c>
      <c r="K71" s="631">
        <f t="shared" si="0"/>
        <v>166.69143926967149</v>
      </c>
      <c r="L71" s="249"/>
      <c r="M71" s="532"/>
      <c r="N71" s="25"/>
      <c r="O71" s="25"/>
      <c r="P71" s="499"/>
      <c r="Q71" s="1003"/>
      <c r="R71" s="1001"/>
      <c r="S71" s="1002"/>
    </row>
    <row r="72" spans="1:19" s="18" customFormat="1" ht="13" customHeight="1">
      <c r="A72" s="617">
        <f t="shared" si="4"/>
        <v>55</v>
      </c>
      <c r="B72" s="702" t="s">
        <v>98</v>
      </c>
      <c r="C72" s="702"/>
      <c r="D72" s="702"/>
      <c r="E72" s="618">
        <f>'7" 26# Deck Tally'!B55</f>
        <v>345</v>
      </c>
      <c r="F72" s="619">
        <f>'7" 26# Deck Tally'!C55</f>
        <v>33.520000000000003</v>
      </c>
      <c r="G72" s="619">
        <f t="shared" si="3"/>
        <v>33.122</v>
      </c>
      <c r="H72" s="619" t="s">
        <v>9</v>
      </c>
      <c r="I72" s="619">
        <f t="shared" si="1"/>
        <v>1789.6279999999997</v>
      </c>
      <c r="J72" s="619">
        <f t="shared" si="2"/>
        <v>10973.432000000001</v>
      </c>
      <c r="K72" s="631">
        <f t="shared" si="0"/>
        <v>167.42103418792971</v>
      </c>
      <c r="L72" s="656"/>
      <c r="M72" s="532"/>
      <c r="N72" s="25"/>
      <c r="O72" s="25"/>
      <c r="P72" s="499"/>
      <c r="Q72" s="1003"/>
      <c r="R72" s="1001"/>
      <c r="S72" s="1002"/>
    </row>
    <row r="73" spans="1:19" s="18" customFormat="1" ht="13" customHeight="1">
      <c r="A73" s="617">
        <f t="shared" si="4"/>
        <v>56</v>
      </c>
      <c r="B73" s="702" t="s">
        <v>98</v>
      </c>
      <c r="C73" s="702"/>
      <c r="D73" s="702"/>
      <c r="E73" s="618">
        <f>'7" 26# Deck Tally'!B56</f>
        <v>344</v>
      </c>
      <c r="F73" s="619">
        <f>'7" 26# Deck Tally'!C56</f>
        <v>33.270000000000003</v>
      </c>
      <c r="G73" s="619">
        <f t="shared" si="3"/>
        <v>32.872</v>
      </c>
      <c r="H73" s="619" t="s">
        <v>9</v>
      </c>
      <c r="I73" s="619">
        <f t="shared" si="1"/>
        <v>1822.4999999999998</v>
      </c>
      <c r="J73" s="619">
        <f t="shared" si="2"/>
        <v>10940.56</v>
      </c>
      <c r="K73" s="631">
        <f t="shared" si="0"/>
        <v>168.14512223071046</v>
      </c>
      <c r="L73" s="249"/>
      <c r="M73" s="532"/>
      <c r="N73" s="25"/>
      <c r="O73" s="25"/>
      <c r="P73" s="499"/>
      <c r="Q73" s="1003"/>
      <c r="R73" s="1001"/>
      <c r="S73" s="1002"/>
    </row>
    <row r="74" spans="1:19" s="18" customFormat="1" ht="13" customHeight="1">
      <c r="A74" s="617">
        <f t="shared" si="4"/>
        <v>57</v>
      </c>
      <c r="B74" s="702" t="s">
        <v>98</v>
      </c>
      <c r="C74" s="702"/>
      <c r="D74" s="702"/>
      <c r="E74" s="618">
        <f>'7" 26# Deck Tally'!B57</f>
        <v>343</v>
      </c>
      <c r="F74" s="619">
        <f>'7" 26# Deck Tally'!C57</f>
        <v>33.46</v>
      </c>
      <c r="G74" s="619">
        <f t="shared" si="3"/>
        <v>33.061999999999998</v>
      </c>
      <c r="H74" s="619" t="s">
        <v>9</v>
      </c>
      <c r="I74" s="619">
        <f t="shared" si="1"/>
        <v>1855.5619999999997</v>
      </c>
      <c r="J74" s="619">
        <f t="shared" si="2"/>
        <v>10907.498</v>
      </c>
      <c r="K74" s="631">
        <f t="shared" si="0"/>
        <v>168.87339549885408</v>
      </c>
      <c r="L74" s="656"/>
      <c r="M74" s="532"/>
      <c r="N74" s="25"/>
      <c r="O74" s="25"/>
      <c r="P74" s="499"/>
      <c r="Q74" s="1003"/>
      <c r="R74" s="1001"/>
      <c r="S74" s="1002"/>
    </row>
    <row r="75" spans="1:19" s="18" customFormat="1" ht="13" customHeight="1">
      <c r="A75" s="617">
        <f t="shared" si="4"/>
        <v>58</v>
      </c>
      <c r="B75" s="702" t="s">
        <v>98</v>
      </c>
      <c r="C75" s="702"/>
      <c r="D75" s="702"/>
      <c r="E75" s="618">
        <f>'7" 26# Deck Tally'!B58</f>
        <v>342</v>
      </c>
      <c r="F75" s="619">
        <f>'7" 26# Deck Tally'!C58</f>
        <v>33.29</v>
      </c>
      <c r="G75" s="619">
        <f t="shared" si="3"/>
        <v>32.891999999999996</v>
      </c>
      <c r="H75" s="619" t="s">
        <v>9</v>
      </c>
      <c r="I75" s="619">
        <f t="shared" si="1"/>
        <v>1888.4539999999997</v>
      </c>
      <c r="J75" s="619">
        <f t="shared" si="2"/>
        <v>10874.606</v>
      </c>
      <c r="K75" s="631">
        <f t="shared" si="0"/>
        <v>169.59792409167304</v>
      </c>
      <c r="L75" s="249"/>
      <c r="M75" s="532"/>
      <c r="N75" s="25"/>
      <c r="O75" s="25"/>
      <c r="P75" s="499"/>
      <c r="Q75" s="1003"/>
      <c r="R75" s="1001"/>
      <c r="S75" s="1002"/>
    </row>
    <row r="76" spans="1:19" s="18" customFormat="1" ht="13" customHeight="1">
      <c r="A76" s="617">
        <f t="shared" si="4"/>
        <v>59</v>
      </c>
      <c r="B76" s="702" t="s">
        <v>98</v>
      </c>
      <c r="C76" s="702"/>
      <c r="D76" s="702"/>
      <c r="E76" s="618">
        <f>'7" 26# Deck Tally'!B59</f>
        <v>341</v>
      </c>
      <c r="F76" s="619">
        <f>'7" 26# Deck Tally'!C59</f>
        <v>33.58</v>
      </c>
      <c r="G76" s="619">
        <f t="shared" si="3"/>
        <v>33.181999999999995</v>
      </c>
      <c r="H76" s="619" t="s">
        <v>9</v>
      </c>
      <c r="I76" s="619">
        <f t="shared" si="1"/>
        <v>1921.6359999999997</v>
      </c>
      <c r="J76" s="619">
        <f t="shared" si="2"/>
        <v>10841.423999999999</v>
      </c>
      <c r="K76" s="631">
        <f t="shared" ref="K76:K139" si="5">$H$6+(I76*$F$7*$H$8/1000)</f>
        <v>170.32884066004584</v>
      </c>
      <c r="L76" s="656"/>
      <c r="M76" s="532"/>
      <c r="N76" s="25"/>
      <c r="O76" s="25"/>
      <c r="P76" s="499"/>
      <c r="Q76" s="1003"/>
      <c r="R76" s="1001"/>
      <c r="S76" s="1002"/>
    </row>
    <row r="77" spans="1:19" s="18" customFormat="1" ht="13" customHeight="1">
      <c r="A77" s="617">
        <f t="shared" si="4"/>
        <v>60</v>
      </c>
      <c r="B77" s="702" t="s">
        <v>98</v>
      </c>
      <c r="C77" s="702"/>
      <c r="D77" s="702"/>
      <c r="E77" s="618">
        <f>'7" 26# Deck Tally'!B60</f>
        <v>340</v>
      </c>
      <c r="F77" s="619">
        <f>'7" 26# Deck Tally'!C60</f>
        <v>33.31</v>
      </c>
      <c r="G77" s="619">
        <f t="shared" si="3"/>
        <v>32.911999999999999</v>
      </c>
      <c r="H77" s="619" t="s">
        <v>9</v>
      </c>
      <c r="I77" s="619">
        <f t="shared" ref="I77:I140" si="6">IF(H77="IN",I76+G77,I76)</f>
        <v>1954.5479999999998</v>
      </c>
      <c r="J77" s="619">
        <f t="shared" si="2"/>
        <v>10808.511999999999</v>
      </c>
      <c r="K77" s="631">
        <f t="shared" si="5"/>
        <v>171.05380980290298</v>
      </c>
      <c r="L77" s="249"/>
      <c r="M77" s="532"/>
      <c r="N77" s="25"/>
      <c r="O77" s="25"/>
      <c r="P77" s="499"/>
      <c r="Q77" s="1003"/>
      <c r="R77" s="1001"/>
      <c r="S77" s="1002"/>
    </row>
    <row r="78" spans="1:19" s="18" customFormat="1" ht="13" customHeight="1">
      <c r="A78" s="617">
        <f t="shared" si="4"/>
        <v>61</v>
      </c>
      <c r="B78" s="702" t="s">
        <v>98</v>
      </c>
      <c r="C78" s="702"/>
      <c r="D78" s="702"/>
      <c r="E78" s="618">
        <f>'7" 26# Deck Tally'!B61</f>
        <v>339</v>
      </c>
      <c r="F78" s="619">
        <f>'7" 26# Deck Tally'!C61</f>
        <v>33.67</v>
      </c>
      <c r="G78" s="619">
        <f t="shared" si="3"/>
        <v>33.271999999999998</v>
      </c>
      <c r="H78" s="619" t="s">
        <v>9</v>
      </c>
      <c r="I78" s="619">
        <f t="shared" si="6"/>
        <v>1987.8199999999997</v>
      </c>
      <c r="J78" s="619">
        <f t="shared" si="2"/>
        <v>10775.24</v>
      </c>
      <c r="K78" s="631">
        <f t="shared" si="5"/>
        <v>171.78670884644765</v>
      </c>
      <c r="L78" s="656"/>
      <c r="M78" s="220"/>
      <c r="N78" s="25"/>
      <c r="O78" s="25"/>
      <c r="P78" s="499"/>
      <c r="Q78" s="1003"/>
      <c r="R78" s="1001"/>
      <c r="S78" s="1002"/>
    </row>
    <row r="79" spans="1:19" s="18" customFormat="1" ht="13" customHeight="1">
      <c r="A79" s="617">
        <f t="shared" si="4"/>
        <v>62</v>
      </c>
      <c r="B79" s="702" t="s">
        <v>98</v>
      </c>
      <c r="C79" s="702"/>
      <c r="D79" s="702"/>
      <c r="E79" s="618">
        <f>'7" 26# Deck Tally'!B62</f>
        <v>338</v>
      </c>
      <c r="F79" s="619">
        <f>'7" 26# Deck Tally'!C62</f>
        <v>33.29</v>
      </c>
      <c r="G79" s="619">
        <f t="shared" si="3"/>
        <v>32.891999999999996</v>
      </c>
      <c r="H79" s="619" t="s">
        <v>9</v>
      </c>
      <c r="I79" s="619">
        <f t="shared" si="6"/>
        <v>2020.7119999999998</v>
      </c>
      <c r="J79" s="619">
        <f t="shared" si="2"/>
        <v>10742.348</v>
      </c>
      <c r="K79" s="631">
        <f t="shared" si="5"/>
        <v>172.51123743926661</v>
      </c>
      <c r="L79" s="656"/>
      <c r="M79" s="220"/>
      <c r="P79" s="499"/>
      <c r="Q79" s="1003"/>
      <c r="R79" s="1001"/>
      <c r="S79" s="1002"/>
    </row>
    <row r="80" spans="1:19" s="18" customFormat="1" ht="13" customHeight="1">
      <c r="A80" s="617">
        <f t="shared" si="4"/>
        <v>63</v>
      </c>
      <c r="B80" s="702" t="s">
        <v>98</v>
      </c>
      <c r="C80" s="702"/>
      <c r="D80" s="702"/>
      <c r="E80" s="618">
        <f>'7" 26# Deck Tally'!B63</f>
        <v>337</v>
      </c>
      <c r="F80" s="619">
        <f>'7" 26# Deck Tally'!C63</f>
        <v>33.76</v>
      </c>
      <c r="G80" s="619">
        <f t="shared" si="3"/>
        <v>33.361999999999995</v>
      </c>
      <c r="H80" s="619" t="s">
        <v>9</v>
      </c>
      <c r="I80" s="619">
        <f t="shared" si="6"/>
        <v>2054.0739999999996</v>
      </c>
      <c r="J80" s="619">
        <f t="shared" ref="J80:J143" si="7">IF(I80="","",$L$6-I80)</f>
        <v>10708.986000000001</v>
      </c>
      <c r="K80" s="631">
        <f t="shared" si="5"/>
        <v>173.24611895798319</v>
      </c>
      <c r="L80" s="656"/>
      <c r="M80" s="532"/>
      <c r="N80" s="25"/>
      <c r="O80" s="25"/>
      <c r="P80" s="499"/>
      <c r="Q80" s="1003"/>
      <c r="R80" s="1001"/>
      <c r="S80" s="1002"/>
    </row>
    <row r="81" spans="1:19" s="18" customFormat="1" ht="13" customHeight="1">
      <c r="A81" s="617">
        <f t="shared" si="4"/>
        <v>64</v>
      </c>
      <c r="B81" s="702" t="s">
        <v>98</v>
      </c>
      <c r="C81" s="702"/>
      <c r="D81" s="702"/>
      <c r="E81" s="618">
        <f>'7" 26# Deck Tally'!B64</f>
        <v>336</v>
      </c>
      <c r="F81" s="619">
        <f>'7" 26# Deck Tally'!C64</f>
        <v>33.380000000000003</v>
      </c>
      <c r="G81" s="619">
        <f t="shared" si="3"/>
        <v>32.981999999999999</v>
      </c>
      <c r="H81" s="619" t="s">
        <v>9</v>
      </c>
      <c r="I81" s="619">
        <f t="shared" si="6"/>
        <v>2087.0559999999996</v>
      </c>
      <c r="J81" s="619">
        <f t="shared" si="7"/>
        <v>10676.004000000001</v>
      </c>
      <c r="K81" s="631">
        <f t="shared" si="5"/>
        <v>173.97263002597401</v>
      </c>
      <c r="L81" s="249"/>
      <c r="M81" s="532"/>
      <c r="P81" s="499"/>
      <c r="Q81" s="1003"/>
      <c r="R81" s="1001"/>
      <c r="S81" s="1002"/>
    </row>
    <row r="82" spans="1:19" s="18" customFormat="1" ht="13" customHeight="1">
      <c r="A82" s="617">
        <f t="shared" si="4"/>
        <v>65</v>
      </c>
      <c r="B82" s="702" t="s">
        <v>98</v>
      </c>
      <c r="C82" s="702"/>
      <c r="D82" s="702"/>
      <c r="E82" s="618">
        <f>'7" 26# Deck Tally'!B65</f>
        <v>335</v>
      </c>
      <c r="F82" s="619">
        <f>'7" 26# Deck Tally'!C65</f>
        <v>33.950000000000003</v>
      </c>
      <c r="G82" s="619">
        <f t="shared" si="3"/>
        <v>33.552</v>
      </c>
      <c r="H82" s="619" t="s">
        <v>9</v>
      </c>
      <c r="I82" s="619">
        <f t="shared" si="6"/>
        <v>2120.6079999999997</v>
      </c>
      <c r="J82" s="619">
        <f t="shared" si="7"/>
        <v>10642.451999999999</v>
      </c>
      <c r="K82" s="631">
        <f t="shared" si="5"/>
        <v>174.71169677005346</v>
      </c>
      <c r="L82" s="656"/>
      <c r="M82" s="532"/>
      <c r="P82" s="499"/>
      <c r="Q82" s="1003"/>
      <c r="R82" s="1001"/>
      <c r="S82" s="1002"/>
    </row>
    <row r="83" spans="1:19" s="18" customFormat="1" ht="13" customHeight="1">
      <c r="A83" s="617">
        <f t="shared" si="4"/>
        <v>66</v>
      </c>
      <c r="B83" s="702" t="s">
        <v>98</v>
      </c>
      <c r="C83" s="702"/>
      <c r="D83" s="702"/>
      <c r="E83" s="618">
        <f>'7" 26# Deck Tally'!B66</f>
        <v>334</v>
      </c>
      <c r="F83" s="619">
        <f>'7" 26# Deck Tally'!C66</f>
        <v>33.81</v>
      </c>
      <c r="G83" s="619">
        <f t="shared" si="3"/>
        <v>33.411999999999999</v>
      </c>
      <c r="H83" s="619" t="s">
        <v>9</v>
      </c>
      <c r="I83" s="619">
        <f t="shared" si="6"/>
        <v>2154.0199999999995</v>
      </c>
      <c r="J83" s="619">
        <f t="shared" si="7"/>
        <v>10609.04</v>
      </c>
      <c r="K83" s="631">
        <f t="shared" si="5"/>
        <v>175.44767966386553</v>
      </c>
      <c r="L83" s="249"/>
      <c r="M83" s="532"/>
      <c r="P83" s="499"/>
      <c r="Q83" s="1003"/>
      <c r="R83" s="1001"/>
      <c r="S83" s="1002"/>
    </row>
    <row r="84" spans="1:19" s="18" customFormat="1" ht="13" customHeight="1">
      <c r="A84" s="617">
        <f t="shared" si="4"/>
        <v>67</v>
      </c>
      <c r="B84" s="702" t="s">
        <v>98</v>
      </c>
      <c r="C84" s="702"/>
      <c r="D84" s="702"/>
      <c r="E84" s="618">
        <f>'7" 26# Deck Tally'!B67</f>
        <v>333</v>
      </c>
      <c r="F84" s="619">
        <f>'7" 26# Deck Tally'!C67</f>
        <v>33.369999999999997</v>
      </c>
      <c r="G84" s="619">
        <f t="shared" si="3"/>
        <v>32.971999999999994</v>
      </c>
      <c r="H84" s="619" t="s">
        <v>9</v>
      </c>
      <c r="I84" s="619">
        <f t="shared" si="6"/>
        <v>2186.9919999999997</v>
      </c>
      <c r="J84" s="619">
        <f t="shared" si="7"/>
        <v>10576.067999999999</v>
      </c>
      <c r="K84" s="631">
        <f t="shared" si="5"/>
        <v>176.17397045683728</v>
      </c>
      <c r="L84" s="217"/>
      <c r="M84" s="532"/>
      <c r="P84" s="499"/>
      <c r="Q84" s="1003"/>
      <c r="R84" s="1001"/>
      <c r="S84" s="1002"/>
    </row>
    <row r="85" spans="1:19" s="18" customFormat="1" ht="13" customHeight="1">
      <c r="A85" s="617">
        <f t="shared" si="4"/>
        <v>68</v>
      </c>
      <c r="B85" s="702" t="s">
        <v>98</v>
      </c>
      <c r="C85" s="702"/>
      <c r="D85" s="702"/>
      <c r="E85" s="618">
        <f>'7" 26# Deck Tally'!B68</f>
        <v>332</v>
      </c>
      <c r="F85" s="619">
        <f>'7" 26# Deck Tally'!C68</f>
        <v>33.35</v>
      </c>
      <c r="G85" s="619">
        <f t="shared" ref="G85:G148" si="8">F85-($F$9)</f>
        <v>32.951999999999998</v>
      </c>
      <c r="H85" s="619" t="s">
        <v>9</v>
      </c>
      <c r="I85" s="619">
        <f t="shared" si="6"/>
        <v>2219.9439999999995</v>
      </c>
      <c r="J85" s="619">
        <f t="shared" si="7"/>
        <v>10543.116</v>
      </c>
      <c r="K85" s="631">
        <f t="shared" si="5"/>
        <v>176.8998206997708</v>
      </c>
      <c r="L85" s="332"/>
      <c r="M85" s="532"/>
      <c r="P85" s="499"/>
      <c r="Q85" s="1003"/>
      <c r="R85" s="1001"/>
      <c r="S85" s="1002"/>
    </row>
    <row r="86" spans="1:19" s="18" customFormat="1" ht="13" customHeight="1">
      <c r="A86" s="617">
        <f t="shared" si="4"/>
        <v>69</v>
      </c>
      <c r="B86" s="702" t="s">
        <v>98</v>
      </c>
      <c r="C86" s="702"/>
      <c r="D86" s="702"/>
      <c r="E86" s="618">
        <f>'7" 26# Deck Tally'!B69</f>
        <v>331</v>
      </c>
      <c r="F86" s="619">
        <f>'7" 26# Deck Tally'!C69</f>
        <v>33.950000000000003</v>
      </c>
      <c r="G86" s="619">
        <f t="shared" si="8"/>
        <v>33.552</v>
      </c>
      <c r="H86" s="619" t="s">
        <v>9</v>
      </c>
      <c r="I86" s="619">
        <f t="shared" si="6"/>
        <v>2253.4959999999996</v>
      </c>
      <c r="J86" s="619">
        <f t="shared" si="7"/>
        <v>10509.564</v>
      </c>
      <c r="K86" s="631">
        <f t="shared" si="5"/>
        <v>177.63888744385025</v>
      </c>
      <c r="L86" s="332"/>
      <c r="M86" s="532"/>
      <c r="P86" s="499"/>
      <c r="Q86" s="1003"/>
      <c r="R86" s="1001"/>
      <c r="S86" s="1002"/>
    </row>
    <row r="87" spans="1:19" s="18" customFormat="1" ht="13" customHeight="1">
      <c r="A87" s="617">
        <f t="shared" ref="A87:A150" si="9">A86+1</f>
        <v>70</v>
      </c>
      <c r="B87" s="702" t="s">
        <v>98</v>
      </c>
      <c r="C87" s="702"/>
      <c r="D87" s="702"/>
      <c r="E87" s="618">
        <f>'7" 26# Deck Tally'!B70</f>
        <v>330</v>
      </c>
      <c r="F87" s="619">
        <f>'7" 26# Deck Tally'!C70</f>
        <v>33.53</v>
      </c>
      <c r="G87" s="619">
        <f t="shared" si="8"/>
        <v>33.131999999999998</v>
      </c>
      <c r="H87" s="619" t="s">
        <v>9</v>
      </c>
      <c r="I87" s="619">
        <f t="shared" si="6"/>
        <v>2286.6279999999997</v>
      </c>
      <c r="J87" s="619">
        <f t="shared" si="7"/>
        <v>10476.432000000001</v>
      </c>
      <c r="K87" s="631">
        <f t="shared" si="5"/>
        <v>178.36870263712757</v>
      </c>
      <c r="L87" s="332"/>
      <c r="M87" s="532"/>
      <c r="P87" s="499"/>
      <c r="Q87" s="1003"/>
      <c r="R87" s="1001"/>
      <c r="S87" s="1002"/>
    </row>
    <row r="88" spans="1:19" s="18" customFormat="1" ht="13" customHeight="1">
      <c r="A88" s="617">
        <f t="shared" si="9"/>
        <v>71</v>
      </c>
      <c r="B88" s="702" t="s">
        <v>98</v>
      </c>
      <c r="C88" s="702"/>
      <c r="D88" s="702"/>
      <c r="E88" s="618">
        <f>'7" 26# Deck Tally'!B71</f>
        <v>329</v>
      </c>
      <c r="F88" s="619">
        <f>'7" 26# Deck Tally'!C71</f>
        <v>33.6</v>
      </c>
      <c r="G88" s="619">
        <f t="shared" si="8"/>
        <v>33.201999999999998</v>
      </c>
      <c r="H88" s="619" t="s">
        <v>9</v>
      </c>
      <c r="I88" s="619">
        <f t="shared" si="6"/>
        <v>2319.83</v>
      </c>
      <c r="J88" s="619">
        <f t="shared" si="7"/>
        <v>10443.23</v>
      </c>
      <c r="K88" s="631">
        <f t="shared" si="5"/>
        <v>179.10005975553858</v>
      </c>
      <c r="L88" s="332"/>
      <c r="M88" s="532"/>
      <c r="P88" s="499"/>
      <c r="Q88" s="1003"/>
      <c r="R88" s="1001"/>
      <c r="S88" s="1002"/>
    </row>
    <row r="89" spans="1:19" s="18" customFormat="1" ht="13" customHeight="1">
      <c r="A89" s="617">
        <f t="shared" si="9"/>
        <v>72</v>
      </c>
      <c r="B89" s="702" t="s">
        <v>98</v>
      </c>
      <c r="C89" s="702"/>
      <c r="D89" s="702"/>
      <c r="E89" s="618">
        <f>'7" 26# Deck Tally'!B72</f>
        <v>328</v>
      </c>
      <c r="F89" s="619">
        <f>'7" 26# Deck Tally'!C72</f>
        <v>32.97</v>
      </c>
      <c r="G89" s="619">
        <f t="shared" si="8"/>
        <v>32.571999999999996</v>
      </c>
      <c r="H89" s="619" t="s">
        <v>9</v>
      </c>
      <c r="I89" s="619">
        <f t="shared" si="6"/>
        <v>2352.402</v>
      </c>
      <c r="J89" s="619">
        <f t="shared" si="7"/>
        <v>10410.657999999999</v>
      </c>
      <c r="K89" s="631">
        <f t="shared" si="5"/>
        <v>179.81753954774638</v>
      </c>
      <c r="L89" s="656"/>
      <c r="M89" s="220"/>
      <c r="P89" s="499"/>
      <c r="Q89" s="1003"/>
      <c r="R89" s="1001"/>
      <c r="S89" s="1002"/>
    </row>
    <row r="90" spans="1:19" s="18" customFormat="1" ht="13" customHeight="1">
      <c r="A90" s="617">
        <f t="shared" si="9"/>
        <v>73</v>
      </c>
      <c r="B90" s="702" t="s">
        <v>98</v>
      </c>
      <c r="C90" s="702"/>
      <c r="D90" s="702"/>
      <c r="E90" s="618">
        <f>'7" 26# Deck Tally'!B73</f>
        <v>327</v>
      </c>
      <c r="F90" s="619">
        <f>'7" 26# Deck Tally'!C73</f>
        <v>33.29</v>
      </c>
      <c r="G90" s="619">
        <f t="shared" si="8"/>
        <v>32.891999999999996</v>
      </c>
      <c r="H90" s="619" t="s">
        <v>9</v>
      </c>
      <c r="I90" s="619">
        <f t="shared" si="6"/>
        <v>2385.2939999999999</v>
      </c>
      <c r="J90" s="619">
        <f t="shared" si="7"/>
        <v>10377.766</v>
      </c>
      <c r="K90" s="631">
        <f t="shared" si="5"/>
        <v>180.54206814056531</v>
      </c>
      <c r="L90" s="654"/>
      <c r="M90" s="220"/>
      <c r="N90" s="25"/>
      <c r="O90" s="25"/>
      <c r="P90" s="499"/>
      <c r="Q90" s="1003"/>
      <c r="R90" s="1001"/>
      <c r="S90" s="1002"/>
    </row>
    <row r="91" spans="1:19" s="18" customFormat="1" ht="13" customHeight="1">
      <c r="A91" s="617">
        <f t="shared" si="9"/>
        <v>74</v>
      </c>
      <c r="B91" s="702" t="s">
        <v>98</v>
      </c>
      <c r="C91" s="702"/>
      <c r="D91" s="702"/>
      <c r="E91" s="618">
        <f>'7" 26# Deck Tally'!B74</f>
        <v>326</v>
      </c>
      <c r="F91" s="619">
        <f>'7" 26# Deck Tally'!C74</f>
        <v>33.04</v>
      </c>
      <c r="G91" s="619">
        <f t="shared" si="8"/>
        <v>32.641999999999996</v>
      </c>
      <c r="H91" s="619" t="s">
        <v>9</v>
      </c>
      <c r="I91" s="619">
        <f t="shared" si="6"/>
        <v>2417.9359999999997</v>
      </c>
      <c r="J91" s="619">
        <f t="shared" si="7"/>
        <v>10345.124</v>
      </c>
      <c r="K91" s="631">
        <f t="shared" si="5"/>
        <v>181.2610898579068</v>
      </c>
      <c r="L91" s="656"/>
      <c r="M91" s="220"/>
      <c r="P91" s="499"/>
      <c r="Q91" s="1003"/>
      <c r="R91" s="1001"/>
      <c r="S91" s="1002"/>
    </row>
    <row r="92" spans="1:19" s="18" customFormat="1" ht="13" customHeight="1">
      <c r="A92" s="617">
        <f t="shared" si="9"/>
        <v>75</v>
      </c>
      <c r="B92" s="702" t="s">
        <v>98</v>
      </c>
      <c r="C92" s="702"/>
      <c r="D92" s="702"/>
      <c r="E92" s="618">
        <f>'7" 26# Deck Tally'!B75</f>
        <v>325</v>
      </c>
      <c r="F92" s="619">
        <f>'7" 26# Deck Tally'!C75</f>
        <v>33.18</v>
      </c>
      <c r="G92" s="619">
        <f t="shared" si="8"/>
        <v>32.781999999999996</v>
      </c>
      <c r="H92" s="619" t="s">
        <v>9</v>
      </c>
      <c r="I92" s="619">
        <f t="shared" si="6"/>
        <v>2450.7179999999998</v>
      </c>
      <c r="J92" s="619">
        <f t="shared" si="7"/>
        <v>10312.342000000001</v>
      </c>
      <c r="K92" s="631">
        <f t="shared" si="5"/>
        <v>181.98319542551565</v>
      </c>
      <c r="L92" s="653"/>
      <c r="M92" s="222"/>
      <c r="P92" s="499"/>
      <c r="Q92" s="1003"/>
      <c r="R92" s="1001"/>
      <c r="S92" s="1002"/>
    </row>
    <row r="93" spans="1:19" s="18" customFormat="1" ht="13" customHeight="1">
      <c r="A93" s="617">
        <f t="shared" si="9"/>
        <v>76</v>
      </c>
      <c r="B93" s="702" t="s">
        <v>98</v>
      </c>
      <c r="C93" s="702"/>
      <c r="D93" s="702"/>
      <c r="E93" s="618">
        <f>'7" 26# Deck Tally'!B76</f>
        <v>324</v>
      </c>
      <c r="F93" s="619">
        <f>'7" 26# Deck Tally'!C76</f>
        <v>33.39</v>
      </c>
      <c r="G93" s="619">
        <f t="shared" si="8"/>
        <v>32.991999999999997</v>
      </c>
      <c r="H93" s="619" t="s">
        <v>9</v>
      </c>
      <c r="I93" s="619">
        <f t="shared" si="6"/>
        <v>2483.71</v>
      </c>
      <c r="J93" s="619">
        <f t="shared" si="7"/>
        <v>10279.349999999999</v>
      </c>
      <c r="K93" s="631">
        <f t="shared" si="5"/>
        <v>182.70992676852558</v>
      </c>
      <c r="L93" s="653"/>
      <c r="M93" s="222"/>
      <c r="P93" s="499"/>
      <c r="Q93" s="1003"/>
      <c r="R93" s="1001"/>
      <c r="S93" s="1002"/>
    </row>
    <row r="94" spans="1:19" s="18" customFormat="1" ht="13" customHeight="1">
      <c r="A94" s="617">
        <f t="shared" si="9"/>
        <v>77</v>
      </c>
      <c r="B94" s="702" t="s">
        <v>98</v>
      </c>
      <c r="C94" s="702"/>
      <c r="D94" s="702"/>
      <c r="E94" s="618">
        <f>'7" 26# Deck Tally'!B77</f>
        <v>323</v>
      </c>
      <c r="F94" s="619">
        <f>'7" 26# Deck Tally'!C77</f>
        <v>33.020000000000003</v>
      </c>
      <c r="G94" s="619">
        <f t="shared" si="8"/>
        <v>32.622</v>
      </c>
      <c r="H94" s="619" t="s">
        <v>9</v>
      </c>
      <c r="I94" s="619">
        <f t="shared" si="6"/>
        <v>2516.3319999999999</v>
      </c>
      <c r="J94" s="619">
        <f t="shared" si="7"/>
        <v>10246.727999999999</v>
      </c>
      <c r="K94" s="631">
        <f t="shared" si="5"/>
        <v>183.42850793582886</v>
      </c>
      <c r="L94" s="653"/>
      <c r="M94" s="222"/>
      <c r="P94" s="499"/>
      <c r="Q94" s="1003"/>
      <c r="R94" s="1001"/>
      <c r="S94" s="1002"/>
    </row>
    <row r="95" spans="1:19" s="18" customFormat="1" ht="13">
      <c r="A95" s="617">
        <f t="shared" si="9"/>
        <v>78</v>
      </c>
      <c r="B95" s="702" t="s">
        <v>98</v>
      </c>
      <c r="C95" s="702"/>
      <c r="D95" s="702"/>
      <c r="E95" s="618">
        <f>'7" 26# Deck Tally'!B78</f>
        <v>322</v>
      </c>
      <c r="F95" s="619">
        <f>'7" 26# Deck Tally'!C78</f>
        <v>33.43</v>
      </c>
      <c r="G95" s="619">
        <f t="shared" si="8"/>
        <v>33.031999999999996</v>
      </c>
      <c r="H95" s="619" t="s">
        <v>9</v>
      </c>
      <c r="I95" s="619">
        <f t="shared" si="6"/>
        <v>2549.364</v>
      </c>
      <c r="J95" s="619">
        <f t="shared" si="7"/>
        <v>10213.696</v>
      </c>
      <c r="K95" s="631">
        <f t="shared" si="5"/>
        <v>184.1561203789152</v>
      </c>
      <c r="L95" s="653"/>
      <c r="M95" s="222"/>
      <c r="N95" s="25"/>
      <c r="O95" s="25"/>
      <c r="P95" s="499"/>
      <c r="Q95" s="1003"/>
      <c r="R95" s="1001"/>
      <c r="S95" s="1002"/>
    </row>
    <row r="96" spans="1:19" s="18" customFormat="1" ht="13">
      <c r="A96" s="617">
        <f t="shared" si="9"/>
        <v>79</v>
      </c>
      <c r="B96" s="702" t="s">
        <v>98</v>
      </c>
      <c r="C96" s="702"/>
      <c r="D96" s="702"/>
      <c r="E96" s="618">
        <f>'7" 26# Deck Tally'!B79</f>
        <v>321</v>
      </c>
      <c r="F96" s="619">
        <f>'7" 26# Deck Tally'!C79</f>
        <v>33.32</v>
      </c>
      <c r="G96" s="619">
        <f t="shared" si="8"/>
        <v>32.921999999999997</v>
      </c>
      <c r="H96" s="619" t="s">
        <v>9</v>
      </c>
      <c r="I96" s="619">
        <f t="shared" si="6"/>
        <v>2582.2860000000001</v>
      </c>
      <c r="J96" s="619">
        <f t="shared" si="7"/>
        <v>10180.773999999999</v>
      </c>
      <c r="K96" s="631">
        <f t="shared" si="5"/>
        <v>184.88130979679144</v>
      </c>
      <c r="L96" s="653"/>
      <c r="M96" s="222"/>
      <c r="P96" s="499"/>
      <c r="Q96" s="1003"/>
      <c r="R96" s="1001"/>
      <c r="S96" s="1002"/>
    </row>
    <row r="97" spans="1:19" s="18" customFormat="1" ht="13">
      <c r="A97" s="617">
        <f t="shared" si="9"/>
        <v>80</v>
      </c>
      <c r="B97" s="702" t="s">
        <v>98</v>
      </c>
      <c r="C97" s="702"/>
      <c r="D97" s="702"/>
      <c r="E97" s="618">
        <f>'7" 26# Deck Tally'!B80</f>
        <v>320</v>
      </c>
      <c r="F97" s="619">
        <f>'7" 26# Deck Tally'!C80</f>
        <v>33.46</v>
      </c>
      <c r="G97" s="619">
        <f t="shared" si="8"/>
        <v>33.061999999999998</v>
      </c>
      <c r="H97" s="619" t="s">
        <v>9</v>
      </c>
      <c r="I97" s="619">
        <f t="shared" si="6"/>
        <v>2615.348</v>
      </c>
      <c r="J97" s="619">
        <f t="shared" si="7"/>
        <v>10147.712</v>
      </c>
      <c r="K97" s="631">
        <f t="shared" si="5"/>
        <v>185.60958306493507</v>
      </c>
      <c r="L97" s="653"/>
      <c r="M97" s="222"/>
      <c r="P97" s="499"/>
      <c r="Q97" s="1003"/>
      <c r="R97" s="1001"/>
      <c r="S97" s="1002"/>
    </row>
    <row r="98" spans="1:19" s="18" customFormat="1" ht="13">
      <c r="A98" s="617">
        <f t="shared" si="9"/>
        <v>81</v>
      </c>
      <c r="B98" s="702" t="s">
        <v>98</v>
      </c>
      <c r="C98" s="702"/>
      <c r="D98" s="702"/>
      <c r="E98" s="618">
        <f>'7" 26# Deck Tally'!B81</f>
        <v>319</v>
      </c>
      <c r="F98" s="619">
        <f>'7" 26# Deck Tally'!C81</f>
        <v>33.18</v>
      </c>
      <c r="G98" s="619">
        <f t="shared" si="8"/>
        <v>32.781999999999996</v>
      </c>
      <c r="H98" s="619" t="s">
        <v>9</v>
      </c>
      <c r="I98" s="619">
        <f t="shared" si="6"/>
        <v>2648.13</v>
      </c>
      <c r="J98" s="619">
        <f t="shared" si="7"/>
        <v>10114.93</v>
      </c>
      <c r="K98" s="631">
        <f t="shared" si="5"/>
        <v>186.33168863254394</v>
      </c>
      <c r="L98" s="653"/>
      <c r="M98" s="222"/>
      <c r="P98" s="499"/>
      <c r="Q98" s="1003"/>
      <c r="R98" s="1001"/>
      <c r="S98" s="1002"/>
    </row>
    <row r="99" spans="1:19" s="18" customFormat="1" ht="13">
      <c r="A99" s="617">
        <f t="shared" si="9"/>
        <v>82</v>
      </c>
      <c r="B99" s="702" t="s">
        <v>98</v>
      </c>
      <c r="C99" s="702"/>
      <c r="D99" s="702"/>
      <c r="E99" s="618">
        <f>'7" 26# Deck Tally'!B82</f>
        <v>318</v>
      </c>
      <c r="F99" s="619">
        <f>'7" 26# Deck Tally'!C82</f>
        <v>33.68</v>
      </c>
      <c r="G99" s="619">
        <f t="shared" si="8"/>
        <v>33.281999999999996</v>
      </c>
      <c r="H99" s="619" t="s">
        <v>9</v>
      </c>
      <c r="I99" s="619">
        <f t="shared" si="6"/>
        <v>2681.4120000000003</v>
      </c>
      <c r="J99" s="619">
        <f t="shared" si="7"/>
        <v>10081.647999999999</v>
      </c>
      <c r="K99" s="631">
        <f t="shared" si="5"/>
        <v>187.06480795110772</v>
      </c>
      <c r="L99" s="653"/>
      <c r="M99" s="222"/>
      <c r="P99" s="499"/>
      <c r="Q99" s="1003"/>
      <c r="R99" s="1001"/>
      <c r="S99" s="1002"/>
    </row>
    <row r="100" spans="1:19" s="18" customFormat="1" ht="13">
      <c r="A100" s="617">
        <f t="shared" si="9"/>
        <v>83</v>
      </c>
      <c r="B100" s="702" t="s">
        <v>98</v>
      </c>
      <c r="C100" s="702"/>
      <c r="D100" s="702"/>
      <c r="E100" s="618">
        <f>'7" 26# Deck Tally'!B83</f>
        <v>317</v>
      </c>
      <c r="F100" s="619">
        <f>'7" 26# Deck Tally'!C83</f>
        <v>33.5</v>
      </c>
      <c r="G100" s="619">
        <f t="shared" si="8"/>
        <v>33.101999999999997</v>
      </c>
      <c r="H100" s="619" t="s">
        <v>9</v>
      </c>
      <c r="I100" s="619">
        <f t="shared" si="6"/>
        <v>2714.5140000000001</v>
      </c>
      <c r="J100" s="619">
        <f t="shared" si="7"/>
        <v>10048.545999999998</v>
      </c>
      <c r="K100" s="631">
        <f t="shared" si="5"/>
        <v>187.79396231932773</v>
      </c>
      <c r="L100" s="653"/>
      <c r="M100" s="222"/>
      <c r="N100" s="25"/>
      <c r="O100" s="25"/>
      <c r="P100" s="499"/>
      <c r="Q100" s="1003"/>
      <c r="R100" s="1001"/>
      <c r="S100" s="1002"/>
    </row>
    <row r="101" spans="1:19" s="18" customFormat="1" ht="13">
      <c r="A101" s="617">
        <f t="shared" si="9"/>
        <v>84</v>
      </c>
      <c r="B101" s="702" t="s">
        <v>98</v>
      </c>
      <c r="C101" s="702"/>
      <c r="D101" s="702"/>
      <c r="E101" s="618">
        <f>'7" 26# Deck Tally'!B84</f>
        <v>316</v>
      </c>
      <c r="F101" s="619">
        <f>'7" 26# Deck Tally'!C84</f>
        <v>33.67</v>
      </c>
      <c r="G101" s="619">
        <f t="shared" si="8"/>
        <v>33.271999999999998</v>
      </c>
      <c r="H101" s="619" t="s">
        <v>9</v>
      </c>
      <c r="I101" s="619">
        <f t="shared" si="6"/>
        <v>2747.7860000000001</v>
      </c>
      <c r="J101" s="619">
        <f t="shared" si="7"/>
        <v>10015.273999999999</v>
      </c>
      <c r="K101" s="631">
        <f t="shared" si="5"/>
        <v>188.52686136287241</v>
      </c>
      <c r="L101" s="653"/>
      <c r="M101" s="222"/>
      <c r="P101" s="499"/>
      <c r="Q101" s="1003"/>
      <c r="R101" s="1001"/>
      <c r="S101" s="1002"/>
    </row>
    <row r="102" spans="1:19" s="18" customFormat="1" ht="13">
      <c r="A102" s="617">
        <f t="shared" si="9"/>
        <v>85</v>
      </c>
      <c r="B102" s="702" t="s">
        <v>98</v>
      </c>
      <c r="C102" s="702"/>
      <c r="D102" s="702"/>
      <c r="E102" s="618">
        <f>'7" 26# Deck Tally'!B85</f>
        <v>315</v>
      </c>
      <c r="F102" s="619">
        <f>'7" 26# Deck Tally'!C85</f>
        <v>33.83</v>
      </c>
      <c r="G102" s="619">
        <f t="shared" si="8"/>
        <v>33.431999999999995</v>
      </c>
      <c r="H102" s="619" t="s">
        <v>9</v>
      </c>
      <c r="I102" s="619">
        <f t="shared" si="6"/>
        <v>2781.2179999999998</v>
      </c>
      <c r="J102" s="619">
        <f t="shared" si="7"/>
        <v>9981.8420000000006</v>
      </c>
      <c r="K102" s="631">
        <f t="shared" si="5"/>
        <v>189.26328480672268</v>
      </c>
      <c r="L102" s="276"/>
      <c r="M102" s="222"/>
      <c r="N102" s="31"/>
      <c r="O102" s="31"/>
      <c r="P102" s="499"/>
      <c r="Q102" s="1003"/>
      <c r="R102" s="1001"/>
      <c r="S102" s="1002"/>
    </row>
    <row r="103" spans="1:19" s="18" customFormat="1" ht="13">
      <c r="A103" s="617">
        <f t="shared" si="9"/>
        <v>86</v>
      </c>
      <c r="B103" s="702" t="s">
        <v>98</v>
      </c>
      <c r="C103" s="702"/>
      <c r="D103" s="702"/>
      <c r="E103" s="618">
        <f>'7" 26# Deck Tally'!B86</f>
        <v>314</v>
      </c>
      <c r="F103" s="619">
        <f>'7" 26# Deck Tally'!C86</f>
        <v>33.58</v>
      </c>
      <c r="G103" s="619">
        <f t="shared" si="8"/>
        <v>33.181999999999995</v>
      </c>
      <c r="H103" s="619" t="s">
        <v>9</v>
      </c>
      <c r="I103" s="619">
        <f t="shared" si="6"/>
        <v>2814.3999999999996</v>
      </c>
      <c r="J103" s="619">
        <f t="shared" si="7"/>
        <v>9948.66</v>
      </c>
      <c r="K103" s="631">
        <f t="shared" si="5"/>
        <v>189.99420137509549</v>
      </c>
      <c r="L103" s="276"/>
      <c r="M103" s="222"/>
      <c r="P103" s="499"/>
      <c r="Q103" s="1003"/>
      <c r="R103" s="1001"/>
      <c r="S103" s="1002"/>
    </row>
    <row r="104" spans="1:19" s="18" customFormat="1" ht="13">
      <c r="A104" s="617">
        <f t="shared" si="9"/>
        <v>87</v>
      </c>
      <c r="B104" s="702" t="s">
        <v>98</v>
      </c>
      <c r="C104" s="702"/>
      <c r="D104" s="702"/>
      <c r="E104" s="618">
        <f>'7" 26# Deck Tally'!B87</f>
        <v>313</v>
      </c>
      <c r="F104" s="619">
        <f>'7" 26# Deck Tally'!C87</f>
        <v>33.71</v>
      </c>
      <c r="G104" s="619">
        <f t="shared" si="8"/>
        <v>33.311999999999998</v>
      </c>
      <c r="H104" s="619" t="s">
        <v>9</v>
      </c>
      <c r="I104" s="619">
        <f t="shared" si="6"/>
        <v>2847.7119999999995</v>
      </c>
      <c r="J104" s="619">
        <f t="shared" si="7"/>
        <v>9915.348</v>
      </c>
      <c r="K104" s="631">
        <f t="shared" si="5"/>
        <v>190.72798151871658</v>
      </c>
      <c r="L104" s="276"/>
      <c r="M104" s="222"/>
      <c r="P104" s="499"/>
      <c r="Q104" s="1003"/>
      <c r="R104" s="1001"/>
      <c r="S104" s="1002"/>
    </row>
    <row r="105" spans="1:19" s="18" customFormat="1" ht="13">
      <c r="A105" s="617">
        <f t="shared" si="9"/>
        <v>88</v>
      </c>
      <c r="B105" s="702" t="s">
        <v>98</v>
      </c>
      <c r="C105" s="702"/>
      <c r="D105" s="702"/>
      <c r="E105" s="618">
        <f>'7" 26# Deck Tally'!B88</f>
        <v>312</v>
      </c>
      <c r="F105" s="619">
        <f>'7" 26# Deck Tally'!C88</f>
        <v>33.729999999999997</v>
      </c>
      <c r="G105" s="619">
        <f t="shared" si="8"/>
        <v>33.331999999999994</v>
      </c>
      <c r="H105" s="619" t="s">
        <v>9</v>
      </c>
      <c r="I105" s="619">
        <f t="shared" si="6"/>
        <v>2881.0439999999994</v>
      </c>
      <c r="J105" s="619">
        <f t="shared" si="7"/>
        <v>9882.0159999999996</v>
      </c>
      <c r="K105" s="631">
        <f t="shared" si="5"/>
        <v>191.46220221237584</v>
      </c>
      <c r="L105" s="653"/>
      <c r="M105" s="222"/>
      <c r="P105" s="499"/>
      <c r="Q105" s="1003"/>
      <c r="R105" s="1001"/>
      <c r="S105" s="1002"/>
    </row>
    <row r="106" spans="1:19" s="18" customFormat="1" ht="13">
      <c r="A106" s="617">
        <f t="shared" si="9"/>
        <v>89</v>
      </c>
      <c r="B106" s="702" t="s">
        <v>98</v>
      </c>
      <c r="C106" s="702"/>
      <c r="D106" s="702"/>
      <c r="E106" s="618">
        <f>'7" 26# Deck Tally'!B89</f>
        <v>311</v>
      </c>
      <c r="F106" s="619">
        <f>'7" 26# Deck Tally'!C89</f>
        <v>33.35</v>
      </c>
      <c r="G106" s="619">
        <f t="shared" si="8"/>
        <v>32.951999999999998</v>
      </c>
      <c r="H106" s="619" t="s">
        <v>9</v>
      </c>
      <c r="I106" s="619">
        <f t="shared" si="6"/>
        <v>2913.9959999999992</v>
      </c>
      <c r="J106" s="619">
        <f t="shared" si="7"/>
        <v>9849.0640000000003</v>
      </c>
      <c r="K106" s="631">
        <f t="shared" si="5"/>
        <v>192.18805245530939</v>
      </c>
      <c r="L106" s="653"/>
      <c r="M106" s="222"/>
      <c r="P106" s="499"/>
      <c r="Q106" s="1003"/>
      <c r="R106" s="1001"/>
      <c r="S106" s="1002"/>
    </row>
    <row r="107" spans="1:19" s="18" customFormat="1" ht="13">
      <c r="A107" s="617">
        <f t="shared" si="9"/>
        <v>90</v>
      </c>
      <c r="B107" s="702" t="s">
        <v>98</v>
      </c>
      <c r="C107" s="702"/>
      <c r="D107" s="702"/>
      <c r="E107" s="618">
        <f>'7" 26# Deck Tally'!B90</f>
        <v>310</v>
      </c>
      <c r="F107" s="619">
        <f>'7" 26# Deck Tally'!C90</f>
        <v>33.22</v>
      </c>
      <c r="G107" s="619">
        <f t="shared" si="8"/>
        <v>32.821999999999996</v>
      </c>
      <c r="H107" s="619" t="s">
        <v>9</v>
      </c>
      <c r="I107" s="619">
        <f t="shared" si="6"/>
        <v>2946.8179999999993</v>
      </c>
      <c r="J107" s="619">
        <f t="shared" si="7"/>
        <v>9816.2420000000002</v>
      </c>
      <c r="K107" s="631">
        <f t="shared" si="5"/>
        <v>192.91103912299462</v>
      </c>
      <c r="L107" s="653"/>
      <c r="M107" s="222"/>
      <c r="P107" s="499"/>
      <c r="Q107" s="1003"/>
      <c r="R107" s="1001"/>
      <c r="S107" s="1002"/>
    </row>
    <row r="108" spans="1:19" s="18" customFormat="1" ht="13">
      <c r="A108" s="617">
        <f t="shared" si="9"/>
        <v>91</v>
      </c>
      <c r="B108" s="702" t="s">
        <v>98</v>
      </c>
      <c r="C108" s="702"/>
      <c r="D108" s="702"/>
      <c r="E108" s="618">
        <f>'7" 26# Deck Tally'!B91</f>
        <v>309</v>
      </c>
      <c r="F108" s="619">
        <f>'7" 26# Deck Tally'!C91</f>
        <v>33.42</v>
      </c>
      <c r="G108" s="619">
        <f t="shared" si="8"/>
        <v>33.021999999999998</v>
      </c>
      <c r="H108" s="619" t="s">
        <v>9</v>
      </c>
      <c r="I108" s="619">
        <f t="shared" si="6"/>
        <v>2979.8399999999992</v>
      </c>
      <c r="J108" s="619">
        <f t="shared" si="7"/>
        <v>9783.2200000000012</v>
      </c>
      <c r="K108" s="631">
        <f t="shared" si="5"/>
        <v>193.63843129106186</v>
      </c>
      <c r="L108" s="653"/>
      <c r="M108" s="222"/>
      <c r="P108" s="499"/>
      <c r="Q108" s="1003"/>
      <c r="R108" s="1001"/>
      <c r="S108" s="1002"/>
    </row>
    <row r="109" spans="1:19" s="18" customFormat="1" ht="13" customHeight="1">
      <c r="A109" s="617">
        <f t="shared" si="9"/>
        <v>92</v>
      </c>
      <c r="B109" s="702" t="s">
        <v>98</v>
      </c>
      <c r="C109" s="702"/>
      <c r="D109" s="702"/>
      <c r="E109" s="618">
        <f>'7" 26# Deck Tally'!B92</f>
        <v>308</v>
      </c>
      <c r="F109" s="619">
        <f>'7" 26# Deck Tally'!C92</f>
        <v>33.43</v>
      </c>
      <c r="G109" s="619">
        <f t="shared" si="8"/>
        <v>33.031999999999996</v>
      </c>
      <c r="H109" s="619" t="s">
        <v>9</v>
      </c>
      <c r="I109" s="619">
        <f t="shared" si="6"/>
        <v>3012.8719999999994</v>
      </c>
      <c r="J109" s="619">
        <f t="shared" si="7"/>
        <v>9750.1880000000001</v>
      </c>
      <c r="K109" s="631">
        <f t="shared" si="5"/>
        <v>194.36604373414821</v>
      </c>
      <c r="L109" s="332"/>
      <c r="M109" s="532"/>
      <c r="P109" s="499"/>
      <c r="Q109" s="1003"/>
      <c r="R109" s="1001"/>
      <c r="S109" s="1002"/>
    </row>
    <row r="110" spans="1:19" s="18" customFormat="1" ht="13" customHeight="1">
      <c r="A110" s="617">
        <f t="shared" si="9"/>
        <v>93</v>
      </c>
      <c r="B110" s="702" t="s">
        <v>98</v>
      </c>
      <c r="C110" s="702"/>
      <c r="D110" s="702"/>
      <c r="E110" s="618">
        <f>'7" 26# Deck Tally'!B93</f>
        <v>307</v>
      </c>
      <c r="F110" s="619">
        <f>'7" 26# Deck Tally'!C93</f>
        <v>33.659999999999997</v>
      </c>
      <c r="G110" s="619">
        <f t="shared" si="8"/>
        <v>33.261999999999993</v>
      </c>
      <c r="H110" s="619" t="s">
        <v>9</v>
      </c>
      <c r="I110" s="619">
        <f t="shared" si="6"/>
        <v>3046.1339999999996</v>
      </c>
      <c r="J110" s="619">
        <f t="shared" si="7"/>
        <v>9716.9259999999995</v>
      </c>
      <c r="K110" s="631">
        <f t="shared" si="5"/>
        <v>195.09872250267378</v>
      </c>
      <c r="L110" s="332"/>
      <c r="M110" s="532"/>
      <c r="P110" s="499"/>
      <c r="Q110" s="1003"/>
      <c r="R110" s="1001"/>
      <c r="S110" s="1002"/>
    </row>
    <row r="111" spans="1:19" s="18" customFormat="1" ht="13" customHeight="1">
      <c r="A111" s="617">
        <f t="shared" si="9"/>
        <v>94</v>
      </c>
      <c r="B111" s="702" t="s">
        <v>98</v>
      </c>
      <c r="C111" s="702"/>
      <c r="D111" s="702"/>
      <c r="E111" s="618">
        <f>'7" 26# Deck Tally'!B94</f>
        <v>306</v>
      </c>
      <c r="F111" s="619">
        <f>'7" 26# Deck Tally'!C94</f>
        <v>32.770000000000003</v>
      </c>
      <c r="G111" s="619">
        <f t="shared" si="8"/>
        <v>32.372</v>
      </c>
      <c r="H111" s="619" t="s">
        <v>9</v>
      </c>
      <c r="I111" s="619">
        <f t="shared" si="6"/>
        <v>3078.5059999999994</v>
      </c>
      <c r="J111" s="619">
        <f t="shared" si="7"/>
        <v>9684.5540000000001</v>
      </c>
      <c r="K111" s="631">
        <f t="shared" si="5"/>
        <v>195.8117967944996</v>
      </c>
      <c r="L111" s="656"/>
      <c r="M111" s="220"/>
      <c r="P111" s="499"/>
      <c r="Q111" s="1003"/>
      <c r="R111" s="1001"/>
      <c r="S111" s="1002"/>
    </row>
    <row r="112" spans="1:19" s="18" customFormat="1" ht="13" customHeight="1">
      <c r="A112" s="617">
        <f t="shared" si="9"/>
        <v>95</v>
      </c>
      <c r="B112" s="702" t="s">
        <v>98</v>
      </c>
      <c r="C112" s="702"/>
      <c r="D112" s="702"/>
      <c r="E112" s="618">
        <f>'7" 26# Deck Tally'!B95</f>
        <v>305</v>
      </c>
      <c r="F112" s="619">
        <f>'7" 26# Deck Tally'!C95</f>
        <v>33.44</v>
      </c>
      <c r="G112" s="619">
        <f t="shared" si="8"/>
        <v>33.041999999999994</v>
      </c>
      <c r="H112" s="619" t="s">
        <v>9</v>
      </c>
      <c r="I112" s="619">
        <f t="shared" si="6"/>
        <v>3111.5479999999993</v>
      </c>
      <c r="J112" s="619">
        <f t="shared" si="7"/>
        <v>9651.5120000000006</v>
      </c>
      <c r="K112" s="631">
        <f t="shared" si="5"/>
        <v>196.53962951260502</v>
      </c>
      <c r="L112" s="654"/>
      <c r="M112" s="220"/>
      <c r="N112" s="25"/>
      <c r="O112" s="25"/>
      <c r="P112" s="499"/>
      <c r="Q112" s="1003"/>
      <c r="R112" s="1001"/>
      <c r="S112" s="1002"/>
    </row>
    <row r="113" spans="1:19" s="18" customFormat="1" ht="13" customHeight="1">
      <c r="A113" s="617">
        <f t="shared" si="9"/>
        <v>96</v>
      </c>
      <c r="B113" s="702" t="s">
        <v>98</v>
      </c>
      <c r="C113" s="702"/>
      <c r="D113" s="702"/>
      <c r="E113" s="618">
        <f>'7" 26# Deck Tally'!B96</f>
        <v>304</v>
      </c>
      <c r="F113" s="619">
        <f>'7" 26# Deck Tally'!C96</f>
        <v>33.659999999999997</v>
      </c>
      <c r="G113" s="619">
        <f t="shared" si="8"/>
        <v>33.261999999999993</v>
      </c>
      <c r="H113" s="619" t="s">
        <v>9</v>
      </c>
      <c r="I113" s="619">
        <f t="shared" si="6"/>
        <v>3144.8099999999995</v>
      </c>
      <c r="J113" s="619">
        <f t="shared" si="7"/>
        <v>9618.25</v>
      </c>
      <c r="K113" s="631">
        <f t="shared" si="5"/>
        <v>197.27230828113062</v>
      </c>
      <c r="L113" s="656"/>
      <c r="M113" s="220"/>
      <c r="P113" s="499"/>
      <c r="Q113" s="1003"/>
      <c r="R113" s="1001"/>
      <c r="S113" s="1002"/>
    </row>
    <row r="114" spans="1:19" s="18" customFormat="1" ht="13" customHeight="1">
      <c r="A114" s="617">
        <f t="shared" si="9"/>
        <v>97</v>
      </c>
      <c r="B114" s="702" t="s">
        <v>98</v>
      </c>
      <c r="C114" s="702"/>
      <c r="D114" s="702"/>
      <c r="E114" s="618">
        <f>'7" 26# Deck Tally'!B97</f>
        <v>303</v>
      </c>
      <c r="F114" s="619">
        <f>'7" 26# Deck Tally'!C97</f>
        <v>33.53</v>
      </c>
      <c r="G114" s="619">
        <f t="shared" si="8"/>
        <v>33.131999999999998</v>
      </c>
      <c r="H114" s="619" t="s">
        <v>9</v>
      </c>
      <c r="I114" s="619">
        <f t="shared" si="6"/>
        <v>3177.9419999999996</v>
      </c>
      <c r="J114" s="619">
        <f t="shared" si="7"/>
        <v>9585.1180000000004</v>
      </c>
      <c r="K114" s="631">
        <f t="shared" si="5"/>
        <v>198.00212347440794</v>
      </c>
      <c r="L114" s="653"/>
      <c r="M114" s="222"/>
      <c r="P114" s="499"/>
      <c r="Q114" s="1003"/>
      <c r="R114" s="1001"/>
      <c r="S114" s="1002"/>
    </row>
    <row r="115" spans="1:19" s="18" customFormat="1" ht="13" customHeight="1">
      <c r="A115" s="617">
        <f t="shared" si="9"/>
        <v>98</v>
      </c>
      <c r="B115" s="702" t="s">
        <v>98</v>
      </c>
      <c r="C115" s="702"/>
      <c r="D115" s="702"/>
      <c r="E115" s="618">
        <f>'7" 26# Deck Tally'!B98</f>
        <v>302</v>
      </c>
      <c r="F115" s="619">
        <f>'7" 26# Deck Tally'!C98</f>
        <v>33.450000000000003</v>
      </c>
      <c r="G115" s="619">
        <f t="shared" si="8"/>
        <v>33.052</v>
      </c>
      <c r="H115" s="619" t="s">
        <v>9</v>
      </c>
      <c r="I115" s="619">
        <f t="shared" si="6"/>
        <v>3210.9939999999997</v>
      </c>
      <c r="J115" s="619">
        <f t="shared" si="7"/>
        <v>9552.0659999999989</v>
      </c>
      <c r="K115" s="631">
        <f t="shared" si="5"/>
        <v>198.73017646753249</v>
      </c>
      <c r="L115" s="653"/>
      <c r="M115" s="222"/>
      <c r="P115" s="499"/>
      <c r="Q115" s="1003"/>
      <c r="R115" s="1001"/>
      <c r="S115" s="1002"/>
    </row>
    <row r="116" spans="1:19" s="18" customFormat="1" ht="13" customHeight="1">
      <c r="A116" s="617">
        <f t="shared" si="9"/>
        <v>99</v>
      </c>
      <c r="B116" s="702" t="s">
        <v>98</v>
      </c>
      <c r="C116" s="702"/>
      <c r="D116" s="702"/>
      <c r="E116" s="618">
        <f>'7" 26# Deck Tally'!B99</f>
        <v>301</v>
      </c>
      <c r="F116" s="619">
        <f>'7" 26# Deck Tally'!C99</f>
        <v>33.71</v>
      </c>
      <c r="G116" s="619">
        <f t="shared" si="8"/>
        <v>33.311999999999998</v>
      </c>
      <c r="H116" s="619" t="s">
        <v>9</v>
      </c>
      <c r="I116" s="619">
        <f t="shared" si="6"/>
        <v>3244.3059999999996</v>
      </c>
      <c r="J116" s="619">
        <f t="shared" si="7"/>
        <v>9518.7540000000008</v>
      </c>
      <c r="K116" s="631">
        <f t="shared" si="5"/>
        <v>199.46395661115355</v>
      </c>
      <c r="L116" s="653"/>
      <c r="M116" s="222"/>
      <c r="P116" s="499"/>
      <c r="Q116" s="1003"/>
      <c r="R116" s="1001"/>
      <c r="S116" s="1002"/>
    </row>
    <row r="117" spans="1:19" s="18" customFormat="1" ht="13">
      <c r="A117" s="617">
        <f t="shared" si="9"/>
        <v>100</v>
      </c>
      <c r="B117" s="702" t="s">
        <v>98</v>
      </c>
      <c r="C117" s="702"/>
      <c r="D117" s="702"/>
      <c r="E117" s="618">
        <f>'7" 26# Deck Tally'!B100</f>
        <v>300</v>
      </c>
      <c r="F117" s="619">
        <f>'7" 26# Deck Tally'!C100</f>
        <v>33.78</v>
      </c>
      <c r="G117" s="619">
        <f t="shared" si="8"/>
        <v>33.381999999999998</v>
      </c>
      <c r="H117" s="619" t="s">
        <v>9</v>
      </c>
      <c r="I117" s="619">
        <f t="shared" si="6"/>
        <v>3277.6879999999996</v>
      </c>
      <c r="J117" s="619">
        <f t="shared" si="7"/>
        <v>9485.3719999999994</v>
      </c>
      <c r="K117" s="631">
        <f t="shared" si="5"/>
        <v>200.19927867990833</v>
      </c>
      <c r="L117" s="653"/>
      <c r="M117" s="222"/>
      <c r="N117" s="25"/>
      <c r="O117" s="25"/>
      <c r="P117" s="499"/>
      <c r="Q117" s="1003"/>
      <c r="R117" s="1001"/>
      <c r="S117" s="1002"/>
    </row>
    <row r="118" spans="1:19" s="18" customFormat="1" ht="13">
      <c r="A118" s="617">
        <f t="shared" si="9"/>
        <v>101</v>
      </c>
      <c r="B118" s="702" t="s">
        <v>98</v>
      </c>
      <c r="C118" s="702"/>
      <c r="D118" s="702"/>
      <c r="E118" s="618">
        <f>'7" 26# Deck Tally'!B101</f>
        <v>299</v>
      </c>
      <c r="F118" s="619">
        <f>'7" 26# Deck Tally'!C101</f>
        <v>33.67</v>
      </c>
      <c r="G118" s="619">
        <f t="shared" si="8"/>
        <v>33.271999999999998</v>
      </c>
      <c r="H118" s="619" t="s">
        <v>9</v>
      </c>
      <c r="I118" s="619">
        <f t="shared" si="6"/>
        <v>3310.9599999999996</v>
      </c>
      <c r="J118" s="619">
        <f t="shared" si="7"/>
        <v>9452.1</v>
      </c>
      <c r="K118" s="631">
        <f t="shared" si="5"/>
        <v>200.93217772345304</v>
      </c>
      <c r="L118" s="653"/>
      <c r="M118" s="222"/>
      <c r="P118" s="499"/>
      <c r="Q118" s="1003"/>
      <c r="R118" s="1001"/>
      <c r="S118" s="1002"/>
    </row>
    <row r="119" spans="1:19" s="18" customFormat="1" ht="13">
      <c r="A119" s="617">
        <f t="shared" si="9"/>
        <v>102</v>
      </c>
      <c r="B119" s="702" t="s">
        <v>98</v>
      </c>
      <c r="C119" s="702"/>
      <c r="D119" s="702"/>
      <c r="E119" s="618">
        <f>'7" 26# Deck Tally'!B102</f>
        <v>298</v>
      </c>
      <c r="F119" s="619">
        <f>'7" 26# Deck Tally'!C102</f>
        <v>33.44</v>
      </c>
      <c r="G119" s="619">
        <f t="shared" si="8"/>
        <v>33.041999999999994</v>
      </c>
      <c r="H119" s="619" t="s">
        <v>9</v>
      </c>
      <c r="I119" s="619">
        <f t="shared" si="6"/>
        <v>3344.0019999999995</v>
      </c>
      <c r="J119" s="619">
        <f t="shared" si="7"/>
        <v>9419.0580000000009</v>
      </c>
      <c r="K119" s="631">
        <f t="shared" si="5"/>
        <v>201.66001044155843</v>
      </c>
      <c r="L119" s="712"/>
      <c r="M119" s="709"/>
      <c r="P119" s="499"/>
      <c r="Q119" s="1003"/>
      <c r="R119" s="1001"/>
      <c r="S119" s="1002"/>
    </row>
    <row r="120" spans="1:19" s="18" customFormat="1" ht="13">
      <c r="A120" s="617">
        <f t="shared" si="9"/>
        <v>103</v>
      </c>
      <c r="B120" s="702" t="s">
        <v>98</v>
      </c>
      <c r="C120" s="702"/>
      <c r="D120" s="702"/>
      <c r="E120" s="618">
        <f>'7" 26# Deck Tally'!B103</f>
        <v>297</v>
      </c>
      <c r="F120" s="619">
        <f>'7" 26# Deck Tally'!C103</f>
        <v>33.54</v>
      </c>
      <c r="G120" s="619">
        <f t="shared" si="8"/>
        <v>33.141999999999996</v>
      </c>
      <c r="H120" s="619" t="s">
        <v>9</v>
      </c>
      <c r="I120" s="619">
        <f t="shared" si="6"/>
        <v>3377.1439999999993</v>
      </c>
      <c r="J120" s="619">
        <f t="shared" si="7"/>
        <v>9385.9160000000011</v>
      </c>
      <c r="K120" s="631">
        <f t="shared" si="5"/>
        <v>202.39004590985485</v>
      </c>
      <c r="L120" s="653"/>
      <c r="M120" s="222"/>
      <c r="P120" s="499"/>
      <c r="Q120" s="1003"/>
      <c r="R120" s="1001"/>
      <c r="S120" s="1002"/>
    </row>
    <row r="121" spans="1:19" s="18" customFormat="1" ht="13">
      <c r="A121" s="617">
        <f t="shared" si="9"/>
        <v>104</v>
      </c>
      <c r="B121" s="702" t="s">
        <v>98</v>
      </c>
      <c r="C121" s="702"/>
      <c r="D121" s="702"/>
      <c r="E121" s="618">
        <f>'7" 26# Deck Tally'!B104</f>
        <v>296</v>
      </c>
      <c r="F121" s="619">
        <f>'7" 26# Deck Tally'!C104</f>
        <v>33.74</v>
      </c>
      <c r="G121" s="619">
        <f t="shared" si="8"/>
        <v>33.341999999999999</v>
      </c>
      <c r="H121" s="619" t="s">
        <v>9</v>
      </c>
      <c r="I121" s="619">
        <f t="shared" si="6"/>
        <v>3410.4859999999994</v>
      </c>
      <c r="J121" s="619">
        <f t="shared" si="7"/>
        <v>9352.5740000000005</v>
      </c>
      <c r="K121" s="631">
        <f t="shared" si="5"/>
        <v>203.12448687853322</v>
      </c>
      <c r="L121" s="653"/>
      <c r="M121" s="222"/>
      <c r="P121" s="499"/>
      <c r="Q121" s="1003"/>
      <c r="R121" s="1001"/>
      <c r="S121" s="1002"/>
    </row>
    <row r="122" spans="1:19" s="18" customFormat="1" ht="13">
      <c r="A122" s="617">
        <f t="shared" si="9"/>
        <v>105</v>
      </c>
      <c r="B122" s="702" t="s">
        <v>98</v>
      </c>
      <c r="C122" s="702"/>
      <c r="D122" s="702"/>
      <c r="E122" s="618">
        <f>'7" 26# Deck Tally'!B105</f>
        <v>295</v>
      </c>
      <c r="F122" s="619">
        <f>'7" 26# Deck Tally'!C105</f>
        <v>33.74</v>
      </c>
      <c r="G122" s="619">
        <f t="shared" si="8"/>
        <v>33.341999999999999</v>
      </c>
      <c r="H122" s="619" t="s">
        <v>9</v>
      </c>
      <c r="I122" s="619">
        <f t="shared" si="6"/>
        <v>3443.8279999999995</v>
      </c>
      <c r="J122" s="619">
        <f t="shared" si="7"/>
        <v>9319.232</v>
      </c>
      <c r="K122" s="631">
        <f t="shared" si="5"/>
        <v>203.85892784721159</v>
      </c>
      <c r="L122" s="653"/>
      <c r="M122" s="222"/>
      <c r="N122" s="25"/>
      <c r="O122" s="25"/>
      <c r="P122" s="499"/>
      <c r="Q122" s="1003"/>
      <c r="R122" s="1001"/>
      <c r="S122" s="1002"/>
    </row>
    <row r="123" spans="1:19" s="18" customFormat="1" ht="13">
      <c r="A123" s="617">
        <f t="shared" si="9"/>
        <v>106</v>
      </c>
      <c r="B123" s="702" t="s">
        <v>98</v>
      </c>
      <c r="C123" s="702"/>
      <c r="D123" s="702"/>
      <c r="E123" s="618">
        <f>'7" 26# Deck Tally'!B106</f>
        <v>294</v>
      </c>
      <c r="F123" s="619">
        <f>'7" 26# Deck Tally'!C106</f>
        <v>33.51</v>
      </c>
      <c r="G123" s="619">
        <f t="shared" si="8"/>
        <v>33.111999999999995</v>
      </c>
      <c r="H123" s="619" t="s">
        <v>9</v>
      </c>
      <c r="I123" s="619">
        <f t="shared" si="6"/>
        <v>3476.9399999999996</v>
      </c>
      <c r="J123" s="619">
        <f t="shared" si="7"/>
        <v>9286.119999999999</v>
      </c>
      <c r="K123" s="631">
        <f t="shared" si="5"/>
        <v>204.5883024904507</v>
      </c>
      <c r="L123" s="653"/>
      <c r="M123" s="222"/>
      <c r="P123" s="499"/>
      <c r="Q123" s="1003"/>
      <c r="R123" s="1001"/>
      <c r="S123" s="1002"/>
    </row>
    <row r="124" spans="1:19" s="18" customFormat="1" ht="13">
      <c r="A124" s="617">
        <f t="shared" si="9"/>
        <v>107</v>
      </c>
      <c r="B124" s="702" t="s">
        <v>98</v>
      </c>
      <c r="C124" s="702"/>
      <c r="D124" s="702"/>
      <c r="E124" s="618">
        <f>'7" 26# Deck Tally'!B107</f>
        <v>293</v>
      </c>
      <c r="F124" s="619">
        <f>'7" 26# Deck Tally'!C107</f>
        <v>33.39</v>
      </c>
      <c r="G124" s="619">
        <f t="shared" si="8"/>
        <v>32.991999999999997</v>
      </c>
      <c r="H124" s="619" t="s">
        <v>9</v>
      </c>
      <c r="I124" s="619">
        <f t="shared" si="6"/>
        <v>3509.9319999999998</v>
      </c>
      <c r="J124" s="619">
        <f t="shared" si="7"/>
        <v>9253.1280000000006</v>
      </c>
      <c r="K124" s="631">
        <f t="shared" si="5"/>
        <v>205.31503383346063</v>
      </c>
      <c r="L124" s="276"/>
      <c r="M124" s="222"/>
      <c r="N124" s="31"/>
      <c r="O124" s="31"/>
      <c r="P124" s="499"/>
      <c r="Q124" s="1003"/>
      <c r="R124" s="1001"/>
      <c r="S124" s="1002"/>
    </row>
    <row r="125" spans="1:19" s="18" customFormat="1" ht="13">
      <c r="A125" s="617">
        <f t="shared" si="9"/>
        <v>108</v>
      </c>
      <c r="B125" s="702" t="s">
        <v>98</v>
      </c>
      <c r="C125" s="702"/>
      <c r="D125" s="702"/>
      <c r="E125" s="618">
        <f>'7" 26# Deck Tally'!B108</f>
        <v>292</v>
      </c>
      <c r="F125" s="619">
        <f>'7" 26# Deck Tally'!C108</f>
        <v>33.78</v>
      </c>
      <c r="G125" s="619">
        <f t="shared" si="8"/>
        <v>33.381999999999998</v>
      </c>
      <c r="H125" s="619" t="s">
        <v>9</v>
      </c>
      <c r="I125" s="619">
        <f t="shared" si="6"/>
        <v>3543.3139999999999</v>
      </c>
      <c r="J125" s="619">
        <f t="shared" si="7"/>
        <v>9219.7459999999992</v>
      </c>
      <c r="K125" s="631">
        <f t="shared" si="5"/>
        <v>206.05035590221541</v>
      </c>
      <c r="L125" s="276"/>
      <c r="M125" s="222"/>
      <c r="P125" s="499"/>
      <c r="Q125" s="1003"/>
      <c r="R125" s="1001"/>
      <c r="S125" s="1002"/>
    </row>
    <row r="126" spans="1:19" s="18" customFormat="1" ht="13">
      <c r="A126" s="617">
        <f t="shared" si="9"/>
        <v>109</v>
      </c>
      <c r="B126" s="702" t="s">
        <v>98</v>
      </c>
      <c r="C126" s="702"/>
      <c r="D126" s="702"/>
      <c r="E126" s="618">
        <f>'7" 26# Deck Tally'!B109</f>
        <v>291</v>
      </c>
      <c r="F126" s="619">
        <f>'7" 26# Deck Tally'!C109</f>
        <v>33.85</v>
      </c>
      <c r="G126" s="619">
        <f t="shared" si="8"/>
        <v>33.451999999999998</v>
      </c>
      <c r="H126" s="619" t="s">
        <v>9</v>
      </c>
      <c r="I126" s="619">
        <f t="shared" si="6"/>
        <v>3576.7659999999996</v>
      </c>
      <c r="J126" s="619">
        <f t="shared" si="7"/>
        <v>9186.2939999999999</v>
      </c>
      <c r="K126" s="631">
        <f t="shared" si="5"/>
        <v>206.78721989610389</v>
      </c>
      <c r="L126" s="276"/>
      <c r="M126" s="222"/>
      <c r="P126" s="499"/>
      <c r="Q126" s="1003"/>
      <c r="R126" s="1001"/>
      <c r="S126" s="1002"/>
    </row>
    <row r="127" spans="1:19" s="18" customFormat="1" ht="13">
      <c r="A127" s="617">
        <f t="shared" si="9"/>
        <v>110</v>
      </c>
      <c r="B127" s="702" t="s">
        <v>98</v>
      </c>
      <c r="C127" s="702"/>
      <c r="D127" s="702"/>
      <c r="E127" s="618">
        <f>'7" 26# Deck Tally'!B110</f>
        <v>290</v>
      </c>
      <c r="F127" s="619">
        <f>'7" 26# Deck Tally'!C110</f>
        <v>33.43</v>
      </c>
      <c r="G127" s="619">
        <f t="shared" si="8"/>
        <v>33.031999999999996</v>
      </c>
      <c r="H127" s="619" t="s">
        <v>9</v>
      </c>
      <c r="I127" s="619">
        <f t="shared" si="6"/>
        <v>3609.7979999999998</v>
      </c>
      <c r="J127" s="619">
        <f t="shared" si="7"/>
        <v>9153.2619999999988</v>
      </c>
      <c r="K127" s="631">
        <f t="shared" si="5"/>
        <v>207.51483233919021</v>
      </c>
      <c r="L127" s="653"/>
      <c r="M127" s="222"/>
      <c r="P127" s="499"/>
      <c r="Q127" s="1003"/>
      <c r="R127" s="1001"/>
      <c r="S127" s="1002"/>
    </row>
    <row r="128" spans="1:19" s="18" customFormat="1" ht="13">
      <c r="A128" s="617">
        <f t="shared" si="9"/>
        <v>111</v>
      </c>
      <c r="B128" s="702" t="s">
        <v>98</v>
      </c>
      <c r="C128" s="702"/>
      <c r="D128" s="702"/>
      <c r="E128" s="618">
        <f>'7" 26# Deck Tally'!B111</f>
        <v>289</v>
      </c>
      <c r="F128" s="619">
        <f>'7" 26# Deck Tally'!C111</f>
        <v>33.43</v>
      </c>
      <c r="G128" s="619">
        <f t="shared" si="8"/>
        <v>33.031999999999996</v>
      </c>
      <c r="H128" s="619" t="s">
        <v>9</v>
      </c>
      <c r="I128" s="619">
        <f t="shared" si="6"/>
        <v>3642.83</v>
      </c>
      <c r="J128" s="619">
        <f t="shared" si="7"/>
        <v>9120.23</v>
      </c>
      <c r="K128" s="631">
        <f t="shared" si="5"/>
        <v>208.24244478227655</v>
      </c>
      <c r="L128" s="653"/>
      <c r="M128" s="222"/>
      <c r="P128" s="499"/>
      <c r="Q128" s="1003"/>
      <c r="R128" s="1001"/>
      <c r="S128" s="1002"/>
    </row>
    <row r="129" spans="1:19" s="18" customFormat="1" ht="13">
      <c r="A129" s="617">
        <f t="shared" si="9"/>
        <v>112</v>
      </c>
      <c r="B129" s="702" t="s">
        <v>98</v>
      </c>
      <c r="C129" s="702"/>
      <c r="D129" s="702"/>
      <c r="E129" s="618">
        <f>'7" 26# Deck Tally'!B112</f>
        <v>288</v>
      </c>
      <c r="F129" s="619">
        <f>'7" 26# Deck Tally'!C112</f>
        <v>33.770000000000003</v>
      </c>
      <c r="G129" s="619">
        <f t="shared" si="8"/>
        <v>33.372</v>
      </c>
      <c r="H129" s="619" t="s">
        <v>9</v>
      </c>
      <c r="I129" s="619">
        <f t="shared" si="6"/>
        <v>3676.2019999999998</v>
      </c>
      <c r="J129" s="619">
        <f t="shared" si="7"/>
        <v>9086.8580000000002</v>
      </c>
      <c r="K129" s="631">
        <f t="shared" si="5"/>
        <v>208.97754657601223</v>
      </c>
      <c r="L129" s="653"/>
      <c r="M129" s="222"/>
      <c r="P129" s="499"/>
      <c r="Q129" s="1003"/>
      <c r="R129" s="1001"/>
      <c r="S129" s="1002"/>
    </row>
    <row r="130" spans="1:19" s="18" customFormat="1" ht="13" customHeight="1">
      <c r="A130" s="617">
        <f t="shared" si="9"/>
        <v>113</v>
      </c>
      <c r="B130" s="702" t="s">
        <v>98</v>
      </c>
      <c r="C130" s="702"/>
      <c r="D130" s="702"/>
      <c r="E130" s="618">
        <f>'7" 26# Deck Tally'!B113</f>
        <v>287</v>
      </c>
      <c r="F130" s="619">
        <f>'7" 26# Deck Tally'!C113</f>
        <v>33.53</v>
      </c>
      <c r="G130" s="619">
        <f t="shared" si="8"/>
        <v>33.131999999999998</v>
      </c>
      <c r="H130" s="619" t="s">
        <v>9</v>
      </c>
      <c r="I130" s="619">
        <f t="shared" si="6"/>
        <v>3709.3339999999998</v>
      </c>
      <c r="J130" s="619">
        <f t="shared" si="7"/>
        <v>9053.7259999999987</v>
      </c>
      <c r="K130" s="631">
        <f t="shared" si="5"/>
        <v>209.70736176928955</v>
      </c>
      <c r="L130" s="653"/>
      <c r="M130" s="222"/>
      <c r="P130" s="499"/>
      <c r="Q130" s="1003"/>
      <c r="R130" s="1001"/>
      <c r="S130" s="1002"/>
    </row>
    <row r="131" spans="1:19" s="18" customFormat="1" ht="13" customHeight="1">
      <c r="A131" s="617">
        <f t="shared" si="9"/>
        <v>114</v>
      </c>
      <c r="B131" s="702" t="s">
        <v>98</v>
      </c>
      <c r="C131" s="702"/>
      <c r="D131" s="702"/>
      <c r="E131" s="618">
        <f>'7" 26# Deck Tally'!B114</f>
        <v>286</v>
      </c>
      <c r="F131" s="619">
        <f>'7" 26# Deck Tally'!C114</f>
        <v>33.82</v>
      </c>
      <c r="G131" s="619">
        <f t="shared" si="8"/>
        <v>33.421999999999997</v>
      </c>
      <c r="H131" s="619" t="s">
        <v>9</v>
      </c>
      <c r="I131" s="619">
        <f t="shared" si="6"/>
        <v>3742.7559999999999</v>
      </c>
      <c r="J131" s="619">
        <f t="shared" si="7"/>
        <v>9020.3040000000001</v>
      </c>
      <c r="K131" s="631">
        <f t="shared" si="5"/>
        <v>210.44356493812069</v>
      </c>
      <c r="L131" s="653"/>
      <c r="M131" s="222"/>
      <c r="P131" s="499"/>
      <c r="Q131" s="1003"/>
      <c r="R131" s="1001"/>
      <c r="S131" s="1002"/>
    </row>
    <row r="132" spans="1:19" s="18" customFormat="1" ht="13">
      <c r="A132" s="617">
        <f t="shared" si="9"/>
        <v>115</v>
      </c>
      <c r="B132" s="702" t="s">
        <v>98</v>
      </c>
      <c r="C132" s="702"/>
      <c r="D132" s="702"/>
      <c r="E132" s="618">
        <f>'7" 26# Deck Tally'!B115</f>
        <v>285</v>
      </c>
      <c r="F132" s="619">
        <f>'7" 26# Deck Tally'!C115</f>
        <v>33.270000000000003</v>
      </c>
      <c r="G132" s="619">
        <f t="shared" si="8"/>
        <v>32.872</v>
      </c>
      <c r="H132" s="619" t="s">
        <v>9</v>
      </c>
      <c r="I132" s="619">
        <f t="shared" si="6"/>
        <v>3775.6279999999997</v>
      </c>
      <c r="J132" s="619">
        <f t="shared" si="7"/>
        <v>8987.4320000000007</v>
      </c>
      <c r="K132" s="631">
        <f t="shared" si="5"/>
        <v>211.16765298090144</v>
      </c>
      <c r="L132" s="653"/>
      <c r="M132" s="222"/>
      <c r="N132" s="25"/>
      <c r="O132" s="25"/>
      <c r="P132" s="499"/>
      <c r="Q132" s="1003"/>
      <c r="R132" s="1001"/>
      <c r="S132" s="1002"/>
    </row>
    <row r="133" spans="1:19" s="18" customFormat="1" ht="13">
      <c r="A133" s="617">
        <f t="shared" si="9"/>
        <v>116</v>
      </c>
      <c r="B133" s="702" t="s">
        <v>98</v>
      </c>
      <c r="C133" s="702"/>
      <c r="D133" s="702"/>
      <c r="E133" s="618">
        <f>'7" 26# Deck Tally'!B116</f>
        <v>284</v>
      </c>
      <c r="F133" s="619">
        <f>'7" 26# Deck Tally'!C116</f>
        <v>33.54</v>
      </c>
      <c r="G133" s="619">
        <f t="shared" si="8"/>
        <v>33.141999999999996</v>
      </c>
      <c r="H133" s="619" t="s">
        <v>9</v>
      </c>
      <c r="I133" s="619">
        <f t="shared" si="6"/>
        <v>3808.7699999999995</v>
      </c>
      <c r="J133" s="619">
        <f t="shared" si="7"/>
        <v>8954.2900000000009</v>
      </c>
      <c r="K133" s="631">
        <f t="shared" si="5"/>
        <v>211.89768844919786</v>
      </c>
      <c r="L133" s="653"/>
      <c r="M133" s="222"/>
      <c r="P133" s="499"/>
      <c r="Q133" s="1003"/>
      <c r="R133" s="1001"/>
      <c r="S133" s="1002"/>
    </row>
    <row r="134" spans="1:19" s="18" customFormat="1" ht="13">
      <c r="A134" s="617">
        <f t="shared" si="9"/>
        <v>117</v>
      </c>
      <c r="B134" s="702" t="s">
        <v>98</v>
      </c>
      <c r="C134" s="702"/>
      <c r="D134" s="702"/>
      <c r="E134" s="618">
        <f>'7" 26# Deck Tally'!B117</f>
        <v>283</v>
      </c>
      <c r="F134" s="619">
        <f>'7" 26# Deck Tally'!C117</f>
        <v>33.659999999999997</v>
      </c>
      <c r="G134" s="619">
        <f t="shared" si="8"/>
        <v>33.261999999999993</v>
      </c>
      <c r="H134" s="619" t="s">
        <v>9</v>
      </c>
      <c r="I134" s="619">
        <f t="shared" si="6"/>
        <v>3842.0319999999997</v>
      </c>
      <c r="J134" s="619">
        <f t="shared" si="7"/>
        <v>8921.0280000000002</v>
      </c>
      <c r="K134" s="631">
        <f t="shared" si="5"/>
        <v>212.63036721772346</v>
      </c>
      <c r="L134" s="653"/>
      <c r="M134" s="222"/>
      <c r="P134" s="499"/>
      <c r="Q134" s="1003"/>
      <c r="R134" s="1001"/>
      <c r="S134" s="1002"/>
    </row>
    <row r="135" spans="1:19" s="18" customFormat="1" ht="13">
      <c r="A135" s="617">
        <f t="shared" si="9"/>
        <v>118</v>
      </c>
      <c r="B135" s="702" t="s">
        <v>98</v>
      </c>
      <c r="C135" s="702"/>
      <c r="D135" s="702"/>
      <c r="E135" s="618">
        <f>'7" 26# Deck Tally'!B118</f>
        <v>282</v>
      </c>
      <c r="F135" s="619">
        <f>'7" 26# Deck Tally'!C118</f>
        <v>33.76</v>
      </c>
      <c r="G135" s="619">
        <f t="shared" si="8"/>
        <v>33.361999999999995</v>
      </c>
      <c r="H135" s="619" t="s">
        <v>9</v>
      </c>
      <c r="I135" s="619">
        <f t="shared" si="6"/>
        <v>3875.3939999999998</v>
      </c>
      <c r="J135" s="619">
        <f t="shared" si="7"/>
        <v>8887.6659999999993</v>
      </c>
      <c r="K135" s="631">
        <f t="shared" si="5"/>
        <v>213.36524873644004</v>
      </c>
      <c r="L135" s="653"/>
      <c r="M135" s="222"/>
      <c r="P135" s="499"/>
      <c r="Q135" s="1003"/>
      <c r="R135" s="1001"/>
      <c r="S135" s="1002"/>
    </row>
    <row r="136" spans="1:19" s="18" customFormat="1" ht="13">
      <c r="A136" s="617">
        <f t="shared" si="9"/>
        <v>119</v>
      </c>
      <c r="B136" s="702" t="s">
        <v>98</v>
      </c>
      <c r="C136" s="702"/>
      <c r="D136" s="702"/>
      <c r="E136" s="618">
        <f>'7" 26# Deck Tally'!B119</f>
        <v>281</v>
      </c>
      <c r="F136" s="619">
        <f>'7" 26# Deck Tally'!C119</f>
        <v>33.39</v>
      </c>
      <c r="G136" s="619">
        <f t="shared" si="8"/>
        <v>32.991999999999997</v>
      </c>
      <c r="H136" s="619" t="s">
        <v>9</v>
      </c>
      <c r="I136" s="619">
        <f t="shared" si="6"/>
        <v>3908.386</v>
      </c>
      <c r="J136" s="619">
        <f t="shared" si="7"/>
        <v>8854.6739999999991</v>
      </c>
      <c r="K136" s="631">
        <f t="shared" si="5"/>
        <v>214.09198007944997</v>
      </c>
      <c r="L136" s="653"/>
      <c r="M136" s="222"/>
      <c r="P136" s="499"/>
      <c r="Q136" s="1003"/>
      <c r="R136" s="1001"/>
      <c r="S136" s="1002"/>
    </row>
    <row r="137" spans="1:19" s="18" customFormat="1" ht="13">
      <c r="A137" s="617">
        <f t="shared" si="9"/>
        <v>120</v>
      </c>
      <c r="B137" s="702" t="s">
        <v>98</v>
      </c>
      <c r="C137" s="702"/>
      <c r="D137" s="702"/>
      <c r="E137" s="618">
        <f>'7" 26# Deck Tally'!B120</f>
        <v>280</v>
      </c>
      <c r="F137" s="619">
        <f>'7" 26# Deck Tally'!C120</f>
        <v>33.39</v>
      </c>
      <c r="G137" s="619">
        <f t="shared" si="8"/>
        <v>32.991999999999997</v>
      </c>
      <c r="H137" s="619" t="s">
        <v>9</v>
      </c>
      <c r="I137" s="619">
        <f t="shared" si="6"/>
        <v>3941.3780000000002</v>
      </c>
      <c r="J137" s="619">
        <f t="shared" si="7"/>
        <v>8821.6819999999989</v>
      </c>
      <c r="K137" s="631">
        <f t="shared" si="5"/>
        <v>214.8187114224599</v>
      </c>
      <c r="L137" s="653"/>
      <c r="M137" s="222"/>
      <c r="N137" s="25"/>
      <c r="O137" s="25"/>
      <c r="P137" s="499"/>
      <c r="Q137" s="1003"/>
      <c r="R137" s="1001"/>
      <c r="S137" s="1002"/>
    </row>
    <row r="138" spans="1:19" s="18" customFormat="1" ht="13">
      <c r="A138" s="617">
        <f t="shared" si="9"/>
        <v>121</v>
      </c>
      <c r="B138" s="702" t="s">
        <v>98</v>
      </c>
      <c r="C138" s="702"/>
      <c r="D138" s="702"/>
      <c r="E138" s="618">
        <f>'7" 26# Deck Tally'!B121</f>
        <v>279</v>
      </c>
      <c r="F138" s="619">
        <f>'7" 26# Deck Tally'!C121</f>
        <v>33.79</v>
      </c>
      <c r="G138" s="619">
        <f t="shared" si="8"/>
        <v>33.391999999999996</v>
      </c>
      <c r="H138" s="619" t="s">
        <v>9</v>
      </c>
      <c r="I138" s="619">
        <f t="shared" si="6"/>
        <v>3974.77</v>
      </c>
      <c r="J138" s="619">
        <f t="shared" si="7"/>
        <v>8788.2899999999991</v>
      </c>
      <c r="K138" s="631">
        <f t="shared" si="5"/>
        <v>215.55425376623378</v>
      </c>
      <c r="L138" s="653"/>
      <c r="M138" s="222"/>
      <c r="P138" s="499"/>
      <c r="Q138" s="1003"/>
      <c r="R138" s="1001"/>
      <c r="S138" s="1002"/>
    </row>
    <row r="139" spans="1:19" s="18" customFormat="1" ht="13">
      <c r="A139" s="617">
        <f t="shared" si="9"/>
        <v>122</v>
      </c>
      <c r="B139" s="702" t="s">
        <v>98</v>
      </c>
      <c r="C139" s="702"/>
      <c r="D139" s="702"/>
      <c r="E139" s="618">
        <f>'7" 26# Deck Tally'!B122</f>
        <v>278</v>
      </c>
      <c r="F139" s="619">
        <f>'7" 26# Deck Tally'!C122</f>
        <v>33.76</v>
      </c>
      <c r="G139" s="619">
        <f t="shared" si="8"/>
        <v>33.361999999999995</v>
      </c>
      <c r="H139" s="619" t="s">
        <v>9</v>
      </c>
      <c r="I139" s="619">
        <f t="shared" si="6"/>
        <v>4008.1320000000001</v>
      </c>
      <c r="J139" s="619">
        <f t="shared" si="7"/>
        <v>8754.9279999999999</v>
      </c>
      <c r="K139" s="631">
        <f t="shared" si="5"/>
        <v>216.28913528495036</v>
      </c>
      <c r="L139" s="276"/>
      <c r="M139" s="222"/>
      <c r="N139" s="31"/>
      <c r="O139" s="31"/>
      <c r="P139" s="499"/>
      <c r="Q139" s="1003"/>
      <c r="R139" s="1001"/>
      <c r="S139" s="1002"/>
    </row>
    <row r="140" spans="1:19" s="18" customFormat="1" ht="13">
      <c r="A140" s="617">
        <f t="shared" si="9"/>
        <v>123</v>
      </c>
      <c r="B140" s="702" t="s">
        <v>98</v>
      </c>
      <c r="C140" s="702"/>
      <c r="D140" s="702"/>
      <c r="E140" s="618">
        <f>'7" 26# Deck Tally'!B123</f>
        <v>277</v>
      </c>
      <c r="F140" s="619">
        <f>'7" 26# Deck Tally'!C123</f>
        <v>33.58</v>
      </c>
      <c r="G140" s="619">
        <f t="shared" si="8"/>
        <v>33.181999999999995</v>
      </c>
      <c r="H140" s="619" t="s">
        <v>9</v>
      </c>
      <c r="I140" s="619">
        <f t="shared" si="6"/>
        <v>4041.3139999999999</v>
      </c>
      <c r="J140" s="619">
        <f t="shared" si="7"/>
        <v>8721.7459999999992</v>
      </c>
      <c r="K140" s="631">
        <f t="shared" ref="K140:K203" si="10">$H$6+(I140*$F$7*$H$8/1000)</f>
        <v>217.02005185332314</v>
      </c>
      <c r="L140" s="276"/>
      <c r="M140" s="222"/>
      <c r="P140" s="499"/>
      <c r="Q140" s="1003"/>
      <c r="R140" s="1001"/>
      <c r="S140" s="1002"/>
    </row>
    <row r="141" spans="1:19" s="18" customFormat="1" ht="13">
      <c r="A141" s="617">
        <f t="shared" si="9"/>
        <v>124</v>
      </c>
      <c r="B141" s="702" t="s">
        <v>98</v>
      </c>
      <c r="C141" s="702"/>
      <c r="D141" s="702"/>
      <c r="E141" s="618">
        <f>'7" 26# Deck Tally'!B124</f>
        <v>276</v>
      </c>
      <c r="F141" s="619">
        <f>'7" 26# Deck Tally'!C124</f>
        <v>33.94</v>
      </c>
      <c r="G141" s="619">
        <f t="shared" si="8"/>
        <v>33.541999999999994</v>
      </c>
      <c r="H141" s="619" t="s">
        <v>9</v>
      </c>
      <c r="I141" s="619">
        <f t="shared" ref="I141:I204" si="11">IF(H141="IN",I140+G141,I140)</f>
        <v>4074.8559999999998</v>
      </c>
      <c r="J141" s="619">
        <f t="shared" si="7"/>
        <v>8688.2039999999997</v>
      </c>
      <c r="K141" s="631">
        <f t="shared" si="10"/>
        <v>217.75889832238352</v>
      </c>
      <c r="L141" s="276"/>
      <c r="M141" s="222"/>
      <c r="P141" s="499"/>
      <c r="Q141" s="1003"/>
      <c r="R141" s="1001"/>
      <c r="S141" s="1002"/>
    </row>
    <row r="142" spans="1:19" s="18" customFormat="1" ht="13">
      <c r="A142" s="617">
        <f t="shared" si="9"/>
        <v>125</v>
      </c>
      <c r="B142" s="702" t="s">
        <v>98</v>
      </c>
      <c r="C142" s="702"/>
      <c r="D142" s="702"/>
      <c r="E142" s="618">
        <f>'7" 26# Deck Tally'!B125</f>
        <v>275</v>
      </c>
      <c r="F142" s="619">
        <f>'7" 26# Deck Tally'!C125</f>
        <v>33.4</v>
      </c>
      <c r="G142" s="619">
        <f t="shared" si="8"/>
        <v>33.001999999999995</v>
      </c>
      <c r="H142" s="619" t="s">
        <v>9</v>
      </c>
      <c r="I142" s="619">
        <f t="shared" si="11"/>
        <v>4107.8580000000002</v>
      </c>
      <c r="J142" s="619">
        <f t="shared" si="7"/>
        <v>8655.2019999999993</v>
      </c>
      <c r="K142" s="631">
        <f t="shared" si="10"/>
        <v>218.48584994041255</v>
      </c>
      <c r="L142" s="653"/>
      <c r="M142" s="222"/>
      <c r="P142" s="499"/>
      <c r="Q142" s="1003"/>
      <c r="R142" s="1001"/>
      <c r="S142" s="1002"/>
    </row>
    <row r="143" spans="1:19" s="18" customFormat="1" ht="13">
      <c r="A143" s="617">
        <f t="shared" si="9"/>
        <v>126</v>
      </c>
      <c r="B143" s="702" t="s">
        <v>98</v>
      </c>
      <c r="C143" s="702"/>
      <c r="D143" s="702"/>
      <c r="E143" s="618">
        <f>'7" 26# Deck Tally'!B126</f>
        <v>274</v>
      </c>
      <c r="F143" s="619">
        <f>'7" 26# Deck Tally'!C126</f>
        <v>31.53</v>
      </c>
      <c r="G143" s="619">
        <f t="shared" si="8"/>
        <v>31.132000000000001</v>
      </c>
      <c r="H143" s="619" t="s">
        <v>9</v>
      </c>
      <c r="I143" s="619">
        <f t="shared" si="11"/>
        <v>4138.99</v>
      </c>
      <c r="J143" s="619">
        <f t="shared" si="7"/>
        <v>8624.07</v>
      </c>
      <c r="K143" s="631">
        <f t="shared" si="10"/>
        <v>219.17161012987015</v>
      </c>
      <c r="L143" s="712"/>
      <c r="M143" s="713"/>
      <c r="P143" s="499"/>
      <c r="Q143" s="1003"/>
      <c r="R143" s="1001"/>
      <c r="S143" s="1002"/>
    </row>
    <row r="144" spans="1:19" ht="13">
      <c r="A144" s="617">
        <f t="shared" si="9"/>
        <v>127</v>
      </c>
      <c r="B144" s="702" t="s">
        <v>98</v>
      </c>
      <c r="C144" s="702"/>
      <c r="D144" s="702"/>
      <c r="E144" s="618">
        <f>'7" 26# Deck Tally'!B127</f>
        <v>273</v>
      </c>
      <c r="F144" s="619">
        <f>'7" 26# Deck Tally'!C127</f>
        <v>33.21</v>
      </c>
      <c r="G144" s="619">
        <f t="shared" si="8"/>
        <v>32.811999999999998</v>
      </c>
      <c r="H144" s="619" t="s">
        <v>9</v>
      </c>
      <c r="I144" s="619">
        <f t="shared" si="11"/>
        <v>4171.8019999999997</v>
      </c>
      <c r="J144" s="619">
        <f t="shared" ref="J144:J207" si="12">IF(I144="","",$L$6-I144)</f>
        <v>8591.2579999999998</v>
      </c>
      <c r="K144" s="631">
        <f t="shared" si="10"/>
        <v>219.89437652253628</v>
      </c>
      <c r="L144" s="540"/>
      <c r="M144" s="532"/>
      <c r="P144" s="499"/>
      <c r="Q144" s="1003"/>
      <c r="R144" s="1001"/>
      <c r="S144" s="1002"/>
    </row>
    <row r="145" spans="1:19" ht="13">
      <c r="A145" s="617">
        <f t="shared" si="9"/>
        <v>128</v>
      </c>
      <c r="B145" s="702" t="s">
        <v>98</v>
      </c>
      <c r="C145" s="702"/>
      <c r="D145" s="702"/>
      <c r="E145" s="618">
        <f>'7" 26# Deck Tally'!B128</f>
        <v>272</v>
      </c>
      <c r="F145" s="619">
        <f>'7" 26# Deck Tally'!C128</f>
        <v>33.89</v>
      </c>
      <c r="G145" s="619">
        <f t="shared" si="8"/>
        <v>33.491999999999997</v>
      </c>
      <c r="H145" s="619" t="s">
        <v>9</v>
      </c>
      <c r="I145" s="619">
        <f t="shared" si="11"/>
        <v>4205.2939999999999</v>
      </c>
      <c r="J145" s="619">
        <f t="shared" si="12"/>
        <v>8557.7659999999996</v>
      </c>
      <c r="K145" s="631">
        <f t="shared" si="10"/>
        <v>220.63212161650114</v>
      </c>
      <c r="L145" s="540"/>
      <c r="M145" s="532"/>
      <c r="P145" s="499"/>
      <c r="Q145" s="1003"/>
      <c r="R145" s="1001"/>
      <c r="S145" s="1002"/>
    </row>
    <row r="146" spans="1:19" ht="13">
      <c r="A146" s="617">
        <f t="shared" si="9"/>
        <v>129</v>
      </c>
      <c r="B146" s="702" t="s">
        <v>98</v>
      </c>
      <c r="C146" s="702"/>
      <c r="D146" s="702"/>
      <c r="E146" s="618">
        <f>'7" 26# Deck Tally'!B129</f>
        <v>271</v>
      </c>
      <c r="F146" s="619">
        <f>'7" 26# Deck Tally'!C129</f>
        <v>33.950000000000003</v>
      </c>
      <c r="G146" s="619">
        <f t="shared" si="8"/>
        <v>33.552</v>
      </c>
      <c r="H146" s="619" t="s">
        <v>9</v>
      </c>
      <c r="I146" s="619">
        <f t="shared" si="11"/>
        <v>4238.8459999999995</v>
      </c>
      <c r="J146" s="619">
        <f t="shared" si="12"/>
        <v>8524.2139999999999</v>
      </c>
      <c r="K146" s="631">
        <f t="shared" si="10"/>
        <v>221.37118836058056</v>
      </c>
      <c r="L146" s="540"/>
      <c r="M146" s="532"/>
      <c r="P146" s="499"/>
      <c r="Q146" s="1003"/>
      <c r="R146" s="1001"/>
      <c r="S146" s="1002"/>
    </row>
    <row r="147" spans="1:19" ht="13">
      <c r="A147" s="617">
        <f t="shared" si="9"/>
        <v>130</v>
      </c>
      <c r="B147" s="702" t="s">
        <v>98</v>
      </c>
      <c r="C147" s="702"/>
      <c r="D147" s="702"/>
      <c r="E147" s="618">
        <f>'7" 26# Deck Tally'!B130</f>
        <v>270</v>
      </c>
      <c r="F147" s="619">
        <f>'7" 26# Deck Tally'!C130</f>
        <v>33.78</v>
      </c>
      <c r="G147" s="619">
        <f t="shared" si="8"/>
        <v>33.381999999999998</v>
      </c>
      <c r="H147" s="619" t="s">
        <v>9</v>
      </c>
      <c r="I147" s="619">
        <f t="shared" si="11"/>
        <v>4272.2279999999992</v>
      </c>
      <c r="J147" s="619">
        <f t="shared" si="12"/>
        <v>8490.8320000000003</v>
      </c>
      <c r="K147" s="631">
        <f t="shared" si="10"/>
        <v>222.10651042933534</v>
      </c>
      <c r="L147" s="540"/>
      <c r="M147" s="532"/>
      <c r="P147" s="499"/>
      <c r="Q147" s="1003"/>
      <c r="R147" s="1001"/>
      <c r="S147" s="1002"/>
    </row>
    <row r="148" spans="1:19" ht="13">
      <c r="A148" s="617">
        <f t="shared" si="9"/>
        <v>131</v>
      </c>
      <c r="B148" s="702" t="s">
        <v>98</v>
      </c>
      <c r="C148" s="702"/>
      <c r="D148" s="702"/>
      <c r="E148" s="618">
        <f>'7" 26# Deck Tally'!B131</f>
        <v>269</v>
      </c>
      <c r="F148" s="619">
        <f>'7" 26# Deck Tally'!C131</f>
        <v>33.64</v>
      </c>
      <c r="G148" s="619">
        <f t="shared" si="8"/>
        <v>33.241999999999997</v>
      </c>
      <c r="H148" s="619" t="s">
        <v>9</v>
      </c>
      <c r="I148" s="619">
        <f t="shared" si="11"/>
        <v>4305.4699999999993</v>
      </c>
      <c r="J148" s="619">
        <f t="shared" si="12"/>
        <v>8457.59</v>
      </c>
      <c r="K148" s="631">
        <f t="shared" si="10"/>
        <v>222.83874864782274</v>
      </c>
      <c r="L148" s="540"/>
      <c r="M148" s="532"/>
      <c r="P148" s="499"/>
      <c r="Q148" s="1003"/>
      <c r="R148" s="1001"/>
      <c r="S148" s="1002"/>
    </row>
    <row r="149" spans="1:19" ht="13">
      <c r="A149" s="617">
        <f t="shared" si="9"/>
        <v>132</v>
      </c>
      <c r="B149" s="702" t="s">
        <v>98</v>
      </c>
      <c r="C149" s="702"/>
      <c r="D149" s="702"/>
      <c r="E149" s="618">
        <f>'7" 26# Deck Tally'!B132</f>
        <v>268</v>
      </c>
      <c r="F149" s="619">
        <f>'7" 26# Deck Tally'!C132</f>
        <v>33.770000000000003</v>
      </c>
      <c r="G149" s="619">
        <f t="shared" ref="G149:G212" si="13">F149-($F$9)</f>
        <v>33.372</v>
      </c>
      <c r="H149" s="619" t="s">
        <v>9</v>
      </c>
      <c r="I149" s="619">
        <f t="shared" si="11"/>
        <v>4338.8419999999996</v>
      </c>
      <c r="J149" s="619">
        <f t="shared" si="12"/>
        <v>8424.2180000000008</v>
      </c>
      <c r="K149" s="631">
        <f t="shared" si="10"/>
        <v>223.57385044155842</v>
      </c>
      <c r="L149" s="540"/>
      <c r="M149" s="532"/>
      <c r="P149" s="499"/>
      <c r="Q149" s="1003"/>
      <c r="R149" s="1001"/>
      <c r="S149" s="1002"/>
    </row>
    <row r="150" spans="1:19" ht="13">
      <c r="A150" s="617">
        <f t="shared" si="9"/>
        <v>133</v>
      </c>
      <c r="B150" s="702" t="s">
        <v>98</v>
      </c>
      <c r="C150" s="702"/>
      <c r="D150" s="702"/>
      <c r="E150" s="618">
        <f>'7" 26# Deck Tally'!B133</f>
        <v>267</v>
      </c>
      <c r="F150" s="619">
        <f>'7" 26# Deck Tally'!C133</f>
        <v>33.97</v>
      </c>
      <c r="G150" s="619">
        <f t="shared" si="13"/>
        <v>33.571999999999996</v>
      </c>
      <c r="H150" s="619" t="s">
        <v>9</v>
      </c>
      <c r="I150" s="619">
        <f t="shared" si="11"/>
        <v>4372.4139999999998</v>
      </c>
      <c r="J150" s="619">
        <f t="shared" si="12"/>
        <v>8390.6460000000006</v>
      </c>
      <c r="K150" s="631">
        <f t="shared" si="10"/>
        <v>224.31335773567608</v>
      </c>
      <c r="L150" s="277"/>
      <c r="M150" s="222"/>
      <c r="P150" s="499"/>
      <c r="Q150" s="1003"/>
      <c r="R150" s="1001"/>
      <c r="S150" s="1002"/>
    </row>
    <row r="151" spans="1:19" ht="13">
      <c r="A151" s="617">
        <f t="shared" ref="A151:A214" si="14">A150+1</f>
        <v>134</v>
      </c>
      <c r="B151" s="702" t="s">
        <v>98</v>
      </c>
      <c r="C151" s="702"/>
      <c r="D151" s="702"/>
      <c r="E151" s="618">
        <f>'7" 26# Deck Tally'!B134</f>
        <v>266</v>
      </c>
      <c r="F151" s="619">
        <f>'7" 26# Deck Tally'!C134</f>
        <v>33.18</v>
      </c>
      <c r="G151" s="619">
        <f t="shared" si="13"/>
        <v>32.781999999999996</v>
      </c>
      <c r="H151" s="619" t="s">
        <v>9</v>
      </c>
      <c r="I151" s="619">
        <f t="shared" si="11"/>
        <v>4405.1959999999999</v>
      </c>
      <c r="J151" s="619">
        <f t="shared" si="12"/>
        <v>8357.8639999999996</v>
      </c>
      <c r="K151" s="631">
        <f t="shared" si="10"/>
        <v>225.03546330328493</v>
      </c>
      <c r="L151" s="653"/>
      <c r="M151" s="222"/>
      <c r="P151" s="499"/>
      <c r="Q151" s="1003"/>
      <c r="R151" s="1001"/>
      <c r="S151" s="1002"/>
    </row>
    <row r="152" spans="1:19" ht="13">
      <c r="A152" s="617">
        <f t="shared" si="14"/>
        <v>135</v>
      </c>
      <c r="B152" s="702" t="s">
        <v>98</v>
      </c>
      <c r="C152" s="702"/>
      <c r="D152" s="702"/>
      <c r="E152" s="618">
        <f>'7" 26# Deck Tally'!B135</f>
        <v>265</v>
      </c>
      <c r="F152" s="619">
        <f>'7" 26# Deck Tally'!C135</f>
        <v>33.29</v>
      </c>
      <c r="G152" s="619">
        <f t="shared" si="13"/>
        <v>32.891999999999996</v>
      </c>
      <c r="H152" s="619" t="s">
        <v>9</v>
      </c>
      <c r="I152" s="619">
        <f t="shared" si="11"/>
        <v>4438.0879999999997</v>
      </c>
      <c r="J152" s="619">
        <f t="shared" si="12"/>
        <v>8324.9719999999998</v>
      </c>
      <c r="K152" s="631">
        <f t="shared" si="10"/>
        <v>225.75999189610388</v>
      </c>
      <c r="L152" s="540"/>
      <c r="M152" s="532"/>
      <c r="P152" s="499"/>
      <c r="Q152" s="1003"/>
      <c r="R152" s="1001"/>
      <c r="S152" s="1002"/>
    </row>
    <row r="153" spans="1:19" ht="13">
      <c r="A153" s="617">
        <f t="shared" si="14"/>
        <v>136</v>
      </c>
      <c r="B153" s="702" t="s">
        <v>98</v>
      </c>
      <c r="C153" s="702"/>
      <c r="D153" s="702"/>
      <c r="E153" s="618">
        <f>'7" 26# Deck Tally'!B136</f>
        <v>264</v>
      </c>
      <c r="F153" s="619">
        <f>'7" 26# Deck Tally'!C136</f>
        <v>33.51</v>
      </c>
      <c r="G153" s="619">
        <f t="shared" si="13"/>
        <v>33.111999999999995</v>
      </c>
      <c r="H153" s="619" t="s">
        <v>9</v>
      </c>
      <c r="I153" s="619">
        <f t="shared" si="11"/>
        <v>4471.2</v>
      </c>
      <c r="J153" s="619">
        <f t="shared" si="12"/>
        <v>8291.86</v>
      </c>
      <c r="K153" s="631">
        <f t="shared" si="10"/>
        <v>226.489366539343</v>
      </c>
      <c r="L153" s="540"/>
      <c r="M153" s="532"/>
      <c r="P153" s="499"/>
      <c r="Q153" s="1003"/>
      <c r="R153" s="1001"/>
      <c r="S153" s="1002"/>
    </row>
    <row r="154" spans="1:19" ht="13">
      <c r="A154" s="617">
        <f t="shared" si="14"/>
        <v>137</v>
      </c>
      <c r="B154" s="702" t="s">
        <v>98</v>
      </c>
      <c r="C154" s="702"/>
      <c r="D154" s="702"/>
      <c r="E154" s="618">
        <f>'7" 26# Deck Tally'!B137</f>
        <v>263</v>
      </c>
      <c r="F154" s="619">
        <f>'7" 26# Deck Tally'!C137</f>
        <v>33.700000000000003</v>
      </c>
      <c r="G154" s="619">
        <f t="shared" si="13"/>
        <v>33.302</v>
      </c>
      <c r="H154" s="619" t="s">
        <v>9</v>
      </c>
      <c r="I154" s="619">
        <f t="shared" si="11"/>
        <v>4504.5019999999995</v>
      </c>
      <c r="J154" s="619">
        <f t="shared" si="12"/>
        <v>8258.5580000000009</v>
      </c>
      <c r="K154" s="631">
        <f t="shared" si="10"/>
        <v>227.22292640794498</v>
      </c>
      <c r="L154" s="540"/>
      <c r="M154" s="532"/>
      <c r="P154" s="499"/>
      <c r="Q154" s="1003"/>
      <c r="R154" s="1001"/>
      <c r="S154" s="1002"/>
    </row>
    <row r="155" spans="1:19" ht="13">
      <c r="A155" s="617">
        <f t="shared" si="14"/>
        <v>138</v>
      </c>
      <c r="B155" s="702" t="s">
        <v>98</v>
      </c>
      <c r="C155" s="702"/>
      <c r="D155" s="702"/>
      <c r="E155" s="618">
        <f>'7" 26# Deck Tally'!B138</f>
        <v>262</v>
      </c>
      <c r="F155" s="619">
        <f>'7" 26# Deck Tally'!C138</f>
        <v>33.51</v>
      </c>
      <c r="G155" s="619">
        <f t="shared" si="13"/>
        <v>33.111999999999995</v>
      </c>
      <c r="H155" s="619" t="s">
        <v>9</v>
      </c>
      <c r="I155" s="619">
        <f t="shared" si="11"/>
        <v>4537.6139999999996</v>
      </c>
      <c r="J155" s="619">
        <f t="shared" si="12"/>
        <v>8225.4459999999999</v>
      </c>
      <c r="K155" s="631">
        <f t="shared" si="10"/>
        <v>227.95230105118409</v>
      </c>
      <c r="L155" s="540"/>
      <c r="M155" s="532"/>
      <c r="P155" s="499"/>
      <c r="Q155" s="1003"/>
      <c r="R155" s="1001"/>
      <c r="S155" s="1002"/>
    </row>
    <row r="156" spans="1:19" ht="13">
      <c r="A156" s="617">
        <f t="shared" si="14"/>
        <v>139</v>
      </c>
      <c r="B156" s="702" t="s">
        <v>98</v>
      </c>
      <c r="C156" s="702"/>
      <c r="D156" s="702"/>
      <c r="E156" s="618">
        <f>'7" 26# Deck Tally'!B139</f>
        <v>261</v>
      </c>
      <c r="F156" s="619">
        <f>'7" 26# Deck Tally'!C139</f>
        <v>33.46</v>
      </c>
      <c r="G156" s="619">
        <f t="shared" si="13"/>
        <v>33.061999999999998</v>
      </c>
      <c r="H156" s="619" t="s">
        <v>9</v>
      </c>
      <c r="I156" s="619">
        <f t="shared" si="11"/>
        <v>4570.6759999999995</v>
      </c>
      <c r="J156" s="619">
        <f t="shared" si="12"/>
        <v>8192.384</v>
      </c>
      <c r="K156" s="631">
        <f t="shared" si="10"/>
        <v>228.68057431932772</v>
      </c>
      <c r="L156" s="540"/>
      <c r="M156" s="532"/>
      <c r="P156" s="499"/>
      <c r="Q156" s="1003"/>
      <c r="R156" s="1001"/>
      <c r="S156" s="1002"/>
    </row>
    <row r="157" spans="1:19" ht="13">
      <c r="A157" s="617">
        <f t="shared" si="14"/>
        <v>140</v>
      </c>
      <c r="B157" s="702" t="s">
        <v>98</v>
      </c>
      <c r="C157" s="702"/>
      <c r="D157" s="702"/>
      <c r="E157" s="618">
        <f>'7" 26# Deck Tally'!B140</f>
        <v>260</v>
      </c>
      <c r="F157" s="619">
        <f>'7" 26# Deck Tally'!C140</f>
        <v>33.86</v>
      </c>
      <c r="G157" s="619">
        <f t="shared" si="13"/>
        <v>33.461999999999996</v>
      </c>
      <c r="H157" s="619" t="s">
        <v>9</v>
      </c>
      <c r="I157" s="619">
        <f t="shared" si="11"/>
        <v>4604.1379999999999</v>
      </c>
      <c r="J157" s="619">
        <f t="shared" si="12"/>
        <v>8158.9219999999996</v>
      </c>
      <c r="K157" s="631">
        <f t="shared" si="10"/>
        <v>229.4176585882353</v>
      </c>
      <c r="L157" s="540"/>
      <c r="M157" s="532"/>
      <c r="P157" s="499"/>
      <c r="Q157" s="1003"/>
      <c r="R157" s="1001"/>
      <c r="S157" s="1002"/>
    </row>
    <row r="158" spans="1:19" ht="13">
      <c r="A158" s="617">
        <f t="shared" si="14"/>
        <v>141</v>
      </c>
      <c r="B158" s="702" t="s">
        <v>98</v>
      </c>
      <c r="C158" s="702"/>
      <c r="D158" s="702"/>
      <c r="E158" s="618">
        <f>'7" 26# Deck Tally'!B141</f>
        <v>259</v>
      </c>
      <c r="F158" s="619">
        <f>'7" 26# Deck Tally'!C141</f>
        <v>33.71</v>
      </c>
      <c r="G158" s="619">
        <f t="shared" si="13"/>
        <v>33.311999999999998</v>
      </c>
      <c r="H158" s="619" t="s">
        <v>9</v>
      </c>
      <c r="I158" s="619">
        <f t="shared" si="11"/>
        <v>4637.45</v>
      </c>
      <c r="J158" s="619">
        <f t="shared" si="12"/>
        <v>8125.61</v>
      </c>
      <c r="K158" s="631">
        <f t="shared" si="10"/>
        <v>230.15143873185639</v>
      </c>
      <c r="L158" s="540"/>
      <c r="M158" s="532"/>
      <c r="P158" s="499"/>
      <c r="Q158" s="1003"/>
      <c r="R158" s="1001"/>
      <c r="S158" s="1002"/>
    </row>
    <row r="159" spans="1:19" ht="13">
      <c r="A159" s="617">
        <f t="shared" si="14"/>
        <v>142</v>
      </c>
      <c r="B159" s="702" t="s">
        <v>98</v>
      </c>
      <c r="C159" s="702"/>
      <c r="D159" s="702"/>
      <c r="E159" s="618">
        <f>'7" 26# Deck Tally'!B142</f>
        <v>258</v>
      </c>
      <c r="F159" s="619">
        <f>'7" 26# Deck Tally'!C142</f>
        <v>33.950000000000003</v>
      </c>
      <c r="G159" s="619">
        <f t="shared" si="13"/>
        <v>33.552</v>
      </c>
      <c r="H159" s="619" t="s">
        <v>9</v>
      </c>
      <c r="I159" s="619">
        <f t="shared" si="11"/>
        <v>4671.0019999999995</v>
      </c>
      <c r="J159" s="619">
        <f t="shared" si="12"/>
        <v>8092.058</v>
      </c>
      <c r="K159" s="631">
        <f t="shared" si="10"/>
        <v>230.89050547593581</v>
      </c>
      <c r="L159" s="540"/>
      <c r="M159" s="532"/>
      <c r="P159" s="499"/>
      <c r="Q159" s="1003"/>
      <c r="R159" s="1001"/>
      <c r="S159" s="1002"/>
    </row>
    <row r="160" spans="1:19" ht="13">
      <c r="A160" s="617">
        <f t="shared" si="14"/>
        <v>143</v>
      </c>
      <c r="B160" s="702" t="s">
        <v>98</v>
      </c>
      <c r="C160" s="702"/>
      <c r="D160" s="702"/>
      <c r="E160" s="618">
        <f>'7" 26# Deck Tally'!B143</f>
        <v>257</v>
      </c>
      <c r="F160" s="619">
        <f>'7" 26# Deck Tally'!C143</f>
        <v>33.770000000000003</v>
      </c>
      <c r="G160" s="619">
        <f t="shared" si="13"/>
        <v>33.372</v>
      </c>
      <c r="H160" s="619" t="s">
        <v>9</v>
      </c>
      <c r="I160" s="619">
        <f t="shared" si="11"/>
        <v>4704.3739999999998</v>
      </c>
      <c r="J160" s="619">
        <f t="shared" si="12"/>
        <v>8058.6859999999997</v>
      </c>
      <c r="K160" s="631">
        <f t="shared" si="10"/>
        <v>231.62560726967149</v>
      </c>
      <c r="L160" s="540"/>
      <c r="M160" s="532"/>
      <c r="P160" s="499"/>
      <c r="Q160" s="1003"/>
      <c r="R160" s="1001"/>
      <c r="S160" s="1002"/>
    </row>
    <row r="161" spans="1:19" ht="13">
      <c r="A161" s="617">
        <f t="shared" si="14"/>
        <v>144</v>
      </c>
      <c r="B161" s="702" t="s">
        <v>98</v>
      </c>
      <c r="C161" s="702"/>
      <c r="D161" s="702"/>
      <c r="E161" s="618">
        <f>'7" 26# Deck Tally'!B144</f>
        <v>256</v>
      </c>
      <c r="F161" s="619">
        <f>'7" 26# Deck Tally'!C144</f>
        <v>33.26</v>
      </c>
      <c r="G161" s="619">
        <f t="shared" si="13"/>
        <v>32.861999999999995</v>
      </c>
      <c r="H161" s="619" t="s">
        <v>9</v>
      </c>
      <c r="I161" s="619">
        <f t="shared" si="11"/>
        <v>4737.2359999999999</v>
      </c>
      <c r="J161" s="619">
        <f t="shared" si="12"/>
        <v>8025.8239999999996</v>
      </c>
      <c r="K161" s="631">
        <f t="shared" si="10"/>
        <v>232.34947503743314</v>
      </c>
      <c r="L161" s="540"/>
      <c r="M161" s="532"/>
      <c r="P161" s="499"/>
      <c r="Q161" s="1003"/>
      <c r="R161" s="1001"/>
      <c r="S161" s="1002"/>
    </row>
    <row r="162" spans="1:19" ht="13">
      <c r="A162" s="617">
        <f t="shared" si="14"/>
        <v>145</v>
      </c>
      <c r="B162" s="702" t="s">
        <v>98</v>
      </c>
      <c r="C162" s="702"/>
      <c r="D162" s="702"/>
      <c r="E162" s="618">
        <f>'7" 26# Deck Tally'!B145</f>
        <v>255</v>
      </c>
      <c r="F162" s="619">
        <f>'7" 26# Deck Tally'!C145</f>
        <v>33.82</v>
      </c>
      <c r="G162" s="619">
        <f t="shared" si="13"/>
        <v>33.421999999999997</v>
      </c>
      <c r="H162" s="619" t="s">
        <v>9</v>
      </c>
      <c r="I162" s="619">
        <f t="shared" si="11"/>
        <v>4770.6579999999994</v>
      </c>
      <c r="J162" s="619">
        <f t="shared" si="12"/>
        <v>7992.402</v>
      </c>
      <c r="K162" s="631">
        <f t="shared" si="10"/>
        <v>233.0856782062643</v>
      </c>
      <c r="L162" s="540"/>
      <c r="M162" s="532"/>
      <c r="N162" s="527"/>
      <c r="O162" s="527"/>
      <c r="P162" s="499"/>
      <c r="Q162" s="1003"/>
      <c r="R162" s="1001"/>
      <c r="S162" s="1002"/>
    </row>
    <row r="163" spans="1:19" ht="13">
      <c r="A163" s="617">
        <f t="shared" si="14"/>
        <v>146</v>
      </c>
      <c r="B163" s="702" t="s">
        <v>98</v>
      </c>
      <c r="C163" s="702"/>
      <c r="D163" s="702"/>
      <c r="E163" s="618">
        <f>'7" 26# Deck Tally'!B146</f>
        <v>254</v>
      </c>
      <c r="F163" s="619">
        <f>'7" 26# Deck Tally'!C146</f>
        <v>33.700000000000003</v>
      </c>
      <c r="G163" s="619">
        <f t="shared" si="13"/>
        <v>33.302</v>
      </c>
      <c r="H163" s="619" t="s">
        <v>9</v>
      </c>
      <c r="I163" s="619">
        <f t="shared" si="11"/>
        <v>4803.9599999999991</v>
      </c>
      <c r="J163" s="619">
        <f t="shared" si="12"/>
        <v>7959.1</v>
      </c>
      <c r="K163" s="631">
        <f t="shared" si="10"/>
        <v>233.81923807486629</v>
      </c>
      <c r="L163" s="540"/>
      <c r="M163" s="532"/>
      <c r="P163" s="499"/>
      <c r="Q163" s="1003"/>
      <c r="R163" s="1001"/>
      <c r="S163" s="1002"/>
    </row>
    <row r="164" spans="1:19" ht="13">
      <c r="A164" s="617">
        <f t="shared" si="14"/>
        <v>147</v>
      </c>
      <c r="B164" s="702" t="s">
        <v>98</v>
      </c>
      <c r="C164" s="702"/>
      <c r="D164" s="702"/>
      <c r="E164" s="618">
        <f>'7" 26# Deck Tally'!B147</f>
        <v>253</v>
      </c>
      <c r="F164" s="619">
        <f>'7" 26# Deck Tally'!C147</f>
        <v>33.75</v>
      </c>
      <c r="G164" s="619">
        <f t="shared" si="13"/>
        <v>33.351999999999997</v>
      </c>
      <c r="H164" s="619" t="s">
        <v>9</v>
      </c>
      <c r="I164" s="619">
        <f t="shared" si="11"/>
        <v>4837.311999999999</v>
      </c>
      <c r="J164" s="619">
        <f t="shared" si="12"/>
        <v>7925.7480000000005</v>
      </c>
      <c r="K164" s="631">
        <f t="shared" si="10"/>
        <v>234.55389931856377</v>
      </c>
      <c r="L164" s="540"/>
      <c r="M164" s="532"/>
      <c r="P164" s="499"/>
      <c r="Q164" s="1003"/>
      <c r="R164" s="1001"/>
      <c r="S164" s="1002"/>
    </row>
    <row r="165" spans="1:19" ht="13">
      <c r="A165" s="617">
        <f t="shared" si="14"/>
        <v>148</v>
      </c>
      <c r="B165" s="702" t="s">
        <v>98</v>
      </c>
      <c r="C165" s="702"/>
      <c r="D165" s="702"/>
      <c r="E165" s="618">
        <f>'7" 26# Deck Tally'!B148</f>
        <v>252</v>
      </c>
      <c r="F165" s="619">
        <f>'7" 26# Deck Tally'!C148</f>
        <v>33.200000000000003</v>
      </c>
      <c r="G165" s="619">
        <f t="shared" si="13"/>
        <v>32.802</v>
      </c>
      <c r="H165" s="619" t="s">
        <v>9</v>
      </c>
      <c r="I165" s="619">
        <f t="shared" si="11"/>
        <v>4870.1139999999987</v>
      </c>
      <c r="J165" s="619">
        <f t="shared" si="12"/>
        <v>7892.9460000000008</v>
      </c>
      <c r="K165" s="631">
        <f t="shared" si="10"/>
        <v>235.27644543621082</v>
      </c>
      <c r="L165" s="540"/>
      <c r="M165" s="532"/>
      <c r="P165" s="499"/>
      <c r="Q165" s="1003"/>
      <c r="R165" s="1001"/>
      <c r="S165" s="1002"/>
    </row>
    <row r="166" spans="1:19" ht="13">
      <c r="A166" s="617">
        <f t="shared" si="14"/>
        <v>149</v>
      </c>
      <c r="B166" s="702" t="s">
        <v>98</v>
      </c>
      <c r="C166" s="702"/>
      <c r="D166" s="702"/>
      <c r="E166" s="618">
        <f>'7" 26# Deck Tally'!B149</f>
        <v>251</v>
      </c>
      <c r="F166" s="619">
        <f>'7" 26# Deck Tally'!C149</f>
        <v>33.61</v>
      </c>
      <c r="G166" s="619">
        <f t="shared" si="13"/>
        <v>33.211999999999996</v>
      </c>
      <c r="H166" s="619" t="s">
        <v>9</v>
      </c>
      <c r="I166" s="619">
        <f t="shared" si="11"/>
        <v>4903.3259999999991</v>
      </c>
      <c r="J166" s="619">
        <f t="shared" si="12"/>
        <v>7859.7340000000004</v>
      </c>
      <c r="K166" s="631">
        <f t="shared" si="10"/>
        <v>236.00802282964094</v>
      </c>
      <c r="L166" s="540"/>
      <c r="M166" s="532"/>
      <c r="P166" s="499"/>
      <c r="Q166" s="1003"/>
      <c r="R166" s="1001"/>
      <c r="S166" s="1002"/>
    </row>
    <row r="167" spans="1:19" ht="13">
      <c r="A167" s="617">
        <f t="shared" si="14"/>
        <v>150</v>
      </c>
      <c r="B167" s="702" t="s">
        <v>98</v>
      </c>
      <c r="C167" s="702"/>
      <c r="D167" s="702"/>
      <c r="E167" s="618">
        <f>'7" 26# Deck Tally'!B150</f>
        <v>250</v>
      </c>
      <c r="F167" s="619">
        <f>'7" 26# Deck Tally'!C150</f>
        <v>33.380000000000003</v>
      </c>
      <c r="G167" s="619">
        <f t="shared" si="13"/>
        <v>32.981999999999999</v>
      </c>
      <c r="H167" s="619" t="s">
        <v>9</v>
      </c>
      <c r="I167" s="619">
        <f t="shared" si="11"/>
        <v>4936.3079999999991</v>
      </c>
      <c r="J167" s="619">
        <f t="shared" si="12"/>
        <v>7826.7520000000004</v>
      </c>
      <c r="K167" s="631">
        <f t="shared" si="10"/>
        <v>236.73453389763176</v>
      </c>
      <c r="L167" s="540"/>
      <c r="M167" s="532"/>
      <c r="P167" s="499"/>
      <c r="Q167" s="1003"/>
      <c r="R167" s="1001"/>
      <c r="S167" s="1002"/>
    </row>
    <row r="168" spans="1:19" ht="13">
      <c r="A168" s="617">
        <f t="shared" si="14"/>
        <v>151</v>
      </c>
      <c r="B168" s="702" t="s">
        <v>98</v>
      </c>
      <c r="C168" s="702"/>
      <c r="D168" s="702"/>
      <c r="E168" s="618">
        <f>'7" 26# Deck Tally'!B151</f>
        <v>249</v>
      </c>
      <c r="F168" s="619">
        <f>'7" 26# Deck Tally'!C151</f>
        <v>33.29</v>
      </c>
      <c r="G168" s="619">
        <f t="shared" si="13"/>
        <v>32.891999999999996</v>
      </c>
      <c r="H168" s="619" t="s">
        <v>9</v>
      </c>
      <c r="I168" s="619">
        <f t="shared" si="11"/>
        <v>4969.1999999999989</v>
      </c>
      <c r="J168" s="619">
        <f t="shared" si="12"/>
        <v>7793.8600000000006</v>
      </c>
      <c r="K168" s="631">
        <f t="shared" si="10"/>
        <v>237.45906249045072</v>
      </c>
      <c r="L168" s="540"/>
      <c r="M168" s="532"/>
      <c r="P168" s="499"/>
      <c r="Q168" s="1003"/>
      <c r="R168" s="1001"/>
      <c r="S168" s="1002"/>
    </row>
    <row r="169" spans="1:19" ht="13">
      <c r="A169" s="617">
        <f t="shared" si="14"/>
        <v>152</v>
      </c>
      <c r="B169" s="702" t="s">
        <v>98</v>
      </c>
      <c r="C169" s="702"/>
      <c r="D169" s="702"/>
      <c r="E169" s="618">
        <f>'7" 26# Deck Tally'!B152</f>
        <v>248</v>
      </c>
      <c r="F169" s="619">
        <f>'7" 26# Deck Tally'!C152</f>
        <v>33.450000000000003</v>
      </c>
      <c r="G169" s="619">
        <f t="shared" si="13"/>
        <v>33.052</v>
      </c>
      <c r="H169" s="619" t="s">
        <v>9</v>
      </c>
      <c r="I169" s="619">
        <f t="shared" si="11"/>
        <v>5002.2519999999986</v>
      </c>
      <c r="J169" s="619">
        <f t="shared" si="12"/>
        <v>7760.8080000000009</v>
      </c>
      <c r="K169" s="631">
        <f t="shared" si="10"/>
        <v>238.18711548357521</v>
      </c>
      <c r="L169" s="540"/>
      <c r="M169" s="532"/>
      <c r="P169" s="499"/>
      <c r="Q169" s="1003"/>
      <c r="R169" s="1001"/>
      <c r="S169" s="1002"/>
    </row>
    <row r="170" spans="1:19" ht="13">
      <c r="A170" s="617">
        <f t="shared" si="14"/>
        <v>153</v>
      </c>
      <c r="B170" s="702" t="s">
        <v>98</v>
      </c>
      <c r="C170" s="702"/>
      <c r="D170" s="702"/>
      <c r="E170" s="618">
        <f>'7" 26# Deck Tally'!B153</f>
        <v>247</v>
      </c>
      <c r="F170" s="619">
        <f>'7" 26# Deck Tally'!C153</f>
        <v>33.57</v>
      </c>
      <c r="G170" s="619">
        <f t="shared" si="13"/>
        <v>33.171999999999997</v>
      </c>
      <c r="H170" s="619" t="s">
        <v>9</v>
      </c>
      <c r="I170" s="619">
        <f t="shared" si="11"/>
        <v>5035.4239999999982</v>
      </c>
      <c r="J170" s="619">
        <f t="shared" si="12"/>
        <v>7727.6360000000013</v>
      </c>
      <c r="K170" s="631">
        <f t="shared" si="10"/>
        <v>238.91781177692891</v>
      </c>
      <c r="L170" s="540"/>
      <c r="M170" s="532"/>
      <c r="P170" s="499"/>
      <c r="Q170" s="1003"/>
      <c r="R170" s="1001"/>
      <c r="S170" s="1002"/>
    </row>
    <row r="171" spans="1:19" ht="13">
      <c r="A171" s="617">
        <f t="shared" si="14"/>
        <v>154</v>
      </c>
      <c r="B171" s="702" t="s">
        <v>98</v>
      </c>
      <c r="C171" s="702"/>
      <c r="D171" s="702"/>
      <c r="E171" s="618">
        <f>'7" 26# Deck Tally'!B154</f>
        <v>246</v>
      </c>
      <c r="F171" s="619">
        <f>'7" 26# Deck Tally'!C154</f>
        <v>33.630000000000003</v>
      </c>
      <c r="G171" s="619">
        <f t="shared" si="13"/>
        <v>33.231999999999999</v>
      </c>
      <c r="H171" s="619" t="s">
        <v>9</v>
      </c>
      <c r="I171" s="619">
        <f t="shared" si="11"/>
        <v>5068.6559999999981</v>
      </c>
      <c r="J171" s="619">
        <f t="shared" si="12"/>
        <v>7694.4040000000014</v>
      </c>
      <c r="K171" s="631">
        <f t="shared" si="10"/>
        <v>239.64982972039724</v>
      </c>
      <c r="L171" s="540"/>
      <c r="M171" s="532"/>
      <c r="P171" s="499"/>
      <c r="Q171" s="1003"/>
      <c r="R171" s="1001"/>
      <c r="S171" s="1002"/>
    </row>
    <row r="172" spans="1:19" ht="13">
      <c r="A172" s="617">
        <f t="shared" si="14"/>
        <v>155</v>
      </c>
      <c r="B172" s="702" t="s">
        <v>98</v>
      </c>
      <c r="C172" s="702"/>
      <c r="D172" s="702"/>
      <c r="E172" s="618">
        <f>'7" 26# Deck Tally'!B155</f>
        <v>245</v>
      </c>
      <c r="F172" s="619">
        <f>'7" 26# Deck Tally'!C155</f>
        <v>33.61</v>
      </c>
      <c r="G172" s="619">
        <f t="shared" si="13"/>
        <v>33.211999999999996</v>
      </c>
      <c r="H172" s="619" t="s">
        <v>9</v>
      </c>
      <c r="I172" s="619">
        <f t="shared" si="11"/>
        <v>5101.8679999999986</v>
      </c>
      <c r="J172" s="619">
        <f t="shared" si="12"/>
        <v>7661.1920000000009</v>
      </c>
      <c r="K172" s="631">
        <f t="shared" si="10"/>
        <v>240.38140711382732</v>
      </c>
      <c r="L172" s="540"/>
      <c r="M172" s="532"/>
      <c r="P172" s="499"/>
      <c r="Q172" s="1003"/>
      <c r="R172" s="1001"/>
      <c r="S172" s="1002"/>
    </row>
    <row r="173" spans="1:19" ht="13">
      <c r="A173" s="617">
        <f t="shared" si="14"/>
        <v>156</v>
      </c>
      <c r="B173" s="702" t="s">
        <v>98</v>
      </c>
      <c r="C173" s="702"/>
      <c r="D173" s="702"/>
      <c r="E173" s="618">
        <f>'7" 26# Deck Tally'!B156</f>
        <v>244</v>
      </c>
      <c r="F173" s="619">
        <f>'7" 26# Deck Tally'!C156</f>
        <v>33.979999999999997</v>
      </c>
      <c r="G173" s="619">
        <f t="shared" si="13"/>
        <v>33.581999999999994</v>
      </c>
      <c r="H173" s="619" t="s">
        <v>9</v>
      </c>
      <c r="I173" s="619">
        <f t="shared" si="11"/>
        <v>5135.4499999999989</v>
      </c>
      <c r="J173" s="619">
        <f t="shared" si="12"/>
        <v>7627.6100000000006</v>
      </c>
      <c r="K173" s="631">
        <f t="shared" si="10"/>
        <v>241.12113468296408</v>
      </c>
      <c r="L173" s="540"/>
      <c r="M173" s="532"/>
      <c r="P173" s="499"/>
      <c r="Q173" s="1003"/>
      <c r="R173" s="1001"/>
      <c r="S173" s="1002"/>
    </row>
    <row r="174" spans="1:19" ht="13">
      <c r="A174" s="617">
        <f t="shared" si="14"/>
        <v>157</v>
      </c>
      <c r="B174" s="702" t="s">
        <v>98</v>
      </c>
      <c r="C174" s="702"/>
      <c r="D174" s="702"/>
      <c r="E174" s="618">
        <f>'7" 26# Deck Tally'!B157</f>
        <v>243</v>
      </c>
      <c r="F174" s="619">
        <f>'7" 26# Deck Tally'!C157</f>
        <v>33.17</v>
      </c>
      <c r="G174" s="619">
        <f t="shared" si="13"/>
        <v>32.771999999999998</v>
      </c>
      <c r="H174" s="619" t="s">
        <v>9</v>
      </c>
      <c r="I174" s="619">
        <f t="shared" si="11"/>
        <v>5168.2219999999988</v>
      </c>
      <c r="J174" s="619">
        <f t="shared" si="12"/>
        <v>7594.8380000000006</v>
      </c>
      <c r="K174" s="631">
        <f t="shared" si="10"/>
        <v>241.84301997555383</v>
      </c>
      <c r="L174" s="540"/>
      <c r="M174" s="532"/>
      <c r="P174" s="499"/>
      <c r="Q174" s="1003"/>
      <c r="R174" s="1001"/>
      <c r="S174" s="1002"/>
    </row>
    <row r="175" spans="1:19" ht="13">
      <c r="A175" s="617">
        <f t="shared" si="14"/>
        <v>158</v>
      </c>
      <c r="B175" s="702" t="s">
        <v>98</v>
      </c>
      <c r="C175" s="702"/>
      <c r="D175" s="702"/>
      <c r="E175" s="618">
        <f>'7" 26# Deck Tally'!B158</f>
        <v>242</v>
      </c>
      <c r="F175" s="619">
        <f>'7" 26# Deck Tally'!C158</f>
        <v>33.93</v>
      </c>
      <c r="G175" s="619">
        <f t="shared" si="13"/>
        <v>33.531999999999996</v>
      </c>
      <c r="H175" s="619" t="s">
        <v>9</v>
      </c>
      <c r="I175" s="619">
        <f t="shared" si="11"/>
        <v>5201.753999999999</v>
      </c>
      <c r="J175" s="619">
        <f t="shared" si="12"/>
        <v>7561.3060000000005</v>
      </c>
      <c r="K175" s="631">
        <f t="shared" si="10"/>
        <v>242.5816461695951</v>
      </c>
      <c r="L175" s="540"/>
      <c r="M175" s="532"/>
      <c r="P175" s="499"/>
      <c r="Q175" s="1003"/>
      <c r="R175" s="1001"/>
      <c r="S175" s="1002"/>
    </row>
    <row r="176" spans="1:19" ht="13">
      <c r="A176" s="617">
        <f t="shared" si="14"/>
        <v>159</v>
      </c>
      <c r="B176" s="702" t="s">
        <v>98</v>
      </c>
      <c r="C176" s="702"/>
      <c r="D176" s="702"/>
      <c r="E176" s="618">
        <f>'7" 26# Deck Tally'!B159</f>
        <v>241</v>
      </c>
      <c r="F176" s="619">
        <f>'7" 26# Deck Tally'!C159</f>
        <v>33.69</v>
      </c>
      <c r="G176" s="619">
        <f t="shared" si="13"/>
        <v>33.291999999999994</v>
      </c>
      <c r="H176" s="619" t="s">
        <v>9</v>
      </c>
      <c r="I176" s="619">
        <f t="shared" si="11"/>
        <v>5235.0459999999994</v>
      </c>
      <c r="J176" s="619">
        <f t="shared" si="12"/>
        <v>7528.0140000000001</v>
      </c>
      <c r="K176" s="631">
        <f t="shared" si="10"/>
        <v>243.31498576317802</v>
      </c>
      <c r="L176" s="540"/>
      <c r="M176" s="532"/>
      <c r="P176" s="499"/>
      <c r="Q176" s="1003"/>
      <c r="R176" s="1001"/>
      <c r="S176" s="1002"/>
    </row>
    <row r="177" spans="1:19" ht="13">
      <c r="A177" s="617">
        <f t="shared" si="14"/>
        <v>160</v>
      </c>
      <c r="B177" s="702" t="s">
        <v>98</v>
      </c>
      <c r="C177" s="702"/>
      <c r="D177" s="702"/>
      <c r="E177" s="618">
        <f>'7" 26# Deck Tally'!B160</f>
        <v>240</v>
      </c>
      <c r="F177" s="619">
        <f>'7" 26# Deck Tally'!C160</f>
        <v>33.869999999999997</v>
      </c>
      <c r="G177" s="619">
        <f t="shared" si="13"/>
        <v>33.471999999999994</v>
      </c>
      <c r="H177" s="619" t="s">
        <v>9</v>
      </c>
      <c r="I177" s="619">
        <f t="shared" si="11"/>
        <v>5268.5179999999991</v>
      </c>
      <c r="J177" s="619">
        <f t="shared" si="12"/>
        <v>7494.5420000000004</v>
      </c>
      <c r="K177" s="631">
        <f t="shared" si="10"/>
        <v>244.05229030710461</v>
      </c>
      <c r="L177" s="540"/>
      <c r="M177" s="532"/>
      <c r="P177" s="499"/>
      <c r="Q177" s="1003"/>
      <c r="R177" s="1001"/>
      <c r="S177" s="1002"/>
    </row>
    <row r="178" spans="1:19" ht="13">
      <c r="A178" s="617">
        <f t="shared" si="14"/>
        <v>161</v>
      </c>
      <c r="B178" s="702" t="s">
        <v>98</v>
      </c>
      <c r="C178" s="702"/>
      <c r="D178" s="702"/>
      <c r="E178" s="618">
        <f>'7" 26# Deck Tally'!B161</f>
        <v>239</v>
      </c>
      <c r="F178" s="619">
        <f>'7" 26# Deck Tally'!C161</f>
        <v>33.68</v>
      </c>
      <c r="G178" s="619">
        <f t="shared" si="13"/>
        <v>33.281999999999996</v>
      </c>
      <c r="H178" s="619" t="s">
        <v>9</v>
      </c>
      <c r="I178" s="619">
        <f t="shared" si="11"/>
        <v>5301.7999999999993</v>
      </c>
      <c r="J178" s="619">
        <f t="shared" si="12"/>
        <v>7461.26</v>
      </c>
      <c r="K178" s="631">
        <f t="shared" si="10"/>
        <v>244.78540962566842</v>
      </c>
      <c r="L178" s="540"/>
      <c r="M178" s="532"/>
      <c r="P178" s="499"/>
      <c r="Q178" s="1003"/>
      <c r="R178" s="1001"/>
      <c r="S178" s="1002"/>
    </row>
    <row r="179" spans="1:19" ht="13">
      <c r="A179" s="617">
        <f t="shared" si="14"/>
        <v>162</v>
      </c>
      <c r="B179" s="702" t="s">
        <v>98</v>
      </c>
      <c r="C179" s="702"/>
      <c r="D179" s="702"/>
      <c r="E179" s="618">
        <f>'7" 26# Deck Tally'!B162</f>
        <v>238</v>
      </c>
      <c r="F179" s="619">
        <f>'7" 26# Deck Tally'!C162</f>
        <v>33.33</v>
      </c>
      <c r="G179" s="619">
        <f t="shared" si="13"/>
        <v>32.931999999999995</v>
      </c>
      <c r="H179" s="619" t="s">
        <v>9</v>
      </c>
      <c r="I179" s="619">
        <f t="shared" si="11"/>
        <v>5334.7319999999991</v>
      </c>
      <c r="J179" s="619">
        <f t="shared" si="12"/>
        <v>7428.3280000000004</v>
      </c>
      <c r="K179" s="631">
        <f t="shared" si="10"/>
        <v>245.51081931856376</v>
      </c>
      <c r="L179" s="540"/>
      <c r="M179" s="532"/>
      <c r="P179" s="499"/>
      <c r="Q179" s="1003"/>
      <c r="R179" s="1001"/>
      <c r="S179" s="1002"/>
    </row>
    <row r="180" spans="1:19" ht="13">
      <c r="A180" s="617">
        <f t="shared" si="14"/>
        <v>163</v>
      </c>
      <c r="B180" s="702" t="s">
        <v>98</v>
      </c>
      <c r="C180" s="702"/>
      <c r="D180" s="702"/>
      <c r="E180" s="618">
        <f>'7" 26# Deck Tally'!B163</f>
        <v>237</v>
      </c>
      <c r="F180" s="619">
        <f>'7" 26# Deck Tally'!C163</f>
        <v>33.630000000000003</v>
      </c>
      <c r="G180" s="619">
        <f t="shared" si="13"/>
        <v>33.231999999999999</v>
      </c>
      <c r="H180" s="619" t="s">
        <v>9</v>
      </c>
      <c r="I180" s="619">
        <f t="shared" si="11"/>
        <v>5367.963999999999</v>
      </c>
      <c r="J180" s="619">
        <f t="shared" si="12"/>
        <v>7395.0960000000005</v>
      </c>
      <c r="K180" s="631">
        <f t="shared" si="10"/>
        <v>246.24283726203208</v>
      </c>
      <c r="L180" s="540"/>
      <c r="M180" s="532"/>
      <c r="P180" s="499"/>
      <c r="Q180" s="1003"/>
      <c r="R180" s="1001"/>
      <c r="S180" s="1002"/>
    </row>
    <row r="181" spans="1:19" ht="13">
      <c r="A181" s="617">
        <f t="shared" si="14"/>
        <v>164</v>
      </c>
      <c r="B181" s="702" t="s">
        <v>98</v>
      </c>
      <c r="C181" s="702"/>
      <c r="D181" s="702"/>
      <c r="E181" s="618">
        <f>'7" 26# Deck Tally'!B164</f>
        <v>236</v>
      </c>
      <c r="F181" s="619">
        <f>'7" 26# Deck Tally'!C164</f>
        <v>33.869999999999997</v>
      </c>
      <c r="G181" s="619">
        <f t="shared" si="13"/>
        <v>33.471999999999994</v>
      </c>
      <c r="H181" s="619" t="s">
        <v>9</v>
      </c>
      <c r="I181" s="619">
        <f t="shared" si="11"/>
        <v>5401.4359999999988</v>
      </c>
      <c r="J181" s="619">
        <f t="shared" si="12"/>
        <v>7361.6240000000007</v>
      </c>
      <c r="K181" s="631">
        <f t="shared" si="10"/>
        <v>246.98014180595874</v>
      </c>
      <c r="L181" s="540"/>
      <c r="M181" s="532"/>
      <c r="P181" s="499"/>
      <c r="Q181" s="1003"/>
      <c r="R181" s="1001"/>
      <c r="S181" s="1002"/>
    </row>
    <row r="182" spans="1:19" ht="13">
      <c r="A182" s="617">
        <f t="shared" si="14"/>
        <v>165</v>
      </c>
      <c r="B182" s="702" t="s">
        <v>98</v>
      </c>
      <c r="C182" s="702"/>
      <c r="D182" s="702"/>
      <c r="E182" s="618">
        <f>'7" 26# Deck Tally'!B165</f>
        <v>235</v>
      </c>
      <c r="F182" s="619">
        <f>'7" 26# Deck Tally'!C165</f>
        <v>33.32</v>
      </c>
      <c r="G182" s="619">
        <f t="shared" si="13"/>
        <v>32.921999999999997</v>
      </c>
      <c r="H182" s="619" t="s">
        <v>9</v>
      </c>
      <c r="I182" s="619">
        <f t="shared" si="11"/>
        <v>5434.3579999999984</v>
      </c>
      <c r="J182" s="619">
        <f t="shared" si="12"/>
        <v>7328.7020000000011</v>
      </c>
      <c r="K182" s="631">
        <f t="shared" si="10"/>
        <v>247.70533122383495</v>
      </c>
      <c r="L182" s="540"/>
      <c r="M182" s="532"/>
      <c r="P182" s="499"/>
      <c r="Q182" s="1003"/>
      <c r="R182" s="1001"/>
      <c r="S182" s="1002"/>
    </row>
    <row r="183" spans="1:19" ht="13">
      <c r="A183" s="617">
        <f t="shared" si="14"/>
        <v>166</v>
      </c>
      <c r="B183" s="702" t="s">
        <v>98</v>
      </c>
      <c r="C183" s="702"/>
      <c r="D183" s="702"/>
      <c r="E183" s="618">
        <f>'7" 26# Deck Tally'!B166</f>
        <v>234</v>
      </c>
      <c r="F183" s="619">
        <f>'7" 26# Deck Tally'!C166</f>
        <v>33.82</v>
      </c>
      <c r="G183" s="619">
        <f t="shared" si="13"/>
        <v>33.421999999999997</v>
      </c>
      <c r="H183" s="619" t="s">
        <v>9</v>
      </c>
      <c r="I183" s="619">
        <f t="shared" si="11"/>
        <v>5467.7799999999979</v>
      </c>
      <c r="J183" s="619">
        <f t="shared" si="12"/>
        <v>7295.2800000000016</v>
      </c>
      <c r="K183" s="631">
        <f t="shared" si="10"/>
        <v>248.44153439266611</v>
      </c>
      <c r="L183" s="540"/>
      <c r="M183" s="532"/>
      <c r="P183" s="499"/>
      <c r="Q183" s="1003"/>
      <c r="R183" s="1001"/>
      <c r="S183" s="1002"/>
    </row>
    <row r="184" spans="1:19" ht="13">
      <c r="A184" s="617">
        <f t="shared" si="14"/>
        <v>167</v>
      </c>
      <c r="B184" s="702" t="s">
        <v>98</v>
      </c>
      <c r="C184" s="702"/>
      <c r="D184" s="702"/>
      <c r="E184" s="618">
        <f>'7" 26# Deck Tally'!B167</f>
        <v>233</v>
      </c>
      <c r="F184" s="619">
        <f>'7" 26# Deck Tally'!C167</f>
        <v>33.5</v>
      </c>
      <c r="G184" s="619">
        <f t="shared" si="13"/>
        <v>33.101999999999997</v>
      </c>
      <c r="H184" s="619" t="s">
        <v>9</v>
      </c>
      <c r="I184" s="619">
        <f t="shared" si="11"/>
        <v>5500.8819999999978</v>
      </c>
      <c r="J184" s="619">
        <f t="shared" si="12"/>
        <v>7262.1780000000017</v>
      </c>
      <c r="K184" s="631">
        <f t="shared" si="10"/>
        <v>249.17068876088612</v>
      </c>
      <c r="L184" s="540"/>
      <c r="M184" s="532"/>
      <c r="P184" s="499"/>
      <c r="Q184" s="1003"/>
      <c r="R184" s="1001"/>
      <c r="S184" s="1002"/>
    </row>
    <row r="185" spans="1:19" ht="13">
      <c r="A185" s="617">
        <f t="shared" si="14"/>
        <v>168</v>
      </c>
      <c r="B185" s="702" t="s">
        <v>98</v>
      </c>
      <c r="C185" s="702"/>
      <c r="D185" s="702"/>
      <c r="E185" s="618">
        <f>'7" 26# Deck Tally'!B168</f>
        <v>232</v>
      </c>
      <c r="F185" s="619">
        <f>'7" 26# Deck Tally'!C168</f>
        <v>33.53</v>
      </c>
      <c r="G185" s="619">
        <f t="shared" si="13"/>
        <v>33.131999999999998</v>
      </c>
      <c r="H185" s="619" t="s">
        <v>9</v>
      </c>
      <c r="I185" s="619">
        <f t="shared" si="11"/>
        <v>5534.0139999999974</v>
      </c>
      <c r="J185" s="619">
        <f t="shared" si="12"/>
        <v>7229.0460000000021</v>
      </c>
      <c r="K185" s="631">
        <f t="shared" si="10"/>
        <v>249.90050395416341</v>
      </c>
      <c r="L185" s="540"/>
      <c r="M185" s="532"/>
      <c r="P185" s="499"/>
      <c r="Q185" s="1003"/>
      <c r="R185" s="1001"/>
      <c r="S185" s="1002"/>
    </row>
    <row r="186" spans="1:19" ht="13">
      <c r="A186" s="617">
        <f t="shared" si="14"/>
        <v>169</v>
      </c>
      <c r="B186" s="702" t="s">
        <v>98</v>
      </c>
      <c r="C186" s="702"/>
      <c r="D186" s="702"/>
      <c r="E186" s="618">
        <f>'7" 26# Deck Tally'!B169</f>
        <v>231</v>
      </c>
      <c r="F186" s="619">
        <f>'7" 26# Deck Tally'!C169</f>
        <v>33.72</v>
      </c>
      <c r="G186" s="619">
        <f t="shared" si="13"/>
        <v>33.321999999999996</v>
      </c>
      <c r="H186" s="619" t="s">
        <v>9</v>
      </c>
      <c r="I186" s="619">
        <f t="shared" si="11"/>
        <v>5567.3359999999975</v>
      </c>
      <c r="J186" s="619">
        <f t="shared" si="12"/>
        <v>7195.724000000002</v>
      </c>
      <c r="K186" s="631">
        <f t="shared" si="10"/>
        <v>250.63450437280363</v>
      </c>
      <c r="L186" s="540"/>
      <c r="M186" s="532"/>
      <c r="P186" s="499"/>
      <c r="Q186" s="1003"/>
      <c r="R186" s="1001"/>
      <c r="S186" s="1002"/>
    </row>
    <row r="187" spans="1:19" ht="13">
      <c r="A187" s="617">
        <f t="shared" si="14"/>
        <v>170</v>
      </c>
      <c r="B187" s="702" t="s">
        <v>98</v>
      </c>
      <c r="C187" s="702"/>
      <c r="D187" s="702"/>
      <c r="E187" s="618">
        <f>'7" 26# Deck Tally'!B170</f>
        <v>230</v>
      </c>
      <c r="F187" s="619">
        <f>'7" 26# Deck Tally'!C170</f>
        <v>33.94</v>
      </c>
      <c r="G187" s="619">
        <f t="shared" si="13"/>
        <v>33.541999999999994</v>
      </c>
      <c r="H187" s="619" t="s">
        <v>9</v>
      </c>
      <c r="I187" s="619">
        <f t="shared" si="11"/>
        <v>5600.8779999999979</v>
      </c>
      <c r="J187" s="619">
        <f t="shared" si="12"/>
        <v>7162.1820000000016</v>
      </c>
      <c r="K187" s="631">
        <f t="shared" si="10"/>
        <v>251.37335084186398</v>
      </c>
      <c r="L187" s="540"/>
      <c r="M187" s="532"/>
      <c r="P187" s="499"/>
      <c r="Q187" s="1003"/>
      <c r="R187" s="1001"/>
      <c r="S187" s="1002"/>
    </row>
    <row r="188" spans="1:19" ht="13">
      <c r="A188" s="617">
        <f t="shared" si="14"/>
        <v>171</v>
      </c>
      <c r="B188" s="702" t="s">
        <v>98</v>
      </c>
      <c r="C188" s="702"/>
      <c r="D188" s="702"/>
      <c r="E188" s="618">
        <f>'7" 26# Deck Tally'!B171</f>
        <v>229</v>
      </c>
      <c r="F188" s="619">
        <f>'7" 26# Deck Tally'!C171</f>
        <v>33.64</v>
      </c>
      <c r="G188" s="619">
        <f t="shared" si="13"/>
        <v>33.241999999999997</v>
      </c>
      <c r="H188" s="619" t="s">
        <v>9</v>
      </c>
      <c r="I188" s="619">
        <f t="shared" si="11"/>
        <v>5634.1199999999981</v>
      </c>
      <c r="J188" s="619">
        <f t="shared" si="12"/>
        <v>7128.9400000000014</v>
      </c>
      <c r="K188" s="631">
        <f t="shared" si="10"/>
        <v>252.10558906035135</v>
      </c>
      <c r="L188" s="540"/>
      <c r="M188" s="532"/>
      <c r="P188" s="499"/>
      <c r="Q188" s="1003"/>
      <c r="R188" s="1001"/>
      <c r="S188" s="1002"/>
    </row>
    <row r="189" spans="1:19" ht="13">
      <c r="A189" s="617">
        <f t="shared" si="14"/>
        <v>172</v>
      </c>
      <c r="B189" s="702" t="s">
        <v>98</v>
      </c>
      <c r="C189" s="702"/>
      <c r="D189" s="702"/>
      <c r="E189" s="618">
        <f>'7" 26# Deck Tally'!B172</f>
        <v>228</v>
      </c>
      <c r="F189" s="619">
        <f>'7" 26# Deck Tally'!C172</f>
        <v>33.85</v>
      </c>
      <c r="G189" s="619">
        <f t="shared" si="13"/>
        <v>33.451999999999998</v>
      </c>
      <c r="H189" s="619" t="s">
        <v>9</v>
      </c>
      <c r="I189" s="619">
        <f t="shared" si="11"/>
        <v>5667.5719999999983</v>
      </c>
      <c r="J189" s="619">
        <f t="shared" si="12"/>
        <v>7095.4880000000012</v>
      </c>
      <c r="K189" s="631">
        <f t="shared" si="10"/>
        <v>252.84245305423983</v>
      </c>
      <c r="L189" s="540"/>
      <c r="M189" s="532"/>
      <c r="P189" s="499"/>
      <c r="Q189" s="1003"/>
      <c r="R189" s="1001"/>
      <c r="S189" s="1002"/>
    </row>
    <row r="190" spans="1:19" ht="13">
      <c r="A190" s="617">
        <f t="shared" si="14"/>
        <v>173</v>
      </c>
      <c r="B190" s="702" t="s">
        <v>98</v>
      </c>
      <c r="C190" s="702"/>
      <c r="D190" s="702"/>
      <c r="E190" s="618">
        <f>'7" 26# Deck Tally'!B173</f>
        <v>227</v>
      </c>
      <c r="F190" s="619">
        <f>'7" 26# Deck Tally'!C173</f>
        <v>33.82</v>
      </c>
      <c r="G190" s="619">
        <f t="shared" si="13"/>
        <v>33.421999999999997</v>
      </c>
      <c r="H190" s="619" t="s">
        <v>9</v>
      </c>
      <c r="I190" s="619">
        <f t="shared" si="11"/>
        <v>5700.9939999999979</v>
      </c>
      <c r="J190" s="619">
        <f t="shared" si="12"/>
        <v>7062.0660000000016</v>
      </c>
      <c r="K190" s="631">
        <f t="shared" si="10"/>
        <v>253.57865622307099</v>
      </c>
      <c r="L190" s="540"/>
      <c r="M190" s="532"/>
      <c r="P190" s="499"/>
      <c r="Q190" s="1003"/>
      <c r="R190" s="1001"/>
      <c r="S190" s="1002"/>
    </row>
    <row r="191" spans="1:19" ht="13">
      <c r="A191" s="617">
        <f t="shared" si="14"/>
        <v>174</v>
      </c>
      <c r="B191" s="702" t="s">
        <v>98</v>
      </c>
      <c r="C191" s="702"/>
      <c r="D191" s="702"/>
      <c r="E191" s="618">
        <f>'7" 26# Deck Tally'!B174</f>
        <v>226</v>
      </c>
      <c r="F191" s="619">
        <f>'7" 26# Deck Tally'!C174</f>
        <v>33.450000000000003</v>
      </c>
      <c r="G191" s="619">
        <f t="shared" si="13"/>
        <v>33.052</v>
      </c>
      <c r="H191" s="619" t="s">
        <v>9</v>
      </c>
      <c r="I191" s="619">
        <f t="shared" si="11"/>
        <v>5734.0459999999975</v>
      </c>
      <c r="J191" s="619">
        <f t="shared" si="12"/>
        <v>7029.0140000000019</v>
      </c>
      <c r="K191" s="631">
        <f t="shared" si="10"/>
        <v>254.30670921619554</v>
      </c>
      <c r="L191" s="540"/>
      <c r="M191" s="532"/>
      <c r="P191" s="499"/>
      <c r="Q191" s="1003"/>
      <c r="R191" s="1001"/>
      <c r="S191" s="1002"/>
    </row>
    <row r="192" spans="1:19" ht="13">
      <c r="A192" s="617">
        <f t="shared" si="14"/>
        <v>175</v>
      </c>
      <c r="B192" s="702" t="s">
        <v>98</v>
      </c>
      <c r="C192" s="702"/>
      <c r="D192" s="702"/>
      <c r="E192" s="618">
        <f>'7" 26# Deck Tally'!B175</f>
        <v>225</v>
      </c>
      <c r="F192" s="619">
        <f>'7" 26# Deck Tally'!C175</f>
        <v>33.4</v>
      </c>
      <c r="G192" s="619">
        <f t="shared" si="13"/>
        <v>33.001999999999995</v>
      </c>
      <c r="H192" s="619" t="s">
        <v>9</v>
      </c>
      <c r="I192" s="619">
        <f t="shared" si="11"/>
        <v>5767.047999999998</v>
      </c>
      <c r="J192" s="619">
        <f t="shared" si="12"/>
        <v>6996.0120000000015</v>
      </c>
      <c r="K192" s="631">
        <f t="shared" si="10"/>
        <v>255.03366083422455</v>
      </c>
      <c r="L192" s="540"/>
      <c r="M192" s="532"/>
      <c r="P192" s="499"/>
      <c r="Q192" s="1003"/>
      <c r="R192" s="1001"/>
      <c r="S192" s="1002"/>
    </row>
    <row r="193" spans="1:19" ht="13">
      <c r="A193" s="617">
        <f t="shared" si="14"/>
        <v>176</v>
      </c>
      <c r="B193" s="702" t="s">
        <v>98</v>
      </c>
      <c r="C193" s="702"/>
      <c r="D193" s="702"/>
      <c r="E193" s="618">
        <f>'7" 26# Deck Tally'!B176</f>
        <v>224</v>
      </c>
      <c r="F193" s="619">
        <f>'7" 26# Deck Tally'!C176</f>
        <v>33.83</v>
      </c>
      <c r="G193" s="619">
        <f t="shared" si="13"/>
        <v>33.431999999999995</v>
      </c>
      <c r="H193" s="619" t="s">
        <v>9</v>
      </c>
      <c r="I193" s="619">
        <f t="shared" si="11"/>
        <v>5800.4799999999977</v>
      </c>
      <c r="J193" s="619">
        <f t="shared" si="12"/>
        <v>6962.5800000000017</v>
      </c>
      <c r="K193" s="631">
        <f t="shared" si="10"/>
        <v>255.77008427807482</v>
      </c>
      <c r="L193" s="540"/>
      <c r="M193" s="532"/>
      <c r="P193" s="499"/>
      <c r="Q193" s="1003"/>
      <c r="R193" s="1001"/>
      <c r="S193" s="1002"/>
    </row>
    <row r="194" spans="1:19" ht="13">
      <c r="A194" s="617">
        <f t="shared" si="14"/>
        <v>177</v>
      </c>
      <c r="B194" s="702" t="s">
        <v>98</v>
      </c>
      <c r="C194" s="702"/>
      <c r="D194" s="702"/>
      <c r="E194" s="618">
        <f>'7" 26# Deck Tally'!B177</f>
        <v>223</v>
      </c>
      <c r="F194" s="619">
        <f>'7" 26# Deck Tally'!C177</f>
        <v>33.380000000000003</v>
      </c>
      <c r="G194" s="619">
        <f t="shared" si="13"/>
        <v>32.981999999999999</v>
      </c>
      <c r="H194" s="619" t="s">
        <v>9</v>
      </c>
      <c r="I194" s="619">
        <f t="shared" si="11"/>
        <v>5833.4619999999977</v>
      </c>
      <c r="J194" s="619">
        <f t="shared" si="12"/>
        <v>6929.5980000000018</v>
      </c>
      <c r="K194" s="631">
        <f t="shared" si="10"/>
        <v>256.49659534606565</v>
      </c>
      <c r="L194" s="540"/>
      <c r="M194" s="532"/>
      <c r="P194" s="499"/>
      <c r="Q194" s="1003"/>
      <c r="R194" s="1001"/>
      <c r="S194" s="1002"/>
    </row>
    <row r="195" spans="1:19" ht="13">
      <c r="A195" s="617">
        <f t="shared" si="14"/>
        <v>178</v>
      </c>
      <c r="B195" s="702" t="s">
        <v>98</v>
      </c>
      <c r="C195" s="702"/>
      <c r="D195" s="702"/>
      <c r="E195" s="618">
        <f>'7" 26# Deck Tally'!B178</f>
        <v>222</v>
      </c>
      <c r="F195" s="619">
        <f>'7" 26# Deck Tally'!C178</f>
        <v>33.33</v>
      </c>
      <c r="G195" s="619">
        <f t="shared" si="13"/>
        <v>32.931999999999995</v>
      </c>
      <c r="H195" s="619" t="s">
        <v>9</v>
      </c>
      <c r="I195" s="619">
        <f t="shared" si="11"/>
        <v>5866.3939999999975</v>
      </c>
      <c r="J195" s="619">
        <f t="shared" si="12"/>
        <v>6896.666000000002</v>
      </c>
      <c r="K195" s="631">
        <f t="shared" si="10"/>
        <v>257.22200503896102</v>
      </c>
      <c r="L195" s="540"/>
      <c r="M195" s="532"/>
      <c r="P195" s="499"/>
      <c r="Q195" s="1003"/>
      <c r="R195" s="1001"/>
      <c r="S195" s="1002"/>
    </row>
    <row r="196" spans="1:19" ht="13">
      <c r="A196" s="617">
        <f t="shared" si="14"/>
        <v>179</v>
      </c>
      <c r="B196" s="702" t="s">
        <v>98</v>
      </c>
      <c r="C196" s="702"/>
      <c r="D196" s="702"/>
      <c r="E196" s="618">
        <f>'7" 26# Deck Tally'!B179</f>
        <v>221</v>
      </c>
      <c r="F196" s="619">
        <f>'7" 26# Deck Tally'!C179</f>
        <v>32.19</v>
      </c>
      <c r="G196" s="619">
        <f t="shared" si="13"/>
        <v>31.791999999999998</v>
      </c>
      <c r="H196" s="619" t="s">
        <v>9</v>
      </c>
      <c r="I196" s="619">
        <f t="shared" si="11"/>
        <v>5898.1859999999979</v>
      </c>
      <c r="J196" s="619">
        <f t="shared" si="12"/>
        <v>6864.8740000000016</v>
      </c>
      <c r="K196" s="631">
        <f t="shared" si="10"/>
        <v>257.92230337967908</v>
      </c>
      <c r="L196" s="540"/>
      <c r="M196" s="532"/>
      <c r="P196" s="499"/>
      <c r="Q196" s="1003"/>
      <c r="R196" s="1001"/>
      <c r="S196" s="1002"/>
    </row>
    <row r="197" spans="1:19" ht="13">
      <c r="A197" s="617">
        <f t="shared" si="14"/>
        <v>180</v>
      </c>
      <c r="B197" s="702" t="s">
        <v>98</v>
      </c>
      <c r="C197" s="702"/>
      <c r="D197" s="702"/>
      <c r="E197" s="618">
        <f>'7" 26# Deck Tally'!B180</f>
        <v>220</v>
      </c>
      <c r="F197" s="619">
        <f>'7" 26# Deck Tally'!C180</f>
        <v>33.53</v>
      </c>
      <c r="G197" s="619">
        <f t="shared" si="13"/>
        <v>33.131999999999998</v>
      </c>
      <c r="H197" s="619" t="s">
        <v>9</v>
      </c>
      <c r="I197" s="619">
        <f t="shared" si="11"/>
        <v>5931.3179999999975</v>
      </c>
      <c r="J197" s="619">
        <f t="shared" si="12"/>
        <v>6831.742000000002</v>
      </c>
      <c r="K197" s="631">
        <f t="shared" si="10"/>
        <v>258.6521185729564</v>
      </c>
      <c r="L197" s="540"/>
      <c r="M197" s="532"/>
      <c r="P197" s="499"/>
      <c r="Q197" s="1003"/>
      <c r="R197" s="1001"/>
      <c r="S197" s="1002"/>
    </row>
    <row r="198" spans="1:19" ht="13">
      <c r="A198" s="617">
        <f t="shared" si="14"/>
        <v>181</v>
      </c>
      <c r="B198" s="702" t="s">
        <v>98</v>
      </c>
      <c r="C198" s="702"/>
      <c r="D198" s="702"/>
      <c r="E198" s="618">
        <f>'7" 26# Deck Tally'!B181</f>
        <v>219</v>
      </c>
      <c r="F198" s="619">
        <f>'7" 26# Deck Tally'!C181</f>
        <v>33.35</v>
      </c>
      <c r="G198" s="619">
        <f t="shared" si="13"/>
        <v>32.951999999999998</v>
      </c>
      <c r="H198" s="619" t="s">
        <v>9</v>
      </c>
      <c r="I198" s="619">
        <f t="shared" si="11"/>
        <v>5964.2699999999977</v>
      </c>
      <c r="J198" s="619">
        <f t="shared" si="12"/>
        <v>6798.7900000000018</v>
      </c>
      <c r="K198" s="631">
        <f t="shared" si="10"/>
        <v>259.37796881588997</v>
      </c>
      <c r="L198" s="540"/>
      <c r="M198" s="532"/>
      <c r="P198" s="499"/>
      <c r="Q198" s="1003"/>
      <c r="R198" s="1001"/>
      <c r="S198" s="1002"/>
    </row>
    <row r="199" spans="1:19" ht="13">
      <c r="A199" s="617">
        <f t="shared" si="14"/>
        <v>182</v>
      </c>
      <c r="B199" s="702" t="s">
        <v>98</v>
      </c>
      <c r="C199" s="702"/>
      <c r="D199" s="702"/>
      <c r="E199" s="618">
        <f>'7" 26# Deck Tally'!B182</f>
        <v>218</v>
      </c>
      <c r="F199" s="619">
        <f>'7" 26# Deck Tally'!C182</f>
        <v>33.47</v>
      </c>
      <c r="G199" s="619">
        <f t="shared" si="13"/>
        <v>33.071999999999996</v>
      </c>
      <c r="H199" s="619" t="s">
        <v>9</v>
      </c>
      <c r="I199" s="619">
        <f t="shared" si="11"/>
        <v>5997.3419999999978</v>
      </c>
      <c r="J199" s="619">
        <f t="shared" si="12"/>
        <v>6765.7180000000017</v>
      </c>
      <c r="K199" s="631">
        <f t="shared" si="10"/>
        <v>260.10646235905267</v>
      </c>
      <c r="L199" s="540"/>
      <c r="M199" s="532"/>
      <c r="P199" s="499"/>
      <c r="Q199" s="1003"/>
      <c r="R199" s="1001"/>
      <c r="S199" s="1002"/>
    </row>
    <row r="200" spans="1:19" ht="13">
      <c r="A200" s="617">
        <f t="shared" si="14"/>
        <v>183</v>
      </c>
      <c r="B200" s="702" t="s">
        <v>98</v>
      </c>
      <c r="C200" s="702"/>
      <c r="D200" s="702"/>
      <c r="E200" s="618">
        <f>'7" 26# Deck Tally'!B183</f>
        <v>217</v>
      </c>
      <c r="F200" s="619">
        <f>'7" 26# Deck Tally'!C183</f>
        <v>33.33</v>
      </c>
      <c r="G200" s="619">
        <f t="shared" si="13"/>
        <v>32.931999999999995</v>
      </c>
      <c r="H200" s="619" t="s">
        <v>9</v>
      </c>
      <c r="I200" s="619">
        <f t="shared" si="11"/>
        <v>6030.2739999999976</v>
      </c>
      <c r="J200" s="619">
        <f t="shared" si="12"/>
        <v>6732.7860000000019</v>
      </c>
      <c r="K200" s="631">
        <f t="shared" si="10"/>
        <v>260.83187205194804</v>
      </c>
      <c r="L200" s="540"/>
      <c r="M200" s="532"/>
      <c r="P200" s="499"/>
      <c r="Q200" s="1003"/>
      <c r="R200" s="1001"/>
      <c r="S200" s="1002"/>
    </row>
    <row r="201" spans="1:19" ht="13">
      <c r="A201" s="617">
        <f t="shared" si="14"/>
        <v>184</v>
      </c>
      <c r="B201" s="702" t="s">
        <v>98</v>
      </c>
      <c r="C201" s="702"/>
      <c r="D201" s="702"/>
      <c r="E201" s="618">
        <f>'7" 26# Deck Tally'!B184</f>
        <v>216</v>
      </c>
      <c r="F201" s="619">
        <f>'7" 26# Deck Tally'!C184</f>
        <v>33.56</v>
      </c>
      <c r="G201" s="619">
        <f t="shared" si="13"/>
        <v>33.161999999999999</v>
      </c>
      <c r="H201" s="619" t="s">
        <v>9</v>
      </c>
      <c r="I201" s="619">
        <f t="shared" si="11"/>
        <v>6063.4359999999979</v>
      </c>
      <c r="J201" s="619">
        <f t="shared" si="12"/>
        <v>6699.6240000000016</v>
      </c>
      <c r="K201" s="631">
        <f t="shared" si="10"/>
        <v>261.56234807028261</v>
      </c>
      <c r="L201" s="540"/>
      <c r="M201" s="532"/>
      <c r="P201" s="499"/>
      <c r="Q201" s="1003"/>
      <c r="R201" s="1001"/>
      <c r="S201" s="1002"/>
    </row>
    <row r="202" spans="1:19" ht="13">
      <c r="A202" s="617">
        <f t="shared" si="14"/>
        <v>185</v>
      </c>
      <c r="B202" s="702" t="s">
        <v>98</v>
      </c>
      <c r="C202" s="702"/>
      <c r="D202" s="702"/>
      <c r="E202" s="618">
        <f>'7" 26# Deck Tally'!B185</f>
        <v>215</v>
      </c>
      <c r="F202" s="619">
        <f>'7" 26# Deck Tally'!C185</f>
        <v>33.57</v>
      </c>
      <c r="G202" s="619">
        <f t="shared" si="13"/>
        <v>33.171999999999997</v>
      </c>
      <c r="H202" s="619" t="s">
        <v>9</v>
      </c>
      <c r="I202" s="619">
        <f t="shared" si="11"/>
        <v>6096.6079999999974</v>
      </c>
      <c r="J202" s="619">
        <f t="shared" si="12"/>
        <v>6666.452000000002</v>
      </c>
      <c r="K202" s="631">
        <f t="shared" si="10"/>
        <v>262.29304436363634</v>
      </c>
      <c r="L202" s="540"/>
      <c r="M202" s="532"/>
      <c r="P202" s="499"/>
      <c r="Q202" s="1003"/>
      <c r="R202" s="1001"/>
      <c r="S202" s="1002"/>
    </row>
    <row r="203" spans="1:19" ht="13">
      <c r="A203" s="617">
        <f t="shared" si="14"/>
        <v>186</v>
      </c>
      <c r="B203" s="702" t="s">
        <v>98</v>
      </c>
      <c r="C203" s="702"/>
      <c r="D203" s="702"/>
      <c r="E203" s="618">
        <f>'7" 26# Deck Tally'!B186</f>
        <v>214</v>
      </c>
      <c r="F203" s="619">
        <f>'7" 26# Deck Tally'!C186</f>
        <v>33.49</v>
      </c>
      <c r="G203" s="619">
        <f t="shared" si="13"/>
        <v>33.091999999999999</v>
      </c>
      <c r="H203" s="619" t="s">
        <v>9</v>
      </c>
      <c r="I203" s="619">
        <f t="shared" si="11"/>
        <v>6129.6999999999971</v>
      </c>
      <c r="J203" s="619">
        <f t="shared" si="12"/>
        <v>6633.3600000000024</v>
      </c>
      <c r="K203" s="631">
        <f t="shared" si="10"/>
        <v>263.02197845683725</v>
      </c>
      <c r="L203" s="540"/>
      <c r="M203" s="532"/>
      <c r="P203" s="499"/>
      <c r="Q203" s="1003"/>
      <c r="R203" s="1001"/>
      <c r="S203" s="1002"/>
    </row>
    <row r="204" spans="1:19" ht="13">
      <c r="A204" s="617">
        <f t="shared" si="14"/>
        <v>187</v>
      </c>
      <c r="B204" s="702" t="s">
        <v>98</v>
      </c>
      <c r="C204" s="702"/>
      <c r="D204" s="702"/>
      <c r="E204" s="618">
        <f>'7" 26# Deck Tally'!B187</f>
        <v>213</v>
      </c>
      <c r="F204" s="619">
        <f>'7" 26# Deck Tally'!C187</f>
        <v>33.51</v>
      </c>
      <c r="G204" s="619">
        <f t="shared" si="13"/>
        <v>33.111999999999995</v>
      </c>
      <c r="H204" s="619" t="s">
        <v>9</v>
      </c>
      <c r="I204" s="619">
        <f t="shared" si="11"/>
        <v>6162.8119999999972</v>
      </c>
      <c r="J204" s="619">
        <f t="shared" si="12"/>
        <v>6600.2480000000023</v>
      </c>
      <c r="K204" s="631">
        <f t="shared" ref="K204:K267" si="15">$H$6+(I204*$F$7*$H$8/1000)</f>
        <v>263.75135310007636</v>
      </c>
      <c r="L204" s="540"/>
      <c r="M204" s="532"/>
      <c r="P204" s="499"/>
      <c r="Q204" s="1003"/>
      <c r="R204" s="1001"/>
      <c r="S204" s="1002"/>
    </row>
    <row r="205" spans="1:19" ht="13">
      <c r="A205" s="617">
        <f t="shared" si="14"/>
        <v>188</v>
      </c>
      <c r="B205" s="702" t="s">
        <v>98</v>
      </c>
      <c r="C205" s="702"/>
      <c r="D205" s="702"/>
      <c r="E205" s="618">
        <f>'7" 26# Deck Tally'!B188</f>
        <v>212</v>
      </c>
      <c r="F205" s="619">
        <f>'7" 26# Deck Tally'!C188</f>
        <v>33.409999999999997</v>
      </c>
      <c r="G205" s="619">
        <f t="shared" si="13"/>
        <v>33.011999999999993</v>
      </c>
      <c r="H205" s="619" t="s">
        <v>9</v>
      </c>
      <c r="I205" s="619">
        <f t="shared" ref="I205:I268" si="16">IF(H205="IN",I204+G205,I204)</f>
        <v>6195.8239999999969</v>
      </c>
      <c r="J205" s="619">
        <f t="shared" si="12"/>
        <v>6567.2360000000026</v>
      </c>
      <c r="K205" s="631">
        <f t="shared" si="15"/>
        <v>264.47852499312444</v>
      </c>
      <c r="L205" s="540"/>
      <c r="M205" s="532"/>
      <c r="P205" s="499"/>
      <c r="Q205" s="1003"/>
      <c r="R205" s="1001"/>
      <c r="S205" s="1002"/>
    </row>
    <row r="206" spans="1:19" ht="13">
      <c r="A206" s="617">
        <f t="shared" si="14"/>
        <v>189</v>
      </c>
      <c r="B206" s="702" t="s">
        <v>98</v>
      </c>
      <c r="C206" s="702"/>
      <c r="D206" s="702"/>
      <c r="E206" s="618">
        <f>'7" 26# Deck Tally'!B189</f>
        <v>211</v>
      </c>
      <c r="F206" s="619">
        <f>'7" 26# Deck Tally'!C189</f>
        <v>33.94</v>
      </c>
      <c r="G206" s="619">
        <f t="shared" si="13"/>
        <v>33.541999999999994</v>
      </c>
      <c r="H206" s="619" t="s">
        <v>9</v>
      </c>
      <c r="I206" s="619">
        <f t="shared" si="16"/>
        <v>6229.3659999999973</v>
      </c>
      <c r="J206" s="619">
        <f t="shared" si="12"/>
        <v>6533.6940000000022</v>
      </c>
      <c r="K206" s="631">
        <f t="shared" si="15"/>
        <v>265.21737146218481</v>
      </c>
      <c r="L206" s="540"/>
      <c r="M206" s="532"/>
      <c r="P206" s="499"/>
      <c r="Q206" s="1003"/>
      <c r="R206" s="1001"/>
      <c r="S206" s="1002"/>
    </row>
    <row r="207" spans="1:19" ht="13">
      <c r="A207" s="617">
        <f t="shared" si="14"/>
        <v>190</v>
      </c>
      <c r="B207" s="702" t="s">
        <v>98</v>
      </c>
      <c r="C207" s="702"/>
      <c r="D207" s="702"/>
      <c r="E207" s="618">
        <f>'7" 26# Deck Tally'!B190</f>
        <v>210</v>
      </c>
      <c r="F207" s="619">
        <f>'7" 26# Deck Tally'!C190</f>
        <v>33.549999999999997</v>
      </c>
      <c r="G207" s="619">
        <f t="shared" si="13"/>
        <v>33.151999999999994</v>
      </c>
      <c r="H207" s="619" t="s">
        <v>9</v>
      </c>
      <c r="I207" s="619">
        <f t="shared" si="16"/>
        <v>6262.5179999999973</v>
      </c>
      <c r="J207" s="619">
        <f t="shared" si="12"/>
        <v>6500.5420000000022</v>
      </c>
      <c r="K207" s="631">
        <f t="shared" si="15"/>
        <v>265.94762720550034</v>
      </c>
      <c r="L207" s="540"/>
      <c r="M207" s="532"/>
      <c r="P207" s="499"/>
      <c r="Q207" s="1003"/>
      <c r="R207" s="1001"/>
      <c r="S207" s="1002"/>
    </row>
    <row r="208" spans="1:19" ht="13">
      <c r="A208" s="617">
        <f t="shared" si="14"/>
        <v>191</v>
      </c>
      <c r="B208" s="702" t="s">
        <v>98</v>
      </c>
      <c r="C208" s="702"/>
      <c r="D208" s="702"/>
      <c r="E208" s="618">
        <f>'7" 26# Deck Tally'!B191</f>
        <v>209</v>
      </c>
      <c r="F208" s="619">
        <f>'7" 26# Deck Tally'!C191</f>
        <v>33.61</v>
      </c>
      <c r="G208" s="619">
        <f t="shared" si="13"/>
        <v>33.211999999999996</v>
      </c>
      <c r="H208" s="619" t="s">
        <v>9</v>
      </c>
      <c r="I208" s="619">
        <f t="shared" si="16"/>
        <v>6295.7299999999977</v>
      </c>
      <c r="J208" s="619">
        <f t="shared" ref="J208:J271" si="17">IF(I208="","",$L$6-I208)</f>
        <v>6467.3300000000017</v>
      </c>
      <c r="K208" s="631">
        <f t="shared" si="15"/>
        <v>266.67920459893043</v>
      </c>
      <c r="L208" s="540"/>
      <c r="M208" s="532"/>
      <c r="P208" s="499"/>
      <c r="Q208" s="1003"/>
      <c r="R208" s="1001"/>
      <c r="S208" s="1002"/>
    </row>
    <row r="209" spans="1:19" ht="13">
      <c r="A209" s="617">
        <f t="shared" si="14"/>
        <v>192</v>
      </c>
      <c r="B209" s="702" t="s">
        <v>98</v>
      </c>
      <c r="C209" s="702"/>
      <c r="D209" s="702"/>
      <c r="E209" s="618">
        <f>'7" 26# Deck Tally'!B192</f>
        <v>208</v>
      </c>
      <c r="F209" s="619">
        <f>'7" 26# Deck Tally'!C192</f>
        <v>33.58</v>
      </c>
      <c r="G209" s="619">
        <f t="shared" si="13"/>
        <v>33.181999999999995</v>
      </c>
      <c r="H209" s="619" t="s">
        <v>9</v>
      </c>
      <c r="I209" s="619">
        <f t="shared" si="16"/>
        <v>6328.9119999999975</v>
      </c>
      <c r="J209" s="619">
        <f t="shared" si="17"/>
        <v>6434.148000000002</v>
      </c>
      <c r="K209" s="631">
        <f t="shared" si="15"/>
        <v>267.41012116730326</v>
      </c>
      <c r="L209" s="540"/>
      <c r="M209" s="532"/>
      <c r="P209" s="499"/>
      <c r="Q209" s="1003"/>
      <c r="R209" s="1001"/>
      <c r="S209" s="1002"/>
    </row>
    <row r="210" spans="1:19" ht="13">
      <c r="A210" s="617">
        <f t="shared" si="14"/>
        <v>193</v>
      </c>
      <c r="B210" s="702" t="s">
        <v>98</v>
      </c>
      <c r="C210" s="702"/>
      <c r="D210" s="702"/>
      <c r="E210" s="618">
        <f>'7" 26# Deck Tally'!B193</f>
        <v>207</v>
      </c>
      <c r="F210" s="619">
        <f>'7" 26# Deck Tally'!C193</f>
        <v>33.840000000000003</v>
      </c>
      <c r="G210" s="619">
        <f t="shared" si="13"/>
        <v>33.442</v>
      </c>
      <c r="H210" s="619" t="s">
        <v>9</v>
      </c>
      <c r="I210" s="619">
        <f t="shared" si="16"/>
        <v>6362.3539999999975</v>
      </c>
      <c r="J210" s="619">
        <f t="shared" si="17"/>
        <v>6400.7060000000019</v>
      </c>
      <c r="K210" s="631">
        <f t="shared" si="15"/>
        <v>268.1467648861726</v>
      </c>
      <c r="L210" s="540"/>
      <c r="M210" s="532"/>
      <c r="P210" s="499"/>
      <c r="Q210" s="1003"/>
      <c r="R210" s="1001"/>
      <c r="S210" s="1002"/>
    </row>
    <row r="211" spans="1:19" ht="13">
      <c r="A211" s="617">
        <f t="shared" si="14"/>
        <v>194</v>
      </c>
      <c r="B211" s="702" t="s">
        <v>98</v>
      </c>
      <c r="C211" s="702"/>
      <c r="D211" s="702"/>
      <c r="E211" s="618">
        <f>'7" 26# Deck Tally'!B194</f>
        <v>206</v>
      </c>
      <c r="F211" s="619">
        <f>'7" 26# Deck Tally'!C194</f>
        <v>33.22</v>
      </c>
      <c r="G211" s="619">
        <f t="shared" si="13"/>
        <v>32.821999999999996</v>
      </c>
      <c r="H211" s="619" t="s">
        <v>9</v>
      </c>
      <c r="I211" s="619">
        <f t="shared" si="16"/>
        <v>6395.1759999999977</v>
      </c>
      <c r="J211" s="619">
        <f t="shared" si="17"/>
        <v>6367.8840000000018</v>
      </c>
      <c r="K211" s="631">
        <f t="shared" si="15"/>
        <v>268.8697515538579</v>
      </c>
      <c r="L211" s="540"/>
      <c r="M211" s="532"/>
      <c r="P211" s="499"/>
      <c r="Q211" s="1003"/>
      <c r="R211" s="1001"/>
      <c r="S211" s="1002"/>
    </row>
    <row r="212" spans="1:19" ht="13">
      <c r="A212" s="617">
        <f t="shared" si="14"/>
        <v>195</v>
      </c>
      <c r="B212" s="702" t="s">
        <v>98</v>
      </c>
      <c r="C212" s="702"/>
      <c r="D212" s="702"/>
      <c r="E212" s="618">
        <f>'7" 26# Deck Tally'!B195</f>
        <v>205</v>
      </c>
      <c r="F212" s="619">
        <f>'7" 26# Deck Tally'!C195</f>
        <v>33.659999999999997</v>
      </c>
      <c r="G212" s="619">
        <f t="shared" si="13"/>
        <v>33.261999999999993</v>
      </c>
      <c r="H212" s="619" t="s">
        <v>9</v>
      </c>
      <c r="I212" s="619">
        <f t="shared" si="16"/>
        <v>6428.4379999999974</v>
      </c>
      <c r="J212" s="619">
        <f t="shared" si="17"/>
        <v>6334.6220000000021</v>
      </c>
      <c r="K212" s="631">
        <f t="shared" si="15"/>
        <v>269.60243032238344</v>
      </c>
      <c r="L212" s="540"/>
      <c r="M212" s="532"/>
      <c r="P212" s="499"/>
      <c r="Q212" s="1003"/>
      <c r="R212" s="1001"/>
      <c r="S212" s="1002"/>
    </row>
    <row r="213" spans="1:19" ht="13">
      <c r="A213" s="617">
        <f t="shared" si="14"/>
        <v>196</v>
      </c>
      <c r="B213" s="702" t="s">
        <v>98</v>
      </c>
      <c r="C213" s="702"/>
      <c r="D213" s="702"/>
      <c r="E213" s="618">
        <f>'7" 26# Deck Tally'!B196</f>
        <v>204</v>
      </c>
      <c r="F213" s="619">
        <f>'7" 26# Deck Tally'!C196</f>
        <v>33.56</v>
      </c>
      <c r="G213" s="619">
        <f t="shared" ref="G213:G276" si="18">F213-($F$9)</f>
        <v>33.161999999999999</v>
      </c>
      <c r="H213" s="619" t="s">
        <v>9</v>
      </c>
      <c r="I213" s="619">
        <f t="shared" si="16"/>
        <v>6461.5999999999976</v>
      </c>
      <c r="J213" s="619">
        <f t="shared" si="17"/>
        <v>6301.4600000000019</v>
      </c>
      <c r="K213" s="631">
        <f t="shared" si="15"/>
        <v>270.33290634071807</v>
      </c>
      <c r="L213" s="540"/>
      <c r="M213" s="532"/>
      <c r="P213" s="499"/>
      <c r="Q213" s="1003"/>
      <c r="R213" s="1001"/>
      <c r="S213" s="1002"/>
    </row>
    <row r="214" spans="1:19" ht="13">
      <c r="A214" s="617">
        <f t="shared" si="14"/>
        <v>197</v>
      </c>
      <c r="B214" s="702" t="s">
        <v>98</v>
      </c>
      <c r="C214" s="702"/>
      <c r="D214" s="702"/>
      <c r="E214" s="618">
        <f>'7" 26# Deck Tally'!B197</f>
        <v>203</v>
      </c>
      <c r="F214" s="619">
        <f>'7" 26# Deck Tally'!C197</f>
        <v>33.85</v>
      </c>
      <c r="G214" s="619">
        <f t="shared" si="18"/>
        <v>33.451999999999998</v>
      </c>
      <c r="H214" s="619" t="s">
        <v>9</v>
      </c>
      <c r="I214" s="619">
        <f t="shared" si="16"/>
        <v>6495.0519999999979</v>
      </c>
      <c r="J214" s="619">
        <f t="shared" si="17"/>
        <v>6268.0080000000016</v>
      </c>
      <c r="K214" s="631">
        <f t="shared" si="15"/>
        <v>271.06977033460652</v>
      </c>
      <c r="L214" s="540"/>
      <c r="M214" s="532"/>
      <c r="P214" s="499"/>
      <c r="Q214" s="1003"/>
      <c r="R214" s="1001"/>
      <c r="S214" s="1002"/>
    </row>
    <row r="215" spans="1:19" ht="13">
      <c r="A215" s="617">
        <f t="shared" ref="A215:A278" si="19">A214+1</f>
        <v>198</v>
      </c>
      <c r="B215" s="702" t="s">
        <v>98</v>
      </c>
      <c r="C215" s="702"/>
      <c r="D215" s="702"/>
      <c r="E215" s="618">
        <f>'7" 26# Deck Tally'!B198</f>
        <v>202</v>
      </c>
      <c r="F215" s="619">
        <f>'7" 26# Deck Tally'!C198</f>
        <v>33.79</v>
      </c>
      <c r="G215" s="619">
        <f t="shared" si="18"/>
        <v>33.391999999999996</v>
      </c>
      <c r="H215" s="619" t="s">
        <v>9</v>
      </c>
      <c r="I215" s="619">
        <f t="shared" si="16"/>
        <v>6528.4439999999977</v>
      </c>
      <c r="J215" s="619">
        <f t="shared" si="17"/>
        <v>6234.6160000000018</v>
      </c>
      <c r="K215" s="631">
        <f t="shared" si="15"/>
        <v>271.8053126783804</v>
      </c>
      <c r="L215" s="540"/>
      <c r="M215" s="532"/>
      <c r="P215" s="499"/>
      <c r="Q215" s="1003"/>
      <c r="R215" s="1001"/>
      <c r="S215" s="1002"/>
    </row>
    <row r="216" spans="1:19" ht="13">
      <c r="A216" s="617">
        <f t="shared" si="19"/>
        <v>199</v>
      </c>
      <c r="B216" s="702" t="s">
        <v>98</v>
      </c>
      <c r="C216" s="702"/>
      <c r="D216" s="702"/>
      <c r="E216" s="618">
        <f>'7" 26# Deck Tally'!B199</f>
        <v>201</v>
      </c>
      <c r="F216" s="619">
        <f>'7" 26# Deck Tally'!C199</f>
        <v>33.479999999999997</v>
      </c>
      <c r="G216" s="619">
        <f t="shared" si="18"/>
        <v>33.081999999999994</v>
      </c>
      <c r="H216" s="619" t="s">
        <v>9</v>
      </c>
      <c r="I216" s="619">
        <f t="shared" si="16"/>
        <v>6561.525999999998</v>
      </c>
      <c r="J216" s="619">
        <f t="shared" si="17"/>
        <v>6201.5340000000015</v>
      </c>
      <c r="K216" s="631">
        <f t="shared" si="15"/>
        <v>272.53402649656221</v>
      </c>
      <c r="L216" s="540"/>
      <c r="M216" s="532"/>
      <c r="P216" s="499"/>
      <c r="Q216" s="1003"/>
      <c r="R216" s="1001"/>
      <c r="S216" s="1002"/>
    </row>
    <row r="217" spans="1:19" ht="13">
      <c r="A217" s="617">
        <f t="shared" si="19"/>
        <v>200</v>
      </c>
      <c r="B217" s="702" t="s">
        <v>98</v>
      </c>
      <c r="C217" s="702"/>
      <c r="D217" s="702"/>
      <c r="E217" s="618">
        <f>'7" 26# Deck Tally'!B200</f>
        <v>200</v>
      </c>
      <c r="F217" s="619">
        <f>'7" 26# Deck Tally'!C200</f>
        <v>33.380000000000003</v>
      </c>
      <c r="G217" s="619">
        <f t="shared" si="18"/>
        <v>32.981999999999999</v>
      </c>
      <c r="H217" s="619" t="s">
        <v>9</v>
      </c>
      <c r="I217" s="619">
        <f t="shared" si="16"/>
        <v>6594.507999999998</v>
      </c>
      <c r="J217" s="619">
        <f t="shared" si="17"/>
        <v>6168.5520000000015</v>
      </c>
      <c r="K217" s="631">
        <f t="shared" si="15"/>
        <v>273.26053756455303</v>
      </c>
      <c r="L217" s="540"/>
      <c r="M217" s="532"/>
      <c r="P217" s="499"/>
      <c r="Q217" s="1003"/>
      <c r="R217" s="1001"/>
      <c r="S217" s="1002"/>
    </row>
    <row r="218" spans="1:19" ht="13">
      <c r="A218" s="617">
        <f t="shared" si="19"/>
        <v>201</v>
      </c>
      <c r="B218" s="702" t="s">
        <v>98</v>
      </c>
      <c r="C218" s="702"/>
      <c r="D218" s="702"/>
      <c r="E218" s="618">
        <f>'7" 26# Deck Tally'!B201</f>
        <v>199</v>
      </c>
      <c r="F218" s="619">
        <f>'7" 26# Deck Tally'!C201</f>
        <v>33.75</v>
      </c>
      <c r="G218" s="619">
        <f t="shared" si="18"/>
        <v>33.351999999999997</v>
      </c>
      <c r="H218" s="619" t="s">
        <v>9</v>
      </c>
      <c r="I218" s="619">
        <f t="shared" si="16"/>
        <v>6627.8599999999979</v>
      </c>
      <c r="J218" s="619">
        <f t="shared" si="17"/>
        <v>6135.2000000000016</v>
      </c>
      <c r="K218" s="631">
        <f t="shared" si="15"/>
        <v>273.99519880825051</v>
      </c>
      <c r="L218" s="540"/>
      <c r="M218" s="532"/>
      <c r="P218" s="499"/>
      <c r="Q218" s="1003"/>
      <c r="R218" s="1001"/>
      <c r="S218" s="1002"/>
    </row>
    <row r="219" spans="1:19" ht="13">
      <c r="A219" s="617">
        <f t="shared" si="19"/>
        <v>202</v>
      </c>
      <c r="B219" s="702" t="s">
        <v>98</v>
      </c>
      <c r="C219" s="702"/>
      <c r="D219" s="702"/>
      <c r="E219" s="618">
        <f>'7" 26# Deck Tally'!B202</f>
        <v>198</v>
      </c>
      <c r="F219" s="619">
        <f>'7" 26# Deck Tally'!C202</f>
        <v>33.31</v>
      </c>
      <c r="G219" s="619">
        <f t="shared" si="18"/>
        <v>32.911999999999999</v>
      </c>
      <c r="H219" s="619" t="s">
        <v>9</v>
      </c>
      <c r="I219" s="619">
        <f t="shared" si="16"/>
        <v>6660.7719999999981</v>
      </c>
      <c r="J219" s="619">
        <f t="shared" si="17"/>
        <v>6102.2880000000014</v>
      </c>
      <c r="K219" s="631">
        <f t="shared" si="15"/>
        <v>274.72016795110767</v>
      </c>
      <c r="L219" s="540"/>
      <c r="M219" s="532"/>
      <c r="P219" s="499"/>
      <c r="Q219" s="1003"/>
      <c r="R219" s="1001"/>
      <c r="S219" s="1002"/>
    </row>
    <row r="220" spans="1:19" ht="13">
      <c r="A220" s="617">
        <f t="shared" si="19"/>
        <v>203</v>
      </c>
      <c r="B220" s="702" t="s">
        <v>98</v>
      </c>
      <c r="C220" s="702"/>
      <c r="D220" s="702"/>
      <c r="E220" s="618">
        <f>'7" 26# Deck Tally'!B203</f>
        <v>197</v>
      </c>
      <c r="F220" s="619">
        <f>'7" 26# Deck Tally'!C203</f>
        <v>33.229999999999997</v>
      </c>
      <c r="G220" s="619">
        <f t="shared" si="18"/>
        <v>32.831999999999994</v>
      </c>
      <c r="H220" s="619" t="s">
        <v>9</v>
      </c>
      <c r="I220" s="619">
        <f t="shared" si="16"/>
        <v>6693.6039999999985</v>
      </c>
      <c r="J220" s="619">
        <f t="shared" si="17"/>
        <v>6069.456000000001</v>
      </c>
      <c r="K220" s="631">
        <f t="shared" si="15"/>
        <v>275.44337489381206</v>
      </c>
      <c r="L220" s="540"/>
      <c r="M220" s="532"/>
      <c r="P220" s="499"/>
      <c r="Q220" s="1003"/>
      <c r="R220" s="1001"/>
      <c r="S220" s="1002"/>
    </row>
    <row r="221" spans="1:19" ht="13">
      <c r="A221" s="617">
        <f t="shared" si="19"/>
        <v>204</v>
      </c>
      <c r="B221" s="702" t="s">
        <v>98</v>
      </c>
      <c r="C221" s="702"/>
      <c r="D221" s="702"/>
      <c r="E221" s="618">
        <f>'7" 26# Deck Tally'!B204</f>
        <v>196</v>
      </c>
      <c r="F221" s="619">
        <f>'7" 26# Deck Tally'!C204</f>
        <v>33.450000000000003</v>
      </c>
      <c r="G221" s="619">
        <f t="shared" si="18"/>
        <v>33.052</v>
      </c>
      <c r="H221" s="619" t="s">
        <v>9</v>
      </c>
      <c r="I221" s="619">
        <f t="shared" si="16"/>
        <v>6726.6559999999981</v>
      </c>
      <c r="J221" s="619">
        <f t="shared" si="17"/>
        <v>6036.4040000000014</v>
      </c>
      <c r="K221" s="631">
        <f t="shared" si="15"/>
        <v>276.17142788693656</v>
      </c>
      <c r="L221" s="540"/>
      <c r="M221" s="532"/>
      <c r="P221" s="499"/>
      <c r="Q221" s="1003"/>
      <c r="R221" s="1001"/>
      <c r="S221" s="1002"/>
    </row>
    <row r="222" spans="1:19" ht="13">
      <c r="A222" s="617">
        <f t="shared" si="19"/>
        <v>205</v>
      </c>
      <c r="B222" s="702" t="s">
        <v>98</v>
      </c>
      <c r="C222" s="702"/>
      <c r="D222" s="702"/>
      <c r="E222" s="618">
        <f>'7" 26# Deck Tally'!B205</f>
        <v>195</v>
      </c>
      <c r="F222" s="619">
        <f>'7" 26# Deck Tally'!C205</f>
        <v>33.56</v>
      </c>
      <c r="G222" s="619">
        <f t="shared" si="18"/>
        <v>33.161999999999999</v>
      </c>
      <c r="H222" s="619" t="s">
        <v>9</v>
      </c>
      <c r="I222" s="619">
        <f t="shared" si="16"/>
        <v>6759.8179999999984</v>
      </c>
      <c r="J222" s="619">
        <f t="shared" si="17"/>
        <v>6003.2420000000011</v>
      </c>
      <c r="K222" s="631">
        <f t="shared" si="15"/>
        <v>276.90190390527118</v>
      </c>
      <c r="L222" s="540"/>
      <c r="M222" s="532"/>
      <c r="P222" s="499"/>
      <c r="Q222" s="1003"/>
      <c r="R222" s="1001"/>
      <c r="S222" s="1002"/>
    </row>
    <row r="223" spans="1:19" ht="13">
      <c r="A223" s="617">
        <f t="shared" si="19"/>
        <v>206</v>
      </c>
      <c r="B223" s="702" t="s">
        <v>98</v>
      </c>
      <c r="C223" s="702"/>
      <c r="D223" s="702"/>
      <c r="E223" s="618">
        <f>'7" 26# Deck Tally'!B206</f>
        <v>194</v>
      </c>
      <c r="F223" s="619">
        <f>'7" 26# Deck Tally'!C206</f>
        <v>33.590000000000003</v>
      </c>
      <c r="G223" s="619">
        <f t="shared" si="18"/>
        <v>33.192</v>
      </c>
      <c r="H223" s="619" t="s">
        <v>9</v>
      </c>
      <c r="I223" s="619">
        <f t="shared" si="16"/>
        <v>6793.0099999999984</v>
      </c>
      <c r="J223" s="619">
        <f t="shared" si="17"/>
        <v>5970.0500000000011</v>
      </c>
      <c r="K223" s="631">
        <f t="shared" si="15"/>
        <v>277.63304074866306</v>
      </c>
      <c r="L223" s="540"/>
      <c r="M223" s="532"/>
      <c r="P223" s="499"/>
      <c r="Q223" s="1003"/>
      <c r="R223" s="1001"/>
      <c r="S223" s="1002"/>
    </row>
    <row r="224" spans="1:19" ht="13">
      <c r="A224" s="617">
        <f t="shared" si="19"/>
        <v>207</v>
      </c>
      <c r="B224" s="702" t="s">
        <v>98</v>
      </c>
      <c r="C224" s="702"/>
      <c r="D224" s="702"/>
      <c r="E224" s="618">
        <f>'7" 26# Deck Tally'!B207</f>
        <v>193</v>
      </c>
      <c r="F224" s="619">
        <f>'7" 26# Deck Tally'!C207</f>
        <v>33.299999999999997</v>
      </c>
      <c r="G224" s="619">
        <f t="shared" si="18"/>
        <v>32.901999999999994</v>
      </c>
      <c r="H224" s="619" t="s">
        <v>9</v>
      </c>
      <c r="I224" s="619">
        <f t="shared" si="16"/>
        <v>6825.9119999999984</v>
      </c>
      <c r="J224" s="619">
        <f t="shared" si="17"/>
        <v>5937.148000000001</v>
      </c>
      <c r="K224" s="631">
        <f t="shared" si="15"/>
        <v>278.35778961650112</v>
      </c>
      <c r="L224" s="540"/>
      <c r="M224" s="532"/>
      <c r="P224" s="499"/>
      <c r="Q224" s="1003"/>
      <c r="R224" s="1001"/>
      <c r="S224" s="1002"/>
    </row>
    <row r="225" spans="1:19" ht="13">
      <c r="A225" s="617">
        <f t="shared" si="19"/>
        <v>208</v>
      </c>
      <c r="B225" s="702" t="s">
        <v>98</v>
      </c>
      <c r="C225" s="702"/>
      <c r="D225" s="702"/>
      <c r="E225" s="618">
        <f>'7" 26# Deck Tally'!B208</f>
        <v>192</v>
      </c>
      <c r="F225" s="619">
        <f>'7" 26# Deck Tally'!C208</f>
        <v>33.28</v>
      </c>
      <c r="G225" s="619">
        <f t="shared" si="18"/>
        <v>32.881999999999998</v>
      </c>
      <c r="H225" s="619" t="s">
        <v>9</v>
      </c>
      <c r="I225" s="619">
        <f t="shared" si="16"/>
        <v>6858.7939999999981</v>
      </c>
      <c r="J225" s="619">
        <f t="shared" si="17"/>
        <v>5904.2660000000014</v>
      </c>
      <c r="K225" s="631">
        <f t="shared" si="15"/>
        <v>279.08209793430092</v>
      </c>
      <c r="L225" s="540"/>
      <c r="M225" s="532"/>
      <c r="P225" s="499"/>
      <c r="Q225" s="1003"/>
      <c r="R225" s="1001"/>
      <c r="S225" s="1002"/>
    </row>
    <row r="226" spans="1:19" ht="13">
      <c r="A226" s="617">
        <f t="shared" si="19"/>
        <v>209</v>
      </c>
      <c r="B226" s="702" t="s">
        <v>98</v>
      </c>
      <c r="C226" s="702"/>
      <c r="D226" s="702"/>
      <c r="E226" s="618">
        <f>'7" 26# Deck Tally'!B209</f>
        <v>191</v>
      </c>
      <c r="F226" s="619">
        <f>'7" 26# Deck Tally'!C209</f>
        <v>33.450000000000003</v>
      </c>
      <c r="G226" s="619">
        <f t="shared" si="18"/>
        <v>33.052</v>
      </c>
      <c r="H226" s="619" t="s">
        <v>9</v>
      </c>
      <c r="I226" s="619">
        <f t="shared" si="16"/>
        <v>6891.8459999999977</v>
      </c>
      <c r="J226" s="619">
        <f t="shared" si="17"/>
        <v>5871.2140000000018</v>
      </c>
      <c r="K226" s="631">
        <f t="shared" si="15"/>
        <v>279.81015092742541</v>
      </c>
      <c r="L226" s="540"/>
      <c r="M226" s="532"/>
      <c r="P226" s="499"/>
      <c r="Q226" s="1003"/>
      <c r="R226" s="1001"/>
      <c r="S226" s="1002"/>
    </row>
    <row r="227" spans="1:19" ht="13">
      <c r="A227" s="617">
        <f t="shared" si="19"/>
        <v>210</v>
      </c>
      <c r="B227" s="702" t="s">
        <v>98</v>
      </c>
      <c r="C227" s="702"/>
      <c r="D227" s="702"/>
      <c r="E227" s="618">
        <f>'7" 26# Deck Tally'!B210</f>
        <v>190</v>
      </c>
      <c r="F227" s="619">
        <f>'7" 26# Deck Tally'!C210</f>
        <v>31.77</v>
      </c>
      <c r="G227" s="619">
        <f t="shared" si="18"/>
        <v>31.372</v>
      </c>
      <c r="H227" s="619" t="s">
        <v>9</v>
      </c>
      <c r="I227" s="619">
        <f t="shared" si="16"/>
        <v>6923.217999999998</v>
      </c>
      <c r="J227" s="619">
        <f t="shared" si="17"/>
        <v>5839.8420000000015</v>
      </c>
      <c r="K227" s="631">
        <f t="shared" si="15"/>
        <v>280.50119771734148</v>
      </c>
      <c r="L227" s="540"/>
      <c r="M227" s="532"/>
      <c r="P227" s="499"/>
      <c r="Q227" s="1003"/>
      <c r="R227" s="1001"/>
      <c r="S227" s="1002"/>
    </row>
    <row r="228" spans="1:19" ht="13">
      <c r="A228" s="617">
        <f t="shared" si="19"/>
        <v>211</v>
      </c>
      <c r="B228" s="702" t="s">
        <v>98</v>
      </c>
      <c r="C228" s="702"/>
      <c r="D228" s="702"/>
      <c r="E228" s="618">
        <f>'7" 26# Deck Tally'!B211</f>
        <v>189</v>
      </c>
      <c r="F228" s="619">
        <f>'7" 26# Deck Tally'!C211</f>
        <v>33.04</v>
      </c>
      <c r="G228" s="619">
        <f t="shared" si="18"/>
        <v>32.641999999999996</v>
      </c>
      <c r="H228" s="619" t="s">
        <v>9</v>
      </c>
      <c r="I228" s="619">
        <f t="shared" si="16"/>
        <v>6955.8599999999979</v>
      </c>
      <c r="J228" s="619">
        <f t="shared" si="17"/>
        <v>5807.2000000000016</v>
      </c>
      <c r="K228" s="631">
        <f t="shared" si="15"/>
        <v>281.22021943468292</v>
      </c>
      <c r="L228" s="540"/>
      <c r="M228" s="532"/>
      <c r="P228" s="499"/>
      <c r="Q228" s="1003"/>
      <c r="R228" s="1001"/>
      <c r="S228" s="1002"/>
    </row>
    <row r="229" spans="1:19" ht="13">
      <c r="A229" s="617">
        <f t="shared" si="19"/>
        <v>212</v>
      </c>
      <c r="B229" s="702" t="s">
        <v>98</v>
      </c>
      <c r="C229" s="702"/>
      <c r="D229" s="702"/>
      <c r="E229" s="618">
        <f>'7" 26# Deck Tally'!B212</f>
        <v>188</v>
      </c>
      <c r="F229" s="619">
        <f>'7" 26# Deck Tally'!C212</f>
        <v>33.78</v>
      </c>
      <c r="G229" s="619">
        <f t="shared" si="18"/>
        <v>33.381999999999998</v>
      </c>
      <c r="H229" s="619" t="s">
        <v>9</v>
      </c>
      <c r="I229" s="619">
        <f t="shared" si="16"/>
        <v>6989.2419999999975</v>
      </c>
      <c r="J229" s="619">
        <f t="shared" si="17"/>
        <v>5773.818000000002</v>
      </c>
      <c r="K229" s="631">
        <f t="shared" si="15"/>
        <v>281.95554150343764</v>
      </c>
      <c r="L229" s="540"/>
      <c r="M229" s="532"/>
      <c r="P229" s="499"/>
      <c r="Q229" s="1003"/>
      <c r="R229" s="1001"/>
      <c r="S229" s="1002"/>
    </row>
    <row r="230" spans="1:19" ht="13">
      <c r="A230" s="617">
        <f t="shared" si="19"/>
        <v>213</v>
      </c>
      <c r="B230" s="702" t="s">
        <v>98</v>
      </c>
      <c r="C230" s="702"/>
      <c r="D230" s="702"/>
      <c r="E230" s="618">
        <f>'7" 26# Deck Tally'!B213</f>
        <v>187</v>
      </c>
      <c r="F230" s="619">
        <f>'7" 26# Deck Tally'!C213</f>
        <v>33.119999999999997</v>
      </c>
      <c r="G230" s="619">
        <f t="shared" si="18"/>
        <v>32.721999999999994</v>
      </c>
      <c r="H230" s="619" t="s">
        <v>9</v>
      </c>
      <c r="I230" s="619">
        <f t="shared" si="16"/>
        <v>7021.9639999999972</v>
      </c>
      <c r="J230" s="619">
        <f t="shared" si="17"/>
        <v>5741.0960000000023</v>
      </c>
      <c r="K230" s="631">
        <f t="shared" si="15"/>
        <v>282.6763254209319</v>
      </c>
      <c r="L230" s="710"/>
      <c r="M230" s="711"/>
      <c r="P230" s="499"/>
      <c r="Q230" s="1003"/>
      <c r="R230" s="1001"/>
      <c r="S230" s="1002"/>
    </row>
    <row r="231" spans="1:19" ht="13">
      <c r="A231" s="617">
        <f t="shared" si="19"/>
        <v>214</v>
      </c>
      <c r="B231" s="702" t="s">
        <v>98</v>
      </c>
      <c r="C231" s="702"/>
      <c r="D231" s="702"/>
      <c r="E231" s="618">
        <f>'7" 26# Deck Tally'!B214</f>
        <v>186</v>
      </c>
      <c r="F231" s="619">
        <f>'7" 26# Deck Tally'!C214</f>
        <v>33.130000000000003</v>
      </c>
      <c r="G231" s="619">
        <f t="shared" si="18"/>
        <v>32.731999999999999</v>
      </c>
      <c r="H231" s="619" t="s">
        <v>9</v>
      </c>
      <c r="I231" s="619">
        <f t="shared" si="16"/>
        <v>7054.6959999999972</v>
      </c>
      <c r="J231" s="619">
        <f t="shared" si="17"/>
        <v>5708.3640000000023</v>
      </c>
      <c r="K231" s="631">
        <f t="shared" si="15"/>
        <v>283.39732961344532</v>
      </c>
      <c r="L231" s="383"/>
      <c r="M231" s="384"/>
      <c r="P231" s="499"/>
      <c r="Q231" s="1003"/>
      <c r="R231" s="1001"/>
      <c r="S231" s="1002"/>
    </row>
    <row r="232" spans="1:19" ht="13">
      <c r="A232" s="617">
        <f t="shared" si="19"/>
        <v>215</v>
      </c>
      <c r="B232" s="702" t="s">
        <v>98</v>
      </c>
      <c r="C232" s="702"/>
      <c r="D232" s="702"/>
      <c r="E232" s="618">
        <f>'7" 26# Deck Tally'!B215</f>
        <v>185</v>
      </c>
      <c r="F232" s="619">
        <f>'7" 26# Deck Tally'!C215</f>
        <v>32.909999999999997</v>
      </c>
      <c r="G232" s="619">
        <f t="shared" si="18"/>
        <v>32.511999999999993</v>
      </c>
      <c r="H232" s="619" t="s">
        <v>9</v>
      </c>
      <c r="I232" s="619">
        <f t="shared" si="16"/>
        <v>7087.2079999999969</v>
      </c>
      <c r="J232" s="619">
        <f t="shared" si="17"/>
        <v>5675.8520000000026</v>
      </c>
      <c r="K232" s="631">
        <f t="shared" si="15"/>
        <v>284.11348775553853</v>
      </c>
      <c r="L232" s="710"/>
      <c r="M232" s="711"/>
      <c r="P232" s="499"/>
      <c r="Q232" s="1003"/>
      <c r="R232" s="1001"/>
      <c r="S232" s="1002"/>
    </row>
    <row r="233" spans="1:19" ht="13">
      <c r="A233" s="617">
        <f t="shared" si="19"/>
        <v>216</v>
      </c>
      <c r="B233" s="702" t="s">
        <v>98</v>
      </c>
      <c r="C233" s="702"/>
      <c r="D233" s="702"/>
      <c r="E233" s="618">
        <f>'7" 26# Deck Tally'!B216</f>
        <v>184</v>
      </c>
      <c r="F233" s="619">
        <f>'7" 26# Deck Tally'!C216</f>
        <v>33.35</v>
      </c>
      <c r="G233" s="619">
        <f t="shared" si="18"/>
        <v>32.951999999999998</v>
      </c>
      <c r="H233" s="619" t="s">
        <v>9</v>
      </c>
      <c r="I233" s="619">
        <f t="shared" si="16"/>
        <v>7120.1599999999971</v>
      </c>
      <c r="J233" s="619">
        <f t="shared" si="17"/>
        <v>5642.9000000000024</v>
      </c>
      <c r="K233" s="631">
        <f t="shared" si="15"/>
        <v>284.83933799847205</v>
      </c>
      <c r="L233" s="383"/>
      <c r="M233" s="384"/>
      <c r="P233" s="499"/>
      <c r="Q233" s="1003"/>
      <c r="R233" s="1001"/>
      <c r="S233" s="1002"/>
    </row>
    <row r="234" spans="1:19" ht="13">
      <c r="A234" s="617">
        <f t="shared" si="19"/>
        <v>217</v>
      </c>
      <c r="B234" s="702" t="s">
        <v>98</v>
      </c>
      <c r="C234" s="702"/>
      <c r="D234" s="702"/>
      <c r="E234" s="618">
        <f>'7" 26# Deck Tally'!B217</f>
        <v>183</v>
      </c>
      <c r="F234" s="619">
        <f>'7" 26# Deck Tally'!C217</f>
        <v>33.020000000000003</v>
      </c>
      <c r="G234" s="619">
        <f t="shared" si="18"/>
        <v>32.622</v>
      </c>
      <c r="H234" s="619" t="s">
        <v>9</v>
      </c>
      <c r="I234" s="619">
        <f t="shared" si="16"/>
        <v>7152.7819999999974</v>
      </c>
      <c r="J234" s="619">
        <f t="shared" si="17"/>
        <v>5610.2780000000021</v>
      </c>
      <c r="K234" s="631">
        <f t="shared" si="15"/>
        <v>285.55791916577539</v>
      </c>
      <c r="L234" s="383"/>
      <c r="M234" s="384"/>
      <c r="P234" s="499"/>
      <c r="Q234" s="1003"/>
      <c r="R234" s="1001"/>
      <c r="S234" s="1002"/>
    </row>
    <row r="235" spans="1:19" ht="13">
      <c r="A235" s="617">
        <f t="shared" si="19"/>
        <v>218</v>
      </c>
      <c r="B235" s="702" t="s">
        <v>98</v>
      </c>
      <c r="C235" s="702"/>
      <c r="D235" s="702"/>
      <c r="E235" s="618">
        <f>'7" 26# Deck Tally'!B218</f>
        <v>182</v>
      </c>
      <c r="F235" s="619">
        <f>'7" 26# Deck Tally'!C218</f>
        <v>32.770000000000003</v>
      </c>
      <c r="G235" s="619">
        <f t="shared" si="18"/>
        <v>32.372</v>
      </c>
      <c r="H235" s="619" t="s">
        <v>9</v>
      </c>
      <c r="I235" s="619">
        <f t="shared" si="16"/>
        <v>7185.1539999999977</v>
      </c>
      <c r="J235" s="619">
        <f t="shared" si="17"/>
        <v>5577.9060000000018</v>
      </c>
      <c r="K235" s="631">
        <f t="shared" si="15"/>
        <v>286.27099345760121</v>
      </c>
      <c r="L235" s="383"/>
      <c r="M235" s="384"/>
      <c r="P235" s="499"/>
      <c r="Q235" s="1003"/>
      <c r="R235" s="1001"/>
      <c r="S235" s="1002"/>
    </row>
    <row r="236" spans="1:19" ht="13">
      <c r="A236" s="617">
        <f t="shared" si="19"/>
        <v>219</v>
      </c>
      <c r="B236" s="702" t="s">
        <v>98</v>
      </c>
      <c r="C236" s="702"/>
      <c r="D236" s="702"/>
      <c r="E236" s="618">
        <f>'7" 26# Deck Tally'!B219</f>
        <v>181</v>
      </c>
      <c r="F236" s="619">
        <f>'7" 26# Deck Tally'!C219</f>
        <v>33.24</v>
      </c>
      <c r="G236" s="619">
        <f t="shared" si="18"/>
        <v>32.841999999999999</v>
      </c>
      <c r="H236" s="619" t="s">
        <v>9</v>
      </c>
      <c r="I236" s="619">
        <f t="shared" si="16"/>
        <v>7217.9959999999974</v>
      </c>
      <c r="J236" s="619">
        <f t="shared" si="17"/>
        <v>5545.0640000000021</v>
      </c>
      <c r="K236" s="631">
        <f t="shared" si="15"/>
        <v>286.99442067532459</v>
      </c>
      <c r="L236" s="438"/>
      <c r="M236" s="431"/>
      <c r="P236" s="499"/>
      <c r="Q236" s="1003"/>
      <c r="R236" s="1001"/>
      <c r="S236" s="1002"/>
    </row>
    <row r="237" spans="1:19" ht="13">
      <c r="A237" s="617">
        <f t="shared" si="19"/>
        <v>220</v>
      </c>
      <c r="B237" s="702" t="s">
        <v>98</v>
      </c>
      <c r="C237" s="702"/>
      <c r="D237" s="702"/>
      <c r="E237" s="618">
        <f>'7" 26# Deck Tally'!B220</f>
        <v>180</v>
      </c>
      <c r="F237" s="619">
        <f>'7" 26# Deck Tally'!C220</f>
        <v>31.37</v>
      </c>
      <c r="G237" s="619">
        <f t="shared" si="18"/>
        <v>30.972000000000001</v>
      </c>
      <c r="H237" s="619" t="s">
        <v>9</v>
      </c>
      <c r="I237" s="619">
        <f t="shared" si="16"/>
        <v>7248.9679999999971</v>
      </c>
      <c r="J237" s="619">
        <f t="shared" si="17"/>
        <v>5514.0920000000024</v>
      </c>
      <c r="K237" s="631">
        <f t="shared" si="15"/>
        <v>287.67665646447665</v>
      </c>
      <c r="L237" s="282"/>
      <c r="M237" s="220"/>
      <c r="P237" s="499"/>
      <c r="Q237" s="1003"/>
      <c r="R237" s="1001"/>
      <c r="S237" s="1002"/>
    </row>
    <row r="238" spans="1:19" ht="13">
      <c r="A238" s="617">
        <f t="shared" si="19"/>
        <v>221</v>
      </c>
      <c r="B238" s="702" t="s">
        <v>98</v>
      </c>
      <c r="C238" s="702"/>
      <c r="D238" s="702"/>
      <c r="E238" s="618">
        <f>'7" 26# Deck Tally'!B221</f>
        <v>179</v>
      </c>
      <c r="F238" s="619">
        <f>'7" 26# Deck Tally'!C221</f>
        <v>33.299999999999997</v>
      </c>
      <c r="G238" s="619">
        <f t="shared" si="18"/>
        <v>32.901999999999994</v>
      </c>
      <c r="H238" s="619" t="s">
        <v>9</v>
      </c>
      <c r="I238" s="619">
        <f t="shared" si="16"/>
        <v>7281.8699999999972</v>
      </c>
      <c r="J238" s="619">
        <f t="shared" si="17"/>
        <v>5481.1900000000023</v>
      </c>
      <c r="K238" s="631">
        <f t="shared" si="15"/>
        <v>288.40140533231465</v>
      </c>
      <c r="L238" s="282"/>
      <c r="M238" s="220"/>
      <c r="P238" s="499"/>
      <c r="Q238" s="1003"/>
      <c r="R238" s="1001"/>
      <c r="S238" s="1002"/>
    </row>
    <row r="239" spans="1:19" ht="13">
      <c r="A239" s="617">
        <f t="shared" si="19"/>
        <v>222</v>
      </c>
      <c r="B239" s="702" t="s">
        <v>98</v>
      </c>
      <c r="C239" s="702"/>
      <c r="D239" s="702"/>
      <c r="E239" s="618">
        <f>'7" 26# Deck Tally'!B222</f>
        <v>178</v>
      </c>
      <c r="F239" s="619">
        <f>'7" 26# Deck Tally'!C222</f>
        <v>33.22</v>
      </c>
      <c r="G239" s="619">
        <f t="shared" si="18"/>
        <v>32.821999999999996</v>
      </c>
      <c r="H239" s="619" t="s">
        <v>9</v>
      </c>
      <c r="I239" s="619">
        <f t="shared" si="16"/>
        <v>7314.6919999999973</v>
      </c>
      <c r="J239" s="619">
        <f t="shared" si="17"/>
        <v>5448.3680000000022</v>
      </c>
      <c r="K239" s="631">
        <f t="shared" si="15"/>
        <v>289.12439199999994</v>
      </c>
      <c r="L239" s="282"/>
      <c r="M239" s="220"/>
      <c r="P239" s="499"/>
      <c r="Q239" s="1003"/>
      <c r="R239" s="1001"/>
      <c r="S239" s="1002"/>
    </row>
    <row r="240" spans="1:19" ht="13">
      <c r="A240" s="617">
        <f t="shared" si="19"/>
        <v>223</v>
      </c>
      <c r="B240" s="702" t="s">
        <v>98</v>
      </c>
      <c r="C240" s="702"/>
      <c r="D240" s="702"/>
      <c r="E240" s="618">
        <f>'7" 26# Deck Tally'!B223</f>
        <v>177</v>
      </c>
      <c r="F240" s="619">
        <f>'7" 26# Deck Tally'!C223</f>
        <v>33.450000000000003</v>
      </c>
      <c r="G240" s="619">
        <f t="shared" si="18"/>
        <v>33.052</v>
      </c>
      <c r="H240" s="619" t="s">
        <v>9</v>
      </c>
      <c r="I240" s="619">
        <f t="shared" si="16"/>
        <v>7347.743999999997</v>
      </c>
      <c r="J240" s="619">
        <f t="shared" si="17"/>
        <v>5415.3160000000025</v>
      </c>
      <c r="K240" s="631">
        <f t="shared" si="15"/>
        <v>289.85244499312444</v>
      </c>
      <c r="L240" s="540"/>
      <c r="M240" s="532"/>
      <c r="P240" s="499"/>
      <c r="Q240" s="1003"/>
      <c r="R240" s="1001"/>
      <c r="S240" s="1002"/>
    </row>
    <row r="241" spans="1:19" ht="12.65" customHeight="1">
      <c r="A241" s="617">
        <f t="shared" si="19"/>
        <v>224</v>
      </c>
      <c r="B241" s="702" t="s">
        <v>98</v>
      </c>
      <c r="C241" s="702"/>
      <c r="D241" s="702"/>
      <c r="E241" s="618">
        <f>'7" 26# Deck Tally'!B224</f>
        <v>176</v>
      </c>
      <c r="F241" s="619">
        <f>'7" 26# Deck Tally'!C224</f>
        <v>31.78</v>
      </c>
      <c r="G241" s="619">
        <f t="shared" si="18"/>
        <v>31.382000000000001</v>
      </c>
      <c r="H241" s="619" t="s">
        <v>9</v>
      </c>
      <c r="I241" s="619">
        <f t="shared" si="16"/>
        <v>7379.1259999999966</v>
      </c>
      <c r="J241" s="619">
        <f t="shared" si="17"/>
        <v>5383.9340000000029</v>
      </c>
      <c r="K241" s="631">
        <f t="shared" si="15"/>
        <v>290.5437120580595</v>
      </c>
      <c r="L241" s="540"/>
      <c r="M241" s="532"/>
      <c r="P241" s="499"/>
      <c r="Q241" s="1003"/>
      <c r="R241" s="1001"/>
      <c r="S241" s="1002"/>
    </row>
    <row r="242" spans="1:19" ht="12.65" customHeight="1">
      <c r="A242" s="617">
        <f t="shared" si="19"/>
        <v>225</v>
      </c>
      <c r="B242" s="702" t="s">
        <v>98</v>
      </c>
      <c r="C242" s="702"/>
      <c r="D242" s="702"/>
      <c r="E242" s="618">
        <f>'7" 26# Deck Tally'!B225</f>
        <v>175</v>
      </c>
      <c r="F242" s="619">
        <f>'7" 26# Deck Tally'!C225</f>
        <v>33.24</v>
      </c>
      <c r="G242" s="619">
        <f t="shared" si="18"/>
        <v>32.841999999999999</v>
      </c>
      <c r="H242" s="619" t="s">
        <v>9</v>
      </c>
      <c r="I242" s="619">
        <f t="shared" si="16"/>
        <v>7411.9679999999962</v>
      </c>
      <c r="J242" s="619">
        <f t="shared" si="17"/>
        <v>5351.0920000000033</v>
      </c>
      <c r="K242" s="631">
        <f t="shared" si="15"/>
        <v>291.26713927578294</v>
      </c>
      <c r="L242" s="540"/>
      <c r="M242" s="532"/>
      <c r="P242" s="499"/>
      <c r="Q242" s="1003"/>
      <c r="R242" s="1001"/>
      <c r="S242" s="1002"/>
    </row>
    <row r="243" spans="1:19" ht="12.65" customHeight="1">
      <c r="A243" s="617">
        <f t="shared" si="19"/>
        <v>226</v>
      </c>
      <c r="B243" s="702" t="s">
        <v>98</v>
      </c>
      <c r="C243" s="702"/>
      <c r="D243" s="702"/>
      <c r="E243" s="618">
        <f>'7" 26# Deck Tally'!B226</f>
        <v>174</v>
      </c>
      <c r="F243" s="619">
        <f>'7" 26# Deck Tally'!C226</f>
        <v>33.82</v>
      </c>
      <c r="G243" s="619">
        <f t="shared" si="18"/>
        <v>33.421999999999997</v>
      </c>
      <c r="H243" s="619" t="s">
        <v>9</v>
      </c>
      <c r="I243" s="619">
        <f t="shared" si="16"/>
        <v>7445.3899999999958</v>
      </c>
      <c r="J243" s="619">
        <f t="shared" si="17"/>
        <v>5317.6700000000037</v>
      </c>
      <c r="K243" s="631">
        <f t="shared" si="15"/>
        <v>292.00334244461413</v>
      </c>
      <c r="L243" s="540"/>
      <c r="M243" s="532"/>
      <c r="P243" s="499"/>
      <c r="Q243" s="1003"/>
      <c r="R243" s="1001"/>
      <c r="S243" s="1002"/>
    </row>
    <row r="244" spans="1:19" ht="12.65" customHeight="1">
      <c r="A244" s="617">
        <f t="shared" si="19"/>
        <v>227</v>
      </c>
      <c r="B244" s="702" t="s">
        <v>98</v>
      </c>
      <c r="C244" s="702"/>
      <c r="D244" s="702"/>
      <c r="E244" s="618">
        <f>'7" 26# Deck Tally'!B227</f>
        <v>173</v>
      </c>
      <c r="F244" s="619">
        <f>'7" 26# Deck Tally'!C227</f>
        <v>33.64</v>
      </c>
      <c r="G244" s="619">
        <f t="shared" si="18"/>
        <v>33.241999999999997</v>
      </c>
      <c r="H244" s="619" t="s">
        <v>9</v>
      </c>
      <c r="I244" s="619">
        <f t="shared" si="16"/>
        <v>7478.631999999996</v>
      </c>
      <c r="J244" s="619">
        <f t="shared" si="17"/>
        <v>5284.4280000000035</v>
      </c>
      <c r="K244" s="631">
        <f t="shared" si="15"/>
        <v>292.73558066310147</v>
      </c>
      <c r="L244" s="540"/>
      <c r="M244" s="532"/>
      <c r="P244" s="499"/>
      <c r="Q244" s="1003"/>
      <c r="R244" s="1001"/>
      <c r="S244" s="1002"/>
    </row>
    <row r="245" spans="1:19" ht="12.65" customHeight="1">
      <c r="A245" s="617">
        <f t="shared" si="19"/>
        <v>228</v>
      </c>
      <c r="B245" s="702" t="s">
        <v>98</v>
      </c>
      <c r="C245" s="702"/>
      <c r="D245" s="702"/>
      <c r="E245" s="618">
        <f>'7" 26# Deck Tally'!B228</f>
        <v>172</v>
      </c>
      <c r="F245" s="619">
        <f>'7" 26# Deck Tally'!C228</f>
        <v>33.42</v>
      </c>
      <c r="G245" s="619">
        <f t="shared" si="18"/>
        <v>33.021999999999998</v>
      </c>
      <c r="H245" s="619" t="s">
        <v>9</v>
      </c>
      <c r="I245" s="619">
        <f t="shared" si="16"/>
        <v>7511.6539999999959</v>
      </c>
      <c r="J245" s="619">
        <f t="shared" si="17"/>
        <v>5251.4060000000036</v>
      </c>
      <c r="K245" s="631">
        <f t="shared" si="15"/>
        <v>293.46297283116871</v>
      </c>
      <c r="L245" s="540"/>
      <c r="M245" s="532"/>
      <c r="P245" s="499"/>
      <c r="Q245" s="1003"/>
      <c r="R245" s="1001"/>
      <c r="S245" s="1002"/>
    </row>
    <row r="246" spans="1:19" ht="13">
      <c r="A246" s="617">
        <f t="shared" si="19"/>
        <v>229</v>
      </c>
      <c r="B246" s="702" t="s">
        <v>98</v>
      </c>
      <c r="C246" s="702"/>
      <c r="D246" s="702"/>
      <c r="E246" s="618">
        <f>'7" 26# Deck Tally'!B229</f>
        <v>171</v>
      </c>
      <c r="F246" s="619">
        <f>'7" 26# Deck Tally'!C229</f>
        <v>33.42</v>
      </c>
      <c r="G246" s="619">
        <f t="shared" si="18"/>
        <v>33.021999999999998</v>
      </c>
      <c r="H246" s="619" t="s">
        <v>9</v>
      </c>
      <c r="I246" s="619">
        <f t="shared" si="16"/>
        <v>7544.6759999999958</v>
      </c>
      <c r="J246" s="619">
        <f t="shared" si="17"/>
        <v>5218.3840000000037</v>
      </c>
      <c r="K246" s="631">
        <f t="shared" si="15"/>
        <v>294.19036499923595</v>
      </c>
      <c r="L246" s="540"/>
      <c r="M246" s="532"/>
      <c r="P246" s="499"/>
      <c r="Q246" s="1003"/>
      <c r="R246" s="1001"/>
      <c r="S246" s="1002"/>
    </row>
    <row r="247" spans="1:19" ht="13">
      <c r="A247" s="617">
        <f t="shared" si="19"/>
        <v>230</v>
      </c>
      <c r="B247" s="702" t="s">
        <v>98</v>
      </c>
      <c r="C247" s="702"/>
      <c r="D247" s="702"/>
      <c r="E247" s="618">
        <f>'7" 26# Deck Tally'!B230</f>
        <v>170</v>
      </c>
      <c r="F247" s="619">
        <f>'7" 26# Deck Tally'!C230</f>
        <v>33.42</v>
      </c>
      <c r="G247" s="619">
        <f t="shared" si="18"/>
        <v>33.021999999999998</v>
      </c>
      <c r="H247" s="619" t="s">
        <v>9</v>
      </c>
      <c r="I247" s="619">
        <f t="shared" si="16"/>
        <v>7577.6979999999958</v>
      </c>
      <c r="J247" s="619">
        <f t="shared" si="17"/>
        <v>5185.3620000000037</v>
      </c>
      <c r="K247" s="631">
        <f t="shared" si="15"/>
        <v>294.91775716730319</v>
      </c>
      <c r="L247" s="540"/>
      <c r="M247" s="532"/>
      <c r="P247" s="499"/>
      <c r="Q247" s="1003"/>
      <c r="R247" s="1001"/>
      <c r="S247" s="1002"/>
    </row>
    <row r="248" spans="1:19" ht="13">
      <c r="A248" s="617">
        <f t="shared" si="19"/>
        <v>231</v>
      </c>
      <c r="B248" s="702" t="s">
        <v>98</v>
      </c>
      <c r="C248" s="702"/>
      <c r="D248" s="702"/>
      <c r="E248" s="618">
        <f>'7" 26# Deck Tally'!B231</f>
        <v>169</v>
      </c>
      <c r="F248" s="619">
        <f>'7" 26# Deck Tally'!C231</f>
        <v>33.549999999999997</v>
      </c>
      <c r="G248" s="619">
        <f t="shared" si="18"/>
        <v>33.151999999999994</v>
      </c>
      <c r="H248" s="619" t="s">
        <v>9</v>
      </c>
      <c r="I248" s="619">
        <f t="shared" si="16"/>
        <v>7610.8499999999958</v>
      </c>
      <c r="J248" s="619">
        <f t="shared" si="17"/>
        <v>5152.2100000000037</v>
      </c>
      <c r="K248" s="631">
        <f t="shared" si="15"/>
        <v>295.64801291061872</v>
      </c>
      <c r="L248" s="540"/>
      <c r="M248" s="532"/>
      <c r="P248" s="499"/>
      <c r="Q248" s="1003"/>
      <c r="R248" s="1001"/>
      <c r="S248" s="1002"/>
    </row>
    <row r="249" spans="1:19" ht="13">
      <c r="A249" s="617">
        <f t="shared" si="19"/>
        <v>232</v>
      </c>
      <c r="B249" s="702" t="s">
        <v>98</v>
      </c>
      <c r="C249" s="702"/>
      <c r="D249" s="702"/>
      <c r="E249" s="618">
        <f>'7" 26# Deck Tally'!B232</f>
        <v>168</v>
      </c>
      <c r="F249" s="619">
        <f>'7" 26# Deck Tally'!C232</f>
        <v>33.61</v>
      </c>
      <c r="G249" s="619">
        <f t="shared" si="18"/>
        <v>33.211999999999996</v>
      </c>
      <c r="H249" s="619" t="s">
        <v>9</v>
      </c>
      <c r="I249" s="619">
        <f t="shared" si="16"/>
        <v>7644.0619999999963</v>
      </c>
      <c r="J249" s="619">
        <f t="shared" si="17"/>
        <v>5118.9980000000032</v>
      </c>
      <c r="K249" s="631">
        <f t="shared" si="15"/>
        <v>296.37959030404886</v>
      </c>
      <c r="L249" s="540"/>
      <c r="M249" s="532"/>
      <c r="P249" s="499"/>
      <c r="Q249" s="1003"/>
      <c r="R249" s="1001"/>
      <c r="S249" s="1002"/>
    </row>
    <row r="250" spans="1:19" ht="13">
      <c r="A250" s="617">
        <f t="shared" si="19"/>
        <v>233</v>
      </c>
      <c r="B250" s="702" t="s">
        <v>98</v>
      </c>
      <c r="C250" s="702"/>
      <c r="D250" s="702"/>
      <c r="E250" s="618">
        <f>'7" 26# Deck Tally'!B233</f>
        <v>167</v>
      </c>
      <c r="F250" s="619">
        <f>'7" 26# Deck Tally'!C233</f>
        <v>33.130000000000003</v>
      </c>
      <c r="G250" s="619">
        <f t="shared" si="18"/>
        <v>32.731999999999999</v>
      </c>
      <c r="H250" s="619" t="s">
        <v>9</v>
      </c>
      <c r="I250" s="619">
        <f t="shared" si="16"/>
        <v>7676.7939999999962</v>
      </c>
      <c r="J250" s="619">
        <f t="shared" si="17"/>
        <v>5086.2660000000033</v>
      </c>
      <c r="K250" s="631">
        <f t="shared" si="15"/>
        <v>297.10059449656217</v>
      </c>
      <c r="L250" s="540"/>
      <c r="M250" s="532"/>
      <c r="P250" s="499"/>
      <c r="Q250" s="1003"/>
      <c r="R250" s="1001"/>
      <c r="S250" s="1002"/>
    </row>
    <row r="251" spans="1:19" ht="12.65" customHeight="1">
      <c r="A251" s="617">
        <f t="shared" si="19"/>
        <v>234</v>
      </c>
      <c r="B251" s="702" t="s">
        <v>98</v>
      </c>
      <c r="C251" s="702"/>
      <c r="D251" s="702"/>
      <c r="E251" s="618">
        <f>'7" 26# Deck Tally'!B234</f>
        <v>166</v>
      </c>
      <c r="F251" s="619">
        <f>'7" 26# Deck Tally'!C234</f>
        <v>33.94</v>
      </c>
      <c r="G251" s="619">
        <f t="shared" si="18"/>
        <v>33.541999999999994</v>
      </c>
      <c r="H251" s="619" t="s">
        <v>9</v>
      </c>
      <c r="I251" s="619">
        <f t="shared" si="16"/>
        <v>7710.3359999999966</v>
      </c>
      <c r="J251" s="619">
        <f t="shared" si="17"/>
        <v>5052.7240000000029</v>
      </c>
      <c r="K251" s="631">
        <f t="shared" si="15"/>
        <v>297.83944096562254</v>
      </c>
      <c r="L251" s="540"/>
      <c r="M251" s="532"/>
      <c r="P251" s="499"/>
      <c r="Q251" s="1003"/>
      <c r="R251" s="1001"/>
      <c r="S251" s="1002"/>
    </row>
    <row r="252" spans="1:19" ht="12.65" customHeight="1">
      <c r="A252" s="617">
        <f t="shared" si="19"/>
        <v>235</v>
      </c>
      <c r="B252" s="702" t="s">
        <v>98</v>
      </c>
      <c r="C252" s="702"/>
      <c r="D252" s="702"/>
      <c r="E252" s="618">
        <f>'7" 26# Deck Tally'!B235</f>
        <v>165</v>
      </c>
      <c r="F252" s="619">
        <f>'7" 26# Deck Tally'!C235</f>
        <v>33.65</v>
      </c>
      <c r="G252" s="619">
        <f t="shared" si="18"/>
        <v>33.251999999999995</v>
      </c>
      <c r="H252" s="619" t="s">
        <v>9</v>
      </c>
      <c r="I252" s="619">
        <f t="shared" si="16"/>
        <v>7743.587999999997</v>
      </c>
      <c r="J252" s="619">
        <f t="shared" si="17"/>
        <v>5019.4720000000025</v>
      </c>
      <c r="K252" s="631">
        <f t="shared" si="15"/>
        <v>298.57189945912899</v>
      </c>
      <c r="L252" s="540"/>
      <c r="M252" s="532"/>
      <c r="P252" s="499"/>
      <c r="Q252" s="1003"/>
      <c r="R252" s="1001"/>
      <c r="S252" s="1002"/>
    </row>
    <row r="253" spans="1:19" ht="13">
      <c r="A253" s="617">
        <f t="shared" si="19"/>
        <v>236</v>
      </c>
      <c r="B253" s="702" t="s">
        <v>98</v>
      </c>
      <c r="C253" s="702"/>
      <c r="D253" s="702"/>
      <c r="E253" s="618">
        <f>'7" 26# Deck Tally'!B236</f>
        <v>164</v>
      </c>
      <c r="F253" s="619">
        <f>'7" 26# Deck Tally'!C236</f>
        <v>33.94</v>
      </c>
      <c r="G253" s="619">
        <f t="shared" si="18"/>
        <v>33.541999999999994</v>
      </c>
      <c r="H253" s="619" t="s">
        <v>9</v>
      </c>
      <c r="I253" s="619">
        <f t="shared" si="16"/>
        <v>7777.1299999999974</v>
      </c>
      <c r="J253" s="619">
        <f t="shared" si="17"/>
        <v>4985.9300000000021</v>
      </c>
      <c r="K253" s="631">
        <f t="shared" si="15"/>
        <v>299.31074592818942</v>
      </c>
      <c r="L253" s="540"/>
      <c r="M253" s="532"/>
      <c r="P253" s="499"/>
      <c r="Q253" s="1003"/>
      <c r="R253" s="1001"/>
      <c r="S253" s="1002"/>
    </row>
    <row r="254" spans="1:19" ht="13">
      <c r="A254" s="617">
        <f t="shared" si="19"/>
        <v>237</v>
      </c>
      <c r="B254" s="702" t="s">
        <v>98</v>
      </c>
      <c r="C254" s="702"/>
      <c r="D254" s="702"/>
      <c r="E254" s="618">
        <f>'7" 26# Deck Tally'!B237</f>
        <v>163</v>
      </c>
      <c r="F254" s="619">
        <f>'7" 26# Deck Tally'!C237</f>
        <v>33.729999999999997</v>
      </c>
      <c r="G254" s="619">
        <f t="shared" si="18"/>
        <v>33.331999999999994</v>
      </c>
      <c r="H254" s="619" t="s">
        <v>9</v>
      </c>
      <c r="I254" s="619">
        <f t="shared" si="16"/>
        <v>7810.4619999999977</v>
      </c>
      <c r="J254" s="619">
        <f t="shared" si="17"/>
        <v>4952.5980000000018</v>
      </c>
      <c r="K254" s="631">
        <f t="shared" si="15"/>
        <v>300.04496662184863</v>
      </c>
      <c r="L254" s="708"/>
      <c r="M254" s="709"/>
      <c r="P254" s="499"/>
      <c r="Q254" s="1003"/>
      <c r="R254" s="1001"/>
      <c r="S254" s="1002"/>
    </row>
    <row r="255" spans="1:19" ht="13">
      <c r="A255" s="617">
        <f t="shared" si="19"/>
        <v>238</v>
      </c>
      <c r="B255" s="702" t="s">
        <v>98</v>
      </c>
      <c r="C255" s="702"/>
      <c r="D255" s="702"/>
      <c r="E255" s="618">
        <f>'7" 26# Deck Tally'!B238</f>
        <v>162</v>
      </c>
      <c r="F255" s="619">
        <f>'7" 26# Deck Tally'!C238</f>
        <v>32.25</v>
      </c>
      <c r="G255" s="619">
        <f t="shared" si="18"/>
        <v>31.852</v>
      </c>
      <c r="H255" s="619" t="s">
        <v>9</v>
      </c>
      <c r="I255" s="619">
        <f t="shared" si="16"/>
        <v>7842.3139999999976</v>
      </c>
      <c r="J255" s="619">
        <f t="shared" si="17"/>
        <v>4920.7460000000019</v>
      </c>
      <c r="K255" s="631">
        <f t="shared" si="15"/>
        <v>300.74658661268143</v>
      </c>
      <c r="L255" s="708"/>
      <c r="M255" s="709"/>
      <c r="N255" s="555"/>
      <c r="O255" s="556"/>
      <c r="P255" s="499"/>
      <c r="Q255" s="1003"/>
      <c r="R255" s="1001"/>
      <c r="S255" s="1002"/>
    </row>
    <row r="256" spans="1:19" ht="13">
      <c r="A256" s="617">
        <f t="shared" si="19"/>
        <v>239</v>
      </c>
      <c r="B256" s="702" t="s">
        <v>98</v>
      </c>
      <c r="C256" s="702"/>
      <c r="D256" s="702"/>
      <c r="E256" s="618">
        <f>'7" 26# Deck Tally'!B239</f>
        <v>161</v>
      </c>
      <c r="F256" s="619">
        <f>'7" 26# Deck Tally'!C239</f>
        <v>33.68</v>
      </c>
      <c r="G256" s="619">
        <f t="shared" si="18"/>
        <v>33.281999999999996</v>
      </c>
      <c r="H256" s="619" t="s">
        <v>9</v>
      </c>
      <c r="I256" s="619">
        <f t="shared" si="16"/>
        <v>7875.5959999999977</v>
      </c>
      <c r="J256" s="619">
        <f t="shared" si="17"/>
        <v>4887.4640000000018</v>
      </c>
      <c r="K256" s="631">
        <f t="shared" si="15"/>
        <v>301.47970593124518</v>
      </c>
      <c r="L256" s="708"/>
      <c r="M256" s="709"/>
      <c r="N256" s="555"/>
      <c r="O256" s="556"/>
      <c r="P256" s="499"/>
      <c r="Q256" s="1003"/>
      <c r="R256" s="1001"/>
      <c r="S256" s="1002"/>
    </row>
    <row r="257" spans="1:19" ht="12.65" customHeight="1">
      <c r="A257" s="617">
        <f t="shared" si="19"/>
        <v>240</v>
      </c>
      <c r="B257" s="702" t="s">
        <v>98</v>
      </c>
      <c r="C257" s="702"/>
      <c r="D257" s="702"/>
      <c r="E257" s="618">
        <f>'7" 26# Deck Tally'!B240</f>
        <v>160</v>
      </c>
      <c r="F257" s="619">
        <f>'7" 26# Deck Tally'!C240</f>
        <v>33.69</v>
      </c>
      <c r="G257" s="619">
        <f t="shared" si="18"/>
        <v>33.291999999999994</v>
      </c>
      <c r="H257" s="619" t="s">
        <v>9</v>
      </c>
      <c r="I257" s="619">
        <f t="shared" si="16"/>
        <v>7908.8879999999981</v>
      </c>
      <c r="J257" s="619">
        <f t="shared" si="17"/>
        <v>4854.1720000000014</v>
      </c>
      <c r="K257" s="631">
        <f t="shared" si="15"/>
        <v>302.21304552482809</v>
      </c>
      <c r="L257" s="708"/>
      <c r="M257" s="709"/>
      <c r="N257" s="555"/>
      <c r="O257" s="556"/>
      <c r="P257" s="499"/>
      <c r="Q257" s="1003"/>
      <c r="R257" s="1001"/>
      <c r="S257" s="1002"/>
    </row>
    <row r="258" spans="1:19" ht="13">
      <c r="A258" s="617">
        <f t="shared" si="19"/>
        <v>241</v>
      </c>
      <c r="B258" s="702" t="s">
        <v>98</v>
      </c>
      <c r="C258" s="702"/>
      <c r="D258" s="702"/>
      <c r="E258" s="618">
        <f>'7" 26# Deck Tally'!B241</f>
        <v>159</v>
      </c>
      <c r="F258" s="619">
        <f>'7" 26# Deck Tally'!C241</f>
        <v>33.86</v>
      </c>
      <c r="G258" s="619">
        <f t="shared" si="18"/>
        <v>33.461999999999996</v>
      </c>
      <c r="H258" s="619" t="s">
        <v>9</v>
      </c>
      <c r="I258" s="619">
        <f t="shared" si="16"/>
        <v>7942.3499999999985</v>
      </c>
      <c r="J258" s="619">
        <f t="shared" si="17"/>
        <v>4820.7100000000009</v>
      </c>
      <c r="K258" s="631">
        <f t="shared" si="15"/>
        <v>302.95012979373564</v>
      </c>
      <c r="L258" s="708"/>
      <c r="M258" s="709"/>
      <c r="N258" s="555"/>
      <c r="O258" s="556"/>
      <c r="P258" s="499"/>
      <c r="Q258" s="1003"/>
      <c r="R258" s="1001"/>
      <c r="S258" s="1002"/>
    </row>
    <row r="259" spans="1:19" ht="13">
      <c r="A259" s="617">
        <f t="shared" si="19"/>
        <v>242</v>
      </c>
      <c r="B259" s="702" t="s">
        <v>98</v>
      </c>
      <c r="C259" s="702"/>
      <c r="D259" s="702"/>
      <c r="E259" s="618">
        <f>'7" 26# Deck Tally'!B242</f>
        <v>158</v>
      </c>
      <c r="F259" s="619">
        <f>'7" 26# Deck Tally'!C242</f>
        <v>33.79</v>
      </c>
      <c r="G259" s="619">
        <f t="shared" si="18"/>
        <v>33.391999999999996</v>
      </c>
      <c r="H259" s="619" t="s">
        <v>9</v>
      </c>
      <c r="I259" s="619">
        <f t="shared" si="16"/>
        <v>7975.7419999999984</v>
      </c>
      <c r="J259" s="619">
        <f t="shared" si="17"/>
        <v>4787.3180000000011</v>
      </c>
      <c r="K259" s="631">
        <f t="shared" si="15"/>
        <v>303.68567213750953</v>
      </c>
      <c r="L259" s="708"/>
      <c r="M259" s="709"/>
      <c r="N259" s="555"/>
      <c r="O259" s="556"/>
      <c r="P259" s="499"/>
      <c r="Q259" s="1003"/>
      <c r="R259" s="1001"/>
      <c r="S259" s="1002"/>
    </row>
    <row r="260" spans="1:19" ht="13">
      <c r="A260" s="617">
        <f t="shared" si="19"/>
        <v>243</v>
      </c>
      <c r="B260" s="702" t="s">
        <v>98</v>
      </c>
      <c r="C260" s="702"/>
      <c r="D260" s="702"/>
      <c r="E260" s="618">
        <f>'7" 26# Deck Tally'!B243</f>
        <v>157</v>
      </c>
      <c r="F260" s="619">
        <f>'7" 26# Deck Tally'!C243</f>
        <v>33.049999999999997</v>
      </c>
      <c r="G260" s="619">
        <f t="shared" si="18"/>
        <v>32.651999999999994</v>
      </c>
      <c r="H260" s="619" t="s">
        <v>9</v>
      </c>
      <c r="I260" s="619">
        <f t="shared" si="16"/>
        <v>8008.3939999999984</v>
      </c>
      <c r="J260" s="619">
        <f t="shared" si="17"/>
        <v>4754.6660000000011</v>
      </c>
      <c r="K260" s="631">
        <f t="shared" si="15"/>
        <v>304.40491412987012</v>
      </c>
      <c r="L260" s="708"/>
      <c r="M260" s="709"/>
      <c r="N260" s="555"/>
      <c r="O260" s="556"/>
      <c r="P260" s="499"/>
      <c r="Q260" s="1003"/>
      <c r="R260" s="1001"/>
      <c r="S260" s="1002"/>
    </row>
    <row r="261" spans="1:19" ht="13">
      <c r="A261" s="617">
        <f t="shared" si="19"/>
        <v>244</v>
      </c>
      <c r="B261" s="702" t="s">
        <v>98</v>
      </c>
      <c r="C261" s="702"/>
      <c r="D261" s="702"/>
      <c r="E261" s="618">
        <f>'7" 26# Deck Tally'!B244</f>
        <v>156</v>
      </c>
      <c r="F261" s="619">
        <f>'7" 26# Deck Tally'!C244</f>
        <v>33.549999999999997</v>
      </c>
      <c r="G261" s="619">
        <f t="shared" si="18"/>
        <v>33.151999999999994</v>
      </c>
      <c r="H261" s="619" t="s">
        <v>9</v>
      </c>
      <c r="I261" s="619">
        <f t="shared" si="16"/>
        <v>8041.5459999999985</v>
      </c>
      <c r="J261" s="619">
        <f t="shared" si="17"/>
        <v>4721.514000000001</v>
      </c>
      <c r="K261" s="631">
        <f t="shared" si="15"/>
        <v>305.13516987318559</v>
      </c>
      <c r="L261" s="708"/>
      <c r="M261" s="709"/>
      <c r="N261" s="555"/>
      <c r="O261" s="556"/>
      <c r="P261" s="499"/>
      <c r="Q261" s="1003"/>
      <c r="R261" s="1001"/>
      <c r="S261" s="1002"/>
    </row>
    <row r="262" spans="1:19" ht="13">
      <c r="A262" s="617">
        <f t="shared" si="19"/>
        <v>245</v>
      </c>
      <c r="B262" s="702" t="s">
        <v>98</v>
      </c>
      <c r="C262" s="702"/>
      <c r="D262" s="702"/>
      <c r="E262" s="618">
        <f>'7" 26# Deck Tally'!B245</f>
        <v>155</v>
      </c>
      <c r="F262" s="619">
        <f>'7" 26# Deck Tally'!C245</f>
        <v>33.799999999999997</v>
      </c>
      <c r="G262" s="619">
        <f t="shared" si="18"/>
        <v>33.401999999999994</v>
      </c>
      <c r="H262" s="619" t="s">
        <v>9</v>
      </c>
      <c r="I262" s="619">
        <f t="shared" si="16"/>
        <v>8074.9479999999985</v>
      </c>
      <c r="J262" s="619">
        <f t="shared" si="17"/>
        <v>4688.112000000001</v>
      </c>
      <c r="K262" s="631">
        <f t="shared" si="15"/>
        <v>305.87093249197858</v>
      </c>
      <c r="L262" s="708"/>
      <c r="M262" s="709"/>
      <c r="N262" s="555"/>
      <c r="O262" s="556"/>
      <c r="P262" s="499"/>
      <c r="Q262" s="1003"/>
      <c r="R262" s="1001"/>
      <c r="S262" s="1002"/>
    </row>
    <row r="263" spans="1:19" ht="13">
      <c r="A263" s="617">
        <f t="shared" si="19"/>
        <v>246</v>
      </c>
      <c r="B263" s="702" t="s">
        <v>98</v>
      </c>
      <c r="C263" s="702"/>
      <c r="D263" s="702"/>
      <c r="E263" s="618">
        <f>'7" 26# Deck Tally'!B246</f>
        <v>154</v>
      </c>
      <c r="F263" s="619">
        <f>'7" 26# Deck Tally'!C246</f>
        <v>33.75</v>
      </c>
      <c r="G263" s="619">
        <f t="shared" si="18"/>
        <v>33.351999999999997</v>
      </c>
      <c r="H263" s="619" t="s">
        <v>9</v>
      </c>
      <c r="I263" s="619">
        <f t="shared" si="16"/>
        <v>8108.2999999999984</v>
      </c>
      <c r="J263" s="619">
        <f t="shared" si="17"/>
        <v>4654.7600000000011</v>
      </c>
      <c r="K263" s="631">
        <f t="shared" si="15"/>
        <v>306.60559373567605</v>
      </c>
      <c r="L263" s="708"/>
      <c r="M263" s="709"/>
      <c r="N263" s="555"/>
      <c r="O263" s="556"/>
      <c r="P263" s="499"/>
      <c r="Q263" s="1003"/>
      <c r="R263" s="1001"/>
      <c r="S263" s="1002"/>
    </row>
    <row r="264" spans="1:19" ht="13">
      <c r="A264" s="617">
        <f t="shared" si="19"/>
        <v>247</v>
      </c>
      <c r="B264" s="702" t="s">
        <v>98</v>
      </c>
      <c r="C264" s="702"/>
      <c r="D264" s="702"/>
      <c r="E264" s="618">
        <f>'7" 26# Deck Tally'!B247</f>
        <v>153</v>
      </c>
      <c r="F264" s="619">
        <f>'7" 26# Deck Tally'!C247</f>
        <v>33.659999999999997</v>
      </c>
      <c r="G264" s="619">
        <f t="shared" si="18"/>
        <v>33.261999999999993</v>
      </c>
      <c r="H264" s="619" t="s">
        <v>9</v>
      </c>
      <c r="I264" s="619">
        <f t="shared" si="16"/>
        <v>8141.5619999999981</v>
      </c>
      <c r="J264" s="619">
        <f t="shared" si="17"/>
        <v>4621.4980000000014</v>
      </c>
      <c r="K264" s="631">
        <f t="shared" si="15"/>
        <v>307.33827250420165</v>
      </c>
      <c r="L264" s="708"/>
      <c r="M264" s="709"/>
      <c r="N264" s="555"/>
      <c r="O264" s="556"/>
      <c r="P264" s="499"/>
      <c r="Q264" s="1003"/>
      <c r="R264" s="1001"/>
      <c r="S264" s="1002"/>
    </row>
    <row r="265" spans="1:19" ht="13">
      <c r="A265" s="617">
        <f t="shared" si="19"/>
        <v>248</v>
      </c>
      <c r="B265" s="702" t="s">
        <v>98</v>
      </c>
      <c r="C265" s="702"/>
      <c r="D265" s="702"/>
      <c r="E265" s="618">
        <f>'7" 26# Deck Tally'!B248</f>
        <v>152</v>
      </c>
      <c r="F265" s="619">
        <f>'7" 26# Deck Tally'!C248</f>
        <v>33.9</v>
      </c>
      <c r="G265" s="619">
        <f t="shared" si="18"/>
        <v>33.501999999999995</v>
      </c>
      <c r="H265" s="619" t="s">
        <v>9</v>
      </c>
      <c r="I265" s="619">
        <f t="shared" si="16"/>
        <v>8175.0639999999985</v>
      </c>
      <c r="J265" s="619">
        <f t="shared" si="17"/>
        <v>4587.996000000001</v>
      </c>
      <c r="K265" s="631">
        <f t="shared" si="15"/>
        <v>308.07623787318562</v>
      </c>
      <c r="L265" s="540"/>
      <c r="M265" s="532"/>
      <c r="N265" s="555"/>
      <c r="O265" s="556"/>
      <c r="P265" s="499"/>
      <c r="Q265" s="1003"/>
      <c r="R265" s="1001"/>
      <c r="S265" s="1002"/>
    </row>
    <row r="266" spans="1:19" ht="13">
      <c r="A266" s="617">
        <f t="shared" si="19"/>
        <v>249</v>
      </c>
      <c r="B266" s="702" t="s">
        <v>98</v>
      </c>
      <c r="C266" s="702"/>
      <c r="D266" s="702"/>
      <c r="E266" s="618">
        <f>'7" 26# Deck Tally'!B249</f>
        <v>151</v>
      </c>
      <c r="F266" s="619">
        <f>'7" 26# Deck Tally'!C249</f>
        <v>33.299999999999997</v>
      </c>
      <c r="G266" s="619">
        <f t="shared" si="18"/>
        <v>32.901999999999994</v>
      </c>
      <c r="H266" s="619" t="s">
        <v>9</v>
      </c>
      <c r="I266" s="619">
        <f t="shared" si="16"/>
        <v>8207.9659999999985</v>
      </c>
      <c r="J266" s="619">
        <f t="shared" si="17"/>
        <v>4555.094000000001</v>
      </c>
      <c r="K266" s="631">
        <f t="shared" si="15"/>
        <v>308.80098674102362</v>
      </c>
      <c r="L266" s="540"/>
      <c r="M266" s="532"/>
      <c r="N266" s="555"/>
      <c r="O266" s="556"/>
      <c r="P266" s="499"/>
      <c r="Q266" s="1003"/>
      <c r="R266" s="1001"/>
      <c r="S266" s="1002"/>
    </row>
    <row r="267" spans="1:19" ht="13">
      <c r="A267" s="617">
        <f t="shared" si="19"/>
        <v>250</v>
      </c>
      <c r="B267" s="702" t="s">
        <v>98</v>
      </c>
      <c r="C267" s="702"/>
      <c r="D267" s="702"/>
      <c r="E267" s="618">
        <f>'7" 26# Deck Tally'!B250</f>
        <v>150</v>
      </c>
      <c r="F267" s="619">
        <f>'7" 26# Deck Tally'!C250</f>
        <v>33.29</v>
      </c>
      <c r="G267" s="619">
        <f t="shared" si="18"/>
        <v>32.891999999999996</v>
      </c>
      <c r="H267" s="619" t="s">
        <v>9</v>
      </c>
      <c r="I267" s="619">
        <f t="shared" si="16"/>
        <v>8240.8579999999984</v>
      </c>
      <c r="J267" s="619">
        <f t="shared" si="17"/>
        <v>4522.2020000000011</v>
      </c>
      <c r="K267" s="631">
        <f t="shared" si="15"/>
        <v>309.52551533384258</v>
      </c>
      <c r="L267" s="540"/>
      <c r="M267" s="532"/>
      <c r="N267" s="555"/>
      <c r="O267" s="556"/>
      <c r="P267" s="499"/>
      <c r="Q267" s="1003"/>
      <c r="R267" s="1001"/>
      <c r="S267" s="1002"/>
    </row>
    <row r="268" spans="1:19" ht="13">
      <c r="A268" s="617">
        <f t="shared" si="19"/>
        <v>251</v>
      </c>
      <c r="B268" s="702" t="s">
        <v>98</v>
      </c>
      <c r="C268" s="702"/>
      <c r="D268" s="702"/>
      <c r="E268" s="618">
        <f>'7" 26# Deck Tally'!B251</f>
        <v>149</v>
      </c>
      <c r="F268" s="619">
        <f>'7" 26# Deck Tally'!C251</f>
        <v>33.72</v>
      </c>
      <c r="G268" s="619">
        <f t="shared" si="18"/>
        <v>33.321999999999996</v>
      </c>
      <c r="H268" s="619" t="s">
        <v>9</v>
      </c>
      <c r="I268" s="619">
        <f t="shared" si="16"/>
        <v>8274.1799999999985</v>
      </c>
      <c r="J268" s="619">
        <f t="shared" si="17"/>
        <v>4488.880000000001</v>
      </c>
      <c r="K268" s="631">
        <f t="shared" ref="K268:K331" si="20">$H$6+(I268*$F$7*$H$8/1000)</f>
        <v>310.2595157524828</v>
      </c>
      <c r="L268" s="540"/>
      <c r="M268" s="532"/>
      <c r="N268" s="555"/>
      <c r="O268" s="556"/>
      <c r="P268" s="499"/>
      <c r="Q268" s="1003"/>
      <c r="R268" s="1001"/>
      <c r="S268" s="1002"/>
    </row>
    <row r="269" spans="1:19" ht="13">
      <c r="A269" s="617">
        <f t="shared" si="19"/>
        <v>252</v>
      </c>
      <c r="B269" s="702" t="s">
        <v>98</v>
      </c>
      <c r="C269" s="702"/>
      <c r="D269" s="702"/>
      <c r="E269" s="618">
        <f>'7" 26# Deck Tally'!B252</f>
        <v>148</v>
      </c>
      <c r="F269" s="619">
        <f>'7" 26# Deck Tally'!C252</f>
        <v>33.74</v>
      </c>
      <c r="G269" s="619">
        <f t="shared" si="18"/>
        <v>33.341999999999999</v>
      </c>
      <c r="H269" s="619" t="s">
        <v>9</v>
      </c>
      <c r="I269" s="619">
        <f t="shared" ref="I269:I332" si="21">IF(H269="IN",I268+G269,I268)</f>
        <v>8307.521999999999</v>
      </c>
      <c r="J269" s="619">
        <f t="shared" si="17"/>
        <v>4455.5380000000005</v>
      </c>
      <c r="K269" s="631">
        <f t="shared" si="20"/>
        <v>310.99395672116117</v>
      </c>
      <c r="L269" s="540"/>
      <c r="M269" s="532"/>
      <c r="N269" s="555"/>
      <c r="O269" s="556"/>
      <c r="P269" s="499"/>
      <c r="Q269" s="1003"/>
      <c r="R269" s="1001"/>
      <c r="S269" s="1002"/>
    </row>
    <row r="270" spans="1:19" ht="13">
      <c r="A270" s="617">
        <f t="shared" si="19"/>
        <v>253</v>
      </c>
      <c r="B270" s="702" t="s">
        <v>98</v>
      </c>
      <c r="C270" s="702"/>
      <c r="D270" s="702"/>
      <c r="E270" s="618">
        <f>'7" 26# Deck Tally'!B253</f>
        <v>147</v>
      </c>
      <c r="F270" s="619">
        <f>'7" 26# Deck Tally'!C253</f>
        <v>33.630000000000003</v>
      </c>
      <c r="G270" s="619">
        <f t="shared" si="18"/>
        <v>33.231999999999999</v>
      </c>
      <c r="H270" s="619" t="s">
        <v>9</v>
      </c>
      <c r="I270" s="619">
        <f t="shared" si="21"/>
        <v>8340.753999999999</v>
      </c>
      <c r="J270" s="619">
        <f t="shared" si="17"/>
        <v>4422.3060000000005</v>
      </c>
      <c r="K270" s="631">
        <f t="shared" si="20"/>
        <v>311.72597466462946</v>
      </c>
      <c r="L270" s="540"/>
      <c r="M270" s="532"/>
      <c r="N270" s="555"/>
      <c r="O270" s="556"/>
      <c r="P270" s="499"/>
      <c r="Q270" s="1003"/>
      <c r="R270" s="1001"/>
      <c r="S270" s="1002"/>
    </row>
    <row r="271" spans="1:19" ht="13">
      <c r="A271" s="617">
        <f t="shared" si="19"/>
        <v>254</v>
      </c>
      <c r="B271" s="702" t="s">
        <v>98</v>
      </c>
      <c r="C271" s="702"/>
      <c r="D271" s="702"/>
      <c r="E271" s="618">
        <f>'7" 26# Deck Tally'!B254</f>
        <v>146</v>
      </c>
      <c r="F271" s="619">
        <f>'7" 26# Deck Tally'!C254</f>
        <v>33.79</v>
      </c>
      <c r="G271" s="619">
        <f t="shared" si="18"/>
        <v>33.391999999999996</v>
      </c>
      <c r="H271" s="619" t="s">
        <v>9</v>
      </c>
      <c r="I271" s="619">
        <f t="shared" si="21"/>
        <v>8374.1459999999988</v>
      </c>
      <c r="J271" s="619">
        <f t="shared" si="17"/>
        <v>4388.9140000000007</v>
      </c>
      <c r="K271" s="631">
        <f t="shared" si="20"/>
        <v>312.46151700840335</v>
      </c>
      <c r="L271" s="540"/>
      <c r="M271" s="532"/>
      <c r="N271" s="555"/>
      <c r="O271" s="556"/>
      <c r="P271" s="499"/>
      <c r="Q271" s="1003"/>
      <c r="R271" s="1001"/>
      <c r="S271" s="1002"/>
    </row>
    <row r="272" spans="1:19" ht="13">
      <c r="A272" s="617">
        <f t="shared" si="19"/>
        <v>255</v>
      </c>
      <c r="B272" s="702" t="s">
        <v>98</v>
      </c>
      <c r="C272" s="702"/>
      <c r="D272" s="702"/>
      <c r="E272" s="618">
        <f>'7" 26# Deck Tally'!B255</f>
        <v>145</v>
      </c>
      <c r="F272" s="619">
        <f>'7" 26# Deck Tally'!C255</f>
        <v>33.99</v>
      </c>
      <c r="G272" s="619">
        <f t="shared" si="18"/>
        <v>33.591999999999999</v>
      </c>
      <c r="H272" s="619" t="s">
        <v>9</v>
      </c>
      <c r="I272" s="619">
        <f t="shared" si="21"/>
        <v>8407.7379999999994</v>
      </c>
      <c r="J272" s="619">
        <f t="shared" ref="J272:J335" si="22">IF(I272="","",$L$6-I272)</f>
        <v>4355.3220000000001</v>
      </c>
      <c r="K272" s="631">
        <f t="shared" si="20"/>
        <v>313.20146485255918</v>
      </c>
      <c r="L272" s="540"/>
      <c r="M272" s="532"/>
      <c r="N272" s="555"/>
      <c r="O272" s="556"/>
      <c r="P272" s="499"/>
      <c r="Q272" s="1003"/>
      <c r="R272" s="1001"/>
      <c r="S272" s="1002"/>
    </row>
    <row r="273" spans="1:19" ht="13">
      <c r="A273" s="617">
        <f t="shared" si="19"/>
        <v>256</v>
      </c>
      <c r="B273" s="702" t="s">
        <v>98</v>
      </c>
      <c r="C273" s="702"/>
      <c r="D273" s="702"/>
      <c r="E273" s="618">
        <f>'7" 26# Deck Tally'!B256</f>
        <v>144</v>
      </c>
      <c r="F273" s="619">
        <f>'7" 26# Deck Tally'!C256</f>
        <v>33.71</v>
      </c>
      <c r="G273" s="619">
        <f t="shared" si="18"/>
        <v>33.311999999999998</v>
      </c>
      <c r="H273" s="619" t="s">
        <v>9</v>
      </c>
      <c r="I273" s="619">
        <f t="shared" si="21"/>
        <v>8441.0499999999993</v>
      </c>
      <c r="J273" s="619">
        <f t="shared" si="22"/>
        <v>4322.01</v>
      </c>
      <c r="K273" s="631">
        <f t="shared" si="20"/>
        <v>313.9352449961803</v>
      </c>
      <c r="L273" s="540"/>
      <c r="M273" s="532"/>
      <c r="N273" s="555"/>
      <c r="O273" s="556"/>
      <c r="P273" s="499"/>
      <c r="Q273" s="1003"/>
      <c r="R273" s="1001"/>
      <c r="S273" s="1002"/>
    </row>
    <row r="274" spans="1:19" ht="13">
      <c r="A274" s="617">
        <f t="shared" si="19"/>
        <v>257</v>
      </c>
      <c r="B274" s="702" t="s">
        <v>98</v>
      </c>
      <c r="C274" s="702"/>
      <c r="D274" s="702"/>
      <c r="E274" s="618">
        <f>'7" 26# Deck Tally'!B257</f>
        <v>143</v>
      </c>
      <c r="F274" s="619">
        <f>'7" 26# Deck Tally'!C257</f>
        <v>33.840000000000003</v>
      </c>
      <c r="G274" s="619">
        <f t="shared" si="18"/>
        <v>33.442</v>
      </c>
      <c r="H274" s="619" t="s">
        <v>9</v>
      </c>
      <c r="I274" s="619">
        <f t="shared" si="21"/>
        <v>8474.4919999999984</v>
      </c>
      <c r="J274" s="619">
        <f t="shared" si="22"/>
        <v>4288.5680000000011</v>
      </c>
      <c r="K274" s="632">
        <f t="shared" si="20"/>
        <v>314.67188871504959</v>
      </c>
      <c r="L274" s="540"/>
      <c r="M274" s="532"/>
      <c r="N274" s="555"/>
      <c r="O274" s="556"/>
      <c r="P274" s="499"/>
      <c r="Q274" s="1003"/>
      <c r="R274" s="1001"/>
      <c r="S274" s="1002"/>
    </row>
    <row r="275" spans="1:19" ht="13">
      <c r="A275" s="617">
        <f t="shared" si="19"/>
        <v>258</v>
      </c>
      <c r="B275" s="702" t="s">
        <v>98</v>
      </c>
      <c r="C275" s="702"/>
      <c r="D275" s="702"/>
      <c r="E275" s="618">
        <f>'7" 26# Deck Tally'!B258</f>
        <v>142</v>
      </c>
      <c r="F275" s="619">
        <f>'7" 26# Deck Tally'!C258</f>
        <v>33.729999999999997</v>
      </c>
      <c r="G275" s="619">
        <f t="shared" si="18"/>
        <v>33.331999999999994</v>
      </c>
      <c r="H275" s="619" t="s">
        <v>9</v>
      </c>
      <c r="I275" s="619">
        <f t="shared" si="21"/>
        <v>8507.8239999999987</v>
      </c>
      <c r="J275" s="619">
        <f t="shared" si="22"/>
        <v>4255.2360000000008</v>
      </c>
      <c r="K275" s="632">
        <f t="shared" si="20"/>
        <v>315.40610940870891</v>
      </c>
      <c r="L275" s="540"/>
      <c r="M275" s="532"/>
      <c r="N275" s="555"/>
      <c r="O275" s="556"/>
      <c r="P275" s="499"/>
      <c r="Q275" s="1003"/>
      <c r="R275" s="1001"/>
      <c r="S275" s="1002"/>
    </row>
    <row r="276" spans="1:19" ht="13">
      <c r="A276" s="617">
        <f t="shared" si="19"/>
        <v>259</v>
      </c>
      <c r="B276" s="702" t="s">
        <v>98</v>
      </c>
      <c r="C276" s="702"/>
      <c r="D276" s="702"/>
      <c r="E276" s="618">
        <f>'7" 26# Deck Tally'!B259</f>
        <v>141</v>
      </c>
      <c r="F276" s="619">
        <f>'7" 26# Deck Tally'!C259</f>
        <v>33.58</v>
      </c>
      <c r="G276" s="619">
        <f t="shared" si="18"/>
        <v>33.181999999999995</v>
      </c>
      <c r="H276" s="619" t="s">
        <v>9</v>
      </c>
      <c r="I276" s="619">
        <f t="shared" si="21"/>
        <v>8541.0059999999994</v>
      </c>
      <c r="J276" s="619">
        <f t="shared" si="22"/>
        <v>4222.0540000000001</v>
      </c>
      <c r="K276" s="631">
        <f t="shared" si="20"/>
        <v>316.13702597708175</v>
      </c>
      <c r="L276" s="540"/>
      <c r="M276" s="532"/>
      <c r="N276" s="555"/>
      <c r="O276" s="556"/>
      <c r="P276" s="499"/>
      <c r="Q276" s="1003"/>
      <c r="R276" s="1001"/>
      <c r="S276" s="1002"/>
    </row>
    <row r="277" spans="1:19" ht="13">
      <c r="A277" s="617">
        <f t="shared" si="19"/>
        <v>260</v>
      </c>
      <c r="B277" s="702" t="s">
        <v>98</v>
      </c>
      <c r="C277" s="702"/>
      <c r="D277" s="702"/>
      <c r="E277" s="618">
        <f>'7" 26# Deck Tally'!B260</f>
        <v>140</v>
      </c>
      <c r="F277" s="619">
        <f>'7" 26# Deck Tally'!C260</f>
        <v>33.53</v>
      </c>
      <c r="G277" s="619">
        <f t="shared" ref="G277:G340" si="23">F277-($F$9)</f>
        <v>33.131999999999998</v>
      </c>
      <c r="H277" s="619" t="s">
        <v>9</v>
      </c>
      <c r="I277" s="619">
        <f t="shared" si="21"/>
        <v>8574.137999999999</v>
      </c>
      <c r="J277" s="619">
        <f t="shared" si="22"/>
        <v>4188.9220000000005</v>
      </c>
      <c r="K277" s="632">
        <f t="shared" si="20"/>
        <v>316.86684117035907</v>
      </c>
      <c r="L277" s="540"/>
      <c r="M277" s="532"/>
      <c r="N277" s="555"/>
      <c r="O277" s="556"/>
      <c r="P277" s="499"/>
      <c r="Q277" s="1003"/>
      <c r="R277" s="1001"/>
      <c r="S277" s="1002"/>
    </row>
    <row r="278" spans="1:19" ht="13">
      <c r="A278" s="617">
        <f t="shared" si="19"/>
        <v>261</v>
      </c>
      <c r="B278" s="702" t="s">
        <v>98</v>
      </c>
      <c r="C278" s="702"/>
      <c r="D278" s="702"/>
      <c r="E278" s="618">
        <f>'7" 26# Deck Tally'!B261</f>
        <v>139</v>
      </c>
      <c r="F278" s="619">
        <f>'7" 26# Deck Tally'!C261</f>
        <v>33.93</v>
      </c>
      <c r="G278" s="619">
        <f t="shared" si="23"/>
        <v>33.531999999999996</v>
      </c>
      <c r="H278" s="619" t="s">
        <v>9</v>
      </c>
      <c r="I278" s="619">
        <f t="shared" si="21"/>
        <v>8607.6699999999983</v>
      </c>
      <c r="J278" s="619">
        <f t="shared" si="22"/>
        <v>4155.3900000000012</v>
      </c>
      <c r="K278" s="632">
        <f t="shared" si="20"/>
        <v>317.60546736440028</v>
      </c>
      <c r="L278" s="540"/>
      <c r="M278" s="532"/>
      <c r="N278" s="555"/>
      <c r="O278" s="556"/>
      <c r="P278" s="499"/>
      <c r="Q278" s="1003"/>
      <c r="R278" s="1001"/>
      <c r="S278" s="1002"/>
    </row>
    <row r="279" spans="1:19" ht="13">
      <c r="A279" s="617">
        <f t="shared" ref="A279:A342" si="24">A278+1</f>
        <v>262</v>
      </c>
      <c r="B279" s="702" t="s">
        <v>98</v>
      </c>
      <c r="C279" s="702"/>
      <c r="D279" s="702"/>
      <c r="E279" s="618">
        <f>'7" 26# Deck Tally'!B262</f>
        <v>138</v>
      </c>
      <c r="F279" s="619">
        <f>'7" 26# Deck Tally'!C262</f>
        <v>33.93</v>
      </c>
      <c r="G279" s="619">
        <f t="shared" si="23"/>
        <v>33.531999999999996</v>
      </c>
      <c r="H279" s="619" t="s">
        <v>9</v>
      </c>
      <c r="I279" s="619">
        <f t="shared" si="21"/>
        <v>8641.2019999999975</v>
      </c>
      <c r="J279" s="619">
        <f t="shared" si="22"/>
        <v>4121.858000000002</v>
      </c>
      <c r="K279" s="632">
        <f t="shared" si="20"/>
        <v>318.3440935584415</v>
      </c>
      <c r="L279" s="540"/>
      <c r="M279" s="532"/>
      <c r="N279" s="555"/>
      <c r="O279" s="556"/>
      <c r="P279" s="499"/>
      <c r="Q279" s="1003"/>
      <c r="R279" s="1001"/>
      <c r="S279" s="1002"/>
    </row>
    <row r="280" spans="1:19" ht="13">
      <c r="A280" s="617">
        <f t="shared" si="24"/>
        <v>263</v>
      </c>
      <c r="B280" s="702" t="s">
        <v>98</v>
      </c>
      <c r="C280" s="702"/>
      <c r="D280" s="702"/>
      <c r="E280" s="618">
        <f>'7" 26# Deck Tally'!B263</f>
        <v>137</v>
      </c>
      <c r="F280" s="619">
        <f>'7" 26# Deck Tally'!C263</f>
        <v>33.799999999999997</v>
      </c>
      <c r="G280" s="619">
        <f t="shared" si="23"/>
        <v>33.401999999999994</v>
      </c>
      <c r="H280" s="619" t="s">
        <v>9</v>
      </c>
      <c r="I280" s="619">
        <f t="shared" si="21"/>
        <v>8674.6039999999975</v>
      </c>
      <c r="J280" s="619">
        <f t="shared" si="22"/>
        <v>4088.4560000000019</v>
      </c>
      <c r="K280" s="631">
        <f t="shared" si="20"/>
        <v>319.07985617723443</v>
      </c>
      <c r="L280" s="540"/>
      <c r="M280" s="532"/>
      <c r="N280" s="555"/>
      <c r="O280" s="556"/>
      <c r="P280" s="499"/>
      <c r="Q280" s="1003"/>
      <c r="R280" s="1001"/>
      <c r="S280" s="1002"/>
    </row>
    <row r="281" spans="1:19" ht="13">
      <c r="A281" s="617">
        <f t="shared" si="24"/>
        <v>264</v>
      </c>
      <c r="B281" s="702" t="s">
        <v>98</v>
      </c>
      <c r="C281" s="702"/>
      <c r="D281" s="702"/>
      <c r="E281" s="618">
        <f>'7" 26# Deck Tally'!B264</f>
        <v>136</v>
      </c>
      <c r="F281" s="619">
        <f>'7" 26# Deck Tally'!C264</f>
        <v>33.75</v>
      </c>
      <c r="G281" s="619">
        <f t="shared" si="23"/>
        <v>33.351999999999997</v>
      </c>
      <c r="H281" s="619" t="s">
        <v>9</v>
      </c>
      <c r="I281" s="619">
        <f t="shared" si="21"/>
        <v>8707.9559999999983</v>
      </c>
      <c r="J281" s="619">
        <f t="shared" si="22"/>
        <v>4055.1040000000012</v>
      </c>
      <c r="K281" s="632">
        <f t="shared" si="20"/>
        <v>319.81451742093202</v>
      </c>
      <c r="L281" s="540"/>
      <c r="M281" s="532"/>
      <c r="N281" s="555"/>
      <c r="O281" s="556"/>
      <c r="P281" s="499"/>
      <c r="Q281" s="1003"/>
      <c r="R281" s="1001"/>
      <c r="S281" s="1002"/>
    </row>
    <row r="282" spans="1:19" ht="13">
      <c r="A282" s="617">
        <f t="shared" si="24"/>
        <v>265</v>
      </c>
      <c r="B282" s="702" t="s">
        <v>98</v>
      </c>
      <c r="C282" s="702"/>
      <c r="D282" s="702"/>
      <c r="E282" s="618">
        <f>'7" 26# Deck Tally'!B265</f>
        <v>135</v>
      </c>
      <c r="F282" s="619">
        <f>'7" 26# Deck Tally'!C265</f>
        <v>33.520000000000003</v>
      </c>
      <c r="G282" s="619">
        <f t="shared" si="23"/>
        <v>33.122</v>
      </c>
      <c r="H282" s="619" t="s">
        <v>9</v>
      </c>
      <c r="I282" s="619">
        <f t="shared" si="21"/>
        <v>8741.0779999999977</v>
      </c>
      <c r="J282" s="619">
        <f t="shared" si="22"/>
        <v>4021.9820000000018</v>
      </c>
      <c r="K282" s="632">
        <f t="shared" si="20"/>
        <v>320.54411233919018</v>
      </c>
      <c r="L282" s="540"/>
      <c r="M282" s="532"/>
      <c r="N282" s="555"/>
      <c r="O282" s="556"/>
      <c r="P282" s="499"/>
      <c r="Q282" s="1003"/>
      <c r="R282" s="1001"/>
      <c r="S282" s="1002"/>
    </row>
    <row r="283" spans="1:19" ht="13">
      <c r="A283" s="617">
        <f t="shared" si="24"/>
        <v>266</v>
      </c>
      <c r="B283" s="702" t="s">
        <v>98</v>
      </c>
      <c r="C283" s="702"/>
      <c r="D283" s="702"/>
      <c r="E283" s="618">
        <f>'7" 26# Deck Tally'!B266</f>
        <v>134</v>
      </c>
      <c r="F283" s="619">
        <f>'7" 26# Deck Tally'!C266</f>
        <v>33.67</v>
      </c>
      <c r="G283" s="619">
        <f t="shared" si="23"/>
        <v>33.271999999999998</v>
      </c>
      <c r="H283" s="619" t="s">
        <v>9</v>
      </c>
      <c r="I283" s="619">
        <f t="shared" si="21"/>
        <v>8774.3499999999985</v>
      </c>
      <c r="J283" s="619">
        <f t="shared" si="22"/>
        <v>3988.7100000000009</v>
      </c>
      <c r="K283" s="632">
        <f t="shared" si="20"/>
        <v>321.27701138273488</v>
      </c>
      <c r="L283" s="540"/>
      <c r="M283" s="532"/>
      <c r="N283" s="555"/>
      <c r="O283" s="556"/>
      <c r="P283" s="499"/>
      <c r="Q283" s="1003"/>
      <c r="R283" s="1001"/>
      <c r="S283" s="1002"/>
    </row>
    <row r="284" spans="1:19" ht="13">
      <c r="A284" s="617">
        <f t="shared" si="24"/>
        <v>267</v>
      </c>
      <c r="B284" s="702" t="s">
        <v>98</v>
      </c>
      <c r="C284" s="702"/>
      <c r="D284" s="702"/>
      <c r="E284" s="618">
        <f>'7" 26# Deck Tally'!B267</f>
        <v>133</v>
      </c>
      <c r="F284" s="619">
        <f>'7" 26# Deck Tally'!C267</f>
        <v>33.520000000000003</v>
      </c>
      <c r="G284" s="619">
        <f t="shared" si="23"/>
        <v>33.122</v>
      </c>
      <c r="H284" s="619" t="s">
        <v>9</v>
      </c>
      <c r="I284" s="619">
        <f t="shared" si="21"/>
        <v>8807.4719999999979</v>
      </c>
      <c r="J284" s="619">
        <f t="shared" si="22"/>
        <v>3955.5880000000016</v>
      </c>
      <c r="K284" s="632">
        <f t="shared" si="20"/>
        <v>322.0066063009931</v>
      </c>
      <c r="L284" s="540"/>
      <c r="M284" s="532"/>
      <c r="N284" s="555"/>
      <c r="O284" s="556"/>
      <c r="P284" s="499"/>
      <c r="Q284" s="1003"/>
      <c r="R284" s="1001"/>
      <c r="S284" s="1002"/>
    </row>
    <row r="285" spans="1:19" ht="13">
      <c r="A285" s="617">
        <f t="shared" si="24"/>
        <v>268</v>
      </c>
      <c r="B285" s="702" t="s">
        <v>98</v>
      </c>
      <c r="C285" s="702"/>
      <c r="D285" s="702"/>
      <c r="E285" s="618">
        <f>'7" 26# Deck Tally'!B268</f>
        <v>132</v>
      </c>
      <c r="F285" s="619">
        <f>'7" 26# Deck Tally'!C268</f>
        <v>33.93</v>
      </c>
      <c r="G285" s="619">
        <f t="shared" si="23"/>
        <v>33.531999999999996</v>
      </c>
      <c r="H285" s="619" t="s">
        <v>9</v>
      </c>
      <c r="I285" s="619">
        <f t="shared" si="21"/>
        <v>8841.0039999999972</v>
      </c>
      <c r="J285" s="619">
        <f t="shared" si="22"/>
        <v>3922.0560000000023</v>
      </c>
      <c r="K285" s="631">
        <f t="shared" si="20"/>
        <v>322.74523249503432</v>
      </c>
      <c r="L285" s="540"/>
      <c r="M285" s="532"/>
      <c r="N285" s="555"/>
      <c r="O285" s="556"/>
      <c r="P285" s="499"/>
      <c r="Q285" s="1003"/>
      <c r="R285" s="1001"/>
      <c r="S285" s="1002"/>
    </row>
    <row r="286" spans="1:19" ht="13">
      <c r="A286" s="617">
        <f t="shared" si="24"/>
        <v>269</v>
      </c>
      <c r="B286" s="702" t="s">
        <v>98</v>
      </c>
      <c r="C286" s="702"/>
      <c r="D286" s="702"/>
      <c r="E286" s="618">
        <f>'7" 26# Deck Tally'!B269</f>
        <v>131</v>
      </c>
      <c r="F286" s="619">
        <f>'7" 26# Deck Tally'!C269</f>
        <v>33.67</v>
      </c>
      <c r="G286" s="619">
        <f t="shared" si="23"/>
        <v>33.271999999999998</v>
      </c>
      <c r="H286" s="619" t="s">
        <v>9</v>
      </c>
      <c r="I286" s="619">
        <f t="shared" si="21"/>
        <v>8874.275999999998</v>
      </c>
      <c r="J286" s="619">
        <f t="shared" si="22"/>
        <v>3888.7840000000015</v>
      </c>
      <c r="K286" s="632">
        <f t="shared" si="20"/>
        <v>323.47813153857908</v>
      </c>
      <c r="L286" s="540"/>
      <c r="M286" s="532"/>
      <c r="N286" s="555"/>
      <c r="O286" s="556"/>
      <c r="P286" s="499"/>
      <c r="Q286" s="1003"/>
      <c r="R286" s="1001"/>
      <c r="S286" s="1002"/>
    </row>
    <row r="287" spans="1:19" ht="13">
      <c r="A287" s="617">
        <f t="shared" si="24"/>
        <v>270</v>
      </c>
      <c r="B287" s="702" t="s">
        <v>98</v>
      </c>
      <c r="C287" s="702"/>
      <c r="D287" s="702"/>
      <c r="E287" s="618">
        <f>'7" 26# Deck Tally'!B270</f>
        <v>130</v>
      </c>
      <c r="F287" s="619">
        <f>'7" 26# Deck Tally'!C270</f>
        <v>33.46</v>
      </c>
      <c r="G287" s="619">
        <f t="shared" si="23"/>
        <v>33.061999999999998</v>
      </c>
      <c r="H287" s="619" t="s">
        <v>9</v>
      </c>
      <c r="I287" s="619">
        <f t="shared" si="21"/>
        <v>8907.3379999999979</v>
      </c>
      <c r="J287" s="619">
        <f t="shared" si="22"/>
        <v>3855.7220000000016</v>
      </c>
      <c r="K287" s="632">
        <f t="shared" si="20"/>
        <v>324.20640480672262</v>
      </c>
      <c r="L287" s="540"/>
      <c r="M287" s="532"/>
      <c r="N287" s="555"/>
      <c r="O287" s="556"/>
      <c r="P287" s="499"/>
      <c r="Q287" s="1003"/>
      <c r="R287" s="1001"/>
      <c r="S287" s="1002"/>
    </row>
    <row r="288" spans="1:19" ht="13">
      <c r="A288" s="617">
        <f t="shared" si="24"/>
        <v>271</v>
      </c>
      <c r="B288" s="702" t="s">
        <v>98</v>
      </c>
      <c r="C288" s="702"/>
      <c r="D288" s="702"/>
      <c r="E288" s="618">
        <f>'7" 26# Deck Tally'!B271</f>
        <v>129</v>
      </c>
      <c r="F288" s="619">
        <f>'7" 26# Deck Tally'!C271</f>
        <v>33.630000000000003</v>
      </c>
      <c r="G288" s="619">
        <f t="shared" si="23"/>
        <v>33.231999999999999</v>
      </c>
      <c r="H288" s="619" t="s">
        <v>9</v>
      </c>
      <c r="I288" s="619">
        <f t="shared" si="21"/>
        <v>8940.5699999999979</v>
      </c>
      <c r="J288" s="619">
        <f t="shared" si="22"/>
        <v>3822.4900000000016</v>
      </c>
      <c r="K288" s="632">
        <f t="shared" si="20"/>
        <v>324.93842275019097</v>
      </c>
      <c r="L288" s="540"/>
      <c r="M288" s="532"/>
      <c r="N288" s="555"/>
      <c r="O288" s="556"/>
      <c r="P288" s="499"/>
      <c r="Q288" s="1003"/>
      <c r="R288" s="1001"/>
      <c r="S288" s="1002"/>
    </row>
    <row r="289" spans="1:19" ht="13">
      <c r="A289" s="617">
        <f t="shared" si="24"/>
        <v>272</v>
      </c>
      <c r="B289" s="702" t="s">
        <v>98</v>
      </c>
      <c r="C289" s="702"/>
      <c r="D289" s="702"/>
      <c r="E289" s="618">
        <f>'7" 26# Deck Tally'!B272</f>
        <v>128</v>
      </c>
      <c r="F289" s="619">
        <f>'7" 26# Deck Tally'!C272</f>
        <v>33.840000000000003</v>
      </c>
      <c r="G289" s="619">
        <f t="shared" si="23"/>
        <v>33.442</v>
      </c>
      <c r="H289" s="619" t="s">
        <v>9</v>
      </c>
      <c r="I289" s="619">
        <f t="shared" si="21"/>
        <v>8974.011999999997</v>
      </c>
      <c r="J289" s="619">
        <f t="shared" si="22"/>
        <v>3789.0480000000025</v>
      </c>
      <c r="K289" s="632">
        <f t="shared" si="20"/>
        <v>325.67506646906031</v>
      </c>
      <c r="L289" s="540"/>
      <c r="M289" s="532"/>
      <c r="N289" s="555"/>
      <c r="O289" s="556"/>
      <c r="P289" s="499"/>
      <c r="Q289" s="1003"/>
      <c r="R289" s="1001"/>
      <c r="S289" s="1002"/>
    </row>
    <row r="290" spans="1:19" ht="13">
      <c r="A290" s="617">
        <f t="shared" si="24"/>
        <v>273</v>
      </c>
      <c r="B290" s="702" t="s">
        <v>98</v>
      </c>
      <c r="C290" s="702"/>
      <c r="D290" s="702"/>
      <c r="E290" s="618">
        <f>'7" 26# Deck Tally'!B273</f>
        <v>127</v>
      </c>
      <c r="F290" s="619">
        <f>'7" 26# Deck Tally'!C273</f>
        <v>33.68</v>
      </c>
      <c r="G290" s="619">
        <f t="shared" si="23"/>
        <v>33.281999999999996</v>
      </c>
      <c r="H290" s="619" t="s">
        <v>9</v>
      </c>
      <c r="I290" s="619">
        <f t="shared" si="21"/>
        <v>9007.2939999999962</v>
      </c>
      <c r="J290" s="619">
        <f t="shared" si="22"/>
        <v>3755.7660000000033</v>
      </c>
      <c r="K290" s="631">
        <f t="shared" si="20"/>
        <v>326.40818578762406</v>
      </c>
      <c r="L290" s="540"/>
      <c r="M290" s="532"/>
      <c r="N290" s="555"/>
      <c r="O290" s="556"/>
      <c r="P290" s="499"/>
      <c r="Q290" s="1003"/>
      <c r="R290" s="1001"/>
      <c r="S290" s="1002"/>
    </row>
    <row r="291" spans="1:19" ht="13">
      <c r="A291" s="617">
        <f t="shared" si="24"/>
        <v>274</v>
      </c>
      <c r="B291" s="702" t="s">
        <v>98</v>
      </c>
      <c r="C291" s="702"/>
      <c r="D291" s="702"/>
      <c r="E291" s="618">
        <f>'7" 26# Deck Tally'!B274</f>
        <v>126</v>
      </c>
      <c r="F291" s="619">
        <f>'7" 26# Deck Tally'!C274</f>
        <v>33.700000000000003</v>
      </c>
      <c r="G291" s="619">
        <f t="shared" si="23"/>
        <v>33.302</v>
      </c>
      <c r="H291" s="619" t="s">
        <v>9</v>
      </c>
      <c r="I291" s="619">
        <f t="shared" si="21"/>
        <v>9040.5959999999959</v>
      </c>
      <c r="J291" s="619">
        <f t="shared" si="22"/>
        <v>3722.4640000000036</v>
      </c>
      <c r="K291" s="632">
        <f t="shared" si="20"/>
        <v>327.14174565622602</v>
      </c>
      <c r="L291" s="540"/>
      <c r="M291" s="532"/>
      <c r="N291" s="555"/>
      <c r="O291" s="556"/>
      <c r="P291" s="499"/>
      <c r="Q291" s="1003"/>
      <c r="R291" s="1001"/>
      <c r="S291" s="1002"/>
    </row>
    <row r="292" spans="1:19" ht="13">
      <c r="A292" s="617">
        <f t="shared" si="24"/>
        <v>275</v>
      </c>
      <c r="B292" s="702" t="s">
        <v>98</v>
      </c>
      <c r="C292" s="702"/>
      <c r="D292" s="702"/>
      <c r="E292" s="618">
        <f>'7" 26# Deck Tally'!B275</f>
        <v>125</v>
      </c>
      <c r="F292" s="619">
        <f>'7" 26# Deck Tally'!C275</f>
        <v>33.5</v>
      </c>
      <c r="G292" s="619">
        <f t="shared" si="23"/>
        <v>33.101999999999997</v>
      </c>
      <c r="H292" s="619" t="s">
        <v>9</v>
      </c>
      <c r="I292" s="619">
        <f t="shared" si="21"/>
        <v>9073.6979999999967</v>
      </c>
      <c r="J292" s="619">
        <f t="shared" si="22"/>
        <v>3689.3620000000028</v>
      </c>
      <c r="K292" s="632">
        <f t="shared" si="20"/>
        <v>327.87090002444609</v>
      </c>
      <c r="L292" s="540"/>
      <c r="M292" s="532"/>
      <c r="N292" s="555"/>
      <c r="O292" s="556"/>
      <c r="P292" s="499"/>
      <c r="Q292" s="1003"/>
      <c r="R292" s="1001"/>
      <c r="S292" s="1002"/>
    </row>
    <row r="293" spans="1:19" ht="13">
      <c r="A293" s="617">
        <f t="shared" si="24"/>
        <v>276</v>
      </c>
      <c r="B293" s="702" t="s">
        <v>98</v>
      </c>
      <c r="C293" s="702"/>
      <c r="D293" s="702"/>
      <c r="E293" s="618">
        <f>'7" 26# Deck Tally'!B276</f>
        <v>124</v>
      </c>
      <c r="F293" s="619">
        <f>'7" 26# Deck Tally'!C276</f>
        <v>31.96</v>
      </c>
      <c r="G293" s="619">
        <f t="shared" si="23"/>
        <v>31.562000000000001</v>
      </c>
      <c r="H293" s="619" t="s">
        <v>9</v>
      </c>
      <c r="I293" s="619">
        <f t="shared" si="21"/>
        <v>9105.2599999999966</v>
      </c>
      <c r="J293" s="619">
        <f t="shared" si="22"/>
        <v>3657.8000000000029</v>
      </c>
      <c r="K293" s="632">
        <f t="shared" si="20"/>
        <v>328.56613203972495</v>
      </c>
      <c r="L293" s="540"/>
      <c r="M293" s="532"/>
      <c r="N293" s="555"/>
      <c r="O293" s="556"/>
      <c r="P293" s="499"/>
      <c r="Q293" s="1003"/>
      <c r="R293" s="1001"/>
      <c r="S293" s="1002"/>
    </row>
    <row r="294" spans="1:19" ht="13">
      <c r="A294" s="617">
        <f t="shared" si="24"/>
        <v>277</v>
      </c>
      <c r="B294" s="702" t="s">
        <v>98</v>
      </c>
      <c r="C294" s="702"/>
      <c r="D294" s="702"/>
      <c r="E294" s="618">
        <f>'7" 26# Deck Tally'!B277</f>
        <v>123</v>
      </c>
      <c r="F294" s="619">
        <f>'7" 26# Deck Tally'!C277</f>
        <v>33.56</v>
      </c>
      <c r="G294" s="619">
        <f t="shared" si="23"/>
        <v>33.161999999999999</v>
      </c>
      <c r="H294" s="619" t="s">
        <v>9</v>
      </c>
      <c r="I294" s="619">
        <f t="shared" si="21"/>
        <v>9138.4219999999968</v>
      </c>
      <c r="J294" s="619">
        <f t="shared" si="22"/>
        <v>3624.6380000000026</v>
      </c>
      <c r="K294" s="632">
        <f t="shared" si="20"/>
        <v>329.29660805805952</v>
      </c>
      <c r="L294" s="540"/>
      <c r="M294" s="532"/>
      <c r="N294" s="555"/>
      <c r="O294" s="556"/>
      <c r="P294" s="499"/>
      <c r="Q294" s="1003"/>
      <c r="R294" s="1001"/>
      <c r="S294" s="1002"/>
    </row>
    <row r="295" spans="1:19" ht="13">
      <c r="A295" s="617">
        <f t="shared" si="24"/>
        <v>278</v>
      </c>
      <c r="B295" s="702" t="s">
        <v>98</v>
      </c>
      <c r="C295" s="702"/>
      <c r="D295" s="702"/>
      <c r="E295" s="618">
        <f>'7" 26# Deck Tally'!B278</f>
        <v>122</v>
      </c>
      <c r="F295" s="619">
        <f>'7" 26# Deck Tally'!C278</f>
        <v>33.549999999999997</v>
      </c>
      <c r="G295" s="619">
        <f t="shared" si="23"/>
        <v>33.151999999999994</v>
      </c>
      <c r="H295" s="619" t="s">
        <v>9</v>
      </c>
      <c r="I295" s="619">
        <f t="shared" si="21"/>
        <v>9171.5739999999969</v>
      </c>
      <c r="J295" s="619">
        <f t="shared" si="22"/>
        <v>3591.4860000000026</v>
      </c>
      <c r="K295" s="632">
        <f t="shared" si="20"/>
        <v>330.02686380137504</v>
      </c>
      <c r="L295" s="540"/>
      <c r="M295" s="532"/>
      <c r="N295" s="555"/>
      <c r="O295" s="556"/>
      <c r="P295" s="499"/>
      <c r="Q295" s="1003"/>
      <c r="R295" s="1001"/>
      <c r="S295" s="1002"/>
    </row>
    <row r="296" spans="1:19" ht="13">
      <c r="A296" s="617">
        <f t="shared" si="24"/>
        <v>279</v>
      </c>
      <c r="B296" s="702" t="s">
        <v>98</v>
      </c>
      <c r="C296" s="702"/>
      <c r="D296" s="702"/>
      <c r="E296" s="618">
        <f>'7" 26# Deck Tally'!B279</f>
        <v>121</v>
      </c>
      <c r="F296" s="619">
        <f>'7" 26# Deck Tally'!C279</f>
        <v>33.159999999999997</v>
      </c>
      <c r="G296" s="619">
        <f t="shared" si="23"/>
        <v>32.761999999999993</v>
      </c>
      <c r="H296" s="619" t="s">
        <v>9</v>
      </c>
      <c r="I296" s="619">
        <f t="shared" si="21"/>
        <v>9204.3359999999975</v>
      </c>
      <c r="J296" s="619">
        <f t="shared" si="22"/>
        <v>3558.724000000002</v>
      </c>
      <c r="K296" s="632">
        <f t="shared" si="20"/>
        <v>330.74852881894572</v>
      </c>
      <c r="L296" s="540"/>
      <c r="M296" s="532"/>
      <c r="N296" s="555"/>
      <c r="O296" s="556"/>
      <c r="P296" s="499"/>
      <c r="Q296" s="1003"/>
      <c r="R296" s="1001"/>
      <c r="S296" s="1002"/>
    </row>
    <row r="297" spans="1:19" ht="13">
      <c r="A297" s="617">
        <f t="shared" si="24"/>
        <v>280</v>
      </c>
      <c r="B297" s="702" t="s">
        <v>98</v>
      </c>
      <c r="C297" s="702"/>
      <c r="D297" s="702"/>
      <c r="E297" s="618">
        <f>'7" 26# Deck Tally'!B280</f>
        <v>120</v>
      </c>
      <c r="F297" s="619">
        <f>'7" 26# Deck Tally'!C280</f>
        <v>33.090000000000003</v>
      </c>
      <c r="G297" s="619">
        <f t="shared" si="23"/>
        <v>32.692</v>
      </c>
      <c r="H297" s="619" t="s">
        <v>9</v>
      </c>
      <c r="I297" s="619">
        <f t="shared" si="21"/>
        <v>9237.0279999999966</v>
      </c>
      <c r="J297" s="619">
        <f t="shared" si="22"/>
        <v>3526.0320000000029</v>
      </c>
      <c r="K297" s="632">
        <f t="shared" si="20"/>
        <v>331.46865191138266</v>
      </c>
      <c r="L297" s="540"/>
      <c r="M297" s="532"/>
      <c r="N297" s="497"/>
      <c r="O297" s="556"/>
      <c r="P297" s="499"/>
      <c r="Q297" s="1003"/>
      <c r="R297" s="1001"/>
      <c r="S297" s="1002"/>
    </row>
    <row r="298" spans="1:19" ht="13" customHeight="1">
      <c r="A298" s="617">
        <f t="shared" si="24"/>
        <v>281</v>
      </c>
      <c r="B298" s="702" t="s">
        <v>98</v>
      </c>
      <c r="C298" s="702"/>
      <c r="D298" s="702"/>
      <c r="E298" s="618">
        <f>'7" 26# Deck Tally'!B281</f>
        <v>119</v>
      </c>
      <c r="F298" s="619">
        <f>'7" 26# Deck Tally'!C281</f>
        <v>31.82</v>
      </c>
      <c r="G298" s="619">
        <f t="shared" si="23"/>
        <v>31.422000000000001</v>
      </c>
      <c r="H298" s="619" t="s">
        <v>9</v>
      </c>
      <c r="I298" s="619">
        <f t="shared" si="21"/>
        <v>9268.4499999999971</v>
      </c>
      <c r="J298" s="619">
        <f t="shared" si="22"/>
        <v>3494.6100000000024</v>
      </c>
      <c r="K298" s="632">
        <f t="shared" si="20"/>
        <v>332.16080007639414</v>
      </c>
      <c r="L298" s="540"/>
      <c r="M298" s="532"/>
      <c r="N298" s="368"/>
      <c r="P298" s="558"/>
      <c r="Q298" s="1003"/>
      <c r="R298" s="1001"/>
      <c r="S298" s="1002"/>
    </row>
    <row r="299" spans="1:19">
      <c r="A299" s="617">
        <f t="shared" si="24"/>
        <v>282</v>
      </c>
      <c r="B299" s="702" t="s">
        <v>98</v>
      </c>
      <c r="C299" s="702"/>
      <c r="D299" s="702"/>
      <c r="E299" s="618">
        <f>'7" 26# Deck Tally'!B282</f>
        <v>118</v>
      </c>
      <c r="F299" s="619">
        <f>'7" 26# Deck Tally'!C282</f>
        <v>32.1</v>
      </c>
      <c r="G299" s="619">
        <f t="shared" si="23"/>
        <v>31.702000000000002</v>
      </c>
      <c r="H299" s="619" t="s">
        <v>9</v>
      </c>
      <c r="I299" s="619">
        <f t="shared" si="21"/>
        <v>9300.1519999999964</v>
      </c>
      <c r="J299" s="619">
        <f t="shared" si="22"/>
        <v>3462.9080000000031</v>
      </c>
      <c r="K299" s="632">
        <f t="shared" si="20"/>
        <v>332.85911594194033</v>
      </c>
      <c r="L299" s="540"/>
      <c r="M299" s="532"/>
      <c r="N299" s="555"/>
      <c r="O299" s="556"/>
      <c r="P299" s="558"/>
      <c r="Q299" s="1003"/>
      <c r="R299" s="1001"/>
      <c r="S299" s="1002"/>
    </row>
    <row r="300" spans="1:19">
      <c r="A300" s="617">
        <f t="shared" si="24"/>
        <v>283</v>
      </c>
      <c r="B300" s="702" t="s">
        <v>98</v>
      </c>
      <c r="C300" s="702"/>
      <c r="D300" s="702"/>
      <c r="E300" s="618">
        <f>'7" 26# Deck Tally'!B283</f>
        <v>117</v>
      </c>
      <c r="F300" s="619">
        <f>'7" 26# Deck Tally'!C283</f>
        <v>33.479999999999997</v>
      </c>
      <c r="G300" s="619">
        <f t="shared" si="23"/>
        <v>33.081999999999994</v>
      </c>
      <c r="H300" s="619" t="s">
        <v>9</v>
      </c>
      <c r="I300" s="619">
        <f t="shared" si="21"/>
        <v>9333.2339999999967</v>
      </c>
      <c r="J300" s="619">
        <f t="shared" si="22"/>
        <v>3429.8260000000028</v>
      </c>
      <c r="K300" s="632">
        <f t="shared" si="20"/>
        <v>333.58782976012219</v>
      </c>
      <c r="L300" s="540"/>
      <c r="M300" s="532"/>
      <c r="N300" s="555"/>
      <c r="O300" s="556"/>
      <c r="P300" s="558"/>
      <c r="Q300" s="1003"/>
      <c r="R300" s="1001"/>
      <c r="S300" s="1002"/>
    </row>
    <row r="301" spans="1:19">
      <c r="A301" s="617">
        <f t="shared" si="24"/>
        <v>284</v>
      </c>
      <c r="B301" s="702" t="s">
        <v>98</v>
      </c>
      <c r="C301" s="702"/>
      <c r="D301" s="702"/>
      <c r="E301" s="618">
        <f>'7" 26# Deck Tally'!B284</f>
        <v>116</v>
      </c>
      <c r="F301" s="619">
        <f>'7" 26# Deck Tally'!C284</f>
        <v>33.51</v>
      </c>
      <c r="G301" s="619">
        <f t="shared" si="23"/>
        <v>33.111999999999995</v>
      </c>
      <c r="H301" s="619" t="s">
        <v>9</v>
      </c>
      <c r="I301" s="619">
        <f t="shared" si="21"/>
        <v>9366.3459999999959</v>
      </c>
      <c r="J301" s="619">
        <f t="shared" si="22"/>
        <v>3396.7140000000036</v>
      </c>
      <c r="K301" s="632">
        <f t="shared" si="20"/>
        <v>334.31720440336125</v>
      </c>
      <c r="L301" s="540"/>
      <c r="M301" s="532"/>
      <c r="N301" s="555"/>
      <c r="O301" s="556"/>
      <c r="P301" s="558"/>
      <c r="Q301" s="1003"/>
      <c r="R301" s="1001"/>
      <c r="S301" s="1002"/>
    </row>
    <row r="302" spans="1:19">
      <c r="A302" s="617">
        <f t="shared" si="24"/>
        <v>285</v>
      </c>
      <c r="B302" s="702" t="s">
        <v>98</v>
      </c>
      <c r="C302" s="702"/>
      <c r="D302" s="702"/>
      <c r="E302" s="618">
        <f>'7" 26# Deck Tally'!B285</f>
        <v>115</v>
      </c>
      <c r="F302" s="619">
        <f>'7" 26# Deck Tally'!C285</f>
        <v>33.380000000000003</v>
      </c>
      <c r="G302" s="619">
        <f t="shared" si="23"/>
        <v>32.981999999999999</v>
      </c>
      <c r="H302" s="619" t="s">
        <v>9</v>
      </c>
      <c r="I302" s="619">
        <f t="shared" si="21"/>
        <v>9399.3279999999959</v>
      </c>
      <c r="J302" s="619">
        <f t="shared" si="22"/>
        <v>3363.7320000000036</v>
      </c>
      <c r="K302" s="632">
        <f t="shared" si="20"/>
        <v>335.04371547135213</v>
      </c>
      <c r="L302" s="540"/>
      <c r="M302" s="532"/>
      <c r="N302" s="555"/>
      <c r="O302" s="556"/>
      <c r="P302" s="558"/>
      <c r="Q302" s="1003"/>
      <c r="R302" s="1001"/>
      <c r="S302" s="1002"/>
    </row>
    <row r="303" spans="1:19">
      <c r="A303" s="617">
        <f t="shared" si="24"/>
        <v>286</v>
      </c>
      <c r="B303" s="702" t="s">
        <v>98</v>
      </c>
      <c r="C303" s="702"/>
      <c r="D303" s="702"/>
      <c r="E303" s="618">
        <f>'7" 26# Deck Tally'!B286</f>
        <v>114</v>
      </c>
      <c r="F303" s="619">
        <f>'7" 26# Deck Tally'!C286</f>
        <v>33.43</v>
      </c>
      <c r="G303" s="619">
        <f t="shared" si="23"/>
        <v>33.031999999999996</v>
      </c>
      <c r="H303" s="619" t="s">
        <v>9</v>
      </c>
      <c r="I303" s="619">
        <f t="shared" si="21"/>
        <v>9432.3599999999951</v>
      </c>
      <c r="J303" s="619">
        <f t="shared" si="22"/>
        <v>3330.7000000000044</v>
      </c>
      <c r="K303" s="632">
        <f t="shared" si="20"/>
        <v>335.77132791443842</v>
      </c>
      <c r="L303" s="540"/>
      <c r="M303" s="532"/>
      <c r="N303" s="555"/>
      <c r="O303" s="556"/>
      <c r="P303" s="558"/>
      <c r="Q303" s="1003"/>
      <c r="R303" s="1001"/>
      <c r="S303" s="1002"/>
    </row>
    <row r="304" spans="1:19">
      <c r="A304" s="617">
        <f t="shared" si="24"/>
        <v>287</v>
      </c>
      <c r="B304" s="702" t="s">
        <v>98</v>
      </c>
      <c r="C304" s="702"/>
      <c r="D304" s="702"/>
      <c r="E304" s="618">
        <f>'7" 26# Deck Tally'!B287</f>
        <v>113</v>
      </c>
      <c r="F304" s="619">
        <f>'7" 26# Deck Tally'!C287</f>
        <v>31.61</v>
      </c>
      <c r="G304" s="619">
        <f t="shared" si="23"/>
        <v>31.212</v>
      </c>
      <c r="H304" s="619" t="s">
        <v>9</v>
      </c>
      <c r="I304" s="619">
        <f t="shared" si="21"/>
        <v>9463.5719999999947</v>
      </c>
      <c r="J304" s="619">
        <f t="shared" si="22"/>
        <v>3299.4880000000048</v>
      </c>
      <c r="K304" s="632">
        <f t="shared" si="20"/>
        <v>336.45885030404878</v>
      </c>
      <c r="L304" s="540"/>
      <c r="M304" s="532"/>
      <c r="N304" s="555"/>
      <c r="O304" s="556"/>
      <c r="P304" s="558"/>
      <c r="Q304" s="1003"/>
      <c r="R304" s="1001"/>
      <c r="S304" s="1002"/>
    </row>
    <row r="305" spans="1:19">
      <c r="A305" s="617">
        <f t="shared" si="24"/>
        <v>288</v>
      </c>
      <c r="B305" s="702" t="s">
        <v>98</v>
      </c>
      <c r="C305" s="702"/>
      <c r="D305" s="702"/>
      <c r="E305" s="618">
        <f>'7" 26# Deck Tally'!B288</f>
        <v>112</v>
      </c>
      <c r="F305" s="619">
        <f>'7" 26# Deck Tally'!C288</f>
        <v>33.619999999999997</v>
      </c>
      <c r="G305" s="619">
        <f t="shared" si="23"/>
        <v>33.221999999999994</v>
      </c>
      <c r="H305" s="619" t="s">
        <v>9</v>
      </c>
      <c r="I305" s="619">
        <f t="shared" si="21"/>
        <v>9496.7939999999944</v>
      </c>
      <c r="J305" s="619">
        <f t="shared" si="22"/>
        <v>3266.2660000000051</v>
      </c>
      <c r="K305" s="632">
        <f t="shared" si="20"/>
        <v>337.19064797249797</v>
      </c>
      <c r="L305" s="540"/>
      <c r="M305" s="532"/>
      <c r="N305" s="555"/>
      <c r="O305" s="556"/>
      <c r="P305" s="558"/>
      <c r="Q305" s="1003"/>
      <c r="R305" s="1001"/>
      <c r="S305" s="1002"/>
    </row>
    <row r="306" spans="1:19">
      <c r="A306" s="617">
        <f t="shared" si="24"/>
        <v>289</v>
      </c>
      <c r="B306" s="702" t="s">
        <v>98</v>
      </c>
      <c r="C306" s="702"/>
      <c r="D306" s="702"/>
      <c r="E306" s="618">
        <f>'7" 26# Deck Tally'!B289</f>
        <v>111</v>
      </c>
      <c r="F306" s="619">
        <f>'7" 26# Deck Tally'!C289</f>
        <v>33.76</v>
      </c>
      <c r="G306" s="619">
        <f t="shared" si="23"/>
        <v>33.361999999999995</v>
      </c>
      <c r="H306" s="619" t="s">
        <v>9</v>
      </c>
      <c r="I306" s="619">
        <f t="shared" si="21"/>
        <v>9530.1559999999936</v>
      </c>
      <c r="J306" s="619">
        <f t="shared" si="22"/>
        <v>3232.9040000000059</v>
      </c>
      <c r="K306" s="632">
        <f t="shared" si="20"/>
        <v>337.92552949121455</v>
      </c>
      <c r="L306" s="540"/>
      <c r="M306" s="532"/>
      <c r="N306" s="555"/>
      <c r="O306" s="556"/>
      <c r="P306" s="558"/>
      <c r="Q306" s="1003"/>
      <c r="R306" s="1001"/>
      <c r="S306" s="1002"/>
    </row>
    <row r="307" spans="1:19">
      <c r="A307" s="617">
        <f t="shared" si="24"/>
        <v>290</v>
      </c>
      <c r="B307" s="702" t="s">
        <v>98</v>
      </c>
      <c r="C307" s="702"/>
      <c r="D307" s="702"/>
      <c r="E307" s="618">
        <f>'7" 26# Deck Tally'!B290</f>
        <v>110</v>
      </c>
      <c r="F307" s="619">
        <f>'7" 26# Deck Tally'!C290</f>
        <v>33.81</v>
      </c>
      <c r="G307" s="619">
        <f t="shared" si="23"/>
        <v>33.411999999999999</v>
      </c>
      <c r="H307" s="619" t="s">
        <v>9</v>
      </c>
      <c r="I307" s="619">
        <f t="shared" si="21"/>
        <v>9563.5679999999938</v>
      </c>
      <c r="J307" s="619">
        <f t="shared" si="22"/>
        <v>3199.4920000000056</v>
      </c>
      <c r="K307" s="632">
        <f t="shared" si="20"/>
        <v>338.66151238502664</v>
      </c>
      <c r="L307" s="540"/>
      <c r="M307" s="532"/>
      <c r="N307" s="555"/>
      <c r="O307" s="556"/>
      <c r="P307" s="558"/>
      <c r="Q307" s="1003"/>
      <c r="R307" s="1001"/>
      <c r="S307" s="1002"/>
    </row>
    <row r="308" spans="1:19">
      <c r="A308" s="617">
        <f t="shared" si="24"/>
        <v>291</v>
      </c>
      <c r="B308" s="702" t="s">
        <v>98</v>
      </c>
      <c r="C308" s="702"/>
      <c r="D308" s="702"/>
      <c r="E308" s="618">
        <f>'7" 26# Deck Tally'!B291</f>
        <v>109</v>
      </c>
      <c r="F308" s="619">
        <f>'7" 26# Deck Tally'!C291</f>
        <v>33.75</v>
      </c>
      <c r="G308" s="619">
        <f t="shared" si="23"/>
        <v>33.351999999999997</v>
      </c>
      <c r="H308" s="619" t="s">
        <v>9</v>
      </c>
      <c r="I308" s="619">
        <f t="shared" si="21"/>
        <v>9596.9199999999946</v>
      </c>
      <c r="J308" s="619">
        <f t="shared" si="22"/>
        <v>3166.1400000000049</v>
      </c>
      <c r="K308" s="632">
        <f t="shared" si="20"/>
        <v>339.39617362872411</v>
      </c>
      <c r="L308" s="540"/>
      <c r="M308" s="532"/>
      <c r="N308" s="555"/>
      <c r="O308" s="556"/>
      <c r="P308" s="558"/>
      <c r="Q308" s="1003"/>
      <c r="R308" s="1001"/>
      <c r="S308" s="1002"/>
    </row>
    <row r="309" spans="1:19">
      <c r="A309" s="617">
        <f t="shared" si="24"/>
        <v>292</v>
      </c>
      <c r="B309" s="702" t="s">
        <v>98</v>
      </c>
      <c r="C309" s="702"/>
      <c r="D309" s="702"/>
      <c r="E309" s="618">
        <f>'7" 26# Deck Tally'!B292</f>
        <v>108</v>
      </c>
      <c r="F309" s="619">
        <f>'7" 26# Deck Tally'!C292</f>
        <v>33.53</v>
      </c>
      <c r="G309" s="619">
        <f t="shared" si="23"/>
        <v>33.131999999999998</v>
      </c>
      <c r="H309" s="619" t="s">
        <v>9</v>
      </c>
      <c r="I309" s="619">
        <f t="shared" si="21"/>
        <v>9630.0519999999942</v>
      </c>
      <c r="J309" s="619">
        <f t="shared" si="22"/>
        <v>3133.0080000000053</v>
      </c>
      <c r="K309" s="632">
        <f t="shared" si="20"/>
        <v>340.12598882200137</v>
      </c>
      <c r="L309" s="540"/>
      <c r="M309" s="532"/>
      <c r="N309" s="555"/>
      <c r="O309" s="556"/>
      <c r="P309" s="558"/>
      <c r="Q309" s="1003"/>
      <c r="R309" s="1001"/>
      <c r="S309" s="1002"/>
    </row>
    <row r="310" spans="1:19">
      <c r="A310" s="617">
        <f t="shared" si="24"/>
        <v>293</v>
      </c>
      <c r="B310" s="702" t="s">
        <v>98</v>
      </c>
      <c r="C310" s="702"/>
      <c r="D310" s="702"/>
      <c r="E310" s="618">
        <f>'7" 26# Deck Tally'!B293</f>
        <v>107</v>
      </c>
      <c r="F310" s="619">
        <f>'7" 26# Deck Tally'!C293</f>
        <v>33.49</v>
      </c>
      <c r="G310" s="619">
        <f t="shared" si="23"/>
        <v>33.091999999999999</v>
      </c>
      <c r="H310" s="619" t="s">
        <v>9</v>
      </c>
      <c r="I310" s="619">
        <f t="shared" si="21"/>
        <v>9663.1439999999948</v>
      </c>
      <c r="J310" s="619">
        <f t="shared" si="22"/>
        <v>3099.9160000000047</v>
      </c>
      <c r="K310" s="632">
        <f t="shared" si="20"/>
        <v>340.85492291520234</v>
      </c>
      <c r="L310" s="540"/>
      <c r="M310" s="532"/>
      <c r="N310" s="555"/>
      <c r="O310" s="556"/>
      <c r="P310" s="558"/>
      <c r="Q310" s="1003"/>
      <c r="R310" s="1001"/>
      <c r="S310" s="1002"/>
    </row>
    <row r="311" spans="1:19">
      <c r="A311" s="617">
        <f t="shared" si="24"/>
        <v>294</v>
      </c>
      <c r="B311" s="702" t="s">
        <v>98</v>
      </c>
      <c r="C311" s="702"/>
      <c r="D311" s="702"/>
      <c r="E311" s="618">
        <f>'7" 26# Deck Tally'!B294</f>
        <v>106</v>
      </c>
      <c r="F311" s="619">
        <f>'7" 26# Deck Tally'!C294</f>
        <v>33.51</v>
      </c>
      <c r="G311" s="619">
        <f t="shared" si="23"/>
        <v>33.111999999999995</v>
      </c>
      <c r="H311" s="619" t="s">
        <v>9</v>
      </c>
      <c r="I311" s="619">
        <f t="shared" si="21"/>
        <v>9696.2559999999939</v>
      </c>
      <c r="J311" s="619">
        <f t="shared" si="22"/>
        <v>3066.8040000000055</v>
      </c>
      <c r="K311" s="631">
        <f t="shared" si="20"/>
        <v>341.58429755844145</v>
      </c>
      <c r="L311" s="540"/>
      <c r="M311" s="532"/>
      <c r="N311" s="555"/>
      <c r="O311" s="556"/>
      <c r="P311" s="558"/>
      <c r="Q311" s="1003"/>
      <c r="R311" s="1001"/>
      <c r="S311" s="1002"/>
    </row>
    <row r="312" spans="1:19">
      <c r="A312" s="617">
        <f t="shared" si="24"/>
        <v>295</v>
      </c>
      <c r="B312" s="702" t="s">
        <v>98</v>
      </c>
      <c r="C312" s="702"/>
      <c r="D312" s="702"/>
      <c r="E312" s="618">
        <f>'7" 26# Deck Tally'!B295</f>
        <v>105</v>
      </c>
      <c r="F312" s="619">
        <f>'7" 26# Deck Tally'!C295</f>
        <v>33.4</v>
      </c>
      <c r="G312" s="619">
        <f t="shared" si="23"/>
        <v>33.001999999999995</v>
      </c>
      <c r="H312" s="619" t="s">
        <v>9</v>
      </c>
      <c r="I312" s="619">
        <f t="shared" si="21"/>
        <v>9729.2579999999944</v>
      </c>
      <c r="J312" s="619">
        <f t="shared" si="22"/>
        <v>3033.8020000000051</v>
      </c>
      <c r="K312" s="632">
        <f t="shared" si="20"/>
        <v>342.31124917647048</v>
      </c>
      <c r="L312" s="540"/>
      <c r="M312" s="532"/>
      <c r="N312" s="555"/>
      <c r="O312" s="556"/>
      <c r="P312" s="558"/>
      <c r="Q312" s="1003"/>
      <c r="R312" s="1001"/>
      <c r="S312" s="1002"/>
    </row>
    <row r="313" spans="1:19">
      <c r="A313" s="617">
        <f t="shared" si="24"/>
        <v>296</v>
      </c>
      <c r="B313" s="702" t="s">
        <v>98</v>
      </c>
      <c r="C313" s="702"/>
      <c r="D313" s="702"/>
      <c r="E313" s="618">
        <f>'7" 26# Deck Tally'!B296</f>
        <v>104</v>
      </c>
      <c r="F313" s="619">
        <f>'7" 26# Deck Tally'!C296</f>
        <v>33.68</v>
      </c>
      <c r="G313" s="619">
        <f t="shared" si="23"/>
        <v>33.281999999999996</v>
      </c>
      <c r="H313" s="619" t="s">
        <v>9</v>
      </c>
      <c r="I313" s="619">
        <f t="shared" si="21"/>
        <v>9762.5399999999936</v>
      </c>
      <c r="J313" s="619">
        <f t="shared" si="22"/>
        <v>3000.5200000000059</v>
      </c>
      <c r="K313" s="632">
        <f t="shared" si="20"/>
        <v>343.04436849503423</v>
      </c>
      <c r="L313" s="540"/>
      <c r="M313" s="532"/>
      <c r="N313" s="555"/>
      <c r="O313" s="556"/>
      <c r="P313" s="558"/>
      <c r="Q313" s="1003"/>
      <c r="R313" s="1001"/>
      <c r="S313" s="1002"/>
    </row>
    <row r="314" spans="1:19">
      <c r="A314" s="617">
        <f t="shared" si="24"/>
        <v>297</v>
      </c>
      <c r="B314" s="702" t="s">
        <v>98</v>
      </c>
      <c r="C314" s="702"/>
      <c r="D314" s="702"/>
      <c r="E314" s="618">
        <f>'7" 26# Deck Tally'!B297</f>
        <v>103</v>
      </c>
      <c r="F314" s="619">
        <f>'7" 26# Deck Tally'!C297</f>
        <v>33.21</v>
      </c>
      <c r="G314" s="619">
        <f t="shared" si="23"/>
        <v>32.811999999999998</v>
      </c>
      <c r="H314" s="619" t="s">
        <v>9</v>
      </c>
      <c r="I314" s="619">
        <f t="shared" si="21"/>
        <v>9795.3519999999935</v>
      </c>
      <c r="J314" s="619">
        <f t="shared" si="22"/>
        <v>2967.708000000006</v>
      </c>
      <c r="K314" s="632">
        <f t="shared" si="20"/>
        <v>343.76713488770037</v>
      </c>
      <c r="L314" s="540"/>
      <c r="M314" s="532"/>
      <c r="N314" s="555"/>
      <c r="O314" s="556"/>
      <c r="P314" s="558"/>
      <c r="Q314" s="1003"/>
      <c r="R314" s="1001"/>
      <c r="S314" s="1002"/>
    </row>
    <row r="315" spans="1:19">
      <c r="A315" s="617">
        <f t="shared" si="24"/>
        <v>298</v>
      </c>
      <c r="B315" s="702" t="s">
        <v>98</v>
      </c>
      <c r="C315" s="702"/>
      <c r="D315" s="702"/>
      <c r="E315" s="618">
        <f>'7" 26# Deck Tally'!B298</f>
        <v>102</v>
      </c>
      <c r="F315" s="619">
        <f>'7" 26# Deck Tally'!C298</f>
        <v>33.94</v>
      </c>
      <c r="G315" s="619">
        <f t="shared" si="23"/>
        <v>33.541999999999994</v>
      </c>
      <c r="H315" s="619" t="s">
        <v>9</v>
      </c>
      <c r="I315" s="619">
        <f t="shared" si="21"/>
        <v>9828.893999999993</v>
      </c>
      <c r="J315" s="619">
        <f t="shared" si="22"/>
        <v>2934.1660000000065</v>
      </c>
      <c r="K315" s="632">
        <f t="shared" si="20"/>
        <v>344.50598135676074</v>
      </c>
      <c r="L315" s="540"/>
      <c r="M315" s="532"/>
      <c r="N315" s="555"/>
      <c r="O315" s="556"/>
      <c r="P315" s="558"/>
      <c r="Q315" s="1003"/>
      <c r="R315" s="1001"/>
      <c r="S315" s="1002"/>
    </row>
    <row r="316" spans="1:19">
      <c r="A316" s="617">
        <f t="shared" si="24"/>
        <v>299</v>
      </c>
      <c r="B316" s="702" t="s">
        <v>98</v>
      </c>
      <c r="C316" s="702"/>
      <c r="D316" s="702"/>
      <c r="E316" s="618">
        <f>'7" 26# Deck Tally'!B299</f>
        <v>101</v>
      </c>
      <c r="F316" s="619">
        <f>'7" 26# Deck Tally'!C299</f>
        <v>33.42</v>
      </c>
      <c r="G316" s="619">
        <f t="shared" si="23"/>
        <v>33.021999999999998</v>
      </c>
      <c r="H316" s="619" t="s">
        <v>9</v>
      </c>
      <c r="I316" s="619">
        <f t="shared" si="21"/>
        <v>9861.9159999999938</v>
      </c>
      <c r="J316" s="619">
        <f t="shared" si="22"/>
        <v>2901.1440000000057</v>
      </c>
      <c r="K316" s="631">
        <f t="shared" si="20"/>
        <v>345.23337352482804</v>
      </c>
      <c r="L316" s="540"/>
      <c r="M316" s="532"/>
      <c r="N316" s="555"/>
      <c r="O316" s="556"/>
      <c r="P316" s="558"/>
      <c r="Q316" s="1003"/>
      <c r="R316" s="1001"/>
      <c r="S316" s="1002"/>
    </row>
    <row r="317" spans="1:19">
      <c r="A317" s="617">
        <f t="shared" si="24"/>
        <v>300</v>
      </c>
      <c r="B317" s="702" t="s">
        <v>98</v>
      </c>
      <c r="C317" s="702"/>
      <c r="D317" s="702"/>
      <c r="E317" s="618">
        <f>'7" 26# Deck Tally'!B300</f>
        <v>100</v>
      </c>
      <c r="F317" s="619">
        <f>'7" 26# Deck Tally'!C300</f>
        <v>33.549999999999997</v>
      </c>
      <c r="G317" s="619">
        <f t="shared" si="23"/>
        <v>33.151999999999994</v>
      </c>
      <c r="H317" s="619" t="s">
        <v>9</v>
      </c>
      <c r="I317" s="619">
        <f t="shared" si="21"/>
        <v>9895.0679999999938</v>
      </c>
      <c r="J317" s="619">
        <f t="shared" si="22"/>
        <v>2867.9920000000056</v>
      </c>
      <c r="K317" s="632">
        <f t="shared" si="20"/>
        <v>345.96362926814345</v>
      </c>
      <c r="L317" s="540"/>
      <c r="M317" s="352"/>
      <c r="N317" s="555"/>
      <c r="O317" s="556"/>
      <c r="P317" s="558"/>
      <c r="Q317" s="1003"/>
      <c r="R317" s="1001"/>
      <c r="S317" s="1002"/>
    </row>
    <row r="318" spans="1:19">
      <c r="A318" s="617">
        <f t="shared" si="24"/>
        <v>301</v>
      </c>
      <c r="B318" s="702" t="s">
        <v>98</v>
      </c>
      <c r="C318" s="702"/>
      <c r="D318" s="702"/>
      <c r="E318" s="618">
        <f>'7" 26# Deck Tally'!B301</f>
        <v>99</v>
      </c>
      <c r="F318" s="619">
        <f>'7" 26# Deck Tally'!C301</f>
        <v>33.659999999999997</v>
      </c>
      <c r="G318" s="619">
        <f t="shared" si="23"/>
        <v>33.261999999999993</v>
      </c>
      <c r="H318" s="619" t="s">
        <v>9</v>
      </c>
      <c r="I318" s="619">
        <f t="shared" si="21"/>
        <v>9928.3299999999945</v>
      </c>
      <c r="J318" s="619">
        <f t="shared" si="22"/>
        <v>2834.730000000005</v>
      </c>
      <c r="K318" s="632">
        <f t="shared" si="20"/>
        <v>346.69630803666905</v>
      </c>
      <c r="L318" s="540"/>
      <c r="M318" s="352"/>
      <c r="N318" s="555"/>
      <c r="O318" s="556"/>
      <c r="P318" s="558"/>
      <c r="Q318" s="1003"/>
      <c r="R318" s="1001"/>
      <c r="S318" s="1002"/>
    </row>
    <row r="319" spans="1:19">
      <c r="A319" s="617">
        <f t="shared" si="24"/>
        <v>302</v>
      </c>
      <c r="B319" s="702" t="s">
        <v>98</v>
      </c>
      <c r="C319" s="702"/>
      <c r="D319" s="702"/>
      <c r="E319" s="618">
        <f>'7" 26# Deck Tally'!B302</f>
        <v>98</v>
      </c>
      <c r="F319" s="619">
        <f>'7" 26# Deck Tally'!C302</f>
        <v>33.32</v>
      </c>
      <c r="G319" s="619">
        <f t="shared" si="23"/>
        <v>32.921999999999997</v>
      </c>
      <c r="H319" s="619" t="s">
        <v>9</v>
      </c>
      <c r="I319" s="619">
        <f t="shared" si="21"/>
        <v>9961.251999999995</v>
      </c>
      <c r="J319" s="619">
        <f t="shared" si="22"/>
        <v>2801.8080000000045</v>
      </c>
      <c r="K319" s="632">
        <f t="shared" si="20"/>
        <v>347.42149745454537</v>
      </c>
      <c r="L319" s="540"/>
      <c r="M319" s="352"/>
      <c r="N319" s="555"/>
      <c r="O319" s="556"/>
      <c r="P319" s="558"/>
      <c r="Q319" s="1003"/>
      <c r="R319" s="1001"/>
      <c r="S319" s="1002"/>
    </row>
    <row r="320" spans="1:19">
      <c r="A320" s="617">
        <f t="shared" si="24"/>
        <v>303</v>
      </c>
      <c r="B320" s="702" t="s">
        <v>98</v>
      </c>
      <c r="C320" s="702"/>
      <c r="D320" s="702"/>
      <c r="E320" s="618">
        <f>'7" 26# Deck Tally'!B303</f>
        <v>97</v>
      </c>
      <c r="F320" s="619">
        <f>'7" 26# Deck Tally'!C303</f>
        <v>33.82</v>
      </c>
      <c r="G320" s="619">
        <f t="shared" si="23"/>
        <v>33.421999999999997</v>
      </c>
      <c r="H320" s="619" t="s">
        <v>9</v>
      </c>
      <c r="I320" s="619">
        <f t="shared" si="21"/>
        <v>9994.6739999999954</v>
      </c>
      <c r="J320" s="619">
        <f t="shared" si="22"/>
        <v>2768.3860000000041</v>
      </c>
      <c r="K320" s="632">
        <f t="shared" si="20"/>
        <v>348.15770062337651</v>
      </c>
      <c r="L320" s="540"/>
      <c r="M320" s="532"/>
      <c r="N320" s="555"/>
      <c r="O320" s="556"/>
      <c r="P320" s="558"/>
      <c r="Q320" s="1003"/>
      <c r="R320" s="1001"/>
      <c r="S320" s="1002"/>
    </row>
    <row r="321" spans="1:19">
      <c r="A321" s="617">
        <f t="shared" si="24"/>
        <v>304</v>
      </c>
      <c r="B321" s="702" t="s">
        <v>98</v>
      </c>
      <c r="C321" s="702"/>
      <c r="D321" s="702"/>
      <c r="E321" s="618">
        <f>'7" 26# Deck Tally'!B304</f>
        <v>96</v>
      </c>
      <c r="F321" s="619">
        <f>'7" 26# Deck Tally'!C304</f>
        <v>31.9</v>
      </c>
      <c r="G321" s="619">
        <f t="shared" si="23"/>
        <v>31.501999999999999</v>
      </c>
      <c r="H321" s="619" t="s">
        <v>9</v>
      </c>
      <c r="I321" s="619">
        <f t="shared" si="21"/>
        <v>10026.175999999996</v>
      </c>
      <c r="J321" s="619">
        <f t="shared" si="22"/>
        <v>2736.8840000000037</v>
      </c>
      <c r="K321" s="632">
        <f t="shared" si="20"/>
        <v>348.85161098854076</v>
      </c>
      <c r="L321" s="540"/>
      <c r="M321" s="532"/>
      <c r="N321" s="555"/>
      <c r="O321" s="556"/>
      <c r="P321" s="558"/>
      <c r="Q321" s="1003"/>
      <c r="R321" s="1001"/>
      <c r="S321" s="1002"/>
    </row>
    <row r="322" spans="1:19">
      <c r="A322" s="617">
        <f t="shared" si="24"/>
        <v>305</v>
      </c>
      <c r="B322" s="702" t="s">
        <v>98</v>
      </c>
      <c r="C322" s="702"/>
      <c r="D322" s="702"/>
      <c r="E322" s="618">
        <f>'7" 26# Deck Tally'!B305</f>
        <v>95</v>
      </c>
      <c r="F322" s="619">
        <f>'7" 26# Deck Tally'!C305</f>
        <v>33.43</v>
      </c>
      <c r="G322" s="619">
        <f t="shared" si="23"/>
        <v>33.031999999999996</v>
      </c>
      <c r="H322" s="619" t="s">
        <v>9</v>
      </c>
      <c r="I322" s="619">
        <f t="shared" si="21"/>
        <v>10059.207999999995</v>
      </c>
      <c r="J322" s="619">
        <f t="shared" si="22"/>
        <v>2703.8520000000044</v>
      </c>
      <c r="K322" s="632">
        <f t="shared" si="20"/>
        <v>349.5792234316271</v>
      </c>
      <c r="L322" s="540"/>
      <c r="M322" s="532"/>
      <c r="N322" s="555"/>
      <c r="O322" s="556"/>
      <c r="P322" s="558"/>
      <c r="Q322" s="1003"/>
      <c r="R322" s="1001"/>
      <c r="S322" s="1002"/>
    </row>
    <row r="323" spans="1:19">
      <c r="A323" s="617">
        <f t="shared" si="24"/>
        <v>306</v>
      </c>
      <c r="B323" s="702" t="s">
        <v>98</v>
      </c>
      <c r="C323" s="702"/>
      <c r="D323" s="702"/>
      <c r="E323" s="618">
        <f>'7" 26# Deck Tally'!B306</f>
        <v>94</v>
      </c>
      <c r="F323" s="619">
        <f>'7" 26# Deck Tally'!C306</f>
        <v>33.5</v>
      </c>
      <c r="G323" s="619">
        <f t="shared" si="23"/>
        <v>33.101999999999997</v>
      </c>
      <c r="H323" s="619" t="s">
        <v>9</v>
      </c>
      <c r="I323" s="619">
        <f t="shared" si="21"/>
        <v>10092.309999999996</v>
      </c>
      <c r="J323" s="619">
        <f t="shared" si="22"/>
        <v>2670.7500000000036</v>
      </c>
      <c r="K323" s="632">
        <f t="shared" si="20"/>
        <v>350.30837779984711</v>
      </c>
      <c r="L323" s="540"/>
      <c r="M323" s="532"/>
      <c r="N323" s="555"/>
      <c r="O323" s="556"/>
      <c r="P323" s="558"/>
      <c r="Q323" s="1003"/>
      <c r="R323" s="1001"/>
      <c r="S323" s="1002"/>
    </row>
    <row r="324" spans="1:19">
      <c r="A324" s="617">
        <f t="shared" si="24"/>
        <v>307</v>
      </c>
      <c r="B324" s="702" t="s">
        <v>98</v>
      </c>
      <c r="C324" s="702"/>
      <c r="D324" s="702"/>
      <c r="E324" s="618">
        <f>'7" 26# Deck Tally'!B307</f>
        <v>93</v>
      </c>
      <c r="F324" s="619">
        <f>'7" 26# Deck Tally'!C307</f>
        <v>33.369999999999997</v>
      </c>
      <c r="G324" s="619">
        <f t="shared" si="23"/>
        <v>32.971999999999994</v>
      </c>
      <c r="H324" s="619" t="s">
        <v>9</v>
      </c>
      <c r="I324" s="619">
        <f t="shared" si="21"/>
        <v>10125.281999999996</v>
      </c>
      <c r="J324" s="619">
        <f t="shared" si="22"/>
        <v>2637.7780000000039</v>
      </c>
      <c r="K324" s="632">
        <f t="shared" si="20"/>
        <v>351.03466859281883</v>
      </c>
      <c r="L324" s="540"/>
      <c r="M324" s="532"/>
      <c r="N324" s="555"/>
      <c r="O324" s="556"/>
      <c r="P324" s="558"/>
      <c r="Q324" s="1003"/>
      <c r="R324" s="1001"/>
      <c r="S324" s="1002"/>
    </row>
    <row r="325" spans="1:19">
      <c r="A325" s="617">
        <f t="shared" si="24"/>
        <v>308</v>
      </c>
      <c r="B325" s="702" t="s">
        <v>98</v>
      </c>
      <c r="C325" s="702"/>
      <c r="D325" s="702"/>
      <c r="E325" s="618">
        <f>'7" 26# Deck Tally'!B308</f>
        <v>92</v>
      </c>
      <c r="F325" s="619">
        <f>'7" 26# Deck Tally'!C308</f>
        <v>33.5</v>
      </c>
      <c r="G325" s="619">
        <f t="shared" si="23"/>
        <v>33.101999999999997</v>
      </c>
      <c r="H325" s="619" t="s">
        <v>9</v>
      </c>
      <c r="I325" s="619">
        <f t="shared" si="21"/>
        <v>10158.383999999996</v>
      </c>
      <c r="J325" s="619">
        <f t="shared" si="22"/>
        <v>2604.6760000000031</v>
      </c>
      <c r="K325" s="632">
        <f t="shared" si="20"/>
        <v>351.76382296103884</v>
      </c>
      <c r="L325" s="540"/>
      <c r="M325" s="532"/>
      <c r="N325" s="555"/>
      <c r="O325" s="556"/>
      <c r="P325" s="558"/>
      <c r="Q325" s="1003"/>
      <c r="R325" s="1001"/>
      <c r="S325" s="1002"/>
    </row>
    <row r="326" spans="1:19">
      <c r="A326" s="617">
        <f t="shared" si="24"/>
        <v>309</v>
      </c>
      <c r="B326" s="702" t="s">
        <v>98</v>
      </c>
      <c r="C326" s="702"/>
      <c r="D326" s="702"/>
      <c r="E326" s="618">
        <f>'7" 26# Deck Tally'!B309</f>
        <v>91</v>
      </c>
      <c r="F326" s="619">
        <f>'7" 26# Deck Tally'!C309</f>
        <v>33.56</v>
      </c>
      <c r="G326" s="619">
        <f t="shared" si="23"/>
        <v>33.161999999999999</v>
      </c>
      <c r="H326" s="619" t="s">
        <v>9</v>
      </c>
      <c r="I326" s="619">
        <f t="shared" si="21"/>
        <v>10191.545999999997</v>
      </c>
      <c r="J326" s="619">
        <f t="shared" si="22"/>
        <v>2571.5140000000029</v>
      </c>
      <c r="K326" s="632">
        <f t="shared" si="20"/>
        <v>352.49429897937353</v>
      </c>
      <c r="L326" s="540"/>
      <c r="M326" s="532"/>
      <c r="N326" s="555"/>
      <c r="O326" s="556"/>
      <c r="P326" s="558"/>
      <c r="Q326" s="1003"/>
      <c r="R326" s="1001"/>
      <c r="S326" s="1002"/>
    </row>
    <row r="327" spans="1:19">
      <c r="A327" s="617">
        <f t="shared" si="24"/>
        <v>310</v>
      </c>
      <c r="B327" s="702" t="s">
        <v>98</v>
      </c>
      <c r="C327" s="702"/>
      <c r="D327" s="702"/>
      <c r="E327" s="618">
        <f>'7" 26# Deck Tally'!B310</f>
        <v>90</v>
      </c>
      <c r="F327" s="619">
        <f>'7" 26# Deck Tally'!C310</f>
        <v>33.39</v>
      </c>
      <c r="G327" s="619">
        <f t="shared" si="23"/>
        <v>32.991999999999997</v>
      </c>
      <c r="H327" s="619" t="s">
        <v>9</v>
      </c>
      <c r="I327" s="619">
        <f t="shared" si="21"/>
        <v>10224.537999999997</v>
      </c>
      <c r="J327" s="619">
        <f t="shared" si="22"/>
        <v>2538.5220000000027</v>
      </c>
      <c r="K327" s="632">
        <f t="shared" si="20"/>
        <v>353.2210303223834</v>
      </c>
      <c r="L327" s="540"/>
      <c r="M327" s="532"/>
      <c r="N327" s="555"/>
      <c r="O327" s="556"/>
      <c r="P327" s="558"/>
      <c r="Q327" s="1003"/>
      <c r="R327" s="1001"/>
      <c r="S327" s="1002"/>
    </row>
    <row r="328" spans="1:19">
      <c r="A328" s="617">
        <f t="shared" si="24"/>
        <v>311</v>
      </c>
      <c r="B328" s="702" t="s">
        <v>98</v>
      </c>
      <c r="C328" s="702"/>
      <c r="D328" s="702"/>
      <c r="E328" s="618">
        <f>'7" 26# Deck Tally'!B311</f>
        <v>89</v>
      </c>
      <c r="F328" s="619">
        <f>'7" 26# Deck Tally'!C311</f>
        <v>33.39</v>
      </c>
      <c r="G328" s="619">
        <f t="shared" si="23"/>
        <v>32.991999999999997</v>
      </c>
      <c r="H328" s="619" t="s">
        <v>9</v>
      </c>
      <c r="I328" s="619">
        <f t="shared" si="21"/>
        <v>10257.529999999997</v>
      </c>
      <c r="J328" s="619">
        <f t="shared" si="22"/>
        <v>2505.5300000000025</v>
      </c>
      <c r="K328" s="632">
        <f t="shared" si="20"/>
        <v>353.94776166539339</v>
      </c>
      <c r="L328" s="540"/>
      <c r="M328" s="532"/>
      <c r="N328" s="555"/>
      <c r="O328" s="556"/>
      <c r="P328" s="558"/>
      <c r="Q328" s="1003"/>
      <c r="R328" s="1001"/>
      <c r="S328" s="1002"/>
    </row>
    <row r="329" spans="1:19">
      <c r="A329" s="617">
        <f t="shared" si="24"/>
        <v>312</v>
      </c>
      <c r="B329" s="702" t="s">
        <v>98</v>
      </c>
      <c r="C329" s="702"/>
      <c r="D329" s="702"/>
      <c r="E329" s="618">
        <f>'7" 26# Deck Tally'!B312</f>
        <v>88</v>
      </c>
      <c r="F329" s="619">
        <f>'7" 26# Deck Tally'!C312</f>
        <v>33.369999999999997</v>
      </c>
      <c r="G329" s="619">
        <f t="shared" si="23"/>
        <v>32.971999999999994</v>
      </c>
      <c r="H329" s="619" t="s">
        <v>9</v>
      </c>
      <c r="I329" s="619">
        <f t="shared" si="21"/>
        <v>10290.501999999997</v>
      </c>
      <c r="J329" s="619">
        <f t="shared" si="22"/>
        <v>2472.5580000000027</v>
      </c>
      <c r="K329" s="632">
        <f t="shared" si="20"/>
        <v>354.67405245836511</v>
      </c>
      <c r="L329" s="540"/>
      <c r="M329" s="532"/>
      <c r="N329" s="555"/>
      <c r="O329" s="556"/>
      <c r="P329" s="558"/>
      <c r="Q329" s="1003"/>
      <c r="R329" s="1001"/>
      <c r="S329" s="1002"/>
    </row>
    <row r="330" spans="1:19">
      <c r="A330" s="617">
        <f t="shared" si="24"/>
        <v>313</v>
      </c>
      <c r="B330" s="702" t="s">
        <v>98</v>
      </c>
      <c r="C330" s="702"/>
      <c r="D330" s="702"/>
      <c r="E330" s="618">
        <f>'7" 26# Deck Tally'!B313</f>
        <v>87</v>
      </c>
      <c r="F330" s="619">
        <f>'7" 26# Deck Tally'!C313</f>
        <v>33.44</v>
      </c>
      <c r="G330" s="619">
        <f t="shared" si="23"/>
        <v>33.041999999999994</v>
      </c>
      <c r="H330" s="619" t="s">
        <v>9</v>
      </c>
      <c r="I330" s="619">
        <f t="shared" si="21"/>
        <v>10323.543999999996</v>
      </c>
      <c r="J330" s="619">
        <f t="shared" si="22"/>
        <v>2439.5160000000033</v>
      </c>
      <c r="K330" s="632">
        <f t="shared" si="20"/>
        <v>355.4018851764705</v>
      </c>
      <c r="L330" s="540"/>
      <c r="M330" s="532"/>
      <c r="N330" s="555"/>
      <c r="O330" s="556"/>
      <c r="P330" s="558"/>
      <c r="Q330" s="1003"/>
      <c r="R330" s="1001"/>
      <c r="S330" s="1002"/>
    </row>
    <row r="331" spans="1:19">
      <c r="A331" s="617">
        <f t="shared" si="24"/>
        <v>314</v>
      </c>
      <c r="B331" s="702" t="s">
        <v>98</v>
      </c>
      <c r="C331" s="702"/>
      <c r="D331" s="702"/>
      <c r="E331" s="618">
        <f>'7" 26# Deck Tally'!B314</f>
        <v>86</v>
      </c>
      <c r="F331" s="619">
        <f>'7" 26# Deck Tally'!C314</f>
        <v>33.450000000000003</v>
      </c>
      <c r="G331" s="619">
        <f t="shared" si="23"/>
        <v>33.052</v>
      </c>
      <c r="H331" s="619" t="s">
        <v>9</v>
      </c>
      <c r="I331" s="619">
        <f t="shared" si="21"/>
        <v>10356.595999999996</v>
      </c>
      <c r="J331" s="619">
        <f t="shared" si="22"/>
        <v>2406.4640000000036</v>
      </c>
      <c r="K331" s="632">
        <f t="shared" si="20"/>
        <v>356.12993816959499</v>
      </c>
      <c r="L331" s="540"/>
      <c r="M331" s="532"/>
      <c r="N331" s="555"/>
      <c r="O331" s="556"/>
      <c r="P331" s="558"/>
      <c r="Q331" s="1003"/>
      <c r="R331" s="1001"/>
      <c r="S331" s="1002"/>
    </row>
    <row r="332" spans="1:19">
      <c r="A332" s="617">
        <f t="shared" si="24"/>
        <v>315</v>
      </c>
      <c r="B332" s="702" t="s">
        <v>98</v>
      </c>
      <c r="C332" s="702"/>
      <c r="D332" s="702"/>
      <c r="E332" s="618">
        <f>'7" 26# Deck Tally'!B315</f>
        <v>85</v>
      </c>
      <c r="F332" s="619">
        <f>'7" 26# Deck Tally'!C315</f>
        <v>33.869999999999997</v>
      </c>
      <c r="G332" s="619">
        <f t="shared" si="23"/>
        <v>33.471999999999994</v>
      </c>
      <c r="H332" s="619" t="s">
        <v>9</v>
      </c>
      <c r="I332" s="619">
        <f t="shared" si="21"/>
        <v>10390.067999999996</v>
      </c>
      <c r="J332" s="619">
        <f t="shared" si="22"/>
        <v>2372.9920000000038</v>
      </c>
      <c r="K332" s="632">
        <f t="shared" ref="K332:K395" si="25">$H$6+(I332*$F$7*$H$8/1000)</f>
        <v>356.8672427135217</v>
      </c>
      <c r="L332" s="540"/>
      <c r="M332" s="532"/>
      <c r="N332" s="555"/>
      <c r="O332" s="556"/>
      <c r="P332" s="558"/>
      <c r="Q332" s="1003"/>
      <c r="R332" s="1001"/>
      <c r="S332" s="1002"/>
    </row>
    <row r="333" spans="1:19">
      <c r="A333" s="617">
        <f t="shared" si="24"/>
        <v>316</v>
      </c>
      <c r="B333" s="702" t="s">
        <v>98</v>
      </c>
      <c r="C333" s="702"/>
      <c r="D333" s="702"/>
      <c r="E333" s="618">
        <f>'7" 26# Deck Tally'!B316</f>
        <v>84</v>
      </c>
      <c r="F333" s="619">
        <f>'7" 26# Deck Tally'!C316</f>
        <v>33.700000000000003</v>
      </c>
      <c r="G333" s="619">
        <f t="shared" si="23"/>
        <v>33.302</v>
      </c>
      <c r="H333" s="619" t="s">
        <v>9</v>
      </c>
      <c r="I333" s="619">
        <f t="shared" ref="I333:I396" si="26">IF(H333="IN",I332+G333,I332)</f>
        <v>10423.369999999995</v>
      </c>
      <c r="J333" s="619">
        <f t="shared" si="22"/>
        <v>2339.6900000000041</v>
      </c>
      <c r="K333" s="632">
        <f t="shared" si="25"/>
        <v>357.60080258212366</v>
      </c>
      <c r="L333" s="540"/>
      <c r="M333" s="532"/>
      <c r="N333" s="555"/>
      <c r="O333" s="556"/>
      <c r="P333" s="558"/>
      <c r="Q333" s="1003"/>
      <c r="R333" s="1001"/>
      <c r="S333" s="1002"/>
    </row>
    <row r="334" spans="1:19">
      <c r="A334" s="617">
        <f t="shared" si="24"/>
        <v>317</v>
      </c>
      <c r="B334" s="702" t="s">
        <v>98</v>
      </c>
      <c r="C334" s="702"/>
      <c r="D334" s="702"/>
      <c r="E334" s="618">
        <f>'7" 26# Deck Tally'!B317</f>
        <v>83</v>
      </c>
      <c r="F334" s="619">
        <f>'7" 26# Deck Tally'!C317</f>
        <v>33.65</v>
      </c>
      <c r="G334" s="619">
        <f t="shared" si="23"/>
        <v>33.251999999999995</v>
      </c>
      <c r="H334" s="619" t="s">
        <v>9</v>
      </c>
      <c r="I334" s="619">
        <f t="shared" si="26"/>
        <v>10456.621999999996</v>
      </c>
      <c r="J334" s="619">
        <f t="shared" si="22"/>
        <v>2306.4380000000037</v>
      </c>
      <c r="K334" s="632">
        <f t="shared" si="25"/>
        <v>358.33326107563016</v>
      </c>
      <c r="L334" s="540"/>
      <c r="M334" s="532"/>
      <c r="N334" s="555"/>
      <c r="O334" s="556"/>
      <c r="P334" s="558"/>
      <c r="Q334" s="1003"/>
      <c r="R334" s="1001"/>
      <c r="S334" s="1002"/>
    </row>
    <row r="335" spans="1:19">
      <c r="A335" s="617">
        <f t="shared" si="24"/>
        <v>318</v>
      </c>
      <c r="B335" s="702" t="s">
        <v>98</v>
      </c>
      <c r="C335" s="702"/>
      <c r="D335" s="702"/>
      <c r="E335" s="618">
        <f>'7" 26# Deck Tally'!B318</f>
        <v>82</v>
      </c>
      <c r="F335" s="619">
        <f>'7" 26# Deck Tally'!C318</f>
        <v>33.43</v>
      </c>
      <c r="G335" s="619">
        <f t="shared" si="23"/>
        <v>33.031999999999996</v>
      </c>
      <c r="H335" s="619" t="s">
        <v>9</v>
      </c>
      <c r="I335" s="619">
        <f t="shared" si="26"/>
        <v>10489.653999999995</v>
      </c>
      <c r="J335" s="619">
        <f t="shared" si="22"/>
        <v>2273.4060000000045</v>
      </c>
      <c r="K335" s="632">
        <f t="shared" si="25"/>
        <v>359.06087351871645</v>
      </c>
      <c r="L335" s="540"/>
      <c r="M335" s="532"/>
      <c r="N335" s="555"/>
      <c r="O335" s="556"/>
      <c r="P335" s="558"/>
      <c r="Q335" s="1003"/>
      <c r="R335" s="1001"/>
      <c r="S335" s="1002"/>
    </row>
    <row r="336" spans="1:19">
      <c r="A336" s="617">
        <f t="shared" si="24"/>
        <v>319</v>
      </c>
      <c r="B336" s="702" t="s">
        <v>98</v>
      </c>
      <c r="C336" s="702"/>
      <c r="D336" s="702"/>
      <c r="E336" s="618">
        <f>'7" 26# Deck Tally'!B319</f>
        <v>81</v>
      </c>
      <c r="F336" s="619">
        <f>'7" 26# Deck Tally'!C319</f>
        <v>33.26</v>
      </c>
      <c r="G336" s="619">
        <f t="shared" si="23"/>
        <v>32.861999999999995</v>
      </c>
      <c r="H336" s="619" t="s">
        <v>9</v>
      </c>
      <c r="I336" s="619">
        <f t="shared" si="26"/>
        <v>10522.515999999994</v>
      </c>
      <c r="J336" s="619">
        <f t="shared" ref="J336:J399" si="27">IF(I336="","",$L$6-I336)</f>
        <v>2240.5440000000053</v>
      </c>
      <c r="K336" s="632">
        <f t="shared" si="25"/>
        <v>359.78474128647809</v>
      </c>
      <c r="L336" s="540"/>
      <c r="M336" s="532"/>
      <c r="N336" s="555"/>
      <c r="O336" s="556"/>
      <c r="P336" s="558"/>
      <c r="Q336" s="1003"/>
      <c r="R336" s="1001"/>
      <c r="S336" s="1002"/>
    </row>
    <row r="337" spans="1:19">
      <c r="A337" s="617">
        <f t="shared" si="24"/>
        <v>320</v>
      </c>
      <c r="B337" s="702" t="s">
        <v>98</v>
      </c>
      <c r="C337" s="702"/>
      <c r="D337" s="702"/>
      <c r="E337" s="618">
        <f>'7" 26# Deck Tally'!B320</f>
        <v>80</v>
      </c>
      <c r="F337" s="619">
        <f>'7" 26# Deck Tally'!C320</f>
        <v>33.19</v>
      </c>
      <c r="G337" s="619">
        <f t="shared" si="23"/>
        <v>32.791999999999994</v>
      </c>
      <c r="H337" s="619" t="s">
        <v>9</v>
      </c>
      <c r="I337" s="619">
        <f t="shared" si="26"/>
        <v>10555.307999999994</v>
      </c>
      <c r="J337" s="619">
        <f t="shared" si="27"/>
        <v>2207.7520000000059</v>
      </c>
      <c r="K337" s="632">
        <f t="shared" si="25"/>
        <v>360.50706712910608</v>
      </c>
      <c r="L337" s="540"/>
      <c r="M337" s="532"/>
      <c r="N337" s="555"/>
      <c r="O337" s="556"/>
      <c r="P337" s="558"/>
      <c r="Q337" s="1003"/>
      <c r="R337" s="1001"/>
      <c r="S337" s="1002"/>
    </row>
    <row r="338" spans="1:19">
      <c r="A338" s="617">
        <f t="shared" si="24"/>
        <v>321</v>
      </c>
      <c r="B338" s="702" t="s">
        <v>98</v>
      </c>
      <c r="C338" s="702"/>
      <c r="D338" s="702"/>
      <c r="E338" s="618">
        <f>'7" 26# Deck Tally'!B321</f>
        <v>79</v>
      </c>
      <c r="F338" s="619">
        <f>'7" 26# Deck Tally'!C321</f>
        <v>33.380000000000003</v>
      </c>
      <c r="G338" s="619">
        <f t="shared" si="23"/>
        <v>32.981999999999999</v>
      </c>
      <c r="H338" s="619" t="s">
        <v>9</v>
      </c>
      <c r="I338" s="619">
        <f t="shared" si="26"/>
        <v>10588.289999999994</v>
      </c>
      <c r="J338" s="619">
        <f t="shared" si="27"/>
        <v>2174.7700000000059</v>
      </c>
      <c r="K338" s="632">
        <f t="shared" si="25"/>
        <v>361.23357819709685</v>
      </c>
      <c r="L338" s="540"/>
      <c r="M338" s="532"/>
      <c r="N338" s="555"/>
      <c r="O338" s="556"/>
      <c r="P338" s="558"/>
      <c r="Q338" s="1003"/>
      <c r="R338" s="1001"/>
      <c r="S338" s="1002"/>
    </row>
    <row r="339" spans="1:19">
      <c r="A339" s="617">
        <f t="shared" si="24"/>
        <v>322</v>
      </c>
      <c r="B339" s="702" t="s">
        <v>98</v>
      </c>
      <c r="C339" s="702"/>
      <c r="D339" s="702"/>
      <c r="E339" s="618">
        <f>'7" 26# Deck Tally'!B322</f>
        <v>78</v>
      </c>
      <c r="F339" s="619">
        <f>'7" 26# Deck Tally'!C322</f>
        <v>33.64</v>
      </c>
      <c r="G339" s="619">
        <f t="shared" si="23"/>
        <v>33.241999999999997</v>
      </c>
      <c r="H339" s="619" t="s">
        <v>9</v>
      </c>
      <c r="I339" s="619">
        <f t="shared" si="26"/>
        <v>10621.531999999994</v>
      </c>
      <c r="J339" s="619">
        <f t="shared" si="27"/>
        <v>2141.5280000000057</v>
      </c>
      <c r="K339" s="632">
        <f t="shared" si="25"/>
        <v>361.9658164155843</v>
      </c>
      <c r="L339" s="540"/>
      <c r="M339" s="532"/>
      <c r="N339" s="555"/>
      <c r="O339" s="556"/>
      <c r="P339" s="558"/>
      <c r="Q339" s="1003"/>
      <c r="R339" s="1001"/>
      <c r="S339" s="1002"/>
    </row>
    <row r="340" spans="1:19">
      <c r="A340" s="617">
        <f t="shared" si="24"/>
        <v>323</v>
      </c>
      <c r="B340" s="702" t="s">
        <v>98</v>
      </c>
      <c r="C340" s="702"/>
      <c r="D340" s="702"/>
      <c r="E340" s="618">
        <f>'7" 26# Deck Tally'!B323</f>
        <v>77</v>
      </c>
      <c r="F340" s="619">
        <f>'7" 26# Deck Tally'!C323</f>
        <v>33.78</v>
      </c>
      <c r="G340" s="619">
        <f t="shared" si="23"/>
        <v>33.381999999999998</v>
      </c>
      <c r="H340" s="619" t="s">
        <v>9</v>
      </c>
      <c r="I340" s="619">
        <f t="shared" si="26"/>
        <v>10654.913999999993</v>
      </c>
      <c r="J340" s="619">
        <f t="shared" si="27"/>
        <v>2108.1460000000061</v>
      </c>
      <c r="K340" s="631">
        <f t="shared" si="25"/>
        <v>362.70113848433903</v>
      </c>
      <c r="L340" s="540"/>
      <c r="M340" s="532"/>
      <c r="N340" s="555"/>
      <c r="O340" s="556"/>
      <c r="P340" s="558"/>
      <c r="Q340" s="1003"/>
      <c r="R340" s="1001"/>
      <c r="S340" s="1002"/>
    </row>
    <row r="341" spans="1:19">
      <c r="A341" s="617">
        <f t="shared" si="24"/>
        <v>324</v>
      </c>
      <c r="B341" s="702" t="s">
        <v>98</v>
      </c>
      <c r="C341" s="702"/>
      <c r="D341" s="702"/>
      <c r="E341" s="618">
        <f>'7" 26# Deck Tally'!B324</f>
        <v>76</v>
      </c>
      <c r="F341" s="619">
        <f>'7" 26# Deck Tally'!C324</f>
        <v>33.479999999999997</v>
      </c>
      <c r="G341" s="619">
        <f t="shared" ref="G341:G424" si="28">F341-($F$9)</f>
        <v>33.081999999999994</v>
      </c>
      <c r="H341" s="619" t="s">
        <v>9</v>
      </c>
      <c r="I341" s="619">
        <f t="shared" si="26"/>
        <v>10687.995999999994</v>
      </c>
      <c r="J341" s="619">
        <f t="shared" si="27"/>
        <v>2075.0640000000058</v>
      </c>
      <c r="K341" s="632">
        <f t="shared" si="25"/>
        <v>363.42985230252089</v>
      </c>
      <c r="L341" s="540"/>
      <c r="M341" s="532"/>
      <c r="N341" s="555"/>
      <c r="O341" s="556"/>
      <c r="P341" s="558"/>
      <c r="Q341" s="1003"/>
      <c r="R341" s="1001"/>
      <c r="S341" s="1002"/>
    </row>
    <row r="342" spans="1:19">
      <c r="A342" s="617">
        <f t="shared" si="24"/>
        <v>325</v>
      </c>
      <c r="B342" s="702" t="s">
        <v>98</v>
      </c>
      <c r="C342" s="702"/>
      <c r="D342" s="702"/>
      <c r="E342" s="618">
        <f>'7" 26# Deck Tally'!B325</f>
        <v>75</v>
      </c>
      <c r="F342" s="619">
        <f>'7" 26# Deck Tally'!C325</f>
        <v>33.4</v>
      </c>
      <c r="G342" s="619">
        <f t="shared" si="28"/>
        <v>33.001999999999995</v>
      </c>
      <c r="H342" s="619" t="s">
        <v>9</v>
      </c>
      <c r="I342" s="619">
        <f t="shared" si="26"/>
        <v>10720.997999999994</v>
      </c>
      <c r="J342" s="619">
        <f t="shared" si="27"/>
        <v>2042.0620000000054</v>
      </c>
      <c r="K342" s="632">
        <f t="shared" si="25"/>
        <v>364.15680392054992</v>
      </c>
      <c r="L342" s="540"/>
      <c r="M342" s="532"/>
      <c r="N342" s="555"/>
      <c r="O342" s="556"/>
      <c r="P342" s="558"/>
      <c r="Q342" s="1003"/>
      <c r="R342" s="1001"/>
      <c r="S342" s="1002"/>
    </row>
    <row r="343" spans="1:19">
      <c r="A343" s="617">
        <f t="shared" ref="A343:A406" si="29">A342+1</f>
        <v>326</v>
      </c>
      <c r="B343" s="702" t="s">
        <v>98</v>
      </c>
      <c r="C343" s="702"/>
      <c r="D343" s="702"/>
      <c r="E343" s="618">
        <f>'7" 26# Deck Tally'!B326</f>
        <v>74</v>
      </c>
      <c r="F343" s="619">
        <f>'7" 26# Deck Tally'!C326</f>
        <v>33.380000000000003</v>
      </c>
      <c r="G343" s="619">
        <f t="shared" si="28"/>
        <v>32.981999999999999</v>
      </c>
      <c r="H343" s="619" t="s">
        <v>9</v>
      </c>
      <c r="I343" s="619">
        <f t="shared" si="26"/>
        <v>10753.979999999994</v>
      </c>
      <c r="J343" s="619">
        <f t="shared" si="27"/>
        <v>2009.0800000000054</v>
      </c>
      <c r="K343" s="632">
        <f t="shared" si="25"/>
        <v>364.88331498854075</v>
      </c>
      <c r="L343" s="540"/>
      <c r="M343" s="352"/>
      <c r="N343" s="555"/>
      <c r="O343" s="556"/>
      <c r="P343" s="558"/>
      <c r="Q343" s="1003"/>
      <c r="R343" s="1001"/>
      <c r="S343" s="1002"/>
    </row>
    <row r="344" spans="1:19">
      <c r="A344" s="617">
        <f t="shared" si="29"/>
        <v>327</v>
      </c>
      <c r="B344" s="702" t="s">
        <v>98</v>
      </c>
      <c r="C344" s="702"/>
      <c r="D344" s="702"/>
      <c r="E344" s="618">
        <f>'7" 26# Deck Tally'!B327</f>
        <v>73</v>
      </c>
      <c r="F344" s="619">
        <f>'7" 26# Deck Tally'!C327</f>
        <v>33.549999999999997</v>
      </c>
      <c r="G344" s="619">
        <f t="shared" si="28"/>
        <v>33.151999999999994</v>
      </c>
      <c r="H344" s="619" t="s">
        <v>9</v>
      </c>
      <c r="I344" s="619">
        <f t="shared" si="26"/>
        <v>10787.131999999994</v>
      </c>
      <c r="J344" s="619">
        <f t="shared" si="27"/>
        <v>1975.9280000000053</v>
      </c>
      <c r="K344" s="632">
        <f t="shared" si="25"/>
        <v>365.61357073185627</v>
      </c>
      <c r="L344" s="540"/>
      <c r="M344" s="532"/>
      <c r="N344" s="555"/>
      <c r="O344" s="556"/>
      <c r="P344" s="558"/>
      <c r="Q344" s="1003"/>
      <c r="R344" s="1001"/>
      <c r="S344" s="1002"/>
    </row>
    <row r="345" spans="1:19">
      <c r="A345" s="617">
        <f t="shared" si="29"/>
        <v>328</v>
      </c>
      <c r="B345" s="702" t="s">
        <v>98</v>
      </c>
      <c r="C345" s="702"/>
      <c r="D345" s="702"/>
      <c r="E345" s="618">
        <f>'7" 26# Deck Tally'!B328</f>
        <v>72</v>
      </c>
      <c r="F345" s="619">
        <f>'7" 26# Deck Tally'!C328</f>
        <v>32.99</v>
      </c>
      <c r="G345" s="619">
        <f t="shared" si="28"/>
        <v>32.591999999999999</v>
      </c>
      <c r="H345" s="619" t="s">
        <v>9</v>
      </c>
      <c r="I345" s="619">
        <f t="shared" si="26"/>
        <v>10819.723999999995</v>
      </c>
      <c r="J345" s="619">
        <f t="shared" si="27"/>
        <v>1943.3360000000048</v>
      </c>
      <c r="K345" s="631">
        <f t="shared" si="25"/>
        <v>366.33149107410225</v>
      </c>
      <c r="L345" s="540"/>
      <c r="M345" s="532"/>
      <c r="N345" s="555"/>
      <c r="O345" s="556"/>
      <c r="P345" s="558"/>
      <c r="Q345" s="1003"/>
      <c r="R345" s="1001"/>
      <c r="S345" s="1002"/>
    </row>
    <row r="346" spans="1:19">
      <c r="A346" s="617">
        <f t="shared" si="29"/>
        <v>329</v>
      </c>
      <c r="B346" s="702" t="s">
        <v>98</v>
      </c>
      <c r="C346" s="702"/>
      <c r="D346" s="702"/>
      <c r="E346" s="618">
        <f>'7" 26# Deck Tally'!B329</f>
        <v>71</v>
      </c>
      <c r="F346" s="619">
        <f>'7" 26# Deck Tally'!C329</f>
        <v>33.54</v>
      </c>
      <c r="G346" s="619">
        <f t="shared" si="28"/>
        <v>33.141999999999996</v>
      </c>
      <c r="H346" s="619" t="s">
        <v>9</v>
      </c>
      <c r="I346" s="619">
        <f t="shared" si="26"/>
        <v>10852.865999999995</v>
      </c>
      <c r="J346" s="619">
        <f t="shared" si="27"/>
        <v>1910.194000000005</v>
      </c>
      <c r="K346" s="632">
        <f t="shared" si="25"/>
        <v>367.06152654239861</v>
      </c>
      <c r="L346" s="540"/>
      <c r="M346" s="532"/>
      <c r="N346" s="555"/>
      <c r="O346" s="556"/>
      <c r="P346" s="558"/>
      <c r="Q346" s="1003"/>
      <c r="R346" s="1001"/>
      <c r="S346" s="1002"/>
    </row>
    <row r="347" spans="1:19">
      <c r="A347" s="617">
        <f t="shared" si="29"/>
        <v>330</v>
      </c>
      <c r="B347" s="702" t="s">
        <v>98</v>
      </c>
      <c r="C347" s="702"/>
      <c r="D347" s="702"/>
      <c r="E347" s="618">
        <f>'7" 26# Deck Tally'!B330</f>
        <v>70</v>
      </c>
      <c r="F347" s="619">
        <f>'7" 26# Deck Tally'!C330</f>
        <v>33.4</v>
      </c>
      <c r="G347" s="619">
        <f t="shared" si="28"/>
        <v>33.001999999999995</v>
      </c>
      <c r="H347" s="619" t="s">
        <v>9</v>
      </c>
      <c r="I347" s="619">
        <f t="shared" si="26"/>
        <v>10885.867999999995</v>
      </c>
      <c r="J347" s="619">
        <f t="shared" si="27"/>
        <v>1877.1920000000046</v>
      </c>
      <c r="K347" s="632">
        <f t="shared" si="25"/>
        <v>367.78847816042764</v>
      </c>
      <c r="L347" s="540"/>
      <c r="M347" s="532"/>
      <c r="N347" s="555"/>
      <c r="O347" s="556"/>
      <c r="P347" s="558"/>
      <c r="Q347" s="1003"/>
      <c r="R347" s="1001"/>
      <c r="S347" s="1002"/>
    </row>
    <row r="348" spans="1:19">
      <c r="A348" s="617">
        <f t="shared" si="29"/>
        <v>331</v>
      </c>
      <c r="B348" s="702" t="s">
        <v>98</v>
      </c>
      <c r="C348" s="702"/>
      <c r="D348" s="702"/>
      <c r="E348" s="618">
        <f>'7" 26# Deck Tally'!B331</f>
        <v>69</v>
      </c>
      <c r="F348" s="619">
        <f>'7" 26# Deck Tally'!C331</f>
        <v>33.950000000000003</v>
      </c>
      <c r="G348" s="619">
        <f t="shared" si="28"/>
        <v>33.552</v>
      </c>
      <c r="H348" s="619" t="s">
        <v>9</v>
      </c>
      <c r="I348" s="619">
        <f t="shared" si="26"/>
        <v>10919.419999999995</v>
      </c>
      <c r="J348" s="619">
        <f t="shared" si="27"/>
        <v>1843.6400000000049</v>
      </c>
      <c r="K348" s="632">
        <f t="shared" si="25"/>
        <v>368.52754490450718</v>
      </c>
      <c r="L348" s="540"/>
      <c r="M348" s="532"/>
      <c r="N348" s="555"/>
      <c r="O348" s="556"/>
      <c r="P348" s="558"/>
      <c r="Q348" s="1003"/>
      <c r="R348" s="1001"/>
      <c r="S348" s="1002"/>
    </row>
    <row r="349" spans="1:19">
      <c r="A349" s="617">
        <f t="shared" si="29"/>
        <v>332</v>
      </c>
      <c r="B349" s="702" t="s">
        <v>98</v>
      </c>
      <c r="C349" s="702"/>
      <c r="D349" s="702"/>
      <c r="E349" s="618">
        <f>'7" 26# Deck Tally'!B332</f>
        <v>68</v>
      </c>
      <c r="F349" s="619">
        <f>'7" 26# Deck Tally'!C332</f>
        <v>33.65</v>
      </c>
      <c r="G349" s="619">
        <f t="shared" si="28"/>
        <v>33.251999999999995</v>
      </c>
      <c r="H349" s="619" t="s">
        <v>9</v>
      </c>
      <c r="I349" s="619">
        <f t="shared" si="26"/>
        <v>10952.671999999995</v>
      </c>
      <c r="J349" s="619">
        <f t="shared" si="27"/>
        <v>1810.3880000000045</v>
      </c>
      <c r="K349" s="632">
        <f t="shared" si="25"/>
        <v>369.26000339801362</v>
      </c>
      <c r="L349" s="454"/>
      <c r="M349" s="455"/>
      <c r="N349" s="555"/>
      <c r="O349" s="556"/>
      <c r="P349" s="558"/>
      <c r="Q349" s="1003"/>
      <c r="R349" s="1001"/>
      <c r="S349" s="1002"/>
    </row>
    <row r="350" spans="1:19">
      <c r="A350" s="617">
        <f t="shared" si="29"/>
        <v>333</v>
      </c>
      <c r="B350" s="702" t="s">
        <v>98</v>
      </c>
      <c r="C350" s="702"/>
      <c r="D350" s="702"/>
      <c r="E350" s="618">
        <f>'7" 26# Deck Tally'!B333</f>
        <v>67</v>
      </c>
      <c r="F350" s="619">
        <f>'7" 26# Deck Tally'!C333</f>
        <v>33.76</v>
      </c>
      <c r="G350" s="619">
        <f t="shared" si="28"/>
        <v>33.361999999999995</v>
      </c>
      <c r="H350" s="619" t="s">
        <v>9</v>
      </c>
      <c r="I350" s="619">
        <f t="shared" si="26"/>
        <v>10986.033999999994</v>
      </c>
      <c r="J350" s="619">
        <f t="shared" si="27"/>
        <v>1777.0260000000053</v>
      </c>
      <c r="K350" s="631">
        <f t="shared" si="25"/>
        <v>369.9948849167302</v>
      </c>
      <c r="L350" s="454"/>
      <c r="M350" s="455"/>
      <c r="N350" s="555"/>
      <c r="O350" s="556"/>
      <c r="P350" s="558"/>
      <c r="Q350" s="1003"/>
      <c r="R350" s="1001"/>
      <c r="S350" s="1002"/>
    </row>
    <row r="351" spans="1:19">
      <c r="A351" s="617">
        <f t="shared" si="29"/>
        <v>334</v>
      </c>
      <c r="B351" s="702" t="s">
        <v>98</v>
      </c>
      <c r="C351" s="702"/>
      <c r="D351" s="702"/>
      <c r="E351" s="618">
        <f>'7" 26# Deck Tally'!B334</f>
        <v>66</v>
      </c>
      <c r="F351" s="619">
        <f>'7" 26# Deck Tally'!C334</f>
        <v>33.29</v>
      </c>
      <c r="G351" s="619">
        <f t="shared" si="28"/>
        <v>32.891999999999996</v>
      </c>
      <c r="H351" s="619" t="s">
        <v>9</v>
      </c>
      <c r="I351" s="619">
        <f t="shared" si="26"/>
        <v>11018.925999999994</v>
      </c>
      <c r="J351" s="619">
        <f t="shared" si="27"/>
        <v>1744.1340000000055</v>
      </c>
      <c r="K351" s="632">
        <f t="shared" si="25"/>
        <v>370.7194135095491</v>
      </c>
      <c r="L351" s="282"/>
      <c r="M351" s="220"/>
      <c r="N351" s="555"/>
      <c r="O351" s="556"/>
      <c r="P351" s="558"/>
      <c r="Q351" s="1003"/>
      <c r="R351" s="1001"/>
      <c r="S351" s="1002"/>
    </row>
    <row r="352" spans="1:19">
      <c r="A352" s="617">
        <f t="shared" si="29"/>
        <v>335</v>
      </c>
      <c r="B352" s="702" t="s">
        <v>98</v>
      </c>
      <c r="C352" s="702"/>
      <c r="D352" s="702"/>
      <c r="E352" s="618">
        <f>'7" 26# Deck Tally'!B335</f>
        <v>65</v>
      </c>
      <c r="F352" s="619">
        <f>'7" 26# Deck Tally'!C335</f>
        <v>33.72</v>
      </c>
      <c r="G352" s="619">
        <f t="shared" si="28"/>
        <v>33.321999999999996</v>
      </c>
      <c r="H352" s="619" t="s">
        <v>9</v>
      </c>
      <c r="I352" s="619">
        <f t="shared" si="26"/>
        <v>11052.247999999994</v>
      </c>
      <c r="J352" s="619">
        <f t="shared" si="27"/>
        <v>1710.8120000000054</v>
      </c>
      <c r="K352" s="632">
        <f t="shared" si="25"/>
        <v>371.45341392818932</v>
      </c>
      <c r="L352" s="282"/>
      <c r="M352" s="220"/>
      <c r="N352" s="555"/>
      <c r="O352" s="556"/>
      <c r="P352" s="558"/>
      <c r="Q352" s="1003"/>
      <c r="R352" s="1001"/>
      <c r="S352" s="1002"/>
    </row>
    <row r="353" spans="1:19" ht="13">
      <c r="A353" s="617">
        <f t="shared" si="29"/>
        <v>336</v>
      </c>
      <c r="B353" s="702" t="s">
        <v>98</v>
      </c>
      <c r="C353" s="702"/>
      <c r="D353" s="702"/>
      <c r="E353" s="618">
        <f>'7" 26# Deck Tally'!B336</f>
        <v>64</v>
      </c>
      <c r="F353" s="619">
        <f>'7" 26# Deck Tally'!C336</f>
        <v>33.67</v>
      </c>
      <c r="G353" s="619">
        <f t="shared" si="28"/>
        <v>33.271999999999998</v>
      </c>
      <c r="H353" s="619" t="s">
        <v>9</v>
      </c>
      <c r="I353" s="619">
        <f t="shared" si="26"/>
        <v>11085.519999999995</v>
      </c>
      <c r="J353" s="619">
        <f t="shared" si="27"/>
        <v>1677.5400000000045</v>
      </c>
      <c r="K353" s="632">
        <f t="shared" si="25"/>
        <v>372.18631297173397</v>
      </c>
      <c r="L353" s="706"/>
      <c r="M353" s="707"/>
      <c r="N353" s="555"/>
      <c r="O353" s="556"/>
      <c r="P353" s="558"/>
      <c r="Q353" s="1003"/>
      <c r="R353" s="1001"/>
      <c r="S353" s="1002"/>
    </row>
    <row r="354" spans="1:19" ht="13">
      <c r="A354" s="617">
        <f t="shared" si="29"/>
        <v>337</v>
      </c>
      <c r="B354" s="702" t="s">
        <v>98</v>
      </c>
      <c r="C354" s="702"/>
      <c r="D354" s="702"/>
      <c r="E354" s="618">
        <f>'7" 26# Deck Tally'!B337</f>
        <v>63</v>
      </c>
      <c r="F354" s="619">
        <f>'7" 26# Deck Tally'!C337</f>
        <v>33.4</v>
      </c>
      <c r="G354" s="619">
        <f t="shared" si="28"/>
        <v>33.001999999999995</v>
      </c>
      <c r="H354" s="619" t="s">
        <v>9</v>
      </c>
      <c r="I354" s="619">
        <f t="shared" si="26"/>
        <v>11118.521999999995</v>
      </c>
      <c r="J354" s="619">
        <f t="shared" si="27"/>
        <v>1644.5380000000041</v>
      </c>
      <c r="K354" s="632">
        <f t="shared" si="25"/>
        <v>372.91326458976306</v>
      </c>
      <c r="L354" s="706"/>
      <c r="M354" s="707"/>
      <c r="N354" s="555"/>
      <c r="O354" s="556"/>
      <c r="P354" s="558"/>
      <c r="Q354" s="1003"/>
      <c r="R354" s="1001"/>
      <c r="S354" s="1002"/>
    </row>
    <row r="355" spans="1:19" ht="14">
      <c r="A355" s="617">
        <f t="shared" si="29"/>
        <v>338</v>
      </c>
      <c r="B355" s="702" t="s">
        <v>98</v>
      </c>
      <c r="C355" s="702"/>
      <c r="D355" s="702"/>
      <c r="E355" s="618">
        <f>'7" 26# Deck Tally'!B338</f>
        <v>62</v>
      </c>
      <c r="F355" s="619">
        <f>'7" 26# Deck Tally'!C338</f>
        <v>33.590000000000003</v>
      </c>
      <c r="G355" s="619">
        <f t="shared" si="28"/>
        <v>33.192</v>
      </c>
      <c r="H355" s="619" t="s">
        <v>9</v>
      </c>
      <c r="I355" s="619">
        <f t="shared" si="26"/>
        <v>11151.713999999994</v>
      </c>
      <c r="J355" s="619">
        <f t="shared" si="27"/>
        <v>1611.346000000005</v>
      </c>
      <c r="K355" s="631">
        <f t="shared" si="25"/>
        <v>373.64440143315494</v>
      </c>
      <c r="L355" s="704"/>
      <c r="M355" s="705"/>
      <c r="N355" s="555"/>
      <c r="O355" s="556"/>
      <c r="P355" s="558"/>
      <c r="Q355" s="1003"/>
      <c r="R355" s="1001"/>
      <c r="S355" s="1002"/>
    </row>
    <row r="356" spans="1:19" ht="14">
      <c r="A356" s="617">
        <f t="shared" si="29"/>
        <v>339</v>
      </c>
      <c r="B356" s="702" t="s">
        <v>98</v>
      </c>
      <c r="C356" s="702"/>
      <c r="D356" s="702"/>
      <c r="E356" s="618">
        <f>'7" 26# Deck Tally'!B339</f>
        <v>61</v>
      </c>
      <c r="F356" s="619">
        <f>'7" 26# Deck Tally'!C339</f>
        <v>33.409999999999997</v>
      </c>
      <c r="G356" s="619">
        <f t="shared" si="28"/>
        <v>33.011999999999993</v>
      </c>
      <c r="H356" s="619" t="s">
        <v>9</v>
      </c>
      <c r="I356" s="619">
        <f t="shared" si="26"/>
        <v>11184.725999999995</v>
      </c>
      <c r="J356" s="619">
        <f t="shared" si="27"/>
        <v>1578.3340000000044</v>
      </c>
      <c r="K356" s="632">
        <f t="shared" si="25"/>
        <v>374.37157332620313</v>
      </c>
      <c r="L356" s="704"/>
      <c r="M356" s="705"/>
      <c r="N356" s="555"/>
      <c r="O356" s="556"/>
      <c r="P356" s="558"/>
      <c r="Q356" s="1003"/>
      <c r="R356" s="1001"/>
      <c r="S356" s="1002"/>
    </row>
    <row r="357" spans="1:19">
      <c r="A357" s="617">
        <f t="shared" si="29"/>
        <v>340</v>
      </c>
      <c r="B357" s="702" t="s">
        <v>98</v>
      </c>
      <c r="C357" s="702"/>
      <c r="D357" s="702"/>
      <c r="E357" s="618">
        <f>'7" 26# Deck Tally'!B340</f>
        <v>60</v>
      </c>
      <c r="F357" s="619">
        <f>'7" 26# Deck Tally'!C340</f>
        <v>33.6</v>
      </c>
      <c r="G357" s="619">
        <f t="shared" si="28"/>
        <v>33.201999999999998</v>
      </c>
      <c r="H357" s="619" t="s">
        <v>9</v>
      </c>
      <c r="I357" s="619">
        <f t="shared" si="26"/>
        <v>11217.927999999994</v>
      </c>
      <c r="J357" s="619">
        <f t="shared" si="27"/>
        <v>1545.1320000000051</v>
      </c>
      <c r="K357" s="632">
        <f t="shared" si="25"/>
        <v>375.10293044461412</v>
      </c>
      <c r="L357" s="540"/>
      <c r="M357" s="532"/>
      <c r="N357" s="555"/>
      <c r="O357" s="556"/>
      <c r="P357" s="558"/>
      <c r="Q357" s="1003"/>
      <c r="R357" s="1001"/>
      <c r="S357" s="1002"/>
    </row>
    <row r="358" spans="1:19">
      <c r="A358" s="617">
        <f t="shared" si="29"/>
        <v>341</v>
      </c>
      <c r="B358" s="702" t="s">
        <v>98</v>
      </c>
      <c r="C358" s="702"/>
      <c r="D358" s="702"/>
      <c r="E358" s="618">
        <f>'7" 26# Deck Tally'!B341</f>
        <v>59</v>
      </c>
      <c r="F358" s="619">
        <f>'7" 26# Deck Tally'!C341</f>
        <v>33.840000000000003</v>
      </c>
      <c r="G358" s="619">
        <f t="shared" si="28"/>
        <v>33.442</v>
      </c>
      <c r="H358" s="619" t="s">
        <v>9</v>
      </c>
      <c r="I358" s="619">
        <f t="shared" si="26"/>
        <v>11251.369999999994</v>
      </c>
      <c r="J358" s="619">
        <f t="shared" si="27"/>
        <v>1511.690000000006</v>
      </c>
      <c r="K358" s="632">
        <f t="shared" si="25"/>
        <v>375.83957416348346</v>
      </c>
      <c r="L358" s="540"/>
      <c r="M358" s="532"/>
      <c r="N358" s="555"/>
      <c r="O358" s="556"/>
      <c r="P358" s="558"/>
      <c r="Q358" s="1003"/>
      <c r="R358" s="1001"/>
      <c r="S358" s="1002"/>
    </row>
    <row r="359" spans="1:19">
      <c r="A359" s="617">
        <f t="shared" si="29"/>
        <v>342</v>
      </c>
      <c r="B359" s="702" t="s">
        <v>98</v>
      </c>
      <c r="C359" s="702"/>
      <c r="D359" s="702"/>
      <c r="E359" s="618">
        <f>'7" 26# Deck Tally'!B342</f>
        <v>58</v>
      </c>
      <c r="F359" s="619">
        <f>'7" 26# Deck Tally'!C342</f>
        <v>33.409999999999997</v>
      </c>
      <c r="G359" s="619">
        <f t="shared" si="28"/>
        <v>33.011999999999993</v>
      </c>
      <c r="H359" s="619" t="s">
        <v>9</v>
      </c>
      <c r="I359" s="619">
        <f t="shared" si="26"/>
        <v>11284.381999999994</v>
      </c>
      <c r="J359" s="619">
        <f t="shared" si="27"/>
        <v>1478.6780000000053</v>
      </c>
      <c r="K359" s="632">
        <f t="shared" si="25"/>
        <v>376.5667460565316</v>
      </c>
      <c r="L359" s="540"/>
      <c r="M359" s="532"/>
      <c r="N359" s="555"/>
      <c r="O359" s="556"/>
      <c r="P359" s="558"/>
      <c r="Q359" s="1003"/>
      <c r="R359" s="1001"/>
      <c r="S359" s="1002"/>
    </row>
    <row r="360" spans="1:19">
      <c r="A360" s="617">
        <f t="shared" si="29"/>
        <v>343</v>
      </c>
      <c r="B360" s="702" t="s">
        <v>98</v>
      </c>
      <c r="C360" s="702"/>
      <c r="D360" s="702"/>
      <c r="E360" s="618">
        <f>'7" 26# Deck Tally'!B343</f>
        <v>57</v>
      </c>
      <c r="F360" s="619">
        <f>'7" 26# Deck Tally'!C343</f>
        <v>33.64</v>
      </c>
      <c r="G360" s="619">
        <f t="shared" si="28"/>
        <v>33.241999999999997</v>
      </c>
      <c r="H360" s="619" t="s">
        <v>9</v>
      </c>
      <c r="I360" s="619">
        <f t="shared" si="26"/>
        <v>11317.623999999994</v>
      </c>
      <c r="J360" s="619">
        <f t="shared" si="27"/>
        <v>1445.4360000000052</v>
      </c>
      <c r="K360" s="631">
        <f t="shared" si="25"/>
        <v>377.298984275019</v>
      </c>
      <c r="L360" s="540"/>
      <c r="M360" s="532"/>
      <c r="N360" s="555"/>
      <c r="O360" s="556"/>
      <c r="P360" s="558"/>
      <c r="Q360" s="1003"/>
      <c r="R360" s="1001"/>
      <c r="S360" s="1002"/>
    </row>
    <row r="361" spans="1:19">
      <c r="A361" s="617">
        <f t="shared" si="29"/>
        <v>344</v>
      </c>
      <c r="B361" s="702" t="s">
        <v>98</v>
      </c>
      <c r="C361" s="702"/>
      <c r="D361" s="702"/>
      <c r="E361" s="618">
        <f>'7" 26# Deck Tally'!B344</f>
        <v>56</v>
      </c>
      <c r="F361" s="619">
        <f>'7" 26# Deck Tally'!C344</f>
        <v>33.520000000000003</v>
      </c>
      <c r="G361" s="619">
        <f t="shared" si="28"/>
        <v>33.122</v>
      </c>
      <c r="H361" s="619" t="s">
        <v>9</v>
      </c>
      <c r="I361" s="619">
        <f t="shared" si="26"/>
        <v>11350.745999999994</v>
      </c>
      <c r="J361" s="619">
        <f t="shared" si="27"/>
        <v>1412.3140000000058</v>
      </c>
      <c r="K361" s="632">
        <f t="shared" si="25"/>
        <v>378.02857919327721</v>
      </c>
      <c r="L361" s="540"/>
      <c r="M361" s="532"/>
      <c r="N361" s="555"/>
      <c r="O361" s="556"/>
      <c r="P361" s="558"/>
      <c r="Q361" s="1003"/>
      <c r="R361" s="1001"/>
      <c r="S361" s="1002"/>
    </row>
    <row r="362" spans="1:19">
      <c r="A362" s="617">
        <f t="shared" si="29"/>
        <v>345</v>
      </c>
      <c r="B362" s="702" t="s">
        <v>98</v>
      </c>
      <c r="C362" s="702"/>
      <c r="D362" s="702"/>
      <c r="E362" s="618">
        <f>'7" 26# Deck Tally'!B345</f>
        <v>55</v>
      </c>
      <c r="F362" s="619">
        <f>'7" 26# Deck Tally'!C345</f>
        <v>33.86</v>
      </c>
      <c r="G362" s="619">
        <f t="shared" si="28"/>
        <v>33.461999999999996</v>
      </c>
      <c r="H362" s="619" t="s">
        <v>9</v>
      </c>
      <c r="I362" s="619">
        <f t="shared" si="26"/>
        <v>11384.207999999993</v>
      </c>
      <c r="J362" s="619">
        <f t="shared" si="27"/>
        <v>1378.8520000000062</v>
      </c>
      <c r="K362" s="632">
        <f t="shared" si="25"/>
        <v>378.7656634621847</v>
      </c>
      <c r="L362" s="540"/>
      <c r="M362" s="532"/>
      <c r="N362" s="555"/>
      <c r="O362" s="556"/>
      <c r="P362" s="558"/>
      <c r="Q362" s="1003"/>
      <c r="R362" s="1001"/>
      <c r="S362" s="1002"/>
    </row>
    <row r="363" spans="1:19">
      <c r="A363" s="617">
        <f t="shared" si="29"/>
        <v>346</v>
      </c>
      <c r="B363" s="702" t="s">
        <v>98</v>
      </c>
      <c r="C363" s="702"/>
      <c r="D363" s="702"/>
      <c r="E363" s="618">
        <f>'7" 26# Deck Tally'!B346</f>
        <v>54</v>
      </c>
      <c r="F363" s="619">
        <f>'7" 26# Deck Tally'!C346</f>
        <v>33.74</v>
      </c>
      <c r="G363" s="619">
        <f t="shared" si="28"/>
        <v>33.341999999999999</v>
      </c>
      <c r="H363" s="619" t="s">
        <v>9</v>
      </c>
      <c r="I363" s="619">
        <f t="shared" si="26"/>
        <v>11417.549999999994</v>
      </c>
      <c r="J363" s="619">
        <f t="shared" si="27"/>
        <v>1345.5100000000057</v>
      </c>
      <c r="K363" s="632">
        <f t="shared" si="25"/>
        <v>379.50010443086308</v>
      </c>
      <c r="L363" s="540"/>
      <c r="M363" s="532"/>
      <c r="N363" s="555"/>
      <c r="O363" s="556"/>
      <c r="P363" s="558"/>
      <c r="Q363" s="1003"/>
      <c r="R363" s="1001"/>
      <c r="S363" s="1002"/>
    </row>
    <row r="364" spans="1:19">
      <c r="A364" s="617">
        <f t="shared" si="29"/>
        <v>347</v>
      </c>
      <c r="B364" s="702" t="s">
        <v>98</v>
      </c>
      <c r="C364" s="702"/>
      <c r="D364" s="702"/>
      <c r="E364" s="618">
        <f>'7" 26# Deck Tally'!B347</f>
        <v>53</v>
      </c>
      <c r="F364" s="619">
        <f>'7" 26# Deck Tally'!C347</f>
        <v>33.950000000000003</v>
      </c>
      <c r="G364" s="619">
        <f t="shared" si="28"/>
        <v>33.552</v>
      </c>
      <c r="H364" s="619" t="s">
        <v>9</v>
      </c>
      <c r="I364" s="619">
        <f t="shared" si="26"/>
        <v>11451.101999999993</v>
      </c>
      <c r="J364" s="619">
        <f t="shared" si="27"/>
        <v>1311.958000000006</v>
      </c>
      <c r="K364" s="632">
        <f t="shared" si="25"/>
        <v>380.23917117494261</v>
      </c>
      <c r="L364" s="540"/>
      <c r="M364" s="532"/>
      <c r="N364" s="555"/>
      <c r="O364" s="556"/>
      <c r="P364" s="558"/>
      <c r="Q364" s="1003"/>
      <c r="R364" s="1001"/>
      <c r="S364" s="1002"/>
    </row>
    <row r="365" spans="1:19">
      <c r="A365" s="617">
        <f t="shared" si="29"/>
        <v>348</v>
      </c>
      <c r="B365" s="702" t="s">
        <v>98</v>
      </c>
      <c r="C365" s="702"/>
      <c r="D365" s="702"/>
      <c r="E365" s="618">
        <f>'7" 26# Deck Tally'!B348</f>
        <v>52</v>
      </c>
      <c r="F365" s="619">
        <f>'7" 26# Deck Tally'!C348</f>
        <v>33.299999999999997</v>
      </c>
      <c r="G365" s="619">
        <f t="shared" si="28"/>
        <v>32.901999999999994</v>
      </c>
      <c r="H365" s="619" t="s">
        <v>9</v>
      </c>
      <c r="I365" s="619">
        <f t="shared" si="26"/>
        <v>11484.003999999994</v>
      </c>
      <c r="J365" s="619">
        <f t="shared" si="27"/>
        <v>1279.056000000006</v>
      </c>
      <c r="K365" s="631">
        <f t="shared" si="25"/>
        <v>380.96392004278061</v>
      </c>
      <c r="L365" s="540"/>
      <c r="M365" s="532"/>
      <c r="N365" s="555"/>
      <c r="O365" s="556"/>
      <c r="P365" s="558"/>
      <c r="Q365" s="1003"/>
      <c r="R365" s="1001"/>
      <c r="S365" s="1002"/>
    </row>
    <row r="366" spans="1:19">
      <c r="A366" s="617">
        <f t="shared" si="29"/>
        <v>349</v>
      </c>
      <c r="B366" s="702" t="s">
        <v>98</v>
      </c>
      <c r="C366" s="702"/>
      <c r="D366" s="702"/>
      <c r="E366" s="618">
        <f>'7" 26# Deck Tally'!B349</f>
        <v>51</v>
      </c>
      <c r="F366" s="619">
        <f>'7" 26# Deck Tally'!C349</f>
        <v>33.979999999999997</v>
      </c>
      <c r="G366" s="619">
        <f t="shared" si="28"/>
        <v>33.581999999999994</v>
      </c>
      <c r="H366" s="619" t="s">
        <v>9</v>
      </c>
      <c r="I366" s="619">
        <f t="shared" si="26"/>
        <v>11517.585999999994</v>
      </c>
      <c r="J366" s="619">
        <f t="shared" si="27"/>
        <v>1245.4740000000056</v>
      </c>
      <c r="K366" s="632">
        <f t="shared" si="25"/>
        <v>381.7036476119174</v>
      </c>
      <c r="L366" s="540"/>
      <c r="M366" s="532"/>
      <c r="N366" s="555"/>
      <c r="O366" s="556"/>
      <c r="P366" s="558"/>
      <c r="Q366" s="1003"/>
      <c r="R366" s="1001"/>
      <c r="S366" s="1002"/>
    </row>
    <row r="367" spans="1:19" ht="13" thickBot="1">
      <c r="A367" s="617">
        <f t="shared" si="29"/>
        <v>350</v>
      </c>
      <c r="B367" s="702" t="s">
        <v>98</v>
      </c>
      <c r="C367" s="702"/>
      <c r="D367" s="702"/>
      <c r="E367" s="618">
        <f>'7" 26# Deck Tally'!B350</f>
        <v>50</v>
      </c>
      <c r="F367" s="619">
        <f>'7" 26# Deck Tally'!C350</f>
        <v>33.97</v>
      </c>
      <c r="G367" s="619">
        <f t="shared" si="28"/>
        <v>33.571999999999996</v>
      </c>
      <c r="H367" s="619" t="s">
        <v>9</v>
      </c>
      <c r="I367" s="619">
        <f t="shared" si="26"/>
        <v>11551.157999999994</v>
      </c>
      <c r="J367" s="619">
        <f t="shared" si="27"/>
        <v>1211.9020000000055</v>
      </c>
      <c r="K367" s="632">
        <f t="shared" si="25"/>
        <v>382.44315490603503</v>
      </c>
      <c r="L367" s="540"/>
      <c r="M367" s="532"/>
      <c r="N367" s="555"/>
      <c r="O367" s="556"/>
      <c r="P367" s="558"/>
      <c r="Q367" s="1003"/>
      <c r="R367" s="1001"/>
      <c r="S367" s="1002"/>
    </row>
    <row r="368" spans="1:19" ht="14.15" customHeight="1" thickBot="1">
      <c r="A368" s="827">
        <f>A367+1</f>
        <v>351</v>
      </c>
      <c r="B368" s="829" t="s">
        <v>114</v>
      </c>
      <c r="C368" s="832" t="s">
        <v>230</v>
      </c>
      <c r="D368" s="808" t="s">
        <v>84</v>
      </c>
      <c r="E368" s="809"/>
      <c r="F368" s="317">
        <v>6.2</v>
      </c>
      <c r="G368" s="435">
        <f t="shared" si="28"/>
        <v>5.8020000000000005</v>
      </c>
      <c r="H368" s="435" t="s">
        <v>9</v>
      </c>
      <c r="I368" s="435">
        <f t="shared" si="26"/>
        <v>11556.959999999994</v>
      </c>
      <c r="J368" s="435">
        <f t="shared" si="27"/>
        <v>1206.1000000000058</v>
      </c>
      <c r="K368" s="498">
        <f t="shared" si="25"/>
        <v>382.57095847211599</v>
      </c>
      <c r="L368" s="314" t="s">
        <v>113</v>
      </c>
      <c r="M368" s="315">
        <f>J370</f>
        <v>1191.7900000000063</v>
      </c>
      <c r="N368" s="368" t="s">
        <v>227</v>
      </c>
      <c r="P368" s="558"/>
      <c r="Q368" s="1003"/>
      <c r="R368" s="1001"/>
      <c r="S368" s="1002"/>
    </row>
    <row r="369" spans="1:19">
      <c r="A369" s="827"/>
      <c r="B369" s="830"/>
      <c r="C369" s="833"/>
      <c r="D369" s="808" t="s">
        <v>85</v>
      </c>
      <c r="E369" s="809"/>
      <c r="F369" s="317">
        <v>5.84</v>
      </c>
      <c r="G369" s="435">
        <f>F369</f>
        <v>5.84</v>
      </c>
      <c r="H369" s="435" t="s">
        <v>9</v>
      </c>
      <c r="I369" s="435">
        <f t="shared" si="26"/>
        <v>11562.799999999994</v>
      </c>
      <c r="J369" s="435">
        <f t="shared" si="27"/>
        <v>1200.2600000000057</v>
      </c>
      <c r="K369" s="498">
        <f t="shared" si="25"/>
        <v>382.6995990832695</v>
      </c>
      <c r="L369" s="305"/>
      <c r="M369" s="306"/>
      <c r="N369" s="368" t="s">
        <v>228</v>
      </c>
      <c r="P369" s="558"/>
      <c r="Q369" s="1003"/>
      <c r="R369" s="1001"/>
      <c r="S369" s="1002"/>
    </row>
    <row r="370" spans="1:19" ht="13" thickBot="1">
      <c r="A370" s="827"/>
      <c r="B370" s="830"/>
      <c r="C370" s="833"/>
      <c r="D370" s="810" t="s">
        <v>27</v>
      </c>
      <c r="E370" s="811"/>
      <c r="F370" s="323">
        <v>8.4700000000000006</v>
      </c>
      <c r="G370" s="324">
        <f>F370</f>
        <v>8.4700000000000006</v>
      </c>
      <c r="H370" s="324" t="s">
        <v>9</v>
      </c>
      <c r="I370" s="324">
        <f t="shared" si="26"/>
        <v>11571.269999999993</v>
      </c>
      <c r="J370" s="324">
        <f t="shared" si="27"/>
        <v>1191.7900000000063</v>
      </c>
      <c r="K370" s="633">
        <f t="shared" si="25"/>
        <v>382.88617202444601</v>
      </c>
      <c r="L370" s="305"/>
      <c r="M370" s="306"/>
      <c r="N370" s="368" t="s">
        <v>112</v>
      </c>
      <c r="P370" s="558"/>
      <c r="Q370" s="1003"/>
      <c r="R370" s="1001"/>
      <c r="S370" s="1002"/>
    </row>
    <row r="371" spans="1:19" ht="12.65" customHeight="1">
      <c r="A371" s="827"/>
      <c r="B371" s="830"/>
      <c r="C371" s="833"/>
      <c r="D371" s="808" t="s">
        <v>85</v>
      </c>
      <c r="E371" s="809"/>
      <c r="F371" s="317">
        <v>11.85</v>
      </c>
      <c r="G371" s="435">
        <f>F371</f>
        <v>11.85</v>
      </c>
      <c r="H371" s="435" t="s">
        <v>9</v>
      </c>
      <c r="I371" s="435">
        <f t="shared" si="26"/>
        <v>11583.119999999994</v>
      </c>
      <c r="J371" s="435">
        <f t="shared" si="27"/>
        <v>1179.940000000006</v>
      </c>
      <c r="K371" s="498">
        <f t="shared" si="25"/>
        <v>383.14719792207779</v>
      </c>
      <c r="L371" s="812" t="s">
        <v>163</v>
      </c>
      <c r="M371" s="813"/>
      <c r="N371" s="368" t="s">
        <v>229</v>
      </c>
      <c r="P371" s="558"/>
      <c r="Q371" s="1003"/>
      <c r="R371" s="1001"/>
      <c r="S371" s="1002"/>
    </row>
    <row r="372" spans="1:19" ht="13" customHeight="1" thickBot="1">
      <c r="A372" s="828"/>
      <c r="B372" s="831"/>
      <c r="C372" s="834"/>
      <c r="D372" s="835" t="s">
        <v>84</v>
      </c>
      <c r="E372" s="836"/>
      <c r="F372" s="385">
        <v>5.82</v>
      </c>
      <c r="G372" s="483">
        <f t="shared" ref="G372" si="30">F372</f>
        <v>5.82</v>
      </c>
      <c r="H372" s="483" t="s">
        <v>9</v>
      </c>
      <c r="I372" s="483">
        <f t="shared" si="26"/>
        <v>11588.939999999993</v>
      </c>
      <c r="J372" s="483">
        <f t="shared" si="27"/>
        <v>1174.1200000000063</v>
      </c>
      <c r="K372" s="634">
        <f t="shared" si="25"/>
        <v>383.2753979831931</v>
      </c>
      <c r="L372" s="837" t="s">
        <v>226</v>
      </c>
      <c r="M372" s="782"/>
      <c r="N372" s="368" t="s">
        <v>136</v>
      </c>
      <c r="P372" s="558"/>
      <c r="Q372" s="1003"/>
      <c r="R372" s="1001"/>
      <c r="S372" s="1002"/>
    </row>
    <row r="373" spans="1:19">
      <c r="A373" s="610">
        <f>A368+1</f>
        <v>352</v>
      </c>
      <c r="B373" s="703" t="s">
        <v>98</v>
      </c>
      <c r="C373" s="703"/>
      <c r="D373" s="703"/>
      <c r="E373" s="611">
        <f>E367-1</f>
        <v>49</v>
      </c>
      <c r="F373" s="612">
        <f>'7" 26# Deck Tally'!C351</f>
        <v>33.69</v>
      </c>
      <c r="G373" s="612">
        <f t="shared" si="28"/>
        <v>33.291999999999994</v>
      </c>
      <c r="H373" s="612" t="s">
        <v>9</v>
      </c>
      <c r="I373" s="612">
        <f t="shared" si="26"/>
        <v>11622.231999999993</v>
      </c>
      <c r="J373" s="612">
        <f t="shared" si="27"/>
        <v>1140.8280000000068</v>
      </c>
      <c r="K373" s="635">
        <f t="shared" si="25"/>
        <v>384.00873757677601</v>
      </c>
      <c r="L373" s="540"/>
      <c r="M373" s="532"/>
      <c r="N373" s="555"/>
      <c r="O373" s="556"/>
      <c r="P373" s="558"/>
      <c r="Q373" s="1003"/>
      <c r="R373" s="1001"/>
      <c r="S373" s="1002"/>
    </row>
    <row r="374" spans="1:19">
      <c r="A374" s="617">
        <f t="shared" si="29"/>
        <v>353</v>
      </c>
      <c r="B374" s="702" t="s">
        <v>98</v>
      </c>
      <c r="C374" s="702"/>
      <c r="D374" s="702"/>
      <c r="E374" s="618">
        <f>E373-1</f>
        <v>48</v>
      </c>
      <c r="F374" s="619">
        <f>'7" 26# Deck Tally'!C352</f>
        <v>33.74</v>
      </c>
      <c r="G374" s="619">
        <f t="shared" si="28"/>
        <v>33.341999999999999</v>
      </c>
      <c r="H374" s="619" t="s">
        <v>9</v>
      </c>
      <c r="I374" s="619">
        <f t="shared" si="26"/>
        <v>11655.573999999993</v>
      </c>
      <c r="J374" s="619">
        <f t="shared" si="27"/>
        <v>1107.4860000000062</v>
      </c>
      <c r="K374" s="632">
        <f t="shared" si="25"/>
        <v>384.74317854545438</v>
      </c>
      <c r="L374" s="540"/>
      <c r="M374" s="532"/>
      <c r="N374" s="555"/>
      <c r="O374" s="556"/>
      <c r="P374" s="558"/>
      <c r="Q374" s="1003"/>
      <c r="R374" s="1001"/>
      <c r="S374" s="1002"/>
    </row>
    <row r="375" spans="1:19">
      <c r="A375" s="617">
        <f t="shared" si="29"/>
        <v>354</v>
      </c>
      <c r="B375" s="702" t="s">
        <v>98</v>
      </c>
      <c r="C375" s="702"/>
      <c r="D375" s="702"/>
      <c r="E375" s="618">
        <f t="shared" ref="E375:E421" si="31">E374-1</f>
        <v>47</v>
      </c>
      <c r="F375" s="619">
        <f>'7" 26# Deck Tally'!C353</f>
        <v>33.950000000000003</v>
      </c>
      <c r="G375" s="619">
        <f t="shared" si="28"/>
        <v>33.552</v>
      </c>
      <c r="H375" s="619" t="s">
        <v>9</v>
      </c>
      <c r="I375" s="619">
        <f t="shared" si="26"/>
        <v>11689.125999999993</v>
      </c>
      <c r="J375" s="619">
        <f t="shared" si="27"/>
        <v>1073.9340000000066</v>
      </c>
      <c r="K375" s="632">
        <f t="shared" si="25"/>
        <v>385.48224528953386</v>
      </c>
      <c r="L375" s="540"/>
      <c r="M375" s="532"/>
      <c r="N375" s="555"/>
      <c r="O375" s="556"/>
      <c r="P375" s="558"/>
      <c r="Q375" s="1003"/>
      <c r="R375" s="1001"/>
      <c r="S375" s="1002"/>
    </row>
    <row r="376" spans="1:19">
      <c r="A376" s="617">
        <f t="shared" si="29"/>
        <v>355</v>
      </c>
      <c r="B376" s="702" t="s">
        <v>98</v>
      </c>
      <c r="C376" s="702"/>
      <c r="D376" s="702"/>
      <c r="E376" s="618">
        <f t="shared" si="31"/>
        <v>46</v>
      </c>
      <c r="F376" s="619">
        <f>'7" 26# Deck Tally'!C354</f>
        <v>33.950000000000003</v>
      </c>
      <c r="G376" s="619">
        <f t="shared" si="28"/>
        <v>33.552</v>
      </c>
      <c r="H376" s="619" t="s">
        <v>9</v>
      </c>
      <c r="I376" s="619">
        <f t="shared" si="26"/>
        <v>11722.677999999993</v>
      </c>
      <c r="J376" s="619">
        <f t="shared" si="27"/>
        <v>1040.3820000000069</v>
      </c>
      <c r="K376" s="632">
        <f t="shared" si="25"/>
        <v>386.22131203361329</v>
      </c>
      <c r="L376" s="540"/>
      <c r="M376" s="532"/>
      <c r="N376" s="555"/>
      <c r="O376" s="556"/>
      <c r="P376" s="558"/>
      <c r="Q376" s="1003"/>
      <c r="R376" s="1001"/>
      <c r="S376" s="1002"/>
    </row>
    <row r="377" spans="1:19">
      <c r="A377" s="617">
        <f t="shared" si="29"/>
        <v>356</v>
      </c>
      <c r="B377" s="702" t="s">
        <v>98</v>
      </c>
      <c r="C377" s="702"/>
      <c r="D377" s="702"/>
      <c r="E377" s="618">
        <f t="shared" si="31"/>
        <v>45</v>
      </c>
      <c r="F377" s="619">
        <f>'7" 26# Deck Tally'!C355</f>
        <v>32.119999999999997</v>
      </c>
      <c r="G377" s="619">
        <f t="shared" si="28"/>
        <v>31.721999999999998</v>
      </c>
      <c r="H377" s="619" t="s">
        <v>9</v>
      </c>
      <c r="I377" s="619">
        <f t="shared" si="26"/>
        <v>11754.399999999992</v>
      </c>
      <c r="J377" s="619">
        <f t="shared" si="27"/>
        <v>1008.6600000000071</v>
      </c>
      <c r="K377" s="631">
        <f t="shared" si="25"/>
        <v>386.92006844919769</v>
      </c>
      <c r="L377" s="540"/>
      <c r="M377" s="532"/>
      <c r="N377" s="555"/>
      <c r="O377" s="556"/>
      <c r="P377" s="558"/>
      <c r="Q377" s="1003"/>
      <c r="R377" s="1001"/>
      <c r="S377" s="1002"/>
    </row>
    <row r="378" spans="1:19">
      <c r="A378" s="617">
        <f t="shared" si="29"/>
        <v>357</v>
      </c>
      <c r="B378" s="702" t="s">
        <v>98</v>
      </c>
      <c r="C378" s="702"/>
      <c r="D378" s="702"/>
      <c r="E378" s="618">
        <f t="shared" si="31"/>
        <v>44</v>
      </c>
      <c r="F378" s="619">
        <f>'7" 26# Deck Tally'!C356</f>
        <v>33.619999999999997</v>
      </c>
      <c r="G378" s="619">
        <f t="shared" si="28"/>
        <v>33.221999999999994</v>
      </c>
      <c r="H378" s="619" t="s">
        <v>9</v>
      </c>
      <c r="I378" s="619">
        <f t="shared" si="26"/>
        <v>11787.621999999992</v>
      </c>
      <c r="J378" s="619">
        <f t="shared" si="27"/>
        <v>975.43800000000738</v>
      </c>
      <c r="K378" s="632">
        <f t="shared" si="25"/>
        <v>387.65186611764688</v>
      </c>
      <c r="L378" s="540"/>
      <c r="M378" s="532"/>
      <c r="N378" s="555"/>
      <c r="O378" s="556"/>
      <c r="P378" s="558"/>
      <c r="Q378" s="1003"/>
      <c r="R378" s="1001"/>
      <c r="S378" s="1002"/>
    </row>
    <row r="379" spans="1:19">
      <c r="A379" s="617">
        <f t="shared" si="29"/>
        <v>358</v>
      </c>
      <c r="B379" s="702" t="s">
        <v>98</v>
      </c>
      <c r="C379" s="702"/>
      <c r="D379" s="702"/>
      <c r="E379" s="618">
        <f t="shared" si="31"/>
        <v>43</v>
      </c>
      <c r="F379" s="619">
        <f>'7" 26# Deck Tally'!C357</f>
        <v>33.619999999999997</v>
      </c>
      <c r="G379" s="619">
        <f t="shared" si="28"/>
        <v>33.221999999999994</v>
      </c>
      <c r="H379" s="619" t="s">
        <v>9</v>
      </c>
      <c r="I379" s="619">
        <f t="shared" si="26"/>
        <v>11820.843999999992</v>
      </c>
      <c r="J379" s="619">
        <f t="shared" si="27"/>
        <v>942.21600000000763</v>
      </c>
      <c r="K379" s="632">
        <f t="shared" si="25"/>
        <v>388.38366378609606</v>
      </c>
      <c r="L379" s="540"/>
      <c r="M379" s="532"/>
      <c r="N379" s="555"/>
      <c r="O379" s="556"/>
      <c r="P379" s="558"/>
      <c r="Q379" s="1003"/>
      <c r="R379" s="1001"/>
      <c r="S379" s="1002"/>
    </row>
    <row r="380" spans="1:19">
      <c r="A380" s="617">
        <f t="shared" si="29"/>
        <v>359</v>
      </c>
      <c r="B380" s="702" t="s">
        <v>98</v>
      </c>
      <c r="C380" s="702"/>
      <c r="D380" s="702"/>
      <c r="E380" s="618">
        <f t="shared" si="31"/>
        <v>42</v>
      </c>
      <c r="F380" s="619">
        <f>'7" 26# Deck Tally'!C358</f>
        <v>31.15</v>
      </c>
      <c r="G380" s="619">
        <f t="shared" si="28"/>
        <v>30.751999999999999</v>
      </c>
      <c r="H380" s="619" t="s">
        <v>9</v>
      </c>
      <c r="I380" s="619">
        <f t="shared" si="26"/>
        <v>11851.595999999992</v>
      </c>
      <c r="J380" s="619">
        <f t="shared" si="27"/>
        <v>911.46400000000722</v>
      </c>
      <c r="K380" s="632">
        <f t="shared" si="25"/>
        <v>389.06105352482797</v>
      </c>
      <c r="L380" s="540"/>
      <c r="M380" s="532"/>
      <c r="N380" s="555"/>
      <c r="O380" s="556"/>
      <c r="P380" s="558"/>
      <c r="Q380" s="1003"/>
      <c r="R380" s="1001"/>
      <c r="S380" s="1002"/>
    </row>
    <row r="381" spans="1:19">
      <c r="A381" s="617">
        <f t="shared" si="29"/>
        <v>360</v>
      </c>
      <c r="B381" s="702" t="s">
        <v>98</v>
      </c>
      <c r="C381" s="702"/>
      <c r="D381" s="702"/>
      <c r="E381" s="618">
        <f t="shared" si="31"/>
        <v>41</v>
      </c>
      <c r="F381" s="619">
        <f>'7" 26# Deck Tally'!C359</f>
        <v>31.83</v>
      </c>
      <c r="G381" s="619">
        <f t="shared" si="28"/>
        <v>31.431999999999999</v>
      </c>
      <c r="H381" s="619" t="s">
        <v>9</v>
      </c>
      <c r="I381" s="619">
        <f t="shared" si="26"/>
        <v>11883.027999999993</v>
      </c>
      <c r="J381" s="619">
        <f t="shared" si="27"/>
        <v>880.03200000000652</v>
      </c>
      <c r="K381" s="632">
        <f t="shared" si="25"/>
        <v>389.75342196485849</v>
      </c>
      <c r="L381" s="540"/>
      <c r="M381" s="532"/>
      <c r="N381" s="555"/>
      <c r="O381" s="556"/>
      <c r="P381" s="558"/>
      <c r="Q381" s="1003"/>
      <c r="R381" s="1001"/>
      <c r="S381" s="1002"/>
    </row>
    <row r="382" spans="1:19">
      <c r="A382" s="617">
        <f t="shared" si="29"/>
        <v>361</v>
      </c>
      <c r="B382" s="702" t="s">
        <v>98</v>
      </c>
      <c r="C382" s="702"/>
      <c r="D382" s="702"/>
      <c r="E382" s="618">
        <f t="shared" si="31"/>
        <v>40</v>
      </c>
      <c r="F382" s="619">
        <f>'7" 26# Deck Tally'!C360</f>
        <v>30.9</v>
      </c>
      <c r="G382" s="619">
        <f t="shared" si="28"/>
        <v>30.501999999999999</v>
      </c>
      <c r="H382" s="619" t="s">
        <v>9</v>
      </c>
      <c r="I382" s="619">
        <f t="shared" si="26"/>
        <v>11913.529999999993</v>
      </c>
      <c r="J382" s="619">
        <f t="shared" si="27"/>
        <v>849.53000000000611</v>
      </c>
      <c r="K382" s="632">
        <f t="shared" si="25"/>
        <v>390.42530482811293</v>
      </c>
      <c r="L382" s="540"/>
      <c r="M382" s="532"/>
      <c r="N382" s="555"/>
      <c r="O382" s="556"/>
      <c r="P382" s="558"/>
      <c r="Q382" s="1003"/>
      <c r="R382" s="1001"/>
      <c r="S382" s="1002"/>
    </row>
    <row r="383" spans="1:19">
      <c r="A383" s="617">
        <f t="shared" si="29"/>
        <v>362</v>
      </c>
      <c r="B383" s="702" t="s">
        <v>98</v>
      </c>
      <c r="C383" s="702"/>
      <c r="D383" s="702"/>
      <c r="E383" s="618">
        <f t="shared" si="31"/>
        <v>39</v>
      </c>
      <c r="F383" s="619">
        <f>'7" 26# Deck Tally'!C361</f>
        <v>33.549999999999997</v>
      </c>
      <c r="G383" s="619">
        <f t="shared" si="28"/>
        <v>33.151999999999994</v>
      </c>
      <c r="H383" s="619" t="s">
        <v>9</v>
      </c>
      <c r="I383" s="619">
        <f t="shared" si="26"/>
        <v>11946.681999999993</v>
      </c>
      <c r="J383" s="619">
        <f t="shared" si="27"/>
        <v>816.37800000000607</v>
      </c>
      <c r="K383" s="632">
        <f t="shared" si="25"/>
        <v>391.15556057142845</v>
      </c>
      <c r="L383" s="540"/>
      <c r="M383" s="532"/>
      <c r="N383" s="555"/>
      <c r="O383" s="556"/>
      <c r="P383" s="558"/>
      <c r="Q383" s="1003"/>
      <c r="R383" s="1001"/>
      <c r="S383" s="1002"/>
    </row>
    <row r="384" spans="1:19">
      <c r="A384" s="617">
        <f t="shared" si="29"/>
        <v>363</v>
      </c>
      <c r="B384" s="702" t="s">
        <v>98</v>
      </c>
      <c r="C384" s="702"/>
      <c r="D384" s="702"/>
      <c r="E384" s="618">
        <f t="shared" si="31"/>
        <v>38</v>
      </c>
      <c r="F384" s="619">
        <f>'7" 26# Deck Tally'!C362</f>
        <v>30.9</v>
      </c>
      <c r="G384" s="619">
        <f t="shared" si="28"/>
        <v>30.501999999999999</v>
      </c>
      <c r="H384" s="619" t="s">
        <v>9</v>
      </c>
      <c r="I384" s="619">
        <f>IF(H384="IN",I383+G384,I383)</f>
        <v>11977.183999999994</v>
      </c>
      <c r="J384" s="619">
        <f t="shared" si="27"/>
        <v>785.87600000000566</v>
      </c>
      <c r="K384" s="631">
        <f t="shared" si="25"/>
        <v>391.82744343468283</v>
      </c>
      <c r="L384" s="540"/>
      <c r="M384" s="532"/>
      <c r="N384" s="555"/>
      <c r="O384" s="556"/>
      <c r="P384" s="558"/>
      <c r="Q384" s="1003"/>
      <c r="R384" s="1001"/>
      <c r="S384" s="1002"/>
    </row>
    <row r="385" spans="1:19">
      <c r="A385" s="617">
        <f t="shared" si="29"/>
        <v>364</v>
      </c>
      <c r="B385" s="702" t="s">
        <v>98</v>
      </c>
      <c r="C385" s="702"/>
      <c r="D385" s="702"/>
      <c r="E385" s="618">
        <f t="shared" si="31"/>
        <v>37</v>
      </c>
      <c r="F385" s="619">
        <f>'7" 26# Deck Tally'!C363</f>
        <v>33.65</v>
      </c>
      <c r="G385" s="619">
        <f t="shared" si="28"/>
        <v>33.251999999999995</v>
      </c>
      <c r="H385" s="619" t="s">
        <v>9</v>
      </c>
      <c r="I385" s="619">
        <f t="shared" si="26"/>
        <v>12010.435999999994</v>
      </c>
      <c r="J385" s="619">
        <f t="shared" si="27"/>
        <v>752.62400000000525</v>
      </c>
      <c r="K385" s="632">
        <f t="shared" si="25"/>
        <v>392.55990192818933</v>
      </c>
      <c r="L385" s="540"/>
      <c r="M385" s="532"/>
      <c r="N385" s="555"/>
      <c r="O385" s="556"/>
      <c r="P385" s="558"/>
      <c r="Q385" s="1003"/>
      <c r="R385" s="1001"/>
      <c r="S385" s="1002"/>
    </row>
    <row r="386" spans="1:19">
      <c r="A386" s="617">
        <f t="shared" si="29"/>
        <v>365</v>
      </c>
      <c r="B386" s="702" t="s">
        <v>98</v>
      </c>
      <c r="C386" s="702"/>
      <c r="D386" s="702"/>
      <c r="E386" s="618">
        <f t="shared" si="31"/>
        <v>36</v>
      </c>
      <c r="F386" s="619">
        <f>'7" 26# Deck Tally'!C364</f>
        <v>33.96</v>
      </c>
      <c r="G386" s="619">
        <f t="shared" si="28"/>
        <v>33.561999999999998</v>
      </c>
      <c r="H386" s="619" t="s">
        <v>9</v>
      </c>
      <c r="I386" s="619">
        <f t="shared" si="26"/>
        <v>12043.997999999994</v>
      </c>
      <c r="J386" s="619">
        <f t="shared" si="27"/>
        <v>719.06200000000536</v>
      </c>
      <c r="K386" s="632">
        <f t="shared" si="25"/>
        <v>393.29918894728792</v>
      </c>
      <c r="L386" s="540"/>
      <c r="M386" s="532"/>
      <c r="N386" s="555"/>
      <c r="O386" s="556"/>
      <c r="P386" s="558"/>
      <c r="Q386" s="1003"/>
      <c r="R386" s="1001"/>
      <c r="S386" s="1002"/>
    </row>
    <row r="387" spans="1:19">
      <c r="A387" s="617">
        <f t="shared" si="29"/>
        <v>366</v>
      </c>
      <c r="B387" s="702" t="s">
        <v>98</v>
      </c>
      <c r="C387" s="702"/>
      <c r="D387" s="702"/>
      <c r="E387" s="618">
        <f t="shared" si="31"/>
        <v>35</v>
      </c>
      <c r="F387" s="619">
        <f>'7" 26# Deck Tally'!C365</f>
        <v>33.61</v>
      </c>
      <c r="G387" s="619">
        <f t="shared" si="28"/>
        <v>33.211999999999996</v>
      </c>
      <c r="H387" s="619" t="s">
        <v>9</v>
      </c>
      <c r="I387" s="619">
        <f t="shared" si="26"/>
        <v>12077.209999999994</v>
      </c>
      <c r="J387" s="619">
        <f t="shared" si="27"/>
        <v>685.85000000000582</v>
      </c>
      <c r="K387" s="632">
        <f t="shared" si="25"/>
        <v>394.03076634071795</v>
      </c>
      <c r="L387" s="540"/>
      <c r="M387" s="532"/>
      <c r="N387" s="555"/>
      <c r="O387" s="556"/>
      <c r="P387" s="558"/>
      <c r="Q387" s="1003"/>
      <c r="R387" s="1001"/>
      <c r="S387" s="1002"/>
    </row>
    <row r="388" spans="1:19">
      <c r="A388" s="617">
        <f t="shared" si="29"/>
        <v>367</v>
      </c>
      <c r="B388" s="702" t="s">
        <v>98</v>
      </c>
      <c r="C388" s="702"/>
      <c r="D388" s="702"/>
      <c r="E388" s="618">
        <f t="shared" si="31"/>
        <v>34</v>
      </c>
      <c r="F388" s="619">
        <f>'7" 26# Deck Tally'!C366</f>
        <v>33.56</v>
      </c>
      <c r="G388" s="619">
        <f t="shared" si="28"/>
        <v>33.161999999999999</v>
      </c>
      <c r="H388" s="619" t="s">
        <v>9</v>
      </c>
      <c r="I388" s="619">
        <f t="shared" si="26"/>
        <v>12110.371999999994</v>
      </c>
      <c r="J388" s="619">
        <f t="shared" si="27"/>
        <v>652.68800000000556</v>
      </c>
      <c r="K388" s="632">
        <f t="shared" si="25"/>
        <v>394.76124235905257</v>
      </c>
      <c r="L388" s="540"/>
      <c r="M388" s="532"/>
      <c r="N388" s="555"/>
      <c r="O388" s="556"/>
      <c r="P388" s="558"/>
      <c r="Q388" s="1003"/>
      <c r="R388" s="1001"/>
      <c r="S388" s="1002"/>
    </row>
    <row r="389" spans="1:19">
      <c r="A389" s="617">
        <f t="shared" si="29"/>
        <v>368</v>
      </c>
      <c r="B389" s="702" t="s">
        <v>98</v>
      </c>
      <c r="C389" s="702"/>
      <c r="D389" s="702"/>
      <c r="E389" s="618">
        <f t="shared" si="31"/>
        <v>33</v>
      </c>
      <c r="F389" s="619">
        <f>'7" 26# Deck Tally'!C367</f>
        <v>33.47</v>
      </c>
      <c r="G389" s="619">
        <f t="shared" si="28"/>
        <v>33.071999999999996</v>
      </c>
      <c r="H389" s="619" t="s">
        <v>9</v>
      </c>
      <c r="I389" s="619">
        <f t="shared" si="26"/>
        <v>12143.443999999994</v>
      </c>
      <c r="J389" s="619">
        <f t="shared" si="27"/>
        <v>619.61600000000544</v>
      </c>
      <c r="K389" s="631">
        <f t="shared" si="25"/>
        <v>395.48973590221527</v>
      </c>
      <c r="L389" s="540"/>
      <c r="M389" s="532"/>
      <c r="N389" s="555"/>
      <c r="O389" s="556"/>
      <c r="P389" s="558"/>
      <c r="Q389" s="1003"/>
      <c r="R389" s="1001"/>
      <c r="S389" s="1002"/>
    </row>
    <row r="390" spans="1:19">
      <c r="A390" s="617">
        <f t="shared" si="29"/>
        <v>369</v>
      </c>
      <c r="B390" s="702" t="s">
        <v>98</v>
      </c>
      <c r="C390" s="702"/>
      <c r="D390" s="702"/>
      <c r="E390" s="618">
        <f t="shared" si="31"/>
        <v>32</v>
      </c>
      <c r="F390" s="619">
        <f>'7" 26# Deck Tally'!C368</f>
        <v>33.75</v>
      </c>
      <c r="G390" s="619">
        <f t="shared" si="28"/>
        <v>33.351999999999997</v>
      </c>
      <c r="H390" s="619" t="s">
        <v>9</v>
      </c>
      <c r="I390" s="619">
        <f t="shared" si="26"/>
        <v>12176.795999999995</v>
      </c>
      <c r="J390" s="619">
        <f t="shared" si="27"/>
        <v>586.26400000000467</v>
      </c>
      <c r="K390" s="632">
        <f t="shared" si="25"/>
        <v>396.2243971459128</v>
      </c>
      <c r="L390" s="540"/>
      <c r="M390" s="532"/>
      <c r="N390" s="555"/>
      <c r="O390" s="556"/>
      <c r="P390" s="558"/>
      <c r="Q390" s="1003"/>
      <c r="R390" s="1001"/>
      <c r="S390" s="1002"/>
    </row>
    <row r="391" spans="1:19">
      <c r="A391" s="617">
        <f t="shared" si="29"/>
        <v>370</v>
      </c>
      <c r="B391" s="702" t="s">
        <v>98</v>
      </c>
      <c r="C391" s="702"/>
      <c r="D391" s="702"/>
      <c r="E391" s="618">
        <f t="shared" si="31"/>
        <v>31</v>
      </c>
      <c r="F391" s="619">
        <f>'7" 26# Deck Tally'!C369</f>
        <v>33.64</v>
      </c>
      <c r="G391" s="619">
        <f t="shared" si="28"/>
        <v>33.241999999999997</v>
      </c>
      <c r="H391" s="619" t="s">
        <v>9</v>
      </c>
      <c r="I391" s="619">
        <f t="shared" si="26"/>
        <v>12210.037999999995</v>
      </c>
      <c r="J391" s="619">
        <f t="shared" si="27"/>
        <v>553.02200000000448</v>
      </c>
      <c r="K391" s="632">
        <f t="shared" si="25"/>
        <v>396.9566353644002</v>
      </c>
      <c r="L391" s="540"/>
      <c r="M391" s="532"/>
      <c r="N391" s="555"/>
      <c r="O391" s="556"/>
      <c r="P391" s="558"/>
      <c r="Q391" s="1003"/>
      <c r="R391" s="1001"/>
      <c r="S391" s="1002"/>
    </row>
    <row r="392" spans="1:19">
      <c r="A392" s="617">
        <f t="shared" si="29"/>
        <v>371</v>
      </c>
      <c r="B392" s="702" t="s">
        <v>98</v>
      </c>
      <c r="C392" s="702"/>
      <c r="D392" s="702"/>
      <c r="E392" s="618">
        <f t="shared" si="31"/>
        <v>30</v>
      </c>
      <c r="F392" s="619">
        <f>'7" 26# Deck Tally'!C370</f>
        <v>33.47</v>
      </c>
      <c r="G392" s="619">
        <f t="shared" si="28"/>
        <v>33.071999999999996</v>
      </c>
      <c r="H392" s="619" t="s">
        <v>9</v>
      </c>
      <c r="I392" s="619">
        <f t="shared" si="26"/>
        <v>12243.109999999995</v>
      </c>
      <c r="J392" s="619">
        <f t="shared" si="27"/>
        <v>519.95000000000437</v>
      </c>
      <c r="K392" s="632">
        <f t="shared" si="25"/>
        <v>397.68512890756296</v>
      </c>
      <c r="L392" s="540"/>
      <c r="M392" s="532"/>
      <c r="N392" s="555"/>
      <c r="O392" s="556"/>
      <c r="P392" s="558"/>
      <c r="Q392" s="1003"/>
      <c r="R392" s="1001"/>
      <c r="S392" s="1002"/>
    </row>
    <row r="393" spans="1:19">
      <c r="A393" s="617">
        <f t="shared" si="29"/>
        <v>372</v>
      </c>
      <c r="B393" s="702" t="s">
        <v>98</v>
      </c>
      <c r="C393" s="702"/>
      <c r="D393" s="702"/>
      <c r="E393" s="618">
        <f t="shared" si="31"/>
        <v>29</v>
      </c>
      <c r="F393" s="619">
        <f>'7" 26# Deck Tally'!C371</f>
        <v>33.79</v>
      </c>
      <c r="G393" s="619">
        <f t="shared" si="28"/>
        <v>33.391999999999996</v>
      </c>
      <c r="H393" s="619" t="s">
        <v>9</v>
      </c>
      <c r="I393" s="619">
        <f t="shared" si="26"/>
        <v>12276.501999999995</v>
      </c>
      <c r="J393" s="619">
        <f t="shared" si="27"/>
        <v>486.55800000000454</v>
      </c>
      <c r="K393" s="632">
        <f t="shared" si="25"/>
        <v>398.42067125133673</v>
      </c>
      <c r="L393" s="540"/>
      <c r="M393" s="532"/>
      <c r="N393" s="555"/>
      <c r="O393" s="556"/>
      <c r="P393" s="558"/>
      <c r="Q393" s="1003"/>
      <c r="R393" s="1001"/>
      <c r="S393" s="1002"/>
    </row>
    <row r="394" spans="1:19">
      <c r="A394" s="617">
        <f t="shared" si="29"/>
        <v>373</v>
      </c>
      <c r="B394" s="702" t="s">
        <v>98</v>
      </c>
      <c r="C394" s="702"/>
      <c r="D394" s="702"/>
      <c r="E394" s="618">
        <f t="shared" si="31"/>
        <v>28</v>
      </c>
      <c r="F394" s="619">
        <f>'7" 26# Deck Tally'!C372</f>
        <v>33.81</v>
      </c>
      <c r="G394" s="619">
        <f t="shared" si="28"/>
        <v>33.411999999999999</v>
      </c>
      <c r="H394" s="619" t="s">
        <v>9</v>
      </c>
      <c r="I394" s="619">
        <f t="shared" si="26"/>
        <v>12309.913999999995</v>
      </c>
      <c r="J394" s="619">
        <f t="shared" si="27"/>
        <v>453.14600000000428</v>
      </c>
      <c r="K394" s="631">
        <f t="shared" si="25"/>
        <v>399.15665414514882</v>
      </c>
      <c r="L394" s="540"/>
      <c r="M394" s="532"/>
      <c r="N394" s="555"/>
      <c r="O394" s="556"/>
      <c r="P394" s="558"/>
      <c r="Q394" s="1003"/>
      <c r="R394" s="1001"/>
      <c r="S394" s="1002"/>
    </row>
    <row r="395" spans="1:19">
      <c r="A395" s="617">
        <f t="shared" si="29"/>
        <v>374</v>
      </c>
      <c r="B395" s="702" t="s">
        <v>98</v>
      </c>
      <c r="C395" s="702"/>
      <c r="D395" s="702"/>
      <c r="E395" s="618">
        <f t="shared" si="31"/>
        <v>27</v>
      </c>
      <c r="F395" s="619">
        <f>'7" 26# Deck Tally'!C373</f>
        <v>33.869999999999997</v>
      </c>
      <c r="G395" s="619">
        <f t="shared" si="28"/>
        <v>33.471999999999994</v>
      </c>
      <c r="H395" s="619" t="s">
        <v>9</v>
      </c>
      <c r="I395" s="619">
        <f t="shared" si="26"/>
        <v>12343.385999999995</v>
      </c>
      <c r="J395" s="619">
        <f t="shared" si="27"/>
        <v>419.67400000000453</v>
      </c>
      <c r="K395" s="632">
        <f t="shared" si="25"/>
        <v>399.89395868907548</v>
      </c>
      <c r="L395" s="540"/>
      <c r="M395" s="532"/>
      <c r="N395" s="555"/>
      <c r="O395" s="556"/>
      <c r="P395" s="558"/>
      <c r="Q395" s="1003"/>
      <c r="R395" s="1001"/>
      <c r="S395" s="1002"/>
    </row>
    <row r="396" spans="1:19">
      <c r="A396" s="617">
        <f t="shared" si="29"/>
        <v>375</v>
      </c>
      <c r="B396" s="702" t="s">
        <v>98</v>
      </c>
      <c r="C396" s="702"/>
      <c r="D396" s="702"/>
      <c r="E396" s="618">
        <f t="shared" si="31"/>
        <v>26</v>
      </c>
      <c r="F396" s="619">
        <f>'7" 26# Deck Tally'!C374</f>
        <v>33.74</v>
      </c>
      <c r="G396" s="619">
        <f t="shared" si="28"/>
        <v>33.341999999999999</v>
      </c>
      <c r="H396" s="619" t="s">
        <v>9</v>
      </c>
      <c r="I396" s="619">
        <f t="shared" si="26"/>
        <v>12376.727999999996</v>
      </c>
      <c r="J396" s="619">
        <f t="shared" si="27"/>
        <v>386.33200000000397</v>
      </c>
      <c r="K396" s="632">
        <f t="shared" ref="K396:K424" si="32">$H$6+(I396*$F$7*$H$8/1000)</f>
        <v>400.62839965775396</v>
      </c>
      <c r="L396" s="540"/>
      <c r="M396" s="532"/>
      <c r="N396" s="555"/>
      <c r="O396" s="556"/>
      <c r="P396" s="558"/>
      <c r="Q396" s="1003"/>
      <c r="R396" s="1001"/>
      <c r="S396" s="1002"/>
    </row>
    <row r="397" spans="1:19">
      <c r="A397" s="617">
        <f t="shared" si="29"/>
        <v>376</v>
      </c>
      <c r="B397" s="702" t="s">
        <v>98</v>
      </c>
      <c r="C397" s="702"/>
      <c r="D397" s="702"/>
      <c r="E397" s="618">
        <f t="shared" si="31"/>
        <v>25</v>
      </c>
      <c r="F397" s="619">
        <f>'7" 26# Deck Tally'!C375</f>
        <v>33.6</v>
      </c>
      <c r="G397" s="619">
        <f t="shared" si="28"/>
        <v>33.201999999999998</v>
      </c>
      <c r="H397" s="619" t="s">
        <v>9</v>
      </c>
      <c r="I397" s="619">
        <f t="shared" ref="I397:I429" si="33">IF(H397="IN",I396+G397,I396)</f>
        <v>12409.929999999995</v>
      </c>
      <c r="J397" s="619">
        <f t="shared" si="27"/>
        <v>353.13000000000466</v>
      </c>
      <c r="K397" s="632">
        <f t="shared" si="32"/>
        <v>401.35975677616494</v>
      </c>
      <c r="L397" s="540"/>
      <c r="M397" s="532"/>
      <c r="N397" s="555"/>
      <c r="O397" s="556"/>
      <c r="P397" s="558"/>
      <c r="Q397" s="1003"/>
      <c r="R397" s="1001"/>
      <c r="S397" s="1002"/>
    </row>
    <row r="398" spans="1:19">
      <c r="A398" s="617">
        <f t="shared" si="29"/>
        <v>377</v>
      </c>
      <c r="B398" s="702" t="s">
        <v>98</v>
      </c>
      <c r="C398" s="702"/>
      <c r="D398" s="702"/>
      <c r="E398" s="618">
        <f t="shared" si="31"/>
        <v>24</v>
      </c>
      <c r="F398" s="619">
        <f>'7" 26# Deck Tally'!C376</f>
        <v>33.94</v>
      </c>
      <c r="G398" s="619">
        <f t="shared" si="28"/>
        <v>33.541999999999994</v>
      </c>
      <c r="H398" s="619" t="s">
        <v>9</v>
      </c>
      <c r="I398" s="619">
        <f t="shared" si="33"/>
        <v>12443.471999999994</v>
      </c>
      <c r="J398" s="619">
        <f t="shared" si="27"/>
        <v>319.5880000000052</v>
      </c>
      <c r="K398" s="632">
        <f t="shared" si="32"/>
        <v>402.09860324522526</v>
      </c>
      <c r="L398" s="540"/>
      <c r="M398" s="532"/>
      <c r="N398" s="555"/>
      <c r="O398" s="556"/>
      <c r="P398" s="558"/>
      <c r="Q398" s="1003"/>
      <c r="R398" s="1001"/>
      <c r="S398" s="1002"/>
    </row>
    <row r="399" spans="1:19">
      <c r="A399" s="617">
        <f t="shared" si="29"/>
        <v>378</v>
      </c>
      <c r="B399" s="702" t="s">
        <v>98</v>
      </c>
      <c r="C399" s="702"/>
      <c r="D399" s="702"/>
      <c r="E399" s="618">
        <f t="shared" si="31"/>
        <v>23</v>
      </c>
      <c r="F399" s="619">
        <f>'7" 26# Deck Tally'!C377</f>
        <v>33.97</v>
      </c>
      <c r="G399" s="619">
        <f t="shared" si="28"/>
        <v>33.571999999999996</v>
      </c>
      <c r="H399" s="619" t="s">
        <v>9</v>
      </c>
      <c r="I399" s="619">
        <f t="shared" si="33"/>
        <v>12477.043999999994</v>
      </c>
      <c r="J399" s="619">
        <f t="shared" si="27"/>
        <v>286.01600000000508</v>
      </c>
      <c r="K399" s="631">
        <f t="shared" si="32"/>
        <v>402.83811053934289</v>
      </c>
      <c r="L399" s="540"/>
      <c r="M399" s="532"/>
      <c r="N399" s="555"/>
      <c r="O399" s="556"/>
      <c r="P399" s="558"/>
      <c r="Q399" s="1003"/>
      <c r="R399" s="1001"/>
      <c r="S399" s="1002"/>
    </row>
    <row r="400" spans="1:19">
      <c r="A400" s="617">
        <f t="shared" si="29"/>
        <v>379</v>
      </c>
      <c r="B400" s="702" t="s">
        <v>98</v>
      </c>
      <c r="C400" s="702"/>
      <c r="D400" s="702"/>
      <c r="E400" s="618">
        <f t="shared" si="31"/>
        <v>22</v>
      </c>
      <c r="F400" s="619">
        <f>'7" 26# Deck Tally'!C378</f>
        <v>33.97</v>
      </c>
      <c r="G400" s="619">
        <f t="shared" si="28"/>
        <v>33.571999999999996</v>
      </c>
      <c r="H400" s="619" t="s">
        <v>9</v>
      </c>
      <c r="I400" s="619">
        <f t="shared" si="33"/>
        <v>12510.615999999995</v>
      </c>
      <c r="J400" s="619">
        <f t="shared" ref="J400:J429" si="34">IF(I400="","",$L$6-I400)</f>
        <v>252.44400000000496</v>
      </c>
      <c r="K400" s="632">
        <f t="shared" si="32"/>
        <v>403.57761783346052</v>
      </c>
      <c r="L400" s="540"/>
      <c r="M400" s="532"/>
      <c r="N400" s="555"/>
      <c r="O400" s="556"/>
      <c r="P400" s="558"/>
      <c r="Q400" s="1003"/>
      <c r="R400" s="1001"/>
      <c r="S400" s="1002"/>
    </row>
    <row r="401" spans="1:19">
      <c r="A401" s="617">
        <f t="shared" si="29"/>
        <v>380</v>
      </c>
      <c r="B401" s="702" t="s">
        <v>98</v>
      </c>
      <c r="C401" s="702"/>
      <c r="D401" s="702"/>
      <c r="E401" s="618">
        <f t="shared" si="31"/>
        <v>21</v>
      </c>
      <c r="F401" s="619">
        <f>'7" 26# Deck Tally'!C379</f>
        <v>33.46</v>
      </c>
      <c r="G401" s="619">
        <f t="shared" si="28"/>
        <v>33.061999999999998</v>
      </c>
      <c r="H401" s="619" t="s">
        <v>9</v>
      </c>
      <c r="I401" s="619">
        <f t="shared" si="33"/>
        <v>12543.677999999994</v>
      </c>
      <c r="J401" s="619">
        <f t="shared" si="34"/>
        <v>219.38200000000506</v>
      </c>
      <c r="K401" s="632">
        <f t="shared" si="32"/>
        <v>404.30589110160417</v>
      </c>
      <c r="L401" s="540"/>
      <c r="M401" s="532"/>
      <c r="N401" s="555"/>
      <c r="O401" s="556"/>
      <c r="P401" s="558"/>
      <c r="Q401" s="1003"/>
      <c r="R401" s="1001"/>
      <c r="S401" s="1002"/>
    </row>
    <row r="402" spans="1:19">
      <c r="A402" s="617">
        <f t="shared" si="29"/>
        <v>381</v>
      </c>
      <c r="B402" s="702" t="s">
        <v>98</v>
      </c>
      <c r="C402" s="702"/>
      <c r="D402" s="702"/>
      <c r="E402" s="618">
        <f t="shared" si="31"/>
        <v>20</v>
      </c>
      <c r="F402" s="619">
        <f>'7" 26# Deck Tally'!C380</f>
        <v>33.5</v>
      </c>
      <c r="G402" s="619">
        <f t="shared" si="28"/>
        <v>33.101999999999997</v>
      </c>
      <c r="H402" s="619" t="s">
        <v>9</v>
      </c>
      <c r="I402" s="619">
        <f t="shared" si="33"/>
        <v>12576.779999999995</v>
      </c>
      <c r="J402" s="619">
        <f t="shared" si="34"/>
        <v>186.28000000000429</v>
      </c>
      <c r="K402" s="632">
        <f t="shared" si="32"/>
        <v>405.03504546982418</v>
      </c>
      <c r="L402" s="540"/>
      <c r="M402" s="532"/>
      <c r="N402" s="555"/>
      <c r="O402" s="556"/>
      <c r="P402" s="558"/>
      <c r="Q402" s="1003"/>
      <c r="R402" s="1001"/>
      <c r="S402" s="1002"/>
    </row>
    <row r="403" spans="1:19" ht="12.65" customHeight="1">
      <c r="A403" s="617">
        <f t="shared" si="29"/>
        <v>382</v>
      </c>
      <c r="B403" s="702" t="s">
        <v>98</v>
      </c>
      <c r="C403" s="702"/>
      <c r="D403" s="702"/>
      <c r="E403" s="618">
        <f t="shared" si="31"/>
        <v>19</v>
      </c>
      <c r="F403" s="619">
        <f>'7" 26# Deck Tally'!C381</f>
        <v>33.89</v>
      </c>
      <c r="G403" s="619">
        <f t="shared" si="28"/>
        <v>33.491999999999997</v>
      </c>
      <c r="H403" s="619" t="s">
        <v>9</v>
      </c>
      <c r="I403" s="619">
        <f t="shared" si="33"/>
        <v>12610.271999999995</v>
      </c>
      <c r="J403" s="619">
        <f t="shared" si="34"/>
        <v>152.7880000000041</v>
      </c>
      <c r="K403" s="632">
        <f t="shared" si="32"/>
        <v>405.77279056378904</v>
      </c>
      <c r="L403" s="540"/>
      <c r="M403" s="532"/>
      <c r="N403" s="555"/>
      <c r="O403" s="556"/>
      <c r="P403" s="558"/>
      <c r="Q403" s="1003"/>
      <c r="R403" s="1001"/>
      <c r="S403" s="1002"/>
    </row>
    <row r="404" spans="1:19">
      <c r="A404" s="617">
        <f t="shared" si="29"/>
        <v>383</v>
      </c>
      <c r="B404" s="702" t="s">
        <v>98</v>
      </c>
      <c r="C404" s="702"/>
      <c r="D404" s="702"/>
      <c r="E404" s="618">
        <f t="shared" si="31"/>
        <v>18</v>
      </c>
      <c r="F404" s="619">
        <f>'7" 26# Deck Tally'!C382</f>
        <v>33.659999999999997</v>
      </c>
      <c r="G404" s="619">
        <f t="shared" si="28"/>
        <v>33.261999999999993</v>
      </c>
      <c r="H404" s="619" t="s">
        <v>9</v>
      </c>
      <c r="I404" s="619">
        <f t="shared" si="33"/>
        <v>12643.533999999996</v>
      </c>
      <c r="J404" s="619">
        <f t="shared" si="34"/>
        <v>119.52600000000348</v>
      </c>
      <c r="K404" s="631">
        <f t="shared" si="32"/>
        <v>406.5054693323147</v>
      </c>
      <c r="L404" s="540"/>
      <c r="M404" s="532"/>
      <c r="N404" s="555"/>
      <c r="O404" s="556"/>
      <c r="P404" s="558"/>
      <c r="Q404" s="1003"/>
      <c r="R404" s="1001"/>
      <c r="S404" s="1002"/>
    </row>
    <row r="405" spans="1:19" hidden="1">
      <c r="A405" s="617">
        <f t="shared" si="29"/>
        <v>384</v>
      </c>
      <c r="B405" s="702" t="s">
        <v>98</v>
      </c>
      <c r="C405" s="702"/>
      <c r="D405" s="702"/>
      <c r="E405" s="618">
        <f t="shared" si="31"/>
        <v>17</v>
      </c>
      <c r="F405" s="619">
        <f>'7" 26# Deck Tally'!C383</f>
        <v>33.65</v>
      </c>
      <c r="G405" s="619">
        <f t="shared" si="28"/>
        <v>33.251999999999995</v>
      </c>
      <c r="H405" s="619" t="s">
        <v>11</v>
      </c>
      <c r="I405" s="619">
        <f t="shared" si="33"/>
        <v>12643.533999999996</v>
      </c>
      <c r="J405" s="619">
        <f t="shared" si="34"/>
        <v>119.52600000000348</v>
      </c>
      <c r="K405" s="632">
        <f t="shared" si="32"/>
        <v>406.5054693323147</v>
      </c>
      <c r="L405" s="540"/>
      <c r="M405" s="532"/>
      <c r="N405" s="555"/>
      <c r="O405" s="556"/>
      <c r="P405" s="558"/>
      <c r="Q405" s="1003"/>
      <c r="R405" s="1001"/>
      <c r="S405" s="1002"/>
    </row>
    <row r="406" spans="1:19" hidden="1">
      <c r="A406" s="617">
        <f t="shared" si="29"/>
        <v>385</v>
      </c>
      <c r="B406" s="702" t="s">
        <v>98</v>
      </c>
      <c r="C406" s="702"/>
      <c r="D406" s="702"/>
      <c r="E406" s="618">
        <f t="shared" si="31"/>
        <v>16</v>
      </c>
      <c r="F406" s="619">
        <f>'7" 26# Deck Tally'!C384</f>
        <v>33.770000000000003</v>
      </c>
      <c r="G406" s="619">
        <f t="shared" si="28"/>
        <v>33.372</v>
      </c>
      <c r="H406" s="619" t="s">
        <v>11</v>
      </c>
      <c r="I406" s="619">
        <f t="shared" si="33"/>
        <v>12643.533999999996</v>
      </c>
      <c r="J406" s="619">
        <f t="shared" si="34"/>
        <v>119.52600000000348</v>
      </c>
      <c r="K406" s="632">
        <f t="shared" si="32"/>
        <v>406.5054693323147</v>
      </c>
      <c r="L406" s="540"/>
      <c r="M406" s="532"/>
      <c r="N406" s="555"/>
      <c r="O406" s="556"/>
      <c r="P406" s="558"/>
      <c r="Q406" s="1003"/>
      <c r="R406" s="1001"/>
      <c r="S406" s="1002"/>
    </row>
    <row r="407" spans="1:19" hidden="1">
      <c r="A407" s="987">
        <f t="shared" ref="A407:A421" si="35">A406+1</f>
        <v>386</v>
      </c>
      <c r="B407" s="702" t="s">
        <v>98</v>
      </c>
      <c r="C407" s="702"/>
      <c r="D407" s="702"/>
      <c r="E407" s="618">
        <f t="shared" si="31"/>
        <v>15</v>
      </c>
      <c r="F407" s="619">
        <f>'7" 26# Deck Tally'!C385</f>
        <v>33.4</v>
      </c>
      <c r="G407" s="619">
        <f t="shared" si="28"/>
        <v>33.001999999999995</v>
      </c>
      <c r="H407" s="982" t="s">
        <v>11</v>
      </c>
      <c r="I407" s="982">
        <f t="shared" si="33"/>
        <v>12643.533999999996</v>
      </c>
      <c r="J407" s="982">
        <f t="shared" si="34"/>
        <v>119.52600000000348</v>
      </c>
      <c r="K407" s="986">
        <f t="shared" si="32"/>
        <v>406.5054693323147</v>
      </c>
      <c r="L407" s="540"/>
      <c r="M407" s="532"/>
      <c r="N407" s="555"/>
      <c r="O407" s="556"/>
      <c r="P407" s="558"/>
      <c r="Q407" s="1003"/>
      <c r="R407" s="1001"/>
      <c r="S407" s="1002"/>
    </row>
    <row r="408" spans="1:19" hidden="1">
      <c r="A408" s="507">
        <f t="shared" si="35"/>
        <v>387</v>
      </c>
      <c r="B408" s="702" t="s">
        <v>98</v>
      </c>
      <c r="C408" s="702"/>
      <c r="D408" s="702"/>
      <c r="E408" s="618">
        <f t="shared" si="31"/>
        <v>14</v>
      </c>
      <c r="F408" s="619">
        <f>'7" 26# Deck Tally'!C386</f>
        <v>33.29</v>
      </c>
      <c r="G408" s="619">
        <f t="shared" si="28"/>
        <v>32.891999999999996</v>
      </c>
      <c r="H408" s="982" t="s">
        <v>11</v>
      </c>
      <c r="I408" s="982">
        <f t="shared" si="33"/>
        <v>12643.533999999996</v>
      </c>
      <c r="J408" s="982">
        <f t="shared" si="34"/>
        <v>119.52600000000348</v>
      </c>
      <c r="K408" s="370">
        <f t="shared" si="32"/>
        <v>406.5054693323147</v>
      </c>
      <c r="L408" s="540"/>
      <c r="M408" s="532"/>
      <c r="N408" s="555"/>
      <c r="O408" s="556"/>
      <c r="P408" s="558"/>
      <c r="Q408" s="1003"/>
      <c r="R408" s="1001"/>
      <c r="S408" s="1002"/>
    </row>
    <row r="409" spans="1:19" hidden="1">
      <c r="A409" s="507">
        <f t="shared" si="35"/>
        <v>388</v>
      </c>
      <c r="B409" s="702" t="s">
        <v>98</v>
      </c>
      <c r="C409" s="702"/>
      <c r="D409" s="702"/>
      <c r="E409" s="618">
        <f t="shared" si="31"/>
        <v>13</v>
      </c>
      <c r="F409" s="619">
        <f>'7" 26# Deck Tally'!C387</f>
        <v>33.409999999999997</v>
      </c>
      <c r="G409" s="619">
        <f t="shared" si="28"/>
        <v>33.011999999999993</v>
      </c>
      <c r="H409" s="982" t="s">
        <v>11</v>
      </c>
      <c r="I409" s="982">
        <f t="shared" si="33"/>
        <v>12643.533999999996</v>
      </c>
      <c r="J409" s="982">
        <f t="shared" si="34"/>
        <v>119.52600000000348</v>
      </c>
      <c r="K409" s="236">
        <f t="shared" si="32"/>
        <v>406.5054693323147</v>
      </c>
      <c r="L409" s="540"/>
      <c r="M409" s="532"/>
      <c r="N409" s="555"/>
      <c r="O409" s="556"/>
      <c r="P409" s="558"/>
      <c r="Q409" s="1003"/>
      <c r="R409" s="1001"/>
      <c r="S409" s="1002"/>
    </row>
    <row r="410" spans="1:19" hidden="1">
      <c r="A410" s="507">
        <f t="shared" si="35"/>
        <v>389</v>
      </c>
      <c r="B410" s="702" t="s">
        <v>98</v>
      </c>
      <c r="C410" s="702"/>
      <c r="D410" s="702"/>
      <c r="E410" s="618">
        <f t="shared" si="31"/>
        <v>12</v>
      </c>
      <c r="F410" s="619">
        <f>'7" 26# Deck Tally'!C388</f>
        <v>33.56</v>
      </c>
      <c r="G410" s="619">
        <f t="shared" si="28"/>
        <v>33.161999999999999</v>
      </c>
      <c r="H410" s="982" t="s">
        <v>11</v>
      </c>
      <c r="I410" s="982">
        <f t="shared" si="33"/>
        <v>12643.533999999996</v>
      </c>
      <c r="J410" s="982">
        <f t="shared" si="34"/>
        <v>119.52600000000348</v>
      </c>
      <c r="K410" s="370">
        <f t="shared" si="32"/>
        <v>406.5054693323147</v>
      </c>
      <c r="L410" s="540"/>
      <c r="M410" s="532"/>
      <c r="N410" s="555"/>
      <c r="O410" s="556"/>
      <c r="P410" s="558"/>
      <c r="Q410" s="1003"/>
      <c r="R410" s="1001"/>
      <c r="S410" s="1002"/>
    </row>
    <row r="411" spans="1:19" hidden="1">
      <c r="A411" s="507">
        <f t="shared" si="35"/>
        <v>390</v>
      </c>
      <c r="B411" s="702" t="s">
        <v>98</v>
      </c>
      <c r="C411" s="702"/>
      <c r="D411" s="702"/>
      <c r="E411" s="618">
        <f t="shared" si="31"/>
        <v>11</v>
      </c>
      <c r="F411" s="619">
        <f>'7" 26# Deck Tally'!C389</f>
        <v>33.28</v>
      </c>
      <c r="G411" s="619">
        <f t="shared" si="28"/>
        <v>32.881999999999998</v>
      </c>
      <c r="H411" s="982" t="s">
        <v>11</v>
      </c>
      <c r="I411" s="982">
        <f t="shared" si="33"/>
        <v>12643.533999999996</v>
      </c>
      <c r="J411" s="982">
        <f t="shared" si="34"/>
        <v>119.52600000000348</v>
      </c>
      <c r="K411" s="370">
        <f t="shared" si="32"/>
        <v>406.5054693323147</v>
      </c>
      <c r="L411" s="540"/>
      <c r="M411" s="532"/>
      <c r="N411" s="555"/>
      <c r="O411" s="556"/>
      <c r="P411" s="558"/>
      <c r="Q411" s="1003"/>
      <c r="R411" s="1001"/>
      <c r="S411" s="1002"/>
    </row>
    <row r="412" spans="1:19" hidden="1">
      <c r="A412" s="507">
        <f t="shared" si="35"/>
        <v>391</v>
      </c>
      <c r="B412" s="702" t="s">
        <v>98</v>
      </c>
      <c r="C412" s="702"/>
      <c r="D412" s="702"/>
      <c r="E412" s="618">
        <f t="shared" si="31"/>
        <v>10</v>
      </c>
      <c r="F412" s="619">
        <f>'7" 26# Deck Tally'!C390</f>
        <v>33.520000000000003</v>
      </c>
      <c r="G412" s="619">
        <f t="shared" si="28"/>
        <v>33.122</v>
      </c>
      <c r="H412" s="982" t="s">
        <v>11</v>
      </c>
      <c r="I412" s="982">
        <f t="shared" si="33"/>
        <v>12643.533999999996</v>
      </c>
      <c r="J412" s="982">
        <f t="shared" si="34"/>
        <v>119.52600000000348</v>
      </c>
      <c r="K412" s="370">
        <f t="shared" si="32"/>
        <v>406.5054693323147</v>
      </c>
      <c r="L412" s="540"/>
      <c r="M412" s="532"/>
      <c r="N412" s="555"/>
      <c r="O412" s="556"/>
      <c r="P412" s="558"/>
      <c r="Q412" s="1003"/>
      <c r="R412" s="1001"/>
      <c r="S412" s="1002"/>
    </row>
    <row r="413" spans="1:19" hidden="1">
      <c r="A413" s="507">
        <f t="shared" si="35"/>
        <v>392</v>
      </c>
      <c r="B413" s="702" t="s">
        <v>98</v>
      </c>
      <c r="C413" s="702"/>
      <c r="D413" s="702"/>
      <c r="E413" s="618">
        <f t="shared" si="31"/>
        <v>9</v>
      </c>
      <c r="F413" s="619">
        <f>'7" 26# Deck Tally'!C391</f>
        <v>33.26</v>
      </c>
      <c r="G413" s="619">
        <f t="shared" si="28"/>
        <v>32.861999999999995</v>
      </c>
      <c r="H413" s="982" t="s">
        <v>11</v>
      </c>
      <c r="I413" s="982">
        <f t="shared" si="33"/>
        <v>12643.533999999996</v>
      </c>
      <c r="J413" s="982">
        <f t="shared" si="34"/>
        <v>119.52600000000348</v>
      </c>
      <c r="K413" s="370">
        <f t="shared" si="32"/>
        <v>406.5054693323147</v>
      </c>
      <c r="L413" s="540"/>
      <c r="M413" s="532"/>
      <c r="N413" s="555"/>
      <c r="O413" s="556"/>
      <c r="P413" s="558"/>
      <c r="Q413" s="1003"/>
      <c r="R413" s="1001"/>
      <c r="S413" s="1002"/>
    </row>
    <row r="414" spans="1:19" hidden="1">
      <c r="A414" s="507">
        <f t="shared" si="35"/>
        <v>393</v>
      </c>
      <c r="B414" s="702" t="s">
        <v>98</v>
      </c>
      <c r="C414" s="702"/>
      <c r="D414" s="702"/>
      <c r="E414" s="618">
        <f t="shared" si="31"/>
        <v>8</v>
      </c>
      <c r="F414" s="619">
        <f>'7" 26# Deck Tally'!C392</f>
        <v>33.58</v>
      </c>
      <c r="G414" s="619">
        <f t="shared" si="28"/>
        <v>33.181999999999995</v>
      </c>
      <c r="H414" s="982" t="s">
        <v>11</v>
      </c>
      <c r="I414" s="982">
        <f t="shared" si="33"/>
        <v>12643.533999999996</v>
      </c>
      <c r="J414" s="982">
        <f t="shared" si="34"/>
        <v>119.52600000000348</v>
      </c>
      <c r="K414" s="236">
        <f t="shared" si="32"/>
        <v>406.5054693323147</v>
      </c>
      <c r="L414" s="540"/>
      <c r="M414" s="532"/>
      <c r="N414" s="555"/>
      <c r="O414" s="556"/>
      <c r="P414" s="558"/>
      <c r="Q414" s="1003"/>
      <c r="R414" s="1001"/>
      <c r="S414" s="1002"/>
    </row>
    <row r="415" spans="1:19" hidden="1">
      <c r="A415" s="507">
        <f t="shared" si="35"/>
        <v>394</v>
      </c>
      <c r="B415" s="702" t="s">
        <v>98</v>
      </c>
      <c r="C415" s="702"/>
      <c r="D415" s="702"/>
      <c r="E415" s="618">
        <f t="shared" si="31"/>
        <v>7</v>
      </c>
      <c r="F415" s="619">
        <f>'7" 26# Deck Tally'!C393</f>
        <v>33.159999999999997</v>
      </c>
      <c r="G415" s="619">
        <f t="shared" si="28"/>
        <v>32.761999999999993</v>
      </c>
      <c r="H415" s="982" t="s">
        <v>11</v>
      </c>
      <c r="I415" s="982">
        <f t="shared" si="33"/>
        <v>12643.533999999996</v>
      </c>
      <c r="J415" s="982">
        <f t="shared" si="34"/>
        <v>119.52600000000348</v>
      </c>
      <c r="K415" s="370">
        <f t="shared" si="32"/>
        <v>406.5054693323147</v>
      </c>
      <c r="L415" s="540"/>
      <c r="M415" s="532"/>
      <c r="N415" s="555"/>
      <c r="O415" s="556"/>
      <c r="P415" s="558"/>
      <c r="Q415" s="1003"/>
      <c r="R415" s="1001"/>
      <c r="S415" s="1002"/>
    </row>
    <row r="416" spans="1:19" hidden="1">
      <c r="A416" s="507">
        <f t="shared" si="35"/>
        <v>395</v>
      </c>
      <c r="B416" s="702" t="s">
        <v>98</v>
      </c>
      <c r="C416" s="702"/>
      <c r="D416" s="702"/>
      <c r="E416" s="618">
        <f t="shared" si="31"/>
        <v>6</v>
      </c>
      <c r="F416" s="619">
        <f>'7" 26# Deck Tally'!C394</f>
        <v>33.42</v>
      </c>
      <c r="G416" s="619">
        <f t="shared" si="28"/>
        <v>33.021999999999998</v>
      </c>
      <c r="H416" s="982" t="s">
        <v>11</v>
      </c>
      <c r="I416" s="982">
        <f t="shared" si="33"/>
        <v>12643.533999999996</v>
      </c>
      <c r="J416" s="982">
        <f t="shared" si="34"/>
        <v>119.52600000000348</v>
      </c>
      <c r="K416" s="370">
        <f t="shared" si="32"/>
        <v>406.5054693323147</v>
      </c>
      <c r="L416" s="540"/>
      <c r="M416" s="532"/>
      <c r="N416" s="555"/>
      <c r="O416" s="556"/>
      <c r="P416" s="558"/>
      <c r="Q416" s="1003"/>
      <c r="R416" s="1001"/>
      <c r="S416" s="1002"/>
    </row>
    <row r="417" spans="1:19" hidden="1">
      <c r="A417" s="507">
        <f t="shared" si="35"/>
        <v>396</v>
      </c>
      <c r="B417" s="702" t="s">
        <v>98</v>
      </c>
      <c r="C417" s="702"/>
      <c r="D417" s="702"/>
      <c r="E417" s="618">
        <f t="shared" si="31"/>
        <v>5</v>
      </c>
      <c r="F417" s="619">
        <f>'7" 26# Deck Tally'!C395</f>
        <v>33.950000000000003</v>
      </c>
      <c r="G417" s="619">
        <f t="shared" si="28"/>
        <v>33.552</v>
      </c>
      <c r="H417" s="982" t="s">
        <v>11</v>
      </c>
      <c r="I417" s="982">
        <f t="shared" si="33"/>
        <v>12643.533999999996</v>
      </c>
      <c r="J417" s="982">
        <f t="shared" si="34"/>
        <v>119.52600000000348</v>
      </c>
      <c r="K417" s="370">
        <f t="shared" si="32"/>
        <v>406.5054693323147</v>
      </c>
      <c r="L417" s="540"/>
      <c r="M417" s="532"/>
      <c r="N417" s="555"/>
      <c r="O417" s="556"/>
      <c r="P417" s="558"/>
      <c r="Q417" s="1003"/>
      <c r="R417" s="1001"/>
      <c r="S417" s="1002"/>
    </row>
    <row r="418" spans="1:19" hidden="1">
      <c r="A418" s="507">
        <f t="shared" si="35"/>
        <v>397</v>
      </c>
      <c r="B418" s="702" t="s">
        <v>98</v>
      </c>
      <c r="C418" s="702"/>
      <c r="D418" s="702"/>
      <c r="E418" s="618">
        <f t="shared" si="31"/>
        <v>4</v>
      </c>
      <c r="F418" s="619">
        <f>'7" 26# Deck Tally'!C396</f>
        <v>33.17</v>
      </c>
      <c r="G418" s="619">
        <f t="shared" si="28"/>
        <v>32.771999999999998</v>
      </c>
      <c r="H418" s="982" t="s">
        <v>11</v>
      </c>
      <c r="I418" s="982">
        <f t="shared" si="33"/>
        <v>12643.533999999996</v>
      </c>
      <c r="J418" s="982">
        <f t="shared" si="34"/>
        <v>119.52600000000348</v>
      </c>
      <c r="K418" s="370">
        <f t="shared" si="32"/>
        <v>406.5054693323147</v>
      </c>
      <c r="L418" s="540"/>
      <c r="M418" s="532"/>
      <c r="N418" s="555"/>
      <c r="O418" s="556"/>
      <c r="P418" s="558"/>
      <c r="Q418" s="1003"/>
      <c r="R418" s="1001"/>
      <c r="S418" s="1002"/>
    </row>
    <row r="419" spans="1:19" hidden="1">
      <c r="A419" s="507">
        <f t="shared" si="35"/>
        <v>398</v>
      </c>
      <c r="B419" s="702" t="s">
        <v>98</v>
      </c>
      <c r="C419" s="702"/>
      <c r="D419" s="702"/>
      <c r="E419" s="618">
        <f t="shared" si="31"/>
        <v>3</v>
      </c>
      <c r="F419" s="619">
        <f>'7" 26# Deck Tally'!C397</f>
        <v>33.94</v>
      </c>
      <c r="G419" s="619">
        <f t="shared" si="28"/>
        <v>33.541999999999994</v>
      </c>
      <c r="H419" s="982" t="s">
        <v>11</v>
      </c>
      <c r="I419" s="982">
        <f t="shared" si="33"/>
        <v>12643.533999999996</v>
      </c>
      <c r="J419" s="982">
        <f t="shared" si="34"/>
        <v>119.52600000000348</v>
      </c>
      <c r="K419" s="370">
        <f t="shared" si="32"/>
        <v>406.5054693323147</v>
      </c>
      <c r="L419" s="540"/>
      <c r="M419" s="532"/>
      <c r="N419" s="555"/>
      <c r="O419" s="556"/>
      <c r="P419" s="558"/>
      <c r="Q419" s="1003"/>
      <c r="R419" s="1001"/>
      <c r="S419" s="1002"/>
    </row>
    <row r="420" spans="1:19" hidden="1">
      <c r="A420" s="507">
        <f t="shared" si="35"/>
        <v>399</v>
      </c>
      <c r="B420" s="702" t="s">
        <v>98</v>
      </c>
      <c r="C420" s="702"/>
      <c r="D420" s="702"/>
      <c r="E420" s="618">
        <f t="shared" si="31"/>
        <v>2</v>
      </c>
      <c r="F420" s="619">
        <f>'7" 26# Deck Tally'!C398</f>
        <v>31.92</v>
      </c>
      <c r="G420" s="619">
        <f t="shared" si="28"/>
        <v>31.522000000000002</v>
      </c>
      <c r="H420" s="982" t="s">
        <v>11</v>
      </c>
      <c r="I420" s="982">
        <f t="shared" si="33"/>
        <v>12643.533999999996</v>
      </c>
      <c r="J420" s="982">
        <f t="shared" si="34"/>
        <v>119.52600000000348</v>
      </c>
      <c r="K420" s="370">
        <f t="shared" si="32"/>
        <v>406.5054693323147</v>
      </c>
      <c r="L420" s="540"/>
      <c r="M420" s="532"/>
      <c r="N420" s="555"/>
      <c r="O420" s="556"/>
      <c r="P420" s="558"/>
      <c r="Q420" s="1003"/>
      <c r="R420" s="1001"/>
      <c r="S420" s="1002"/>
    </row>
    <row r="421" spans="1:19" ht="13" hidden="1" thickBot="1">
      <c r="A421" s="507">
        <f t="shared" si="35"/>
        <v>400</v>
      </c>
      <c r="B421" s="988" t="s">
        <v>98</v>
      </c>
      <c r="C421" s="988"/>
      <c r="D421" s="988"/>
      <c r="E421" s="989">
        <f t="shared" si="31"/>
        <v>1</v>
      </c>
      <c r="F421" s="990">
        <f>'7" 26# Deck Tally'!C399</f>
        <v>33.76</v>
      </c>
      <c r="G421" s="990">
        <f t="shared" si="28"/>
        <v>33.361999999999995</v>
      </c>
      <c r="H421" s="982" t="s">
        <v>11</v>
      </c>
      <c r="I421" s="982">
        <f t="shared" si="33"/>
        <v>12643.533999999996</v>
      </c>
      <c r="J421" s="982">
        <f t="shared" si="34"/>
        <v>119.52600000000348</v>
      </c>
      <c r="K421" s="370">
        <f t="shared" si="32"/>
        <v>406.5054693323147</v>
      </c>
      <c r="L421" s="540"/>
      <c r="M421" s="532"/>
      <c r="N421" s="555"/>
      <c r="O421" s="556"/>
      <c r="P421" s="558"/>
      <c r="Q421" s="1003"/>
      <c r="R421" s="1001"/>
      <c r="S421" s="1002"/>
    </row>
    <row r="422" spans="1:19" ht="13" hidden="1" thickBot="1">
      <c r="A422" s="565"/>
      <c r="B422" s="839" t="s">
        <v>92</v>
      </c>
      <c r="C422" s="840"/>
      <c r="D422" s="469" t="s">
        <v>111</v>
      </c>
      <c r="E422" s="470" t="s">
        <v>225</v>
      </c>
      <c r="F422" s="237">
        <v>33.21</v>
      </c>
      <c r="G422" s="237">
        <f t="shared" si="28"/>
        <v>32.811999999999998</v>
      </c>
      <c r="H422" s="991" t="s">
        <v>11</v>
      </c>
      <c r="I422" s="991">
        <f t="shared" si="33"/>
        <v>12643.533999999996</v>
      </c>
      <c r="J422" s="991">
        <f t="shared" si="34"/>
        <v>119.52600000000348</v>
      </c>
      <c r="K422" s="637">
        <f t="shared" si="32"/>
        <v>406.5054693323147</v>
      </c>
      <c r="L422" s="815"/>
      <c r="M422" s="816"/>
      <c r="N422" s="555"/>
      <c r="O422" s="556"/>
      <c r="P422" s="551"/>
      <c r="Q422" s="1003"/>
      <c r="R422" s="1001"/>
      <c r="S422" s="1002"/>
    </row>
    <row r="423" spans="1:19" hidden="1">
      <c r="A423" s="565"/>
      <c r="B423" s="678" t="s">
        <v>233</v>
      </c>
      <c r="C423" s="679"/>
      <c r="D423" s="679"/>
      <c r="E423" s="680"/>
      <c r="F423" s="567">
        <v>3.5</v>
      </c>
      <c r="G423" s="521">
        <f t="shared" si="28"/>
        <v>3.1019999999999999</v>
      </c>
      <c r="H423" s="982" t="s">
        <v>11</v>
      </c>
      <c r="I423" s="982">
        <f t="shared" si="33"/>
        <v>12643.533999999996</v>
      </c>
      <c r="J423" s="982">
        <f t="shared" si="34"/>
        <v>119.52600000000348</v>
      </c>
      <c r="K423" s="638">
        <f t="shared" si="32"/>
        <v>406.5054693323147</v>
      </c>
      <c r="L423" s="577"/>
      <c r="M423" s="578"/>
      <c r="N423" s="555"/>
      <c r="O423" s="556"/>
      <c r="P423" s="551"/>
      <c r="Q423" s="1003"/>
      <c r="R423" s="1001"/>
      <c r="S423" s="1002"/>
    </row>
    <row r="424" spans="1:19" hidden="1">
      <c r="A424" s="565"/>
      <c r="B424" s="681" t="s">
        <v>234</v>
      </c>
      <c r="C424" s="682"/>
      <c r="D424" s="682"/>
      <c r="E424" s="683"/>
      <c r="F424" s="568">
        <v>10</v>
      </c>
      <c r="G424" s="612">
        <f>F424</f>
        <v>10</v>
      </c>
      <c r="H424" s="612" t="s">
        <v>11</v>
      </c>
      <c r="I424" s="612">
        <f t="shared" si="33"/>
        <v>12643.533999999996</v>
      </c>
      <c r="J424" s="612">
        <f t="shared" si="34"/>
        <v>119.52600000000348</v>
      </c>
      <c r="K424" s="236">
        <f t="shared" si="32"/>
        <v>406.5054693323147</v>
      </c>
      <c r="L424" s="577"/>
      <c r="M424" s="578"/>
      <c r="N424" s="555"/>
      <c r="O424" s="556"/>
      <c r="P424" s="551"/>
      <c r="Q424" s="1003"/>
      <c r="R424" s="1001"/>
      <c r="S424" s="1002"/>
    </row>
    <row r="425" spans="1:19">
      <c r="A425" s="565"/>
      <c r="B425" s="702" t="s">
        <v>98</v>
      </c>
      <c r="C425" s="702"/>
      <c r="D425" s="702"/>
      <c r="E425" s="995" t="s">
        <v>263</v>
      </c>
      <c r="F425" s="619">
        <f>'7" 26# Deck Tally'!G5</f>
        <v>3.21</v>
      </c>
      <c r="G425" s="619">
        <f t="shared" ref="G425:G426" si="36">F425-($F$9)</f>
        <v>2.8119999999999998</v>
      </c>
      <c r="H425" s="612" t="s">
        <v>9</v>
      </c>
      <c r="I425" s="612">
        <f t="shared" si="33"/>
        <v>12646.345999999996</v>
      </c>
      <c r="J425" s="612">
        <f t="shared" si="34"/>
        <v>116.71400000000358</v>
      </c>
      <c r="K425" s="993"/>
      <c r="L425" s="577"/>
      <c r="M425" s="578"/>
      <c r="N425" s="555"/>
      <c r="O425" s="556"/>
      <c r="P425" s="551"/>
    </row>
    <row r="426" spans="1:19" ht="13" thickBot="1">
      <c r="A426" s="565"/>
      <c r="B426" s="988" t="s">
        <v>98</v>
      </c>
      <c r="C426" s="988"/>
      <c r="D426" s="988"/>
      <c r="E426" s="995" t="s">
        <v>264</v>
      </c>
      <c r="F426" s="990">
        <f>'7" 26# Deck Tally'!G9</f>
        <v>10.210000000000001</v>
      </c>
      <c r="G426" s="529">
        <f t="shared" si="36"/>
        <v>9.8120000000000012</v>
      </c>
      <c r="H426" s="612" t="s">
        <v>9</v>
      </c>
      <c r="I426" s="529">
        <f t="shared" si="33"/>
        <v>12656.157999999996</v>
      </c>
      <c r="J426" s="529">
        <f t="shared" si="34"/>
        <v>106.90200000000368</v>
      </c>
      <c r="K426" s="994"/>
      <c r="L426" s="577"/>
      <c r="M426" s="578"/>
      <c r="N426" s="555"/>
      <c r="O426" s="556"/>
      <c r="P426" s="551"/>
    </row>
    <row r="427" spans="1:19" ht="13" customHeight="1">
      <c r="A427" s="564"/>
      <c r="B427" s="841" t="s">
        <v>208</v>
      </c>
      <c r="C427" s="819" t="s">
        <v>68</v>
      </c>
      <c r="D427" s="820"/>
      <c r="E427" s="821"/>
      <c r="F427" s="203">
        <f>'7" 26# Deck Tally'!Q4</f>
        <v>7.16</v>
      </c>
      <c r="G427" s="534">
        <f>F427-($F$9)</f>
        <v>6.7620000000000005</v>
      </c>
      <c r="H427" s="545" t="s">
        <v>9</v>
      </c>
      <c r="I427" s="996">
        <f t="shared" si="33"/>
        <v>12662.919999999996</v>
      </c>
      <c r="J427" s="996">
        <f t="shared" si="34"/>
        <v>100.14000000000306</v>
      </c>
      <c r="K427" s="640" t="s">
        <v>120</v>
      </c>
      <c r="L427" s="646"/>
      <c r="M427" s="647"/>
      <c r="N427" s="555"/>
      <c r="O427" s="601"/>
      <c r="P427" s="558"/>
    </row>
    <row r="428" spans="1:19" ht="13" customHeight="1" thickBot="1">
      <c r="A428" s="564"/>
      <c r="B428" s="842"/>
      <c r="C428" s="983" t="s">
        <v>235</v>
      </c>
      <c r="D428" s="984"/>
      <c r="E428" s="985"/>
      <c r="F428" s="547">
        <v>100.75</v>
      </c>
      <c r="G428" s="542">
        <f>F428</f>
        <v>100.75</v>
      </c>
      <c r="H428" s="992" t="s">
        <v>9</v>
      </c>
      <c r="I428" s="992">
        <f t="shared" si="33"/>
        <v>12763.669999999996</v>
      </c>
      <c r="J428" s="992">
        <f t="shared" si="34"/>
        <v>-0.6099999999969441</v>
      </c>
      <c r="K428" s="641" t="s">
        <v>231</v>
      </c>
      <c r="L428" s="646"/>
      <c r="M428" s="647"/>
      <c r="N428" s="462"/>
      <c r="O428" s="650"/>
      <c r="P428" s="558"/>
      <c r="R428" s="527"/>
    </row>
    <row r="429" spans="1:19" ht="13" customHeight="1" thickBot="1">
      <c r="A429" s="564"/>
      <c r="B429" s="843"/>
      <c r="C429" s="844" t="s">
        <v>69</v>
      </c>
      <c r="D429" s="845"/>
      <c r="E429" s="845"/>
      <c r="F429" s="846"/>
      <c r="G429" s="237">
        <f>0.61*-1</f>
        <v>-0.61</v>
      </c>
      <c r="H429" s="992" t="s">
        <v>9</v>
      </c>
      <c r="I429" s="992">
        <f t="shared" si="33"/>
        <v>12763.059999999996</v>
      </c>
      <c r="J429" s="992">
        <f t="shared" si="34"/>
        <v>3.637978807091713E-12</v>
      </c>
      <c r="K429" s="657"/>
      <c r="L429" s="646"/>
      <c r="M429" s="648"/>
      <c r="N429" s="561"/>
      <c r="O429" s="650"/>
      <c r="P429" s="558"/>
      <c r="R429" s="527"/>
    </row>
    <row r="430" spans="1:19" ht="13" hidden="1" customHeight="1" thickBot="1">
      <c r="A430" s="564"/>
      <c r="B430" s="696"/>
      <c r="C430" s="697"/>
      <c r="D430" s="697"/>
      <c r="E430" s="698"/>
      <c r="F430" s="583"/>
      <c r="G430" s="521"/>
      <c r="H430" s="521"/>
      <c r="I430" s="521"/>
      <c r="J430" s="521"/>
      <c r="K430" s="638"/>
      <c r="L430" s="646"/>
      <c r="M430" s="647"/>
      <c r="N430" s="561"/>
      <c r="O430" s="650"/>
      <c r="P430" s="558"/>
      <c r="R430" s="527"/>
    </row>
    <row r="431" spans="1:19" ht="13" hidden="1" customHeight="1" thickTop="1" thickBot="1">
      <c r="A431" s="564"/>
      <c r="B431" s="669" t="s">
        <v>235</v>
      </c>
      <c r="C431" s="670"/>
      <c r="D431" s="670"/>
      <c r="E431" s="671"/>
      <c r="F431" s="587">
        <v>99.83</v>
      </c>
      <c r="G431" s="588"/>
      <c r="H431" s="588"/>
      <c r="I431" s="588"/>
      <c r="J431" s="588"/>
      <c r="K431" s="642"/>
      <c r="L431" s="646"/>
      <c r="M431" s="647"/>
      <c r="N431" s="561"/>
      <c r="O431" s="650"/>
      <c r="P431" s="558"/>
      <c r="R431" s="527"/>
    </row>
    <row r="432" spans="1:19" ht="13" hidden="1" customHeight="1" thickBot="1">
      <c r="A432" s="564"/>
      <c r="B432" s="654"/>
      <c r="C432" s="581"/>
      <c r="D432" s="581"/>
      <c r="E432" s="582"/>
      <c r="F432" s="584"/>
      <c r="G432" s="529"/>
      <c r="H432" s="529"/>
      <c r="I432" s="529"/>
      <c r="J432" s="529"/>
      <c r="K432" s="236"/>
      <c r="L432" s="646"/>
      <c r="M432" s="647"/>
      <c r="N432" s="561"/>
      <c r="O432" s="650"/>
      <c r="P432" s="558"/>
      <c r="R432" s="527"/>
    </row>
    <row r="433" spans="1:26" ht="13" hidden="1" customHeight="1">
      <c r="A433" s="658" t="s">
        <v>240</v>
      </c>
      <c r="B433" s="699" t="s">
        <v>236</v>
      </c>
      <c r="C433" s="700"/>
      <c r="D433" s="700"/>
      <c r="E433" s="701"/>
      <c r="F433" s="583">
        <v>6.54</v>
      </c>
      <c r="G433" s="521">
        <f>F433-E9</f>
        <v>6.2247500000000002</v>
      </c>
      <c r="H433" s="521"/>
      <c r="I433" s="521"/>
      <c r="J433" s="661">
        <f>SUM(G428:G435)-F431</f>
        <v>91.084250000000011</v>
      </c>
      <c r="K433" s="663" t="s">
        <v>241</v>
      </c>
      <c r="L433" s="646"/>
      <c r="M433" s="647"/>
      <c r="N433" s="561"/>
      <c r="O433" s="650"/>
      <c r="P433" s="558"/>
      <c r="R433" s="527"/>
    </row>
    <row r="434" spans="1:26" ht="13" hidden="1" customHeight="1">
      <c r="A434" s="659"/>
      <c r="B434" s="693" t="s">
        <v>237</v>
      </c>
      <c r="C434" s="694"/>
      <c r="D434" s="694"/>
      <c r="E434" s="695"/>
      <c r="F434" s="584">
        <v>42.07</v>
      </c>
      <c r="G434" s="529">
        <f>F434-E9</f>
        <v>41.754750000000001</v>
      </c>
      <c r="H434" s="529"/>
      <c r="I434" s="529"/>
      <c r="J434" s="662"/>
      <c r="K434" s="664"/>
      <c r="L434" s="646"/>
      <c r="M434" s="647"/>
      <c r="N434" s="561"/>
      <c r="O434" s="650"/>
      <c r="P434" s="558"/>
      <c r="R434" s="527"/>
    </row>
    <row r="435" spans="1:26" ht="13" hidden="1" customHeight="1">
      <c r="A435" s="659"/>
      <c r="B435" s="693" t="s">
        <v>238</v>
      </c>
      <c r="C435" s="694"/>
      <c r="D435" s="694"/>
      <c r="E435" s="695"/>
      <c r="F435" s="584">
        <v>43.11</v>
      </c>
      <c r="G435" s="529">
        <f>F435-E9</f>
        <v>42.794750000000001</v>
      </c>
      <c r="H435" s="529"/>
      <c r="I435" s="529"/>
      <c r="J435" s="662"/>
      <c r="K435" s="664"/>
      <c r="L435" s="646"/>
      <c r="M435" s="647"/>
      <c r="N435" s="561"/>
      <c r="O435" s="650"/>
      <c r="P435" s="558"/>
      <c r="R435" s="527"/>
    </row>
    <row r="436" spans="1:26" ht="13.5" hidden="1" thickBot="1">
      <c r="A436" s="660"/>
      <c r="B436" s="690" t="s">
        <v>239</v>
      </c>
      <c r="C436" s="691"/>
      <c r="D436" s="691"/>
      <c r="E436" s="692"/>
      <c r="F436" s="585">
        <v>3.86</v>
      </c>
      <c r="G436" s="585">
        <f>F436-E9</f>
        <v>3.5447500000000001</v>
      </c>
      <c r="H436" s="585"/>
      <c r="I436" s="585"/>
      <c r="J436" s="586"/>
      <c r="K436" s="643"/>
      <c r="L436" s="646"/>
      <c r="M436" s="647"/>
      <c r="N436" s="561"/>
      <c r="O436" s="650"/>
      <c r="P436" s="558"/>
      <c r="R436" s="527"/>
    </row>
    <row r="437" spans="1:26" s="28" customFormat="1">
      <c r="B437" s="651"/>
      <c r="C437" s="651"/>
      <c r="D437" s="12"/>
      <c r="E437" s="193"/>
      <c r="F437" s="8"/>
      <c r="G437" s="8"/>
      <c r="H437" s="8"/>
      <c r="I437" s="530"/>
      <c r="J437" s="8"/>
      <c r="K437" s="533"/>
      <c r="L437" s="525"/>
      <c r="M437" s="524"/>
      <c r="P437" s="395"/>
      <c r="Q437" s="386"/>
      <c r="R437" s="536"/>
    </row>
    <row r="438" spans="1:26" s="28" customFormat="1">
      <c r="B438" s="651"/>
      <c r="C438" s="651"/>
      <c r="D438" s="12"/>
      <c r="E438" s="193"/>
      <c r="F438" s="8"/>
      <c r="G438" s="8"/>
      <c r="H438" s="8"/>
      <c r="I438" s="530"/>
      <c r="J438" s="8"/>
      <c r="K438" s="533"/>
      <c r="L438" s="524"/>
      <c r="M438" s="524"/>
      <c r="N438" s="536"/>
      <c r="O438" s="536"/>
      <c r="P438" s="199"/>
      <c r="Q438" s="386"/>
      <c r="R438" s="536"/>
    </row>
    <row r="439" spans="1:26" s="28" customFormat="1">
      <c r="B439" s="651"/>
      <c r="C439" s="651"/>
      <c r="D439" s="12"/>
      <c r="E439" s="193"/>
      <c r="F439" s="8"/>
      <c r="G439" s="8"/>
      <c r="H439" s="8"/>
      <c r="I439" s="530"/>
      <c r="J439" s="8"/>
      <c r="K439" s="533"/>
      <c r="L439" s="524"/>
      <c r="M439" s="372"/>
      <c r="N439" s="456"/>
      <c r="O439" s="536"/>
      <c r="P439" s="395"/>
      <c r="Q439" s="386"/>
      <c r="R439" s="536"/>
    </row>
    <row r="440" spans="1:26" s="28" customFormat="1">
      <c r="B440" s="651"/>
      <c r="C440" s="651"/>
      <c r="D440" s="12"/>
      <c r="E440" s="193"/>
      <c r="F440" s="8"/>
      <c r="G440" s="8"/>
      <c r="H440" s="8"/>
      <c r="I440" s="530"/>
      <c r="J440" s="8"/>
      <c r="K440" s="533"/>
      <c r="L440" s="524"/>
      <c r="M440" s="524"/>
      <c r="P440" s="199"/>
      <c r="Q440" s="386"/>
    </row>
    <row r="441" spans="1:26" s="28" customFormat="1">
      <c r="B441" s="651"/>
      <c r="C441" s="651"/>
      <c r="D441" s="12"/>
      <c r="E441" s="193"/>
      <c r="F441" s="8"/>
      <c r="G441" s="8"/>
      <c r="H441" s="8"/>
      <c r="I441" s="530"/>
      <c r="J441" s="8"/>
      <c r="K441" s="533"/>
      <c r="L441" s="524"/>
      <c r="M441" s="372"/>
      <c r="P441" s="199"/>
      <c r="Q441" s="386"/>
    </row>
    <row r="442" spans="1:26" s="28" customFormat="1">
      <c r="B442" s="651"/>
      <c r="C442" s="651"/>
      <c r="D442" s="12"/>
      <c r="E442" s="193"/>
      <c r="F442" s="8"/>
      <c r="G442" s="8"/>
      <c r="H442" s="8"/>
      <c r="I442" s="530"/>
      <c r="J442" s="8"/>
      <c r="K442" s="533"/>
      <c r="L442" s="524"/>
      <c r="M442" s="524"/>
      <c r="P442" s="199"/>
      <c r="Q442" s="386"/>
    </row>
    <row r="443" spans="1:26" s="28" customFormat="1">
      <c r="B443" s="651"/>
      <c r="C443" s="651"/>
      <c r="D443" s="12"/>
      <c r="E443" s="193"/>
      <c r="F443" s="8"/>
      <c r="G443" s="8"/>
      <c r="H443" s="8"/>
      <c r="I443" s="530"/>
      <c r="J443" s="8"/>
      <c r="K443" s="533"/>
      <c r="L443" s="524"/>
      <c r="M443" s="524"/>
      <c r="P443" s="199"/>
      <c r="Q443" s="386"/>
    </row>
    <row r="444" spans="1:26" s="28" customFormat="1">
      <c r="B444" s="651"/>
      <c r="C444" s="651"/>
      <c r="D444" s="12"/>
      <c r="E444" s="193"/>
      <c r="F444" s="8"/>
      <c r="G444" s="8"/>
      <c r="H444" s="8"/>
      <c r="I444" s="530"/>
      <c r="J444" s="8"/>
      <c r="K444" s="533"/>
      <c r="L444" s="524"/>
      <c r="M444" s="524"/>
      <c r="P444" s="199"/>
      <c r="Q444" s="386"/>
    </row>
    <row r="445" spans="1:26" s="28" customFormat="1">
      <c r="B445" s="651"/>
      <c r="C445" s="651"/>
      <c r="D445" s="12"/>
      <c r="E445" s="193"/>
      <c r="F445" s="8"/>
      <c r="G445" s="8"/>
      <c r="H445" s="8"/>
      <c r="I445" s="530"/>
      <c r="J445" s="8"/>
      <c r="K445" s="533"/>
      <c r="L445" s="524"/>
      <c r="M445" s="524"/>
      <c r="P445" s="199"/>
      <c r="Q445" s="386"/>
    </row>
    <row r="446" spans="1:26" s="199" customFormat="1">
      <c r="B446" s="651"/>
      <c r="C446" s="651"/>
      <c r="D446" s="12"/>
      <c r="E446" s="193"/>
      <c r="F446" s="8"/>
      <c r="G446" s="8"/>
      <c r="H446" s="8"/>
      <c r="I446" s="530"/>
      <c r="J446" s="8"/>
      <c r="K446" s="533"/>
      <c r="L446" s="524"/>
      <c r="M446" s="524"/>
      <c r="Q446" s="388"/>
    </row>
    <row r="447" spans="1:26" s="28" customFormat="1" ht="14.15" customHeight="1">
      <c r="B447" s="651"/>
      <c r="C447" s="651"/>
      <c r="D447" s="12"/>
      <c r="E447" s="193"/>
      <c r="F447" s="8"/>
      <c r="G447" s="8"/>
      <c r="H447" s="8"/>
      <c r="I447" s="530"/>
      <c r="J447" s="8"/>
      <c r="K447" s="533"/>
      <c r="L447" s="814"/>
      <c r="M447" s="825"/>
      <c r="N447" s="826"/>
      <c r="O447" s="804"/>
      <c r="P447" s="804"/>
      <c r="Q447" s="571"/>
      <c r="R447" s="530"/>
      <c r="S447" s="530"/>
      <c r="T447" s="530"/>
      <c r="U447" s="530"/>
      <c r="V447" s="533"/>
      <c r="W447" s="572"/>
      <c r="X447" s="573"/>
      <c r="Y447" s="569"/>
      <c r="Z447" s="538"/>
    </row>
    <row r="448" spans="1:26" s="28" customFormat="1">
      <c r="B448" s="651"/>
      <c r="C448" s="651"/>
      <c r="D448" s="12"/>
      <c r="E448" s="193"/>
      <c r="F448" s="8"/>
      <c r="G448" s="8"/>
      <c r="H448" s="8"/>
      <c r="I448" s="530"/>
      <c r="J448" s="8"/>
      <c r="K448" s="533"/>
      <c r="L448" s="814"/>
      <c r="M448" s="825"/>
      <c r="N448" s="826"/>
      <c r="O448" s="804"/>
      <c r="P448" s="804"/>
      <c r="Q448" s="571"/>
      <c r="R448" s="530"/>
      <c r="S448" s="530"/>
      <c r="T448" s="530"/>
      <c r="U448" s="530"/>
      <c r="V448" s="533"/>
      <c r="W448" s="570"/>
      <c r="X448" s="570"/>
      <c r="Y448" s="569"/>
      <c r="Z448" s="538"/>
    </row>
    <row r="449" spans="2:26" s="28" customFormat="1">
      <c r="B449" s="651"/>
      <c r="C449" s="651"/>
      <c r="D449" s="12"/>
      <c r="E449" s="193"/>
      <c r="F449" s="8"/>
      <c r="G449" s="8"/>
      <c r="H449" s="8"/>
      <c r="I449" s="530"/>
      <c r="J449" s="8"/>
      <c r="K449" s="533"/>
      <c r="L449" s="814"/>
      <c r="M449" s="825"/>
      <c r="N449" s="826"/>
      <c r="O449" s="838"/>
      <c r="P449" s="838"/>
      <c r="Q449" s="574"/>
      <c r="R449" s="575"/>
      <c r="S449" s="575"/>
      <c r="T449" s="575"/>
      <c r="U449" s="575"/>
      <c r="V449" s="576"/>
      <c r="W449" s="570"/>
      <c r="X449" s="570"/>
      <c r="Y449" s="569"/>
      <c r="Z449" s="538"/>
    </row>
    <row r="450" spans="2:26" s="28" customFormat="1" ht="12.65" customHeight="1">
      <c r="B450" s="651"/>
      <c r="C450" s="651"/>
      <c r="D450" s="12"/>
      <c r="E450" s="193"/>
      <c r="F450" s="8"/>
      <c r="G450" s="8"/>
      <c r="H450" s="8"/>
      <c r="I450" s="530"/>
      <c r="J450" s="8"/>
      <c r="K450" s="533"/>
      <c r="L450" s="814"/>
      <c r="M450" s="825"/>
      <c r="N450" s="826"/>
      <c r="O450" s="804"/>
      <c r="P450" s="804"/>
      <c r="Q450" s="571"/>
      <c r="R450" s="530"/>
      <c r="S450" s="530"/>
      <c r="T450" s="530"/>
      <c r="U450" s="530"/>
      <c r="V450" s="533"/>
      <c r="W450" s="803"/>
      <c r="X450" s="803"/>
      <c r="Y450" s="569"/>
      <c r="Z450" s="538"/>
    </row>
    <row r="451" spans="2:26" ht="13" customHeight="1">
      <c r="B451" s="651"/>
      <c r="C451" s="651"/>
      <c r="D451" s="12"/>
      <c r="E451" s="193"/>
      <c r="F451" s="8"/>
      <c r="G451" s="8"/>
      <c r="H451" s="8"/>
      <c r="I451" s="530"/>
      <c r="J451" s="8"/>
      <c r="K451" s="533"/>
      <c r="L451" s="814"/>
      <c r="M451" s="825"/>
      <c r="N451" s="826"/>
      <c r="O451" s="804"/>
      <c r="P451" s="804"/>
      <c r="Q451" s="571"/>
      <c r="R451" s="530"/>
      <c r="S451" s="530"/>
      <c r="T451" s="530"/>
      <c r="U451" s="530"/>
      <c r="V451" s="533"/>
      <c r="W451" s="805"/>
      <c r="X451" s="805"/>
      <c r="Y451" s="569"/>
      <c r="Z451" s="538"/>
    </row>
    <row r="452" spans="2:26">
      <c r="B452" s="526"/>
      <c r="C452" s="526"/>
      <c r="D452" s="27"/>
      <c r="E452" s="526"/>
      <c r="F452" s="526"/>
      <c r="G452" s="505"/>
      <c r="H452" s="526"/>
      <c r="I452" s="526"/>
      <c r="J452" s="526"/>
      <c r="K452" s="526"/>
      <c r="M452" s="16"/>
    </row>
    <row r="453" spans="2:26">
      <c r="B453" s="526"/>
      <c r="C453" s="526"/>
      <c r="D453" s="27"/>
      <c r="E453" s="526"/>
      <c r="F453" s="526"/>
      <c r="G453" s="505"/>
      <c r="H453" s="526"/>
      <c r="I453" s="526"/>
      <c r="J453" s="526"/>
      <c r="K453" s="526"/>
      <c r="M453" s="16"/>
    </row>
    <row r="454" spans="2:26">
      <c r="B454" s="526"/>
      <c r="C454" s="526"/>
      <c r="D454" s="27"/>
      <c r="E454" s="526"/>
      <c r="F454" s="526"/>
      <c r="G454" s="505"/>
      <c r="H454" s="526"/>
      <c r="I454" s="526"/>
      <c r="J454" s="526"/>
      <c r="K454" s="526"/>
      <c r="M454" s="16"/>
    </row>
    <row r="455" spans="2:26">
      <c r="B455" s="526"/>
      <c r="C455" s="526"/>
      <c r="D455" s="27"/>
      <c r="E455" s="526"/>
      <c r="F455" s="526"/>
      <c r="G455" s="505"/>
      <c r="H455" s="526"/>
      <c r="I455" s="526"/>
      <c r="J455" s="526"/>
      <c r="K455" s="526"/>
      <c r="M455" s="16"/>
    </row>
    <row r="456" spans="2:26">
      <c r="B456" s="526"/>
      <c r="C456" s="526"/>
      <c r="D456" s="27"/>
      <c r="E456" s="526"/>
      <c r="F456" s="526"/>
      <c r="G456" s="505"/>
      <c r="H456" s="526"/>
      <c r="I456" s="526"/>
      <c r="J456" s="526"/>
      <c r="K456" s="526"/>
      <c r="M456" s="16"/>
    </row>
    <row r="457" spans="2:26">
      <c r="B457" s="526"/>
      <c r="C457" s="526"/>
      <c r="D457" s="27"/>
      <c r="E457" s="526"/>
      <c r="F457" s="526"/>
      <c r="G457" s="505"/>
      <c r="H457" s="526"/>
      <c r="I457" s="526"/>
      <c r="J457" s="526"/>
      <c r="K457" s="526"/>
      <c r="M457" s="16"/>
    </row>
    <row r="458" spans="2:26">
      <c r="B458" s="526"/>
      <c r="C458" s="526"/>
      <c r="D458" s="27"/>
      <c r="E458" s="526"/>
      <c r="F458" s="526"/>
      <c r="G458" s="505"/>
      <c r="H458" s="526"/>
      <c r="I458" s="526"/>
      <c r="J458" s="526"/>
      <c r="K458" s="526"/>
      <c r="M458" s="16"/>
    </row>
    <row r="459" spans="2:26">
      <c r="M459" s="16"/>
    </row>
    <row r="460" spans="2:26">
      <c r="M460" s="16"/>
    </row>
    <row r="461" spans="2:26">
      <c r="M461" s="16"/>
    </row>
    <row r="462" spans="2:26">
      <c r="L462" s="526"/>
    </row>
    <row r="463" spans="2:26">
      <c r="L463" s="526"/>
    </row>
    <row r="464" spans="2:26">
      <c r="L464" s="526"/>
    </row>
    <row r="465" spans="12:12">
      <c r="L465" s="526"/>
    </row>
    <row r="466" spans="12:12">
      <c r="L466" s="526"/>
    </row>
    <row r="467" spans="12:12">
      <c r="L467" s="526"/>
    </row>
    <row r="468" spans="12:12">
      <c r="L468" s="526"/>
    </row>
    <row r="469" spans="12:12">
      <c r="L469" s="526"/>
    </row>
    <row r="470" spans="12:12">
      <c r="L470" s="526"/>
    </row>
    <row r="471" spans="12:12">
      <c r="L471" s="526"/>
    </row>
    <row r="472" spans="12:12">
      <c r="L472" s="526"/>
    </row>
  </sheetData>
  <mergeCells count="499">
    <mergeCell ref="W450:X450"/>
    <mergeCell ref="O451:P451"/>
    <mergeCell ref="W451:X451"/>
    <mergeCell ref="B425:D425"/>
    <mergeCell ref="B426:D426"/>
    <mergeCell ref="L447:L451"/>
    <mergeCell ref="M447:M451"/>
    <mergeCell ref="N447:N451"/>
    <mergeCell ref="O447:P447"/>
    <mergeCell ref="O448:P448"/>
    <mergeCell ref="O449:P449"/>
    <mergeCell ref="O450:P450"/>
    <mergeCell ref="A433:A436"/>
    <mergeCell ref="B433:E433"/>
    <mergeCell ref="J433:J435"/>
    <mergeCell ref="K433:K435"/>
    <mergeCell ref="B434:E434"/>
    <mergeCell ref="B435:E435"/>
    <mergeCell ref="B436:E436"/>
    <mergeCell ref="B424:E424"/>
    <mergeCell ref="B427:B429"/>
    <mergeCell ref="C427:E427"/>
    <mergeCell ref="C428:E428"/>
    <mergeCell ref="C429:F429"/>
    <mergeCell ref="B430:E430"/>
    <mergeCell ref="B431:E431"/>
    <mergeCell ref="B419:D419"/>
    <mergeCell ref="B420:D420"/>
    <mergeCell ref="B421:D421"/>
    <mergeCell ref="B422:C422"/>
    <mergeCell ref="L422:M422"/>
    <mergeCell ref="B423:E423"/>
    <mergeCell ref="B413:D413"/>
    <mergeCell ref="B414:D414"/>
    <mergeCell ref="B415:D415"/>
    <mergeCell ref="B416:D416"/>
    <mergeCell ref="B417:D417"/>
    <mergeCell ref="B418:D418"/>
    <mergeCell ref="B407:D407"/>
    <mergeCell ref="B408:D408"/>
    <mergeCell ref="B409:D409"/>
    <mergeCell ref="B410:D410"/>
    <mergeCell ref="B411:D411"/>
    <mergeCell ref="B412:D412"/>
    <mergeCell ref="B401:D401"/>
    <mergeCell ref="B402:D402"/>
    <mergeCell ref="B403:D403"/>
    <mergeCell ref="B404:D404"/>
    <mergeCell ref="B405:D405"/>
    <mergeCell ref="B406:D406"/>
    <mergeCell ref="B395:D395"/>
    <mergeCell ref="B396:D396"/>
    <mergeCell ref="B397:D397"/>
    <mergeCell ref="B398:D398"/>
    <mergeCell ref="B399:D399"/>
    <mergeCell ref="B400:D400"/>
    <mergeCell ref="B389:D389"/>
    <mergeCell ref="B390:D390"/>
    <mergeCell ref="B391:D391"/>
    <mergeCell ref="B392:D392"/>
    <mergeCell ref="B393:D393"/>
    <mergeCell ref="B394:D394"/>
    <mergeCell ref="B383:D383"/>
    <mergeCell ref="B384:D384"/>
    <mergeCell ref="B385:D385"/>
    <mergeCell ref="B386:D386"/>
    <mergeCell ref="B387:D387"/>
    <mergeCell ref="B388:D388"/>
    <mergeCell ref="B377:D377"/>
    <mergeCell ref="B378:D378"/>
    <mergeCell ref="B379:D379"/>
    <mergeCell ref="B380:D380"/>
    <mergeCell ref="B381:D381"/>
    <mergeCell ref="B382:D382"/>
    <mergeCell ref="D372:E372"/>
    <mergeCell ref="L372:M372"/>
    <mergeCell ref="B373:D373"/>
    <mergeCell ref="B374:D374"/>
    <mergeCell ref="B375:D375"/>
    <mergeCell ref="B376:D376"/>
    <mergeCell ref="B367:D367"/>
    <mergeCell ref="A368:A372"/>
    <mergeCell ref="B368:B372"/>
    <mergeCell ref="C368:C372"/>
    <mergeCell ref="D368:E368"/>
    <mergeCell ref="D369:E369"/>
    <mergeCell ref="D370:E370"/>
    <mergeCell ref="D371:E371"/>
    <mergeCell ref="L371:M371"/>
    <mergeCell ref="B361:D361"/>
    <mergeCell ref="B362:D362"/>
    <mergeCell ref="B363:D363"/>
    <mergeCell ref="B364:D364"/>
    <mergeCell ref="B365:D365"/>
    <mergeCell ref="B366:D366"/>
    <mergeCell ref="B356:D356"/>
    <mergeCell ref="L356:M356"/>
    <mergeCell ref="B357:D357"/>
    <mergeCell ref="B358:D358"/>
    <mergeCell ref="B359:D359"/>
    <mergeCell ref="B360:D360"/>
    <mergeCell ref="B353:D353"/>
    <mergeCell ref="L353:M353"/>
    <mergeCell ref="B354:D354"/>
    <mergeCell ref="L354:M354"/>
    <mergeCell ref="B355:D355"/>
    <mergeCell ref="L355:M355"/>
    <mergeCell ref="B347:D347"/>
    <mergeCell ref="B348:D348"/>
    <mergeCell ref="B349:D349"/>
    <mergeCell ref="B350:D350"/>
    <mergeCell ref="B351:D351"/>
    <mergeCell ref="B352:D352"/>
    <mergeCell ref="B341:D341"/>
    <mergeCell ref="B342:D342"/>
    <mergeCell ref="B343:D343"/>
    <mergeCell ref="B344:D344"/>
    <mergeCell ref="B345:D345"/>
    <mergeCell ref="B346:D346"/>
    <mergeCell ref="B335:D335"/>
    <mergeCell ref="B336:D336"/>
    <mergeCell ref="B337:D337"/>
    <mergeCell ref="B338:D338"/>
    <mergeCell ref="B339:D339"/>
    <mergeCell ref="B340:D340"/>
    <mergeCell ref="B329:D329"/>
    <mergeCell ref="B330:D330"/>
    <mergeCell ref="B331:D331"/>
    <mergeCell ref="B332:D332"/>
    <mergeCell ref="B333:D333"/>
    <mergeCell ref="B334:D334"/>
    <mergeCell ref="B323:D323"/>
    <mergeCell ref="B324:D324"/>
    <mergeCell ref="B325:D325"/>
    <mergeCell ref="B326:D326"/>
    <mergeCell ref="B327:D327"/>
    <mergeCell ref="B328:D328"/>
    <mergeCell ref="B317:D317"/>
    <mergeCell ref="B318:D318"/>
    <mergeCell ref="B319:D319"/>
    <mergeCell ref="B320:D320"/>
    <mergeCell ref="B321:D321"/>
    <mergeCell ref="B322:D322"/>
    <mergeCell ref="B311:D311"/>
    <mergeCell ref="B312:D312"/>
    <mergeCell ref="B313:D313"/>
    <mergeCell ref="B314:D314"/>
    <mergeCell ref="B315:D315"/>
    <mergeCell ref="B316:D316"/>
    <mergeCell ref="B305:D305"/>
    <mergeCell ref="B306:D306"/>
    <mergeCell ref="B307:D307"/>
    <mergeCell ref="B308:D308"/>
    <mergeCell ref="B309:D309"/>
    <mergeCell ref="B310:D310"/>
    <mergeCell ref="B299:D299"/>
    <mergeCell ref="B300:D300"/>
    <mergeCell ref="B301:D301"/>
    <mergeCell ref="B302:D302"/>
    <mergeCell ref="B303:D303"/>
    <mergeCell ref="B304:D304"/>
    <mergeCell ref="B293:D293"/>
    <mergeCell ref="B294:D294"/>
    <mergeCell ref="B295:D295"/>
    <mergeCell ref="B296:D296"/>
    <mergeCell ref="B297:D297"/>
    <mergeCell ref="B298:D298"/>
    <mergeCell ref="B287:D287"/>
    <mergeCell ref="B288:D288"/>
    <mergeCell ref="B289:D289"/>
    <mergeCell ref="B290:D290"/>
    <mergeCell ref="B291:D291"/>
    <mergeCell ref="B292:D292"/>
    <mergeCell ref="B281:D281"/>
    <mergeCell ref="B282:D282"/>
    <mergeCell ref="B283:D283"/>
    <mergeCell ref="B284:D284"/>
    <mergeCell ref="B285:D285"/>
    <mergeCell ref="B286:D286"/>
    <mergeCell ref="B275:D275"/>
    <mergeCell ref="B276:D276"/>
    <mergeCell ref="B277:D277"/>
    <mergeCell ref="B278:D278"/>
    <mergeCell ref="B279:D279"/>
    <mergeCell ref="B280:D280"/>
    <mergeCell ref="B269:D269"/>
    <mergeCell ref="B270:D270"/>
    <mergeCell ref="B271:D271"/>
    <mergeCell ref="B272:D272"/>
    <mergeCell ref="B273:D273"/>
    <mergeCell ref="B274:D274"/>
    <mergeCell ref="B264:D264"/>
    <mergeCell ref="L264:M264"/>
    <mergeCell ref="B265:D265"/>
    <mergeCell ref="B266:D266"/>
    <mergeCell ref="B267:D267"/>
    <mergeCell ref="B268:D268"/>
    <mergeCell ref="B261:D261"/>
    <mergeCell ref="L261:M261"/>
    <mergeCell ref="B262:D262"/>
    <mergeCell ref="L262:M262"/>
    <mergeCell ref="B263:D263"/>
    <mergeCell ref="L263:M263"/>
    <mergeCell ref="B258:D258"/>
    <mergeCell ref="L258:M258"/>
    <mergeCell ref="B259:D259"/>
    <mergeCell ref="L259:M259"/>
    <mergeCell ref="B260:D260"/>
    <mergeCell ref="L260:M260"/>
    <mergeCell ref="L254:M254"/>
    <mergeCell ref="B255:D255"/>
    <mergeCell ref="L255:M255"/>
    <mergeCell ref="B256:D256"/>
    <mergeCell ref="L256:M256"/>
    <mergeCell ref="B257:D257"/>
    <mergeCell ref="L257:M257"/>
    <mergeCell ref="B249:D249"/>
    <mergeCell ref="B250:D250"/>
    <mergeCell ref="B251:D251"/>
    <mergeCell ref="B252:D252"/>
    <mergeCell ref="B253:D253"/>
    <mergeCell ref="B254:D254"/>
    <mergeCell ref="B243:D243"/>
    <mergeCell ref="B244:D244"/>
    <mergeCell ref="B245:D245"/>
    <mergeCell ref="B246:D246"/>
    <mergeCell ref="B247:D247"/>
    <mergeCell ref="B248:D248"/>
    <mergeCell ref="B237:D237"/>
    <mergeCell ref="B238:D238"/>
    <mergeCell ref="B239:D239"/>
    <mergeCell ref="B240:D240"/>
    <mergeCell ref="B241:D241"/>
    <mergeCell ref="B242:D242"/>
    <mergeCell ref="B232:D232"/>
    <mergeCell ref="L232:M232"/>
    <mergeCell ref="B233:D233"/>
    <mergeCell ref="B234:D234"/>
    <mergeCell ref="B235:D235"/>
    <mergeCell ref="B236:D236"/>
    <mergeCell ref="B227:D227"/>
    <mergeCell ref="B228:D228"/>
    <mergeCell ref="B229:D229"/>
    <mergeCell ref="B230:D230"/>
    <mergeCell ref="L230:M230"/>
    <mergeCell ref="B231:D231"/>
    <mergeCell ref="B221:D221"/>
    <mergeCell ref="B222:D222"/>
    <mergeCell ref="B223:D223"/>
    <mergeCell ref="B224:D224"/>
    <mergeCell ref="B225:D225"/>
    <mergeCell ref="B226:D226"/>
    <mergeCell ref="B215:D215"/>
    <mergeCell ref="B216:D216"/>
    <mergeCell ref="B217:D217"/>
    <mergeCell ref="B218:D218"/>
    <mergeCell ref="B219:D219"/>
    <mergeCell ref="B220:D220"/>
    <mergeCell ref="B209:D209"/>
    <mergeCell ref="B210:D210"/>
    <mergeCell ref="B211:D211"/>
    <mergeCell ref="B212:D212"/>
    <mergeCell ref="B213:D213"/>
    <mergeCell ref="B214:D214"/>
    <mergeCell ref="B203:D203"/>
    <mergeCell ref="B204:D204"/>
    <mergeCell ref="B205:D205"/>
    <mergeCell ref="B206:D206"/>
    <mergeCell ref="B207:D207"/>
    <mergeCell ref="B208:D208"/>
    <mergeCell ref="B197:D197"/>
    <mergeCell ref="B198:D198"/>
    <mergeCell ref="B199:D199"/>
    <mergeCell ref="B200:D200"/>
    <mergeCell ref="B201:D201"/>
    <mergeCell ref="B202:D202"/>
    <mergeCell ref="B191:D191"/>
    <mergeCell ref="B192:D192"/>
    <mergeCell ref="B193:D193"/>
    <mergeCell ref="B194:D194"/>
    <mergeCell ref="B195:D195"/>
    <mergeCell ref="B196:D196"/>
    <mergeCell ref="B185:D185"/>
    <mergeCell ref="B186:D186"/>
    <mergeCell ref="B187:D187"/>
    <mergeCell ref="B188:D188"/>
    <mergeCell ref="B189:D189"/>
    <mergeCell ref="B190:D190"/>
    <mergeCell ref="B179:D179"/>
    <mergeCell ref="B180:D180"/>
    <mergeCell ref="B181:D181"/>
    <mergeCell ref="B182:D182"/>
    <mergeCell ref="B183:D183"/>
    <mergeCell ref="B184:D184"/>
    <mergeCell ref="B173:D173"/>
    <mergeCell ref="B174:D174"/>
    <mergeCell ref="B175:D175"/>
    <mergeCell ref="B176:D176"/>
    <mergeCell ref="B177:D177"/>
    <mergeCell ref="B178:D178"/>
    <mergeCell ref="B167:D167"/>
    <mergeCell ref="B168:D168"/>
    <mergeCell ref="B169:D169"/>
    <mergeCell ref="B170:D170"/>
    <mergeCell ref="B171:D171"/>
    <mergeCell ref="B172:D172"/>
    <mergeCell ref="B161:D161"/>
    <mergeCell ref="B162:D162"/>
    <mergeCell ref="B163:D163"/>
    <mergeCell ref="B164:D164"/>
    <mergeCell ref="B165:D165"/>
    <mergeCell ref="B166:D166"/>
    <mergeCell ref="B155:D155"/>
    <mergeCell ref="B156:D156"/>
    <mergeCell ref="B157:D157"/>
    <mergeCell ref="B158:D158"/>
    <mergeCell ref="B159:D159"/>
    <mergeCell ref="B160:D160"/>
    <mergeCell ref="B149:D149"/>
    <mergeCell ref="B150:D150"/>
    <mergeCell ref="B151:D151"/>
    <mergeCell ref="B152:D152"/>
    <mergeCell ref="B153:D153"/>
    <mergeCell ref="B154:D154"/>
    <mergeCell ref="L143:M143"/>
    <mergeCell ref="B144:D144"/>
    <mergeCell ref="B145:D145"/>
    <mergeCell ref="B146:D146"/>
    <mergeCell ref="B147:D147"/>
    <mergeCell ref="B148:D148"/>
    <mergeCell ref="B138:D138"/>
    <mergeCell ref="B139:D139"/>
    <mergeCell ref="B140:D140"/>
    <mergeCell ref="B141:D141"/>
    <mergeCell ref="B142:D142"/>
    <mergeCell ref="B143:D143"/>
    <mergeCell ref="B132:D132"/>
    <mergeCell ref="B133:D133"/>
    <mergeCell ref="B134:D134"/>
    <mergeCell ref="B135:D135"/>
    <mergeCell ref="B136:D136"/>
    <mergeCell ref="B137:D137"/>
    <mergeCell ref="B126:D126"/>
    <mergeCell ref="B127:D127"/>
    <mergeCell ref="B128:D128"/>
    <mergeCell ref="B129:D129"/>
    <mergeCell ref="B130:D130"/>
    <mergeCell ref="B131:D131"/>
    <mergeCell ref="B120:D120"/>
    <mergeCell ref="B121:D121"/>
    <mergeCell ref="B122:D122"/>
    <mergeCell ref="B123:D123"/>
    <mergeCell ref="B124:D124"/>
    <mergeCell ref="B125:D125"/>
    <mergeCell ref="B115:D115"/>
    <mergeCell ref="B116:D116"/>
    <mergeCell ref="B117:D117"/>
    <mergeCell ref="B118:D118"/>
    <mergeCell ref="B119:D119"/>
    <mergeCell ref="L119:M119"/>
    <mergeCell ref="B109:D109"/>
    <mergeCell ref="B110:D110"/>
    <mergeCell ref="B111:D111"/>
    <mergeCell ref="B112:D112"/>
    <mergeCell ref="B113:D113"/>
    <mergeCell ref="B114:D114"/>
    <mergeCell ref="B103:D103"/>
    <mergeCell ref="B104:D104"/>
    <mergeCell ref="B105:D105"/>
    <mergeCell ref="B106:D106"/>
    <mergeCell ref="B107:D107"/>
    <mergeCell ref="B108:D108"/>
    <mergeCell ref="B97:D97"/>
    <mergeCell ref="B98:D98"/>
    <mergeCell ref="B99:D99"/>
    <mergeCell ref="B100:D100"/>
    <mergeCell ref="B101:D101"/>
    <mergeCell ref="B102:D102"/>
    <mergeCell ref="B91:D91"/>
    <mergeCell ref="B92:D92"/>
    <mergeCell ref="B93:D93"/>
    <mergeCell ref="B94:D94"/>
    <mergeCell ref="B95:D95"/>
    <mergeCell ref="B96:D96"/>
    <mergeCell ref="B85:D85"/>
    <mergeCell ref="B86:D86"/>
    <mergeCell ref="B87:D87"/>
    <mergeCell ref="B88:D88"/>
    <mergeCell ref="B89:D89"/>
    <mergeCell ref="B90:D90"/>
    <mergeCell ref="B79:D79"/>
    <mergeCell ref="B80:D80"/>
    <mergeCell ref="B81:D81"/>
    <mergeCell ref="B82:D82"/>
    <mergeCell ref="B83:D83"/>
    <mergeCell ref="B84:D84"/>
    <mergeCell ref="B73:D73"/>
    <mergeCell ref="B74:D74"/>
    <mergeCell ref="B75:D75"/>
    <mergeCell ref="B76:D76"/>
    <mergeCell ref="B77:D77"/>
    <mergeCell ref="B78:D78"/>
    <mergeCell ref="B67:D67"/>
    <mergeCell ref="B68:D68"/>
    <mergeCell ref="B69:D69"/>
    <mergeCell ref="B70:D70"/>
    <mergeCell ref="B71:D71"/>
    <mergeCell ref="B72:D72"/>
    <mergeCell ref="B61:D61"/>
    <mergeCell ref="B62:D62"/>
    <mergeCell ref="B63:D63"/>
    <mergeCell ref="B64:D64"/>
    <mergeCell ref="B65:D65"/>
    <mergeCell ref="B66:D66"/>
    <mergeCell ref="B55:D55"/>
    <mergeCell ref="B56:D56"/>
    <mergeCell ref="B57:D57"/>
    <mergeCell ref="B58:D58"/>
    <mergeCell ref="B59:D59"/>
    <mergeCell ref="B60:D60"/>
    <mergeCell ref="B49:D49"/>
    <mergeCell ref="B50:D50"/>
    <mergeCell ref="B51:D51"/>
    <mergeCell ref="B52:D52"/>
    <mergeCell ref="B53:D53"/>
    <mergeCell ref="B54:D54"/>
    <mergeCell ref="B43:D43"/>
    <mergeCell ref="B44:D44"/>
    <mergeCell ref="B45:D45"/>
    <mergeCell ref="B46:D46"/>
    <mergeCell ref="B47:D47"/>
    <mergeCell ref="B48:D48"/>
    <mergeCell ref="B37:D37"/>
    <mergeCell ref="B38:D38"/>
    <mergeCell ref="B39:D39"/>
    <mergeCell ref="B40:D40"/>
    <mergeCell ref="B41:D41"/>
    <mergeCell ref="B42:D42"/>
    <mergeCell ref="B31:D31"/>
    <mergeCell ref="B32:D32"/>
    <mergeCell ref="B33:D33"/>
    <mergeCell ref="B34:D34"/>
    <mergeCell ref="B35:D35"/>
    <mergeCell ref="B36:D36"/>
    <mergeCell ref="B27:D27"/>
    <mergeCell ref="L27:M27"/>
    <mergeCell ref="B28:D28"/>
    <mergeCell ref="B29:D29"/>
    <mergeCell ref="L29:M29"/>
    <mergeCell ref="B30:D30"/>
    <mergeCell ref="L30:M30"/>
    <mergeCell ref="B23:D23"/>
    <mergeCell ref="L23:M23"/>
    <mergeCell ref="B24:D24"/>
    <mergeCell ref="B25:D25"/>
    <mergeCell ref="B26:D26"/>
    <mergeCell ref="L26:M26"/>
    <mergeCell ref="B21:D21"/>
    <mergeCell ref="L21:M21"/>
    <mergeCell ref="B22:D22"/>
    <mergeCell ref="L22:M22"/>
    <mergeCell ref="D18:E18"/>
    <mergeCell ref="L18:M18"/>
    <mergeCell ref="D19:E19"/>
    <mergeCell ref="L19:M19"/>
    <mergeCell ref="D20:E20"/>
    <mergeCell ref="L20:M20"/>
    <mergeCell ref="S13:S15"/>
    <mergeCell ref="D14:E14"/>
    <mergeCell ref="D15:E15"/>
    <mergeCell ref="B16:D16"/>
    <mergeCell ref="A17:A20"/>
    <mergeCell ref="B17:B20"/>
    <mergeCell ref="C17:C20"/>
    <mergeCell ref="D17:E17"/>
    <mergeCell ref="L17:M17"/>
    <mergeCell ref="A13:A15"/>
    <mergeCell ref="B13:B15"/>
    <mergeCell ref="C13:C15"/>
    <mergeCell ref="D13:E13"/>
    <mergeCell ref="L13:M15"/>
    <mergeCell ref="R13:R15"/>
    <mergeCell ref="H10:H11"/>
    <mergeCell ref="I10:I11"/>
    <mergeCell ref="J10:J11"/>
    <mergeCell ref="K10:K11"/>
    <mergeCell ref="L10:M11"/>
    <mergeCell ref="B12:E12"/>
    <mergeCell ref="L12:M12"/>
    <mergeCell ref="A1:A11"/>
    <mergeCell ref="L3:M3"/>
    <mergeCell ref="L4:M4"/>
    <mergeCell ref="I6:J6"/>
    <mergeCell ref="I7:J7"/>
    <mergeCell ref="C9:D9"/>
    <mergeCell ref="B10:D11"/>
    <mergeCell ref="E10:E11"/>
    <mergeCell ref="F10:F11"/>
    <mergeCell ref="G10:G11"/>
  </mergeCells>
  <printOptions horizontalCentered="1"/>
  <pageMargins left="0.25" right="0.25" top="0.3" bottom="0.25" header="0" footer="0"/>
  <pageSetup paperSize="9" scale="79" fitToHeight="0" orientation="portrait" horizontalDpi="300" verticalDpi="300" r:id="rId1"/>
  <headerFooter alignWithMargins="0">
    <oddHeader>&amp;L&amp;"Calibri"&amp;9&amp;K000000Classification: Internal&amp;1#</oddHeader>
    <oddFooter>Page &amp;p</oddFooter>
  </headerFooter>
  <ignoredErrors>
    <ignoredError sqref="G42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A1:Z471"/>
  <sheetViews>
    <sheetView showGridLines="0" defaultGridColor="0" topLeftCell="D8" colorId="10" zoomScaleNormal="100" zoomScaleSheetLayoutView="100" workbookViewId="0">
      <selection activeCell="P11" sqref="P11"/>
    </sheetView>
  </sheetViews>
  <sheetFormatPr defaultColWidth="11.453125" defaultRowHeight="12.5"/>
  <cols>
    <col min="1" max="1" width="4.453125" customWidth="1"/>
    <col min="2" max="2" width="9.26953125" style="1" customWidth="1"/>
    <col min="3" max="3" width="5.7265625" style="30" customWidth="1"/>
    <col min="4" max="5" width="9.453125" style="7" customWidth="1"/>
    <col min="6" max="6" width="7.453125" style="2" customWidth="1"/>
    <col min="7" max="7" width="10.453125" style="2" customWidth="1"/>
    <col min="8" max="8" width="8.1796875" style="2" customWidth="1"/>
    <col min="9" max="9" width="9.7265625" style="2" customWidth="1"/>
    <col min="10" max="10" width="10" style="2" customWidth="1"/>
    <col min="11" max="11" width="13.54296875" style="5" customWidth="1"/>
    <col min="12" max="12" width="14.1796875" style="16" customWidth="1"/>
    <col min="13" max="13" width="16.26953125" customWidth="1"/>
    <col min="14" max="14" width="10.54296875" customWidth="1"/>
    <col min="15" max="15" width="9.453125" customWidth="1"/>
    <col min="16" max="16" width="5.81640625" style="240" customWidth="1"/>
    <col min="17" max="17" width="6" style="387" customWidth="1"/>
    <col min="18" max="18" width="8.81640625" customWidth="1"/>
    <col min="19" max="19" width="6.54296875" customWidth="1"/>
  </cols>
  <sheetData>
    <row r="1" spans="1:19" s="28" customFormat="1" ht="18">
      <c r="A1" s="783" t="s">
        <v>209</v>
      </c>
      <c r="B1" s="40"/>
      <c r="C1" s="205"/>
      <c r="D1" s="206"/>
      <c r="E1" s="207"/>
      <c r="F1" s="208"/>
      <c r="G1" s="209"/>
      <c r="H1" s="208"/>
      <c r="I1" s="210" t="s">
        <v>14</v>
      </c>
      <c r="J1" s="211"/>
      <c r="K1" s="212"/>
      <c r="L1" s="213" t="s">
        <v>262</v>
      </c>
      <c r="M1" s="214"/>
      <c r="P1" s="199"/>
      <c r="Q1" s="386"/>
    </row>
    <row r="2" spans="1:19" ht="15.5">
      <c r="A2" s="784"/>
      <c r="B2" s="332"/>
      <c r="C2" s="11"/>
      <c r="D2" s="21"/>
      <c r="E2" s="21"/>
      <c r="F2" s="3"/>
      <c r="G2" s="474"/>
      <c r="H2" s="3"/>
      <c r="I2" s="22" t="s">
        <v>15</v>
      </c>
      <c r="J2" s="8"/>
      <c r="K2" s="15" t="s">
        <v>13</v>
      </c>
      <c r="L2" s="369">
        <v>43691</v>
      </c>
      <c r="M2" s="215"/>
    </row>
    <row r="3" spans="1:19" ht="18">
      <c r="A3" s="784"/>
      <c r="B3" s="216"/>
      <c r="C3" s="29"/>
      <c r="D3" s="6"/>
      <c r="E3" s="14"/>
      <c r="F3" s="3"/>
      <c r="G3" s="23" t="s">
        <v>0</v>
      </c>
      <c r="H3" s="23" t="s">
        <v>215</v>
      </c>
      <c r="I3" s="14"/>
      <c r="J3" s="14"/>
      <c r="K3" s="4" t="s">
        <v>80</v>
      </c>
      <c r="L3" s="800" t="s">
        <v>217</v>
      </c>
      <c r="M3" s="801"/>
      <c r="P3" s="391"/>
    </row>
    <row r="4" spans="1:19" ht="13" thickBot="1">
      <c r="A4" s="784"/>
      <c r="B4" s="217"/>
      <c r="C4" s="11"/>
      <c r="D4" s="6"/>
      <c r="E4" s="14"/>
      <c r="F4" s="3"/>
      <c r="G4" s="23" t="s">
        <v>1</v>
      </c>
      <c r="H4" s="349" t="s">
        <v>216</v>
      </c>
      <c r="I4" s="14"/>
      <c r="J4" s="9"/>
      <c r="K4" s="4" t="s">
        <v>17</v>
      </c>
      <c r="L4" s="800" t="s">
        <v>207</v>
      </c>
      <c r="M4" s="802"/>
      <c r="O4" s="238"/>
      <c r="P4" s="391"/>
      <c r="R4" s="238"/>
    </row>
    <row r="5" spans="1:19" ht="13" thickBot="1">
      <c r="A5" s="784"/>
      <c r="B5" s="332"/>
      <c r="C5" s="11"/>
      <c r="D5" s="26"/>
      <c r="E5" s="6"/>
      <c r="F5" s="3"/>
      <c r="G5" s="23" t="s">
        <v>194</v>
      </c>
      <c r="H5" s="350" t="s">
        <v>162</v>
      </c>
      <c r="I5" s="14"/>
      <c r="J5" s="14"/>
      <c r="K5" s="15" t="s">
        <v>81</v>
      </c>
      <c r="L5" s="465">
        <v>1341</v>
      </c>
      <c r="M5" s="191" t="s">
        <v>31</v>
      </c>
      <c r="P5" s="391"/>
    </row>
    <row r="6" spans="1:19" ht="13" thickBot="1">
      <c r="A6" s="784"/>
      <c r="B6" s="332"/>
      <c r="C6" s="11"/>
      <c r="D6" s="289" t="s">
        <v>77</v>
      </c>
      <c r="E6" s="290" t="s">
        <v>26</v>
      </c>
      <c r="F6" s="291" t="s">
        <v>111</v>
      </c>
      <c r="G6" s="23" t="s">
        <v>2</v>
      </c>
      <c r="H6" s="350">
        <v>128</v>
      </c>
      <c r="I6" s="786" t="s">
        <v>245</v>
      </c>
      <c r="J6" s="787"/>
      <c r="K6" s="15" t="s">
        <v>18</v>
      </c>
      <c r="L6" s="286">
        <v>12763.06</v>
      </c>
      <c r="M6" s="191" t="s">
        <v>31</v>
      </c>
      <c r="N6" s="238"/>
      <c r="O6" s="238"/>
      <c r="P6" s="390"/>
    </row>
    <row r="7" spans="1:19" ht="13" thickBot="1">
      <c r="A7" s="784"/>
      <c r="B7" s="332"/>
      <c r="C7" s="11"/>
      <c r="D7" s="226" t="s">
        <v>3</v>
      </c>
      <c r="E7" s="232">
        <v>33.700000000000003</v>
      </c>
      <c r="F7" s="233">
        <v>26</v>
      </c>
      <c r="G7" s="23" t="s">
        <v>4</v>
      </c>
      <c r="H7" s="506">
        <v>10</v>
      </c>
      <c r="I7" s="788" t="s">
        <v>196</v>
      </c>
      <c r="J7" s="789"/>
      <c r="K7" s="15" t="s">
        <v>5</v>
      </c>
      <c r="L7" s="287">
        <v>21145</v>
      </c>
      <c r="M7" s="191" t="s">
        <v>31</v>
      </c>
      <c r="N7" s="238"/>
      <c r="O7" s="537"/>
      <c r="P7" s="390"/>
      <c r="R7" s="20"/>
    </row>
    <row r="8" spans="1:19" ht="13" thickBot="1">
      <c r="A8" s="784"/>
      <c r="B8" s="332"/>
      <c r="C8" s="11"/>
      <c r="D8" s="313" t="s">
        <v>6</v>
      </c>
      <c r="E8" s="234" t="s">
        <v>16</v>
      </c>
      <c r="F8" s="234" t="s">
        <v>82</v>
      </c>
      <c r="G8" s="23" t="s">
        <v>7</v>
      </c>
      <c r="H8" s="430">
        <f>(65.45-H7)/65.45</f>
        <v>0.84721161191749428</v>
      </c>
      <c r="I8" s="429"/>
      <c r="J8" s="14"/>
      <c r="K8" s="15" t="s">
        <v>218</v>
      </c>
      <c r="L8" s="477">
        <f>L7-5</f>
        <v>21140</v>
      </c>
      <c r="M8" s="191" t="s">
        <v>31</v>
      </c>
    </row>
    <row r="9" spans="1:19" ht="13" thickBot="1">
      <c r="A9" s="784"/>
      <c r="B9" s="223"/>
      <c r="C9" s="790" t="s">
        <v>10</v>
      </c>
      <c r="D9" s="791"/>
      <c r="E9" s="311">
        <f>3.783/12</f>
        <v>0.31524999999999997</v>
      </c>
      <c r="F9" s="312">
        <f>4.776/12</f>
        <v>0.39799999999999996</v>
      </c>
      <c r="G9" s="225"/>
      <c r="H9" s="227"/>
      <c r="I9" s="227"/>
      <c r="J9" s="228"/>
      <c r="K9" s="229" t="s">
        <v>30</v>
      </c>
      <c r="L9" s="367">
        <f>L6+F13-G12</f>
        <v>12782.6</v>
      </c>
      <c r="M9" s="365" t="s">
        <v>31</v>
      </c>
      <c r="N9" s="20"/>
    </row>
    <row r="10" spans="1:19" ht="12.65" customHeight="1">
      <c r="A10" s="784"/>
      <c r="B10" s="760" t="s">
        <v>97</v>
      </c>
      <c r="C10" s="792"/>
      <c r="D10" s="762"/>
      <c r="E10" s="796" t="s">
        <v>96</v>
      </c>
      <c r="F10" s="798" t="s">
        <v>71</v>
      </c>
      <c r="G10" s="798" t="s">
        <v>72</v>
      </c>
      <c r="H10" s="798" t="s">
        <v>73</v>
      </c>
      <c r="I10" s="798" t="s">
        <v>74</v>
      </c>
      <c r="J10" s="798" t="s">
        <v>75</v>
      </c>
      <c r="K10" s="760" t="s">
        <v>76</v>
      </c>
      <c r="L10" s="760" t="s">
        <v>70</v>
      </c>
      <c r="M10" s="762"/>
      <c r="N10" s="20"/>
    </row>
    <row r="11" spans="1:19" ht="15" customHeight="1" thickBot="1">
      <c r="A11" s="785"/>
      <c r="B11" s="793"/>
      <c r="C11" s="794"/>
      <c r="D11" s="795"/>
      <c r="E11" s="797"/>
      <c r="F11" s="799"/>
      <c r="G11" s="799"/>
      <c r="H11" s="799"/>
      <c r="I11" s="799"/>
      <c r="J11" s="799"/>
      <c r="K11" s="761"/>
      <c r="L11" s="761"/>
      <c r="M11" s="763"/>
      <c r="N11" s="20"/>
      <c r="R11" s="20"/>
    </row>
    <row r="12" spans="1:19" ht="13" hidden="1" thickBot="1">
      <c r="A12" s="467"/>
      <c r="B12" s="764" t="s">
        <v>67</v>
      </c>
      <c r="C12" s="765"/>
      <c r="D12" s="765"/>
      <c r="E12" s="766"/>
      <c r="F12" s="252">
        <v>0</v>
      </c>
      <c r="G12" s="253">
        <f>F12</f>
        <v>0</v>
      </c>
      <c r="H12" s="253" t="s">
        <v>9</v>
      </c>
      <c r="I12" s="302">
        <f>IF(H12="IN",I11+G12,I11)</f>
        <v>0</v>
      </c>
      <c r="J12" s="304">
        <f>IF(I12="","",$L$6-I12)</f>
        <v>12763.06</v>
      </c>
      <c r="K12" s="303">
        <f t="shared" ref="K12:K17" si="0">$H$6+(I12*$F$7*$H$8/1000)</f>
        <v>128</v>
      </c>
      <c r="L12" s="767"/>
      <c r="M12" s="768"/>
      <c r="N12" s="238"/>
      <c r="O12" s="238"/>
      <c r="P12" s="390"/>
    </row>
    <row r="13" spans="1:19" ht="13" customHeight="1" thickBot="1">
      <c r="A13" s="726">
        <v>1</v>
      </c>
      <c r="B13" s="769" t="s">
        <v>23</v>
      </c>
      <c r="C13" s="772" t="s">
        <v>219</v>
      </c>
      <c r="D13" s="775" t="s">
        <v>21</v>
      </c>
      <c r="E13" s="776"/>
      <c r="F13" s="264">
        <v>19.54</v>
      </c>
      <c r="G13" s="264">
        <f>F13</f>
        <v>19.54</v>
      </c>
      <c r="H13" s="292" t="s">
        <v>11</v>
      </c>
      <c r="I13" s="264">
        <f t="shared" ref="I13:I76" si="1">IF(H13="IN",I12+G13,I12)</f>
        <v>0</v>
      </c>
      <c r="J13" s="264">
        <f>IF(I13="","",$L$6-I13)</f>
        <v>12763.06</v>
      </c>
      <c r="K13" s="265">
        <f t="shared" si="0"/>
        <v>128</v>
      </c>
      <c r="L13" s="777" t="s">
        <v>220</v>
      </c>
      <c r="M13" s="778"/>
      <c r="N13" s="20"/>
      <c r="O13" s="238"/>
      <c r="P13" s="390"/>
      <c r="R13" s="750" t="s">
        <v>177</v>
      </c>
      <c r="S13" s="751" t="s">
        <v>178</v>
      </c>
    </row>
    <row r="14" spans="1:19" ht="13" customHeight="1">
      <c r="A14" s="727"/>
      <c r="B14" s="770"/>
      <c r="C14" s="773"/>
      <c r="D14" s="752" t="s">
        <v>20</v>
      </c>
      <c r="E14" s="753"/>
      <c r="F14" s="263">
        <v>2.68</v>
      </c>
      <c r="G14" s="263">
        <f>F14</f>
        <v>2.68</v>
      </c>
      <c r="H14" s="263" t="s">
        <v>9</v>
      </c>
      <c r="I14" s="263">
        <f t="shared" si="1"/>
        <v>2.68</v>
      </c>
      <c r="J14" s="263">
        <f>IF(I14="","",$L$6-I14)</f>
        <v>12760.38</v>
      </c>
      <c r="K14" s="266">
        <f t="shared" si="0"/>
        <v>128.05903370511842</v>
      </c>
      <c r="L14" s="779"/>
      <c r="M14" s="780"/>
      <c r="N14" s="20"/>
      <c r="R14" s="750"/>
      <c r="S14" s="751"/>
    </row>
    <row r="15" spans="1:19" ht="12.65" customHeight="1" thickBot="1">
      <c r="A15" s="728"/>
      <c r="B15" s="771"/>
      <c r="C15" s="774"/>
      <c r="D15" s="754" t="s">
        <v>22</v>
      </c>
      <c r="E15" s="755"/>
      <c r="F15" s="267">
        <v>14.81</v>
      </c>
      <c r="G15" s="267">
        <f>F15</f>
        <v>14.81</v>
      </c>
      <c r="H15" s="267" t="s">
        <v>9</v>
      </c>
      <c r="I15" s="267">
        <f t="shared" si="1"/>
        <v>17.490000000000002</v>
      </c>
      <c r="J15" s="267">
        <f>IF(I15="","",$L$6-I15)</f>
        <v>12745.57</v>
      </c>
      <c r="K15" s="266">
        <f t="shared" si="0"/>
        <v>128.38526100840335</v>
      </c>
      <c r="L15" s="781"/>
      <c r="M15" s="782"/>
      <c r="N15" s="20"/>
      <c r="R15" s="750"/>
      <c r="S15" s="751"/>
    </row>
    <row r="16" spans="1:19" ht="12.65" customHeight="1" thickBot="1">
      <c r="A16" s="502">
        <v>2</v>
      </c>
      <c r="B16" s="687" t="s">
        <v>224</v>
      </c>
      <c r="C16" s="688"/>
      <c r="D16" s="689"/>
      <c r="E16" s="522" t="s">
        <v>256</v>
      </c>
      <c r="F16" s="380">
        <f>'7" 26# Deck Tally'!G11</f>
        <v>15.2</v>
      </c>
      <c r="G16" s="380">
        <f>F16-F9</f>
        <v>14.802</v>
      </c>
      <c r="H16" s="508" t="s">
        <v>9</v>
      </c>
      <c r="I16" s="508">
        <f t="shared" si="1"/>
        <v>32.292000000000002</v>
      </c>
      <c r="J16" s="508">
        <f t="shared" ref="J16:J17" si="2">IF(I16="","",$L$6-I16)</f>
        <v>12730.768</v>
      </c>
      <c r="K16" s="625">
        <f t="shared" si="0"/>
        <v>128.71131209167302</v>
      </c>
      <c r="L16" s="644"/>
      <c r="M16" s="645"/>
      <c r="N16" s="20"/>
      <c r="R16" s="504"/>
      <c r="S16" s="503"/>
    </row>
    <row r="17" spans="1:19" ht="13" customHeight="1">
      <c r="A17" s="726">
        <v>3</v>
      </c>
      <c r="B17" s="729" t="s">
        <v>25</v>
      </c>
      <c r="C17" s="732" t="s">
        <v>221</v>
      </c>
      <c r="D17" s="735" t="s">
        <v>24</v>
      </c>
      <c r="E17" s="736"/>
      <c r="F17" s="484">
        <v>10.220000000000001</v>
      </c>
      <c r="G17" s="484">
        <f>F17-($F$9)</f>
        <v>9.822000000000001</v>
      </c>
      <c r="H17" s="485" t="s">
        <v>9</v>
      </c>
      <c r="I17" s="485">
        <f t="shared" si="1"/>
        <v>42.114000000000004</v>
      </c>
      <c r="J17" s="485">
        <f t="shared" si="2"/>
        <v>12720.946</v>
      </c>
      <c r="K17" s="626">
        <f t="shared" si="0"/>
        <v>128.92766621543163</v>
      </c>
      <c r="L17" s="737" t="s">
        <v>195</v>
      </c>
      <c r="M17" s="738"/>
      <c r="N17" s="20"/>
      <c r="O17" s="20"/>
      <c r="P17" s="391"/>
      <c r="Q17" s="742" t="s">
        <v>187</v>
      </c>
      <c r="R17" s="457">
        <v>10.220000000000001</v>
      </c>
      <c r="S17" s="389" t="str">
        <f t="shared" ref="S17:S79" si="3">IF(F17-R17=0,"OK","FALSE")</f>
        <v>OK</v>
      </c>
    </row>
    <row r="18" spans="1:19" ht="13" customHeight="1">
      <c r="A18" s="727"/>
      <c r="B18" s="730"/>
      <c r="C18" s="733"/>
      <c r="D18" s="743" t="s">
        <v>83</v>
      </c>
      <c r="E18" s="744"/>
      <c r="F18" s="256">
        <v>9.9499999999999993</v>
      </c>
      <c r="G18" s="256">
        <f>F18</f>
        <v>9.9499999999999993</v>
      </c>
      <c r="H18" s="256" t="s">
        <v>9</v>
      </c>
      <c r="I18" s="256">
        <f t="shared" si="1"/>
        <v>52.064000000000007</v>
      </c>
      <c r="J18" s="256">
        <f t="shared" ref="J18:J25" si="4">IF(I18="","",$L$6-I18)</f>
        <v>12710.995999999999</v>
      </c>
      <c r="K18" s="627">
        <f t="shared" ref="K18:K27" si="5">$H$6+(I18*$F$7*$H$8/1000)</f>
        <v>129.14683985943469</v>
      </c>
      <c r="L18" s="745" t="s">
        <v>222</v>
      </c>
      <c r="M18" s="746"/>
      <c r="N18" s="20"/>
      <c r="O18" s="20"/>
      <c r="P18" s="391"/>
      <c r="Q18" s="742"/>
      <c r="R18" s="457">
        <v>9.9499999999999993</v>
      </c>
      <c r="S18" s="389" t="str">
        <f t="shared" si="3"/>
        <v>OK</v>
      </c>
    </row>
    <row r="19" spans="1:19" ht="13" customHeight="1">
      <c r="A19" s="727"/>
      <c r="B19" s="730"/>
      <c r="C19" s="733"/>
      <c r="D19" s="747" t="s">
        <v>28</v>
      </c>
      <c r="E19" s="748"/>
      <c r="F19" s="486">
        <f>3.24+2.46</f>
        <v>5.7</v>
      </c>
      <c r="G19" s="486">
        <f>F19</f>
        <v>5.7</v>
      </c>
      <c r="H19" s="485" t="s">
        <v>9</v>
      </c>
      <c r="I19" s="485">
        <f t="shared" si="1"/>
        <v>57.76400000000001</v>
      </c>
      <c r="J19" s="485">
        <f t="shared" si="4"/>
        <v>12705.296</v>
      </c>
      <c r="K19" s="626">
        <f t="shared" si="5"/>
        <v>129.27239662032085</v>
      </c>
      <c r="L19" s="749" t="s">
        <v>135</v>
      </c>
      <c r="M19" s="746"/>
      <c r="N19" s="20"/>
      <c r="O19" s="20"/>
      <c r="P19" s="391"/>
      <c r="Q19" s="742"/>
      <c r="R19" s="457">
        <v>5.7</v>
      </c>
      <c r="S19" s="389" t="str">
        <f t="shared" si="3"/>
        <v>OK</v>
      </c>
    </row>
    <row r="20" spans="1:19" ht="13" customHeight="1" thickBot="1">
      <c r="A20" s="728"/>
      <c r="B20" s="731"/>
      <c r="C20" s="734"/>
      <c r="D20" s="756" t="s">
        <v>24</v>
      </c>
      <c r="E20" s="757"/>
      <c r="F20" s="487">
        <v>9.82</v>
      </c>
      <c r="G20" s="487">
        <f>F20</f>
        <v>9.82</v>
      </c>
      <c r="H20" s="488" t="s">
        <v>9</v>
      </c>
      <c r="I20" s="488">
        <f t="shared" si="1"/>
        <v>67.584000000000003</v>
      </c>
      <c r="J20" s="488">
        <f t="shared" si="4"/>
        <v>12695.475999999999</v>
      </c>
      <c r="K20" s="628">
        <f t="shared" si="5"/>
        <v>129.48870668907563</v>
      </c>
      <c r="L20" s="758" t="s">
        <v>169</v>
      </c>
      <c r="M20" s="759"/>
      <c r="N20" s="20"/>
      <c r="O20" s="20"/>
      <c r="P20" s="391"/>
      <c r="Q20" s="742"/>
      <c r="R20" s="457">
        <v>9.82</v>
      </c>
      <c r="S20" s="389" t="str">
        <f t="shared" si="3"/>
        <v>OK</v>
      </c>
    </row>
    <row r="21" spans="1:19" s="18" customFormat="1" ht="14.15" customHeight="1" thickBot="1">
      <c r="A21" s="613">
        <f>A17+1</f>
        <v>4</v>
      </c>
      <c r="B21" s="741" t="s">
        <v>98</v>
      </c>
      <c r="C21" s="741"/>
      <c r="D21" s="741"/>
      <c r="E21" s="614">
        <f>'7" 26# Deck Tally'!B4</f>
        <v>396</v>
      </c>
      <c r="F21" s="615">
        <f>'7" 26# Deck Tally'!C4</f>
        <v>33.33</v>
      </c>
      <c r="G21" s="615">
        <f t="shared" ref="G21:G84" si="6">F21-($F$9)</f>
        <v>32.931999999999995</v>
      </c>
      <c r="H21" s="615" t="s">
        <v>9</v>
      </c>
      <c r="I21" s="616">
        <f t="shared" si="1"/>
        <v>100.51599999999999</v>
      </c>
      <c r="J21" s="616">
        <f t="shared" si="4"/>
        <v>12662.544</v>
      </c>
      <c r="K21" s="629">
        <f t="shared" si="5"/>
        <v>130.21411638197097</v>
      </c>
      <c r="L21" s="739"/>
      <c r="M21" s="740"/>
      <c r="N21" s="720" t="s">
        <v>175</v>
      </c>
      <c r="O21" s="722" t="s">
        <v>176</v>
      </c>
      <c r="P21" s="392">
        <v>33</v>
      </c>
      <c r="Q21" s="387">
        <f t="shared" ref="Q21:Q84" si="7">E21</f>
        <v>396</v>
      </c>
      <c r="R21" s="517">
        <v>33.33</v>
      </c>
      <c r="S21" s="366" t="str">
        <f t="shared" si="3"/>
        <v>OK</v>
      </c>
    </row>
    <row r="22" spans="1:19" s="18" customFormat="1" ht="14.15" customHeight="1">
      <c r="A22" s="617">
        <f>A21+1</f>
        <v>5</v>
      </c>
      <c r="B22" s="702" t="s">
        <v>98</v>
      </c>
      <c r="C22" s="702"/>
      <c r="D22" s="702"/>
      <c r="E22" s="618">
        <f>'7" 26# Deck Tally'!B5</f>
        <v>395</v>
      </c>
      <c r="F22" s="619">
        <f>'7" 26# Deck Tally'!C5</f>
        <v>33.049999999999997</v>
      </c>
      <c r="G22" s="619">
        <f t="shared" si="6"/>
        <v>32.651999999999994</v>
      </c>
      <c r="H22" s="619" t="s">
        <v>9</v>
      </c>
      <c r="I22" s="620">
        <f t="shared" si="1"/>
        <v>133.16799999999998</v>
      </c>
      <c r="J22" s="620">
        <f t="shared" si="4"/>
        <v>12629.892</v>
      </c>
      <c r="K22" s="630">
        <f t="shared" si="5"/>
        <v>130.93335837433156</v>
      </c>
      <c r="L22" s="724" t="s">
        <v>32</v>
      </c>
      <c r="M22" s="725"/>
      <c r="N22" s="721"/>
      <c r="O22" s="723"/>
      <c r="P22" s="392">
        <v>1</v>
      </c>
      <c r="Q22" s="387">
        <f t="shared" si="7"/>
        <v>395</v>
      </c>
      <c r="R22" s="517">
        <v>33.049999999999997</v>
      </c>
      <c r="S22" s="366" t="str">
        <f t="shared" si="3"/>
        <v>OK</v>
      </c>
    </row>
    <row r="23" spans="1:19" s="18" customFormat="1" ht="14.15" customHeight="1" thickBot="1">
      <c r="A23" s="617">
        <f t="shared" ref="A23:A86" si="8">A22+1</f>
        <v>6</v>
      </c>
      <c r="B23" s="702" t="s">
        <v>98</v>
      </c>
      <c r="C23" s="702"/>
      <c r="D23" s="702"/>
      <c r="E23" s="618">
        <f>'7" 26# Deck Tally'!B6</f>
        <v>394</v>
      </c>
      <c r="F23" s="619">
        <f>'7" 26# Deck Tally'!C6</f>
        <v>33.81</v>
      </c>
      <c r="G23" s="619">
        <f t="shared" si="6"/>
        <v>33.411999999999999</v>
      </c>
      <c r="H23" s="619" t="s">
        <v>9</v>
      </c>
      <c r="I23" s="620">
        <f t="shared" si="1"/>
        <v>166.57999999999998</v>
      </c>
      <c r="J23" s="620">
        <f t="shared" si="4"/>
        <v>12596.48</v>
      </c>
      <c r="K23" s="630">
        <f t="shared" si="5"/>
        <v>131.66934126814363</v>
      </c>
      <c r="L23" s="718" t="s">
        <v>223</v>
      </c>
      <c r="M23" s="719"/>
      <c r="N23" s="466">
        <f>J18-12732.33</f>
        <v>-21.334000000000742</v>
      </c>
      <c r="O23" s="466">
        <f>J18-12685.21</f>
        <v>25.786000000000058</v>
      </c>
      <c r="P23" s="393"/>
      <c r="Q23" s="387">
        <f t="shared" si="7"/>
        <v>394</v>
      </c>
      <c r="R23" s="517">
        <v>33.81</v>
      </c>
      <c r="S23" s="366" t="str">
        <f t="shared" si="3"/>
        <v>OK</v>
      </c>
    </row>
    <row r="24" spans="1:19" s="18" customFormat="1" ht="14.15" customHeight="1">
      <c r="A24" s="617">
        <f t="shared" si="8"/>
        <v>7</v>
      </c>
      <c r="B24" s="702" t="s">
        <v>98</v>
      </c>
      <c r="C24" s="702"/>
      <c r="D24" s="702"/>
      <c r="E24" s="618">
        <f>'7" 26# Deck Tally'!B7</f>
        <v>393</v>
      </c>
      <c r="F24" s="619">
        <f>'7" 26# Deck Tally'!C7</f>
        <v>33.28</v>
      </c>
      <c r="G24" s="619">
        <f t="shared" si="6"/>
        <v>32.881999999999998</v>
      </c>
      <c r="H24" s="619" t="s">
        <v>9</v>
      </c>
      <c r="I24" s="619">
        <f t="shared" si="1"/>
        <v>199.46199999999999</v>
      </c>
      <c r="J24" s="620">
        <f t="shared" si="4"/>
        <v>12563.598</v>
      </c>
      <c r="K24" s="630">
        <f t="shared" si="5"/>
        <v>132.39364958594348</v>
      </c>
      <c r="L24" s="217"/>
      <c r="M24" s="604"/>
      <c r="N24" s="37"/>
      <c r="O24" s="37"/>
      <c r="P24" s="499"/>
      <c r="Q24" s="387">
        <f t="shared" si="7"/>
        <v>393</v>
      </c>
      <c r="R24" s="517">
        <v>33.28</v>
      </c>
      <c r="S24" s="366" t="str">
        <f t="shared" si="3"/>
        <v>OK</v>
      </c>
    </row>
    <row r="25" spans="1:19" s="18" customFormat="1" ht="14.15" customHeight="1" thickBot="1">
      <c r="A25" s="617">
        <f t="shared" si="8"/>
        <v>8</v>
      </c>
      <c r="B25" s="702" t="s">
        <v>98</v>
      </c>
      <c r="C25" s="702"/>
      <c r="D25" s="702"/>
      <c r="E25" s="618">
        <f>'7" 26# Deck Tally'!B8</f>
        <v>392</v>
      </c>
      <c r="F25" s="619">
        <f>'7" 26# Deck Tally'!C8</f>
        <v>33.72</v>
      </c>
      <c r="G25" s="619">
        <f t="shared" si="6"/>
        <v>33.321999999999996</v>
      </c>
      <c r="H25" s="619" t="s">
        <v>9</v>
      </c>
      <c r="I25" s="619">
        <f t="shared" si="1"/>
        <v>232.78399999999999</v>
      </c>
      <c r="J25" s="620">
        <f t="shared" si="4"/>
        <v>12530.276</v>
      </c>
      <c r="K25" s="630">
        <f t="shared" si="5"/>
        <v>133.12765000458364</v>
      </c>
      <c r="L25" s="217"/>
      <c r="M25" s="604"/>
      <c r="N25" s="25"/>
      <c r="O25" s="25"/>
      <c r="P25" s="499"/>
      <c r="Q25" s="387">
        <f t="shared" si="7"/>
        <v>392</v>
      </c>
      <c r="R25" s="517">
        <v>33.72</v>
      </c>
      <c r="S25" s="366" t="str">
        <f t="shared" si="3"/>
        <v>OK</v>
      </c>
    </row>
    <row r="26" spans="1:19" s="18" customFormat="1" ht="14.15" customHeight="1">
      <c r="A26" s="617">
        <f t="shared" si="8"/>
        <v>9</v>
      </c>
      <c r="B26" s="702" t="s">
        <v>98</v>
      </c>
      <c r="C26" s="702"/>
      <c r="D26" s="702"/>
      <c r="E26" s="618">
        <f>'7" 26# Deck Tally'!B9</f>
        <v>391</v>
      </c>
      <c r="F26" s="619">
        <f>'7" 26# Deck Tally'!C9</f>
        <v>32.15</v>
      </c>
      <c r="G26" s="619">
        <f t="shared" si="6"/>
        <v>31.751999999999999</v>
      </c>
      <c r="H26" s="619" t="s">
        <v>9</v>
      </c>
      <c r="I26" s="619">
        <f t="shared" si="1"/>
        <v>264.536</v>
      </c>
      <c r="J26" s="619">
        <f t="shared" ref="J26:J79" si="9">IF(I26="","",$L$6-I26)</f>
        <v>12498.523999999999</v>
      </c>
      <c r="K26" s="630">
        <f t="shared" si="5"/>
        <v>133.82706724522535</v>
      </c>
      <c r="L26" s="714" t="s">
        <v>104</v>
      </c>
      <c r="M26" s="715"/>
      <c r="N26" s="25"/>
      <c r="O26" s="25"/>
      <c r="P26" s="499"/>
      <c r="Q26" s="387">
        <f t="shared" si="7"/>
        <v>391</v>
      </c>
      <c r="R26" s="517">
        <v>32.15</v>
      </c>
      <c r="S26" s="366" t="str">
        <f t="shared" si="3"/>
        <v>OK</v>
      </c>
    </row>
    <row r="27" spans="1:19" s="18" customFormat="1" ht="14.15" customHeight="1" thickBot="1">
      <c r="A27" s="617">
        <f t="shared" si="8"/>
        <v>10</v>
      </c>
      <c r="B27" s="702" t="s">
        <v>98</v>
      </c>
      <c r="C27" s="702"/>
      <c r="D27" s="702"/>
      <c r="E27" s="618">
        <f>'7" 26# Deck Tally'!B10</f>
        <v>390</v>
      </c>
      <c r="F27" s="619">
        <f>'7" 26# Deck Tally'!C10</f>
        <v>33.28</v>
      </c>
      <c r="G27" s="619">
        <f t="shared" si="6"/>
        <v>32.881999999999998</v>
      </c>
      <c r="H27" s="619" t="s">
        <v>9</v>
      </c>
      <c r="I27" s="619">
        <f t="shared" si="1"/>
        <v>297.41800000000001</v>
      </c>
      <c r="J27" s="619">
        <f t="shared" si="9"/>
        <v>12465.642</v>
      </c>
      <c r="K27" s="630">
        <f t="shared" si="5"/>
        <v>134.5513755630252</v>
      </c>
      <c r="L27" s="716" t="s">
        <v>105</v>
      </c>
      <c r="M27" s="717"/>
      <c r="N27" s="25"/>
      <c r="O27" s="25"/>
      <c r="P27" s="499"/>
      <c r="Q27" s="387">
        <f t="shared" si="7"/>
        <v>390</v>
      </c>
      <c r="R27" s="517">
        <v>33.28</v>
      </c>
      <c r="S27" s="366" t="str">
        <f t="shared" si="3"/>
        <v>OK</v>
      </c>
    </row>
    <row r="28" spans="1:19" s="18" customFormat="1" ht="13" customHeight="1" thickBot="1">
      <c r="A28" s="617">
        <f t="shared" si="8"/>
        <v>11</v>
      </c>
      <c r="B28" s="702" t="s">
        <v>98</v>
      </c>
      <c r="C28" s="702"/>
      <c r="D28" s="702"/>
      <c r="E28" s="618">
        <f>'7" 26# Deck Tally'!B11</f>
        <v>389</v>
      </c>
      <c r="F28" s="619">
        <f>'7" 26# Deck Tally'!C11</f>
        <v>33.67</v>
      </c>
      <c r="G28" s="619">
        <f t="shared" si="6"/>
        <v>33.271999999999998</v>
      </c>
      <c r="H28" s="619" t="s">
        <v>9</v>
      </c>
      <c r="I28" s="619">
        <f t="shared" si="1"/>
        <v>330.69</v>
      </c>
      <c r="J28" s="619">
        <f t="shared" si="9"/>
        <v>12432.369999999999</v>
      </c>
      <c r="K28" s="631">
        <f t="shared" ref="K28:K79" si="10">$H$6+(I28*$F$7*$H$8/1000)</f>
        <v>135.28427460656991</v>
      </c>
      <c r="L28" s="217"/>
      <c r="M28" s="604"/>
      <c r="N28" s="25"/>
      <c r="O28" s="25"/>
      <c r="P28" s="499"/>
      <c r="Q28" s="387">
        <f t="shared" si="7"/>
        <v>389</v>
      </c>
      <c r="R28" s="517">
        <v>33.67</v>
      </c>
      <c r="S28" s="366" t="str">
        <f t="shared" si="3"/>
        <v>OK</v>
      </c>
    </row>
    <row r="29" spans="1:19" s="18" customFormat="1" ht="13" customHeight="1">
      <c r="A29" s="617">
        <f t="shared" si="8"/>
        <v>12</v>
      </c>
      <c r="B29" s="702" t="s">
        <v>98</v>
      </c>
      <c r="C29" s="702"/>
      <c r="D29" s="702"/>
      <c r="E29" s="618">
        <f>'7" 26# Deck Tally'!B12</f>
        <v>388</v>
      </c>
      <c r="F29" s="619">
        <f>'7" 26# Deck Tally'!C12</f>
        <v>33.21</v>
      </c>
      <c r="G29" s="619">
        <f t="shared" si="6"/>
        <v>32.811999999999998</v>
      </c>
      <c r="H29" s="619" t="s">
        <v>9</v>
      </c>
      <c r="I29" s="619">
        <f t="shared" si="1"/>
        <v>363.50200000000001</v>
      </c>
      <c r="J29" s="619">
        <f t="shared" si="9"/>
        <v>12399.557999999999</v>
      </c>
      <c r="K29" s="631">
        <f t="shared" si="10"/>
        <v>136.00704099923607</v>
      </c>
      <c r="L29" s="714" t="s">
        <v>107</v>
      </c>
      <c r="M29" s="715"/>
      <c r="N29" s="25"/>
      <c r="O29" s="25"/>
      <c r="P29" s="499"/>
      <c r="Q29" s="387">
        <f t="shared" si="7"/>
        <v>388</v>
      </c>
      <c r="R29" s="517">
        <v>33.21</v>
      </c>
      <c r="S29" s="366" t="str">
        <f t="shared" si="3"/>
        <v>OK</v>
      </c>
    </row>
    <row r="30" spans="1:19" s="18" customFormat="1" ht="13" customHeight="1" thickBot="1">
      <c r="A30" s="617">
        <f t="shared" si="8"/>
        <v>13</v>
      </c>
      <c r="B30" s="702" t="s">
        <v>98</v>
      </c>
      <c r="C30" s="702"/>
      <c r="D30" s="702"/>
      <c r="E30" s="618">
        <f>'7" 26# Deck Tally'!B13</f>
        <v>387</v>
      </c>
      <c r="F30" s="619">
        <f>'7" 26# Deck Tally'!C13</f>
        <v>33.93</v>
      </c>
      <c r="G30" s="619">
        <f t="shared" si="6"/>
        <v>33.531999999999996</v>
      </c>
      <c r="H30" s="619" t="s">
        <v>9</v>
      </c>
      <c r="I30" s="619">
        <f t="shared" si="1"/>
        <v>397.03399999999999</v>
      </c>
      <c r="J30" s="619">
        <f t="shared" si="9"/>
        <v>12366.026</v>
      </c>
      <c r="K30" s="631">
        <f t="shared" si="10"/>
        <v>136.74566719327731</v>
      </c>
      <c r="L30" s="716" t="s">
        <v>106</v>
      </c>
      <c r="M30" s="717"/>
      <c r="N30" s="25"/>
      <c r="O30" s="25"/>
      <c r="P30" s="499"/>
      <c r="Q30" s="387">
        <f t="shared" si="7"/>
        <v>387</v>
      </c>
      <c r="R30" s="517">
        <v>33.93</v>
      </c>
      <c r="S30" s="366" t="str">
        <f t="shared" si="3"/>
        <v>OK</v>
      </c>
    </row>
    <row r="31" spans="1:19" s="18" customFormat="1" ht="13" customHeight="1">
      <c r="A31" s="617">
        <f t="shared" si="8"/>
        <v>14</v>
      </c>
      <c r="B31" s="702" t="s">
        <v>98</v>
      </c>
      <c r="C31" s="702"/>
      <c r="D31" s="702"/>
      <c r="E31" s="618">
        <f>'7" 26# Deck Tally'!B14</f>
        <v>386</v>
      </c>
      <c r="F31" s="619">
        <f>'7" 26# Deck Tally'!C14</f>
        <v>33.93</v>
      </c>
      <c r="G31" s="619">
        <f t="shared" si="6"/>
        <v>33.531999999999996</v>
      </c>
      <c r="H31" s="619" t="s">
        <v>9</v>
      </c>
      <c r="I31" s="619">
        <f t="shared" si="1"/>
        <v>430.56599999999997</v>
      </c>
      <c r="J31" s="619">
        <f t="shared" si="9"/>
        <v>12332.493999999999</v>
      </c>
      <c r="K31" s="631">
        <f t="shared" si="10"/>
        <v>137.48429338731856</v>
      </c>
      <c r="L31" s="608"/>
      <c r="M31" s="607"/>
      <c r="P31" s="499"/>
      <c r="Q31" s="387">
        <f t="shared" si="7"/>
        <v>386</v>
      </c>
      <c r="R31" s="517">
        <v>33.93</v>
      </c>
      <c r="S31" s="366" t="str">
        <f t="shared" si="3"/>
        <v>OK</v>
      </c>
    </row>
    <row r="32" spans="1:19" s="18" customFormat="1" ht="13" customHeight="1">
      <c r="A32" s="617">
        <f t="shared" si="8"/>
        <v>15</v>
      </c>
      <c r="B32" s="702" t="s">
        <v>98</v>
      </c>
      <c r="C32" s="702"/>
      <c r="D32" s="702"/>
      <c r="E32" s="618">
        <f>'7" 26# Deck Tally'!B15</f>
        <v>385</v>
      </c>
      <c r="F32" s="619">
        <f>'7" 26# Deck Tally'!C15</f>
        <v>31.95</v>
      </c>
      <c r="G32" s="619">
        <f t="shared" si="6"/>
        <v>31.552</v>
      </c>
      <c r="H32" s="619" t="s">
        <v>9</v>
      </c>
      <c r="I32" s="619">
        <f t="shared" si="1"/>
        <v>462.11799999999999</v>
      </c>
      <c r="J32" s="619">
        <f t="shared" si="9"/>
        <v>12300.941999999999</v>
      </c>
      <c r="K32" s="631">
        <f t="shared" si="10"/>
        <v>138.17930512757829</v>
      </c>
      <c r="L32" s="217"/>
      <c r="M32" s="604"/>
      <c r="N32" s="25"/>
      <c r="O32" s="25"/>
      <c r="P32" s="499"/>
      <c r="Q32" s="387">
        <f t="shared" si="7"/>
        <v>385</v>
      </c>
      <c r="R32" s="517">
        <v>31.95</v>
      </c>
      <c r="S32" s="366" t="str">
        <f t="shared" si="3"/>
        <v>OK</v>
      </c>
    </row>
    <row r="33" spans="1:19" s="18" customFormat="1" ht="13" customHeight="1">
      <c r="A33" s="617">
        <f t="shared" si="8"/>
        <v>16</v>
      </c>
      <c r="B33" s="702" t="s">
        <v>98</v>
      </c>
      <c r="C33" s="702"/>
      <c r="D33" s="702"/>
      <c r="E33" s="618">
        <f>'7" 26# Deck Tally'!B16</f>
        <v>384</v>
      </c>
      <c r="F33" s="619">
        <f>'7" 26# Deck Tally'!C16</f>
        <v>33.93</v>
      </c>
      <c r="G33" s="619">
        <f t="shared" si="6"/>
        <v>33.531999999999996</v>
      </c>
      <c r="H33" s="619" t="s">
        <v>9</v>
      </c>
      <c r="I33" s="619">
        <f t="shared" si="1"/>
        <v>495.65</v>
      </c>
      <c r="J33" s="619">
        <f t="shared" si="9"/>
        <v>12267.41</v>
      </c>
      <c r="K33" s="631">
        <f t="shared" si="10"/>
        <v>138.91793132161956</v>
      </c>
      <c r="L33" s="217"/>
      <c r="M33" s="604"/>
      <c r="N33" s="25"/>
      <c r="O33" s="25"/>
      <c r="P33" s="499"/>
      <c r="Q33" s="387">
        <f t="shared" si="7"/>
        <v>384</v>
      </c>
      <c r="R33" s="517">
        <v>33.93</v>
      </c>
      <c r="S33" s="366" t="str">
        <f t="shared" si="3"/>
        <v>OK</v>
      </c>
    </row>
    <row r="34" spans="1:19" s="18" customFormat="1" ht="13" customHeight="1">
      <c r="A34" s="617">
        <f t="shared" si="8"/>
        <v>17</v>
      </c>
      <c r="B34" s="702" t="s">
        <v>98</v>
      </c>
      <c r="C34" s="702"/>
      <c r="D34" s="702"/>
      <c r="E34" s="618">
        <f>'7" 26# Deck Tally'!B17</f>
        <v>383</v>
      </c>
      <c r="F34" s="619">
        <f>'7" 26# Deck Tally'!C17</f>
        <v>33.72</v>
      </c>
      <c r="G34" s="619">
        <f t="shared" si="6"/>
        <v>33.321999999999996</v>
      </c>
      <c r="H34" s="619" t="s">
        <v>9</v>
      </c>
      <c r="I34" s="619">
        <f t="shared" si="1"/>
        <v>528.97199999999998</v>
      </c>
      <c r="J34" s="619">
        <f t="shared" si="9"/>
        <v>12234.088</v>
      </c>
      <c r="K34" s="631">
        <f t="shared" si="10"/>
        <v>139.65193174025973</v>
      </c>
      <c r="L34" s="608"/>
      <c r="M34" s="607"/>
      <c r="N34" s="25"/>
      <c r="O34" s="25"/>
      <c r="P34" s="499"/>
      <c r="Q34" s="387">
        <f t="shared" si="7"/>
        <v>383</v>
      </c>
      <c r="R34" s="517">
        <v>33.72</v>
      </c>
      <c r="S34" s="366" t="str">
        <f t="shared" si="3"/>
        <v>OK</v>
      </c>
    </row>
    <row r="35" spans="1:19" s="18" customFormat="1" ht="13" customHeight="1">
      <c r="A35" s="617">
        <f t="shared" si="8"/>
        <v>18</v>
      </c>
      <c r="B35" s="702" t="s">
        <v>98</v>
      </c>
      <c r="C35" s="702"/>
      <c r="D35" s="702"/>
      <c r="E35" s="618">
        <f>'7" 26# Deck Tally'!B18</f>
        <v>382</v>
      </c>
      <c r="F35" s="619">
        <f>'7" 26# Deck Tally'!C18</f>
        <v>33.340000000000003</v>
      </c>
      <c r="G35" s="619">
        <f t="shared" si="6"/>
        <v>32.942</v>
      </c>
      <c r="H35" s="619" t="s">
        <v>9</v>
      </c>
      <c r="I35" s="619">
        <f t="shared" si="1"/>
        <v>561.91399999999999</v>
      </c>
      <c r="J35" s="619">
        <f t="shared" si="9"/>
        <v>12201.145999999999</v>
      </c>
      <c r="K35" s="631">
        <f t="shared" si="10"/>
        <v>140.37756170817417</v>
      </c>
      <c r="L35" s="217"/>
      <c r="M35" s="604"/>
      <c r="N35" s="25"/>
      <c r="O35" s="25"/>
      <c r="P35" s="499"/>
      <c r="Q35" s="387">
        <f t="shared" si="7"/>
        <v>382</v>
      </c>
      <c r="R35" s="517">
        <v>33.340000000000003</v>
      </c>
      <c r="S35" s="366" t="str">
        <f t="shared" si="3"/>
        <v>OK</v>
      </c>
    </row>
    <row r="36" spans="1:19" s="18" customFormat="1" ht="13" customHeight="1">
      <c r="A36" s="617">
        <f t="shared" si="8"/>
        <v>19</v>
      </c>
      <c r="B36" s="702" t="s">
        <v>98</v>
      </c>
      <c r="C36" s="702"/>
      <c r="D36" s="702"/>
      <c r="E36" s="618">
        <f>'7" 26# Deck Tally'!B19</f>
        <v>381</v>
      </c>
      <c r="F36" s="619">
        <f>'7" 26# Deck Tally'!C19</f>
        <v>33.71</v>
      </c>
      <c r="G36" s="619">
        <f t="shared" si="6"/>
        <v>33.311999999999998</v>
      </c>
      <c r="H36" s="619" t="s">
        <v>9</v>
      </c>
      <c r="I36" s="619">
        <f t="shared" si="1"/>
        <v>595.226</v>
      </c>
      <c r="J36" s="619">
        <f t="shared" si="9"/>
        <v>12167.833999999999</v>
      </c>
      <c r="K36" s="631">
        <f t="shared" si="10"/>
        <v>141.11134185179526</v>
      </c>
      <c r="L36" s="217"/>
      <c r="M36" s="604"/>
      <c r="N36" s="25"/>
      <c r="O36" s="25"/>
      <c r="P36" s="499"/>
      <c r="Q36" s="387">
        <f t="shared" si="7"/>
        <v>381</v>
      </c>
      <c r="R36" s="517">
        <v>33.71</v>
      </c>
      <c r="S36" s="366" t="str">
        <f t="shared" si="3"/>
        <v>OK</v>
      </c>
    </row>
    <row r="37" spans="1:19" s="18" customFormat="1" ht="13" customHeight="1">
      <c r="A37" s="617">
        <f t="shared" si="8"/>
        <v>20</v>
      </c>
      <c r="B37" s="702" t="s">
        <v>98</v>
      </c>
      <c r="C37" s="702"/>
      <c r="D37" s="702"/>
      <c r="E37" s="618">
        <f>'7" 26# Deck Tally'!B20</f>
        <v>380</v>
      </c>
      <c r="F37" s="619">
        <f>'7" 26# Deck Tally'!C20</f>
        <v>33.5</v>
      </c>
      <c r="G37" s="619">
        <f t="shared" si="6"/>
        <v>33.101999999999997</v>
      </c>
      <c r="H37" s="619" t="s">
        <v>9</v>
      </c>
      <c r="I37" s="619">
        <f t="shared" si="1"/>
        <v>628.32799999999997</v>
      </c>
      <c r="J37" s="619">
        <f t="shared" si="9"/>
        <v>12134.732</v>
      </c>
      <c r="K37" s="631">
        <f t="shared" si="10"/>
        <v>141.84049622001527</v>
      </c>
      <c r="L37" s="217"/>
      <c r="M37" s="604"/>
      <c r="N37" s="25"/>
      <c r="O37" s="25"/>
      <c r="P37" s="499"/>
      <c r="Q37" s="387">
        <f t="shared" si="7"/>
        <v>380</v>
      </c>
      <c r="R37" s="517">
        <v>33.5</v>
      </c>
      <c r="S37" s="366" t="str">
        <f t="shared" si="3"/>
        <v>OK</v>
      </c>
    </row>
    <row r="38" spans="1:19" s="18" customFormat="1" ht="13" customHeight="1">
      <c r="A38" s="617">
        <f t="shared" si="8"/>
        <v>21</v>
      </c>
      <c r="B38" s="702" t="s">
        <v>98</v>
      </c>
      <c r="C38" s="702"/>
      <c r="D38" s="702"/>
      <c r="E38" s="618">
        <f>'7" 26# Deck Tally'!B21</f>
        <v>379</v>
      </c>
      <c r="F38" s="619">
        <f>'7" 26# Deck Tally'!C21</f>
        <v>33.630000000000003</v>
      </c>
      <c r="G38" s="619">
        <f t="shared" si="6"/>
        <v>33.231999999999999</v>
      </c>
      <c r="H38" s="619" t="s">
        <v>9</v>
      </c>
      <c r="I38" s="619">
        <f t="shared" si="1"/>
        <v>661.56</v>
      </c>
      <c r="J38" s="619">
        <f t="shared" si="9"/>
        <v>12101.5</v>
      </c>
      <c r="K38" s="631">
        <f t="shared" si="10"/>
        <v>142.57251416348356</v>
      </c>
      <c r="L38" s="217"/>
      <c r="M38" s="604"/>
      <c r="N38" s="25"/>
      <c r="O38" s="25"/>
      <c r="P38" s="499"/>
      <c r="Q38" s="387">
        <f t="shared" si="7"/>
        <v>379</v>
      </c>
      <c r="R38" s="517">
        <v>33.630000000000003</v>
      </c>
      <c r="S38" s="366" t="str">
        <f t="shared" si="3"/>
        <v>OK</v>
      </c>
    </row>
    <row r="39" spans="1:19" s="18" customFormat="1" ht="13" customHeight="1">
      <c r="A39" s="617">
        <f t="shared" si="8"/>
        <v>22</v>
      </c>
      <c r="B39" s="702" t="s">
        <v>98</v>
      </c>
      <c r="C39" s="702"/>
      <c r="D39" s="702"/>
      <c r="E39" s="618">
        <f>'7" 26# Deck Tally'!B22</f>
        <v>378</v>
      </c>
      <c r="F39" s="619">
        <f>'7" 26# Deck Tally'!C22</f>
        <v>33.33</v>
      </c>
      <c r="G39" s="619">
        <f t="shared" si="6"/>
        <v>32.931999999999995</v>
      </c>
      <c r="H39" s="619" t="s">
        <v>9</v>
      </c>
      <c r="I39" s="619">
        <f t="shared" si="1"/>
        <v>694.49199999999996</v>
      </c>
      <c r="J39" s="619">
        <f t="shared" si="9"/>
        <v>12068.567999999999</v>
      </c>
      <c r="K39" s="631">
        <f t="shared" si="10"/>
        <v>143.2979238563789</v>
      </c>
      <c r="L39" s="275"/>
      <c r="M39" s="607"/>
      <c r="N39" s="351"/>
      <c r="O39" s="351"/>
      <c r="P39" s="499"/>
      <c r="Q39" s="387">
        <f t="shared" si="7"/>
        <v>378</v>
      </c>
      <c r="R39" s="517">
        <v>33.33</v>
      </c>
      <c r="S39" s="366" t="str">
        <f t="shared" si="3"/>
        <v>OK</v>
      </c>
    </row>
    <row r="40" spans="1:19" s="18" customFormat="1" ht="13" customHeight="1">
      <c r="A40" s="617">
        <f t="shared" si="8"/>
        <v>23</v>
      </c>
      <c r="B40" s="702" t="s">
        <v>98</v>
      </c>
      <c r="C40" s="702"/>
      <c r="D40" s="702"/>
      <c r="E40" s="618">
        <f>'7" 26# Deck Tally'!B23</f>
        <v>377</v>
      </c>
      <c r="F40" s="619">
        <f>'7" 26# Deck Tally'!C23</f>
        <v>33.82</v>
      </c>
      <c r="G40" s="619">
        <f t="shared" si="6"/>
        <v>33.421999999999997</v>
      </c>
      <c r="H40" s="619" t="s">
        <v>9</v>
      </c>
      <c r="I40" s="619">
        <f t="shared" si="1"/>
        <v>727.91399999999999</v>
      </c>
      <c r="J40" s="619">
        <f t="shared" si="9"/>
        <v>12035.145999999999</v>
      </c>
      <c r="K40" s="631">
        <f t="shared" si="10"/>
        <v>144.03412702521007</v>
      </c>
      <c r="L40" s="217"/>
      <c r="M40" s="604"/>
      <c r="N40" s="25"/>
      <c r="O40" s="25"/>
      <c r="P40" s="499"/>
      <c r="Q40" s="387">
        <f t="shared" si="7"/>
        <v>377</v>
      </c>
      <c r="R40" s="517">
        <v>33.82</v>
      </c>
      <c r="S40" s="366" t="str">
        <f t="shared" si="3"/>
        <v>OK</v>
      </c>
    </row>
    <row r="41" spans="1:19" s="18" customFormat="1" ht="13" customHeight="1">
      <c r="A41" s="617">
        <f t="shared" si="8"/>
        <v>24</v>
      </c>
      <c r="B41" s="702" t="s">
        <v>98</v>
      </c>
      <c r="C41" s="702"/>
      <c r="D41" s="702"/>
      <c r="E41" s="618">
        <f>'7" 26# Deck Tally'!B24</f>
        <v>376</v>
      </c>
      <c r="F41" s="619">
        <f>'7" 26# Deck Tally'!C24</f>
        <v>33.85</v>
      </c>
      <c r="G41" s="619">
        <f t="shared" si="6"/>
        <v>33.451999999999998</v>
      </c>
      <c r="H41" s="619" t="s">
        <v>9</v>
      </c>
      <c r="I41" s="619">
        <f t="shared" si="1"/>
        <v>761.36599999999999</v>
      </c>
      <c r="J41" s="619">
        <f t="shared" si="9"/>
        <v>12001.694</v>
      </c>
      <c r="K41" s="631">
        <f t="shared" si="10"/>
        <v>144.77099101909855</v>
      </c>
      <c r="L41" s="217"/>
      <c r="M41" s="604"/>
      <c r="N41" s="25"/>
      <c r="O41" s="25"/>
      <c r="P41" s="499"/>
      <c r="Q41" s="387">
        <f t="shared" si="7"/>
        <v>376</v>
      </c>
      <c r="R41" s="517">
        <v>33.85</v>
      </c>
      <c r="S41" s="366" t="str">
        <f t="shared" si="3"/>
        <v>OK</v>
      </c>
    </row>
    <row r="42" spans="1:19" s="18" customFormat="1" ht="13" customHeight="1">
      <c r="A42" s="617">
        <f t="shared" si="8"/>
        <v>25</v>
      </c>
      <c r="B42" s="702" t="s">
        <v>98</v>
      </c>
      <c r="C42" s="702"/>
      <c r="D42" s="702"/>
      <c r="E42" s="618">
        <f>'7" 26# Deck Tally'!B25</f>
        <v>375</v>
      </c>
      <c r="F42" s="619">
        <f>'7" 26# Deck Tally'!C25</f>
        <v>33.47</v>
      </c>
      <c r="G42" s="619">
        <f t="shared" si="6"/>
        <v>33.071999999999996</v>
      </c>
      <c r="H42" s="619" t="s">
        <v>9</v>
      </c>
      <c r="I42" s="619">
        <f t="shared" si="1"/>
        <v>794.43799999999999</v>
      </c>
      <c r="J42" s="619">
        <f t="shared" si="9"/>
        <v>11968.621999999999</v>
      </c>
      <c r="K42" s="631">
        <f t="shared" si="10"/>
        <v>145.49948456226127</v>
      </c>
      <c r="L42" s="217"/>
      <c r="M42" s="604"/>
      <c r="N42" s="25"/>
      <c r="O42" s="25"/>
      <c r="P42" s="499"/>
      <c r="Q42" s="387">
        <f t="shared" si="7"/>
        <v>375</v>
      </c>
      <c r="R42" s="517">
        <v>33.47</v>
      </c>
      <c r="S42" s="366" t="str">
        <f t="shared" si="3"/>
        <v>OK</v>
      </c>
    </row>
    <row r="43" spans="1:19" s="18" customFormat="1" ht="13" customHeight="1">
      <c r="A43" s="617">
        <f t="shared" si="8"/>
        <v>26</v>
      </c>
      <c r="B43" s="702" t="s">
        <v>98</v>
      </c>
      <c r="C43" s="702"/>
      <c r="D43" s="702"/>
      <c r="E43" s="618">
        <f>'7" 26# Deck Tally'!B26</f>
        <v>374</v>
      </c>
      <c r="F43" s="619">
        <f>'7" 26# Deck Tally'!C26</f>
        <v>33.65</v>
      </c>
      <c r="G43" s="619">
        <f t="shared" si="6"/>
        <v>33.251999999999995</v>
      </c>
      <c r="H43" s="619" t="s">
        <v>9</v>
      </c>
      <c r="I43" s="619">
        <f t="shared" si="1"/>
        <v>827.68999999999994</v>
      </c>
      <c r="J43" s="619">
        <f t="shared" si="9"/>
        <v>11935.369999999999</v>
      </c>
      <c r="K43" s="631">
        <f t="shared" si="10"/>
        <v>146.23194305576777</v>
      </c>
      <c r="L43" s="217"/>
      <c r="M43" s="604"/>
      <c r="N43" s="25"/>
      <c r="O43" s="25"/>
      <c r="P43" s="499"/>
      <c r="Q43" s="387">
        <f t="shared" si="7"/>
        <v>374</v>
      </c>
      <c r="R43" s="517">
        <v>33.65</v>
      </c>
      <c r="S43" s="366" t="str">
        <f t="shared" si="3"/>
        <v>OK</v>
      </c>
    </row>
    <row r="44" spans="1:19" s="18" customFormat="1" ht="13" customHeight="1">
      <c r="A44" s="617">
        <f t="shared" si="8"/>
        <v>27</v>
      </c>
      <c r="B44" s="702" t="s">
        <v>98</v>
      </c>
      <c r="C44" s="702"/>
      <c r="D44" s="702"/>
      <c r="E44" s="618">
        <f>'7" 26# Deck Tally'!B27</f>
        <v>373</v>
      </c>
      <c r="F44" s="619">
        <f>'7" 26# Deck Tally'!C27</f>
        <v>33.92</v>
      </c>
      <c r="G44" s="619">
        <f t="shared" si="6"/>
        <v>33.521999999999998</v>
      </c>
      <c r="H44" s="619" t="s">
        <v>9</v>
      </c>
      <c r="I44" s="619">
        <f t="shared" si="1"/>
        <v>861.21199999999999</v>
      </c>
      <c r="J44" s="619">
        <f t="shared" si="9"/>
        <v>11901.848</v>
      </c>
      <c r="K44" s="631">
        <f t="shared" si="10"/>
        <v>146.97034897478991</v>
      </c>
      <c r="L44" s="217"/>
      <c r="M44" s="604"/>
      <c r="N44" s="25"/>
      <c r="O44" s="25"/>
      <c r="P44" s="499"/>
      <c r="Q44" s="387">
        <f t="shared" si="7"/>
        <v>373</v>
      </c>
      <c r="R44" s="517">
        <v>33.92</v>
      </c>
      <c r="S44" s="366" t="str">
        <f t="shared" si="3"/>
        <v>OK</v>
      </c>
    </row>
    <row r="45" spans="1:19" s="18" customFormat="1" ht="13" customHeight="1">
      <c r="A45" s="617">
        <f t="shared" si="8"/>
        <v>28</v>
      </c>
      <c r="B45" s="702" t="s">
        <v>98</v>
      </c>
      <c r="C45" s="702"/>
      <c r="D45" s="702"/>
      <c r="E45" s="618">
        <f>'7" 26# Deck Tally'!B28</f>
        <v>372</v>
      </c>
      <c r="F45" s="619">
        <f>'7" 26# Deck Tally'!C28</f>
        <v>33.840000000000003</v>
      </c>
      <c r="G45" s="619">
        <f t="shared" si="6"/>
        <v>33.442</v>
      </c>
      <c r="H45" s="619" t="s">
        <v>9</v>
      </c>
      <c r="I45" s="619">
        <f t="shared" si="1"/>
        <v>894.654</v>
      </c>
      <c r="J45" s="619">
        <f t="shared" si="9"/>
        <v>11868.405999999999</v>
      </c>
      <c r="K45" s="631">
        <f t="shared" si="10"/>
        <v>147.70699269365929</v>
      </c>
      <c r="L45" s="217"/>
      <c r="M45" s="604"/>
      <c r="N45" s="25"/>
      <c r="O45" s="25"/>
      <c r="P45" s="499"/>
      <c r="Q45" s="387">
        <f t="shared" si="7"/>
        <v>372</v>
      </c>
      <c r="R45" s="517">
        <v>33.840000000000003</v>
      </c>
      <c r="S45" s="366" t="str">
        <f t="shared" si="3"/>
        <v>OK</v>
      </c>
    </row>
    <row r="46" spans="1:19" s="18" customFormat="1" ht="13" customHeight="1">
      <c r="A46" s="617">
        <f t="shared" si="8"/>
        <v>29</v>
      </c>
      <c r="B46" s="702" t="s">
        <v>98</v>
      </c>
      <c r="C46" s="702"/>
      <c r="D46" s="702"/>
      <c r="E46" s="618">
        <f>'7" 26# Deck Tally'!B29</f>
        <v>371</v>
      </c>
      <c r="F46" s="619">
        <f>'7" 26# Deck Tally'!C29</f>
        <v>33.94</v>
      </c>
      <c r="G46" s="619">
        <f t="shared" si="6"/>
        <v>33.541999999999994</v>
      </c>
      <c r="H46" s="619" t="s">
        <v>9</v>
      </c>
      <c r="I46" s="619">
        <f t="shared" si="1"/>
        <v>928.19600000000003</v>
      </c>
      <c r="J46" s="619">
        <f t="shared" si="9"/>
        <v>11834.864</v>
      </c>
      <c r="K46" s="631">
        <f t="shared" si="10"/>
        <v>148.44583916271964</v>
      </c>
      <c r="L46" s="217"/>
      <c r="M46" s="604"/>
      <c r="N46" s="25"/>
      <c r="O46" s="25"/>
      <c r="P46" s="499"/>
      <c r="Q46" s="387">
        <f t="shared" si="7"/>
        <v>371</v>
      </c>
      <c r="R46" s="517">
        <v>33.94</v>
      </c>
      <c r="S46" s="366" t="str">
        <f t="shared" si="3"/>
        <v>OK</v>
      </c>
    </row>
    <row r="47" spans="1:19" s="18" customFormat="1" ht="13" customHeight="1">
      <c r="A47" s="617">
        <f t="shared" si="8"/>
        <v>30</v>
      </c>
      <c r="B47" s="702" t="s">
        <v>98</v>
      </c>
      <c r="C47" s="702"/>
      <c r="D47" s="702"/>
      <c r="E47" s="618">
        <f>'7" 26# Deck Tally'!B30</f>
        <v>370</v>
      </c>
      <c r="F47" s="619">
        <f>'7" 26# Deck Tally'!C30</f>
        <v>33.94</v>
      </c>
      <c r="G47" s="619">
        <f t="shared" si="6"/>
        <v>33.541999999999994</v>
      </c>
      <c r="H47" s="619" t="s">
        <v>9</v>
      </c>
      <c r="I47" s="619">
        <f t="shared" si="1"/>
        <v>961.73800000000006</v>
      </c>
      <c r="J47" s="619">
        <f t="shared" si="9"/>
        <v>11801.322</v>
      </c>
      <c r="K47" s="631">
        <f t="shared" si="10"/>
        <v>149.18468563177998</v>
      </c>
      <c r="L47" s="217"/>
      <c r="M47" s="604"/>
      <c r="N47" s="25"/>
      <c r="O47" s="25"/>
      <c r="P47" s="499"/>
      <c r="Q47" s="387">
        <f t="shared" si="7"/>
        <v>370</v>
      </c>
      <c r="R47" s="517">
        <v>33.94</v>
      </c>
      <c r="S47" s="366" t="str">
        <f t="shared" si="3"/>
        <v>OK</v>
      </c>
    </row>
    <row r="48" spans="1:19" s="18" customFormat="1" ht="13" customHeight="1">
      <c r="A48" s="617">
        <f t="shared" si="8"/>
        <v>31</v>
      </c>
      <c r="B48" s="702" t="s">
        <v>98</v>
      </c>
      <c r="C48" s="702"/>
      <c r="D48" s="702"/>
      <c r="E48" s="618">
        <f>'7" 26# Deck Tally'!B31</f>
        <v>369</v>
      </c>
      <c r="F48" s="619">
        <f>'7" 26# Deck Tally'!C31</f>
        <v>33.49</v>
      </c>
      <c r="G48" s="619">
        <f t="shared" si="6"/>
        <v>33.091999999999999</v>
      </c>
      <c r="H48" s="619" t="s">
        <v>9</v>
      </c>
      <c r="I48" s="619">
        <f t="shared" si="1"/>
        <v>994.83</v>
      </c>
      <c r="J48" s="619">
        <f t="shared" si="9"/>
        <v>11768.23</v>
      </c>
      <c r="K48" s="631">
        <f t="shared" si="10"/>
        <v>149.91361972498089</v>
      </c>
      <c r="L48" s="217"/>
      <c r="M48" s="604"/>
      <c r="N48" s="25"/>
      <c r="O48" s="25"/>
      <c r="P48" s="499"/>
      <c r="Q48" s="387">
        <f t="shared" si="7"/>
        <v>369</v>
      </c>
      <c r="R48" s="517">
        <v>33.49</v>
      </c>
      <c r="S48" s="366" t="str">
        <f t="shared" si="3"/>
        <v>OK</v>
      </c>
    </row>
    <row r="49" spans="1:19" s="18" customFormat="1" ht="13" customHeight="1">
      <c r="A49" s="617">
        <f t="shared" si="8"/>
        <v>32</v>
      </c>
      <c r="B49" s="702" t="s">
        <v>98</v>
      </c>
      <c r="C49" s="702"/>
      <c r="D49" s="702"/>
      <c r="E49" s="618">
        <f>'7" 26# Deck Tally'!B32</f>
        <v>368</v>
      </c>
      <c r="F49" s="619">
        <f>'7" 26# Deck Tally'!C32</f>
        <v>33.6</v>
      </c>
      <c r="G49" s="619">
        <f t="shared" si="6"/>
        <v>33.201999999999998</v>
      </c>
      <c r="H49" s="619" t="s">
        <v>9</v>
      </c>
      <c r="I49" s="619">
        <f t="shared" si="1"/>
        <v>1028.0320000000002</v>
      </c>
      <c r="J49" s="619">
        <f t="shared" si="9"/>
        <v>11735.027999999998</v>
      </c>
      <c r="K49" s="631">
        <f t="shared" si="10"/>
        <v>150.6449768433919</v>
      </c>
      <c r="L49" s="217"/>
      <c r="M49" s="532"/>
      <c r="N49" s="25"/>
      <c r="O49" s="25"/>
      <c r="P49" s="499"/>
      <c r="Q49" s="387">
        <f t="shared" si="7"/>
        <v>368</v>
      </c>
      <c r="R49" s="517">
        <v>33.6</v>
      </c>
      <c r="S49" s="366" t="str">
        <f t="shared" si="3"/>
        <v>OK</v>
      </c>
    </row>
    <row r="50" spans="1:19" s="18" customFormat="1" ht="13" customHeight="1">
      <c r="A50" s="617">
        <f t="shared" si="8"/>
        <v>33</v>
      </c>
      <c r="B50" s="702" t="s">
        <v>98</v>
      </c>
      <c r="C50" s="702"/>
      <c r="D50" s="702"/>
      <c r="E50" s="618">
        <f>'7" 26# Deck Tally'!B33</f>
        <v>367</v>
      </c>
      <c r="F50" s="619">
        <f>'7" 26# Deck Tally'!C33</f>
        <v>33.19</v>
      </c>
      <c r="G50" s="619">
        <f t="shared" si="6"/>
        <v>32.791999999999994</v>
      </c>
      <c r="H50" s="619" t="s">
        <v>9</v>
      </c>
      <c r="I50" s="619">
        <f t="shared" si="1"/>
        <v>1060.8240000000001</v>
      </c>
      <c r="J50" s="619">
        <f t="shared" si="9"/>
        <v>11702.235999999999</v>
      </c>
      <c r="K50" s="631">
        <f t="shared" si="10"/>
        <v>151.36730268601985</v>
      </c>
      <c r="L50" s="217"/>
      <c r="M50" s="532"/>
      <c r="N50" s="25"/>
      <c r="O50" s="25"/>
      <c r="P50" s="499"/>
      <c r="Q50" s="387">
        <f t="shared" si="7"/>
        <v>367</v>
      </c>
      <c r="R50" s="517">
        <v>33.19</v>
      </c>
      <c r="S50" s="366" t="str">
        <f t="shared" si="3"/>
        <v>OK</v>
      </c>
    </row>
    <row r="51" spans="1:19" s="18" customFormat="1" ht="13" customHeight="1">
      <c r="A51" s="617">
        <f t="shared" si="8"/>
        <v>34</v>
      </c>
      <c r="B51" s="702" t="s">
        <v>98</v>
      </c>
      <c r="C51" s="702"/>
      <c r="D51" s="702"/>
      <c r="E51" s="618">
        <f>'7" 26# Deck Tally'!B34</f>
        <v>366</v>
      </c>
      <c r="F51" s="619">
        <f>'7" 26# Deck Tally'!C34</f>
        <v>33.36</v>
      </c>
      <c r="G51" s="619">
        <f t="shared" si="6"/>
        <v>32.961999999999996</v>
      </c>
      <c r="H51" s="619" t="s">
        <v>9</v>
      </c>
      <c r="I51" s="619">
        <f t="shared" si="1"/>
        <v>1093.7860000000001</v>
      </c>
      <c r="J51" s="619">
        <f t="shared" si="9"/>
        <v>11669.273999999999</v>
      </c>
      <c r="K51" s="631">
        <f t="shared" si="10"/>
        <v>152.0933732039725</v>
      </c>
      <c r="L51" s="217" t="s">
        <v>8</v>
      </c>
      <c r="M51" s="532"/>
      <c r="N51" s="25"/>
      <c r="O51" s="25"/>
      <c r="P51" s="499"/>
      <c r="Q51" s="387">
        <f t="shared" si="7"/>
        <v>366</v>
      </c>
      <c r="R51" s="517">
        <v>33.36</v>
      </c>
      <c r="S51" s="366" t="str">
        <f t="shared" si="3"/>
        <v>OK</v>
      </c>
    </row>
    <row r="52" spans="1:19" s="18" customFormat="1" ht="13" customHeight="1">
      <c r="A52" s="617">
        <f t="shared" si="8"/>
        <v>35</v>
      </c>
      <c r="B52" s="702" t="s">
        <v>98</v>
      </c>
      <c r="C52" s="702"/>
      <c r="D52" s="702"/>
      <c r="E52" s="618">
        <f>'7" 26# Deck Tally'!B35</f>
        <v>365</v>
      </c>
      <c r="F52" s="619">
        <f>'7" 26# Deck Tally'!C35</f>
        <v>33.31</v>
      </c>
      <c r="G52" s="619">
        <f t="shared" si="6"/>
        <v>32.911999999999999</v>
      </c>
      <c r="H52" s="619" t="s">
        <v>9</v>
      </c>
      <c r="I52" s="619">
        <f t="shared" si="1"/>
        <v>1126.6980000000001</v>
      </c>
      <c r="J52" s="619">
        <f t="shared" si="9"/>
        <v>11636.361999999999</v>
      </c>
      <c r="K52" s="631">
        <f t="shared" si="10"/>
        <v>152.81834234682964</v>
      </c>
      <c r="L52" s="217"/>
      <c r="M52" s="532"/>
      <c r="N52" s="25"/>
      <c r="O52" s="25"/>
      <c r="P52" s="499"/>
      <c r="Q52" s="387">
        <f t="shared" si="7"/>
        <v>365</v>
      </c>
      <c r="R52" s="517">
        <v>33.31</v>
      </c>
      <c r="S52" s="366" t="str">
        <f t="shared" si="3"/>
        <v>OK</v>
      </c>
    </row>
    <row r="53" spans="1:19" s="18" customFormat="1" ht="13" customHeight="1">
      <c r="A53" s="617">
        <f t="shared" si="8"/>
        <v>36</v>
      </c>
      <c r="B53" s="702" t="s">
        <v>98</v>
      </c>
      <c r="C53" s="702"/>
      <c r="D53" s="702"/>
      <c r="E53" s="618">
        <f>'7" 26# Deck Tally'!B36</f>
        <v>364</v>
      </c>
      <c r="F53" s="619">
        <f>'7" 26# Deck Tally'!C36</f>
        <v>33.520000000000003</v>
      </c>
      <c r="G53" s="619">
        <f t="shared" si="6"/>
        <v>33.122</v>
      </c>
      <c r="H53" s="619" t="s">
        <v>9</v>
      </c>
      <c r="I53" s="619">
        <f t="shared" si="1"/>
        <v>1159.8200000000002</v>
      </c>
      <c r="J53" s="619">
        <f t="shared" si="9"/>
        <v>11603.24</v>
      </c>
      <c r="K53" s="631">
        <f t="shared" si="10"/>
        <v>153.54793726508785</v>
      </c>
      <c r="L53" s="217"/>
      <c r="M53" s="532"/>
      <c r="N53" s="25"/>
      <c r="O53" s="25"/>
      <c r="P53" s="499"/>
      <c r="Q53" s="387">
        <f t="shared" si="7"/>
        <v>364</v>
      </c>
      <c r="R53" s="517">
        <v>33.520000000000003</v>
      </c>
      <c r="S53" s="366" t="str">
        <f t="shared" si="3"/>
        <v>OK</v>
      </c>
    </row>
    <row r="54" spans="1:19" s="18" customFormat="1" ht="13" customHeight="1">
      <c r="A54" s="617">
        <f t="shared" si="8"/>
        <v>37</v>
      </c>
      <c r="B54" s="702" t="s">
        <v>98</v>
      </c>
      <c r="C54" s="702"/>
      <c r="D54" s="702"/>
      <c r="E54" s="618">
        <f>'7" 26# Deck Tally'!B37</f>
        <v>363</v>
      </c>
      <c r="F54" s="619">
        <f>'7" 26# Deck Tally'!C37</f>
        <v>33.46</v>
      </c>
      <c r="G54" s="619">
        <f t="shared" si="6"/>
        <v>33.061999999999998</v>
      </c>
      <c r="H54" s="619" t="s">
        <v>9</v>
      </c>
      <c r="I54" s="619">
        <f t="shared" si="1"/>
        <v>1192.8820000000001</v>
      </c>
      <c r="J54" s="619">
        <f t="shared" si="9"/>
        <v>11570.178</v>
      </c>
      <c r="K54" s="631">
        <f t="shared" si="10"/>
        <v>154.27621053323148</v>
      </c>
      <c r="L54" s="217"/>
      <c r="M54" s="532"/>
      <c r="N54" s="25"/>
      <c r="O54" s="25"/>
      <c r="P54" s="499"/>
      <c r="Q54" s="387">
        <f t="shared" si="7"/>
        <v>363</v>
      </c>
      <c r="R54" s="517">
        <v>33.46</v>
      </c>
      <c r="S54" s="366" t="str">
        <f t="shared" si="3"/>
        <v>OK</v>
      </c>
    </row>
    <row r="55" spans="1:19" s="18" customFormat="1" ht="13" customHeight="1">
      <c r="A55" s="617">
        <f t="shared" si="8"/>
        <v>38</v>
      </c>
      <c r="B55" s="702" t="s">
        <v>98</v>
      </c>
      <c r="C55" s="702"/>
      <c r="D55" s="702"/>
      <c r="E55" s="618">
        <f>'7" 26# Deck Tally'!B38</f>
        <v>362</v>
      </c>
      <c r="F55" s="619">
        <f>'7" 26# Deck Tally'!C38</f>
        <v>33.299999999999997</v>
      </c>
      <c r="G55" s="619">
        <f t="shared" si="6"/>
        <v>32.901999999999994</v>
      </c>
      <c r="H55" s="619" t="s">
        <v>9</v>
      </c>
      <c r="I55" s="619">
        <f t="shared" si="1"/>
        <v>1225.7840000000001</v>
      </c>
      <c r="J55" s="619">
        <f t="shared" si="9"/>
        <v>11537.276</v>
      </c>
      <c r="K55" s="631">
        <f t="shared" si="10"/>
        <v>155.00095940106951</v>
      </c>
      <c r="L55" s="217"/>
      <c r="M55" s="532"/>
      <c r="N55" s="25"/>
      <c r="O55" s="25"/>
      <c r="P55" s="499"/>
      <c r="Q55" s="387">
        <f t="shared" si="7"/>
        <v>362</v>
      </c>
      <c r="R55" s="517">
        <v>33.299999999999997</v>
      </c>
      <c r="S55" s="366" t="str">
        <f t="shared" si="3"/>
        <v>OK</v>
      </c>
    </row>
    <row r="56" spans="1:19" s="18" customFormat="1" ht="13" customHeight="1">
      <c r="A56" s="617">
        <f t="shared" si="8"/>
        <v>39</v>
      </c>
      <c r="B56" s="702" t="s">
        <v>98</v>
      </c>
      <c r="C56" s="702"/>
      <c r="D56" s="702"/>
      <c r="E56" s="618">
        <f>'7" 26# Deck Tally'!B39</f>
        <v>361</v>
      </c>
      <c r="F56" s="619">
        <f>'7" 26# Deck Tally'!C39</f>
        <v>33.43</v>
      </c>
      <c r="G56" s="619">
        <f t="shared" si="6"/>
        <v>33.031999999999996</v>
      </c>
      <c r="H56" s="619" t="s">
        <v>9</v>
      </c>
      <c r="I56" s="619">
        <f t="shared" si="1"/>
        <v>1258.816</v>
      </c>
      <c r="J56" s="619">
        <f t="shared" si="9"/>
        <v>11504.243999999999</v>
      </c>
      <c r="K56" s="631">
        <f t="shared" si="10"/>
        <v>155.72857184415585</v>
      </c>
      <c r="L56" s="217"/>
      <c r="M56" s="532"/>
      <c r="N56" s="25"/>
      <c r="O56" s="25"/>
      <c r="P56" s="499"/>
      <c r="Q56" s="387">
        <f t="shared" si="7"/>
        <v>361</v>
      </c>
      <c r="R56" s="517">
        <v>33.43</v>
      </c>
      <c r="S56" s="366" t="str">
        <f t="shared" si="3"/>
        <v>OK</v>
      </c>
    </row>
    <row r="57" spans="1:19" s="18" customFormat="1" ht="13" customHeight="1">
      <c r="A57" s="617">
        <f t="shared" si="8"/>
        <v>40</v>
      </c>
      <c r="B57" s="702" t="s">
        <v>98</v>
      </c>
      <c r="C57" s="702"/>
      <c r="D57" s="702"/>
      <c r="E57" s="618">
        <f>'7" 26# Deck Tally'!B40</f>
        <v>360</v>
      </c>
      <c r="F57" s="619">
        <f>'7" 26# Deck Tally'!C40</f>
        <v>33.409999999999997</v>
      </c>
      <c r="G57" s="619">
        <f t="shared" si="6"/>
        <v>33.011999999999993</v>
      </c>
      <c r="H57" s="619" t="s">
        <v>9</v>
      </c>
      <c r="I57" s="619">
        <f t="shared" si="1"/>
        <v>1291.828</v>
      </c>
      <c r="J57" s="619">
        <f t="shared" si="9"/>
        <v>11471.232</v>
      </c>
      <c r="K57" s="631">
        <f t="shared" si="10"/>
        <v>156.45574373720396</v>
      </c>
      <c r="L57" s="249"/>
      <c r="M57" s="220"/>
      <c r="N57" s="25"/>
      <c r="O57" s="25"/>
      <c r="P57" s="499"/>
      <c r="Q57" s="387">
        <f t="shared" si="7"/>
        <v>360</v>
      </c>
      <c r="R57" s="517">
        <v>33.409999999999997</v>
      </c>
      <c r="S57" s="366" t="str">
        <f t="shared" si="3"/>
        <v>OK</v>
      </c>
    </row>
    <row r="58" spans="1:19" s="18" customFormat="1" ht="13" customHeight="1">
      <c r="A58" s="617">
        <f t="shared" si="8"/>
        <v>41</v>
      </c>
      <c r="B58" s="702" t="s">
        <v>98</v>
      </c>
      <c r="C58" s="702"/>
      <c r="D58" s="702"/>
      <c r="E58" s="618">
        <f>'7" 26# Deck Tally'!B41</f>
        <v>359</v>
      </c>
      <c r="F58" s="619">
        <f>'7" 26# Deck Tally'!C41</f>
        <v>33.64</v>
      </c>
      <c r="G58" s="619">
        <f t="shared" si="6"/>
        <v>33.241999999999997</v>
      </c>
      <c r="H58" s="619" t="s">
        <v>9</v>
      </c>
      <c r="I58" s="619">
        <f t="shared" si="1"/>
        <v>1325.07</v>
      </c>
      <c r="J58" s="619">
        <f t="shared" si="9"/>
        <v>11437.99</v>
      </c>
      <c r="K58" s="631">
        <f t="shared" si="10"/>
        <v>157.18798195569136</v>
      </c>
      <c r="L58" s="608"/>
      <c r="M58" s="532"/>
      <c r="N58" s="25"/>
      <c r="O58" s="25"/>
      <c r="P58" s="499"/>
      <c r="Q58" s="387">
        <f t="shared" si="7"/>
        <v>359</v>
      </c>
      <c r="R58" s="517">
        <v>33.64</v>
      </c>
      <c r="S58" s="366" t="str">
        <f t="shared" si="3"/>
        <v>OK</v>
      </c>
    </row>
    <row r="59" spans="1:19" s="18" customFormat="1" ht="13" customHeight="1">
      <c r="A59" s="617">
        <f t="shared" si="8"/>
        <v>42</v>
      </c>
      <c r="B59" s="702" t="s">
        <v>98</v>
      </c>
      <c r="C59" s="702"/>
      <c r="D59" s="702"/>
      <c r="E59" s="618">
        <f>'7" 26# Deck Tally'!B42</f>
        <v>358</v>
      </c>
      <c r="F59" s="619">
        <f>'7" 26# Deck Tally'!C42</f>
        <v>33.39</v>
      </c>
      <c r="G59" s="619">
        <f t="shared" si="6"/>
        <v>32.991999999999997</v>
      </c>
      <c r="H59" s="619" t="s">
        <v>9</v>
      </c>
      <c r="I59" s="619">
        <f t="shared" si="1"/>
        <v>1358.0619999999999</v>
      </c>
      <c r="J59" s="619">
        <f t="shared" si="9"/>
        <v>11404.998</v>
      </c>
      <c r="K59" s="631">
        <f t="shared" si="10"/>
        <v>157.91471329870129</v>
      </c>
      <c r="L59" s="249"/>
      <c r="M59" s="532"/>
      <c r="N59" s="25"/>
      <c r="O59" s="25"/>
      <c r="P59" s="499"/>
      <c r="Q59" s="387">
        <f t="shared" si="7"/>
        <v>358</v>
      </c>
      <c r="R59" s="517">
        <v>33.39</v>
      </c>
      <c r="S59" s="366" t="str">
        <f t="shared" si="3"/>
        <v>OK</v>
      </c>
    </row>
    <row r="60" spans="1:19" s="18" customFormat="1" ht="13" customHeight="1">
      <c r="A60" s="617">
        <f t="shared" si="8"/>
        <v>43</v>
      </c>
      <c r="B60" s="702" t="s">
        <v>98</v>
      </c>
      <c r="C60" s="702"/>
      <c r="D60" s="702"/>
      <c r="E60" s="618">
        <f>'7" 26# Deck Tally'!B43</f>
        <v>357</v>
      </c>
      <c r="F60" s="619">
        <f>'7" 26# Deck Tally'!C43</f>
        <v>33.89</v>
      </c>
      <c r="G60" s="619">
        <f t="shared" si="6"/>
        <v>33.491999999999997</v>
      </c>
      <c r="H60" s="619" t="s">
        <v>9</v>
      </c>
      <c r="I60" s="619">
        <f t="shared" si="1"/>
        <v>1391.5539999999999</v>
      </c>
      <c r="J60" s="619">
        <f t="shared" si="9"/>
        <v>11371.505999999999</v>
      </c>
      <c r="K60" s="631">
        <f t="shared" si="10"/>
        <v>158.65245839266615</v>
      </c>
      <c r="L60" s="608"/>
      <c r="M60" s="532"/>
      <c r="N60" s="25"/>
      <c r="O60" s="25"/>
      <c r="P60" s="499"/>
      <c r="Q60" s="387">
        <f t="shared" si="7"/>
        <v>357</v>
      </c>
      <c r="R60" s="517">
        <v>33.89</v>
      </c>
      <c r="S60" s="366" t="str">
        <f t="shared" si="3"/>
        <v>OK</v>
      </c>
    </row>
    <row r="61" spans="1:19" s="18" customFormat="1" ht="13" customHeight="1">
      <c r="A61" s="617">
        <f t="shared" si="8"/>
        <v>44</v>
      </c>
      <c r="B61" s="702" t="s">
        <v>98</v>
      </c>
      <c r="C61" s="702"/>
      <c r="D61" s="702"/>
      <c r="E61" s="618">
        <f>'7" 26# Deck Tally'!B44</f>
        <v>356</v>
      </c>
      <c r="F61" s="619">
        <f>'7" 26# Deck Tally'!C44</f>
        <v>33.46</v>
      </c>
      <c r="G61" s="619">
        <f t="shared" si="6"/>
        <v>33.061999999999998</v>
      </c>
      <c r="H61" s="619" t="s">
        <v>9</v>
      </c>
      <c r="I61" s="619">
        <f t="shared" si="1"/>
        <v>1424.6159999999998</v>
      </c>
      <c r="J61" s="619">
        <f t="shared" si="9"/>
        <v>11338.444</v>
      </c>
      <c r="K61" s="631">
        <f t="shared" si="10"/>
        <v>159.38073166080977</v>
      </c>
      <c r="L61" s="249"/>
      <c r="M61" s="221"/>
      <c r="N61" s="25"/>
      <c r="O61" s="25"/>
      <c r="P61" s="499"/>
      <c r="Q61" s="387">
        <f t="shared" si="7"/>
        <v>356</v>
      </c>
      <c r="R61" s="517">
        <v>33.46</v>
      </c>
      <c r="S61" s="366" t="str">
        <f t="shared" si="3"/>
        <v>OK</v>
      </c>
    </row>
    <row r="62" spans="1:19" s="18" customFormat="1" ht="13" customHeight="1">
      <c r="A62" s="617">
        <f t="shared" si="8"/>
        <v>45</v>
      </c>
      <c r="B62" s="702" t="s">
        <v>98</v>
      </c>
      <c r="C62" s="702"/>
      <c r="D62" s="702"/>
      <c r="E62" s="618">
        <f>'7" 26# Deck Tally'!B45</f>
        <v>355</v>
      </c>
      <c r="F62" s="619">
        <f>'7" 26# Deck Tally'!C45</f>
        <v>33.229999999999997</v>
      </c>
      <c r="G62" s="619">
        <f t="shared" si="6"/>
        <v>32.831999999999994</v>
      </c>
      <c r="H62" s="619" t="s">
        <v>9</v>
      </c>
      <c r="I62" s="619">
        <f t="shared" si="1"/>
        <v>1457.4479999999999</v>
      </c>
      <c r="J62" s="619">
        <f t="shared" si="9"/>
        <v>11305.611999999999</v>
      </c>
      <c r="K62" s="631">
        <f t="shared" si="10"/>
        <v>160.10393860351414</v>
      </c>
      <c r="L62" s="608"/>
      <c r="M62" s="532"/>
      <c r="N62" s="25"/>
      <c r="O62" s="25"/>
      <c r="P62" s="499"/>
      <c r="Q62" s="387">
        <f t="shared" si="7"/>
        <v>355</v>
      </c>
      <c r="R62" s="517">
        <v>33.229999999999997</v>
      </c>
      <c r="S62" s="366" t="str">
        <f t="shared" si="3"/>
        <v>OK</v>
      </c>
    </row>
    <row r="63" spans="1:19" s="18" customFormat="1" ht="13" customHeight="1">
      <c r="A63" s="617">
        <f t="shared" si="8"/>
        <v>46</v>
      </c>
      <c r="B63" s="702" t="s">
        <v>98</v>
      </c>
      <c r="C63" s="702"/>
      <c r="D63" s="702"/>
      <c r="E63" s="618">
        <f>'7" 26# Deck Tally'!B46</f>
        <v>354</v>
      </c>
      <c r="F63" s="619">
        <f>'7" 26# Deck Tally'!C46</f>
        <v>33.520000000000003</v>
      </c>
      <c r="G63" s="619">
        <f t="shared" si="6"/>
        <v>33.122</v>
      </c>
      <c r="H63" s="619" t="s">
        <v>9</v>
      </c>
      <c r="I63" s="619">
        <f t="shared" si="1"/>
        <v>1490.57</v>
      </c>
      <c r="J63" s="619">
        <f t="shared" si="9"/>
        <v>11272.49</v>
      </c>
      <c r="K63" s="631">
        <f t="shared" si="10"/>
        <v>160.83353352177235</v>
      </c>
      <c r="L63" s="250"/>
      <c r="M63" s="220"/>
      <c r="N63" s="25"/>
      <c r="O63" s="25"/>
      <c r="P63" s="499"/>
      <c r="Q63" s="387">
        <f t="shared" si="7"/>
        <v>354</v>
      </c>
      <c r="R63" s="517">
        <v>33.520000000000003</v>
      </c>
      <c r="S63" s="366" t="str">
        <f t="shared" si="3"/>
        <v>OK</v>
      </c>
    </row>
    <row r="64" spans="1:19" s="18" customFormat="1" ht="13" customHeight="1">
      <c r="A64" s="617">
        <f t="shared" si="8"/>
        <v>47</v>
      </c>
      <c r="B64" s="702" t="s">
        <v>98</v>
      </c>
      <c r="C64" s="702"/>
      <c r="D64" s="702"/>
      <c r="E64" s="618">
        <f>'7" 26# Deck Tally'!B47</f>
        <v>353</v>
      </c>
      <c r="F64" s="619">
        <f>'7" 26# Deck Tally'!C47</f>
        <v>33.090000000000003</v>
      </c>
      <c r="G64" s="619">
        <f t="shared" si="6"/>
        <v>32.692</v>
      </c>
      <c r="H64" s="619" t="s">
        <v>9</v>
      </c>
      <c r="I64" s="619">
        <f t="shared" si="1"/>
        <v>1523.2619999999999</v>
      </c>
      <c r="J64" s="619">
        <f t="shared" si="9"/>
        <v>11239.797999999999</v>
      </c>
      <c r="K64" s="631">
        <f t="shared" si="10"/>
        <v>161.55365661420933</v>
      </c>
      <c r="L64" s="540"/>
      <c r="M64" s="532"/>
      <c r="N64" s="25"/>
      <c r="O64" s="25"/>
      <c r="P64" s="499"/>
      <c r="Q64" s="387">
        <f t="shared" si="7"/>
        <v>353</v>
      </c>
      <c r="R64" s="517">
        <v>33.090000000000003</v>
      </c>
      <c r="S64" s="366" t="str">
        <f t="shared" si="3"/>
        <v>OK</v>
      </c>
    </row>
    <row r="65" spans="1:19" s="18" customFormat="1" ht="13" customHeight="1">
      <c r="A65" s="617">
        <f t="shared" si="8"/>
        <v>48</v>
      </c>
      <c r="B65" s="702" t="s">
        <v>98</v>
      </c>
      <c r="C65" s="702"/>
      <c r="D65" s="702"/>
      <c r="E65" s="618">
        <f>'7" 26# Deck Tally'!B48</f>
        <v>352</v>
      </c>
      <c r="F65" s="619">
        <f>'7" 26# Deck Tally'!C48</f>
        <v>33.94</v>
      </c>
      <c r="G65" s="619">
        <f t="shared" si="6"/>
        <v>33.541999999999994</v>
      </c>
      <c r="H65" s="619" t="s">
        <v>9</v>
      </c>
      <c r="I65" s="619">
        <f t="shared" si="1"/>
        <v>1556.8039999999999</v>
      </c>
      <c r="J65" s="619">
        <f t="shared" si="9"/>
        <v>11206.255999999999</v>
      </c>
      <c r="K65" s="631">
        <f t="shared" si="10"/>
        <v>162.29250308326965</v>
      </c>
      <c r="L65" s="250"/>
      <c r="M65" s="220"/>
      <c r="N65" s="25"/>
      <c r="O65" s="25"/>
      <c r="P65" s="499"/>
      <c r="Q65" s="387">
        <f t="shared" si="7"/>
        <v>352</v>
      </c>
      <c r="R65" s="517">
        <v>33.94</v>
      </c>
      <c r="S65" s="366" t="str">
        <f t="shared" si="3"/>
        <v>OK</v>
      </c>
    </row>
    <row r="66" spans="1:19" s="18" customFormat="1" ht="13" customHeight="1">
      <c r="A66" s="617">
        <f t="shared" si="8"/>
        <v>49</v>
      </c>
      <c r="B66" s="702" t="s">
        <v>98</v>
      </c>
      <c r="C66" s="702"/>
      <c r="D66" s="702"/>
      <c r="E66" s="618">
        <f>'7" 26# Deck Tally'!B49</f>
        <v>351</v>
      </c>
      <c r="F66" s="619">
        <f>'7" 26# Deck Tally'!C49</f>
        <v>33.64</v>
      </c>
      <c r="G66" s="619">
        <f t="shared" si="6"/>
        <v>33.241999999999997</v>
      </c>
      <c r="H66" s="619" t="s">
        <v>9</v>
      </c>
      <c r="I66" s="619">
        <f t="shared" si="1"/>
        <v>1590.0459999999998</v>
      </c>
      <c r="J66" s="619">
        <f t="shared" si="9"/>
        <v>11173.013999999999</v>
      </c>
      <c r="K66" s="631">
        <f t="shared" si="10"/>
        <v>163.02474130175708</v>
      </c>
      <c r="L66" s="608"/>
      <c r="M66" s="532"/>
      <c r="N66" s="25"/>
      <c r="O66" s="25"/>
      <c r="P66" s="499"/>
      <c r="Q66" s="387">
        <f t="shared" si="7"/>
        <v>351</v>
      </c>
      <c r="R66" s="517">
        <v>33.64</v>
      </c>
      <c r="S66" s="366" t="str">
        <f t="shared" si="3"/>
        <v>OK</v>
      </c>
    </row>
    <row r="67" spans="1:19" s="18" customFormat="1" ht="13" customHeight="1">
      <c r="A67" s="617">
        <f t="shared" si="8"/>
        <v>50</v>
      </c>
      <c r="B67" s="702" t="s">
        <v>98</v>
      </c>
      <c r="C67" s="702"/>
      <c r="D67" s="702"/>
      <c r="E67" s="618">
        <f>'7" 26# Deck Tally'!B50</f>
        <v>350</v>
      </c>
      <c r="F67" s="619">
        <f>'7" 26# Deck Tally'!C50</f>
        <v>33.68</v>
      </c>
      <c r="G67" s="619">
        <f t="shared" si="6"/>
        <v>33.281999999999996</v>
      </c>
      <c r="H67" s="619" t="s">
        <v>9</v>
      </c>
      <c r="I67" s="619">
        <f t="shared" si="1"/>
        <v>1623.3279999999997</v>
      </c>
      <c r="J67" s="619">
        <f t="shared" si="9"/>
        <v>11139.732</v>
      </c>
      <c r="K67" s="631">
        <f t="shared" si="10"/>
        <v>163.75786062032086</v>
      </c>
      <c r="L67" s="249"/>
      <c r="M67" s="532"/>
      <c r="N67" s="25"/>
      <c r="O67" s="25"/>
      <c r="P67" s="499"/>
      <c r="Q67" s="387">
        <f t="shared" si="7"/>
        <v>350</v>
      </c>
      <c r="R67" s="517">
        <v>33.68</v>
      </c>
      <c r="S67" s="366" t="str">
        <f t="shared" si="3"/>
        <v>OK</v>
      </c>
    </row>
    <row r="68" spans="1:19" s="18" customFormat="1" ht="13" customHeight="1">
      <c r="A68" s="617">
        <f t="shared" si="8"/>
        <v>51</v>
      </c>
      <c r="B68" s="702" t="s">
        <v>98</v>
      </c>
      <c r="C68" s="702"/>
      <c r="D68" s="702"/>
      <c r="E68" s="618">
        <f>'7" 26# Deck Tally'!B51</f>
        <v>349</v>
      </c>
      <c r="F68" s="619">
        <f>'7" 26# Deck Tally'!C51</f>
        <v>33.29</v>
      </c>
      <c r="G68" s="619">
        <f t="shared" si="6"/>
        <v>32.891999999999996</v>
      </c>
      <c r="H68" s="619" t="s">
        <v>9</v>
      </c>
      <c r="I68" s="619">
        <f t="shared" si="1"/>
        <v>1656.2199999999998</v>
      </c>
      <c r="J68" s="619">
        <f t="shared" si="9"/>
        <v>11106.84</v>
      </c>
      <c r="K68" s="631">
        <f t="shared" si="10"/>
        <v>164.48238921313981</v>
      </c>
      <c r="L68" s="608"/>
      <c r="M68" s="532"/>
      <c r="N68" s="25"/>
      <c r="O68" s="25"/>
      <c r="P68" s="499"/>
      <c r="Q68" s="387">
        <f t="shared" si="7"/>
        <v>349</v>
      </c>
      <c r="R68" s="517">
        <v>33.29</v>
      </c>
      <c r="S68" s="366" t="str">
        <f t="shared" si="3"/>
        <v>OK</v>
      </c>
    </row>
    <row r="69" spans="1:19" s="18" customFormat="1" ht="13" customHeight="1">
      <c r="A69" s="617">
        <f t="shared" si="8"/>
        <v>52</v>
      </c>
      <c r="B69" s="702" t="s">
        <v>98</v>
      </c>
      <c r="C69" s="702"/>
      <c r="D69" s="702"/>
      <c r="E69" s="618">
        <f>'7" 26# Deck Tally'!B52</f>
        <v>348</v>
      </c>
      <c r="F69" s="619">
        <f>'7" 26# Deck Tally'!C52</f>
        <v>33.4</v>
      </c>
      <c r="G69" s="619">
        <f t="shared" si="6"/>
        <v>33.001999999999995</v>
      </c>
      <c r="H69" s="619" t="s">
        <v>9</v>
      </c>
      <c r="I69" s="619">
        <f t="shared" si="1"/>
        <v>1689.2219999999998</v>
      </c>
      <c r="J69" s="619">
        <f t="shared" si="9"/>
        <v>11073.838</v>
      </c>
      <c r="K69" s="631">
        <f t="shared" si="10"/>
        <v>165.20934083116884</v>
      </c>
      <c r="L69" s="249"/>
      <c r="M69" s="532"/>
      <c r="N69" s="25"/>
      <c r="O69" s="25"/>
      <c r="P69" s="499"/>
      <c r="Q69" s="387">
        <f t="shared" si="7"/>
        <v>348</v>
      </c>
      <c r="R69" s="517">
        <v>33.4</v>
      </c>
      <c r="S69" s="366" t="str">
        <f t="shared" si="3"/>
        <v>OK</v>
      </c>
    </row>
    <row r="70" spans="1:19" s="18" customFormat="1" ht="13" customHeight="1">
      <c r="A70" s="617">
        <f t="shared" si="8"/>
        <v>53</v>
      </c>
      <c r="B70" s="702" t="s">
        <v>98</v>
      </c>
      <c r="C70" s="702"/>
      <c r="D70" s="702"/>
      <c r="E70" s="618">
        <f>'7" 26# Deck Tally'!B53</f>
        <v>347</v>
      </c>
      <c r="F70" s="619">
        <f>'7" 26# Deck Tally'!C53</f>
        <v>33.270000000000003</v>
      </c>
      <c r="G70" s="619">
        <f t="shared" si="6"/>
        <v>32.872</v>
      </c>
      <c r="H70" s="619" t="s">
        <v>9</v>
      </c>
      <c r="I70" s="619">
        <f t="shared" si="1"/>
        <v>1722.0939999999998</v>
      </c>
      <c r="J70" s="619">
        <f t="shared" si="9"/>
        <v>11040.966</v>
      </c>
      <c r="K70" s="631">
        <f t="shared" si="10"/>
        <v>165.93342887394957</v>
      </c>
      <c r="L70" s="275"/>
      <c r="M70" s="220"/>
      <c r="N70" s="351"/>
      <c r="O70" s="351"/>
      <c r="P70" s="499"/>
      <c r="Q70" s="387">
        <f t="shared" si="7"/>
        <v>347</v>
      </c>
      <c r="R70" s="517">
        <v>33.270000000000003</v>
      </c>
      <c r="S70" s="366" t="str">
        <f t="shared" si="3"/>
        <v>OK</v>
      </c>
    </row>
    <row r="71" spans="1:19" s="18" customFormat="1" ht="13" customHeight="1">
      <c r="A71" s="617">
        <f t="shared" si="8"/>
        <v>54</v>
      </c>
      <c r="B71" s="702" t="s">
        <v>98</v>
      </c>
      <c r="C71" s="702"/>
      <c r="D71" s="702"/>
      <c r="E71" s="618">
        <f>'7" 26# Deck Tally'!B54</f>
        <v>346</v>
      </c>
      <c r="F71" s="619">
        <f>'7" 26# Deck Tally'!C54</f>
        <v>33.32</v>
      </c>
      <c r="G71" s="619">
        <f t="shared" si="6"/>
        <v>32.921999999999997</v>
      </c>
      <c r="H71" s="619" t="s">
        <v>9</v>
      </c>
      <c r="I71" s="619">
        <f t="shared" si="1"/>
        <v>1755.0159999999998</v>
      </c>
      <c r="J71" s="619">
        <f t="shared" si="9"/>
        <v>11008.044</v>
      </c>
      <c r="K71" s="631">
        <f t="shared" si="10"/>
        <v>166.6586182918258</v>
      </c>
      <c r="L71" s="249"/>
      <c r="M71" s="532"/>
      <c r="N71" s="25"/>
      <c r="O71" s="25"/>
      <c r="P71" s="499"/>
      <c r="Q71" s="387">
        <f t="shared" si="7"/>
        <v>346</v>
      </c>
      <c r="R71" s="517">
        <v>33.32</v>
      </c>
      <c r="S71" s="366" t="str">
        <f t="shared" si="3"/>
        <v>OK</v>
      </c>
    </row>
    <row r="72" spans="1:19" s="18" customFormat="1" ht="13" customHeight="1">
      <c r="A72" s="617">
        <f t="shared" si="8"/>
        <v>55</v>
      </c>
      <c r="B72" s="702" t="s">
        <v>98</v>
      </c>
      <c r="C72" s="702"/>
      <c r="D72" s="702"/>
      <c r="E72" s="618">
        <f>'7" 26# Deck Tally'!B55</f>
        <v>345</v>
      </c>
      <c r="F72" s="619">
        <f>'7" 26# Deck Tally'!C55</f>
        <v>33.520000000000003</v>
      </c>
      <c r="G72" s="619">
        <f t="shared" si="6"/>
        <v>33.122</v>
      </c>
      <c r="H72" s="619" t="s">
        <v>9</v>
      </c>
      <c r="I72" s="619">
        <f t="shared" si="1"/>
        <v>1788.1379999999999</v>
      </c>
      <c r="J72" s="619">
        <f t="shared" si="9"/>
        <v>10974.921999999999</v>
      </c>
      <c r="K72" s="631">
        <f t="shared" si="10"/>
        <v>167.38821321008402</v>
      </c>
      <c r="L72" s="608"/>
      <c r="M72" s="532"/>
      <c r="N72" s="25"/>
      <c r="O72" s="25"/>
      <c r="P72" s="499"/>
      <c r="Q72" s="387">
        <f t="shared" si="7"/>
        <v>345</v>
      </c>
      <c r="R72" s="517">
        <v>33.520000000000003</v>
      </c>
      <c r="S72" s="366" t="str">
        <f t="shared" si="3"/>
        <v>OK</v>
      </c>
    </row>
    <row r="73" spans="1:19" s="18" customFormat="1" ht="13" customHeight="1">
      <c r="A73" s="617">
        <f t="shared" si="8"/>
        <v>56</v>
      </c>
      <c r="B73" s="702" t="s">
        <v>98</v>
      </c>
      <c r="C73" s="702"/>
      <c r="D73" s="702"/>
      <c r="E73" s="618">
        <f>'7" 26# Deck Tally'!B56</f>
        <v>344</v>
      </c>
      <c r="F73" s="619">
        <f>'7" 26# Deck Tally'!C56</f>
        <v>33.270000000000003</v>
      </c>
      <c r="G73" s="619">
        <f t="shared" si="6"/>
        <v>32.872</v>
      </c>
      <c r="H73" s="619" t="s">
        <v>9</v>
      </c>
      <c r="I73" s="619">
        <f t="shared" si="1"/>
        <v>1821.01</v>
      </c>
      <c r="J73" s="619">
        <f t="shared" si="9"/>
        <v>10942.05</v>
      </c>
      <c r="K73" s="631">
        <f t="shared" si="10"/>
        <v>168.11230125286477</v>
      </c>
      <c r="L73" s="249"/>
      <c r="M73" s="532"/>
      <c r="N73" s="25"/>
      <c r="O73" s="25"/>
      <c r="P73" s="499"/>
      <c r="Q73" s="387">
        <f t="shared" si="7"/>
        <v>344</v>
      </c>
      <c r="R73" s="517">
        <v>33.270000000000003</v>
      </c>
      <c r="S73" s="366" t="str">
        <f t="shared" si="3"/>
        <v>OK</v>
      </c>
    </row>
    <row r="74" spans="1:19" s="18" customFormat="1" ht="13" customHeight="1">
      <c r="A74" s="617">
        <f t="shared" si="8"/>
        <v>57</v>
      </c>
      <c r="B74" s="702" t="s">
        <v>98</v>
      </c>
      <c r="C74" s="702"/>
      <c r="D74" s="702"/>
      <c r="E74" s="618">
        <f>'7" 26# Deck Tally'!B57</f>
        <v>343</v>
      </c>
      <c r="F74" s="619">
        <f>'7" 26# Deck Tally'!C57</f>
        <v>33.46</v>
      </c>
      <c r="G74" s="619">
        <f t="shared" si="6"/>
        <v>33.061999999999998</v>
      </c>
      <c r="H74" s="619" t="s">
        <v>9</v>
      </c>
      <c r="I74" s="619">
        <f t="shared" si="1"/>
        <v>1854.0719999999999</v>
      </c>
      <c r="J74" s="619">
        <f t="shared" si="9"/>
        <v>10908.987999999999</v>
      </c>
      <c r="K74" s="631">
        <f t="shared" si="10"/>
        <v>168.84057452100839</v>
      </c>
      <c r="L74" s="608"/>
      <c r="M74" s="532"/>
      <c r="N74" s="25"/>
      <c r="O74" s="25"/>
      <c r="P74" s="499"/>
      <c r="Q74" s="387">
        <f t="shared" si="7"/>
        <v>343</v>
      </c>
      <c r="R74" s="517">
        <v>33.46</v>
      </c>
      <c r="S74" s="366" t="str">
        <f t="shared" si="3"/>
        <v>OK</v>
      </c>
    </row>
    <row r="75" spans="1:19" s="18" customFormat="1" ht="13" customHeight="1">
      <c r="A75" s="617">
        <f t="shared" si="8"/>
        <v>58</v>
      </c>
      <c r="B75" s="702" t="s">
        <v>98</v>
      </c>
      <c r="C75" s="702"/>
      <c r="D75" s="702"/>
      <c r="E75" s="618">
        <f>'7" 26# Deck Tally'!B58</f>
        <v>342</v>
      </c>
      <c r="F75" s="619">
        <f>'7" 26# Deck Tally'!C58</f>
        <v>33.29</v>
      </c>
      <c r="G75" s="619">
        <f t="shared" si="6"/>
        <v>32.891999999999996</v>
      </c>
      <c r="H75" s="619" t="s">
        <v>9</v>
      </c>
      <c r="I75" s="619">
        <f t="shared" si="1"/>
        <v>1886.9639999999999</v>
      </c>
      <c r="J75" s="619">
        <f t="shared" si="9"/>
        <v>10876.096</v>
      </c>
      <c r="K75" s="631">
        <f t="shared" si="10"/>
        <v>169.56510311382735</v>
      </c>
      <c r="L75" s="249"/>
      <c r="M75" s="532"/>
      <c r="N75" s="25"/>
      <c r="O75" s="25"/>
      <c r="P75" s="499"/>
      <c r="Q75" s="387">
        <f t="shared" si="7"/>
        <v>342</v>
      </c>
      <c r="R75" s="517">
        <v>33.29</v>
      </c>
      <c r="S75" s="366" t="str">
        <f t="shared" si="3"/>
        <v>OK</v>
      </c>
    </row>
    <row r="76" spans="1:19" s="18" customFormat="1" ht="13" customHeight="1">
      <c r="A76" s="617">
        <f t="shared" si="8"/>
        <v>59</v>
      </c>
      <c r="B76" s="702" t="s">
        <v>98</v>
      </c>
      <c r="C76" s="702"/>
      <c r="D76" s="702"/>
      <c r="E76" s="618">
        <f>'7" 26# Deck Tally'!B59</f>
        <v>341</v>
      </c>
      <c r="F76" s="619">
        <f>'7" 26# Deck Tally'!C59</f>
        <v>33.58</v>
      </c>
      <c r="G76" s="619">
        <f t="shared" si="6"/>
        <v>33.181999999999995</v>
      </c>
      <c r="H76" s="619" t="s">
        <v>9</v>
      </c>
      <c r="I76" s="619">
        <f t="shared" si="1"/>
        <v>1920.146</v>
      </c>
      <c r="J76" s="619">
        <f t="shared" si="9"/>
        <v>10842.913999999999</v>
      </c>
      <c r="K76" s="631">
        <f t="shared" si="10"/>
        <v>170.29601968220015</v>
      </c>
      <c r="L76" s="608"/>
      <c r="M76" s="532"/>
      <c r="N76" s="25"/>
      <c r="O76" s="25"/>
      <c r="P76" s="499"/>
      <c r="Q76" s="387">
        <f t="shared" si="7"/>
        <v>341</v>
      </c>
      <c r="R76" s="517">
        <v>33.58</v>
      </c>
      <c r="S76" s="366" t="str">
        <f t="shared" si="3"/>
        <v>OK</v>
      </c>
    </row>
    <row r="77" spans="1:19" s="18" customFormat="1" ht="13" customHeight="1">
      <c r="A77" s="617">
        <f t="shared" si="8"/>
        <v>60</v>
      </c>
      <c r="B77" s="702" t="s">
        <v>98</v>
      </c>
      <c r="C77" s="702"/>
      <c r="D77" s="702"/>
      <c r="E77" s="618">
        <f>'7" 26# Deck Tally'!B60</f>
        <v>340</v>
      </c>
      <c r="F77" s="619">
        <f>'7" 26# Deck Tally'!C60</f>
        <v>33.31</v>
      </c>
      <c r="G77" s="619">
        <f t="shared" si="6"/>
        <v>32.911999999999999</v>
      </c>
      <c r="H77" s="619" t="s">
        <v>9</v>
      </c>
      <c r="I77" s="619">
        <f t="shared" ref="I77:I140" si="11">IF(H77="IN",I76+G77,I76)</f>
        <v>1953.058</v>
      </c>
      <c r="J77" s="619">
        <f t="shared" si="9"/>
        <v>10810.002</v>
      </c>
      <c r="K77" s="631">
        <f t="shared" si="10"/>
        <v>171.02098882505732</v>
      </c>
      <c r="L77" s="249"/>
      <c r="M77" s="532"/>
      <c r="N77" s="25"/>
      <c r="O77" s="25"/>
      <c r="P77" s="499"/>
      <c r="Q77" s="387">
        <f t="shared" si="7"/>
        <v>340</v>
      </c>
      <c r="R77" s="517">
        <v>33.31</v>
      </c>
      <c r="S77" s="366" t="str">
        <f t="shared" si="3"/>
        <v>OK</v>
      </c>
    </row>
    <row r="78" spans="1:19" s="18" customFormat="1" ht="13" customHeight="1">
      <c r="A78" s="617">
        <f t="shared" si="8"/>
        <v>61</v>
      </c>
      <c r="B78" s="702" t="s">
        <v>98</v>
      </c>
      <c r="C78" s="702"/>
      <c r="D78" s="702"/>
      <c r="E78" s="618">
        <f>'7" 26# Deck Tally'!B61</f>
        <v>339</v>
      </c>
      <c r="F78" s="619">
        <f>'7" 26# Deck Tally'!C61</f>
        <v>33.67</v>
      </c>
      <c r="G78" s="619">
        <f t="shared" si="6"/>
        <v>33.271999999999998</v>
      </c>
      <c r="H78" s="619" t="s">
        <v>9</v>
      </c>
      <c r="I78" s="619">
        <f t="shared" si="11"/>
        <v>1986.33</v>
      </c>
      <c r="J78" s="619">
        <f t="shared" si="9"/>
        <v>10776.73</v>
      </c>
      <c r="K78" s="631">
        <f t="shared" si="10"/>
        <v>171.75388786860199</v>
      </c>
      <c r="L78" s="608"/>
      <c r="M78" s="220"/>
      <c r="N78" s="25"/>
      <c r="O78" s="25"/>
      <c r="P78" s="499"/>
      <c r="Q78" s="387">
        <f t="shared" si="7"/>
        <v>339</v>
      </c>
      <c r="R78" s="517">
        <v>33.67</v>
      </c>
      <c r="S78" s="366" t="str">
        <f t="shared" si="3"/>
        <v>OK</v>
      </c>
    </row>
    <row r="79" spans="1:19" s="18" customFormat="1" ht="13" customHeight="1">
      <c r="A79" s="617">
        <f t="shared" si="8"/>
        <v>62</v>
      </c>
      <c r="B79" s="702" t="s">
        <v>98</v>
      </c>
      <c r="C79" s="702"/>
      <c r="D79" s="702"/>
      <c r="E79" s="618">
        <f>'7" 26# Deck Tally'!B62</f>
        <v>338</v>
      </c>
      <c r="F79" s="619">
        <f>'7" 26# Deck Tally'!C62</f>
        <v>33.29</v>
      </c>
      <c r="G79" s="619">
        <f t="shared" si="6"/>
        <v>32.891999999999996</v>
      </c>
      <c r="H79" s="619" t="s">
        <v>9</v>
      </c>
      <c r="I79" s="619">
        <f t="shared" si="11"/>
        <v>2019.222</v>
      </c>
      <c r="J79" s="619">
        <f t="shared" si="9"/>
        <v>10743.838</v>
      </c>
      <c r="K79" s="631">
        <f t="shared" si="10"/>
        <v>172.47841646142092</v>
      </c>
      <c r="L79" s="608"/>
      <c r="M79" s="220"/>
      <c r="P79" s="499"/>
      <c r="Q79" s="387">
        <f t="shared" si="7"/>
        <v>338</v>
      </c>
      <c r="R79" s="517">
        <v>33.29</v>
      </c>
      <c r="S79" s="366" t="str">
        <f t="shared" si="3"/>
        <v>OK</v>
      </c>
    </row>
    <row r="80" spans="1:19" s="18" customFormat="1" ht="13" customHeight="1">
      <c r="A80" s="617">
        <f t="shared" si="8"/>
        <v>63</v>
      </c>
      <c r="B80" s="702" t="s">
        <v>98</v>
      </c>
      <c r="C80" s="702"/>
      <c r="D80" s="702"/>
      <c r="E80" s="618">
        <f>'7" 26# Deck Tally'!B63</f>
        <v>337</v>
      </c>
      <c r="F80" s="619">
        <f>'7" 26# Deck Tally'!C63</f>
        <v>33.76</v>
      </c>
      <c r="G80" s="619">
        <f t="shared" si="6"/>
        <v>33.361999999999995</v>
      </c>
      <c r="H80" s="619" t="s">
        <v>9</v>
      </c>
      <c r="I80" s="619">
        <f t="shared" si="11"/>
        <v>2052.5839999999998</v>
      </c>
      <c r="J80" s="619">
        <f t="shared" ref="J80:J143" si="12">IF(I80="","",$L$6-I80)</f>
        <v>10710.475999999999</v>
      </c>
      <c r="K80" s="631">
        <f t="shared" ref="K80:K143" si="13">$H$6+(I80*$F$7*$H$8/1000)</f>
        <v>173.2132979801375</v>
      </c>
      <c r="L80" s="608"/>
      <c r="M80" s="532"/>
      <c r="N80" s="25"/>
      <c r="O80" s="25"/>
      <c r="P80" s="499"/>
      <c r="Q80" s="387">
        <f t="shared" si="7"/>
        <v>337</v>
      </c>
      <c r="R80" s="517">
        <v>33.76</v>
      </c>
      <c r="S80" s="366" t="str">
        <f t="shared" ref="S80:S143" si="14">IF(F80-R80=0,"OK","FALSE")</f>
        <v>OK</v>
      </c>
    </row>
    <row r="81" spans="1:19" s="18" customFormat="1" ht="13" customHeight="1">
      <c r="A81" s="617">
        <f t="shared" si="8"/>
        <v>64</v>
      </c>
      <c r="B81" s="702" t="s">
        <v>98</v>
      </c>
      <c r="C81" s="702"/>
      <c r="D81" s="702"/>
      <c r="E81" s="618">
        <f>'7" 26# Deck Tally'!B64</f>
        <v>336</v>
      </c>
      <c r="F81" s="619">
        <f>'7" 26# Deck Tally'!C64</f>
        <v>33.380000000000003</v>
      </c>
      <c r="G81" s="619">
        <f t="shared" si="6"/>
        <v>32.981999999999999</v>
      </c>
      <c r="H81" s="619" t="s">
        <v>9</v>
      </c>
      <c r="I81" s="619">
        <f t="shared" si="11"/>
        <v>2085.5659999999998</v>
      </c>
      <c r="J81" s="619">
        <f t="shared" si="12"/>
        <v>10677.493999999999</v>
      </c>
      <c r="K81" s="631">
        <f t="shared" si="13"/>
        <v>173.93980904812832</v>
      </c>
      <c r="L81" s="249"/>
      <c r="M81" s="532"/>
      <c r="P81" s="499"/>
      <c r="Q81" s="387">
        <f t="shared" si="7"/>
        <v>336</v>
      </c>
      <c r="R81" s="517">
        <v>33.380000000000003</v>
      </c>
      <c r="S81" s="366" t="str">
        <f t="shared" si="14"/>
        <v>OK</v>
      </c>
    </row>
    <row r="82" spans="1:19" s="18" customFormat="1" ht="13" customHeight="1">
      <c r="A82" s="617">
        <f t="shared" si="8"/>
        <v>65</v>
      </c>
      <c r="B82" s="702" t="s">
        <v>98</v>
      </c>
      <c r="C82" s="702"/>
      <c r="D82" s="702"/>
      <c r="E82" s="618">
        <f>'7" 26# Deck Tally'!B65</f>
        <v>335</v>
      </c>
      <c r="F82" s="619">
        <f>'7" 26# Deck Tally'!C65</f>
        <v>33.950000000000003</v>
      </c>
      <c r="G82" s="619">
        <f t="shared" si="6"/>
        <v>33.552</v>
      </c>
      <c r="H82" s="619" t="s">
        <v>9</v>
      </c>
      <c r="I82" s="619">
        <f t="shared" si="11"/>
        <v>2119.1179999999999</v>
      </c>
      <c r="J82" s="619">
        <f t="shared" si="12"/>
        <v>10643.941999999999</v>
      </c>
      <c r="K82" s="631">
        <f t="shared" si="13"/>
        <v>174.6788757922078</v>
      </c>
      <c r="L82" s="608"/>
      <c r="M82" s="532"/>
      <c r="P82" s="499"/>
      <c r="Q82" s="387">
        <f t="shared" si="7"/>
        <v>335</v>
      </c>
      <c r="R82" s="517">
        <v>33.950000000000003</v>
      </c>
      <c r="S82" s="366" t="str">
        <f t="shared" si="14"/>
        <v>OK</v>
      </c>
    </row>
    <row r="83" spans="1:19" s="18" customFormat="1" ht="13" customHeight="1">
      <c r="A83" s="617">
        <f t="shared" si="8"/>
        <v>66</v>
      </c>
      <c r="B83" s="702" t="s">
        <v>98</v>
      </c>
      <c r="C83" s="702"/>
      <c r="D83" s="702"/>
      <c r="E83" s="618">
        <f>'7" 26# Deck Tally'!B66</f>
        <v>334</v>
      </c>
      <c r="F83" s="619">
        <f>'7" 26# Deck Tally'!C66</f>
        <v>33.81</v>
      </c>
      <c r="G83" s="619">
        <f t="shared" si="6"/>
        <v>33.411999999999999</v>
      </c>
      <c r="H83" s="619" t="s">
        <v>9</v>
      </c>
      <c r="I83" s="619">
        <f t="shared" si="11"/>
        <v>2152.5299999999997</v>
      </c>
      <c r="J83" s="619">
        <f t="shared" si="12"/>
        <v>10610.529999999999</v>
      </c>
      <c r="K83" s="631">
        <f t="shared" si="13"/>
        <v>175.41485868601984</v>
      </c>
      <c r="L83" s="249"/>
      <c r="M83" s="532"/>
      <c r="P83" s="499"/>
      <c r="Q83" s="387">
        <f t="shared" si="7"/>
        <v>334</v>
      </c>
      <c r="R83" s="517">
        <v>33.81</v>
      </c>
      <c r="S83" s="366" t="str">
        <f t="shared" si="14"/>
        <v>OK</v>
      </c>
    </row>
    <row r="84" spans="1:19" s="18" customFormat="1" ht="13" customHeight="1">
      <c r="A84" s="617">
        <f t="shared" si="8"/>
        <v>67</v>
      </c>
      <c r="B84" s="702" t="s">
        <v>98</v>
      </c>
      <c r="C84" s="702"/>
      <c r="D84" s="702"/>
      <c r="E84" s="618">
        <f>'7" 26# Deck Tally'!B67</f>
        <v>333</v>
      </c>
      <c r="F84" s="619">
        <f>'7" 26# Deck Tally'!C67</f>
        <v>33.369999999999997</v>
      </c>
      <c r="G84" s="619">
        <f t="shared" si="6"/>
        <v>32.971999999999994</v>
      </c>
      <c r="H84" s="619" t="s">
        <v>9</v>
      </c>
      <c r="I84" s="619">
        <f t="shared" si="11"/>
        <v>2185.502</v>
      </c>
      <c r="J84" s="619">
        <f t="shared" si="12"/>
        <v>10577.557999999999</v>
      </c>
      <c r="K84" s="631">
        <f t="shared" si="13"/>
        <v>176.14114947899159</v>
      </c>
      <c r="L84" s="217"/>
      <c r="M84" s="532"/>
      <c r="P84" s="499"/>
      <c r="Q84" s="387">
        <f t="shared" si="7"/>
        <v>333</v>
      </c>
      <c r="R84" s="517">
        <v>33.369999999999997</v>
      </c>
      <c r="S84" s="366" t="str">
        <f t="shared" si="14"/>
        <v>OK</v>
      </c>
    </row>
    <row r="85" spans="1:19" s="18" customFormat="1" ht="13" customHeight="1">
      <c r="A85" s="617">
        <f t="shared" si="8"/>
        <v>68</v>
      </c>
      <c r="B85" s="702" t="s">
        <v>98</v>
      </c>
      <c r="C85" s="702"/>
      <c r="D85" s="702"/>
      <c r="E85" s="618">
        <f>'7" 26# Deck Tally'!B68</f>
        <v>332</v>
      </c>
      <c r="F85" s="619">
        <f>'7" 26# Deck Tally'!C68</f>
        <v>33.35</v>
      </c>
      <c r="G85" s="619">
        <f t="shared" ref="G85:G148" si="15">F85-($F$9)</f>
        <v>32.951999999999998</v>
      </c>
      <c r="H85" s="619" t="s">
        <v>9</v>
      </c>
      <c r="I85" s="619">
        <f t="shared" si="11"/>
        <v>2218.4539999999997</v>
      </c>
      <c r="J85" s="619">
        <f t="shared" si="12"/>
        <v>10544.606</v>
      </c>
      <c r="K85" s="631">
        <f t="shared" si="13"/>
        <v>176.86699972192514</v>
      </c>
      <c r="L85" s="332"/>
      <c r="M85" s="532"/>
      <c r="P85" s="499"/>
      <c r="Q85" s="387">
        <f t="shared" ref="Q85:Q148" si="16">E85</f>
        <v>332</v>
      </c>
      <c r="R85" s="517">
        <v>33.35</v>
      </c>
      <c r="S85" s="366" t="str">
        <f t="shared" si="14"/>
        <v>OK</v>
      </c>
    </row>
    <row r="86" spans="1:19" s="18" customFormat="1" ht="13" customHeight="1">
      <c r="A86" s="617">
        <f t="shared" si="8"/>
        <v>69</v>
      </c>
      <c r="B86" s="702" t="s">
        <v>98</v>
      </c>
      <c r="C86" s="702"/>
      <c r="D86" s="702"/>
      <c r="E86" s="618">
        <f>'7" 26# Deck Tally'!B69</f>
        <v>331</v>
      </c>
      <c r="F86" s="619">
        <f>'7" 26# Deck Tally'!C69</f>
        <v>33.950000000000003</v>
      </c>
      <c r="G86" s="619">
        <f t="shared" si="15"/>
        <v>33.552</v>
      </c>
      <c r="H86" s="619" t="s">
        <v>9</v>
      </c>
      <c r="I86" s="619">
        <f t="shared" si="11"/>
        <v>2252.0059999999999</v>
      </c>
      <c r="J86" s="619">
        <f t="shared" si="12"/>
        <v>10511.054</v>
      </c>
      <c r="K86" s="631">
        <f t="shared" si="13"/>
        <v>177.60606646600456</v>
      </c>
      <c r="L86" s="332"/>
      <c r="M86" s="532"/>
      <c r="P86" s="499"/>
      <c r="Q86" s="387">
        <f t="shared" si="16"/>
        <v>331</v>
      </c>
      <c r="R86" s="517">
        <v>33.950000000000003</v>
      </c>
      <c r="S86" s="366" t="str">
        <f t="shared" si="14"/>
        <v>OK</v>
      </c>
    </row>
    <row r="87" spans="1:19" s="18" customFormat="1" ht="13" customHeight="1">
      <c r="A87" s="617">
        <f t="shared" ref="A87:A150" si="17">A86+1</f>
        <v>70</v>
      </c>
      <c r="B87" s="702" t="s">
        <v>98</v>
      </c>
      <c r="C87" s="702"/>
      <c r="D87" s="702"/>
      <c r="E87" s="618">
        <f>'7" 26# Deck Tally'!B70</f>
        <v>330</v>
      </c>
      <c r="F87" s="619">
        <f>'7" 26# Deck Tally'!C70</f>
        <v>33.53</v>
      </c>
      <c r="G87" s="619">
        <f t="shared" si="15"/>
        <v>33.131999999999998</v>
      </c>
      <c r="H87" s="619" t="s">
        <v>9</v>
      </c>
      <c r="I87" s="619">
        <f t="shared" si="11"/>
        <v>2285.1379999999999</v>
      </c>
      <c r="J87" s="619">
        <f t="shared" si="12"/>
        <v>10477.921999999999</v>
      </c>
      <c r="K87" s="631">
        <f t="shared" si="13"/>
        <v>178.33588165928188</v>
      </c>
      <c r="L87" s="332"/>
      <c r="M87" s="532"/>
      <c r="P87" s="499"/>
      <c r="Q87" s="387">
        <f t="shared" si="16"/>
        <v>330</v>
      </c>
      <c r="R87" s="517">
        <v>33.53</v>
      </c>
      <c r="S87" s="366" t="str">
        <f t="shared" si="14"/>
        <v>OK</v>
      </c>
    </row>
    <row r="88" spans="1:19" s="18" customFormat="1" ht="13" customHeight="1">
      <c r="A88" s="617">
        <f t="shared" si="17"/>
        <v>71</v>
      </c>
      <c r="B88" s="702" t="s">
        <v>98</v>
      </c>
      <c r="C88" s="702"/>
      <c r="D88" s="702"/>
      <c r="E88" s="618">
        <f>'7" 26# Deck Tally'!B71</f>
        <v>329</v>
      </c>
      <c r="F88" s="619">
        <f>'7" 26# Deck Tally'!C71</f>
        <v>33.6</v>
      </c>
      <c r="G88" s="619">
        <f t="shared" si="15"/>
        <v>33.201999999999998</v>
      </c>
      <c r="H88" s="619" t="s">
        <v>9</v>
      </c>
      <c r="I88" s="619">
        <f t="shared" si="11"/>
        <v>2318.34</v>
      </c>
      <c r="J88" s="619">
        <f t="shared" si="12"/>
        <v>10444.719999999999</v>
      </c>
      <c r="K88" s="631">
        <f t="shared" si="13"/>
        <v>179.06723877769289</v>
      </c>
      <c r="L88" s="332"/>
      <c r="M88" s="532"/>
      <c r="P88" s="499"/>
      <c r="Q88" s="387">
        <f t="shared" si="16"/>
        <v>329</v>
      </c>
      <c r="R88" s="517">
        <v>33.6</v>
      </c>
      <c r="S88" s="366" t="str">
        <f t="shared" si="14"/>
        <v>OK</v>
      </c>
    </row>
    <row r="89" spans="1:19" s="18" customFormat="1" ht="13" customHeight="1">
      <c r="A89" s="617">
        <f t="shared" si="17"/>
        <v>72</v>
      </c>
      <c r="B89" s="702" t="s">
        <v>98</v>
      </c>
      <c r="C89" s="702"/>
      <c r="D89" s="702"/>
      <c r="E89" s="618">
        <f>'7" 26# Deck Tally'!B72</f>
        <v>328</v>
      </c>
      <c r="F89" s="619">
        <f>'7" 26# Deck Tally'!C72</f>
        <v>32.97</v>
      </c>
      <c r="G89" s="619">
        <f t="shared" si="15"/>
        <v>32.571999999999996</v>
      </c>
      <c r="H89" s="619" t="s">
        <v>9</v>
      </c>
      <c r="I89" s="619">
        <f t="shared" si="11"/>
        <v>2350.9120000000003</v>
      </c>
      <c r="J89" s="619">
        <f t="shared" si="12"/>
        <v>10412.147999999999</v>
      </c>
      <c r="K89" s="631">
        <f t="shared" si="13"/>
        <v>179.78471856990069</v>
      </c>
      <c r="L89" s="608"/>
      <c r="M89" s="220"/>
      <c r="P89" s="499"/>
      <c r="Q89" s="387">
        <f t="shared" si="16"/>
        <v>328</v>
      </c>
      <c r="R89" s="517">
        <v>32.97</v>
      </c>
      <c r="S89" s="366" t="str">
        <f t="shared" si="14"/>
        <v>OK</v>
      </c>
    </row>
    <row r="90" spans="1:19" s="18" customFormat="1" ht="13" customHeight="1">
      <c r="A90" s="617">
        <f t="shared" si="17"/>
        <v>73</v>
      </c>
      <c r="B90" s="702" t="s">
        <v>98</v>
      </c>
      <c r="C90" s="702"/>
      <c r="D90" s="702"/>
      <c r="E90" s="618">
        <f>'7" 26# Deck Tally'!B73</f>
        <v>327</v>
      </c>
      <c r="F90" s="619">
        <f>'7" 26# Deck Tally'!C73</f>
        <v>33.29</v>
      </c>
      <c r="G90" s="619">
        <f t="shared" si="15"/>
        <v>32.891999999999996</v>
      </c>
      <c r="H90" s="619" t="s">
        <v>9</v>
      </c>
      <c r="I90" s="619">
        <f t="shared" si="11"/>
        <v>2383.8040000000001</v>
      </c>
      <c r="J90" s="619">
        <f t="shared" si="12"/>
        <v>10379.255999999999</v>
      </c>
      <c r="K90" s="631">
        <f t="shared" si="13"/>
        <v>180.50924716271965</v>
      </c>
      <c r="L90" s="606"/>
      <c r="M90" s="220"/>
      <c r="N90" s="25"/>
      <c r="O90" s="25"/>
      <c r="P90" s="499"/>
      <c r="Q90" s="387">
        <f t="shared" si="16"/>
        <v>327</v>
      </c>
      <c r="R90" s="517">
        <v>33.29</v>
      </c>
      <c r="S90" s="366" t="str">
        <f t="shared" si="14"/>
        <v>OK</v>
      </c>
    </row>
    <row r="91" spans="1:19" s="18" customFormat="1" ht="13" customHeight="1">
      <c r="A91" s="617">
        <f t="shared" si="17"/>
        <v>74</v>
      </c>
      <c r="B91" s="702" t="s">
        <v>98</v>
      </c>
      <c r="C91" s="702"/>
      <c r="D91" s="702"/>
      <c r="E91" s="618">
        <f>'7" 26# Deck Tally'!B74</f>
        <v>326</v>
      </c>
      <c r="F91" s="619">
        <f>'7" 26# Deck Tally'!C74</f>
        <v>33.04</v>
      </c>
      <c r="G91" s="619">
        <f t="shared" si="15"/>
        <v>32.641999999999996</v>
      </c>
      <c r="H91" s="619" t="s">
        <v>9</v>
      </c>
      <c r="I91" s="619">
        <f t="shared" si="11"/>
        <v>2416.4459999999999</v>
      </c>
      <c r="J91" s="619">
        <f t="shared" si="12"/>
        <v>10346.614</v>
      </c>
      <c r="K91" s="631">
        <f t="shared" si="13"/>
        <v>181.22826888006111</v>
      </c>
      <c r="L91" s="608"/>
      <c r="M91" s="220"/>
      <c r="P91" s="499"/>
      <c r="Q91" s="387">
        <f t="shared" si="16"/>
        <v>326</v>
      </c>
      <c r="R91" s="517">
        <v>33.04</v>
      </c>
      <c r="S91" s="366" t="str">
        <f t="shared" si="14"/>
        <v>OK</v>
      </c>
    </row>
    <row r="92" spans="1:19" s="18" customFormat="1" ht="13" customHeight="1">
      <c r="A92" s="617">
        <f t="shared" si="17"/>
        <v>75</v>
      </c>
      <c r="B92" s="702" t="s">
        <v>98</v>
      </c>
      <c r="C92" s="702"/>
      <c r="D92" s="702"/>
      <c r="E92" s="618">
        <f>'7" 26# Deck Tally'!B75</f>
        <v>325</v>
      </c>
      <c r="F92" s="619">
        <f>'7" 26# Deck Tally'!C75</f>
        <v>33.18</v>
      </c>
      <c r="G92" s="619">
        <f t="shared" si="15"/>
        <v>32.781999999999996</v>
      </c>
      <c r="H92" s="619" t="s">
        <v>9</v>
      </c>
      <c r="I92" s="619">
        <f t="shared" si="11"/>
        <v>2449.2280000000001</v>
      </c>
      <c r="J92" s="619">
        <f t="shared" si="12"/>
        <v>10313.831999999999</v>
      </c>
      <c r="K92" s="631">
        <f t="shared" si="13"/>
        <v>181.95037444766999</v>
      </c>
      <c r="L92" s="605"/>
      <c r="M92" s="222"/>
      <c r="P92" s="499"/>
      <c r="Q92" s="387">
        <f t="shared" si="16"/>
        <v>325</v>
      </c>
      <c r="R92" s="517">
        <v>33.18</v>
      </c>
      <c r="S92" s="366" t="str">
        <f t="shared" si="14"/>
        <v>OK</v>
      </c>
    </row>
    <row r="93" spans="1:19" s="18" customFormat="1" ht="13" customHeight="1">
      <c r="A93" s="617">
        <f t="shared" si="17"/>
        <v>76</v>
      </c>
      <c r="B93" s="702" t="s">
        <v>98</v>
      </c>
      <c r="C93" s="702"/>
      <c r="D93" s="702"/>
      <c r="E93" s="618">
        <f>'7" 26# Deck Tally'!B76</f>
        <v>324</v>
      </c>
      <c r="F93" s="619">
        <f>'7" 26# Deck Tally'!C76</f>
        <v>33.39</v>
      </c>
      <c r="G93" s="619">
        <f t="shared" si="15"/>
        <v>32.991999999999997</v>
      </c>
      <c r="H93" s="619" t="s">
        <v>9</v>
      </c>
      <c r="I93" s="619">
        <f t="shared" si="11"/>
        <v>2482.2200000000003</v>
      </c>
      <c r="J93" s="619">
        <f t="shared" si="12"/>
        <v>10280.84</v>
      </c>
      <c r="K93" s="631">
        <f t="shared" si="13"/>
        <v>182.67710579067992</v>
      </c>
      <c r="L93" s="605"/>
      <c r="M93" s="222"/>
      <c r="P93" s="499"/>
      <c r="Q93" s="387">
        <f t="shared" si="16"/>
        <v>324</v>
      </c>
      <c r="R93" s="517">
        <v>33.39</v>
      </c>
      <c r="S93" s="366" t="str">
        <f t="shared" si="14"/>
        <v>OK</v>
      </c>
    </row>
    <row r="94" spans="1:19" s="18" customFormat="1" ht="13" customHeight="1">
      <c r="A94" s="617">
        <f t="shared" si="17"/>
        <v>77</v>
      </c>
      <c r="B94" s="702" t="s">
        <v>98</v>
      </c>
      <c r="C94" s="702"/>
      <c r="D94" s="702"/>
      <c r="E94" s="618">
        <f>'7" 26# Deck Tally'!B77</f>
        <v>323</v>
      </c>
      <c r="F94" s="619">
        <f>'7" 26# Deck Tally'!C77</f>
        <v>33.020000000000003</v>
      </c>
      <c r="G94" s="619">
        <f t="shared" si="15"/>
        <v>32.622</v>
      </c>
      <c r="H94" s="619" t="s">
        <v>9</v>
      </c>
      <c r="I94" s="619">
        <f t="shared" si="11"/>
        <v>2514.8420000000001</v>
      </c>
      <c r="J94" s="619">
        <f t="shared" si="12"/>
        <v>10248.217999999999</v>
      </c>
      <c r="K94" s="631">
        <f t="shared" si="13"/>
        <v>183.39568695798317</v>
      </c>
      <c r="L94" s="605"/>
      <c r="M94" s="222"/>
      <c r="P94" s="499"/>
      <c r="Q94" s="387">
        <f t="shared" si="16"/>
        <v>323</v>
      </c>
      <c r="R94" s="517">
        <v>33.020000000000003</v>
      </c>
      <c r="S94" s="366" t="str">
        <f t="shared" si="14"/>
        <v>OK</v>
      </c>
    </row>
    <row r="95" spans="1:19" s="18" customFormat="1" ht="13">
      <c r="A95" s="617">
        <f t="shared" si="17"/>
        <v>78</v>
      </c>
      <c r="B95" s="702" t="s">
        <v>98</v>
      </c>
      <c r="C95" s="702"/>
      <c r="D95" s="702"/>
      <c r="E95" s="618">
        <f>'7" 26# Deck Tally'!B78</f>
        <v>322</v>
      </c>
      <c r="F95" s="619">
        <f>'7" 26# Deck Tally'!C78</f>
        <v>33.43</v>
      </c>
      <c r="G95" s="619">
        <f t="shared" si="15"/>
        <v>33.031999999999996</v>
      </c>
      <c r="H95" s="619" t="s">
        <v>9</v>
      </c>
      <c r="I95" s="619">
        <f t="shared" si="11"/>
        <v>2547.8740000000003</v>
      </c>
      <c r="J95" s="619">
        <f t="shared" si="12"/>
        <v>10215.186</v>
      </c>
      <c r="K95" s="631">
        <f t="shared" si="13"/>
        <v>184.12329940106952</v>
      </c>
      <c r="L95" s="605"/>
      <c r="M95" s="222"/>
      <c r="N95" s="25"/>
      <c r="O95" s="25"/>
      <c r="P95" s="499"/>
      <c r="Q95" s="387">
        <f t="shared" si="16"/>
        <v>322</v>
      </c>
      <c r="R95" s="517">
        <v>33.43</v>
      </c>
      <c r="S95" s="366" t="str">
        <f t="shared" si="14"/>
        <v>OK</v>
      </c>
    </row>
    <row r="96" spans="1:19" s="18" customFormat="1" ht="13">
      <c r="A96" s="617">
        <f t="shared" si="17"/>
        <v>79</v>
      </c>
      <c r="B96" s="702" t="s">
        <v>98</v>
      </c>
      <c r="C96" s="702"/>
      <c r="D96" s="702"/>
      <c r="E96" s="618">
        <f>'7" 26# Deck Tally'!B79</f>
        <v>321</v>
      </c>
      <c r="F96" s="619">
        <f>'7" 26# Deck Tally'!C79</f>
        <v>33.32</v>
      </c>
      <c r="G96" s="619">
        <f t="shared" si="15"/>
        <v>32.921999999999997</v>
      </c>
      <c r="H96" s="619" t="s">
        <v>9</v>
      </c>
      <c r="I96" s="619">
        <f t="shared" si="11"/>
        <v>2580.7960000000003</v>
      </c>
      <c r="J96" s="619">
        <f t="shared" si="12"/>
        <v>10182.263999999999</v>
      </c>
      <c r="K96" s="631">
        <f t="shared" si="13"/>
        <v>184.84848881894578</v>
      </c>
      <c r="L96" s="605"/>
      <c r="M96" s="222"/>
      <c r="P96" s="499"/>
      <c r="Q96" s="387">
        <f t="shared" si="16"/>
        <v>321</v>
      </c>
      <c r="R96" s="517">
        <v>33.32</v>
      </c>
      <c r="S96" s="366" t="str">
        <f t="shared" si="14"/>
        <v>OK</v>
      </c>
    </row>
    <row r="97" spans="1:19" s="18" customFormat="1" ht="13">
      <c r="A97" s="617">
        <f t="shared" si="17"/>
        <v>80</v>
      </c>
      <c r="B97" s="702" t="s">
        <v>98</v>
      </c>
      <c r="C97" s="702"/>
      <c r="D97" s="702"/>
      <c r="E97" s="618">
        <f>'7" 26# Deck Tally'!B80</f>
        <v>320</v>
      </c>
      <c r="F97" s="619">
        <f>'7" 26# Deck Tally'!C80</f>
        <v>33.46</v>
      </c>
      <c r="G97" s="619">
        <f t="shared" si="15"/>
        <v>33.061999999999998</v>
      </c>
      <c r="H97" s="619" t="s">
        <v>9</v>
      </c>
      <c r="I97" s="619">
        <f t="shared" si="11"/>
        <v>2613.8580000000002</v>
      </c>
      <c r="J97" s="619">
        <f t="shared" si="12"/>
        <v>10149.201999999999</v>
      </c>
      <c r="K97" s="631">
        <f t="shared" si="13"/>
        <v>185.57676208708938</v>
      </c>
      <c r="L97" s="605"/>
      <c r="M97" s="222"/>
      <c r="P97" s="499"/>
      <c r="Q97" s="387">
        <f t="shared" si="16"/>
        <v>320</v>
      </c>
      <c r="R97" s="517">
        <v>33.46</v>
      </c>
      <c r="S97" s="366" t="str">
        <f t="shared" si="14"/>
        <v>OK</v>
      </c>
    </row>
    <row r="98" spans="1:19" s="18" customFormat="1" ht="13">
      <c r="A98" s="617">
        <f t="shared" si="17"/>
        <v>81</v>
      </c>
      <c r="B98" s="702" t="s">
        <v>98</v>
      </c>
      <c r="C98" s="702"/>
      <c r="D98" s="702"/>
      <c r="E98" s="618">
        <f>'7" 26# Deck Tally'!B81</f>
        <v>319</v>
      </c>
      <c r="F98" s="619">
        <f>'7" 26# Deck Tally'!C81</f>
        <v>33.18</v>
      </c>
      <c r="G98" s="619">
        <f t="shared" si="15"/>
        <v>32.781999999999996</v>
      </c>
      <c r="H98" s="619" t="s">
        <v>9</v>
      </c>
      <c r="I98" s="619">
        <f t="shared" si="11"/>
        <v>2646.6400000000003</v>
      </c>
      <c r="J98" s="619">
        <f t="shared" si="12"/>
        <v>10116.419999999998</v>
      </c>
      <c r="K98" s="631">
        <f t="shared" si="13"/>
        <v>186.29886765469826</v>
      </c>
      <c r="L98" s="605"/>
      <c r="M98" s="222"/>
      <c r="P98" s="499"/>
      <c r="Q98" s="387">
        <f t="shared" si="16"/>
        <v>319</v>
      </c>
      <c r="R98" s="517">
        <v>33.18</v>
      </c>
      <c r="S98" s="366" t="str">
        <f t="shared" si="14"/>
        <v>OK</v>
      </c>
    </row>
    <row r="99" spans="1:19" s="18" customFormat="1" ht="13">
      <c r="A99" s="617">
        <f t="shared" si="17"/>
        <v>82</v>
      </c>
      <c r="B99" s="702" t="s">
        <v>98</v>
      </c>
      <c r="C99" s="702"/>
      <c r="D99" s="702"/>
      <c r="E99" s="618">
        <f>'7" 26# Deck Tally'!B82</f>
        <v>318</v>
      </c>
      <c r="F99" s="619">
        <f>'7" 26# Deck Tally'!C82</f>
        <v>33.68</v>
      </c>
      <c r="G99" s="619">
        <f t="shared" si="15"/>
        <v>33.281999999999996</v>
      </c>
      <c r="H99" s="619" t="s">
        <v>9</v>
      </c>
      <c r="I99" s="619">
        <f t="shared" si="11"/>
        <v>2679.9220000000005</v>
      </c>
      <c r="J99" s="619">
        <f t="shared" si="12"/>
        <v>10083.137999999999</v>
      </c>
      <c r="K99" s="631">
        <f t="shared" si="13"/>
        <v>187.03198697326204</v>
      </c>
      <c r="L99" s="605"/>
      <c r="M99" s="222"/>
      <c r="P99" s="499"/>
      <c r="Q99" s="387">
        <f t="shared" si="16"/>
        <v>318</v>
      </c>
      <c r="R99" s="517">
        <v>33.68</v>
      </c>
      <c r="S99" s="366" t="str">
        <f t="shared" si="14"/>
        <v>OK</v>
      </c>
    </row>
    <row r="100" spans="1:19" s="18" customFormat="1" ht="13">
      <c r="A100" s="617">
        <f t="shared" si="17"/>
        <v>83</v>
      </c>
      <c r="B100" s="702" t="s">
        <v>98</v>
      </c>
      <c r="C100" s="702"/>
      <c r="D100" s="702"/>
      <c r="E100" s="618">
        <f>'7" 26# Deck Tally'!B83</f>
        <v>317</v>
      </c>
      <c r="F100" s="619">
        <f>'7" 26# Deck Tally'!C83</f>
        <v>33.5</v>
      </c>
      <c r="G100" s="619">
        <f t="shared" si="15"/>
        <v>33.101999999999997</v>
      </c>
      <c r="H100" s="619" t="s">
        <v>9</v>
      </c>
      <c r="I100" s="619">
        <f t="shared" si="11"/>
        <v>2713.0240000000003</v>
      </c>
      <c r="J100" s="619">
        <f t="shared" si="12"/>
        <v>10050.036</v>
      </c>
      <c r="K100" s="631">
        <f t="shared" si="13"/>
        <v>187.76114134148207</v>
      </c>
      <c r="L100" s="605"/>
      <c r="M100" s="222"/>
      <c r="N100" s="25"/>
      <c r="O100" s="25"/>
      <c r="P100" s="499"/>
      <c r="Q100" s="387">
        <f t="shared" si="16"/>
        <v>317</v>
      </c>
      <c r="R100" s="517">
        <v>33.5</v>
      </c>
      <c r="S100" s="366" t="str">
        <f t="shared" si="14"/>
        <v>OK</v>
      </c>
    </row>
    <row r="101" spans="1:19" s="18" customFormat="1" ht="13">
      <c r="A101" s="617">
        <f t="shared" si="17"/>
        <v>84</v>
      </c>
      <c r="B101" s="702" t="s">
        <v>98</v>
      </c>
      <c r="C101" s="702"/>
      <c r="D101" s="702"/>
      <c r="E101" s="618">
        <f>'7" 26# Deck Tally'!B84</f>
        <v>316</v>
      </c>
      <c r="F101" s="619">
        <f>'7" 26# Deck Tally'!C84</f>
        <v>33.67</v>
      </c>
      <c r="G101" s="619">
        <f t="shared" si="15"/>
        <v>33.271999999999998</v>
      </c>
      <c r="H101" s="619" t="s">
        <v>9</v>
      </c>
      <c r="I101" s="619">
        <f t="shared" si="11"/>
        <v>2746.2960000000003</v>
      </c>
      <c r="J101" s="619">
        <f t="shared" si="12"/>
        <v>10016.763999999999</v>
      </c>
      <c r="K101" s="631">
        <f t="shared" si="13"/>
        <v>188.49404038502675</v>
      </c>
      <c r="L101" s="605"/>
      <c r="M101" s="222"/>
      <c r="P101" s="499"/>
      <c r="Q101" s="387">
        <f t="shared" si="16"/>
        <v>316</v>
      </c>
      <c r="R101" s="517">
        <v>33.67</v>
      </c>
      <c r="S101" s="366" t="str">
        <f t="shared" si="14"/>
        <v>OK</v>
      </c>
    </row>
    <row r="102" spans="1:19" s="18" customFormat="1" ht="13">
      <c r="A102" s="617">
        <f t="shared" si="17"/>
        <v>85</v>
      </c>
      <c r="B102" s="702" t="s">
        <v>98</v>
      </c>
      <c r="C102" s="702"/>
      <c r="D102" s="702"/>
      <c r="E102" s="618">
        <f>'7" 26# Deck Tally'!B85</f>
        <v>315</v>
      </c>
      <c r="F102" s="619">
        <f>'7" 26# Deck Tally'!C85</f>
        <v>33.83</v>
      </c>
      <c r="G102" s="619">
        <f t="shared" si="15"/>
        <v>33.431999999999995</v>
      </c>
      <c r="H102" s="619" t="s">
        <v>9</v>
      </c>
      <c r="I102" s="619">
        <f t="shared" si="11"/>
        <v>2779.7280000000001</v>
      </c>
      <c r="J102" s="619">
        <f t="shared" si="12"/>
        <v>9983.3319999999985</v>
      </c>
      <c r="K102" s="631">
        <f t="shared" si="13"/>
        <v>189.23046382887702</v>
      </c>
      <c r="L102" s="276"/>
      <c r="M102" s="222"/>
      <c r="N102" s="31"/>
      <c r="O102" s="31"/>
      <c r="P102" s="499"/>
      <c r="Q102" s="387">
        <f t="shared" si="16"/>
        <v>315</v>
      </c>
      <c r="R102" s="517">
        <v>33.83</v>
      </c>
      <c r="S102" s="366" t="str">
        <f t="shared" si="14"/>
        <v>OK</v>
      </c>
    </row>
    <row r="103" spans="1:19" s="18" customFormat="1" ht="13">
      <c r="A103" s="617">
        <f t="shared" si="17"/>
        <v>86</v>
      </c>
      <c r="B103" s="702" t="s">
        <v>98</v>
      </c>
      <c r="C103" s="702"/>
      <c r="D103" s="702"/>
      <c r="E103" s="618">
        <f>'7" 26# Deck Tally'!B86</f>
        <v>314</v>
      </c>
      <c r="F103" s="619">
        <f>'7" 26# Deck Tally'!C86</f>
        <v>33.58</v>
      </c>
      <c r="G103" s="619">
        <f t="shared" si="15"/>
        <v>33.181999999999995</v>
      </c>
      <c r="H103" s="619" t="s">
        <v>9</v>
      </c>
      <c r="I103" s="619">
        <f t="shared" si="11"/>
        <v>2812.91</v>
      </c>
      <c r="J103" s="619">
        <f t="shared" si="12"/>
        <v>9950.15</v>
      </c>
      <c r="K103" s="631">
        <f t="shared" si="13"/>
        <v>189.9613803972498</v>
      </c>
      <c r="L103" s="276"/>
      <c r="M103" s="222"/>
      <c r="P103" s="499"/>
      <c r="Q103" s="387">
        <f t="shared" si="16"/>
        <v>314</v>
      </c>
      <c r="R103" s="517">
        <v>33.58</v>
      </c>
      <c r="S103" s="366" t="str">
        <f t="shared" si="14"/>
        <v>OK</v>
      </c>
    </row>
    <row r="104" spans="1:19" s="18" customFormat="1" ht="13">
      <c r="A104" s="617">
        <f t="shared" si="17"/>
        <v>87</v>
      </c>
      <c r="B104" s="702" t="s">
        <v>98</v>
      </c>
      <c r="C104" s="702"/>
      <c r="D104" s="702"/>
      <c r="E104" s="618">
        <f>'7" 26# Deck Tally'!B87</f>
        <v>313</v>
      </c>
      <c r="F104" s="619">
        <f>'7" 26# Deck Tally'!C87</f>
        <v>33.71</v>
      </c>
      <c r="G104" s="619">
        <f t="shared" si="15"/>
        <v>33.311999999999998</v>
      </c>
      <c r="H104" s="619" t="s">
        <v>9</v>
      </c>
      <c r="I104" s="619">
        <f t="shared" si="11"/>
        <v>2846.2219999999998</v>
      </c>
      <c r="J104" s="619">
        <f t="shared" si="12"/>
        <v>9916.8379999999997</v>
      </c>
      <c r="K104" s="631">
        <f t="shared" si="13"/>
        <v>190.69516054087089</v>
      </c>
      <c r="L104" s="276"/>
      <c r="M104" s="222"/>
      <c r="P104" s="499"/>
      <c r="Q104" s="387">
        <f t="shared" si="16"/>
        <v>313</v>
      </c>
      <c r="R104" s="517">
        <v>33.71</v>
      </c>
      <c r="S104" s="366" t="str">
        <f t="shared" si="14"/>
        <v>OK</v>
      </c>
    </row>
    <row r="105" spans="1:19" s="18" customFormat="1" ht="13">
      <c r="A105" s="617">
        <f t="shared" si="17"/>
        <v>88</v>
      </c>
      <c r="B105" s="702" t="s">
        <v>98</v>
      </c>
      <c r="C105" s="702"/>
      <c r="D105" s="702"/>
      <c r="E105" s="618">
        <f>'7" 26# Deck Tally'!B88</f>
        <v>312</v>
      </c>
      <c r="F105" s="619">
        <f>'7" 26# Deck Tally'!C88</f>
        <v>33.729999999999997</v>
      </c>
      <c r="G105" s="619">
        <f t="shared" si="15"/>
        <v>33.331999999999994</v>
      </c>
      <c r="H105" s="619" t="s">
        <v>9</v>
      </c>
      <c r="I105" s="619">
        <f t="shared" si="11"/>
        <v>2879.5539999999996</v>
      </c>
      <c r="J105" s="619">
        <f t="shared" si="12"/>
        <v>9883.5059999999994</v>
      </c>
      <c r="K105" s="631">
        <f t="shared" si="13"/>
        <v>191.42938123453018</v>
      </c>
      <c r="L105" s="605"/>
      <c r="M105" s="222"/>
      <c r="P105" s="499"/>
      <c r="Q105" s="387">
        <f t="shared" si="16"/>
        <v>312</v>
      </c>
      <c r="R105" s="517">
        <v>33.729999999999997</v>
      </c>
      <c r="S105" s="366" t="str">
        <f t="shared" si="14"/>
        <v>OK</v>
      </c>
    </row>
    <row r="106" spans="1:19" s="18" customFormat="1" ht="13">
      <c r="A106" s="617">
        <f t="shared" si="17"/>
        <v>89</v>
      </c>
      <c r="B106" s="702" t="s">
        <v>98</v>
      </c>
      <c r="C106" s="702"/>
      <c r="D106" s="702"/>
      <c r="E106" s="618">
        <f>'7" 26# Deck Tally'!B89</f>
        <v>311</v>
      </c>
      <c r="F106" s="619">
        <f>'7" 26# Deck Tally'!C89</f>
        <v>33.35</v>
      </c>
      <c r="G106" s="619">
        <f t="shared" si="15"/>
        <v>32.951999999999998</v>
      </c>
      <c r="H106" s="619" t="s">
        <v>9</v>
      </c>
      <c r="I106" s="619">
        <f t="shared" si="11"/>
        <v>2912.5059999999994</v>
      </c>
      <c r="J106" s="619">
        <f t="shared" si="12"/>
        <v>9850.5540000000001</v>
      </c>
      <c r="K106" s="631">
        <f t="shared" si="13"/>
        <v>192.1552314774637</v>
      </c>
      <c r="L106" s="605"/>
      <c r="M106" s="222"/>
      <c r="P106" s="499"/>
      <c r="Q106" s="387">
        <f t="shared" si="16"/>
        <v>311</v>
      </c>
      <c r="R106" s="517">
        <v>33.35</v>
      </c>
      <c r="S106" s="366" t="str">
        <f t="shared" si="14"/>
        <v>OK</v>
      </c>
    </row>
    <row r="107" spans="1:19" s="18" customFormat="1" ht="13">
      <c r="A107" s="617">
        <f t="shared" si="17"/>
        <v>90</v>
      </c>
      <c r="B107" s="702" t="s">
        <v>98</v>
      </c>
      <c r="C107" s="702"/>
      <c r="D107" s="702"/>
      <c r="E107" s="618">
        <f>'7" 26# Deck Tally'!B90</f>
        <v>310</v>
      </c>
      <c r="F107" s="619">
        <f>'7" 26# Deck Tally'!C90</f>
        <v>33.22</v>
      </c>
      <c r="G107" s="619">
        <f t="shared" si="15"/>
        <v>32.821999999999996</v>
      </c>
      <c r="H107" s="619" t="s">
        <v>9</v>
      </c>
      <c r="I107" s="619">
        <f t="shared" si="11"/>
        <v>2945.3279999999995</v>
      </c>
      <c r="J107" s="619">
        <f t="shared" si="12"/>
        <v>9817.732</v>
      </c>
      <c r="K107" s="631">
        <f t="shared" si="13"/>
        <v>192.87821814514896</v>
      </c>
      <c r="L107" s="605"/>
      <c r="M107" s="222"/>
      <c r="P107" s="499"/>
      <c r="Q107" s="387">
        <f t="shared" si="16"/>
        <v>310</v>
      </c>
      <c r="R107" s="517">
        <v>33.22</v>
      </c>
      <c r="S107" s="366" t="str">
        <f t="shared" si="14"/>
        <v>OK</v>
      </c>
    </row>
    <row r="108" spans="1:19" s="18" customFormat="1" ht="13">
      <c r="A108" s="617">
        <f t="shared" si="17"/>
        <v>91</v>
      </c>
      <c r="B108" s="702" t="s">
        <v>98</v>
      </c>
      <c r="C108" s="702"/>
      <c r="D108" s="702"/>
      <c r="E108" s="618">
        <f>'7" 26# Deck Tally'!B91</f>
        <v>309</v>
      </c>
      <c r="F108" s="619">
        <f>'7" 26# Deck Tally'!C91</f>
        <v>33.42</v>
      </c>
      <c r="G108" s="619">
        <f t="shared" si="15"/>
        <v>33.021999999999998</v>
      </c>
      <c r="H108" s="619" t="s">
        <v>9</v>
      </c>
      <c r="I108" s="619">
        <f t="shared" si="11"/>
        <v>2978.3499999999995</v>
      </c>
      <c r="J108" s="619">
        <f t="shared" si="12"/>
        <v>9784.7099999999991</v>
      </c>
      <c r="K108" s="631">
        <f t="shared" si="13"/>
        <v>193.60561031321618</v>
      </c>
      <c r="L108" s="605"/>
      <c r="M108" s="222"/>
      <c r="P108" s="499"/>
      <c r="Q108" s="387">
        <f t="shared" si="16"/>
        <v>309</v>
      </c>
      <c r="R108" s="517">
        <v>33.42</v>
      </c>
      <c r="S108" s="366" t="str">
        <f t="shared" si="14"/>
        <v>OK</v>
      </c>
    </row>
    <row r="109" spans="1:19" s="18" customFormat="1" ht="13" customHeight="1">
      <c r="A109" s="617">
        <f t="shared" si="17"/>
        <v>92</v>
      </c>
      <c r="B109" s="702" t="s">
        <v>98</v>
      </c>
      <c r="C109" s="702"/>
      <c r="D109" s="702"/>
      <c r="E109" s="618">
        <f>'7" 26# Deck Tally'!B92</f>
        <v>308</v>
      </c>
      <c r="F109" s="619">
        <f>'7" 26# Deck Tally'!C92</f>
        <v>33.43</v>
      </c>
      <c r="G109" s="619">
        <f t="shared" si="15"/>
        <v>33.031999999999996</v>
      </c>
      <c r="H109" s="619" t="s">
        <v>9</v>
      </c>
      <c r="I109" s="619">
        <f t="shared" si="11"/>
        <v>3011.3819999999996</v>
      </c>
      <c r="J109" s="619">
        <f t="shared" si="12"/>
        <v>9751.6779999999999</v>
      </c>
      <c r="K109" s="631">
        <f t="shared" si="13"/>
        <v>194.33322275630252</v>
      </c>
      <c r="L109" s="332"/>
      <c r="M109" s="532"/>
      <c r="P109" s="499"/>
      <c r="Q109" s="387">
        <f t="shared" si="16"/>
        <v>308</v>
      </c>
      <c r="R109" s="517">
        <v>33.43</v>
      </c>
      <c r="S109" s="366" t="str">
        <f t="shared" si="14"/>
        <v>OK</v>
      </c>
    </row>
    <row r="110" spans="1:19" s="18" customFormat="1" ht="13" customHeight="1">
      <c r="A110" s="617">
        <f t="shared" si="17"/>
        <v>93</v>
      </c>
      <c r="B110" s="702" t="s">
        <v>98</v>
      </c>
      <c r="C110" s="702"/>
      <c r="D110" s="702"/>
      <c r="E110" s="618">
        <f>'7" 26# Deck Tally'!B93</f>
        <v>307</v>
      </c>
      <c r="F110" s="619">
        <f>'7" 26# Deck Tally'!C93</f>
        <v>33.659999999999997</v>
      </c>
      <c r="G110" s="619">
        <f t="shared" si="15"/>
        <v>33.261999999999993</v>
      </c>
      <c r="H110" s="619" t="s">
        <v>9</v>
      </c>
      <c r="I110" s="619">
        <f t="shared" si="11"/>
        <v>3044.6439999999998</v>
      </c>
      <c r="J110" s="619">
        <f t="shared" si="12"/>
        <v>9718.4159999999993</v>
      </c>
      <c r="K110" s="631">
        <f t="shared" si="13"/>
        <v>195.06590152482812</v>
      </c>
      <c r="L110" s="332"/>
      <c r="M110" s="532"/>
      <c r="P110" s="499"/>
      <c r="Q110" s="387">
        <f t="shared" si="16"/>
        <v>307</v>
      </c>
      <c r="R110" s="517">
        <v>33.659999999999997</v>
      </c>
      <c r="S110" s="366" t="str">
        <f t="shared" si="14"/>
        <v>OK</v>
      </c>
    </row>
    <row r="111" spans="1:19" s="18" customFormat="1" ht="13" customHeight="1">
      <c r="A111" s="617">
        <f t="shared" si="17"/>
        <v>94</v>
      </c>
      <c r="B111" s="702" t="s">
        <v>98</v>
      </c>
      <c r="C111" s="702"/>
      <c r="D111" s="702"/>
      <c r="E111" s="618">
        <f>'7" 26# Deck Tally'!B94</f>
        <v>306</v>
      </c>
      <c r="F111" s="619">
        <f>'7" 26# Deck Tally'!C94</f>
        <v>32.770000000000003</v>
      </c>
      <c r="G111" s="619">
        <f t="shared" si="15"/>
        <v>32.372</v>
      </c>
      <c r="H111" s="619" t="s">
        <v>9</v>
      </c>
      <c r="I111" s="619">
        <f t="shared" si="11"/>
        <v>3077.0159999999996</v>
      </c>
      <c r="J111" s="619">
        <f t="shared" si="12"/>
        <v>9686.0439999999999</v>
      </c>
      <c r="K111" s="631">
        <f t="shared" si="13"/>
        <v>195.77897581665394</v>
      </c>
      <c r="L111" s="608"/>
      <c r="M111" s="220"/>
      <c r="P111" s="499"/>
      <c r="Q111" s="387">
        <f t="shared" si="16"/>
        <v>306</v>
      </c>
      <c r="R111" s="517">
        <v>32.770000000000003</v>
      </c>
      <c r="S111" s="366" t="str">
        <f t="shared" si="14"/>
        <v>OK</v>
      </c>
    </row>
    <row r="112" spans="1:19" s="18" customFormat="1" ht="13" customHeight="1">
      <c r="A112" s="617">
        <f t="shared" si="17"/>
        <v>95</v>
      </c>
      <c r="B112" s="702" t="s">
        <v>98</v>
      </c>
      <c r="C112" s="702"/>
      <c r="D112" s="702"/>
      <c r="E112" s="618">
        <f>'7" 26# Deck Tally'!B95</f>
        <v>305</v>
      </c>
      <c r="F112" s="619">
        <f>'7" 26# Deck Tally'!C95</f>
        <v>33.44</v>
      </c>
      <c r="G112" s="619">
        <f t="shared" si="15"/>
        <v>33.041999999999994</v>
      </c>
      <c r="H112" s="619" t="s">
        <v>9</v>
      </c>
      <c r="I112" s="619">
        <f t="shared" si="11"/>
        <v>3110.0579999999995</v>
      </c>
      <c r="J112" s="619">
        <f t="shared" si="12"/>
        <v>9653.0020000000004</v>
      </c>
      <c r="K112" s="631">
        <f t="shared" si="13"/>
        <v>196.50680853475933</v>
      </c>
      <c r="L112" s="606"/>
      <c r="M112" s="220"/>
      <c r="N112" s="25"/>
      <c r="O112" s="25"/>
      <c r="P112" s="499"/>
      <c r="Q112" s="387">
        <f t="shared" si="16"/>
        <v>305</v>
      </c>
      <c r="R112" s="517">
        <v>33.44</v>
      </c>
      <c r="S112" s="366" t="str">
        <f t="shared" si="14"/>
        <v>OK</v>
      </c>
    </row>
    <row r="113" spans="1:19" s="18" customFormat="1" ht="13" customHeight="1">
      <c r="A113" s="617">
        <f t="shared" si="17"/>
        <v>96</v>
      </c>
      <c r="B113" s="702" t="s">
        <v>98</v>
      </c>
      <c r="C113" s="702"/>
      <c r="D113" s="702"/>
      <c r="E113" s="618">
        <f>'7" 26# Deck Tally'!B96</f>
        <v>304</v>
      </c>
      <c r="F113" s="619">
        <f>'7" 26# Deck Tally'!C96</f>
        <v>33.659999999999997</v>
      </c>
      <c r="G113" s="619">
        <f t="shared" si="15"/>
        <v>33.261999999999993</v>
      </c>
      <c r="H113" s="619" t="s">
        <v>9</v>
      </c>
      <c r="I113" s="619">
        <f t="shared" si="11"/>
        <v>3143.3199999999997</v>
      </c>
      <c r="J113" s="619">
        <f t="shared" si="12"/>
        <v>9619.74</v>
      </c>
      <c r="K113" s="631">
        <f t="shared" si="13"/>
        <v>197.23948730328493</v>
      </c>
      <c r="L113" s="608"/>
      <c r="M113" s="220"/>
      <c r="P113" s="499"/>
      <c r="Q113" s="387">
        <f t="shared" si="16"/>
        <v>304</v>
      </c>
      <c r="R113" s="517">
        <v>33.659999999999997</v>
      </c>
      <c r="S113" s="366" t="str">
        <f t="shared" si="14"/>
        <v>OK</v>
      </c>
    </row>
    <row r="114" spans="1:19" s="18" customFormat="1" ht="13" customHeight="1">
      <c r="A114" s="617">
        <f t="shared" si="17"/>
        <v>97</v>
      </c>
      <c r="B114" s="702" t="s">
        <v>98</v>
      </c>
      <c r="C114" s="702"/>
      <c r="D114" s="702"/>
      <c r="E114" s="618">
        <f>'7" 26# Deck Tally'!B97</f>
        <v>303</v>
      </c>
      <c r="F114" s="619">
        <f>'7" 26# Deck Tally'!C97</f>
        <v>33.53</v>
      </c>
      <c r="G114" s="619">
        <f t="shared" si="15"/>
        <v>33.131999999999998</v>
      </c>
      <c r="H114" s="619" t="s">
        <v>9</v>
      </c>
      <c r="I114" s="619">
        <f t="shared" si="11"/>
        <v>3176.4519999999998</v>
      </c>
      <c r="J114" s="619">
        <f t="shared" si="12"/>
        <v>9586.6080000000002</v>
      </c>
      <c r="K114" s="631">
        <f t="shared" si="13"/>
        <v>197.96930249656225</v>
      </c>
      <c r="L114" s="605"/>
      <c r="M114" s="222"/>
      <c r="P114" s="499"/>
      <c r="Q114" s="387">
        <f t="shared" si="16"/>
        <v>303</v>
      </c>
      <c r="R114" s="517">
        <v>33.53</v>
      </c>
      <c r="S114" s="366" t="str">
        <f t="shared" si="14"/>
        <v>OK</v>
      </c>
    </row>
    <row r="115" spans="1:19" s="18" customFormat="1" ht="13" customHeight="1">
      <c r="A115" s="617">
        <f t="shared" si="17"/>
        <v>98</v>
      </c>
      <c r="B115" s="702" t="s">
        <v>98</v>
      </c>
      <c r="C115" s="702"/>
      <c r="D115" s="702"/>
      <c r="E115" s="618">
        <f>'7" 26# Deck Tally'!B98</f>
        <v>302</v>
      </c>
      <c r="F115" s="619">
        <f>'7" 26# Deck Tally'!C98</f>
        <v>33.450000000000003</v>
      </c>
      <c r="G115" s="619">
        <f t="shared" si="15"/>
        <v>33.052</v>
      </c>
      <c r="H115" s="619" t="s">
        <v>9</v>
      </c>
      <c r="I115" s="619">
        <f t="shared" si="11"/>
        <v>3209.5039999999999</v>
      </c>
      <c r="J115" s="619">
        <f t="shared" si="12"/>
        <v>9553.5560000000005</v>
      </c>
      <c r="K115" s="631">
        <f t="shared" si="13"/>
        <v>198.69735548968677</v>
      </c>
      <c r="L115" s="605"/>
      <c r="M115" s="222"/>
      <c r="P115" s="499"/>
      <c r="Q115" s="387">
        <f t="shared" si="16"/>
        <v>302</v>
      </c>
      <c r="R115" s="517">
        <v>33.450000000000003</v>
      </c>
      <c r="S115" s="366" t="str">
        <f t="shared" si="14"/>
        <v>OK</v>
      </c>
    </row>
    <row r="116" spans="1:19" s="18" customFormat="1" ht="13" customHeight="1">
      <c r="A116" s="617">
        <f t="shared" si="17"/>
        <v>99</v>
      </c>
      <c r="B116" s="702" t="s">
        <v>98</v>
      </c>
      <c r="C116" s="702"/>
      <c r="D116" s="702"/>
      <c r="E116" s="618">
        <f>'7" 26# Deck Tally'!B99</f>
        <v>301</v>
      </c>
      <c r="F116" s="619">
        <f>'7" 26# Deck Tally'!C99</f>
        <v>33.71</v>
      </c>
      <c r="G116" s="619">
        <f t="shared" si="15"/>
        <v>33.311999999999998</v>
      </c>
      <c r="H116" s="619" t="s">
        <v>9</v>
      </c>
      <c r="I116" s="619">
        <f t="shared" si="11"/>
        <v>3242.8159999999998</v>
      </c>
      <c r="J116" s="619">
        <f t="shared" si="12"/>
        <v>9520.2439999999988</v>
      </c>
      <c r="K116" s="631">
        <f t="shared" si="13"/>
        <v>199.43113563330786</v>
      </c>
      <c r="L116" s="605"/>
      <c r="M116" s="222"/>
      <c r="P116" s="499"/>
      <c r="Q116" s="387">
        <f t="shared" si="16"/>
        <v>301</v>
      </c>
      <c r="R116" s="517">
        <v>33.71</v>
      </c>
      <c r="S116" s="366" t="str">
        <f t="shared" si="14"/>
        <v>OK</v>
      </c>
    </row>
    <row r="117" spans="1:19" s="18" customFormat="1" ht="13">
      <c r="A117" s="617">
        <f t="shared" si="17"/>
        <v>100</v>
      </c>
      <c r="B117" s="702" t="s">
        <v>98</v>
      </c>
      <c r="C117" s="702"/>
      <c r="D117" s="702"/>
      <c r="E117" s="618">
        <f>'7" 26# Deck Tally'!B100</f>
        <v>300</v>
      </c>
      <c r="F117" s="619">
        <f>'7" 26# Deck Tally'!C100</f>
        <v>33.78</v>
      </c>
      <c r="G117" s="619">
        <f t="shared" si="15"/>
        <v>33.381999999999998</v>
      </c>
      <c r="H117" s="619" t="s">
        <v>9</v>
      </c>
      <c r="I117" s="619">
        <f t="shared" si="11"/>
        <v>3276.1979999999999</v>
      </c>
      <c r="J117" s="619">
        <f t="shared" si="12"/>
        <v>9486.8619999999992</v>
      </c>
      <c r="K117" s="631">
        <f t="shared" si="13"/>
        <v>200.16645770206264</v>
      </c>
      <c r="L117" s="605"/>
      <c r="M117" s="222"/>
      <c r="N117" s="25"/>
      <c r="O117" s="25"/>
      <c r="P117" s="499"/>
      <c r="Q117" s="387">
        <f t="shared" si="16"/>
        <v>300</v>
      </c>
      <c r="R117" s="517">
        <v>33.78</v>
      </c>
      <c r="S117" s="366" t="str">
        <f t="shared" si="14"/>
        <v>OK</v>
      </c>
    </row>
    <row r="118" spans="1:19" s="18" customFormat="1" ht="13">
      <c r="A118" s="617">
        <f t="shared" si="17"/>
        <v>101</v>
      </c>
      <c r="B118" s="702" t="s">
        <v>98</v>
      </c>
      <c r="C118" s="702"/>
      <c r="D118" s="702"/>
      <c r="E118" s="618">
        <f>'7" 26# Deck Tally'!B101</f>
        <v>299</v>
      </c>
      <c r="F118" s="619">
        <f>'7" 26# Deck Tally'!C101</f>
        <v>33.67</v>
      </c>
      <c r="G118" s="619">
        <f t="shared" si="15"/>
        <v>33.271999999999998</v>
      </c>
      <c r="H118" s="619" t="s">
        <v>9</v>
      </c>
      <c r="I118" s="619">
        <f t="shared" si="11"/>
        <v>3309.47</v>
      </c>
      <c r="J118" s="619">
        <f t="shared" si="12"/>
        <v>9453.59</v>
      </c>
      <c r="K118" s="631">
        <f t="shared" si="13"/>
        <v>200.89935674560735</v>
      </c>
      <c r="L118" s="605"/>
      <c r="M118" s="222"/>
      <c r="P118" s="499"/>
      <c r="Q118" s="387">
        <f t="shared" si="16"/>
        <v>299</v>
      </c>
      <c r="R118" s="517">
        <v>33.67</v>
      </c>
      <c r="S118" s="366" t="str">
        <f t="shared" si="14"/>
        <v>OK</v>
      </c>
    </row>
    <row r="119" spans="1:19" s="18" customFormat="1" ht="13">
      <c r="A119" s="617">
        <f t="shared" si="17"/>
        <v>102</v>
      </c>
      <c r="B119" s="702" t="s">
        <v>98</v>
      </c>
      <c r="C119" s="702"/>
      <c r="D119" s="702"/>
      <c r="E119" s="618">
        <f>'7" 26# Deck Tally'!B102</f>
        <v>298</v>
      </c>
      <c r="F119" s="619">
        <f>'7" 26# Deck Tally'!C102</f>
        <v>33.44</v>
      </c>
      <c r="G119" s="619">
        <f t="shared" si="15"/>
        <v>33.041999999999994</v>
      </c>
      <c r="H119" s="619" t="s">
        <v>9</v>
      </c>
      <c r="I119" s="619">
        <f t="shared" si="11"/>
        <v>3342.5119999999997</v>
      </c>
      <c r="J119" s="619">
        <f t="shared" si="12"/>
        <v>9420.5479999999989</v>
      </c>
      <c r="K119" s="631">
        <f t="shared" si="13"/>
        <v>201.62718946371274</v>
      </c>
      <c r="L119" s="712"/>
      <c r="M119" s="709"/>
      <c r="P119" s="499"/>
      <c r="Q119" s="387">
        <f t="shared" si="16"/>
        <v>298</v>
      </c>
      <c r="R119" s="517">
        <v>33.44</v>
      </c>
      <c r="S119" s="366" t="str">
        <f t="shared" si="14"/>
        <v>OK</v>
      </c>
    </row>
    <row r="120" spans="1:19" s="18" customFormat="1" ht="13">
      <c r="A120" s="617">
        <f t="shared" si="17"/>
        <v>103</v>
      </c>
      <c r="B120" s="702" t="s">
        <v>98</v>
      </c>
      <c r="C120" s="702"/>
      <c r="D120" s="702"/>
      <c r="E120" s="618">
        <f>'7" 26# Deck Tally'!B103</f>
        <v>297</v>
      </c>
      <c r="F120" s="619">
        <f>'7" 26# Deck Tally'!C103</f>
        <v>33.54</v>
      </c>
      <c r="G120" s="619">
        <f t="shared" si="15"/>
        <v>33.141999999999996</v>
      </c>
      <c r="H120" s="619" t="s">
        <v>9</v>
      </c>
      <c r="I120" s="619">
        <f t="shared" si="11"/>
        <v>3375.6539999999995</v>
      </c>
      <c r="J120" s="619">
        <f t="shared" si="12"/>
        <v>9387.405999999999</v>
      </c>
      <c r="K120" s="631">
        <f t="shared" si="13"/>
        <v>202.35722493200916</v>
      </c>
      <c r="L120" s="605"/>
      <c r="M120" s="222"/>
      <c r="P120" s="499"/>
      <c r="Q120" s="387">
        <f t="shared" si="16"/>
        <v>297</v>
      </c>
      <c r="R120" s="517">
        <v>33.54</v>
      </c>
      <c r="S120" s="366" t="str">
        <f t="shared" si="14"/>
        <v>OK</v>
      </c>
    </row>
    <row r="121" spans="1:19" s="18" customFormat="1" ht="13">
      <c r="A121" s="617">
        <f t="shared" si="17"/>
        <v>104</v>
      </c>
      <c r="B121" s="702" t="s">
        <v>98</v>
      </c>
      <c r="C121" s="702"/>
      <c r="D121" s="702"/>
      <c r="E121" s="618">
        <f>'7" 26# Deck Tally'!B104</f>
        <v>296</v>
      </c>
      <c r="F121" s="619">
        <f>'7" 26# Deck Tally'!C104</f>
        <v>33.74</v>
      </c>
      <c r="G121" s="619">
        <f t="shared" si="15"/>
        <v>33.341999999999999</v>
      </c>
      <c r="H121" s="619" t="s">
        <v>9</v>
      </c>
      <c r="I121" s="619">
        <f t="shared" si="11"/>
        <v>3408.9959999999996</v>
      </c>
      <c r="J121" s="619">
        <f t="shared" si="12"/>
        <v>9354.0640000000003</v>
      </c>
      <c r="K121" s="631">
        <f t="shared" si="13"/>
        <v>203.09166590068753</v>
      </c>
      <c r="L121" s="605"/>
      <c r="M121" s="222"/>
      <c r="P121" s="499"/>
      <c r="Q121" s="387">
        <f t="shared" si="16"/>
        <v>296</v>
      </c>
      <c r="R121" s="517">
        <v>33.74</v>
      </c>
      <c r="S121" s="366" t="str">
        <f t="shared" si="14"/>
        <v>OK</v>
      </c>
    </row>
    <row r="122" spans="1:19" s="18" customFormat="1" ht="13">
      <c r="A122" s="617">
        <f t="shared" si="17"/>
        <v>105</v>
      </c>
      <c r="B122" s="702" t="s">
        <v>98</v>
      </c>
      <c r="C122" s="702"/>
      <c r="D122" s="702"/>
      <c r="E122" s="618">
        <f>'7" 26# Deck Tally'!B105</f>
        <v>295</v>
      </c>
      <c r="F122" s="619">
        <f>'7" 26# Deck Tally'!C105</f>
        <v>33.74</v>
      </c>
      <c r="G122" s="619">
        <f t="shared" si="15"/>
        <v>33.341999999999999</v>
      </c>
      <c r="H122" s="619" t="s">
        <v>9</v>
      </c>
      <c r="I122" s="619">
        <f t="shared" si="11"/>
        <v>3442.3379999999997</v>
      </c>
      <c r="J122" s="619">
        <f t="shared" si="12"/>
        <v>9320.7219999999998</v>
      </c>
      <c r="K122" s="631">
        <f t="shared" si="13"/>
        <v>203.82610686936593</v>
      </c>
      <c r="L122" s="605"/>
      <c r="M122" s="222"/>
      <c r="N122" s="25"/>
      <c r="O122" s="25"/>
      <c r="P122" s="499"/>
      <c r="Q122" s="387">
        <f t="shared" si="16"/>
        <v>295</v>
      </c>
      <c r="R122" s="517">
        <v>33.74</v>
      </c>
      <c r="S122" s="366" t="str">
        <f t="shared" si="14"/>
        <v>OK</v>
      </c>
    </row>
    <row r="123" spans="1:19" s="18" customFormat="1" ht="13">
      <c r="A123" s="617">
        <f t="shared" si="17"/>
        <v>106</v>
      </c>
      <c r="B123" s="702" t="s">
        <v>98</v>
      </c>
      <c r="C123" s="702"/>
      <c r="D123" s="702"/>
      <c r="E123" s="618">
        <f>'7" 26# Deck Tally'!B106</f>
        <v>294</v>
      </c>
      <c r="F123" s="619">
        <f>'7" 26# Deck Tally'!C106</f>
        <v>33.51</v>
      </c>
      <c r="G123" s="619">
        <f t="shared" si="15"/>
        <v>33.111999999999995</v>
      </c>
      <c r="H123" s="619" t="s">
        <v>9</v>
      </c>
      <c r="I123" s="619">
        <f t="shared" si="11"/>
        <v>3475.45</v>
      </c>
      <c r="J123" s="619">
        <f t="shared" si="12"/>
        <v>9287.61</v>
      </c>
      <c r="K123" s="631">
        <f t="shared" si="13"/>
        <v>204.55548151260504</v>
      </c>
      <c r="L123" s="605"/>
      <c r="M123" s="222"/>
      <c r="P123" s="499"/>
      <c r="Q123" s="387">
        <f t="shared" si="16"/>
        <v>294</v>
      </c>
      <c r="R123" s="517">
        <v>33.51</v>
      </c>
      <c r="S123" s="366" t="str">
        <f t="shared" si="14"/>
        <v>OK</v>
      </c>
    </row>
    <row r="124" spans="1:19" s="18" customFormat="1" ht="13">
      <c r="A124" s="617">
        <f t="shared" si="17"/>
        <v>107</v>
      </c>
      <c r="B124" s="702" t="s">
        <v>98</v>
      </c>
      <c r="C124" s="702"/>
      <c r="D124" s="702"/>
      <c r="E124" s="618">
        <f>'7" 26# Deck Tally'!B107</f>
        <v>293</v>
      </c>
      <c r="F124" s="619">
        <f>'7" 26# Deck Tally'!C107</f>
        <v>33.39</v>
      </c>
      <c r="G124" s="619">
        <f t="shared" si="15"/>
        <v>32.991999999999997</v>
      </c>
      <c r="H124" s="619" t="s">
        <v>9</v>
      </c>
      <c r="I124" s="619">
        <f t="shared" si="11"/>
        <v>3508.442</v>
      </c>
      <c r="J124" s="619">
        <f t="shared" si="12"/>
        <v>9254.6179999999986</v>
      </c>
      <c r="K124" s="631">
        <f t="shared" si="13"/>
        <v>205.28221285561497</v>
      </c>
      <c r="L124" s="276"/>
      <c r="M124" s="222"/>
      <c r="N124" s="31"/>
      <c r="O124" s="31"/>
      <c r="P124" s="499"/>
      <c r="Q124" s="387">
        <f t="shared" si="16"/>
        <v>293</v>
      </c>
      <c r="R124" s="517">
        <v>33.39</v>
      </c>
      <c r="S124" s="366" t="str">
        <f t="shared" si="14"/>
        <v>OK</v>
      </c>
    </row>
    <row r="125" spans="1:19" s="18" customFormat="1" ht="13">
      <c r="A125" s="617">
        <f t="shared" si="17"/>
        <v>108</v>
      </c>
      <c r="B125" s="702" t="s">
        <v>98</v>
      </c>
      <c r="C125" s="702"/>
      <c r="D125" s="702"/>
      <c r="E125" s="618">
        <f>'7" 26# Deck Tally'!B108</f>
        <v>292</v>
      </c>
      <c r="F125" s="619">
        <f>'7" 26# Deck Tally'!C108</f>
        <v>33.78</v>
      </c>
      <c r="G125" s="619">
        <f t="shared" si="15"/>
        <v>33.381999999999998</v>
      </c>
      <c r="H125" s="619" t="s">
        <v>9</v>
      </c>
      <c r="I125" s="619">
        <f t="shared" si="11"/>
        <v>3541.8240000000001</v>
      </c>
      <c r="J125" s="619">
        <f t="shared" si="12"/>
        <v>9221.235999999999</v>
      </c>
      <c r="K125" s="631">
        <f t="shared" si="13"/>
        <v>206.01753492436973</v>
      </c>
      <c r="L125" s="276"/>
      <c r="M125" s="222"/>
      <c r="P125" s="499"/>
      <c r="Q125" s="387">
        <f t="shared" si="16"/>
        <v>292</v>
      </c>
      <c r="R125" s="517">
        <v>33.78</v>
      </c>
      <c r="S125" s="366" t="str">
        <f t="shared" si="14"/>
        <v>OK</v>
      </c>
    </row>
    <row r="126" spans="1:19" s="18" customFormat="1" ht="13">
      <c r="A126" s="617">
        <f t="shared" si="17"/>
        <v>109</v>
      </c>
      <c r="B126" s="702" t="s">
        <v>98</v>
      </c>
      <c r="C126" s="702"/>
      <c r="D126" s="702"/>
      <c r="E126" s="618">
        <f>'7" 26# Deck Tally'!B109</f>
        <v>291</v>
      </c>
      <c r="F126" s="619">
        <f>'7" 26# Deck Tally'!C109</f>
        <v>33.85</v>
      </c>
      <c r="G126" s="619">
        <f t="shared" si="15"/>
        <v>33.451999999999998</v>
      </c>
      <c r="H126" s="619" t="s">
        <v>9</v>
      </c>
      <c r="I126" s="619">
        <f t="shared" si="11"/>
        <v>3575.2759999999998</v>
      </c>
      <c r="J126" s="619">
        <f t="shared" si="12"/>
        <v>9187.7839999999997</v>
      </c>
      <c r="K126" s="631">
        <f t="shared" si="13"/>
        <v>206.7543989182582</v>
      </c>
      <c r="L126" s="276"/>
      <c r="M126" s="222"/>
      <c r="P126" s="499"/>
      <c r="Q126" s="387">
        <f t="shared" si="16"/>
        <v>291</v>
      </c>
      <c r="R126" s="517">
        <v>33.85</v>
      </c>
      <c r="S126" s="366" t="str">
        <f t="shared" si="14"/>
        <v>OK</v>
      </c>
    </row>
    <row r="127" spans="1:19" s="18" customFormat="1" ht="13">
      <c r="A127" s="617">
        <f t="shared" si="17"/>
        <v>110</v>
      </c>
      <c r="B127" s="702" t="s">
        <v>98</v>
      </c>
      <c r="C127" s="702"/>
      <c r="D127" s="702"/>
      <c r="E127" s="618">
        <f>'7" 26# Deck Tally'!B110</f>
        <v>290</v>
      </c>
      <c r="F127" s="619">
        <f>'7" 26# Deck Tally'!C110</f>
        <v>33.43</v>
      </c>
      <c r="G127" s="619">
        <f t="shared" si="15"/>
        <v>33.031999999999996</v>
      </c>
      <c r="H127" s="619" t="s">
        <v>9</v>
      </c>
      <c r="I127" s="619">
        <f t="shared" si="11"/>
        <v>3608.308</v>
      </c>
      <c r="J127" s="619">
        <f t="shared" si="12"/>
        <v>9154.7520000000004</v>
      </c>
      <c r="K127" s="631">
        <f t="shared" si="13"/>
        <v>207.48201136134455</v>
      </c>
      <c r="L127" s="605"/>
      <c r="M127" s="222"/>
      <c r="P127" s="499"/>
      <c r="Q127" s="387">
        <f t="shared" si="16"/>
        <v>290</v>
      </c>
      <c r="R127" s="517">
        <v>33.43</v>
      </c>
      <c r="S127" s="366" t="str">
        <f t="shared" si="14"/>
        <v>OK</v>
      </c>
    </row>
    <row r="128" spans="1:19" s="18" customFormat="1" ht="13">
      <c r="A128" s="617">
        <f t="shared" si="17"/>
        <v>111</v>
      </c>
      <c r="B128" s="702" t="s">
        <v>98</v>
      </c>
      <c r="C128" s="702"/>
      <c r="D128" s="702"/>
      <c r="E128" s="618">
        <f>'7" 26# Deck Tally'!B111</f>
        <v>289</v>
      </c>
      <c r="F128" s="619">
        <f>'7" 26# Deck Tally'!C111</f>
        <v>33.43</v>
      </c>
      <c r="G128" s="619">
        <f t="shared" si="15"/>
        <v>33.031999999999996</v>
      </c>
      <c r="H128" s="619" t="s">
        <v>9</v>
      </c>
      <c r="I128" s="619">
        <f t="shared" si="11"/>
        <v>3641.34</v>
      </c>
      <c r="J128" s="619">
        <f t="shared" si="12"/>
        <v>9121.7199999999993</v>
      </c>
      <c r="K128" s="631">
        <f t="shared" si="13"/>
        <v>208.20962380443086</v>
      </c>
      <c r="L128" s="605"/>
      <c r="M128" s="222"/>
      <c r="P128" s="499"/>
      <c r="Q128" s="387">
        <f t="shared" si="16"/>
        <v>289</v>
      </c>
      <c r="R128" s="517">
        <v>33.43</v>
      </c>
      <c r="S128" s="366" t="str">
        <f t="shared" si="14"/>
        <v>OK</v>
      </c>
    </row>
    <row r="129" spans="1:19" s="18" customFormat="1" ht="13">
      <c r="A129" s="617">
        <f t="shared" si="17"/>
        <v>112</v>
      </c>
      <c r="B129" s="702" t="s">
        <v>98</v>
      </c>
      <c r="C129" s="702"/>
      <c r="D129" s="702"/>
      <c r="E129" s="618">
        <f>'7" 26# Deck Tally'!B112</f>
        <v>288</v>
      </c>
      <c r="F129" s="619">
        <f>'7" 26# Deck Tally'!C112</f>
        <v>33.770000000000003</v>
      </c>
      <c r="G129" s="619">
        <f t="shared" si="15"/>
        <v>33.372</v>
      </c>
      <c r="H129" s="619" t="s">
        <v>9</v>
      </c>
      <c r="I129" s="619">
        <f t="shared" si="11"/>
        <v>3674.712</v>
      </c>
      <c r="J129" s="619">
        <f t="shared" si="12"/>
        <v>9088.348</v>
      </c>
      <c r="K129" s="631">
        <f t="shared" si="13"/>
        <v>208.94472559816654</v>
      </c>
      <c r="L129" s="605"/>
      <c r="M129" s="222"/>
      <c r="P129" s="499"/>
      <c r="Q129" s="387">
        <f t="shared" si="16"/>
        <v>288</v>
      </c>
      <c r="R129" s="517">
        <v>33.770000000000003</v>
      </c>
      <c r="S129" s="366" t="str">
        <f t="shared" si="14"/>
        <v>OK</v>
      </c>
    </row>
    <row r="130" spans="1:19" s="18" customFormat="1" ht="13" customHeight="1">
      <c r="A130" s="617">
        <f t="shared" si="17"/>
        <v>113</v>
      </c>
      <c r="B130" s="702" t="s">
        <v>98</v>
      </c>
      <c r="C130" s="702"/>
      <c r="D130" s="702"/>
      <c r="E130" s="618">
        <f>'7" 26# Deck Tally'!B113</f>
        <v>287</v>
      </c>
      <c r="F130" s="619">
        <f>'7" 26# Deck Tally'!C113</f>
        <v>33.53</v>
      </c>
      <c r="G130" s="619">
        <f t="shared" si="15"/>
        <v>33.131999999999998</v>
      </c>
      <c r="H130" s="619" t="s">
        <v>9</v>
      </c>
      <c r="I130" s="619">
        <f t="shared" si="11"/>
        <v>3707.8440000000001</v>
      </c>
      <c r="J130" s="619">
        <f t="shared" si="12"/>
        <v>9055.2160000000003</v>
      </c>
      <c r="K130" s="631">
        <f t="shared" si="13"/>
        <v>209.67454079144386</v>
      </c>
      <c r="L130" s="605"/>
      <c r="M130" s="222"/>
      <c r="P130" s="499"/>
      <c r="Q130" s="387">
        <f t="shared" si="16"/>
        <v>287</v>
      </c>
      <c r="R130" s="517">
        <v>33.53</v>
      </c>
      <c r="S130" s="366" t="str">
        <f t="shared" si="14"/>
        <v>OK</v>
      </c>
    </row>
    <row r="131" spans="1:19" s="18" customFormat="1" ht="13" customHeight="1">
      <c r="A131" s="617">
        <f t="shared" si="17"/>
        <v>114</v>
      </c>
      <c r="B131" s="702" t="s">
        <v>98</v>
      </c>
      <c r="C131" s="702"/>
      <c r="D131" s="702"/>
      <c r="E131" s="618">
        <f>'7" 26# Deck Tally'!B114</f>
        <v>286</v>
      </c>
      <c r="F131" s="619">
        <f>'7" 26# Deck Tally'!C114</f>
        <v>33.82</v>
      </c>
      <c r="G131" s="619">
        <f t="shared" si="15"/>
        <v>33.421999999999997</v>
      </c>
      <c r="H131" s="619" t="s">
        <v>9</v>
      </c>
      <c r="I131" s="619">
        <f t="shared" si="11"/>
        <v>3741.2660000000001</v>
      </c>
      <c r="J131" s="619">
        <f t="shared" si="12"/>
        <v>9021.7939999999999</v>
      </c>
      <c r="K131" s="631">
        <f t="shared" si="13"/>
        <v>210.41074396027503</v>
      </c>
      <c r="L131" s="605"/>
      <c r="M131" s="222"/>
      <c r="P131" s="499"/>
      <c r="Q131" s="387">
        <f t="shared" si="16"/>
        <v>286</v>
      </c>
      <c r="R131" s="517">
        <v>33.82</v>
      </c>
      <c r="S131" s="366" t="str">
        <f t="shared" si="14"/>
        <v>OK</v>
      </c>
    </row>
    <row r="132" spans="1:19" s="18" customFormat="1" ht="13">
      <c r="A132" s="617">
        <f t="shared" si="17"/>
        <v>115</v>
      </c>
      <c r="B132" s="702" t="s">
        <v>98</v>
      </c>
      <c r="C132" s="702"/>
      <c r="D132" s="702"/>
      <c r="E132" s="618">
        <f>'7" 26# Deck Tally'!B115</f>
        <v>285</v>
      </c>
      <c r="F132" s="619">
        <f>'7" 26# Deck Tally'!C115</f>
        <v>33.270000000000003</v>
      </c>
      <c r="G132" s="619">
        <f t="shared" si="15"/>
        <v>32.872</v>
      </c>
      <c r="H132" s="619" t="s">
        <v>9</v>
      </c>
      <c r="I132" s="619">
        <f t="shared" si="11"/>
        <v>3774.1379999999999</v>
      </c>
      <c r="J132" s="619">
        <f t="shared" si="12"/>
        <v>8988.9219999999987</v>
      </c>
      <c r="K132" s="631">
        <f t="shared" si="13"/>
        <v>211.13483200305575</v>
      </c>
      <c r="L132" s="605"/>
      <c r="M132" s="222"/>
      <c r="N132" s="25"/>
      <c r="O132" s="25"/>
      <c r="P132" s="499"/>
      <c r="Q132" s="387">
        <f t="shared" si="16"/>
        <v>285</v>
      </c>
      <c r="R132" s="517">
        <v>33.270000000000003</v>
      </c>
      <c r="S132" s="366" t="str">
        <f t="shared" si="14"/>
        <v>OK</v>
      </c>
    </row>
    <row r="133" spans="1:19" s="18" customFormat="1" ht="13">
      <c r="A133" s="617">
        <f t="shared" si="17"/>
        <v>116</v>
      </c>
      <c r="B133" s="702" t="s">
        <v>98</v>
      </c>
      <c r="C133" s="702"/>
      <c r="D133" s="702"/>
      <c r="E133" s="618">
        <f>'7" 26# Deck Tally'!B116</f>
        <v>284</v>
      </c>
      <c r="F133" s="619">
        <f>'7" 26# Deck Tally'!C116</f>
        <v>33.54</v>
      </c>
      <c r="G133" s="619">
        <f t="shared" si="15"/>
        <v>33.141999999999996</v>
      </c>
      <c r="H133" s="619" t="s">
        <v>9</v>
      </c>
      <c r="I133" s="619">
        <f t="shared" si="11"/>
        <v>3807.2799999999997</v>
      </c>
      <c r="J133" s="619">
        <f t="shared" si="12"/>
        <v>8955.7799999999988</v>
      </c>
      <c r="K133" s="631">
        <f t="shared" si="13"/>
        <v>211.86486747135217</v>
      </c>
      <c r="L133" s="605"/>
      <c r="M133" s="222"/>
      <c r="P133" s="499"/>
      <c r="Q133" s="387">
        <f t="shared" si="16"/>
        <v>284</v>
      </c>
      <c r="R133" s="517">
        <v>33.54</v>
      </c>
      <c r="S133" s="366" t="str">
        <f t="shared" si="14"/>
        <v>OK</v>
      </c>
    </row>
    <row r="134" spans="1:19" s="18" customFormat="1" ht="13">
      <c r="A134" s="617">
        <f t="shared" si="17"/>
        <v>117</v>
      </c>
      <c r="B134" s="702" t="s">
        <v>98</v>
      </c>
      <c r="C134" s="702"/>
      <c r="D134" s="702"/>
      <c r="E134" s="618">
        <f>'7" 26# Deck Tally'!B117</f>
        <v>283</v>
      </c>
      <c r="F134" s="619">
        <f>'7" 26# Deck Tally'!C117</f>
        <v>33.659999999999997</v>
      </c>
      <c r="G134" s="619">
        <f t="shared" si="15"/>
        <v>33.261999999999993</v>
      </c>
      <c r="H134" s="619" t="s">
        <v>9</v>
      </c>
      <c r="I134" s="619">
        <f t="shared" si="11"/>
        <v>3840.5419999999999</v>
      </c>
      <c r="J134" s="619">
        <f t="shared" si="12"/>
        <v>8922.518</v>
      </c>
      <c r="K134" s="631">
        <f t="shared" si="13"/>
        <v>212.59754623987777</v>
      </c>
      <c r="L134" s="605"/>
      <c r="M134" s="222"/>
      <c r="P134" s="499"/>
      <c r="Q134" s="387">
        <f t="shared" si="16"/>
        <v>283</v>
      </c>
      <c r="R134" s="517">
        <v>33.659999999999997</v>
      </c>
      <c r="S134" s="366" t="str">
        <f t="shared" si="14"/>
        <v>OK</v>
      </c>
    </row>
    <row r="135" spans="1:19" s="18" customFormat="1" ht="13">
      <c r="A135" s="617">
        <f t="shared" si="17"/>
        <v>118</v>
      </c>
      <c r="B135" s="702" t="s">
        <v>98</v>
      </c>
      <c r="C135" s="702"/>
      <c r="D135" s="702"/>
      <c r="E135" s="618">
        <f>'7" 26# Deck Tally'!B118</f>
        <v>282</v>
      </c>
      <c r="F135" s="619">
        <f>'7" 26# Deck Tally'!C118</f>
        <v>33.76</v>
      </c>
      <c r="G135" s="619">
        <f t="shared" si="15"/>
        <v>33.361999999999995</v>
      </c>
      <c r="H135" s="619" t="s">
        <v>9</v>
      </c>
      <c r="I135" s="619">
        <f t="shared" si="11"/>
        <v>3873.904</v>
      </c>
      <c r="J135" s="619">
        <f t="shared" si="12"/>
        <v>8889.155999999999</v>
      </c>
      <c r="K135" s="631">
        <f t="shared" si="13"/>
        <v>213.33242775859435</v>
      </c>
      <c r="L135" s="605"/>
      <c r="M135" s="222"/>
      <c r="P135" s="499"/>
      <c r="Q135" s="387">
        <f t="shared" si="16"/>
        <v>282</v>
      </c>
      <c r="R135" s="517">
        <v>33.76</v>
      </c>
      <c r="S135" s="366" t="str">
        <f t="shared" si="14"/>
        <v>OK</v>
      </c>
    </row>
    <row r="136" spans="1:19" s="18" customFormat="1" ht="13">
      <c r="A136" s="617">
        <f t="shared" si="17"/>
        <v>119</v>
      </c>
      <c r="B136" s="702" t="s">
        <v>98</v>
      </c>
      <c r="C136" s="702"/>
      <c r="D136" s="702"/>
      <c r="E136" s="618">
        <f>'7" 26# Deck Tally'!B119</f>
        <v>281</v>
      </c>
      <c r="F136" s="619">
        <f>'7" 26# Deck Tally'!C119</f>
        <v>33.39</v>
      </c>
      <c r="G136" s="619">
        <f t="shared" si="15"/>
        <v>32.991999999999997</v>
      </c>
      <c r="H136" s="619" t="s">
        <v>9</v>
      </c>
      <c r="I136" s="619">
        <f t="shared" si="11"/>
        <v>3906.8960000000002</v>
      </c>
      <c r="J136" s="619">
        <f t="shared" si="12"/>
        <v>8856.1639999999989</v>
      </c>
      <c r="K136" s="631">
        <f t="shared" si="13"/>
        <v>214.05915910160428</v>
      </c>
      <c r="L136" s="605"/>
      <c r="M136" s="222"/>
      <c r="P136" s="499"/>
      <c r="Q136" s="387">
        <f t="shared" si="16"/>
        <v>281</v>
      </c>
      <c r="R136" s="517">
        <v>33.39</v>
      </c>
      <c r="S136" s="366" t="str">
        <f t="shared" si="14"/>
        <v>OK</v>
      </c>
    </row>
    <row r="137" spans="1:19" s="18" customFormat="1" ht="13">
      <c r="A137" s="617">
        <f t="shared" si="17"/>
        <v>120</v>
      </c>
      <c r="B137" s="702" t="s">
        <v>98</v>
      </c>
      <c r="C137" s="702"/>
      <c r="D137" s="702"/>
      <c r="E137" s="618">
        <f>'7" 26# Deck Tally'!B120</f>
        <v>280</v>
      </c>
      <c r="F137" s="619">
        <f>'7" 26# Deck Tally'!C120</f>
        <v>33.39</v>
      </c>
      <c r="G137" s="619">
        <f t="shared" si="15"/>
        <v>32.991999999999997</v>
      </c>
      <c r="H137" s="619" t="s">
        <v>9</v>
      </c>
      <c r="I137" s="619">
        <f t="shared" si="11"/>
        <v>3939.8880000000004</v>
      </c>
      <c r="J137" s="619">
        <f t="shared" si="12"/>
        <v>8823.1719999999987</v>
      </c>
      <c r="K137" s="631">
        <f t="shared" si="13"/>
        <v>214.78589044461421</v>
      </c>
      <c r="L137" s="605"/>
      <c r="M137" s="222"/>
      <c r="N137" s="25"/>
      <c r="O137" s="25"/>
      <c r="P137" s="499"/>
      <c r="Q137" s="387">
        <f t="shared" si="16"/>
        <v>280</v>
      </c>
      <c r="R137" s="517">
        <v>33.39</v>
      </c>
      <c r="S137" s="366" t="str">
        <f t="shared" si="14"/>
        <v>OK</v>
      </c>
    </row>
    <row r="138" spans="1:19" s="18" customFormat="1" ht="13">
      <c r="A138" s="617">
        <f t="shared" si="17"/>
        <v>121</v>
      </c>
      <c r="B138" s="702" t="s">
        <v>98</v>
      </c>
      <c r="C138" s="702"/>
      <c r="D138" s="702"/>
      <c r="E138" s="618">
        <f>'7" 26# Deck Tally'!B121</f>
        <v>279</v>
      </c>
      <c r="F138" s="619">
        <f>'7" 26# Deck Tally'!C121</f>
        <v>33.79</v>
      </c>
      <c r="G138" s="619">
        <f t="shared" si="15"/>
        <v>33.391999999999996</v>
      </c>
      <c r="H138" s="619" t="s">
        <v>9</v>
      </c>
      <c r="I138" s="619">
        <f t="shared" si="11"/>
        <v>3973.28</v>
      </c>
      <c r="J138" s="619">
        <f t="shared" si="12"/>
        <v>8789.7799999999988</v>
      </c>
      <c r="K138" s="631">
        <f t="shared" si="13"/>
        <v>215.5214327883881</v>
      </c>
      <c r="L138" s="605"/>
      <c r="M138" s="222"/>
      <c r="P138" s="499"/>
      <c r="Q138" s="387">
        <f t="shared" si="16"/>
        <v>279</v>
      </c>
      <c r="R138" s="517">
        <v>33.79</v>
      </c>
      <c r="S138" s="366" t="str">
        <f t="shared" si="14"/>
        <v>OK</v>
      </c>
    </row>
    <row r="139" spans="1:19" s="18" customFormat="1" ht="13">
      <c r="A139" s="617">
        <f t="shared" si="17"/>
        <v>122</v>
      </c>
      <c r="B139" s="702" t="s">
        <v>98</v>
      </c>
      <c r="C139" s="702"/>
      <c r="D139" s="702"/>
      <c r="E139" s="618">
        <f>'7" 26# Deck Tally'!B122</f>
        <v>278</v>
      </c>
      <c r="F139" s="619">
        <f>'7" 26# Deck Tally'!C122</f>
        <v>33.76</v>
      </c>
      <c r="G139" s="619">
        <f t="shared" si="15"/>
        <v>33.361999999999995</v>
      </c>
      <c r="H139" s="619" t="s">
        <v>9</v>
      </c>
      <c r="I139" s="619">
        <f t="shared" si="11"/>
        <v>4006.6420000000003</v>
      </c>
      <c r="J139" s="619">
        <f t="shared" si="12"/>
        <v>8756.4179999999997</v>
      </c>
      <c r="K139" s="631">
        <f t="shared" si="13"/>
        <v>216.25631430710467</v>
      </c>
      <c r="L139" s="276"/>
      <c r="M139" s="222"/>
      <c r="N139" s="31"/>
      <c r="O139" s="31"/>
      <c r="P139" s="499"/>
      <c r="Q139" s="387">
        <f t="shared" si="16"/>
        <v>278</v>
      </c>
      <c r="R139" s="517">
        <v>33.76</v>
      </c>
      <c r="S139" s="366" t="str">
        <f t="shared" si="14"/>
        <v>OK</v>
      </c>
    </row>
    <row r="140" spans="1:19" s="18" customFormat="1" ht="13">
      <c r="A140" s="617">
        <f t="shared" si="17"/>
        <v>123</v>
      </c>
      <c r="B140" s="702" t="s">
        <v>98</v>
      </c>
      <c r="C140" s="702"/>
      <c r="D140" s="702"/>
      <c r="E140" s="618">
        <f>'7" 26# Deck Tally'!B123</f>
        <v>277</v>
      </c>
      <c r="F140" s="619">
        <f>'7" 26# Deck Tally'!C123</f>
        <v>33.58</v>
      </c>
      <c r="G140" s="619">
        <f t="shared" si="15"/>
        <v>33.181999999999995</v>
      </c>
      <c r="H140" s="619" t="s">
        <v>9</v>
      </c>
      <c r="I140" s="619">
        <f t="shared" si="11"/>
        <v>4039.8240000000001</v>
      </c>
      <c r="J140" s="619">
        <f t="shared" si="12"/>
        <v>8723.235999999999</v>
      </c>
      <c r="K140" s="631">
        <f t="shared" si="13"/>
        <v>216.98723087547745</v>
      </c>
      <c r="L140" s="276"/>
      <c r="M140" s="222"/>
      <c r="P140" s="499"/>
      <c r="Q140" s="387">
        <f t="shared" si="16"/>
        <v>277</v>
      </c>
      <c r="R140" s="517">
        <v>33.58</v>
      </c>
      <c r="S140" s="366" t="str">
        <f t="shared" si="14"/>
        <v>OK</v>
      </c>
    </row>
    <row r="141" spans="1:19" s="18" customFormat="1" ht="13">
      <c r="A141" s="617">
        <f t="shared" si="17"/>
        <v>124</v>
      </c>
      <c r="B141" s="702" t="s">
        <v>98</v>
      </c>
      <c r="C141" s="702"/>
      <c r="D141" s="702"/>
      <c r="E141" s="618">
        <f>'7" 26# Deck Tally'!B124</f>
        <v>276</v>
      </c>
      <c r="F141" s="619">
        <f>'7" 26# Deck Tally'!C124</f>
        <v>33.94</v>
      </c>
      <c r="G141" s="619">
        <f t="shared" si="15"/>
        <v>33.541999999999994</v>
      </c>
      <c r="H141" s="619" t="s">
        <v>9</v>
      </c>
      <c r="I141" s="619">
        <f t="shared" ref="I141:I204" si="18">IF(H141="IN",I140+G141,I140)</f>
        <v>4073.366</v>
      </c>
      <c r="J141" s="619">
        <f t="shared" si="12"/>
        <v>8689.6939999999995</v>
      </c>
      <c r="K141" s="631">
        <f t="shared" si="13"/>
        <v>217.72607734453783</v>
      </c>
      <c r="L141" s="276"/>
      <c r="M141" s="222"/>
      <c r="P141" s="499"/>
      <c r="Q141" s="387">
        <f t="shared" si="16"/>
        <v>276</v>
      </c>
      <c r="R141" s="517">
        <v>33.94</v>
      </c>
      <c r="S141" s="366" t="str">
        <f t="shared" si="14"/>
        <v>OK</v>
      </c>
    </row>
    <row r="142" spans="1:19" s="18" customFormat="1" ht="13">
      <c r="A142" s="617">
        <f t="shared" si="17"/>
        <v>125</v>
      </c>
      <c r="B142" s="702" t="s">
        <v>98</v>
      </c>
      <c r="C142" s="702"/>
      <c r="D142" s="702"/>
      <c r="E142" s="618">
        <f>'7" 26# Deck Tally'!B125</f>
        <v>275</v>
      </c>
      <c r="F142" s="619">
        <f>'7" 26# Deck Tally'!C125</f>
        <v>33.4</v>
      </c>
      <c r="G142" s="619">
        <f t="shared" si="15"/>
        <v>33.001999999999995</v>
      </c>
      <c r="H142" s="619" t="s">
        <v>9</v>
      </c>
      <c r="I142" s="619">
        <f t="shared" si="18"/>
        <v>4106.3680000000004</v>
      </c>
      <c r="J142" s="619">
        <f t="shared" si="12"/>
        <v>8656.6919999999991</v>
      </c>
      <c r="K142" s="631">
        <f t="shared" si="13"/>
        <v>218.45302896256686</v>
      </c>
      <c r="L142" s="605"/>
      <c r="M142" s="222"/>
      <c r="P142" s="499"/>
      <c r="Q142" s="387">
        <f t="shared" si="16"/>
        <v>275</v>
      </c>
      <c r="R142" s="517">
        <v>33.4</v>
      </c>
      <c r="S142" s="366" t="str">
        <f t="shared" si="14"/>
        <v>OK</v>
      </c>
    </row>
    <row r="143" spans="1:19" s="18" customFormat="1" ht="13">
      <c r="A143" s="617">
        <f t="shared" si="17"/>
        <v>126</v>
      </c>
      <c r="B143" s="702" t="s">
        <v>98</v>
      </c>
      <c r="C143" s="702"/>
      <c r="D143" s="702"/>
      <c r="E143" s="618">
        <f>'7" 26# Deck Tally'!B126</f>
        <v>274</v>
      </c>
      <c r="F143" s="619">
        <f>'7" 26# Deck Tally'!C126</f>
        <v>31.53</v>
      </c>
      <c r="G143" s="619">
        <f t="shared" si="15"/>
        <v>31.132000000000001</v>
      </c>
      <c r="H143" s="619" t="s">
        <v>9</v>
      </c>
      <c r="I143" s="619">
        <f t="shared" si="18"/>
        <v>4137.5</v>
      </c>
      <c r="J143" s="619">
        <f t="shared" si="12"/>
        <v>8625.56</v>
      </c>
      <c r="K143" s="631">
        <f t="shared" si="13"/>
        <v>219.13878915202446</v>
      </c>
      <c r="L143" s="712"/>
      <c r="M143" s="713"/>
      <c r="P143" s="499"/>
      <c r="Q143" s="387">
        <f t="shared" si="16"/>
        <v>274</v>
      </c>
      <c r="R143" s="517">
        <v>31.53</v>
      </c>
      <c r="S143" s="366" t="str">
        <f t="shared" si="14"/>
        <v>OK</v>
      </c>
    </row>
    <row r="144" spans="1:19" ht="13">
      <c r="A144" s="617">
        <f t="shared" si="17"/>
        <v>127</v>
      </c>
      <c r="B144" s="702" t="s">
        <v>98</v>
      </c>
      <c r="C144" s="702"/>
      <c r="D144" s="702"/>
      <c r="E144" s="618">
        <f>'7" 26# Deck Tally'!B127</f>
        <v>273</v>
      </c>
      <c r="F144" s="619">
        <f>'7" 26# Deck Tally'!C127</f>
        <v>33.21</v>
      </c>
      <c r="G144" s="619">
        <f t="shared" si="15"/>
        <v>32.811999999999998</v>
      </c>
      <c r="H144" s="619" t="s">
        <v>9</v>
      </c>
      <c r="I144" s="619">
        <f t="shared" si="18"/>
        <v>4170.3119999999999</v>
      </c>
      <c r="J144" s="619">
        <f t="shared" ref="J144:J207" si="19">IF(I144="","",$L$6-I144)</f>
        <v>8592.7479999999996</v>
      </c>
      <c r="K144" s="631">
        <f t="shared" ref="K144:K207" si="20">$H$6+(I144*$F$7*$H$8/1000)</f>
        <v>219.86155554469059</v>
      </c>
      <c r="L144" s="540"/>
      <c r="M144" s="532"/>
      <c r="P144" s="499"/>
      <c r="Q144" s="387">
        <f t="shared" si="16"/>
        <v>273</v>
      </c>
      <c r="R144" s="517">
        <v>33.21</v>
      </c>
      <c r="S144" s="366" t="str">
        <f t="shared" ref="S144:S207" si="21">IF(F144-R144=0,"OK","FALSE")</f>
        <v>OK</v>
      </c>
    </row>
    <row r="145" spans="1:19" ht="13">
      <c r="A145" s="617">
        <f t="shared" si="17"/>
        <v>128</v>
      </c>
      <c r="B145" s="702" t="s">
        <v>98</v>
      </c>
      <c r="C145" s="702"/>
      <c r="D145" s="702"/>
      <c r="E145" s="618">
        <f>'7" 26# Deck Tally'!B128</f>
        <v>272</v>
      </c>
      <c r="F145" s="619">
        <f>'7" 26# Deck Tally'!C128</f>
        <v>33.89</v>
      </c>
      <c r="G145" s="619">
        <f t="shared" si="15"/>
        <v>33.491999999999997</v>
      </c>
      <c r="H145" s="619" t="s">
        <v>9</v>
      </c>
      <c r="I145" s="619">
        <f t="shared" si="18"/>
        <v>4203.8040000000001</v>
      </c>
      <c r="J145" s="619">
        <f t="shared" si="19"/>
        <v>8559.2559999999994</v>
      </c>
      <c r="K145" s="631">
        <f t="shared" si="20"/>
        <v>220.59930063865548</v>
      </c>
      <c r="L145" s="540"/>
      <c r="M145" s="532"/>
      <c r="P145" s="499"/>
      <c r="Q145" s="387">
        <f t="shared" si="16"/>
        <v>272</v>
      </c>
      <c r="R145" s="517">
        <v>33.89</v>
      </c>
      <c r="S145" s="366" t="str">
        <f t="shared" si="21"/>
        <v>OK</v>
      </c>
    </row>
    <row r="146" spans="1:19" ht="13">
      <c r="A146" s="617">
        <f t="shared" si="17"/>
        <v>129</v>
      </c>
      <c r="B146" s="702" t="s">
        <v>98</v>
      </c>
      <c r="C146" s="702"/>
      <c r="D146" s="702"/>
      <c r="E146" s="618">
        <f>'7" 26# Deck Tally'!B129</f>
        <v>271</v>
      </c>
      <c r="F146" s="619">
        <f>'7" 26# Deck Tally'!C129</f>
        <v>33.950000000000003</v>
      </c>
      <c r="G146" s="619">
        <f t="shared" si="15"/>
        <v>33.552</v>
      </c>
      <c r="H146" s="619" t="s">
        <v>9</v>
      </c>
      <c r="I146" s="619">
        <f t="shared" si="18"/>
        <v>4237.3559999999998</v>
      </c>
      <c r="J146" s="619">
        <f t="shared" si="19"/>
        <v>8525.7039999999997</v>
      </c>
      <c r="K146" s="631">
        <f t="shared" si="20"/>
        <v>221.33836738273493</v>
      </c>
      <c r="L146" s="540"/>
      <c r="M146" s="532"/>
      <c r="P146" s="499"/>
      <c r="Q146" s="387">
        <f t="shared" si="16"/>
        <v>271</v>
      </c>
      <c r="R146" s="517">
        <v>33.950000000000003</v>
      </c>
      <c r="S146" s="366" t="str">
        <f t="shared" si="21"/>
        <v>OK</v>
      </c>
    </row>
    <row r="147" spans="1:19" ht="13">
      <c r="A147" s="617">
        <f t="shared" si="17"/>
        <v>130</v>
      </c>
      <c r="B147" s="702" t="s">
        <v>98</v>
      </c>
      <c r="C147" s="702"/>
      <c r="D147" s="702"/>
      <c r="E147" s="618">
        <f>'7" 26# Deck Tally'!B130</f>
        <v>270</v>
      </c>
      <c r="F147" s="619">
        <f>'7" 26# Deck Tally'!C130</f>
        <v>33.78</v>
      </c>
      <c r="G147" s="619">
        <f t="shared" si="15"/>
        <v>33.381999999999998</v>
      </c>
      <c r="H147" s="619" t="s">
        <v>9</v>
      </c>
      <c r="I147" s="619">
        <f t="shared" si="18"/>
        <v>4270.7379999999994</v>
      </c>
      <c r="J147" s="619">
        <f t="shared" si="19"/>
        <v>8492.3220000000001</v>
      </c>
      <c r="K147" s="631">
        <f t="shared" si="20"/>
        <v>222.07368945148966</v>
      </c>
      <c r="L147" s="540"/>
      <c r="M147" s="532"/>
      <c r="P147" s="499"/>
      <c r="Q147" s="387">
        <f t="shared" si="16"/>
        <v>270</v>
      </c>
      <c r="R147" s="517">
        <v>33.78</v>
      </c>
      <c r="S147" s="366" t="str">
        <f t="shared" si="21"/>
        <v>OK</v>
      </c>
    </row>
    <row r="148" spans="1:19" ht="13">
      <c r="A148" s="617">
        <f t="shared" si="17"/>
        <v>131</v>
      </c>
      <c r="B148" s="702" t="s">
        <v>98</v>
      </c>
      <c r="C148" s="702"/>
      <c r="D148" s="702"/>
      <c r="E148" s="618">
        <f>'7" 26# Deck Tally'!B131</f>
        <v>269</v>
      </c>
      <c r="F148" s="619">
        <f>'7" 26# Deck Tally'!C131</f>
        <v>33.64</v>
      </c>
      <c r="G148" s="619">
        <f t="shared" si="15"/>
        <v>33.241999999999997</v>
      </c>
      <c r="H148" s="619" t="s">
        <v>9</v>
      </c>
      <c r="I148" s="619">
        <f t="shared" si="18"/>
        <v>4303.9799999999996</v>
      </c>
      <c r="J148" s="619">
        <f t="shared" si="19"/>
        <v>8459.08</v>
      </c>
      <c r="K148" s="631">
        <f t="shared" si="20"/>
        <v>222.80592766997705</v>
      </c>
      <c r="L148" s="540"/>
      <c r="M148" s="532"/>
      <c r="P148" s="499"/>
      <c r="Q148" s="387">
        <f t="shared" si="16"/>
        <v>269</v>
      </c>
      <c r="R148" s="517">
        <v>33.64</v>
      </c>
      <c r="S148" s="366" t="str">
        <f t="shared" si="21"/>
        <v>OK</v>
      </c>
    </row>
    <row r="149" spans="1:19" ht="13">
      <c r="A149" s="617">
        <f t="shared" si="17"/>
        <v>132</v>
      </c>
      <c r="B149" s="702" t="s">
        <v>98</v>
      </c>
      <c r="C149" s="702"/>
      <c r="D149" s="702"/>
      <c r="E149" s="618">
        <f>'7" 26# Deck Tally'!B132</f>
        <v>268</v>
      </c>
      <c r="F149" s="619">
        <f>'7" 26# Deck Tally'!C132</f>
        <v>33.770000000000003</v>
      </c>
      <c r="G149" s="619">
        <f t="shared" ref="G149:G212" si="22">F149-($F$9)</f>
        <v>33.372</v>
      </c>
      <c r="H149" s="619" t="s">
        <v>9</v>
      </c>
      <c r="I149" s="619">
        <f t="shared" si="18"/>
        <v>4337.3519999999999</v>
      </c>
      <c r="J149" s="619">
        <f t="shared" si="19"/>
        <v>8425.7079999999987</v>
      </c>
      <c r="K149" s="631">
        <f t="shared" si="20"/>
        <v>223.54102946371276</v>
      </c>
      <c r="L149" s="540"/>
      <c r="M149" s="532"/>
      <c r="P149" s="499"/>
      <c r="Q149" s="387">
        <f t="shared" ref="Q149:Q212" si="23">E149</f>
        <v>268</v>
      </c>
      <c r="R149" s="517">
        <v>33.770000000000003</v>
      </c>
      <c r="S149" s="366" t="str">
        <f t="shared" si="21"/>
        <v>OK</v>
      </c>
    </row>
    <row r="150" spans="1:19" ht="13">
      <c r="A150" s="617">
        <f t="shared" si="17"/>
        <v>133</v>
      </c>
      <c r="B150" s="702" t="s">
        <v>98</v>
      </c>
      <c r="C150" s="702"/>
      <c r="D150" s="702"/>
      <c r="E150" s="618">
        <f>'7" 26# Deck Tally'!B133</f>
        <v>267</v>
      </c>
      <c r="F150" s="619">
        <f>'7" 26# Deck Tally'!C133</f>
        <v>33.97</v>
      </c>
      <c r="G150" s="619">
        <f t="shared" si="22"/>
        <v>33.571999999999996</v>
      </c>
      <c r="H150" s="619" t="s">
        <v>9</v>
      </c>
      <c r="I150" s="619">
        <f t="shared" si="18"/>
        <v>4370.924</v>
      </c>
      <c r="J150" s="619">
        <f t="shared" si="19"/>
        <v>8392.1359999999986</v>
      </c>
      <c r="K150" s="631">
        <f t="shared" si="20"/>
        <v>224.28053675783042</v>
      </c>
      <c r="L150" s="277"/>
      <c r="M150" s="222"/>
      <c r="P150" s="499"/>
      <c r="Q150" s="387">
        <f t="shared" si="23"/>
        <v>267</v>
      </c>
      <c r="R150" s="517">
        <v>33.97</v>
      </c>
      <c r="S150" s="366" t="str">
        <f t="shared" si="21"/>
        <v>OK</v>
      </c>
    </row>
    <row r="151" spans="1:19" ht="13">
      <c r="A151" s="617">
        <f t="shared" ref="A151:A214" si="24">A150+1</f>
        <v>134</v>
      </c>
      <c r="B151" s="702" t="s">
        <v>98</v>
      </c>
      <c r="C151" s="702"/>
      <c r="D151" s="702"/>
      <c r="E151" s="618">
        <f>'7" 26# Deck Tally'!B134</f>
        <v>266</v>
      </c>
      <c r="F151" s="619">
        <f>'7" 26# Deck Tally'!C134</f>
        <v>33.18</v>
      </c>
      <c r="G151" s="619">
        <f t="shared" si="22"/>
        <v>32.781999999999996</v>
      </c>
      <c r="H151" s="619" t="s">
        <v>9</v>
      </c>
      <c r="I151" s="619">
        <f t="shared" si="18"/>
        <v>4403.7060000000001</v>
      </c>
      <c r="J151" s="619">
        <f t="shared" si="19"/>
        <v>8359.3539999999994</v>
      </c>
      <c r="K151" s="631">
        <f t="shared" si="20"/>
        <v>225.00264232543927</v>
      </c>
      <c r="L151" s="605"/>
      <c r="M151" s="222"/>
      <c r="P151" s="499"/>
      <c r="Q151" s="387">
        <f t="shared" si="23"/>
        <v>266</v>
      </c>
      <c r="R151" s="517">
        <v>33.18</v>
      </c>
      <c r="S151" s="366" t="str">
        <f t="shared" si="21"/>
        <v>OK</v>
      </c>
    </row>
    <row r="152" spans="1:19" ht="13">
      <c r="A152" s="617">
        <f t="shared" si="24"/>
        <v>135</v>
      </c>
      <c r="B152" s="702" t="s">
        <v>98</v>
      </c>
      <c r="C152" s="702"/>
      <c r="D152" s="702"/>
      <c r="E152" s="618">
        <f>'7" 26# Deck Tally'!B135</f>
        <v>265</v>
      </c>
      <c r="F152" s="619">
        <f>'7" 26# Deck Tally'!C135</f>
        <v>33.29</v>
      </c>
      <c r="G152" s="619">
        <f t="shared" si="22"/>
        <v>32.891999999999996</v>
      </c>
      <c r="H152" s="619" t="s">
        <v>9</v>
      </c>
      <c r="I152" s="619">
        <f t="shared" si="18"/>
        <v>4436.598</v>
      </c>
      <c r="J152" s="619">
        <f t="shared" si="19"/>
        <v>8326.4619999999995</v>
      </c>
      <c r="K152" s="631">
        <f t="shared" si="20"/>
        <v>225.7271709182582</v>
      </c>
      <c r="L152" s="540"/>
      <c r="M152" s="532"/>
      <c r="P152" s="499"/>
      <c r="Q152" s="387">
        <f t="shared" si="23"/>
        <v>265</v>
      </c>
      <c r="R152" s="517">
        <v>33.29</v>
      </c>
      <c r="S152" s="366" t="str">
        <f t="shared" si="21"/>
        <v>OK</v>
      </c>
    </row>
    <row r="153" spans="1:19" ht="13">
      <c r="A153" s="617">
        <f t="shared" si="24"/>
        <v>136</v>
      </c>
      <c r="B153" s="702" t="s">
        <v>98</v>
      </c>
      <c r="C153" s="702"/>
      <c r="D153" s="702"/>
      <c r="E153" s="618">
        <f>'7" 26# Deck Tally'!B136</f>
        <v>264</v>
      </c>
      <c r="F153" s="619">
        <f>'7" 26# Deck Tally'!C136</f>
        <v>33.51</v>
      </c>
      <c r="G153" s="619">
        <f t="shared" si="22"/>
        <v>33.111999999999995</v>
      </c>
      <c r="H153" s="619" t="s">
        <v>9</v>
      </c>
      <c r="I153" s="619">
        <f t="shared" si="18"/>
        <v>4469.71</v>
      </c>
      <c r="J153" s="619">
        <f t="shared" si="19"/>
        <v>8293.3499999999985</v>
      </c>
      <c r="K153" s="631">
        <f t="shared" si="20"/>
        <v>226.45654556149734</v>
      </c>
      <c r="L153" s="540"/>
      <c r="M153" s="532"/>
      <c r="P153" s="499"/>
      <c r="Q153" s="387">
        <f t="shared" si="23"/>
        <v>264</v>
      </c>
      <c r="R153" s="517">
        <v>33.51</v>
      </c>
      <c r="S153" s="366" t="str">
        <f t="shared" si="21"/>
        <v>OK</v>
      </c>
    </row>
    <row r="154" spans="1:19" ht="13">
      <c r="A154" s="617">
        <f t="shared" si="24"/>
        <v>137</v>
      </c>
      <c r="B154" s="702" t="s">
        <v>98</v>
      </c>
      <c r="C154" s="702"/>
      <c r="D154" s="702"/>
      <c r="E154" s="618">
        <f>'7" 26# Deck Tally'!B137</f>
        <v>263</v>
      </c>
      <c r="F154" s="619">
        <f>'7" 26# Deck Tally'!C137</f>
        <v>33.700000000000003</v>
      </c>
      <c r="G154" s="619">
        <f t="shared" si="22"/>
        <v>33.302</v>
      </c>
      <c r="H154" s="619" t="s">
        <v>9</v>
      </c>
      <c r="I154" s="619">
        <f t="shared" si="18"/>
        <v>4503.0119999999997</v>
      </c>
      <c r="J154" s="619">
        <f t="shared" si="19"/>
        <v>8260.0479999999989</v>
      </c>
      <c r="K154" s="631">
        <f t="shared" si="20"/>
        <v>227.19010543009932</v>
      </c>
      <c r="L154" s="540"/>
      <c r="M154" s="532"/>
      <c r="P154" s="499"/>
      <c r="Q154" s="387">
        <f t="shared" si="23"/>
        <v>263</v>
      </c>
      <c r="R154" s="517">
        <v>33.700000000000003</v>
      </c>
      <c r="S154" s="366" t="str">
        <f t="shared" si="21"/>
        <v>OK</v>
      </c>
    </row>
    <row r="155" spans="1:19" ht="13">
      <c r="A155" s="617">
        <f t="shared" si="24"/>
        <v>138</v>
      </c>
      <c r="B155" s="702" t="s">
        <v>98</v>
      </c>
      <c r="C155" s="702"/>
      <c r="D155" s="702"/>
      <c r="E155" s="618">
        <f>'7" 26# Deck Tally'!B138</f>
        <v>262</v>
      </c>
      <c r="F155" s="619">
        <f>'7" 26# Deck Tally'!C138</f>
        <v>33.51</v>
      </c>
      <c r="G155" s="619">
        <f t="shared" si="22"/>
        <v>33.111999999999995</v>
      </c>
      <c r="H155" s="619" t="s">
        <v>9</v>
      </c>
      <c r="I155" s="619">
        <f t="shared" si="18"/>
        <v>4536.1239999999998</v>
      </c>
      <c r="J155" s="619">
        <f t="shared" si="19"/>
        <v>8226.9359999999997</v>
      </c>
      <c r="K155" s="631">
        <f t="shared" si="20"/>
        <v>227.91948007333843</v>
      </c>
      <c r="L155" s="540"/>
      <c r="M155" s="532"/>
      <c r="P155" s="499"/>
      <c r="Q155" s="387">
        <f t="shared" si="23"/>
        <v>262</v>
      </c>
      <c r="R155" s="517">
        <v>33.51</v>
      </c>
      <c r="S155" s="366" t="str">
        <f t="shared" si="21"/>
        <v>OK</v>
      </c>
    </row>
    <row r="156" spans="1:19" ht="13">
      <c r="A156" s="617">
        <f t="shared" si="24"/>
        <v>139</v>
      </c>
      <c r="B156" s="702" t="s">
        <v>98</v>
      </c>
      <c r="C156" s="702"/>
      <c r="D156" s="702"/>
      <c r="E156" s="618">
        <f>'7" 26# Deck Tally'!B139</f>
        <v>261</v>
      </c>
      <c r="F156" s="619">
        <f>'7" 26# Deck Tally'!C139</f>
        <v>33.46</v>
      </c>
      <c r="G156" s="619">
        <f t="shared" si="22"/>
        <v>33.061999999999998</v>
      </c>
      <c r="H156" s="619" t="s">
        <v>9</v>
      </c>
      <c r="I156" s="619">
        <f t="shared" si="18"/>
        <v>4569.1859999999997</v>
      </c>
      <c r="J156" s="619">
        <f t="shared" si="19"/>
        <v>8193.8739999999998</v>
      </c>
      <c r="K156" s="631">
        <f t="shared" si="20"/>
        <v>228.64775334148203</v>
      </c>
      <c r="L156" s="540"/>
      <c r="M156" s="532"/>
      <c r="P156" s="499"/>
      <c r="Q156" s="387">
        <f t="shared" si="23"/>
        <v>261</v>
      </c>
      <c r="R156" s="517">
        <v>33.46</v>
      </c>
      <c r="S156" s="366" t="str">
        <f t="shared" si="21"/>
        <v>OK</v>
      </c>
    </row>
    <row r="157" spans="1:19" ht="13">
      <c r="A157" s="617">
        <f t="shared" si="24"/>
        <v>140</v>
      </c>
      <c r="B157" s="702" t="s">
        <v>98</v>
      </c>
      <c r="C157" s="702"/>
      <c r="D157" s="702"/>
      <c r="E157" s="618">
        <f>'7" 26# Deck Tally'!B140</f>
        <v>260</v>
      </c>
      <c r="F157" s="619">
        <f>'7" 26# Deck Tally'!C140</f>
        <v>33.86</v>
      </c>
      <c r="G157" s="619">
        <f t="shared" si="22"/>
        <v>33.461999999999996</v>
      </c>
      <c r="H157" s="619" t="s">
        <v>9</v>
      </c>
      <c r="I157" s="619">
        <f t="shared" si="18"/>
        <v>4602.6480000000001</v>
      </c>
      <c r="J157" s="619">
        <f t="shared" si="19"/>
        <v>8160.4119999999994</v>
      </c>
      <c r="K157" s="631">
        <f t="shared" si="20"/>
        <v>229.38483761038961</v>
      </c>
      <c r="L157" s="540"/>
      <c r="M157" s="532"/>
      <c r="P157" s="499"/>
      <c r="Q157" s="387">
        <f t="shared" si="23"/>
        <v>260</v>
      </c>
      <c r="R157" s="517">
        <v>33.86</v>
      </c>
      <c r="S157" s="366" t="str">
        <f t="shared" si="21"/>
        <v>OK</v>
      </c>
    </row>
    <row r="158" spans="1:19" ht="13">
      <c r="A158" s="617">
        <f t="shared" si="24"/>
        <v>141</v>
      </c>
      <c r="B158" s="702" t="s">
        <v>98</v>
      </c>
      <c r="C158" s="702"/>
      <c r="D158" s="702"/>
      <c r="E158" s="618">
        <f>'7" 26# Deck Tally'!B141</f>
        <v>259</v>
      </c>
      <c r="F158" s="619">
        <f>'7" 26# Deck Tally'!C141</f>
        <v>33.71</v>
      </c>
      <c r="G158" s="619">
        <f t="shared" si="22"/>
        <v>33.311999999999998</v>
      </c>
      <c r="H158" s="619" t="s">
        <v>9</v>
      </c>
      <c r="I158" s="619">
        <f t="shared" si="18"/>
        <v>4635.96</v>
      </c>
      <c r="J158" s="619">
        <f t="shared" si="19"/>
        <v>8127.0999999999995</v>
      </c>
      <c r="K158" s="631">
        <f t="shared" si="20"/>
        <v>230.1186177540107</v>
      </c>
      <c r="L158" s="540"/>
      <c r="M158" s="532"/>
      <c r="P158" s="499"/>
      <c r="Q158" s="387">
        <f t="shared" si="23"/>
        <v>259</v>
      </c>
      <c r="R158" s="517">
        <v>33.71</v>
      </c>
      <c r="S158" s="366" t="str">
        <f t="shared" si="21"/>
        <v>OK</v>
      </c>
    </row>
    <row r="159" spans="1:19" ht="13">
      <c r="A159" s="617">
        <f t="shared" si="24"/>
        <v>142</v>
      </c>
      <c r="B159" s="702" t="s">
        <v>98</v>
      </c>
      <c r="C159" s="702"/>
      <c r="D159" s="702"/>
      <c r="E159" s="618">
        <f>'7" 26# Deck Tally'!B142</f>
        <v>258</v>
      </c>
      <c r="F159" s="619">
        <f>'7" 26# Deck Tally'!C142</f>
        <v>33.950000000000003</v>
      </c>
      <c r="G159" s="619">
        <f t="shared" si="22"/>
        <v>33.552</v>
      </c>
      <c r="H159" s="619" t="s">
        <v>9</v>
      </c>
      <c r="I159" s="619">
        <f t="shared" si="18"/>
        <v>4669.5119999999997</v>
      </c>
      <c r="J159" s="619">
        <f t="shared" si="19"/>
        <v>8093.5479999999998</v>
      </c>
      <c r="K159" s="631">
        <f t="shared" si="20"/>
        <v>230.85768449809012</v>
      </c>
      <c r="L159" s="540"/>
      <c r="M159" s="532"/>
      <c r="P159" s="499"/>
      <c r="Q159" s="387">
        <f t="shared" si="23"/>
        <v>258</v>
      </c>
      <c r="R159" s="517">
        <v>33.950000000000003</v>
      </c>
      <c r="S159" s="366" t="str">
        <f t="shared" si="21"/>
        <v>OK</v>
      </c>
    </row>
    <row r="160" spans="1:19" ht="13">
      <c r="A160" s="617">
        <f t="shared" si="24"/>
        <v>143</v>
      </c>
      <c r="B160" s="702" t="s">
        <v>98</v>
      </c>
      <c r="C160" s="702"/>
      <c r="D160" s="702"/>
      <c r="E160" s="618">
        <f>'7" 26# Deck Tally'!B143</f>
        <v>257</v>
      </c>
      <c r="F160" s="619">
        <f>'7" 26# Deck Tally'!C143</f>
        <v>33.770000000000003</v>
      </c>
      <c r="G160" s="619">
        <f t="shared" si="22"/>
        <v>33.372</v>
      </c>
      <c r="H160" s="619" t="s">
        <v>9</v>
      </c>
      <c r="I160" s="619">
        <f t="shared" si="18"/>
        <v>4702.884</v>
      </c>
      <c r="J160" s="619">
        <f t="shared" si="19"/>
        <v>8060.1759999999995</v>
      </c>
      <c r="K160" s="631">
        <f t="shared" si="20"/>
        <v>231.5927862918258</v>
      </c>
      <c r="L160" s="540"/>
      <c r="M160" s="532"/>
      <c r="P160" s="499"/>
      <c r="Q160" s="387">
        <f t="shared" si="23"/>
        <v>257</v>
      </c>
      <c r="R160" s="517">
        <v>33.770000000000003</v>
      </c>
      <c r="S160" s="366" t="str">
        <f t="shared" si="21"/>
        <v>OK</v>
      </c>
    </row>
    <row r="161" spans="1:19" ht="13">
      <c r="A161" s="617">
        <f t="shared" si="24"/>
        <v>144</v>
      </c>
      <c r="B161" s="702" t="s">
        <v>98</v>
      </c>
      <c r="C161" s="702"/>
      <c r="D161" s="702"/>
      <c r="E161" s="618">
        <f>'7" 26# Deck Tally'!B144</f>
        <v>256</v>
      </c>
      <c r="F161" s="619">
        <f>'7" 26# Deck Tally'!C144</f>
        <v>33.26</v>
      </c>
      <c r="G161" s="619">
        <f t="shared" si="22"/>
        <v>32.861999999999995</v>
      </c>
      <c r="H161" s="619" t="s">
        <v>9</v>
      </c>
      <c r="I161" s="619">
        <f t="shared" si="18"/>
        <v>4735.7460000000001</v>
      </c>
      <c r="J161" s="619">
        <f t="shared" si="19"/>
        <v>8027.3139999999994</v>
      </c>
      <c r="K161" s="631">
        <f t="shared" si="20"/>
        <v>232.31665405958748</v>
      </c>
      <c r="L161" s="540"/>
      <c r="M161" s="532"/>
      <c r="P161" s="499"/>
      <c r="Q161" s="387">
        <f t="shared" si="23"/>
        <v>256</v>
      </c>
      <c r="R161" s="517">
        <v>33.26</v>
      </c>
      <c r="S161" s="366" t="str">
        <f t="shared" si="21"/>
        <v>OK</v>
      </c>
    </row>
    <row r="162" spans="1:19" ht="13">
      <c r="A162" s="617">
        <f t="shared" si="24"/>
        <v>145</v>
      </c>
      <c r="B162" s="702" t="s">
        <v>98</v>
      </c>
      <c r="C162" s="702"/>
      <c r="D162" s="702"/>
      <c r="E162" s="618">
        <f>'7" 26# Deck Tally'!B145</f>
        <v>255</v>
      </c>
      <c r="F162" s="619">
        <f>'7" 26# Deck Tally'!C145</f>
        <v>33.82</v>
      </c>
      <c r="G162" s="619">
        <f t="shared" si="22"/>
        <v>33.421999999999997</v>
      </c>
      <c r="H162" s="619" t="s">
        <v>9</v>
      </c>
      <c r="I162" s="619">
        <f t="shared" si="18"/>
        <v>4769.1679999999997</v>
      </c>
      <c r="J162" s="619">
        <f t="shared" si="19"/>
        <v>7993.8919999999998</v>
      </c>
      <c r="K162" s="631">
        <f t="shared" si="20"/>
        <v>233.05285722841865</v>
      </c>
      <c r="L162" s="540"/>
      <c r="M162" s="532"/>
      <c r="N162" s="20"/>
      <c r="O162" s="20"/>
      <c r="P162" s="499"/>
      <c r="Q162" s="387">
        <f t="shared" si="23"/>
        <v>255</v>
      </c>
      <c r="R162" s="517">
        <v>33.82</v>
      </c>
      <c r="S162" s="366" t="str">
        <f t="shared" si="21"/>
        <v>OK</v>
      </c>
    </row>
    <row r="163" spans="1:19" ht="13">
      <c r="A163" s="617">
        <f t="shared" si="24"/>
        <v>146</v>
      </c>
      <c r="B163" s="702" t="s">
        <v>98</v>
      </c>
      <c r="C163" s="702"/>
      <c r="D163" s="702"/>
      <c r="E163" s="618">
        <f>'7" 26# Deck Tally'!B146</f>
        <v>254</v>
      </c>
      <c r="F163" s="619">
        <f>'7" 26# Deck Tally'!C146</f>
        <v>33.700000000000003</v>
      </c>
      <c r="G163" s="619">
        <f t="shared" si="22"/>
        <v>33.302</v>
      </c>
      <c r="H163" s="619" t="s">
        <v>9</v>
      </c>
      <c r="I163" s="619">
        <f t="shared" si="18"/>
        <v>4802.4699999999993</v>
      </c>
      <c r="J163" s="619">
        <f t="shared" si="19"/>
        <v>7960.59</v>
      </c>
      <c r="K163" s="631">
        <f t="shared" si="20"/>
        <v>233.7864170970206</v>
      </c>
      <c r="L163" s="540"/>
      <c r="M163" s="532"/>
      <c r="P163" s="499"/>
      <c r="Q163" s="387">
        <f t="shared" si="23"/>
        <v>254</v>
      </c>
      <c r="R163" s="517">
        <v>33.700000000000003</v>
      </c>
      <c r="S163" s="366" t="str">
        <f t="shared" si="21"/>
        <v>OK</v>
      </c>
    </row>
    <row r="164" spans="1:19" ht="13">
      <c r="A164" s="617">
        <f t="shared" si="24"/>
        <v>147</v>
      </c>
      <c r="B164" s="702" t="s">
        <v>98</v>
      </c>
      <c r="C164" s="702"/>
      <c r="D164" s="702"/>
      <c r="E164" s="618">
        <f>'7" 26# Deck Tally'!B147</f>
        <v>253</v>
      </c>
      <c r="F164" s="619">
        <f>'7" 26# Deck Tally'!C147</f>
        <v>33.75</v>
      </c>
      <c r="G164" s="619">
        <f t="shared" si="22"/>
        <v>33.351999999999997</v>
      </c>
      <c r="H164" s="619" t="s">
        <v>9</v>
      </c>
      <c r="I164" s="619">
        <f t="shared" si="18"/>
        <v>4835.8219999999992</v>
      </c>
      <c r="J164" s="619">
        <f t="shared" si="19"/>
        <v>7927.2380000000003</v>
      </c>
      <c r="K164" s="631">
        <f t="shared" si="20"/>
        <v>234.52107834071808</v>
      </c>
      <c r="L164" s="540"/>
      <c r="M164" s="532"/>
      <c r="P164" s="499"/>
      <c r="Q164" s="387">
        <f t="shared" si="23"/>
        <v>253</v>
      </c>
      <c r="R164" s="517">
        <v>33.75</v>
      </c>
      <c r="S164" s="366" t="str">
        <f t="shared" si="21"/>
        <v>OK</v>
      </c>
    </row>
    <row r="165" spans="1:19" ht="13">
      <c r="A165" s="617">
        <f t="shared" si="24"/>
        <v>148</v>
      </c>
      <c r="B165" s="702" t="s">
        <v>98</v>
      </c>
      <c r="C165" s="702"/>
      <c r="D165" s="702"/>
      <c r="E165" s="618">
        <f>'7" 26# Deck Tally'!B148</f>
        <v>252</v>
      </c>
      <c r="F165" s="619">
        <f>'7" 26# Deck Tally'!C148</f>
        <v>33.200000000000003</v>
      </c>
      <c r="G165" s="619">
        <f t="shared" si="22"/>
        <v>32.802</v>
      </c>
      <c r="H165" s="619" t="s">
        <v>9</v>
      </c>
      <c r="I165" s="619">
        <f t="shared" si="18"/>
        <v>4868.6239999999989</v>
      </c>
      <c r="J165" s="619">
        <f t="shared" si="19"/>
        <v>7894.4360000000006</v>
      </c>
      <c r="K165" s="631">
        <f t="shared" si="20"/>
        <v>235.24362445836516</v>
      </c>
      <c r="L165" s="540"/>
      <c r="M165" s="532"/>
      <c r="P165" s="499"/>
      <c r="Q165" s="387">
        <f t="shared" si="23"/>
        <v>252</v>
      </c>
      <c r="R165" s="517">
        <v>33.200000000000003</v>
      </c>
      <c r="S165" s="366" t="str">
        <f t="shared" si="21"/>
        <v>OK</v>
      </c>
    </row>
    <row r="166" spans="1:19" ht="13">
      <c r="A166" s="617">
        <f t="shared" si="24"/>
        <v>149</v>
      </c>
      <c r="B166" s="702" t="s">
        <v>98</v>
      </c>
      <c r="C166" s="702"/>
      <c r="D166" s="702"/>
      <c r="E166" s="618">
        <f>'7" 26# Deck Tally'!B149</f>
        <v>251</v>
      </c>
      <c r="F166" s="619">
        <f>'7" 26# Deck Tally'!C149</f>
        <v>33.61</v>
      </c>
      <c r="G166" s="619">
        <f t="shared" si="22"/>
        <v>33.211999999999996</v>
      </c>
      <c r="H166" s="619" t="s">
        <v>9</v>
      </c>
      <c r="I166" s="619">
        <f t="shared" si="18"/>
        <v>4901.8359999999993</v>
      </c>
      <c r="J166" s="619">
        <f t="shared" si="19"/>
        <v>7861.2240000000002</v>
      </c>
      <c r="K166" s="631">
        <f t="shared" si="20"/>
        <v>235.97520185179525</v>
      </c>
      <c r="L166" s="540"/>
      <c r="M166" s="532"/>
      <c r="P166" s="499"/>
      <c r="Q166" s="387">
        <f t="shared" si="23"/>
        <v>251</v>
      </c>
      <c r="R166" s="517">
        <v>33.61</v>
      </c>
      <c r="S166" s="366" t="str">
        <f t="shared" si="21"/>
        <v>OK</v>
      </c>
    </row>
    <row r="167" spans="1:19" ht="13">
      <c r="A167" s="617">
        <f t="shared" si="24"/>
        <v>150</v>
      </c>
      <c r="B167" s="702" t="s">
        <v>98</v>
      </c>
      <c r="C167" s="702"/>
      <c r="D167" s="702"/>
      <c r="E167" s="618">
        <f>'7" 26# Deck Tally'!B150</f>
        <v>250</v>
      </c>
      <c r="F167" s="619">
        <f>'7" 26# Deck Tally'!C150</f>
        <v>33.380000000000003</v>
      </c>
      <c r="G167" s="619">
        <f t="shared" si="22"/>
        <v>32.981999999999999</v>
      </c>
      <c r="H167" s="619" t="s">
        <v>9</v>
      </c>
      <c r="I167" s="619">
        <f t="shared" si="18"/>
        <v>4934.8179999999993</v>
      </c>
      <c r="J167" s="619">
        <f t="shared" si="19"/>
        <v>7828.2420000000002</v>
      </c>
      <c r="K167" s="631">
        <f t="shared" si="20"/>
        <v>236.70171291978608</v>
      </c>
      <c r="L167" s="540"/>
      <c r="M167" s="532"/>
      <c r="P167" s="499"/>
      <c r="Q167" s="387">
        <f t="shared" si="23"/>
        <v>250</v>
      </c>
      <c r="R167" s="517">
        <v>33.380000000000003</v>
      </c>
      <c r="S167" s="366" t="str">
        <f t="shared" si="21"/>
        <v>OK</v>
      </c>
    </row>
    <row r="168" spans="1:19" ht="13">
      <c r="A168" s="617">
        <f t="shared" si="24"/>
        <v>151</v>
      </c>
      <c r="B168" s="702" t="s">
        <v>98</v>
      </c>
      <c r="C168" s="702"/>
      <c r="D168" s="702"/>
      <c r="E168" s="618">
        <f>'7" 26# Deck Tally'!B151</f>
        <v>249</v>
      </c>
      <c r="F168" s="619">
        <f>'7" 26# Deck Tally'!C151</f>
        <v>33.29</v>
      </c>
      <c r="G168" s="619">
        <f t="shared" si="22"/>
        <v>32.891999999999996</v>
      </c>
      <c r="H168" s="619" t="s">
        <v>9</v>
      </c>
      <c r="I168" s="619">
        <f t="shared" si="18"/>
        <v>4967.7099999999991</v>
      </c>
      <c r="J168" s="619">
        <f t="shared" si="19"/>
        <v>7795.35</v>
      </c>
      <c r="K168" s="631">
        <f t="shared" si="20"/>
        <v>237.42624151260503</v>
      </c>
      <c r="L168" s="540"/>
      <c r="M168" s="532"/>
      <c r="P168" s="499"/>
      <c r="Q168" s="387">
        <f t="shared" si="23"/>
        <v>249</v>
      </c>
      <c r="R168" s="517">
        <v>33.29</v>
      </c>
      <c r="S168" s="366" t="str">
        <f t="shared" si="21"/>
        <v>OK</v>
      </c>
    </row>
    <row r="169" spans="1:19" ht="13">
      <c r="A169" s="617">
        <f t="shared" si="24"/>
        <v>152</v>
      </c>
      <c r="B169" s="702" t="s">
        <v>98</v>
      </c>
      <c r="C169" s="702"/>
      <c r="D169" s="702"/>
      <c r="E169" s="618">
        <f>'7" 26# Deck Tally'!B152</f>
        <v>248</v>
      </c>
      <c r="F169" s="619">
        <f>'7" 26# Deck Tally'!C152</f>
        <v>33.450000000000003</v>
      </c>
      <c r="G169" s="619">
        <f t="shared" si="22"/>
        <v>33.052</v>
      </c>
      <c r="H169" s="619" t="s">
        <v>9</v>
      </c>
      <c r="I169" s="619">
        <f t="shared" si="18"/>
        <v>5000.7619999999988</v>
      </c>
      <c r="J169" s="619">
        <f t="shared" si="19"/>
        <v>7762.2980000000007</v>
      </c>
      <c r="K169" s="631">
        <f t="shared" si="20"/>
        <v>238.15429450572952</v>
      </c>
      <c r="L169" s="540"/>
      <c r="M169" s="532"/>
      <c r="P169" s="499"/>
      <c r="Q169" s="387">
        <f t="shared" si="23"/>
        <v>248</v>
      </c>
      <c r="R169" s="517">
        <v>33.450000000000003</v>
      </c>
      <c r="S169" s="366" t="str">
        <f t="shared" si="21"/>
        <v>OK</v>
      </c>
    </row>
    <row r="170" spans="1:19" ht="13">
      <c r="A170" s="617">
        <f t="shared" si="24"/>
        <v>153</v>
      </c>
      <c r="B170" s="702" t="s">
        <v>98</v>
      </c>
      <c r="C170" s="702"/>
      <c r="D170" s="702"/>
      <c r="E170" s="618">
        <f>'7" 26# Deck Tally'!B153</f>
        <v>247</v>
      </c>
      <c r="F170" s="619">
        <f>'7" 26# Deck Tally'!C153</f>
        <v>33.57</v>
      </c>
      <c r="G170" s="619">
        <f t="shared" si="22"/>
        <v>33.171999999999997</v>
      </c>
      <c r="H170" s="619" t="s">
        <v>9</v>
      </c>
      <c r="I170" s="619">
        <f t="shared" si="18"/>
        <v>5033.9339999999984</v>
      </c>
      <c r="J170" s="619">
        <f t="shared" si="19"/>
        <v>7729.1260000000011</v>
      </c>
      <c r="K170" s="631">
        <f t="shared" si="20"/>
        <v>238.88499079908323</v>
      </c>
      <c r="L170" s="540"/>
      <c r="M170" s="532"/>
      <c r="P170" s="499"/>
      <c r="Q170" s="387">
        <f t="shared" si="23"/>
        <v>247</v>
      </c>
      <c r="R170" s="517">
        <v>33.57</v>
      </c>
      <c r="S170" s="366" t="str">
        <f t="shared" si="21"/>
        <v>OK</v>
      </c>
    </row>
    <row r="171" spans="1:19" ht="13">
      <c r="A171" s="617">
        <f t="shared" si="24"/>
        <v>154</v>
      </c>
      <c r="B171" s="702" t="s">
        <v>98</v>
      </c>
      <c r="C171" s="702"/>
      <c r="D171" s="702"/>
      <c r="E171" s="618">
        <f>'7" 26# Deck Tally'!B154</f>
        <v>246</v>
      </c>
      <c r="F171" s="619">
        <f>'7" 26# Deck Tally'!C154</f>
        <v>33.630000000000003</v>
      </c>
      <c r="G171" s="619">
        <f t="shared" si="22"/>
        <v>33.231999999999999</v>
      </c>
      <c r="H171" s="619" t="s">
        <v>9</v>
      </c>
      <c r="I171" s="619">
        <f t="shared" si="18"/>
        <v>5067.1659999999983</v>
      </c>
      <c r="J171" s="619">
        <f t="shared" si="19"/>
        <v>7695.8940000000011</v>
      </c>
      <c r="K171" s="631">
        <f t="shared" si="20"/>
        <v>239.61700874255155</v>
      </c>
      <c r="L171" s="540"/>
      <c r="M171" s="532"/>
      <c r="P171" s="499"/>
      <c r="Q171" s="387">
        <f t="shared" si="23"/>
        <v>246</v>
      </c>
      <c r="R171" s="517">
        <v>33.630000000000003</v>
      </c>
      <c r="S171" s="366" t="str">
        <f t="shared" si="21"/>
        <v>OK</v>
      </c>
    </row>
    <row r="172" spans="1:19" ht="13">
      <c r="A172" s="617">
        <f t="shared" si="24"/>
        <v>155</v>
      </c>
      <c r="B172" s="702" t="s">
        <v>98</v>
      </c>
      <c r="C172" s="702"/>
      <c r="D172" s="702"/>
      <c r="E172" s="618">
        <f>'7" 26# Deck Tally'!B155</f>
        <v>245</v>
      </c>
      <c r="F172" s="619">
        <f>'7" 26# Deck Tally'!C155</f>
        <v>33.61</v>
      </c>
      <c r="G172" s="619">
        <f t="shared" si="22"/>
        <v>33.211999999999996</v>
      </c>
      <c r="H172" s="619" t="s">
        <v>9</v>
      </c>
      <c r="I172" s="619">
        <f t="shared" si="18"/>
        <v>5100.3779999999988</v>
      </c>
      <c r="J172" s="619">
        <f t="shared" si="19"/>
        <v>7662.6820000000007</v>
      </c>
      <c r="K172" s="631">
        <f t="shared" si="20"/>
        <v>240.34858613598163</v>
      </c>
      <c r="L172" s="540"/>
      <c r="M172" s="532"/>
      <c r="P172" s="499"/>
      <c r="Q172" s="387">
        <f t="shared" si="23"/>
        <v>245</v>
      </c>
      <c r="R172" s="517">
        <v>33.61</v>
      </c>
      <c r="S172" s="366" t="str">
        <f t="shared" si="21"/>
        <v>OK</v>
      </c>
    </row>
    <row r="173" spans="1:19" ht="13">
      <c r="A173" s="617">
        <f t="shared" si="24"/>
        <v>156</v>
      </c>
      <c r="B173" s="702" t="s">
        <v>98</v>
      </c>
      <c r="C173" s="702"/>
      <c r="D173" s="702"/>
      <c r="E173" s="618">
        <f>'7" 26# Deck Tally'!B156</f>
        <v>244</v>
      </c>
      <c r="F173" s="619">
        <f>'7" 26# Deck Tally'!C156</f>
        <v>33.979999999999997</v>
      </c>
      <c r="G173" s="619">
        <f t="shared" si="22"/>
        <v>33.581999999999994</v>
      </c>
      <c r="H173" s="619" t="s">
        <v>9</v>
      </c>
      <c r="I173" s="619">
        <f t="shared" si="18"/>
        <v>5133.9599999999991</v>
      </c>
      <c r="J173" s="619">
        <f t="shared" si="19"/>
        <v>7629.1</v>
      </c>
      <c r="K173" s="631">
        <f t="shared" si="20"/>
        <v>241.08831370511837</v>
      </c>
      <c r="L173" s="540"/>
      <c r="M173" s="532"/>
      <c r="P173" s="499"/>
      <c r="Q173" s="387">
        <f t="shared" si="23"/>
        <v>244</v>
      </c>
      <c r="R173" s="517">
        <v>33.979999999999997</v>
      </c>
      <c r="S173" s="366" t="str">
        <f t="shared" si="21"/>
        <v>OK</v>
      </c>
    </row>
    <row r="174" spans="1:19" ht="13">
      <c r="A174" s="617">
        <f t="shared" si="24"/>
        <v>157</v>
      </c>
      <c r="B174" s="702" t="s">
        <v>98</v>
      </c>
      <c r="C174" s="702"/>
      <c r="D174" s="702"/>
      <c r="E174" s="618">
        <f>'7" 26# Deck Tally'!B157</f>
        <v>243</v>
      </c>
      <c r="F174" s="619">
        <f>'7" 26# Deck Tally'!C157</f>
        <v>33.17</v>
      </c>
      <c r="G174" s="619">
        <f t="shared" si="22"/>
        <v>32.771999999999998</v>
      </c>
      <c r="H174" s="619" t="s">
        <v>9</v>
      </c>
      <c r="I174" s="619">
        <f t="shared" si="18"/>
        <v>5166.7319999999991</v>
      </c>
      <c r="J174" s="619">
        <f t="shared" si="19"/>
        <v>7596.3280000000004</v>
      </c>
      <c r="K174" s="631">
        <f t="shared" si="20"/>
        <v>241.81019899770814</v>
      </c>
      <c r="L174" s="540"/>
      <c r="M174" s="532"/>
      <c r="P174" s="499"/>
      <c r="Q174" s="387">
        <f t="shared" si="23"/>
        <v>243</v>
      </c>
      <c r="R174" s="517">
        <v>33.17</v>
      </c>
      <c r="S174" s="366" t="str">
        <f t="shared" si="21"/>
        <v>OK</v>
      </c>
    </row>
    <row r="175" spans="1:19" ht="13">
      <c r="A175" s="617">
        <f t="shared" si="24"/>
        <v>158</v>
      </c>
      <c r="B175" s="702" t="s">
        <v>98</v>
      </c>
      <c r="C175" s="702"/>
      <c r="D175" s="702"/>
      <c r="E175" s="618">
        <f>'7" 26# Deck Tally'!B158</f>
        <v>242</v>
      </c>
      <c r="F175" s="619">
        <f>'7" 26# Deck Tally'!C158</f>
        <v>33.93</v>
      </c>
      <c r="G175" s="619">
        <f t="shared" si="22"/>
        <v>33.531999999999996</v>
      </c>
      <c r="H175" s="619" t="s">
        <v>9</v>
      </c>
      <c r="I175" s="619">
        <f t="shared" si="18"/>
        <v>5200.2639999999992</v>
      </c>
      <c r="J175" s="619">
        <f t="shared" si="19"/>
        <v>7562.7960000000003</v>
      </c>
      <c r="K175" s="631">
        <f t="shared" si="20"/>
        <v>242.54882519174942</v>
      </c>
      <c r="L175" s="540"/>
      <c r="M175" s="532"/>
      <c r="P175" s="499"/>
      <c r="Q175" s="387">
        <f t="shared" si="23"/>
        <v>242</v>
      </c>
      <c r="R175" s="517">
        <v>33.93</v>
      </c>
      <c r="S175" s="366" t="str">
        <f t="shared" si="21"/>
        <v>OK</v>
      </c>
    </row>
    <row r="176" spans="1:19" ht="13">
      <c r="A176" s="617">
        <f t="shared" si="24"/>
        <v>159</v>
      </c>
      <c r="B176" s="702" t="s">
        <v>98</v>
      </c>
      <c r="C176" s="702"/>
      <c r="D176" s="702"/>
      <c r="E176" s="618">
        <f>'7" 26# Deck Tally'!B159</f>
        <v>241</v>
      </c>
      <c r="F176" s="619">
        <f>'7" 26# Deck Tally'!C159</f>
        <v>33.69</v>
      </c>
      <c r="G176" s="619">
        <f t="shared" si="22"/>
        <v>33.291999999999994</v>
      </c>
      <c r="H176" s="619" t="s">
        <v>9</v>
      </c>
      <c r="I176" s="619">
        <f t="shared" si="18"/>
        <v>5233.5559999999996</v>
      </c>
      <c r="J176" s="619">
        <f t="shared" si="19"/>
        <v>7529.5039999999999</v>
      </c>
      <c r="K176" s="631">
        <f t="shared" si="20"/>
        <v>243.2821647853323</v>
      </c>
      <c r="L176" s="540"/>
      <c r="M176" s="532"/>
      <c r="P176" s="499"/>
      <c r="Q176" s="387">
        <f t="shared" si="23"/>
        <v>241</v>
      </c>
      <c r="R176" s="517">
        <v>33.69</v>
      </c>
      <c r="S176" s="366" t="str">
        <f t="shared" si="21"/>
        <v>OK</v>
      </c>
    </row>
    <row r="177" spans="1:19" ht="13">
      <c r="A177" s="617">
        <f t="shared" si="24"/>
        <v>160</v>
      </c>
      <c r="B177" s="702" t="s">
        <v>98</v>
      </c>
      <c r="C177" s="702"/>
      <c r="D177" s="702"/>
      <c r="E177" s="618">
        <f>'7" 26# Deck Tally'!B160</f>
        <v>240</v>
      </c>
      <c r="F177" s="619">
        <f>'7" 26# Deck Tally'!C160</f>
        <v>33.869999999999997</v>
      </c>
      <c r="G177" s="619">
        <f t="shared" si="22"/>
        <v>33.471999999999994</v>
      </c>
      <c r="H177" s="619" t="s">
        <v>9</v>
      </c>
      <c r="I177" s="619">
        <f t="shared" si="18"/>
        <v>5267.0279999999993</v>
      </c>
      <c r="J177" s="619">
        <f t="shared" si="19"/>
        <v>7496.0320000000002</v>
      </c>
      <c r="K177" s="631">
        <f t="shared" si="20"/>
        <v>244.01946932925895</v>
      </c>
      <c r="L177" s="540"/>
      <c r="M177" s="532"/>
      <c r="P177" s="499"/>
      <c r="Q177" s="387">
        <f t="shared" si="23"/>
        <v>240</v>
      </c>
      <c r="R177" s="517">
        <v>33.869999999999997</v>
      </c>
      <c r="S177" s="366" t="str">
        <f t="shared" si="21"/>
        <v>OK</v>
      </c>
    </row>
    <row r="178" spans="1:19" ht="13">
      <c r="A178" s="617">
        <f t="shared" si="24"/>
        <v>161</v>
      </c>
      <c r="B178" s="702" t="s">
        <v>98</v>
      </c>
      <c r="C178" s="702"/>
      <c r="D178" s="702"/>
      <c r="E178" s="618">
        <f>'7" 26# Deck Tally'!B161</f>
        <v>239</v>
      </c>
      <c r="F178" s="619">
        <f>'7" 26# Deck Tally'!C161</f>
        <v>33.68</v>
      </c>
      <c r="G178" s="619">
        <f t="shared" si="22"/>
        <v>33.281999999999996</v>
      </c>
      <c r="H178" s="619" t="s">
        <v>9</v>
      </c>
      <c r="I178" s="619">
        <f t="shared" si="18"/>
        <v>5300.3099999999995</v>
      </c>
      <c r="J178" s="619">
        <f t="shared" si="19"/>
        <v>7462.75</v>
      </c>
      <c r="K178" s="631">
        <f t="shared" si="20"/>
        <v>244.75258864782276</v>
      </c>
      <c r="L178" s="540"/>
      <c r="M178" s="532"/>
      <c r="P178" s="499"/>
      <c r="Q178" s="387">
        <f t="shared" si="23"/>
        <v>239</v>
      </c>
      <c r="R178" s="517">
        <v>33.68</v>
      </c>
      <c r="S178" s="366" t="str">
        <f t="shared" si="21"/>
        <v>OK</v>
      </c>
    </row>
    <row r="179" spans="1:19" ht="13">
      <c r="A179" s="617">
        <f t="shared" si="24"/>
        <v>162</v>
      </c>
      <c r="B179" s="702" t="s">
        <v>98</v>
      </c>
      <c r="C179" s="702"/>
      <c r="D179" s="702"/>
      <c r="E179" s="618">
        <f>'7" 26# Deck Tally'!B162</f>
        <v>238</v>
      </c>
      <c r="F179" s="619">
        <f>'7" 26# Deck Tally'!C162</f>
        <v>33.33</v>
      </c>
      <c r="G179" s="619">
        <f t="shared" si="22"/>
        <v>32.931999999999995</v>
      </c>
      <c r="H179" s="619" t="s">
        <v>9</v>
      </c>
      <c r="I179" s="619">
        <f t="shared" si="18"/>
        <v>5333.2419999999993</v>
      </c>
      <c r="J179" s="619">
        <f t="shared" si="19"/>
        <v>7429.8180000000002</v>
      </c>
      <c r="K179" s="631">
        <f t="shared" si="20"/>
        <v>245.4779983407181</v>
      </c>
      <c r="L179" s="540"/>
      <c r="M179" s="532"/>
      <c r="P179" s="499"/>
      <c r="Q179" s="387">
        <f t="shared" si="23"/>
        <v>238</v>
      </c>
      <c r="R179" s="517">
        <v>33.33</v>
      </c>
      <c r="S179" s="366" t="str">
        <f t="shared" si="21"/>
        <v>OK</v>
      </c>
    </row>
    <row r="180" spans="1:19" ht="13">
      <c r="A180" s="617">
        <f t="shared" si="24"/>
        <v>163</v>
      </c>
      <c r="B180" s="702" t="s">
        <v>98</v>
      </c>
      <c r="C180" s="702"/>
      <c r="D180" s="702"/>
      <c r="E180" s="618">
        <f>'7" 26# Deck Tally'!B163</f>
        <v>237</v>
      </c>
      <c r="F180" s="619">
        <f>'7" 26# Deck Tally'!C163</f>
        <v>33.630000000000003</v>
      </c>
      <c r="G180" s="619">
        <f t="shared" si="22"/>
        <v>33.231999999999999</v>
      </c>
      <c r="H180" s="619" t="s">
        <v>9</v>
      </c>
      <c r="I180" s="619">
        <f t="shared" si="18"/>
        <v>5366.4739999999993</v>
      </c>
      <c r="J180" s="619">
        <f t="shared" si="19"/>
        <v>7396.5860000000002</v>
      </c>
      <c r="K180" s="631">
        <f t="shared" si="20"/>
        <v>246.21001628418639</v>
      </c>
      <c r="L180" s="540"/>
      <c r="M180" s="532"/>
      <c r="P180" s="499"/>
      <c r="Q180" s="387">
        <f t="shared" si="23"/>
        <v>237</v>
      </c>
      <c r="R180" s="517">
        <v>33.630000000000003</v>
      </c>
      <c r="S180" s="366" t="str">
        <f t="shared" si="21"/>
        <v>OK</v>
      </c>
    </row>
    <row r="181" spans="1:19" ht="13">
      <c r="A181" s="617">
        <f t="shared" si="24"/>
        <v>164</v>
      </c>
      <c r="B181" s="702" t="s">
        <v>98</v>
      </c>
      <c r="C181" s="702"/>
      <c r="D181" s="702"/>
      <c r="E181" s="618">
        <f>'7" 26# Deck Tally'!B164</f>
        <v>236</v>
      </c>
      <c r="F181" s="619">
        <f>'7" 26# Deck Tally'!C164</f>
        <v>33.869999999999997</v>
      </c>
      <c r="G181" s="619">
        <f t="shared" si="22"/>
        <v>33.471999999999994</v>
      </c>
      <c r="H181" s="619" t="s">
        <v>9</v>
      </c>
      <c r="I181" s="619">
        <f t="shared" si="18"/>
        <v>5399.945999999999</v>
      </c>
      <c r="J181" s="619">
        <f t="shared" si="19"/>
        <v>7363.1140000000005</v>
      </c>
      <c r="K181" s="631">
        <f t="shared" si="20"/>
        <v>246.94732082811305</v>
      </c>
      <c r="L181" s="540"/>
      <c r="M181" s="532"/>
      <c r="P181" s="499"/>
      <c r="Q181" s="387">
        <f t="shared" si="23"/>
        <v>236</v>
      </c>
      <c r="R181" s="517">
        <v>33.869999999999997</v>
      </c>
      <c r="S181" s="366" t="str">
        <f t="shared" si="21"/>
        <v>OK</v>
      </c>
    </row>
    <row r="182" spans="1:19" ht="13">
      <c r="A182" s="617">
        <f t="shared" si="24"/>
        <v>165</v>
      </c>
      <c r="B182" s="702" t="s">
        <v>98</v>
      </c>
      <c r="C182" s="702"/>
      <c r="D182" s="702"/>
      <c r="E182" s="618">
        <f>'7" 26# Deck Tally'!B165</f>
        <v>235</v>
      </c>
      <c r="F182" s="619">
        <f>'7" 26# Deck Tally'!C165</f>
        <v>33.32</v>
      </c>
      <c r="G182" s="619">
        <f t="shared" si="22"/>
        <v>32.921999999999997</v>
      </c>
      <c r="H182" s="619" t="s">
        <v>9</v>
      </c>
      <c r="I182" s="619">
        <f t="shared" si="18"/>
        <v>5432.8679999999986</v>
      </c>
      <c r="J182" s="619">
        <f t="shared" si="19"/>
        <v>7330.1920000000009</v>
      </c>
      <c r="K182" s="631">
        <f t="shared" si="20"/>
        <v>247.67251024598929</v>
      </c>
      <c r="L182" s="540"/>
      <c r="M182" s="532"/>
      <c r="P182" s="499"/>
      <c r="Q182" s="387">
        <f t="shared" si="23"/>
        <v>235</v>
      </c>
      <c r="R182" s="517">
        <v>33.32</v>
      </c>
      <c r="S182" s="366" t="str">
        <f t="shared" si="21"/>
        <v>OK</v>
      </c>
    </row>
    <row r="183" spans="1:19" ht="13">
      <c r="A183" s="617">
        <f t="shared" si="24"/>
        <v>166</v>
      </c>
      <c r="B183" s="702" t="s">
        <v>98</v>
      </c>
      <c r="C183" s="702"/>
      <c r="D183" s="702"/>
      <c r="E183" s="618">
        <f>'7" 26# Deck Tally'!B166</f>
        <v>234</v>
      </c>
      <c r="F183" s="619">
        <f>'7" 26# Deck Tally'!C166</f>
        <v>33.82</v>
      </c>
      <c r="G183" s="619">
        <f t="shared" si="22"/>
        <v>33.421999999999997</v>
      </c>
      <c r="H183" s="619" t="s">
        <v>9</v>
      </c>
      <c r="I183" s="619">
        <f t="shared" si="18"/>
        <v>5466.2899999999981</v>
      </c>
      <c r="J183" s="619">
        <f t="shared" si="19"/>
        <v>7296.7700000000013</v>
      </c>
      <c r="K183" s="631">
        <f t="shared" si="20"/>
        <v>248.40871341482045</v>
      </c>
      <c r="L183" s="540"/>
      <c r="M183" s="532"/>
      <c r="P183" s="499"/>
      <c r="Q183" s="387">
        <f t="shared" si="23"/>
        <v>234</v>
      </c>
      <c r="R183" s="517">
        <v>33.82</v>
      </c>
      <c r="S183" s="366" t="str">
        <f t="shared" si="21"/>
        <v>OK</v>
      </c>
    </row>
    <row r="184" spans="1:19" ht="13">
      <c r="A184" s="617">
        <f t="shared" si="24"/>
        <v>167</v>
      </c>
      <c r="B184" s="702" t="s">
        <v>98</v>
      </c>
      <c r="C184" s="702"/>
      <c r="D184" s="702"/>
      <c r="E184" s="618">
        <f>'7" 26# Deck Tally'!B167</f>
        <v>233</v>
      </c>
      <c r="F184" s="619">
        <f>'7" 26# Deck Tally'!C167</f>
        <v>33.5</v>
      </c>
      <c r="G184" s="619">
        <f t="shared" si="22"/>
        <v>33.101999999999997</v>
      </c>
      <c r="H184" s="619" t="s">
        <v>9</v>
      </c>
      <c r="I184" s="619">
        <f t="shared" si="18"/>
        <v>5499.391999999998</v>
      </c>
      <c r="J184" s="619">
        <f t="shared" si="19"/>
        <v>7263.6680000000015</v>
      </c>
      <c r="K184" s="631">
        <f t="shared" si="20"/>
        <v>249.13786778304046</v>
      </c>
      <c r="L184" s="540"/>
      <c r="M184" s="532"/>
      <c r="P184" s="499"/>
      <c r="Q184" s="387">
        <f t="shared" si="23"/>
        <v>233</v>
      </c>
      <c r="R184" s="517">
        <v>33.5</v>
      </c>
      <c r="S184" s="366" t="str">
        <f t="shared" si="21"/>
        <v>OK</v>
      </c>
    </row>
    <row r="185" spans="1:19" ht="13">
      <c r="A185" s="617">
        <f t="shared" si="24"/>
        <v>168</v>
      </c>
      <c r="B185" s="702" t="s">
        <v>98</v>
      </c>
      <c r="C185" s="702"/>
      <c r="D185" s="702"/>
      <c r="E185" s="618">
        <f>'7" 26# Deck Tally'!B168</f>
        <v>232</v>
      </c>
      <c r="F185" s="619">
        <f>'7" 26# Deck Tally'!C168</f>
        <v>33.53</v>
      </c>
      <c r="G185" s="619">
        <f t="shared" si="22"/>
        <v>33.131999999999998</v>
      </c>
      <c r="H185" s="619" t="s">
        <v>9</v>
      </c>
      <c r="I185" s="619">
        <f t="shared" si="18"/>
        <v>5532.5239999999976</v>
      </c>
      <c r="J185" s="619">
        <f t="shared" si="19"/>
        <v>7230.5360000000019</v>
      </c>
      <c r="K185" s="631">
        <f t="shared" si="20"/>
        <v>249.86768297631778</v>
      </c>
      <c r="L185" s="540"/>
      <c r="M185" s="532"/>
      <c r="P185" s="499"/>
      <c r="Q185" s="387">
        <f t="shared" si="23"/>
        <v>232</v>
      </c>
      <c r="R185" s="517">
        <v>33.53</v>
      </c>
      <c r="S185" s="366" t="str">
        <f t="shared" si="21"/>
        <v>OK</v>
      </c>
    </row>
    <row r="186" spans="1:19" ht="13">
      <c r="A186" s="617">
        <f t="shared" si="24"/>
        <v>169</v>
      </c>
      <c r="B186" s="702" t="s">
        <v>98</v>
      </c>
      <c r="C186" s="702"/>
      <c r="D186" s="702"/>
      <c r="E186" s="618">
        <f>'7" 26# Deck Tally'!B169</f>
        <v>231</v>
      </c>
      <c r="F186" s="619">
        <f>'7" 26# Deck Tally'!C169</f>
        <v>33.72</v>
      </c>
      <c r="G186" s="619">
        <f t="shared" si="22"/>
        <v>33.321999999999996</v>
      </c>
      <c r="H186" s="619" t="s">
        <v>9</v>
      </c>
      <c r="I186" s="619">
        <f t="shared" si="18"/>
        <v>5565.8459999999977</v>
      </c>
      <c r="J186" s="619">
        <f t="shared" si="19"/>
        <v>7197.2140000000018</v>
      </c>
      <c r="K186" s="631">
        <f t="shared" si="20"/>
        <v>250.60168339495792</v>
      </c>
      <c r="L186" s="540"/>
      <c r="M186" s="532"/>
      <c r="P186" s="499"/>
      <c r="Q186" s="387">
        <f t="shared" si="23"/>
        <v>231</v>
      </c>
      <c r="R186" s="517">
        <v>33.72</v>
      </c>
      <c r="S186" s="366" t="str">
        <f t="shared" si="21"/>
        <v>OK</v>
      </c>
    </row>
    <row r="187" spans="1:19" ht="13">
      <c r="A187" s="617">
        <f t="shared" si="24"/>
        <v>170</v>
      </c>
      <c r="B187" s="702" t="s">
        <v>98</v>
      </c>
      <c r="C187" s="702"/>
      <c r="D187" s="702"/>
      <c r="E187" s="618">
        <f>'7" 26# Deck Tally'!B170</f>
        <v>230</v>
      </c>
      <c r="F187" s="619">
        <f>'7" 26# Deck Tally'!C170</f>
        <v>33.94</v>
      </c>
      <c r="G187" s="619">
        <f t="shared" si="22"/>
        <v>33.541999999999994</v>
      </c>
      <c r="H187" s="619" t="s">
        <v>9</v>
      </c>
      <c r="I187" s="619">
        <f t="shared" si="18"/>
        <v>5599.3879999999981</v>
      </c>
      <c r="J187" s="619">
        <f t="shared" si="19"/>
        <v>7163.6720000000014</v>
      </c>
      <c r="K187" s="631">
        <f t="shared" si="20"/>
        <v>251.34052986401832</v>
      </c>
      <c r="L187" s="540"/>
      <c r="M187" s="532"/>
      <c r="P187" s="499"/>
      <c r="Q187" s="387">
        <f t="shared" si="23"/>
        <v>230</v>
      </c>
      <c r="R187" s="517">
        <v>33.94</v>
      </c>
      <c r="S187" s="366" t="str">
        <f t="shared" si="21"/>
        <v>OK</v>
      </c>
    </row>
    <row r="188" spans="1:19" ht="13">
      <c r="A188" s="617">
        <f t="shared" si="24"/>
        <v>171</v>
      </c>
      <c r="B188" s="702" t="s">
        <v>98</v>
      </c>
      <c r="C188" s="702"/>
      <c r="D188" s="702"/>
      <c r="E188" s="618">
        <f>'7" 26# Deck Tally'!B171</f>
        <v>229</v>
      </c>
      <c r="F188" s="619">
        <f>'7" 26# Deck Tally'!C171</f>
        <v>33.64</v>
      </c>
      <c r="G188" s="619">
        <f t="shared" si="22"/>
        <v>33.241999999999997</v>
      </c>
      <c r="H188" s="619" t="s">
        <v>9</v>
      </c>
      <c r="I188" s="619">
        <f t="shared" si="18"/>
        <v>5632.6299999999983</v>
      </c>
      <c r="J188" s="619">
        <f t="shared" si="19"/>
        <v>7130.4300000000012</v>
      </c>
      <c r="K188" s="631">
        <f t="shared" si="20"/>
        <v>252.07276808250569</v>
      </c>
      <c r="L188" s="540"/>
      <c r="M188" s="532"/>
      <c r="P188" s="499"/>
      <c r="Q188" s="387">
        <f t="shared" si="23"/>
        <v>229</v>
      </c>
      <c r="R188" s="517">
        <v>33.64</v>
      </c>
      <c r="S188" s="366" t="str">
        <f t="shared" si="21"/>
        <v>OK</v>
      </c>
    </row>
    <row r="189" spans="1:19" ht="13">
      <c r="A189" s="617">
        <f t="shared" si="24"/>
        <v>172</v>
      </c>
      <c r="B189" s="702" t="s">
        <v>98</v>
      </c>
      <c r="C189" s="702"/>
      <c r="D189" s="702"/>
      <c r="E189" s="618">
        <f>'7" 26# Deck Tally'!B172</f>
        <v>228</v>
      </c>
      <c r="F189" s="619">
        <f>'7" 26# Deck Tally'!C172</f>
        <v>33.85</v>
      </c>
      <c r="G189" s="619">
        <f t="shared" si="22"/>
        <v>33.451999999999998</v>
      </c>
      <c r="H189" s="619" t="s">
        <v>9</v>
      </c>
      <c r="I189" s="619">
        <f t="shared" si="18"/>
        <v>5666.0819999999985</v>
      </c>
      <c r="J189" s="619">
        <f t="shared" si="19"/>
        <v>7096.978000000001</v>
      </c>
      <c r="K189" s="631">
        <f t="shared" si="20"/>
        <v>252.80963207639417</v>
      </c>
      <c r="L189" s="540"/>
      <c r="M189" s="532"/>
      <c r="P189" s="499"/>
      <c r="Q189" s="387">
        <f t="shared" si="23"/>
        <v>228</v>
      </c>
      <c r="R189" s="517">
        <v>33.85</v>
      </c>
      <c r="S189" s="366" t="str">
        <f t="shared" si="21"/>
        <v>OK</v>
      </c>
    </row>
    <row r="190" spans="1:19" ht="13">
      <c r="A190" s="617">
        <f t="shared" si="24"/>
        <v>173</v>
      </c>
      <c r="B190" s="702" t="s">
        <v>98</v>
      </c>
      <c r="C190" s="702"/>
      <c r="D190" s="702"/>
      <c r="E190" s="618">
        <f>'7" 26# Deck Tally'!B173</f>
        <v>227</v>
      </c>
      <c r="F190" s="619">
        <f>'7" 26# Deck Tally'!C173</f>
        <v>33.82</v>
      </c>
      <c r="G190" s="619">
        <f t="shared" si="22"/>
        <v>33.421999999999997</v>
      </c>
      <c r="H190" s="619" t="s">
        <v>9</v>
      </c>
      <c r="I190" s="619">
        <f t="shared" si="18"/>
        <v>5699.5039999999981</v>
      </c>
      <c r="J190" s="619">
        <f t="shared" si="19"/>
        <v>7063.5560000000014</v>
      </c>
      <c r="K190" s="631">
        <f t="shared" si="20"/>
        <v>253.54583524522533</v>
      </c>
      <c r="L190" s="540"/>
      <c r="M190" s="532"/>
      <c r="P190" s="499"/>
      <c r="Q190" s="387">
        <f t="shared" si="23"/>
        <v>227</v>
      </c>
      <c r="R190" s="517">
        <v>33.82</v>
      </c>
      <c r="S190" s="366" t="str">
        <f t="shared" si="21"/>
        <v>OK</v>
      </c>
    </row>
    <row r="191" spans="1:19" ht="13">
      <c r="A191" s="617">
        <f t="shared" si="24"/>
        <v>174</v>
      </c>
      <c r="B191" s="702" t="s">
        <v>98</v>
      </c>
      <c r="C191" s="702"/>
      <c r="D191" s="702"/>
      <c r="E191" s="618">
        <f>'7" 26# Deck Tally'!B174</f>
        <v>226</v>
      </c>
      <c r="F191" s="619">
        <f>'7" 26# Deck Tally'!C174</f>
        <v>33.450000000000003</v>
      </c>
      <c r="G191" s="619">
        <f t="shared" si="22"/>
        <v>33.052</v>
      </c>
      <c r="H191" s="619" t="s">
        <v>9</v>
      </c>
      <c r="I191" s="619">
        <f t="shared" si="18"/>
        <v>5732.5559999999978</v>
      </c>
      <c r="J191" s="619">
        <f t="shared" si="19"/>
        <v>7030.5040000000017</v>
      </c>
      <c r="K191" s="631">
        <f t="shared" si="20"/>
        <v>254.27388823834985</v>
      </c>
      <c r="L191" s="540"/>
      <c r="M191" s="532"/>
      <c r="P191" s="499"/>
      <c r="Q191" s="387">
        <f t="shared" si="23"/>
        <v>226</v>
      </c>
      <c r="R191" s="517">
        <v>33.450000000000003</v>
      </c>
      <c r="S191" s="366" t="str">
        <f t="shared" si="21"/>
        <v>OK</v>
      </c>
    </row>
    <row r="192" spans="1:19" ht="13">
      <c r="A192" s="617">
        <f t="shared" si="24"/>
        <v>175</v>
      </c>
      <c r="B192" s="702" t="s">
        <v>98</v>
      </c>
      <c r="C192" s="702"/>
      <c r="D192" s="702"/>
      <c r="E192" s="618">
        <f>'7" 26# Deck Tally'!B175</f>
        <v>225</v>
      </c>
      <c r="F192" s="619">
        <f>'7" 26# Deck Tally'!C175</f>
        <v>33.4</v>
      </c>
      <c r="G192" s="619">
        <f t="shared" si="22"/>
        <v>33.001999999999995</v>
      </c>
      <c r="H192" s="619" t="s">
        <v>9</v>
      </c>
      <c r="I192" s="619">
        <f t="shared" si="18"/>
        <v>5765.5579999999982</v>
      </c>
      <c r="J192" s="619">
        <f t="shared" si="19"/>
        <v>6997.5020000000013</v>
      </c>
      <c r="K192" s="631">
        <f t="shared" si="20"/>
        <v>255.00083985637886</v>
      </c>
      <c r="L192" s="540"/>
      <c r="M192" s="532"/>
      <c r="P192" s="499"/>
      <c r="Q192" s="387">
        <f t="shared" si="23"/>
        <v>225</v>
      </c>
      <c r="R192" s="517">
        <v>33.4</v>
      </c>
      <c r="S192" s="366" t="str">
        <f t="shared" si="21"/>
        <v>OK</v>
      </c>
    </row>
    <row r="193" spans="1:19" ht="13">
      <c r="A193" s="617">
        <f t="shared" si="24"/>
        <v>176</v>
      </c>
      <c r="B193" s="702" t="s">
        <v>98</v>
      </c>
      <c r="C193" s="702"/>
      <c r="D193" s="702"/>
      <c r="E193" s="618">
        <f>'7" 26# Deck Tally'!B176</f>
        <v>224</v>
      </c>
      <c r="F193" s="619">
        <f>'7" 26# Deck Tally'!C176</f>
        <v>33.83</v>
      </c>
      <c r="G193" s="619">
        <f t="shared" si="22"/>
        <v>33.431999999999995</v>
      </c>
      <c r="H193" s="619" t="s">
        <v>9</v>
      </c>
      <c r="I193" s="619">
        <f t="shared" si="18"/>
        <v>5798.989999999998</v>
      </c>
      <c r="J193" s="619">
        <f t="shared" si="19"/>
        <v>6964.0700000000015</v>
      </c>
      <c r="K193" s="631">
        <f t="shared" si="20"/>
        <v>255.73726330022913</v>
      </c>
      <c r="L193" s="540"/>
      <c r="M193" s="532"/>
      <c r="P193" s="499"/>
      <c r="Q193" s="387">
        <f t="shared" si="23"/>
        <v>224</v>
      </c>
      <c r="R193" s="517">
        <v>33.83</v>
      </c>
      <c r="S193" s="366" t="str">
        <f t="shared" si="21"/>
        <v>OK</v>
      </c>
    </row>
    <row r="194" spans="1:19" ht="13">
      <c r="A194" s="617">
        <f t="shared" si="24"/>
        <v>177</v>
      </c>
      <c r="B194" s="702" t="s">
        <v>98</v>
      </c>
      <c r="C194" s="702"/>
      <c r="D194" s="702"/>
      <c r="E194" s="618">
        <f>'7" 26# Deck Tally'!B177</f>
        <v>223</v>
      </c>
      <c r="F194" s="619">
        <f>'7" 26# Deck Tally'!C177</f>
        <v>33.380000000000003</v>
      </c>
      <c r="G194" s="619">
        <f t="shared" si="22"/>
        <v>32.981999999999999</v>
      </c>
      <c r="H194" s="619" t="s">
        <v>9</v>
      </c>
      <c r="I194" s="619">
        <f t="shared" si="18"/>
        <v>5831.9719999999979</v>
      </c>
      <c r="J194" s="619">
        <f t="shared" si="19"/>
        <v>6931.0880000000016</v>
      </c>
      <c r="K194" s="631">
        <f t="shared" si="20"/>
        <v>256.46377436821996</v>
      </c>
      <c r="L194" s="540"/>
      <c r="M194" s="532"/>
      <c r="P194" s="499"/>
      <c r="Q194" s="387">
        <f t="shared" si="23"/>
        <v>223</v>
      </c>
      <c r="R194" s="517">
        <v>33.380000000000003</v>
      </c>
      <c r="S194" s="366" t="str">
        <f t="shared" si="21"/>
        <v>OK</v>
      </c>
    </row>
    <row r="195" spans="1:19" ht="13">
      <c r="A195" s="617">
        <f t="shared" si="24"/>
        <v>178</v>
      </c>
      <c r="B195" s="702" t="s">
        <v>98</v>
      </c>
      <c r="C195" s="702"/>
      <c r="D195" s="702"/>
      <c r="E195" s="618">
        <f>'7" 26# Deck Tally'!B178</f>
        <v>222</v>
      </c>
      <c r="F195" s="619">
        <f>'7" 26# Deck Tally'!C178</f>
        <v>33.33</v>
      </c>
      <c r="G195" s="619">
        <f t="shared" si="22"/>
        <v>32.931999999999995</v>
      </c>
      <c r="H195" s="619" t="s">
        <v>9</v>
      </c>
      <c r="I195" s="619">
        <f t="shared" si="18"/>
        <v>5864.9039999999977</v>
      </c>
      <c r="J195" s="619">
        <f t="shared" si="19"/>
        <v>6898.1560000000018</v>
      </c>
      <c r="K195" s="631">
        <f t="shared" si="20"/>
        <v>257.18918406111527</v>
      </c>
      <c r="L195" s="540"/>
      <c r="M195" s="532"/>
      <c r="P195" s="499"/>
      <c r="Q195" s="387">
        <f t="shared" si="23"/>
        <v>222</v>
      </c>
      <c r="R195" s="517">
        <v>33.33</v>
      </c>
      <c r="S195" s="366" t="str">
        <f t="shared" si="21"/>
        <v>OK</v>
      </c>
    </row>
    <row r="196" spans="1:19" ht="13">
      <c r="A196" s="617">
        <f t="shared" si="24"/>
        <v>179</v>
      </c>
      <c r="B196" s="702" t="s">
        <v>98</v>
      </c>
      <c r="C196" s="702"/>
      <c r="D196" s="702"/>
      <c r="E196" s="618">
        <f>'7" 26# Deck Tally'!B179</f>
        <v>221</v>
      </c>
      <c r="F196" s="619">
        <f>'7" 26# Deck Tally'!C179</f>
        <v>32.19</v>
      </c>
      <c r="G196" s="619">
        <f t="shared" si="22"/>
        <v>31.791999999999998</v>
      </c>
      <c r="H196" s="619" t="s">
        <v>9</v>
      </c>
      <c r="I196" s="619">
        <f t="shared" si="18"/>
        <v>5896.6959999999981</v>
      </c>
      <c r="J196" s="619">
        <f t="shared" si="19"/>
        <v>6866.3640000000014</v>
      </c>
      <c r="K196" s="631">
        <f t="shared" si="20"/>
        <v>257.88948240183345</v>
      </c>
      <c r="L196" s="540"/>
      <c r="M196" s="532"/>
      <c r="P196" s="499"/>
      <c r="Q196" s="387">
        <f t="shared" si="23"/>
        <v>221</v>
      </c>
      <c r="R196" s="517">
        <v>32.19</v>
      </c>
      <c r="S196" s="366" t="str">
        <f t="shared" si="21"/>
        <v>OK</v>
      </c>
    </row>
    <row r="197" spans="1:19" ht="13">
      <c r="A197" s="617">
        <f t="shared" si="24"/>
        <v>180</v>
      </c>
      <c r="B197" s="702" t="s">
        <v>98</v>
      </c>
      <c r="C197" s="702"/>
      <c r="D197" s="702"/>
      <c r="E197" s="618">
        <f>'7" 26# Deck Tally'!B180</f>
        <v>220</v>
      </c>
      <c r="F197" s="619">
        <f>'7" 26# Deck Tally'!C180</f>
        <v>33.53</v>
      </c>
      <c r="G197" s="619">
        <f t="shared" si="22"/>
        <v>33.131999999999998</v>
      </c>
      <c r="H197" s="619" t="s">
        <v>9</v>
      </c>
      <c r="I197" s="619">
        <f t="shared" si="18"/>
        <v>5929.8279999999977</v>
      </c>
      <c r="J197" s="619">
        <f t="shared" si="19"/>
        <v>6833.2320000000018</v>
      </c>
      <c r="K197" s="631">
        <f t="shared" si="20"/>
        <v>258.61929759511071</v>
      </c>
      <c r="L197" s="540"/>
      <c r="M197" s="532"/>
      <c r="P197" s="499"/>
      <c r="Q197" s="387">
        <f t="shared" si="23"/>
        <v>220</v>
      </c>
      <c r="R197" s="517">
        <v>33.53</v>
      </c>
      <c r="S197" s="366" t="str">
        <f t="shared" si="21"/>
        <v>OK</v>
      </c>
    </row>
    <row r="198" spans="1:19" ht="13">
      <c r="A198" s="617">
        <f t="shared" si="24"/>
        <v>181</v>
      </c>
      <c r="B198" s="702" t="s">
        <v>98</v>
      </c>
      <c r="C198" s="702"/>
      <c r="D198" s="702"/>
      <c r="E198" s="618">
        <f>'7" 26# Deck Tally'!B181</f>
        <v>219</v>
      </c>
      <c r="F198" s="619">
        <f>'7" 26# Deck Tally'!C181</f>
        <v>33.35</v>
      </c>
      <c r="G198" s="619">
        <f t="shared" si="22"/>
        <v>32.951999999999998</v>
      </c>
      <c r="H198" s="619" t="s">
        <v>9</v>
      </c>
      <c r="I198" s="619">
        <f t="shared" si="18"/>
        <v>5962.7799999999979</v>
      </c>
      <c r="J198" s="619">
        <f t="shared" si="19"/>
        <v>6800.2800000000016</v>
      </c>
      <c r="K198" s="631">
        <f t="shared" si="20"/>
        <v>259.34514783804428</v>
      </c>
      <c r="L198" s="540"/>
      <c r="M198" s="532"/>
      <c r="P198" s="499"/>
      <c r="Q198" s="387">
        <f t="shared" si="23"/>
        <v>219</v>
      </c>
      <c r="R198" s="517">
        <v>33.35</v>
      </c>
      <c r="S198" s="366" t="str">
        <f t="shared" si="21"/>
        <v>OK</v>
      </c>
    </row>
    <row r="199" spans="1:19" ht="13">
      <c r="A199" s="617">
        <f t="shared" si="24"/>
        <v>182</v>
      </c>
      <c r="B199" s="702" t="s">
        <v>98</v>
      </c>
      <c r="C199" s="702"/>
      <c r="D199" s="702"/>
      <c r="E199" s="618">
        <f>'7" 26# Deck Tally'!B182</f>
        <v>218</v>
      </c>
      <c r="F199" s="619">
        <f>'7" 26# Deck Tally'!C182</f>
        <v>33.47</v>
      </c>
      <c r="G199" s="619">
        <f t="shared" si="22"/>
        <v>33.071999999999996</v>
      </c>
      <c r="H199" s="619" t="s">
        <v>9</v>
      </c>
      <c r="I199" s="619">
        <f t="shared" si="18"/>
        <v>5995.851999999998</v>
      </c>
      <c r="J199" s="619">
        <f t="shared" si="19"/>
        <v>6767.2080000000014</v>
      </c>
      <c r="K199" s="631">
        <f t="shared" si="20"/>
        <v>260.07364138120698</v>
      </c>
      <c r="L199" s="540"/>
      <c r="M199" s="532"/>
      <c r="P199" s="499"/>
      <c r="Q199" s="387">
        <f t="shared" si="23"/>
        <v>218</v>
      </c>
      <c r="R199" s="517">
        <v>33.47</v>
      </c>
      <c r="S199" s="366" t="str">
        <f t="shared" si="21"/>
        <v>OK</v>
      </c>
    </row>
    <row r="200" spans="1:19" ht="13">
      <c r="A200" s="617">
        <f t="shared" si="24"/>
        <v>183</v>
      </c>
      <c r="B200" s="702" t="s">
        <v>98</v>
      </c>
      <c r="C200" s="702"/>
      <c r="D200" s="702"/>
      <c r="E200" s="618">
        <f>'7" 26# Deck Tally'!B183</f>
        <v>217</v>
      </c>
      <c r="F200" s="619">
        <f>'7" 26# Deck Tally'!C183</f>
        <v>33.33</v>
      </c>
      <c r="G200" s="619">
        <f t="shared" si="22"/>
        <v>32.931999999999995</v>
      </c>
      <c r="H200" s="619" t="s">
        <v>9</v>
      </c>
      <c r="I200" s="619">
        <f t="shared" si="18"/>
        <v>6028.7839999999978</v>
      </c>
      <c r="J200" s="619">
        <f t="shared" si="19"/>
        <v>6734.2760000000017</v>
      </c>
      <c r="K200" s="631">
        <f t="shared" si="20"/>
        <v>260.79905107410229</v>
      </c>
      <c r="L200" s="540"/>
      <c r="M200" s="532"/>
      <c r="P200" s="499"/>
      <c r="Q200" s="387">
        <f t="shared" si="23"/>
        <v>217</v>
      </c>
      <c r="R200" s="517">
        <v>33.33</v>
      </c>
      <c r="S200" s="366" t="str">
        <f t="shared" si="21"/>
        <v>OK</v>
      </c>
    </row>
    <row r="201" spans="1:19" ht="13">
      <c r="A201" s="617">
        <f t="shared" si="24"/>
        <v>184</v>
      </c>
      <c r="B201" s="702" t="s">
        <v>98</v>
      </c>
      <c r="C201" s="702"/>
      <c r="D201" s="702"/>
      <c r="E201" s="618">
        <f>'7" 26# Deck Tally'!B184</f>
        <v>216</v>
      </c>
      <c r="F201" s="619">
        <f>'7" 26# Deck Tally'!C184</f>
        <v>33.56</v>
      </c>
      <c r="G201" s="619">
        <f t="shared" si="22"/>
        <v>33.161999999999999</v>
      </c>
      <c r="H201" s="619" t="s">
        <v>9</v>
      </c>
      <c r="I201" s="619">
        <f t="shared" si="18"/>
        <v>6061.9459999999981</v>
      </c>
      <c r="J201" s="619">
        <f t="shared" si="19"/>
        <v>6701.1140000000014</v>
      </c>
      <c r="K201" s="631">
        <f t="shared" si="20"/>
        <v>261.52952709243698</v>
      </c>
      <c r="L201" s="540"/>
      <c r="M201" s="532"/>
      <c r="P201" s="499"/>
      <c r="Q201" s="387">
        <f t="shared" si="23"/>
        <v>216</v>
      </c>
      <c r="R201" s="517">
        <v>33.56</v>
      </c>
      <c r="S201" s="366" t="str">
        <f t="shared" si="21"/>
        <v>OK</v>
      </c>
    </row>
    <row r="202" spans="1:19" ht="13">
      <c r="A202" s="617">
        <f t="shared" si="24"/>
        <v>185</v>
      </c>
      <c r="B202" s="702" t="s">
        <v>98</v>
      </c>
      <c r="C202" s="702"/>
      <c r="D202" s="702"/>
      <c r="E202" s="618">
        <f>'7" 26# Deck Tally'!B185</f>
        <v>215</v>
      </c>
      <c r="F202" s="619">
        <f>'7" 26# Deck Tally'!C185</f>
        <v>33.57</v>
      </c>
      <c r="G202" s="619">
        <f t="shared" si="22"/>
        <v>33.171999999999997</v>
      </c>
      <c r="H202" s="619" t="s">
        <v>9</v>
      </c>
      <c r="I202" s="619">
        <f t="shared" si="18"/>
        <v>6095.1179999999977</v>
      </c>
      <c r="J202" s="619">
        <f t="shared" si="19"/>
        <v>6667.9420000000018</v>
      </c>
      <c r="K202" s="631">
        <f t="shared" si="20"/>
        <v>262.2602233857906</v>
      </c>
      <c r="L202" s="540"/>
      <c r="M202" s="532"/>
      <c r="P202" s="499"/>
      <c r="Q202" s="387">
        <f t="shared" si="23"/>
        <v>215</v>
      </c>
      <c r="R202" s="517">
        <v>33.57</v>
      </c>
      <c r="S202" s="366" t="str">
        <f t="shared" si="21"/>
        <v>OK</v>
      </c>
    </row>
    <row r="203" spans="1:19" ht="13">
      <c r="A203" s="617">
        <f t="shared" si="24"/>
        <v>186</v>
      </c>
      <c r="B203" s="702" t="s">
        <v>98</v>
      </c>
      <c r="C203" s="702"/>
      <c r="D203" s="702"/>
      <c r="E203" s="618">
        <f>'7" 26# Deck Tally'!B186</f>
        <v>214</v>
      </c>
      <c r="F203" s="619">
        <f>'7" 26# Deck Tally'!C186</f>
        <v>33.49</v>
      </c>
      <c r="G203" s="619">
        <f t="shared" si="22"/>
        <v>33.091999999999999</v>
      </c>
      <c r="H203" s="619" t="s">
        <v>9</v>
      </c>
      <c r="I203" s="619">
        <f t="shared" si="18"/>
        <v>6128.2099999999973</v>
      </c>
      <c r="J203" s="619">
        <f t="shared" si="19"/>
        <v>6634.8500000000022</v>
      </c>
      <c r="K203" s="631">
        <f t="shared" si="20"/>
        <v>262.98915747899156</v>
      </c>
      <c r="L203" s="540"/>
      <c r="M203" s="532"/>
      <c r="P203" s="499"/>
      <c r="Q203" s="387">
        <f t="shared" si="23"/>
        <v>214</v>
      </c>
      <c r="R203" s="517">
        <v>33.49</v>
      </c>
      <c r="S203" s="366" t="str">
        <f t="shared" si="21"/>
        <v>OK</v>
      </c>
    </row>
    <row r="204" spans="1:19" ht="13">
      <c r="A204" s="617">
        <f t="shared" si="24"/>
        <v>187</v>
      </c>
      <c r="B204" s="702" t="s">
        <v>98</v>
      </c>
      <c r="C204" s="702"/>
      <c r="D204" s="702"/>
      <c r="E204" s="618">
        <f>'7" 26# Deck Tally'!B187</f>
        <v>213</v>
      </c>
      <c r="F204" s="619">
        <f>'7" 26# Deck Tally'!C187</f>
        <v>33.51</v>
      </c>
      <c r="G204" s="619">
        <f t="shared" si="22"/>
        <v>33.111999999999995</v>
      </c>
      <c r="H204" s="619" t="s">
        <v>9</v>
      </c>
      <c r="I204" s="619">
        <f t="shared" si="18"/>
        <v>6161.3219999999974</v>
      </c>
      <c r="J204" s="619">
        <f t="shared" si="19"/>
        <v>6601.7380000000021</v>
      </c>
      <c r="K204" s="631">
        <f t="shared" si="20"/>
        <v>263.71853212223061</v>
      </c>
      <c r="L204" s="540"/>
      <c r="M204" s="532"/>
      <c r="P204" s="499"/>
      <c r="Q204" s="387">
        <f t="shared" si="23"/>
        <v>213</v>
      </c>
      <c r="R204" s="517">
        <v>33.51</v>
      </c>
      <c r="S204" s="366" t="str">
        <f t="shared" si="21"/>
        <v>OK</v>
      </c>
    </row>
    <row r="205" spans="1:19" ht="13">
      <c r="A205" s="617">
        <f t="shared" si="24"/>
        <v>188</v>
      </c>
      <c r="B205" s="702" t="s">
        <v>98</v>
      </c>
      <c r="C205" s="702"/>
      <c r="D205" s="702"/>
      <c r="E205" s="618">
        <f>'7" 26# Deck Tally'!B188</f>
        <v>212</v>
      </c>
      <c r="F205" s="619">
        <f>'7" 26# Deck Tally'!C188</f>
        <v>33.409999999999997</v>
      </c>
      <c r="G205" s="619">
        <f t="shared" si="22"/>
        <v>33.011999999999993</v>
      </c>
      <c r="H205" s="619" t="s">
        <v>9</v>
      </c>
      <c r="I205" s="619">
        <f t="shared" ref="I205:I268" si="25">IF(H205="IN",I204+G205,I204)</f>
        <v>6194.3339999999971</v>
      </c>
      <c r="J205" s="619">
        <f t="shared" si="19"/>
        <v>6568.7260000000024</v>
      </c>
      <c r="K205" s="631">
        <f t="shared" si="20"/>
        <v>264.44570401527881</v>
      </c>
      <c r="L205" s="540"/>
      <c r="M205" s="532"/>
      <c r="P205" s="499"/>
      <c r="Q205" s="387">
        <f t="shared" si="23"/>
        <v>212</v>
      </c>
      <c r="R205" s="517">
        <v>33.409999999999997</v>
      </c>
      <c r="S205" s="366" t="str">
        <f t="shared" si="21"/>
        <v>OK</v>
      </c>
    </row>
    <row r="206" spans="1:19" ht="13">
      <c r="A206" s="617">
        <f t="shared" si="24"/>
        <v>189</v>
      </c>
      <c r="B206" s="702" t="s">
        <v>98</v>
      </c>
      <c r="C206" s="702"/>
      <c r="D206" s="702"/>
      <c r="E206" s="618">
        <f>'7" 26# Deck Tally'!B189</f>
        <v>211</v>
      </c>
      <c r="F206" s="619">
        <f>'7" 26# Deck Tally'!C189</f>
        <v>33.94</v>
      </c>
      <c r="G206" s="619">
        <f t="shared" si="22"/>
        <v>33.541999999999994</v>
      </c>
      <c r="H206" s="619" t="s">
        <v>9</v>
      </c>
      <c r="I206" s="619">
        <f t="shared" si="25"/>
        <v>6227.8759999999975</v>
      </c>
      <c r="J206" s="619">
        <f t="shared" si="19"/>
        <v>6535.184000000002</v>
      </c>
      <c r="K206" s="631">
        <f t="shared" si="20"/>
        <v>265.18455048433913</v>
      </c>
      <c r="L206" s="540"/>
      <c r="M206" s="532"/>
      <c r="P206" s="499"/>
      <c r="Q206" s="387">
        <f t="shared" si="23"/>
        <v>211</v>
      </c>
      <c r="R206" s="517">
        <v>33.94</v>
      </c>
      <c r="S206" s="366" t="str">
        <f t="shared" si="21"/>
        <v>OK</v>
      </c>
    </row>
    <row r="207" spans="1:19" ht="13">
      <c r="A207" s="617">
        <f t="shared" si="24"/>
        <v>190</v>
      </c>
      <c r="B207" s="702" t="s">
        <v>98</v>
      </c>
      <c r="C207" s="702"/>
      <c r="D207" s="702"/>
      <c r="E207" s="618">
        <f>'7" 26# Deck Tally'!B190</f>
        <v>210</v>
      </c>
      <c r="F207" s="619">
        <f>'7" 26# Deck Tally'!C190</f>
        <v>33.549999999999997</v>
      </c>
      <c r="G207" s="619">
        <f t="shared" si="22"/>
        <v>33.151999999999994</v>
      </c>
      <c r="H207" s="619" t="s">
        <v>9</v>
      </c>
      <c r="I207" s="619">
        <f t="shared" si="25"/>
        <v>6261.0279999999975</v>
      </c>
      <c r="J207" s="619">
        <f t="shared" si="19"/>
        <v>6502.032000000002</v>
      </c>
      <c r="K207" s="631">
        <f t="shared" si="20"/>
        <v>265.91480622765465</v>
      </c>
      <c r="L207" s="540"/>
      <c r="M207" s="532"/>
      <c r="P207" s="499"/>
      <c r="Q207" s="387">
        <f t="shared" si="23"/>
        <v>210</v>
      </c>
      <c r="R207" s="517">
        <v>33.549999999999997</v>
      </c>
      <c r="S207" s="366" t="str">
        <f t="shared" si="21"/>
        <v>OK</v>
      </c>
    </row>
    <row r="208" spans="1:19" ht="13">
      <c r="A208" s="617">
        <f t="shared" si="24"/>
        <v>191</v>
      </c>
      <c r="B208" s="702" t="s">
        <v>98</v>
      </c>
      <c r="C208" s="702"/>
      <c r="D208" s="702"/>
      <c r="E208" s="618">
        <f>'7" 26# Deck Tally'!B191</f>
        <v>209</v>
      </c>
      <c r="F208" s="619">
        <f>'7" 26# Deck Tally'!C191</f>
        <v>33.61</v>
      </c>
      <c r="G208" s="619">
        <f t="shared" si="22"/>
        <v>33.211999999999996</v>
      </c>
      <c r="H208" s="619" t="s">
        <v>9</v>
      </c>
      <c r="I208" s="619">
        <f t="shared" si="25"/>
        <v>6294.239999999998</v>
      </c>
      <c r="J208" s="619">
        <f t="shared" ref="J208:J271" si="26">IF(I208="","",$L$6-I208)</f>
        <v>6468.8200000000015</v>
      </c>
      <c r="K208" s="631">
        <f t="shared" ref="K208:K271" si="27">$H$6+(I208*$F$7*$H$8/1000)</f>
        <v>266.64638362108474</v>
      </c>
      <c r="L208" s="540"/>
      <c r="M208" s="532"/>
      <c r="P208" s="499"/>
      <c r="Q208" s="387">
        <f t="shared" si="23"/>
        <v>209</v>
      </c>
      <c r="R208" s="517">
        <v>33.61</v>
      </c>
      <c r="S208" s="366" t="str">
        <f t="shared" ref="S208:S271" si="28">IF(F208-R208=0,"OK","FALSE")</f>
        <v>OK</v>
      </c>
    </row>
    <row r="209" spans="1:19" ht="13">
      <c r="A209" s="617">
        <f t="shared" si="24"/>
        <v>192</v>
      </c>
      <c r="B209" s="702" t="s">
        <v>98</v>
      </c>
      <c r="C209" s="702"/>
      <c r="D209" s="702"/>
      <c r="E209" s="618">
        <f>'7" 26# Deck Tally'!B192</f>
        <v>208</v>
      </c>
      <c r="F209" s="619">
        <f>'7" 26# Deck Tally'!C192</f>
        <v>33.58</v>
      </c>
      <c r="G209" s="619">
        <f t="shared" si="22"/>
        <v>33.181999999999995</v>
      </c>
      <c r="H209" s="619" t="s">
        <v>9</v>
      </c>
      <c r="I209" s="619">
        <f t="shared" si="25"/>
        <v>6327.4219999999978</v>
      </c>
      <c r="J209" s="619">
        <f t="shared" si="26"/>
        <v>6435.6380000000017</v>
      </c>
      <c r="K209" s="631">
        <f t="shared" si="27"/>
        <v>267.37730018945757</v>
      </c>
      <c r="L209" s="540"/>
      <c r="M209" s="532"/>
      <c r="P209" s="499"/>
      <c r="Q209" s="387">
        <f t="shared" si="23"/>
        <v>208</v>
      </c>
      <c r="R209" s="517">
        <v>33.58</v>
      </c>
      <c r="S209" s="366" t="str">
        <f t="shared" si="28"/>
        <v>OK</v>
      </c>
    </row>
    <row r="210" spans="1:19" ht="13">
      <c r="A210" s="617">
        <f t="shared" si="24"/>
        <v>193</v>
      </c>
      <c r="B210" s="702" t="s">
        <v>98</v>
      </c>
      <c r="C210" s="702"/>
      <c r="D210" s="702"/>
      <c r="E210" s="618">
        <f>'7" 26# Deck Tally'!B193</f>
        <v>207</v>
      </c>
      <c r="F210" s="619">
        <f>'7" 26# Deck Tally'!C193</f>
        <v>33.840000000000003</v>
      </c>
      <c r="G210" s="619">
        <f t="shared" si="22"/>
        <v>33.442</v>
      </c>
      <c r="H210" s="619" t="s">
        <v>9</v>
      </c>
      <c r="I210" s="619">
        <f t="shared" si="25"/>
        <v>6360.8639999999978</v>
      </c>
      <c r="J210" s="619">
        <f t="shared" si="26"/>
        <v>6402.1960000000017</v>
      </c>
      <c r="K210" s="631">
        <f t="shared" si="27"/>
        <v>268.11394390832697</v>
      </c>
      <c r="L210" s="540"/>
      <c r="M210" s="532"/>
      <c r="P210" s="499"/>
      <c r="Q210" s="387">
        <f t="shared" si="23"/>
        <v>207</v>
      </c>
      <c r="R210" s="517">
        <v>33.840000000000003</v>
      </c>
      <c r="S210" s="366" t="str">
        <f t="shared" si="28"/>
        <v>OK</v>
      </c>
    </row>
    <row r="211" spans="1:19" ht="13">
      <c r="A211" s="617">
        <f t="shared" si="24"/>
        <v>194</v>
      </c>
      <c r="B211" s="702" t="s">
        <v>98</v>
      </c>
      <c r="C211" s="702"/>
      <c r="D211" s="702"/>
      <c r="E211" s="618">
        <f>'7" 26# Deck Tally'!B194</f>
        <v>206</v>
      </c>
      <c r="F211" s="619">
        <f>'7" 26# Deck Tally'!C194</f>
        <v>33.22</v>
      </c>
      <c r="G211" s="619">
        <f t="shared" si="22"/>
        <v>32.821999999999996</v>
      </c>
      <c r="H211" s="619" t="s">
        <v>9</v>
      </c>
      <c r="I211" s="619">
        <f t="shared" si="25"/>
        <v>6393.6859999999979</v>
      </c>
      <c r="J211" s="619">
        <f t="shared" si="26"/>
        <v>6369.3740000000016</v>
      </c>
      <c r="K211" s="631">
        <f t="shared" si="27"/>
        <v>268.83693057601215</v>
      </c>
      <c r="L211" s="540"/>
      <c r="M211" s="532"/>
      <c r="P211" s="499"/>
      <c r="Q211" s="387">
        <f t="shared" si="23"/>
        <v>206</v>
      </c>
      <c r="R211" s="517">
        <v>33.22</v>
      </c>
      <c r="S211" s="366" t="str">
        <f t="shared" si="28"/>
        <v>OK</v>
      </c>
    </row>
    <row r="212" spans="1:19" ht="13">
      <c r="A212" s="617">
        <f t="shared" si="24"/>
        <v>195</v>
      </c>
      <c r="B212" s="702" t="s">
        <v>98</v>
      </c>
      <c r="C212" s="702"/>
      <c r="D212" s="702"/>
      <c r="E212" s="618">
        <f>'7" 26# Deck Tally'!B195</f>
        <v>205</v>
      </c>
      <c r="F212" s="619">
        <f>'7" 26# Deck Tally'!C195</f>
        <v>33.659999999999997</v>
      </c>
      <c r="G212" s="619">
        <f t="shared" si="22"/>
        <v>33.261999999999993</v>
      </c>
      <c r="H212" s="619" t="s">
        <v>9</v>
      </c>
      <c r="I212" s="619">
        <f t="shared" si="25"/>
        <v>6426.9479999999976</v>
      </c>
      <c r="J212" s="619">
        <f t="shared" si="26"/>
        <v>6336.1120000000019</v>
      </c>
      <c r="K212" s="631">
        <f t="shared" si="27"/>
        <v>269.56960934453775</v>
      </c>
      <c r="L212" s="540"/>
      <c r="M212" s="532"/>
      <c r="P212" s="499"/>
      <c r="Q212" s="387">
        <f t="shared" si="23"/>
        <v>205</v>
      </c>
      <c r="R212" s="517">
        <v>33.659999999999997</v>
      </c>
      <c r="S212" s="366" t="str">
        <f t="shared" si="28"/>
        <v>OK</v>
      </c>
    </row>
    <row r="213" spans="1:19" ht="13">
      <c r="A213" s="617">
        <f t="shared" si="24"/>
        <v>196</v>
      </c>
      <c r="B213" s="702" t="s">
        <v>98</v>
      </c>
      <c r="C213" s="702"/>
      <c r="D213" s="702"/>
      <c r="E213" s="618">
        <f>'7" 26# Deck Tally'!B196</f>
        <v>204</v>
      </c>
      <c r="F213" s="619">
        <f>'7" 26# Deck Tally'!C196</f>
        <v>33.56</v>
      </c>
      <c r="G213" s="619">
        <f t="shared" ref="G213:G276" si="29">F213-($F$9)</f>
        <v>33.161999999999999</v>
      </c>
      <c r="H213" s="619" t="s">
        <v>9</v>
      </c>
      <c r="I213" s="619">
        <f t="shared" si="25"/>
        <v>6460.1099999999979</v>
      </c>
      <c r="J213" s="619">
        <f t="shared" si="26"/>
        <v>6302.9500000000016</v>
      </c>
      <c r="K213" s="631">
        <f t="shared" si="27"/>
        <v>270.30008536287244</v>
      </c>
      <c r="L213" s="540"/>
      <c r="M213" s="532"/>
      <c r="P213" s="499"/>
      <c r="Q213" s="387">
        <f t="shared" ref="Q213:Q276" si="30">E213</f>
        <v>204</v>
      </c>
      <c r="R213" s="517">
        <v>33.56</v>
      </c>
      <c r="S213" s="366" t="str">
        <f t="shared" si="28"/>
        <v>OK</v>
      </c>
    </row>
    <row r="214" spans="1:19" ht="13">
      <c r="A214" s="617">
        <f t="shared" si="24"/>
        <v>197</v>
      </c>
      <c r="B214" s="702" t="s">
        <v>98</v>
      </c>
      <c r="C214" s="702"/>
      <c r="D214" s="702"/>
      <c r="E214" s="618">
        <f>'7" 26# Deck Tally'!B197</f>
        <v>203</v>
      </c>
      <c r="F214" s="619">
        <f>'7" 26# Deck Tally'!C197</f>
        <v>33.85</v>
      </c>
      <c r="G214" s="619">
        <f t="shared" si="29"/>
        <v>33.451999999999998</v>
      </c>
      <c r="H214" s="619" t="s">
        <v>9</v>
      </c>
      <c r="I214" s="619">
        <f t="shared" si="25"/>
        <v>6493.5619999999981</v>
      </c>
      <c r="J214" s="619">
        <f t="shared" si="26"/>
        <v>6269.4980000000014</v>
      </c>
      <c r="K214" s="631">
        <f t="shared" si="27"/>
        <v>271.03694935676083</v>
      </c>
      <c r="L214" s="540"/>
      <c r="M214" s="532"/>
      <c r="P214" s="499"/>
      <c r="Q214" s="387">
        <f t="shared" si="30"/>
        <v>203</v>
      </c>
      <c r="R214" s="517">
        <v>33.85</v>
      </c>
      <c r="S214" s="366" t="str">
        <f t="shared" si="28"/>
        <v>OK</v>
      </c>
    </row>
    <row r="215" spans="1:19" ht="13">
      <c r="A215" s="617">
        <f t="shared" ref="A215:A278" si="31">A214+1</f>
        <v>198</v>
      </c>
      <c r="B215" s="702" t="s">
        <v>98</v>
      </c>
      <c r="C215" s="702"/>
      <c r="D215" s="702"/>
      <c r="E215" s="618">
        <f>'7" 26# Deck Tally'!B198</f>
        <v>202</v>
      </c>
      <c r="F215" s="619">
        <f>'7" 26# Deck Tally'!C198</f>
        <v>33.79</v>
      </c>
      <c r="G215" s="619">
        <f t="shared" si="29"/>
        <v>33.391999999999996</v>
      </c>
      <c r="H215" s="619" t="s">
        <v>9</v>
      </c>
      <c r="I215" s="619">
        <f t="shared" si="25"/>
        <v>6526.9539999999979</v>
      </c>
      <c r="J215" s="619">
        <f t="shared" si="26"/>
        <v>6236.1060000000016</v>
      </c>
      <c r="K215" s="631">
        <f t="shared" si="27"/>
        <v>271.77249170053472</v>
      </c>
      <c r="L215" s="540"/>
      <c r="M215" s="532"/>
      <c r="P215" s="499"/>
      <c r="Q215" s="387">
        <f t="shared" si="30"/>
        <v>202</v>
      </c>
      <c r="R215" s="517">
        <v>33.79</v>
      </c>
      <c r="S215" s="366" t="str">
        <f t="shared" si="28"/>
        <v>OK</v>
      </c>
    </row>
    <row r="216" spans="1:19" ht="13">
      <c r="A216" s="617">
        <f t="shared" si="31"/>
        <v>199</v>
      </c>
      <c r="B216" s="702" t="s">
        <v>98</v>
      </c>
      <c r="C216" s="702"/>
      <c r="D216" s="702"/>
      <c r="E216" s="618">
        <f>'7" 26# Deck Tally'!B199</f>
        <v>201</v>
      </c>
      <c r="F216" s="619">
        <f>'7" 26# Deck Tally'!C199</f>
        <v>33.479999999999997</v>
      </c>
      <c r="G216" s="619">
        <f t="shared" si="29"/>
        <v>33.081999999999994</v>
      </c>
      <c r="H216" s="619" t="s">
        <v>9</v>
      </c>
      <c r="I216" s="619">
        <f t="shared" si="25"/>
        <v>6560.0359999999982</v>
      </c>
      <c r="J216" s="619">
        <f t="shared" si="26"/>
        <v>6203.0240000000013</v>
      </c>
      <c r="K216" s="631">
        <f t="shared" si="27"/>
        <v>272.50120551871657</v>
      </c>
      <c r="L216" s="540"/>
      <c r="M216" s="532"/>
      <c r="P216" s="499"/>
      <c r="Q216" s="387">
        <f t="shared" si="30"/>
        <v>201</v>
      </c>
      <c r="R216" s="517">
        <v>33.479999999999997</v>
      </c>
      <c r="S216" s="366" t="str">
        <f t="shared" si="28"/>
        <v>OK</v>
      </c>
    </row>
    <row r="217" spans="1:19" ht="13">
      <c r="A217" s="617">
        <f t="shared" si="31"/>
        <v>200</v>
      </c>
      <c r="B217" s="702" t="s">
        <v>98</v>
      </c>
      <c r="C217" s="702"/>
      <c r="D217" s="702"/>
      <c r="E217" s="618">
        <f>'7" 26# Deck Tally'!B200</f>
        <v>200</v>
      </c>
      <c r="F217" s="619">
        <f>'7" 26# Deck Tally'!C200</f>
        <v>33.380000000000003</v>
      </c>
      <c r="G217" s="619">
        <f t="shared" si="29"/>
        <v>32.981999999999999</v>
      </c>
      <c r="H217" s="619" t="s">
        <v>9</v>
      </c>
      <c r="I217" s="619">
        <f t="shared" si="25"/>
        <v>6593.0179999999982</v>
      </c>
      <c r="J217" s="619">
        <f t="shared" si="26"/>
        <v>6170.0420000000013</v>
      </c>
      <c r="K217" s="631">
        <f t="shared" si="27"/>
        <v>273.2277165867074</v>
      </c>
      <c r="L217" s="540"/>
      <c r="M217" s="532"/>
      <c r="P217" s="499"/>
      <c r="Q217" s="387">
        <f t="shared" si="30"/>
        <v>200</v>
      </c>
      <c r="R217" s="517">
        <v>33.380000000000003</v>
      </c>
      <c r="S217" s="366" t="str">
        <f t="shared" si="28"/>
        <v>OK</v>
      </c>
    </row>
    <row r="218" spans="1:19" ht="13">
      <c r="A218" s="617">
        <f t="shared" si="31"/>
        <v>201</v>
      </c>
      <c r="B218" s="702" t="s">
        <v>98</v>
      </c>
      <c r="C218" s="702"/>
      <c r="D218" s="702"/>
      <c r="E218" s="618">
        <f>'7" 26# Deck Tally'!B201</f>
        <v>199</v>
      </c>
      <c r="F218" s="619">
        <f>'7" 26# Deck Tally'!C201</f>
        <v>33.75</v>
      </c>
      <c r="G218" s="619">
        <f t="shared" si="29"/>
        <v>33.351999999999997</v>
      </c>
      <c r="H218" s="619" t="s">
        <v>9</v>
      </c>
      <c r="I218" s="619">
        <f t="shared" si="25"/>
        <v>6626.3699999999981</v>
      </c>
      <c r="J218" s="619">
        <f t="shared" si="26"/>
        <v>6136.6900000000014</v>
      </c>
      <c r="K218" s="631">
        <f t="shared" si="27"/>
        <v>273.96237783040488</v>
      </c>
      <c r="L218" s="540"/>
      <c r="M218" s="532"/>
      <c r="P218" s="499"/>
      <c r="Q218" s="387">
        <f t="shared" si="30"/>
        <v>199</v>
      </c>
      <c r="R218" s="517">
        <v>33.75</v>
      </c>
      <c r="S218" s="366" t="str">
        <f t="shared" si="28"/>
        <v>OK</v>
      </c>
    </row>
    <row r="219" spans="1:19" ht="13">
      <c r="A219" s="617">
        <f t="shared" si="31"/>
        <v>202</v>
      </c>
      <c r="B219" s="702" t="s">
        <v>98</v>
      </c>
      <c r="C219" s="702"/>
      <c r="D219" s="702"/>
      <c r="E219" s="618">
        <f>'7" 26# Deck Tally'!B202</f>
        <v>198</v>
      </c>
      <c r="F219" s="619">
        <f>'7" 26# Deck Tally'!C202</f>
        <v>33.31</v>
      </c>
      <c r="G219" s="619">
        <f t="shared" si="29"/>
        <v>32.911999999999999</v>
      </c>
      <c r="H219" s="619" t="s">
        <v>9</v>
      </c>
      <c r="I219" s="619">
        <f t="shared" si="25"/>
        <v>6659.2819999999983</v>
      </c>
      <c r="J219" s="619">
        <f t="shared" si="26"/>
        <v>6103.7780000000012</v>
      </c>
      <c r="K219" s="631">
        <f t="shared" si="27"/>
        <v>274.68734697326204</v>
      </c>
      <c r="L219" s="540"/>
      <c r="M219" s="532"/>
      <c r="P219" s="499"/>
      <c r="Q219" s="387">
        <f t="shared" si="30"/>
        <v>198</v>
      </c>
      <c r="R219" s="517">
        <v>33.31</v>
      </c>
      <c r="S219" s="366" t="str">
        <f t="shared" si="28"/>
        <v>OK</v>
      </c>
    </row>
    <row r="220" spans="1:19" ht="13">
      <c r="A220" s="617">
        <f t="shared" si="31"/>
        <v>203</v>
      </c>
      <c r="B220" s="702" t="s">
        <v>98</v>
      </c>
      <c r="C220" s="702"/>
      <c r="D220" s="702"/>
      <c r="E220" s="618">
        <f>'7" 26# Deck Tally'!B203</f>
        <v>197</v>
      </c>
      <c r="F220" s="619">
        <f>'7" 26# Deck Tally'!C203</f>
        <v>33.229999999999997</v>
      </c>
      <c r="G220" s="619">
        <f t="shared" si="29"/>
        <v>32.831999999999994</v>
      </c>
      <c r="H220" s="619" t="s">
        <v>9</v>
      </c>
      <c r="I220" s="619">
        <f t="shared" si="25"/>
        <v>6692.1139999999987</v>
      </c>
      <c r="J220" s="619">
        <f t="shared" si="26"/>
        <v>6070.9460000000008</v>
      </c>
      <c r="K220" s="631">
        <f t="shared" si="27"/>
        <v>275.41055391596637</v>
      </c>
      <c r="L220" s="540"/>
      <c r="M220" s="532"/>
      <c r="P220" s="499"/>
      <c r="Q220" s="387">
        <f t="shared" si="30"/>
        <v>197</v>
      </c>
      <c r="R220" s="517">
        <v>33.229999999999997</v>
      </c>
      <c r="S220" s="366" t="str">
        <f t="shared" si="28"/>
        <v>OK</v>
      </c>
    </row>
    <row r="221" spans="1:19" ht="13">
      <c r="A221" s="617">
        <f t="shared" si="31"/>
        <v>204</v>
      </c>
      <c r="B221" s="702" t="s">
        <v>98</v>
      </c>
      <c r="C221" s="702"/>
      <c r="D221" s="702"/>
      <c r="E221" s="618">
        <f>'7" 26# Deck Tally'!B204</f>
        <v>196</v>
      </c>
      <c r="F221" s="619">
        <f>'7" 26# Deck Tally'!C204</f>
        <v>33.450000000000003</v>
      </c>
      <c r="G221" s="619">
        <f t="shared" si="29"/>
        <v>33.052</v>
      </c>
      <c r="H221" s="619" t="s">
        <v>9</v>
      </c>
      <c r="I221" s="619">
        <f t="shared" si="25"/>
        <v>6725.1659999999983</v>
      </c>
      <c r="J221" s="619">
        <f t="shared" si="26"/>
        <v>6037.8940000000011</v>
      </c>
      <c r="K221" s="631">
        <f t="shared" si="27"/>
        <v>276.13860690909087</v>
      </c>
      <c r="L221" s="540"/>
      <c r="M221" s="532"/>
      <c r="P221" s="499"/>
      <c r="Q221" s="387">
        <f t="shared" si="30"/>
        <v>196</v>
      </c>
      <c r="R221" s="517">
        <v>33.450000000000003</v>
      </c>
      <c r="S221" s="366" t="str">
        <f t="shared" si="28"/>
        <v>OK</v>
      </c>
    </row>
    <row r="222" spans="1:19" ht="13">
      <c r="A222" s="617">
        <f t="shared" si="31"/>
        <v>205</v>
      </c>
      <c r="B222" s="702" t="s">
        <v>98</v>
      </c>
      <c r="C222" s="702"/>
      <c r="D222" s="702"/>
      <c r="E222" s="618">
        <f>'7" 26# Deck Tally'!B205</f>
        <v>195</v>
      </c>
      <c r="F222" s="619">
        <f>'7" 26# Deck Tally'!C205</f>
        <v>33.56</v>
      </c>
      <c r="G222" s="619">
        <f t="shared" si="29"/>
        <v>33.161999999999999</v>
      </c>
      <c r="H222" s="619" t="s">
        <v>9</v>
      </c>
      <c r="I222" s="619">
        <f t="shared" si="25"/>
        <v>6758.3279999999986</v>
      </c>
      <c r="J222" s="619">
        <f t="shared" si="26"/>
        <v>6004.7320000000009</v>
      </c>
      <c r="K222" s="631">
        <f t="shared" si="27"/>
        <v>276.86908292742544</v>
      </c>
      <c r="L222" s="540"/>
      <c r="M222" s="532"/>
      <c r="P222" s="499"/>
      <c r="Q222" s="387">
        <f t="shared" si="30"/>
        <v>195</v>
      </c>
      <c r="R222" s="517">
        <v>33.56</v>
      </c>
      <c r="S222" s="366" t="str">
        <f t="shared" si="28"/>
        <v>OK</v>
      </c>
    </row>
    <row r="223" spans="1:19" ht="13">
      <c r="A223" s="617">
        <f t="shared" si="31"/>
        <v>206</v>
      </c>
      <c r="B223" s="702" t="s">
        <v>98</v>
      </c>
      <c r="C223" s="702"/>
      <c r="D223" s="702"/>
      <c r="E223" s="618">
        <f>'7" 26# Deck Tally'!B206</f>
        <v>194</v>
      </c>
      <c r="F223" s="619">
        <f>'7" 26# Deck Tally'!C206</f>
        <v>33.590000000000003</v>
      </c>
      <c r="G223" s="619">
        <f t="shared" si="29"/>
        <v>33.192</v>
      </c>
      <c r="H223" s="619" t="s">
        <v>9</v>
      </c>
      <c r="I223" s="619">
        <f t="shared" si="25"/>
        <v>6791.5199999999986</v>
      </c>
      <c r="J223" s="619">
        <f t="shared" si="26"/>
        <v>5971.5400000000009</v>
      </c>
      <c r="K223" s="631">
        <f t="shared" si="27"/>
        <v>277.60021977081738</v>
      </c>
      <c r="L223" s="540"/>
      <c r="M223" s="532"/>
      <c r="P223" s="499"/>
      <c r="Q223" s="387">
        <f t="shared" si="30"/>
        <v>194</v>
      </c>
      <c r="R223" s="517">
        <v>33.590000000000003</v>
      </c>
      <c r="S223" s="366" t="str">
        <f t="shared" si="28"/>
        <v>OK</v>
      </c>
    </row>
    <row r="224" spans="1:19" ht="13">
      <c r="A224" s="617">
        <f t="shared" si="31"/>
        <v>207</v>
      </c>
      <c r="B224" s="702" t="s">
        <v>98</v>
      </c>
      <c r="C224" s="702"/>
      <c r="D224" s="702"/>
      <c r="E224" s="618">
        <f>'7" 26# Deck Tally'!B207</f>
        <v>193</v>
      </c>
      <c r="F224" s="619">
        <f>'7" 26# Deck Tally'!C207</f>
        <v>33.299999999999997</v>
      </c>
      <c r="G224" s="619">
        <f t="shared" si="29"/>
        <v>32.901999999999994</v>
      </c>
      <c r="H224" s="619" t="s">
        <v>9</v>
      </c>
      <c r="I224" s="619">
        <f t="shared" si="25"/>
        <v>6824.4219999999987</v>
      </c>
      <c r="J224" s="619">
        <f t="shared" si="26"/>
        <v>5938.6380000000008</v>
      </c>
      <c r="K224" s="631">
        <f t="shared" si="27"/>
        <v>278.32496863865538</v>
      </c>
      <c r="L224" s="540"/>
      <c r="M224" s="532"/>
      <c r="P224" s="499"/>
      <c r="Q224" s="387">
        <f t="shared" si="30"/>
        <v>193</v>
      </c>
      <c r="R224" s="517">
        <v>33.299999999999997</v>
      </c>
      <c r="S224" s="366" t="str">
        <f t="shared" si="28"/>
        <v>OK</v>
      </c>
    </row>
    <row r="225" spans="1:19" ht="13">
      <c r="A225" s="617">
        <f t="shared" si="31"/>
        <v>208</v>
      </c>
      <c r="B225" s="702" t="s">
        <v>98</v>
      </c>
      <c r="C225" s="702"/>
      <c r="D225" s="702"/>
      <c r="E225" s="618">
        <f>'7" 26# Deck Tally'!B208</f>
        <v>192</v>
      </c>
      <c r="F225" s="619">
        <f>'7" 26# Deck Tally'!C208</f>
        <v>33.28</v>
      </c>
      <c r="G225" s="619">
        <f t="shared" si="29"/>
        <v>32.881999999999998</v>
      </c>
      <c r="H225" s="619" t="s">
        <v>9</v>
      </c>
      <c r="I225" s="619">
        <f t="shared" si="25"/>
        <v>6857.3039999999983</v>
      </c>
      <c r="J225" s="619">
        <f t="shared" si="26"/>
        <v>5905.7560000000012</v>
      </c>
      <c r="K225" s="631">
        <f t="shared" si="27"/>
        <v>279.04927695645529</v>
      </c>
      <c r="L225" s="540"/>
      <c r="M225" s="532"/>
      <c r="P225" s="499"/>
      <c r="Q225" s="387">
        <f t="shared" si="30"/>
        <v>192</v>
      </c>
      <c r="R225" s="517">
        <v>33.28</v>
      </c>
      <c r="S225" s="366" t="str">
        <f t="shared" si="28"/>
        <v>OK</v>
      </c>
    </row>
    <row r="226" spans="1:19" ht="13">
      <c r="A226" s="617">
        <f t="shared" si="31"/>
        <v>209</v>
      </c>
      <c r="B226" s="702" t="s">
        <v>98</v>
      </c>
      <c r="C226" s="702"/>
      <c r="D226" s="702"/>
      <c r="E226" s="618">
        <f>'7" 26# Deck Tally'!B209</f>
        <v>191</v>
      </c>
      <c r="F226" s="619">
        <f>'7" 26# Deck Tally'!C209</f>
        <v>33.450000000000003</v>
      </c>
      <c r="G226" s="619">
        <f t="shared" si="29"/>
        <v>33.052</v>
      </c>
      <c r="H226" s="619" t="s">
        <v>9</v>
      </c>
      <c r="I226" s="619">
        <f t="shared" si="25"/>
        <v>6890.3559999999979</v>
      </c>
      <c r="J226" s="619">
        <f t="shared" si="26"/>
        <v>5872.7040000000015</v>
      </c>
      <c r="K226" s="631">
        <f t="shared" si="27"/>
        <v>279.77732994957978</v>
      </c>
      <c r="L226" s="540"/>
      <c r="M226" s="532"/>
      <c r="P226" s="499"/>
      <c r="Q226" s="387">
        <f t="shared" si="30"/>
        <v>191</v>
      </c>
      <c r="R226" s="517">
        <v>33.450000000000003</v>
      </c>
      <c r="S226" s="366" t="str">
        <f t="shared" si="28"/>
        <v>OK</v>
      </c>
    </row>
    <row r="227" spans="1:19" ht="13">
      <c r="A227" s="617">
        <f t="shared" si="31"/>
        <v>210</v>
      </c>
      <c r="B227" s="702" t="s">
        <v>98</v>
      </c>
      <c r="C227" s="702"/>
      <c r="D227" s="702"/>
      <c r="E227" s="618">
        <f>'7" 26# Deck Tally'!B210</f>
        <v>190</v>
      </c>
      <c r="F227" s="619">
        <f>'7" 26# Deck Tally'!C210</f>
        <v>31.77</v>
      </c>
      <c r="G227" s="619">
        <f t="shared" si="29"/>
        <v>31.372</v>
      </c>
      <c r="H227" s="619" t="s">
        <v>9</v>
      </c>
      <c r="I227" s="619">
        <f t="shared" si="25"/>
        <v>6921.7279999999982</v>
      </c>
      <c r="J227" s="619">
        <f t="shared" si="26"/>
        <v>5841.3320000000012</v>
      </c>
      <c r="K227" s="631">
        <f t="shared" si="27"/>
        <v>280.46837673949574</v>
      </c>
      <c r="L227" s="540"/>
      <c r="M227" s="532"/>
      <c r="P227" s="499"/>
      <c r="Q227" s="387">
        <f t="shared" si="30"/>
        <v>190</v>
      </c>
      <c r="R227" s="517">
        <v>31.77</v>
      </c>
      <c r="S227" s="366" t="str">
        <f t="shared" si="28"/>
        <v>OK</v>
      </c>
    </row>
    <row r="228" spans="1:19" ht="13">
      <c r="A228" s="617">
        <f t="shared" si="31"/>
        <v>211</v>
      </c>
      <c r="B228" s="702" t="s">
        <v>98</v>
      </c>
      <c r="C228" s="702"/>
      <c r="D228" s="702"/>
      <c r="E228" s="618">
        <f>'7" 26# Deck Tally'!B211</f>
        <v>189</v>
      </c>
      <c r="F228" s="619">
        <f>'7" 26# Deck Tally'!C211</f>
        <v>33.04</v>
      </c>
      <c r="G228" s="619">
        <f t="shared" si="29"/>
        <v>32.641999999999996</v>
      </c>
      <c r="H228" s="619" t="s">
        <v>9</v>
      </c>
      <c r="I228" s="619">
        <f t="shared" si="25"/>
        <v>6954.3699999999981</v>
      </c>
      <c r="J228" s="619">
        <f t="shared" si="26"/>
        <v>5808.6900000000014</v>
      </c>
      <c r="K228" s="631">
        <f t="shared" si="27"/>
        <v>281.18739845683723</v>
      </c>
      <c r="L228" s="540"/>
      <c r="M228" s="532"/>
      <c r="P228" s="499"/>
      <c r="Q228" s="387">
        <f t="shared" si="30"/>
        <v>189</v>
      </c>
      <c r="R228" s="517">
        <v>33.04</v>
      </c>
      <c r="S228" s="366" t="str">
        <f t="shared" si="28"/>
        <v>OK</v>
      </c>
    </row>
    <row r="229" spans="1:19" ht="13">
      <c r="A229" s="617">
        <f t="shared" si="31"/>
        <v>212</v>
      </c>
      <c r="B229" s="702" t="s">
        <v>98</v>
      </c>
      <c r="C229" s="702"/>
      <c r="D229" s="702"/>
      <c r="E229" s="618">
        <f>'7" 26# Deck Tally'!B212</f>
        <v>188</v>
      </c>
      <c r="F229" s="619">
        <f>'7" 26# Deck Tally'!C212</f>
        <v>33.78</v>
      </c>
      <c r="G229" s="619">
        <f t="shared" si="29"/>
        <v>33.381999999999998</v>
      </c>
      <c r="H229" s="619" t="s">
        <v>9</v>
      </c>
      <c r="I229" s="619">
        <f t="shared" si="25"/>
        <v>6987.7519999999977</v>
      </c>
      <c r="J229" s="619">
        <f t="shared" si="26"/>
        <v>5775.3080000000018</v>
      </c>
      <c r="K229" s="631">
        <f t="shared" si="27"/>
        <v>281.92272052559201</v>
      </c>
      <c r="L229" s="540"/>
      <c r="M229" s="532"/>
      <c r="P229" s="499"/>
      <c r="Q229" s="387">
        <f t="shared" si="30"/>
        <v>188</v>
      </c>
      <c r="R229" s="517">
        <v>33.78</v>
      </c>
      <c r="S229" s="366" t="str">
        <f t="shared" si="28"/>
        <v>OK</v>
      </c>
    </row>
    <row r="230" spans="1:19" ht="13">
      <c r="A230" s="617">
        <f t="shared" si="31"/>
        <v>213</v>
      </c>
      <c r="B230" s="702" t="s">
        <v>98</v>
      </c>
      <c r="C230" s="702"/>
      <c r="D230" s="702"/>
      <c r="E230" s="618">
        <f>'7" 26# Deck Tally'!B213</f>
        <v>187</v>
      </c>
      <c r="F230" s="619">
        <f>'7" 26# Deck Tally'!C213</f>
        <v>33.119999999999997</v>
      </c>
      <c r="G230" s="619">
        <f t="shared" si="29"/>
        <v>32.721999999999994</v>
      </c>
      <c r="H230" s="619" t="s">
        <v>9</v>
      </c>
      <c r="I230" s="619">
        <f t="shared" si="25"/>
        <v>7020.4739999999974</v>
      </c>
      <c r="J230" s="619">
        <f t="shared" si="26"/>
        <v>5742.5860000000021</v>
      </c>
      <c r="K230" s="631">
        <f t="shared" si="27"/>
        <v>282.64350444308627</v>
      </c>
      <c r="L230" s="710"/>
      <c r="M230" s="711"/>
      <c r="P230" s="499"/>
      <c r="Q230" s="387">
        <f t="shared" si="30"/>
        <v>187</v>
      </c>
      <c r="R230" s="517">
        <v>33.119999999999997</v>
      </c>
      <c r="S230" s="366" t="str">
        <f t="shared" si="28"/>
        <v>OK</v>
      </c>
    </row>
    <row r="231" spans="1:19" ht="13">
      <c r="A231" s="617">
        <f t="shared" si="31"/>
        <v>214</v>
      </c>
      <c r="B231" s="702" t="s">
        <v>98</v>
      </c>
      <c r="C231" s="702"/>
      <c r="D231" s="702"/>
      <c r="E231" s="618">
        <f>'7" 26# Deck Tally'!B214</f>
        <v>186</v>
      </c>
      <c r="F231" s="619">
        <f>'7" 26# Deck Tally'!C214</f>
        <v>33.130000000000003</v>
      </c>
      <c r="G231" s="619">
        <f t="shared" si="29"/>
        <v>32.731999999999999</v>
      </c>
      <c r="H231" s="619" t="s">
        <v>9</v>
      </c>
      <c r="I231" s="619">
        <f t="shared" si="25"/>
        <v>7053.2059999999974</v>
      </c>
      <c r="J231" s="619">
        <f t="shared" si="26"/>
        <v>5709.8540000000021</v>
      </c>
      <c r="K231" s="631">
        <f t="shared" si="27"/>
        <v>283.36450863559963</v>
      </c>
      <c r="L231" s="383"/>
      <c r="M231" s="384"/>
      <c r="P231" s="499"/>
      <c r="Q231" s="387">
        <f t="shared" si="30"/>
        <v>186</v>
      </c>
      <c r="R231" s="517">
        <v>33.130000000000003</v>
      </c>
      <c r="S231" s="366" t="str">
        <f t="shared" si="28"/>
        <v>OK</v>
      </c>
    </row>
    <row r="232" spans="1:19" ht="13">
      <c r="A232" s="617">
        <f t="shared" si="31"/>
        <v>215</v>
      </c>
      <c r="B232" s="702" t="s">
        <v>98</v>
      </c>
      <c r="C232" s="702"/>
      <c r="D232" s="702"/>
      <c r="E232" s="618">
        <f>'7" 26# Deck Tally'!B215</f>
        <v>185</v>
      </c>
      <c r="F232" s="619">
        <f>'7" 26# Deck Tally'!C215</f>
        <v>32.909999999999997</v>
      </c>
      <c r="G232" s="619">
        <f t="shared" si="29"/>
        <v>32.511999999999993</v>
      </c>
      <c r="H232" s="619" t="s">
        <v>9</v>
      </c>
      <c r="I232" s="619">
        <f t="shared" si="25"/>
        <v>7085.7179999999971</v>
      </c>
      <c r="J232" s="619">
        <f t="shared" si="26"/>
        <v>5677.3420000000024</v>
      </c>
      <c r="K232" s="631">
        <f t="shared" si="27"/>
        <v>284.08066677769284</v>
      </c>
      <c r="L232" s="710"/>
      <c r="M232" s="711"/>
      <c r="P232" s="499"/>
      <c r="Q232" s="387">
        <f t="shared" si="30"/>
        <v>185</v>
      </c>
      <c r="R232" s="517">
        <v>32.909999999999997</v>
      </c>
      <c r="S232" s="366" t="str">
        <f t="shared" si="28"/>
        <v>OK</v>
      </c>
    </row>
    <row r="233" spans="1:19" ht="13">
      <c r="A233" s="617">
        <f t="shared" si="31"/>
        <v>216</v>
      </c>
      <c r="B233" s="702" t="s">
        <v>98</v>
      </c>
      <c r="C233" s="702"/>
      <c r="D233" s="702"/>
      <c r="E233" s="618">
        <f>'7" 26# Deck Tally'!B216</f>
        <v>184</v>
      </c>
      <c r="F233" s="619">
        <f>'7" 26# Deck Tally'!C216</f>
        <v>33.35</v>
      </c>
      <c r="G233" s="619">
        <f t="shared" si="29"/>
        <v>32.951999999999998</v>
      </c>
      <c r="H233" s="619" t="s">
        <v>9</v>
      </c>
      <c r="I233" s="619">
        <f t="shared" si="25"/>
        <v>7118.6699999999973</v>
      </c>
      <c r="J233" s="619">
        <f t="shared" si="26"/>
        <v>5644.3900000000021</v>
      </c>
      <c r="K233" s="631">
        <f t="shared" si="27"/>
        <v>284.80651702062636</v>
      </c>
      <c r="L233" s="383"/>
      <c r="M233" s="384"/>
      <c r="P233" s="499"/>
      <c r="Q233" s="387">
        <f t="shared" si="30"/>
        <v>184</v>
      </c>
      <c r="R233" s="517">
        <v>33.35</v>
      </c>
      <c r="S233" s="366" t="str">
        <f t="shared" si="28"/>
        <v>OK</v>
      </c>
    </row>
    <row r="234" spans="1:19" ht="13">
      <c r="A234" s="617">
        <f t="shared" si="31"/>
        <v>217</v>
      </c>
      <c r="B234" s="702" t="s">
        <v>98</v>
      </c>
      <c r="C234" s="702"/>
      <c r="D234" s="702"/>
      <c r="E234" s="618">
        <f>'7" 26# Deck Tally'!B217</f>
        <v>183</v>
      </c>
      <c r="F234" s="619">
        <f>'7" 26# Deck Tally'!C217</f>
        <v>33.020000000000003</v>
      </c>
      <c r="G234" s="619">
        <f t="shared" si="29"/>
        <v>32.622</v>
      </c>
      <c r="H234" s="619" t="s">
        <v>9</v>
      </c>
      <c r="I234" s="619">
        <f t="shared" si="25"/>
        <v>7151.2919999999976</v>
      </c>
      <c r="J234" s="619">
        <f t="shared" si="26"/>
        <v>5611.7680000000018</v>
      </c>
      <c r="K234" s="631">
        <f t="shared" si="27"/>
        <v>285.52509818792964</v>
      </c>
      <c r="L234" s="383"/>
      <c r="M234" s="384"/>
      <c r="P234" s="499"/>
      <c r="Q234" s="387">
        <f t="shared" si="30"/>
        <v>183</v>
      </c>
      <c r="R234" s="517">
        <v>33.020000000000003</v>
      </c>
      <c r="S234" s="366" t="str">
        <f t="shared" si="28"/>
        <v>OK</v>
      </c>
    </row>
    <row r="235" spans="1:19" ht="13">
      <c r="A235" s="617">
        <f t="shared" si="31"/>
        <v>218</v>
      </c>
      <c r="B235" s="702" t="s">
        <v>98</v>
      </c>
      <c r="C235" s="702"/>
      <c r="D235" s="702"/>
      <c r="E235" s="618">
        <f>'7" 26# Deck Tally'!B218</f>
        <v>182</v>
      </c>
      <c r="F235" s="619">
        <f>'7" 26# Deck Tally'!C218</f>
        <v>32.770000000000003</v>
      </c>
      <c r="G235" s="619">
        <f t="shared" si="29"/>
        <v>32.372</v>
      </c>
      <c r="H235" s="619" t="s">
        <v>9</v>
      </c>
      <c r="I235" s="619">
        <f t="shared" si="25"/>
        <v>7183.6639999999979</v>
      </c>
      <c r="J235" s="619">
        <f t="shared" si="26"/>
        <v>5579.3960000000015</v>
      </c>
      <c r="K235" s="631">
        <f t="shared" si="27"/>
        <v>286.23817247975546</v>
      </c>
      <c r="L235" s="383"/>
      <c r="M235" s="384"/>
      <c r="P235" s="499"/>
      <c r="Q235" s="387">
        <f t="shared" si="30"/>
        <v>182</v>
      </c>
      <c r="R235" s="517">
        <v>32.770000000000003</v>
      </c>
      <c r="S235" s="366" t="str">
        <f t="shared" si="28"/>
        <v>OK</v>
      </c>
    </row>
    <row r="236" spans="1:19" ht="13">
      <c r="A236" s="617">
        <f t="shared" si="31"/>
        <v>219</v>
      </c>
      <c r="B236" s="702" t="s">
        <v>98</v>
      </c>
      <c r="C236" s="702"/>
      <c r="D236" s="702"/>
      <c r="E236" s="618">
        <f>'7" 26# Deck Tally'!B219</f>
        <v>181</v>
      </c>
      <c r="F236" s="619">
        <f>'7" 26# Deck Tally'!C219</f>
        <v>33.24</v>
      </c>
      <c r="G236" s="619">
        <f t="shared" si="29"/>
        <v>32.841999999999999</v>
      </c>
      <c r="H236" s="619" t="s">
        <v>9</v>
      </c>
      <c r="I236" s="619">
        <f t="shared" si="25"/>
        <v>7216.5059999999976</v>
      </c>
      <c r="J236" s="619">
        <f t="shared" si="26"/>
        <v>5546.5540000000019</v>
      </c>
      <c r="K236" s="631">
        <f t="shared" si="27"/>
        <v>286.96159969747896</v>
      </c>
      <c r="L236" s="438"/>
      <c r="M236" s="431"/>
      <c r="P236" s="499"/>
      <c r="Q236" s="387">
        <f t="shared" si="30"/>
        <v>181</v>
      </c>
      <c r="R236" s="517">
        <v>33.24</v>
      </c>
      <c r="S236" s="366" t="str">
        <f t="shared" si="28"/>
        <v>OK</v>
      </c>
    </row>
    <row r="237" spans="1:19" ht="13">
      <c r="A237" s="617">
        <f t="shared" si="31"/>
        <v>220</v>
      </c>
      <c r="B237" s="702" t="s">
        <v>98</v>
      </c>
      <c r="C237" s="702"/>
      <c r="D237" s="702"/>
      <c r="E237" s="618">
        <f>'7" 26# Deck Tally'!B220</f>
        <v>180</v>
      </c>
      <c r="F237" s="619">
        <f>'7" 26# Deck Tally'!C220</f>
        <v>31.37</v>
      </c>
      <c r="G237" s="619">
        <f t="shared" si="29"/>
        <v>30.972000000000001</v>
      </c>
      <c r="H237" s="619" t="s">
        <v>9</v>
      </c>
      <c r="I237" s="619">
        <f t="shared" si="25"/>
        <v>7247.4779999999973</v>
      </c>
      <c r="J237" s="619">
        <f t="shared" si="26"/>
        <v>5515.5820000000022</v>
      </c>
      <c r="K237" s="631">
        <f t="shared" si="27"/>
        <v>287.64383548663096</v>
      </c>
      <c r="L237" s="282"/>
      <c r="M237" s="220"/>
      <c r="P237" s="499"/>
      <c r="Q237" s="387">
        <f t="shared" si="30"/>
        <v>180</v>
      </c>
      <c r="R237" s="517">
        <v>31.37</v>
      </c>
      <c r="S237" s="366" t="str">
        <f t="shared" si="28"/>
        <v>OK</v>
      </c>
    </row>
    <row r="238" spans="1:19" ht="13">
      <c r="A238" s="617">
        <f t="shared" si="31"/>
        <v>221</v>
      </c>
      <c r="B238" s="702" t="s">
        <v>98</v>
      </c>
      <c r="C238" s="702"/>
      <c r="D238" s="702"/>
      <c r="E238" s="618">
        <f>'7" 26# Deck Tally'!B221</f>
        <v>179</v>
      </c>
      <c r="F238" s="619">
        <f>'7" 26# Deck Tally'!C221</f>
        <v>33.299999999999997</v>
      </c>
      <c r="G238" s="619">
        <f t="shared" si="29"/>
        <v>32.901999999999994</v>
      </c>
      <c r="H238" s="619" t="s">
        <v>9</v>
      </c>
      <c r="I238" s="619">
        <f t="shared" si="25"/>
        <v>7280.3799999999974</v>
      </c>
      <c r="J238" s="619">
        <f t="shared" si="26"/>
        <v>5482.6800000000021</v>
      </c>
      <c r="K238" s="631">
        <f t="shared" si="27"/>
        <v>288.36858435446902</v>
      </c>
      <c r="L238" s="282"/>
      <c r="M238" s="220"/>
      <c r="P238" s="499"/>
      <c r="Q238" s="387">
        <f t="shared" si="30"/>
        <v>179</v>
      </c>
      <c r="R238" s="517">
        <v>33.299999999999997</v>
      </c>
      <c r="S238" s="366" t="str">
        <f t="shared" si="28"/>
        <v>OK</v>
      </c>
    </row>
    <row r="239" spans="1:19" ht="13">
      <c r="A239" s="617">
        <f t="shared" si="31"/>
        <v>222</v>
      </c>
      <c r="B239" s="702" t="s">
        <v>98</v>
      </c>
      <c r="C239" s="702"/>
      <c r="D239" s="702"/>
      <c r="E239" s="618">
        <f>'7" 26# Deck Tally'!B222</f>
        <v>178</v>
      </c>
      <c r="F239" s="619">
        <f>'7" 26# Deck Tally'!C222</f>
        <v>33.22</v>
      </c>
      <c r="G239" s="619">
        <f t="shared" si="29"/>
        <v>32.821999999999996</v>
      </c>
      <c r="H239" s="619" t="s">
        <v>9</v>
      </c>
      <c r="I239" s="619">
        <f t="shared" si="25"/>
        <v>7313.2019999999975</v>
      </c>
      <c r="J239" s="619">
        <f t="shared" si="26"/>
        <v>5449.858000000002</v>
      </c>
      <c r="K239" s="631">
        <f t="shared" si="27"/>
        <v>289.0915710221542</v>
      </c>
      <c r="L239" s="282"/>
      <c r="M239" s="220"/>
      <c r="P239" s="499"/>
      <c r="Q239" s="387">
        <f t="shared" si="30"/>
        <v>178</v>
      </c>
      <c r="R239" s="517">
        <v>33.22</v>
      </c>
      <c r="S239" s="366" t="str">
        <f t="shared" si="28"/>
        <v>OK</v>
      </c>
    </row>
    <row r="240" spans="1:19" ht="13">
      <c r="A240" s="617">
        <f t="shared" si="31"/>
        <v>223</v>
      </c>
      <c r="B240" s="702" t="s">
        <v>98</v>
      </c>
      <c r="C240" s="702"/>
      <c r="D240" s="702"/>
      <c r="E240" s="618">
        <f>'7" 26# Deck Tally'!B223</f>
        <v>177</v>
      </c>
      <c r="F240" s="619">
        <f>'7" 26# Deck Tally'!C223</f>
        <v>33.450000000000003</v>
      </c>
      <c r="G240" s="619">
        <f t="shared" si="29"/>
        <v>33.052</v>
      </c>
      <c r="H240" s="619" t="s">
        <v>9</v>
      </c>
      <c r="I240" s="619">
        <f t="shared" si="25"/>
        <v>7346.2539999999972</v>
      </c>
      <c r="J240" s="619">
        <f t="shared" si="26"/>
        <v>5416.8060000000023</v>
      </c>
      <c r="K240" s="631">
        <f t="shared" si="27"/>
        <v>289.81962401527881</v>
      </c>
      <c r="L240" s="540"/>
      <c r="M240" s="532"/>
      <c r="P240" s="499"/>
      <c r="Q240" s="387">
        <f t="shared" si="30"/>
        <v>177</v>
      </c>
      <c r="R240" s="517">
        <v>33.450000000000003</v>
      </c>
      <c r="S240" s="366" t="str">
        <f t="shared" si="28"/>
        <v>OK</v>
      </c>
    </row>
    <row r="241" spans="1:19" ht="12.65" customHeight="1">
      <c r="A241" s="617">
        <f t="shared" si="31"/>
        <v>224</v>
      </c>
      <c r="B241" s="702" t="s">
        <v>98</v>
      </c>
      <c r="C241" s="702"/>
      <c r="D241" s="702"/>
      <c r="E241" s="618">
        <f>'7" 26# Deck Tally'!B224</f>
        <v>176</v>
      </c>
      <c r="F241" s="619">
        <f>'7" 26# Deck Tally'!C224</f>
        <v>31.78</v>
      </c>
      <c r="G241" s="619">
        <f t="shared" si="29"/>
        <v>31.382000000000001</v>
      </c>
      <c r="H241" s="619" t="s">
        <v>9</v>
      </c>
      <c r="I241" s="619">
        <f t="shared" si="25"/>
        <v>7377.6359999999968</v>
      </c>
      <c r="J241" s="619">
        <f t="shared" si="26"/>
        <v>5385.4240000000027</v>
      </c>
      <c r="K241" s="631">
        <f t="shared" si="27"/>
        <v>290.51089108021381</v>
      </c>
      <c r="L241" s="540"/>
      <c r="M241" s="532"/>
      <c r="P241" s="499"/>
      <c r="Q241" s="387">
        <f t="shared" si="30"/>
        <v>176</v>
      </c>
      <c r="R241" s="517">
        <v>31.78</v>
      </c>
      <c r="S241" s="366" t="str">
        <f t="shared" si="28"/>
        <v>OK</v>
      </c>
    </row>
    <row r="242" spans="1:19" ht="12.65" customHeight="1">
      <c r="A242" s="617">
        <f t="shared" si="31"/>
        <v>225</v>
      </c>
      <c r="B242" s="702" t="s">
        <v>98</v>
      </c>
      <c r="C242" s="702"/>
      <c r="D242" s="702"/>
      <c r="E242" s="618">
        <f>'7" 26# Deck Tally'!B225</f>
        <v>175</v>
      </c>
      <c r="F242" s="619">
        <f>'7" 26# Deck Tally'!C225</f>
        <v>33.24</v>
      </c>
      <c r="G242" s="619">
        <f t="shared" si="29"/>
        <v>32.841999999999999</v>
      </c>
      <c r="H242" s="619" t="s">
        <v>9</v>
      </c>
      <c r="I242" s="619">
        <f t="shared" si="25"/>
        <v>7410.4779999999964</v>
      </c>
      <c r="J242" s="619">
        <f t="shared" si="26"/>
        <v>5352.5820000000031</v>
      </c>
      <c r="K242" s="631">
        <f t="shared" si="27"/>
        <v>291.23431829793731</v>
      </c>
      <c r="L242" s="540"/>
      <c r="M242" s="532"/>
      <c r="P242" s="499"/>
      <c r="Q242" s="387">
        <f t="shared" si="30"/>
        <v>175</v>
      </c>
      <c r="R242" s="517">
        <v>33.24</v>
      </c>
      <c r="S242" s="366" t="str">
        <f t="shared" si="28"/>
        <v>OK</v>
      </c>
    </row>
    <row r="243" spans="1:19" ht="12.65" customHeight="1">
      <c r="A243" s="617">
        <f t="shared" si="31"/>
        <v>226</v>
      </c>
      <c r="B243" s="702" t="s">
        <v>98</v>
      </c>
      <c r="C243" s="702"/>
      <c r="D243" s="702"/>
      <c r="E243" s="618">
        <f>'7" 26# Deck Tally'!B226</f>
        <v>174</v>
      </c>
      <c r="F243" s="619">
        <f>'7" 26# Deck Tally'!C226</f>
        <v>33.82</v>
      </c>
      <c r="G243" s="619">
        <f t="shared" si="29"/>
        <v>33.421999999999997</v>
      </c>
      <c r="H243" s="619" t="s">
        <v>9</v>
      </c>
      <c r="I243" s="619">
        <f t="shared" si="25"/>
        <v>7443.899999999996</v>
      </c>
      <c r="J243" s="619">
        <f t="shared" si="26"/>
        <v>5319.1600000000035</v>
      </c>
      <c r="K243" s="631">
        <f t="shared" si="27"/>
        <v>291.97052146676845</v>
      </c>
      <c r="L243" s="540"/>
      <c r="M243" s="532"/>
      <c r="P243" s="499"/>
      <c r="Q243" s="387">
        <f t="shared" si="30"/>
        <v>174</v>
      </c>
      <c r="R243" s="517">
        <v>33.82</v>
      </c>
      <c r="S243" s="366" t="str">
        <f t="shared" si="28"/>
        <v>OK</v>
      </c>
    </row>
    <row r="244" spans="1:19" ht="12.65" customHeight="1">
      <c r="A244" s="617">
        <f t="shared" si="31"/>
        <v>227</v>
      </c>
      <c r="B244" s="702" t="s">
        <v>98</v>
      </c>
      <c r="C244" s="702"/>
      <c r="D244" s="702"/>
      <c r="E244" s="618">
        <f>'7" 26# Deck Tally'!B227</f>
        <v>173</v>
      </c>
      <c r="F244" s="619">
        <f>'7" 26# Deck Tally'!C227</f>
        <v>33.64</v>
      </c>
      <c r="G244" s="619">
        <f t="shared" si="29"/>
        <v>33.241999999999997</v>
      </c>
      <c r="H244" s="619" t="s">
        <v>9</v>
      </c>
      <c r="I244" s="619">
        <f t="shared" si="25"/>
        <v>7477.1419999999962</v>
      </c>
      <c r="J244" s="619">
        <f t="shared" si="26"/>
        <v>5285.9180000000033</v>
      </c>
      <c r="K244" s="631">
        <f t="shared" si="27"/>
        <v>292.70275968525584</v>
      </c>
      <c r="L244" s="540"/>
      <c r="M244" s="532"/>
      <c r="P244" s="499"/>
      <c r="Q244" s="387">
        <f t="shared" si="30"/>
        <v>173</v>
      </c>
      <c r="R244" s="517">
        <v>33.64</v>
      </c>
      <c r="S244" s="366" t="str">
        <f t="shared" si="28"/>
        <v>OK</v>
      </c>
    </row>
    <row r="245" spans="1:19" ht="12.65" customHeight="1">
      <c r="A245" s="617">
        <f t="shared" si="31"/>
        <v>228</v>
      </c>
      <c r="B245" s="702" t="s">
        <v>98</v>
      </c>
      <c r="C245" s="702"/>
      <c r="D245" s="702"/>
      <c r="E245" s="618">
        <f>'7" 26# Deck Tally'!B228</f>
        <v>172</v>
      </c>
      <c r="F245" s="619">
        <f>'7" 26# Deck Tally'!C228</f>
        <v>33.42</v>
      </c>
      <c r="G245" s="619">
        <f t="shared" si="29"/>
        <v>33.021999999999998</v>
      </c>
      <c r="H245" s="619" t="s">
        <v>9</v>
      </c>
      <c r="I245" s="619">
        <f t="shared" si="25"/>
        <v>7510.1639999999961</v>
      </c>
      <c r="J245" s="619">
        <f t="shared" si="26"/>
        <v>5252.8960000000034</v>
      </c>
      <c r="K245" s="631">
        <f t="shared" si="27"/>
        <v>293.43015185332308</v>
      </c>
      <c r="L245" s="540"/>
      <c r="M245" s="532"/>
      <c r="P245" s="499"/>
      <c r="Q245" s="387">
        <f t="shared" si="30"/>
        <v>172</v>
      </c>
      <c r="R245" s="517">
        <v>33.42</v>
      </c>
      <c r="S245" s="366" t="str">
        <f t="shared" si="28"/>
        <v>OK</v>
      </c>
    </row>
    <row r="246" spans="1:19" ht="13">
      <c r="A246" s="617">
        <f t="shared" si="31"/>
        <v>229</v>
      </c>
      <c r="B246" s="702" t="s">
        <v>98</v>
      </c>
      <c r="C246" s="702"/>
      <c r="D246" s="702"/>
      <c r="E246" s="618">
        <f>'7" 26# Deck Tally'!B229</f>
        <v>171</v>
      </c>
      <c r="F246" s="619">
        <f>'7" 26# Deck Tally'!C229</f>
        <v>33.42</v>
      </c>
      <c r="G246" s="619">
        <f t="shared" si="29"/>
        <v>33.021999999999998</v>
      </c>
      <c r="H246" s="619" t="s">
        <v>9</v>
      </c>
      <c r="I246" s="619">
        <f t="shared" si="25"/>
        <v>7543.1859999999961</v>
      </c>
      <c r="J246" s="619">
        <f t="shared" si="26"/>
        <v>5219.8740000000034</v>
      </c>
      <c r="K246" s="631">
        <f t="shared" si="27"/>
        <v>294.15754402139032</v>
      </c>
      <c r="L246" s="540"/>
      <c r="M246" s="532"/>
      <c r="P246" s="499"/>
      <c r="Q246" s="387">
        <f t="shared" si="30"/>
        <v>171</v>
      </c>
      <c r="R246" s="517">
        <v>33.42</v>
      </c>
      <c r="S246" s="366" t="str">
        <f t="shared" si="28"/>
        <v>OK</v>
      </c>
    </row>
    <row r="247" spans="1:19" ht="13">
      <c r="A247" s="617">
        <f t="shared" si="31"/>
        <v>230</v>
      </c>
      <c r="B247" s="702" t="s">
        <v>98</v>
      </c>
      <c r="C247" s="702"/>
      <c r="D247" s="702"/>
      <c r="E247" s="618">
        <f>'7" 26# Deck Tally'!B230</f>
        <v>170</v>
      </c>
      <c r="F247" s="619">
        <f>'7" 26# Deck Tally'!C230</f>
        <v>33.42</v>
      </c>
      <c r="G247" s="619">
        <f t="shared" si="29"/>
        <v>33.021999999999998</v>
      </c>
      <c r="H247" s="619" t="s">
        <v>9</v>
      </c>
      <c r="I247" s="619">
        <f t="shared" si="25"/>
        <v>7576.207999999996</v>
      </c>
      <c r="J247" s="619">
        <f t="shared" si="26"/>
        <v>5186.8520000000035</v>
      </c>
      <c r="K247" s="631">
        <f t="shared" si="27"/>
        <v>294.88493618945751</v>
      </c>
      <c r="L247" s="540"/>
      <c r="M247" s="532"/>
      <c r="P247" s="499"/>
      <c r="Q247" s="387">
        <f t="shared" si="30"/>
        <v>170</v>
      </c>
      <c r="R247" s="517">
        <v>33.42</v>
      </c>
      <c r="S247" s="366" t="str">
        <f t="shared" si="28"/>
        <v>OK</v>
      </c>
    </row>
    <row r="248" spans="1:19" ht="13">
      <c r="A248" s="617">
        <f t="shared" si="31"/>
        <v>231</v>
      </c>
      <c r="B248" s="702" t="s">
        <v>98</v>
      </c>
      <c r="C248" s="702"/>
      <c r="D248" s="702"/>
      <c r="E248" s="618">
        <f>'7" 26# Deck Tally'!B231</f>
        <v>169</v>
      </c>
      <c r="F248" s="619">
        <f>'7" 26# Deck Tally'!C231</f>
        <v>33.549999999999997</v>
      </c>
      <c r="G248" s="619">
        <f t="shared" si="29"/>
        <v>33.151999999999994</v>
      </c>
      <c r="H248" s="619" t="s">
        <v>9</v>
      </c>
      <c r="I248" s="619">
        <f t="shared" si="25"/>
        <v>7609.359999999996</v>
      </c>
      <c r="J248" s="619">
        <f t="shared" si="26"/>
        <v>5153.7000000000035</v>
      </c>
      <c r="K248" s="631">
        <f t="shared" si="27"/>
        <v>295.61519193277297</v>
      </c>
      <c r="L248" s="540"/>
      <c r="M248" s="532"/>
      <c r="P248" s="499"/>
      <c r="Q248" s="387">
        <f t="shared" si="30"/>
        <v>169</v>
      </c>
      <c r="R248" s="517">
        <v>33.549999999999997</v>
      </c>
      <c r="S248" s="366" t="str">
        <f t="shared" si="28"/>
        <v>OK</v>
      </c>
    </row>
    <row r="249" spans="1:19" ht="13">
      <c r="A249" s="617">
        <f t="shared" si="31"/>
        <v>232</v>
      </c>
      <c r="B249" s="702" t="s">
        <v>98</v>
      </c>
      <c r="C249" s="702"/>
      <c r="D249" s="702"/>
      <c r="E249" s="618">
        <f>'7" 26# Deck Tally'!B232</f>
        <v>168</v>
      </c>
      <c r="F249" s="619">
        <f>'7" 26# Deck Tally'!C232</f>
        <v>33.61</v>
      </c>
      <c r="G249" s="619">
        <f t="shared" si="29"/>
        <v>33.211999999999996</v>
      </c>
      <c r="H249" s="619" t="s">
        <v>9</v>
      </c>
      <c r="I249" s="619">
        <f t="shared" si="25"/>
        <v>7642.5719999999965</v>
      </c>
      <c r="J249" s="619">
        <f t="shared" si="26"/>
        <v>5120.488000000003</v>
      </c>
      <c r="K249" s="631">
        <f t="shared" si="27"/>
        <v>296.34676932620312</v>
      </c>
      <c r="L249" s="540"/>
      <c r="M249" s="532"/>
      <c r="P249" s="499"/>
      <c r="Q249" s="387">
        <f t="shared" si="30"/>
        <v>168</v>
      </c>
      <c r="R249" s="517">
        <v>33.61</v>
      </c>
      <c r="S249" s="366" t="str">
        <f t="shared" si="28"/>
        <v>OK</v>
      </c>
    </row>
    <row r="250" spans="1:19" ht="13">
      <c r="A250" s="617">
        <f t="shared" si="31"/>
        <v>233</v>
      </c>
      <c r="B250" s="702" t="s">
        <v>98</v>
      </c>
      <c r="C250" s="702"/>
      <c r="D250" s="702"/>
      <c r="E250" s="618">
        <f>'7" 26# Deck Tally'!B233</f>
        <v>167</v>
      </c>
      <c r="F250" s="619">
        <f>'7" 26# Deck Tally'!C233</f>
        <v>33.130000000000003</v>
      </c>
      <c r="G250" s="619">
        <f t="shared" si="29"/>
        <v>32.731999999999999</v>
      </c>
      <c r="H250" s="619" t="s">
        <v>9</v>
      </c>
      <c r="I250" s="619">
        <f t="shared" si="25"/>
        <v>7675.3039999999964</v>
      </c>
      <c r="J250" s="619">
        <f t="shared" si="26"/>
        <v>5087.756000000003</v>
      </c>
      <c r="K250" s="631">
        <f t="shared" si="27"/>
        <v>297.06777351871654</v>
      </c>
      <c r="L250" s="540"/>
      <c r="M250" s="532"/>
      <c r="P250" s="499"/>
      <c r="Q250" s="387">
        <f t="shared" si="30"/>
        <v>167</v>
      </c>
      <c r="R250" s="517">
        <v>33.130000000000003</v>
      </c>
      <c r="S250" s="366" t="str">
        <f t="shared" si="28"/>
        <v>OK</v>
      </c>
    </row>
    <row r="251" spans="1:19" ht="12.65" customHeight="1">
      <c r="A251" s="617">
        <f t="shared" si="31"/>
        <v>234</v>
      </c>
      <c r="B251" s="702" t="s">
        <v>98</v>
      </c>
      <c r="C251" s="702"/>
      <c r="D251" s="702"/>
      <c r="E251" s="618">
        <f>'7" 26# Deck Tally'!B234</f>
        <v>166</v>
      </c>
      <c r="F251" s="619">
        <f>'7" 26# Deck Tally'!C234</f>
        <v>33.94</v>
      </c>
      <c r="G251" s="619">
        <f t="shared" si="29"/>
        <v>33.541999999999994</v>
      </c>
      <c r="H251" s="619" t="s">
        <v>9</v>
      </c>
      <c r="I251" s="619">
        <f t="shared" si="25"/>
        <v>7708.8459999999968</v>
      </c>
      <c r="J251" s="619">
        <f t="shared" si="26"/>
        <v>5054.2140000000027</v>
      </c>
      <c r="K251" s="631">
        <f t="shared" si="27"/>
        <v>297.80661998777691</v>
      </c>
      <c r="L251" s="540"/>
      <c r="M251" s="532"/>
      <c r="P251" s="499"/>
      <c r="Q251" s="387">
        <f t="shared" si="30"/>
        <v>166</v>
      </c>
      <c r="R251" s="517">
        <v>33.94</v>
      </c>
      <c r="S251" s="366" t="str">
        <f t="shared" si="28"/>
        <v>OK</v>
      </c>
    </row>
    <row r="252" spans="1:19" ht="12.65" customHeight="1">
      <c r="A252" s="617">
        <f t="shared" si="31"/>
        <v>235</v>
      </c>
      <c r="B252" s="702" t="s">
        <v>98</v>
      </c>
      <c r="C252" s="702"/>
      <c r="D252" s="702"/>
      <c r="E252" s="618">
        <f>'7" 26# Deck Tally'!B235</f>
        <v>165</v>
      </c>
      <c r="F252" s="619">
        <f>'7" 26# Deck Tally'!C235</f>
        <v>33.65</v>
      </c>
      <c r="G252" s="619">
        <f t="shared" si="29"/>
        <v>33.251999999999995</v>
      </c>
      <c r="H252" s="619" t="s">
        <v>9</v>
      </c>
      <c r="I252" s="619">
        <f t="shared" si="25"/>
        <v>7742.0979999999972</v>
      </c>
      <c r="J252" s="619">
        <f t="shared" si="26"/>
        <v>5020.9620000000023</v>
      </c>
      <c r="K252" s="631">
        <f t="shared" si="27"/>
        <v>298.53907848128335</v>
      </c>
      <c r="L252" s="540"/>
      <c r="M252" s="532"/>
      <c r="P252" s="499"/>
      <c r="Q252" s="387">
        <f t="shared" si="30"/>
        <v>165</v>
      </c>
      <c r="R252" s="517">
        <v>33.65</v>
      </c>
      <c r="S252" s="366" t="str">
        <f t="shared" si="28"/>
        <v>OK</v>
      </c>
    </row>
    <row r="253" spans="1:19" ht="13">
      <c r="A253" s="617">
        <f t="shared" si="31"/>
        <v>236</v>
      </c>
      <c r="B253" s="702" t="s">
        <v>98</v>
      </c>
      <c r="C253" s="702"/>
      <c r="D253" s="702"/>
      <c r="E253" s="618">
        <f>'7" 26# Deck Tally'!B236</f>
        <v>164</v>
      </c>
      <c r="F253" s="619">
        <f>'7" 26# Deck Tally'!C236</f>
        <v>33.94</v>
      </c>
      <c r="G253" s="619">
        <f t="shared" si="29"/>
        <v>33.541999999999994</v>
      </c>
      <c r="H253" s="619" t="s">
        <v>9</v>
      </c>
      <c r="I253" s="619">
        <f t="shared" si="25"/>
        <v>7775.6399999999976</v>
      </c>
      <c r="J253" s="619">
        <f t="shared" si="26"/>
        <v>4987.4200000000019</v>
      </c>
      <c r="K253" s="631">
        <f t="shared" si="27"/>
        <v>299.27792495034373</v>
      </c>
      <c r="L253" s="540"/>
      <c r="M253" s="532"/>
      <c r="P253" s="499"/>
      <c r="Q253" s="387">
        <f t="shared" si="30"/>
        <v>164</v>
      </c>
      <c r="R253" s="517">
        <v>33.94</v>
      </c>
      <c r="S253" s="366" t="str">
        <f t="shared" si="28"/>
        <v>OK</v>
      </c>
    </row>
    <row r="254" spans="1:19" ht="13">
      <c r="A254" s="617">
        <f t="shared" si="31"/>
        <v>237</v>
      </c>
      <c r="B254" s="702" t="s">
        <v>98</v>
      </c>
      <c r="C254" s="702"/>
      <c r="D254" s="702"/>
      <c r="E254" s="618">
        <f>'7" 26# Deck Tally'!B237</f>
        <v>163</v>
      </c>
      <c r="F254" s="619">
        <f>'7" 26# Deck Tally'!C237</f>
        <v>33.729999999999997</v>
      </c>
      <c r="G254" s="619">
        <f t="shared" si="29"/>
        <v>33.331999999999994</v>
      </c>
      <c r="H254" s="619" t="s">
        <v>9</v>
      </c>
      <c r="I254" s="619">
        <f t="shared" si="25"/>
        <v>7808.9719999999979</v>
      </c>
      <c r="J254" s="619">
        <f t="shared" si="26"/>
        <v>4954.0880000000016</v>
      </c>
      <c r="K254" s="631">
        <f t="shared" si="27"/>
        <v>300.012145644003</v>
      </c>
      <c r="L254" s="708"/>
      <c r="M254" s="709"/>
      <c r="P254" s="499"/>
      <c r="Q254" s="387">
        <f t="shared" si="30"/>
        <v>163</v>
      </c>
      <c r="R254" s="517">
        <v>33.729999999999997</v>
      </c>
      <c r="S254" s="366" t="str">
        <f t="shared" si="28"/>
        <v>OK</v>
      </c>
    </row>
    <row r="255" spans="1:19" ht="13">
      <c r="A255" s="617">
        <f t="shared" si="31"/>
        <v>238</v>
      </c>
      <c r="B255" s="702" t="s">
        <v>98</v>
      </c>
      <c r="C255" s="702"/>
      <c r="D255" s="702"/>
      <c r="E255" s="618">
        <f>'7" 26# Deck Tally'!B238</f>
        <v>162</v>
      </c>
      <c r="F255" s="619">
        <f>'7" 26# Deck Tally'!C238</f>
        <v>32.25</v>
      </c>
      <c r="G255" s="619">
        <f t="shared" si="29"/>
        <v>31.852</v>
      </c>
      <c r="H255" s="619" t="s">
        <v>9</v>
      </c>
      <c r="I255" s="619">
        <f t="shared" si="25"/>
        <v>7840.8239999999978</v>
      </c>
      <c r="J255" s="619">
        <f t="shared" si="26"/>
        <v>4922.2360000000017</v>
      </c>
      <c r="K255" s="631">
        <f t="shared" si="27"/>
        <v>300.71376563483568</v>
      </c>
      <c r="L255" s="708"/>
      <c r="M255" s="709"/>
      <c r="N255" s="433"/>
      <c r="O255" s="434"/>
      <c r="P255" s="499"/>
      <c r="Q255" s="387">
        <f t="shared" si="30"/>
        <v>162</v>
      </c>
      <c r="R255" s="517">
        <v>32.25</v>
      </c>
      <c r="S255" s="366" t="str">
        <f t="shared" si="28"/>
        <v>OK</v>
      </c>
    </row>
    <row r="256" spans="1:19" ht="13">
      <c r="A256" s="617">
        <f t="shared" si="31"/>
        <v>239</v>
      </c>
      <c r="B256" s="702" t="s">
        <v>98</v>
      </c>
      <c r="C256" s="702"/>
      <c r="D256" s="702"/>
      <c r="E256" s="618">
        <f>'7" 26# Deck Tally'!B239</f>
        <v>161</v>
      </c>
      <c r="F256" s="619">
        <f>'7" 26# Deck Tally'!C239</f>
        <v>33.68</v>
      </c>
      <c r="G256" s="619">
        <f t="shared" si="29"/>
        <v>33.281999999999996</v>
      </c>
      <c r="H256" s="619" t="s">
        <v>9</v>
      </c>
      <c r="I256" s="619">
        <f t="shared" si="25"/>
        <v>7874.1059999999979</v>
      </c>
      <c r="J256" s="619">
        <f t="shared" si="26"/>
        <v>4888.9540000000015</v>
      </c>
      <c r="K256" s="631">
        <f t="shared" si="27"/>
        <v>301.44688495339949</v>
      </c>
      <c r="L256" s="708"/>
      <c r="M256" s="709"/>
      <c r="N256" s="433"/>
      <c r="O256" s="434"/>
      <c r="P256" s="499"/>
      <c r="Q256" s="387">
        <f t="shared" si="30"/>
        <v>161</v>
      </c>
      <c r="R256" s="517">
        <v>33.68</v>
      </c>
      <c r="S256" s="366" t="str">
        <f t="shared" si="28"/>
        <v>OK</v>
      </c>
    </row>
    <row r="257" spans="1:19" ht="12.65" customHeight="1">
      <c r="A257" s="617">
        <f t="shared" si="31"/>
        <v>240</v>
      </c>
      <c r="B257" s="702" t="s">
        <v>98</v>
      </c>
      <c r="C257" s="702"/>
      <c r="D257" s="702"/>
      <c r="E257" s="618">
        <f>'7" 26# Deck Tally'!B240</f>
        <v>160</v>
      </c>
      <c r="F257" s="619">
        <f>'7" 26# Deck Tally'!C240</f>
        <v>33.69</v>
      </c>
      <c r="G257" s="619">
        <f t="shared" si="29"/>
        <v>33.291999999999994</v>
      </c>
      <c r="H257" s="619" t="s">
        <v>9</v>
      </c>
      <c r="I257" s="619">
        <f t="shared" si="25"/>
        <v>7907.3979999999983</v>
      </c>
      <c r="J257" s="619">
        <f t="shared" si="26"/>
        <v>4855.6620000000012</v>
      </c>
      <c r="K257" s="631">
        <f t="shared" si="27"/>
        <v>302.1802245469824</v>
      </c>
      <c r="L257" s="708"/>
      <c r="M257" s="709"/>
      <c r="N257" s="433"/>
      <c r="O257" s="434"/>
      <c r="P257" s="499"/>
      <c r="Q257" s="387">
        <f t="shared" si="30"/>
        <v>160</v>
      </c>
      <c r="R257" s="517">
        <v>33.69</v>
      </c>
      <c r="S257" s="366" t="str">
        <f t="shared" si="28"/>
        <v>OK</v>
      </c>
    </row>
    <row r="258" spans="1:19" ht="13">
      <c r="A258" s="617">
        <f t="shared" si="31"/>
        <v>241</v>
      </c>
      <c r="B258" s="702" t="s">
        <v>98</v>
      </c>
      <c r="C258" s="702"/>
      <c r="D258" s="702"/>
      <c r="E258" s="618">
        <f>'7" 26# Deck Tally'!B241</f>
        <v>159</v>
      </c>
      <c r="F258" s="619">
        <f>'7" 26# Deck Tally'!C241</f>
        <v>33.86</v>
      </c>
      <c r="G258" s="619">
        <f t="shared" si="29"/>
        <v>33.461999999999996</v>
      </c>
      <c r="H258" s="619" t="s">
        <v>9</v>
      </c>
      <c r="I258" s="619">
        <f t="shared" si="25"/>
        <v>7940.8599999999988</v>
      </c>
      <c r="J258" s="619">
        <f t="shared" si="26"/>
        <v>4822.2000000000007</v>
      </c>
      <c r="K258" s="631">
        <f t="shared" si="27"/>
        <v>302.91730881588995</v>
      </c>
      <c r="L258" s="708"/>
      <c r="M258" s="709"/>
      <c r="N258" s="433"/>
      <c r="O258" s="434"/>
      <c r="P258" s="499"/>
      <c r="Q258" s="387">
        <f t="shared" si="30"/>
        <v>159</v>
      </c>
      <c r="R258" s="517">
        <v>33.86</v>
      </c>
      <c r="S258" s="366" t="str">
        <f t="shared" si="28"/>
        <v>OK</v>
      </c>
    </row>
    <row r="259" spans="1:19" ht="13">
      <c r="A259" s="617">
        <f t="shared" si="31"/>
        <v>242</v>
      </c>
      <c r="B259" s="702" t="s">
        <v>98</v>
      </c>
      <c r="C259" s="702"/>
      <c r="D259" s="702"/>
      <c r="E259" s="618">
        <f>'7" 26# Deck Tally'!B242</f>
        <v>158</v>
      </c>
      <c r="F259" s="619">
        <f>'7" 26# Deck Tally'!C242</f>
        <v>33.79</v>
      </c>
      <c r="G259" s="619">
        <f t="shared" si="29"/>
        <v>33.391999999999996</v>
      </c>
      <c r="H259" s="619" t="s">
        <v>9</v>
      </c>
      <c r="I259" s="619">
        <f t="shared" si="25"/>
        <v>7974.2519999999986</v>
      </c>
      <c r="J259" s="619">
        <f t="shared" si="26"/>
        <v>4788.8080000000009</v>
      </c>
      <c r="K259" s="631">
        <f t="shared" si="27"/>
        <v>303.65285115966384</v>
      </c>
      <c r="L259" s="708"/>
      <c r="M259" s="709"/>
      <c r="N259" s="433"/>
      <c r="O259" s="434"/>
      <c r="P259" s="499"/>
      <c r="Q259" s="387">
        <f t="shared" si="30"/>
        <v>158</v>
      </c>
      <c r="R259" s="517">
        <v>33.79</v>
      </c>
      <c r="S259" s="366" t="str">
        <f t="shared" si="28"/>
        <v>OK</v>
      </c>
    </row>
    <row r="260" spans="1:19" ht="13">
      <c r="A260" s="617">
        <f t="shared" si="31"/>
        <v>243</v>
      </c>
      <c r="B260" s="702" t="s">
        <v>98</v>
      </c>
      <c r="C260" s="702"/>
      <c r="D260" s="702"/>
      <c r="E260" s="618">
        <f>'7" 26# Deck Tally'!B243</f>
        <v>157</v>
      </c>
      <c r="F260" s="619">
        <f>'7" 26# Deck Tally'!C243</f>
        <v>33.049999999999997</v>
      </c>
      <c r="G260" s="619">
        <f t="shared" si="29"/>
        <v>32.651999999999994</v>
      </c>
      <c r="H260" s="619" t="s">
        <v>9</v>
      </c>
      <c r="I260" s="619">
        <f t="shared" si="25"/>
        <v>8006.9039999999986</v>
      </c>
      <c r="J260" s="619">
        <f t="shared" si="26"/>
        <v>4756.1560000000009</v>
      </c>
      <c r="K260" s="631">
        <f t="shared" si="27"/>
        <v>304.37209315202438</v>
      </c>
      <c r="L260" s="708"/>
      <c r="M260" s="709"/>
      <c r="N260" s="433"/>
      <c r="O260" s="434"/>
      <c r="P260" s="499"/>
      <c r="Q260" s="387">
        <f t="shared" si="30"/>
        <v>157</v>
      </c>
      <c r="R260" s="517">
        <v>33.049999999999997</v>
      </c>
      <c r="S260" s="366" t="str">
        <f t="shared" si="28"/>
        <v>OK</v>
      </c>
    </row>
    <row r="261" spans="1:19" ht="13">
      <c r="A261" s="617">
        <f t="shared" si="31"/>
        <v>244</v>
      </c>
      <c r="B261" s="702" t="s">
        <v>98</v>
      </c>
      <c r="C261" s="702"/>
      <c r="D261" s="702"/>
      <c r="E261" s="618">
        <f>'7" 26# Deck Tally'!B244</f>
        <v>156</v>
      </c>
      <c r="F261" s="619">
        <f>'7" 26# Deck Tally'!C244</f>
        <v>33.549999999999997</v>
      </c>
      <c r="G261" s="619">
        <f t="shared" si="29"/>
        <v>33.151999999999994</v>
      </c>
      <c r="H261" s="619" t="s">
        <v>9</v>
      </c>
      <c r="I261" s="619">
        <f t="shared" si="25"/>
        <v>8040.0559999999987</v>
      </c>
      <c r="J261" s="619">
        <f t="shared" si="26"/>
        <v>4723.0040000000008</v>
      </c>
      <c r="K261" s="631">
        <f t="shared" si="27"/>
        <v>305.1023488953399</v>
      </c>
      <c r="L261" s="708"/>
      <c r="M261" s="709"/>
      <c r="N261" s="433"/>
      <c r="O261" s="434"/>
      <c r="P261" s="499"/>
      <c r="Q261" s="387">
        <f t="shared" si="30"/>
        <v>156</v>
      </c>
      <c r="R261" s="517">
        <v>33.549999999999997</v>
      </c>
      <c r="S261" s="366" t="str">
        <f t="shared" si="28"/>
        <v>OK</v>
      </c>
    </row>
    <row r="262" spans="1:19" ht="13">
      <c r="A262" s="617">
        <f t="shared" si="31"/>
        <v>245</v>
      </c>
      <c r="B262" s="702" t="s">
        <v>98</v>
      </c>
      <c r="C262" s="702"/>
      <c r="D262" s="702"/>
      <c r="E262" s="618">
        <f>'7" 26# Deck Tally'!B245</f>
        <v>155</v>
      </c>
      <c r="F262" s="619">
        <f>'7" 26# Deck Tally'!C245</f>
        <v>33.799999999999997</v>
      </c>
      <c r="G262" s="619">
        <f t="shared" si="29"/>
        <v>33.401999999999994</v>
      </c>
      <c r="H262" s="619" t="s">
        <v>9</v>
      </c>
      <c r="I262" s="619">
        <f t="shared" si="25"/>
        <v>8073.4579999999987</v>
      </c>
      <c r="J262" s="619">
        <f t="shared" si="26"/>
        <v>4689.6020000000008</v>
      </c>
      <c r="K262" s="631">
        <f t="shared" si="27"/>
        <v>305.83811151413295</v>
      </c>
      <c r="L262" s="708"/>
      <c r="M262" s="709"/>
      <c r="N262" s="433"/>
      <c r="O262" s="434"/>
      <c r="P262" s="499"/>
      <c r="Q262" s="387">
        <f t="shared" si="30"/>
        <v>155</v>
      </c>
      <c r="R262" s="517">
        <v>33.799999999999997</v>
      </c>
      <c r="S262" s="366" t="str">
        <f t="shared" si="28"/>
        <v>OK</v>
      </c>
    </row>
    <row r="263" spans="1:19" ht="13">
      <c r="A263" s="617">
        <f t="shared" si="31"/>
        <v>246</v>
      </c>
      <c r="B263" s="702" t="s">
        <v>98</v>
      </c>
      <c r="C263" s="702"/>
      <c r="D263" s="702"/>
      <c r="E263" s="618">
        <f>'7" 26# Deck Tally'!B246</f>
        <v>154</v>
      </c>
      <c r="F263" s="619">
        <f>'7" 26# Deck Tally'!C246</f>
        <v>33.75</v>
      </c>
      <c r="G263" s="619">
        <f t="shared" si="29"/>
        <v>33.351999999999997</v>
      </c>
      <c r="H263" s="619" t="s">
        <v>9</v>
      </c>
      <c r="I263" s="619">
        <f t="shared" si="25"/>
        <v>8106.8099999999986</v>
      </c>
      <c r="J263" s="619">
        <f t="shared" si="26"/>
        <v>4656.2500000000009</v>
      </c>
      <c r="K263" s="631">
        <f t="shared" si="27"/>
        <v>306.57277275783042</v>
      </c>
      <c r="L263" s="708"/>
      <c r="M263" s="709"/>
      <c r="N263" s="433"/>
      <c r="O263" s="434"/>
      <c r="P263" s="499"/>
      <c r="Q263" s="387">
        <f t="shared" si="30"/>
        <v>154</v>
      </c>
      <c r="R263" s="517">
        <v>33.75</v>
      </c>
      <c r="S263" s="366" t="str">
        <f t="shared" si="28"/>
        <v>OK</v>
      </c>
    </row>
    <row r="264" spans="1:19" ht="13">
      <c r="A264" s="617">
        <f t="shared" si="31"/>
        <v>247</v>
      </c>
      <c r="B264" s="702" t="s">
        <v>98</v>
      </c>
      <c r="C264" s="702"/>
      <c r="D264" s="702"/>
      <c r="E264" s="618">
        <f>'7" 26# Deck Tally'!B247</f>
        <v>153</v>
      </c>
      <c r="F264" s="619">
        <f>'7" 26# Deck Tally'!C247</f>
        <v>33.659999999999997</v>
      </c>
      <c r="G264" s="619">
        <f t="shared" si="29"/>
        <v>33.261999999999993</v>
      </c>
      <c r="H264" s="619" t="s">
        <v>9</v>
      </c>
      <c r="I264" s="619">
        <f t="shared" si="25"/>
        <v>8140.0719999999983</v>
      </c>
      <c r="J264" s="619">
        <f t="shared" si="26"/>
        <v>4622.9880000000012</v>
      </c>
      <c r="K264" s="631">
        <f t="shared" si="27"/>
        <v>307.30545152635597</v>
      </c>
      <c r="L264" s="708"/>
      <c r="M264" s="709"/>
      <c r="N264" s="433"/>
      <c r="O264" s="434"/>
      <c r="P264" s="499"/>
      <c r="Q264" s="387">
        <f t="shared" si="30"/>
        <v>153</v>
      </c>
      <c r="R264" s="517">
        <v>33.659999999999997</v>
      </c>
      <c r="S264" s="366" t="str">
        <f t="shared" si="28"/>
        <v>OK</v>
      </c>
    </row>
    <row r="265" spans="1:19" ht="13">
      <c r="A265" s="617">
        <f t="shared" si="31"/>
        <v>248</v>
      </c>
      <c r="B265" s="702" t="s">
        <v>98</v>
      </c>
      <c r="C265" s="702"/>
      <c r="D265" s="702"/>
      <c r="E265" s="618">
        <f>'7" 26# Deck Tally'!B248</f>
        <v>152</v>
      </c>
      <c r="F265" s="619">
        <f>'7" 26# Deck Tally'!C248</f>
        <v>33.9</v>
      </c>
      <c r="G265" s="619">
        <f t="shared" si="29"/>
        <v>33.501999999999995</v>
      </c>
      <c r="H265" s="619" t="s">
        <v>9</v>
      </c>
      <c r="I265" s="619">
        <f t="shared" si="25"/>
        <v>8173.5739999999987</v>
      </c>
      <c r="J265" s="619">
        <f t="shared" si="26"/>
        <v>4589.4860000000008</v>
      </c>
      <c r="K265" s="631">
        <f t="shared" si="27"/>
        <v>308.04341689533993</v>
      </c>
      <c r="L265" s="540"/>
      <c r="M265" s="532"/>
      <c r="N265" s="433"/>
      <c r="O265" s="434"/>
      <c r="P265" s="499"/>
      <c r="Q265" s="387">
        <f t="shared" si="30"/>
        <v>152</v>
      </c>
      <c r="R265" s="517">
        <v>33.9</v>
      </c>
      <c r="S265" s="366" t="str">
        <f t="shared" si="28"/>
        <v>OK</v>
      </c>
    </row>
    <row r="266" spans="1:19" ht="13">
      <c r="A266" s="617">
        <f t="shared" si="31"/>
        <v>249</v>
      </c>
      <c r="B266" s="702" t="s">
        <v>98</v>
      </c>
      <c r="C266" s="702"/>
      <c r="D266" s="702"/>
      <c r="E266" s="618">
        <f>'7" 26# Deck Tally'!B249</f>
        <v>151</v>
      </c>
      <c r="F266" s="619">
        <f>'7" 26# Deck Tally'!C249</f>
        <v>33.299999999999997</v>
      </c>
      <c r="G266" s="619">
        <f t="shared" si="29"/>
        <v>32.901999999999994</v>
      </c>
      <c r="H266" s="619" t="s">
        <v>9</v>
      </c>
      <c r="I266" s="619">
        <f t="shared" si="25"/>
        <v>8206.4759999999987</v>
      </c>
      <c r="J266" s="619">
        <f t="shared" si="26"/>
        <v>4556.5840000000007</v>
      </c>
      <c r="K266" s="631">
        <f t="shared" si="27"/>
        <v>308.76816576317799</v>
      </c>
      <c r="L266" s="540"/>
      <c r="M266" s="532"/>
      <c r="N266" s="433"/>
      <c r="O266" s="434"/>
      <c r="P266" s="499"/>
      <c r="Q266" s="387">
        <f t="shared" si="30"/>
        <v>151</v>
      </c>
      <c r="R266" s="517">
        <v>33.299999999999997</v>
      </c>
      <c r="S266" s="366" t="str">
        <f t="shared" si="28"/>
        <v>OK</v>
      </c>
    </row>
    <row r="267" spans="1:19" ht="13">
      <c r="A267" s="617">
        <f t="shared" si="31"/>
        <v>250</v>
      </c>
      <c r="B267" s="702" t="s">
        <v>98</v>
      </c>
      <c r="C267" s="702"/>
      <c r="D267" s="702"/>
      <c r="E267" s="618">
        <f>'7" 26# Deck Tally'!B250</f>
        <v>150</v>
      </c>
      <c r="F267" s="619">
        <f>'7" 26# Deck Tally'!C250</f>
        <v>33.29</v>
      </c>
      <c r="G267" s="619">
        <f t="shared" si="29"/>
        <v>32.891999999999996</v>
      </c>
      <c r="H267" s="619" t="s">
        <v>9</v>
      </c>
      <c r="I267" s="619">
        <f t="shared" si="25"/>
        <v>8239.3679999999986</v>
      </c>
      <c r="J267" s="619">
        <f t="shared" si="26"/>
        <v>4523.6920000000009</v>
      </c>
      <c r="K267" s="631">
        <f t="shared" si="27"/>
        <v>309.49269435599695</v>
      </c>
      <c r="L267" s="540"/>
      <c r="M267" s="532"/>
      <c r="N267" s="433"/>
      <c r="O267" s="434"/>
      <c r="P267" s="499"/>
      <c r="Q267" s="387">
        <f t="shared" si="30"/>
        <v>150</v>
      </c>
      <c r="R267" s="517">
        <v>33.29</v>
      </c>
      <c r="S267" s="366" t="str">
        <f t="shared" si="28"/>
        <v>OK</v>
      </c>
    </row>
    <row r="268" spans="1:19" ht="13">
      <c r="A268" s="617">
        <f t="shared" si="31"/>
        <v>251</v>
      </c>
      <c r="B268" s="702" t="s">
        <v>98</v>
      </c>
      <c r="C268" s="702"/>
      <c r="D268" s="702"/>
      <c r="E268" s="618">
        <f>'7" 26# Deck Tally'!B251</f>
        <v>149</v>
      </c>
      <c r="F268" s="619">
        <f>'7" 26# Deck Tally'!C251</f>
        <v>33.72</v>
      </c>
      <c r="G268" s="619">
        <f t="shared" si="29"/>
        <v>33.321999999999996</v>
      </c>
      <c r="H268" s="619" t="s">
        <v>9</v>
      </c>
      <c r="I268" s="619">
        <f t="shared" si="25"/>
        <v>8272.6899999999987</v>
      </c>
      <c r="J268" s="619">
        <f t="shared" si="26"/>
        <v>4490.3700000000008</v>
      </c>
      <c r="K268" s="631">
        <f t="shared" si="27"/>
        <v>310.22669477463711</v>
      </c>
      <c r="L268" s="540"/>
      <c r="M268" s="532"/>
      <c r="N268" s="433"/>
      <c r="O268" s="434"/>
      <c r="P268" s="499"/>
      <c r="Q268" s="387">
        <f t="shared" si="30"/>
        <v>149</v>
      </c>
      <c r="R268" s="517">
        <v>33.72</v>
      </c>
      <c r="S268" s="366" t="str">
        <f t="shared" si="28"/>
        <v>OK</v>
      </c>
    </row>
    <row r="269" spans="1:19" ht="13">
      <c r="A269" s="617">
        <f t="shared" si="31"/>
        <v>252</v>
      </c>
      <c r="B269" s="702" t="s">
        <v>98</v>
      </c>
      <c r="C269" s="702"/>
      <c r="D269" s="702"/>
      <c r="E269" s="618">
        <f>'7" 26# Deck Tally'!B252</f>
        <v>148</v>
      </c>
      <c r="F269" s="619">
        <f>'7" 26# Deck Tally'!C252</f>
        <v>33.74</v>
      </c>
      <c r="G269" s="619">
        <f t="shared" si="29"/>
        <v>33.341999999999999</v>
      </c>
      <c r="H269" s="619" t="s">
        <v>9</v>
      </c>
      <c r="I269" s="619">
        <f t="shared" ref="I269:I332" si="32">IF(H269="IN",I268+G269,I268)</f>
        <v>8306.0319999999992</v>
      </c>
      <c r="J269" s="619">
        <f t="shared" si="26"/>
        <v>4457.0280000000002</v>
      </c>
      <c r="K269" s="631">
        <f t="shared" si="27"/>
        <v>310.96113574331548</v>
      </c>
      <c r="L269" s="540"/>
      <c r="M269" s="532"/>
      <c r="N269" s="433"/>
      <c r="O269" s="434"/>
      <c r="P269" s="499"/>
      <c r="Q269" s="387">
        <f t="shared" si="30"/>
        <v>148</v>
      </c>
      <c r="R269" s="517">
        <v>33.74</v>
      </c>
      <c r="S269" s="366" t="str">
        <f t="shared" si="28"/>
        <v>OK</v>
      </c>
    </row>
    <row r="270" spans="1:19" ht="13">
      <c r="A270" s="617">
        <f t="shared" si="31"/>
        <v>253</v>
      </c>
      <c r="B270" s="702" t="s">
        <v>98</v>
      </c>
      <c r="C270" s="702"/>
      <c r="D270" s="702"/>
      <c r="E270" s="618">
        <f>'7" 26# Deck Tally'!B253</f>
        <v>147</v>
      </c>
      <c r="F270" s="619">
        <f>'7" 26# Deck Tally'!C253</f>
        <v>33.630000000000003</v>
      </c>
      <c r="G270" s="619">
        <f t="shared" si="29"/>
        <v>33.231999999999999</v>
      </c>
      <c r="H270" s="619" t="s">
        <v>9</v>
      </c>
      <c r="I270" s="619">
        <f t="shared" si="32"/>
        <v>8339.2639999999992</v>
      </c>
      <c r="J270" s="619">
        <f t="shared" si="26"/>
        <v>4423.7960000000003</v>
      </c>
      <c r="K270" s="631">
        <f t="shared" si="27"/>
        <v>311.69315368678377</v>
      </c>
      <c r="L270" s="540"/>
      <c r="M270" s="532"/>
      <c r="N270" s="433"/>
      <c r="O270" s="434"/>
      <c r="P270" s="499"/>
      <c r="Q270" s="387">
        <f t="shared" si="30"/>
        <v>147</v>
      </c>
      <c r="R270" s="517">
        <v>33.630000000000003</v>
      </c>
      <c r="S270" s="366" t="str">
        <f t="shared" si="28"/>
        <v>OK</v>
      </c>
    </row>
    <row r="271" spans="1:19" ht="13">
      <c r="A271" s="617">
        <f t="shared" si="31"/>
        <v>254</v>
      </c>
      <c r="B271" s="702" t="s">
        <v>98</v>
      </c>
      <c r="C271" s="702"/>
      <c r="D271" s="702"/>
      <c r="E271" s="618">
        <f>'7" 26# Deck Tally'!B254</f>
        <v>146</v>
      </c>
      <c r="F271" s="619">
        <f>'7" 26# Deck Tally'!C254</f>
        <v>33.79</v>
      </c>
      <c r="G271" s="619">
        <f t="shared" si="29"/>
        <v>33.391999999999996</v>
      </c>
      <c r="H271" s="619" t="s">
        <v>9</v>
      </c>
      <c r="I271" s="619">
        <f t="shared" si="32"/>
        <v>8372.655999999999</v>
      </c>
      <c r="J271" s="619">
        <f t="shared" si="26"/>
        <v>4390.4040000000005</v>
      </c>
      <c r="K271" s="631">
        <f t="shared" si="27"/>
        <v>312.42869603055766</v>
      </c>
      <c r="L271" s="540"/>
      <c r="M271" s="532"/>
      <c r="N271" s="433"/>
      <c r="O271" s="434"/>
      <c r="P271" s="499"/>
      <c r="Q271" s="387">
        <f t="shared" si="30"/>
        <v>146</v>
      </c>
      <c r="R271" s="517">
        <v>33.79</v>
      </c>
      <c r="S271" s="366" t="str">
        <f t="shared" si="28"/>
        <v>OK</v>
      </c>
    </row>
    <row r="272" spans="1:19" ht="13">
      <c r="A272" s="617">
        <f t="shared" si="31"/>
        <v>255</v>
      </c>
      <c r="B272" s="702" t="s">
        <v>98</v>
      </c>
      <c r="C272" s="702"/>
      <c r="D272" s="702"/>
      <c r="E272" s="618">
        <f>'7" 26# Deck Tally'!B255</f>
        <v>145</v>
      </c>
      <c r="F272" s="619">
        <f>'7" 26# Deck Tally'!C255</f>
        <v>33.99</v>
      </c>
      <c r="G272" s="619">
        <f t="shared" si="29"/>
        <v>33.591999999999999</v>
      </c>
      <c r="H272" s="619" t="s">
        <v>9</v>
      </c>
      <c r="I272" s="619">
        <f t="shared" si="32"/>
        <v>8406.2479999999996</v>
      </c>
      <c r="J272" s="619">
        <f t="shared" ref="J272:J335" si="33">IF(I272="","",$L$6-I272)</f>
        <v>4356.8119999999999</v>
      </c>
      <c r="K272" s="631">
        <f t="shared" ref="K272:K335" si="34">$H$6+(I272*$F$7*$H$8/1000)</f>
        <v>313.16864387471355</v>
      </c>
      <c r="L272" s="540"/>
      <c r="M272" s="532"/>
      <c r="N272" s="433"/>
      <c r="O272" s="434"/>
      <c r="P272" s="499"/>
      <c r="Q272" s="387">
        <f t="shared" si="30"/>
        <v>145</v>
      </c>
      <c r="R272" s="517">
        <v>33.99</v>
      </c>
      <c r="S272" s="366" t="str">
        <f t="shared" ref="S272:S335" si="35">IF(F272-R272=0,"OK","FALSE")</f>
        <v>OK</v>
      </c>
    </row>
    <row r="273" spans="1:19" ht="13">
      <c r="A273" s="617">
        <f t="shared" si="31"/>
        <v>256</v>
      </c>
      <c r="B273" s="702" t="s">
        <v>98</v>
      </c>
      <c r="C273" s="702"/>
      <c r="D273" s="702"/>
      <c r="E273" s="618">
        <f>'7" 26# Deck Tally'!B256</f>
        <v>144</v>
      </c>
      <c r="F273" s="619">
        <f>'7" 26# Deck Tally'!C256</f>
        <v>33.71</v>
      </c>
      <c r="G273" s="619">
        <f t="shared" si="29"/>
        <v>33.311999999999998</v>
      </c>
      <c r="H273" s="619" t="s">
        <v>9</v>
      </c>
      <c r="I273" s="619">
        <f t="shared" si="32"/>
        <v>8439.56</v>
      </c>
      <c r="J273" s="619">
        <f t="shared" si="33"/>
        <v>4323.5</v>
      </c>
      <c r="K273" s="631">
        <f t="shared" si="34"/>
        <v>313.90242401833461</v>
      </c>
      <c r="L273" s="540"/>
      <c r="M273" s="532"/>
      <c r="N273" s="433"/>
      <c r="O273" s="434"/>
      <c r="P273" s="499"/>
      <c r="Q273" s="387">
        <f t="shared" si="30"/>
        <v>144</v>
      </c>
      <c r="R273" s="517">
        <v>33.71</v>
      </c>
      <c r="S273" s="366" t="str">
        <f t="shared" si="35"/>
        <v>OK</v>
      </c>
    </row>
    <row r="274" spans="1:19" ht="13">
      <c r="A274" s="617">
        <f t="shared" si="31"/>
        <v>257</v>
      </c>
      <c r="B274" s="702" t="s">
        <v>98</v>
      </c>
      <c r="C274" s="702"/>
      <c r="D274" s="702"/>
      <c r="E274" s="618">
        <f>'7" 26# Deck Tally'!B257</f>
        <v>143</v>
      </c>
      <c r="F274" s="619">
        <f>'7" 26# Deck Tally'!C257</f>
        <v>33.840000000000003</v>
      </c>
      <c r="G274" s="619">
        <f t="shared" si="29"/>
        <v>33.442</v>
      </c>
      <c r="H274" s="619" t="s">
        <v>9</v>
      </c>
      <c r="I274" s="619">
        <f t="shared" si="32"/>
        <v>8473.0019999999986</v>
      </c>
      <c r="J274" s="619">
        <f t="shared" si="33"/>
        <v>4290.0580000000009</v>
      </c>
      <c r="K274" s="632">
        <f t="shared" si="34"/>
        <v>314.63906773720396</v>
      </c>
      <c r="L274" s="540"/>
      <c r="M274" s="532"/>
      <c r="N274" s="433"/>
      <c r="O274" s="434"/>
      <c r="P274" s="499"/>
      <c r="Q274" s="387">
        <f t="shared" si="30"/>
        <v>143</v>
      </c>
      <c r="R274" s="517">
        <v>33.840000000000003</v>
      </c>
      <c r="S274" s="366" t="str">
        <f t="shared" si="35"/>
        <v>OK</v>
      </c>
    </row>
    <row r="275" spans="1:19" ht="13">
      <c r="A275" s="617">
        <f t="shared" si="31"/>
        <v>258</v>
      </c>
      <c r="B275" s="702" t="s">
        <v>98</v>
      </c>
      <c r="C275" s="702"/>
      <c r="D275" s="702"/>
      <c r="E275" s="618">
        <f>'7" 26# Deck Tally'!B258</f>
        <v>142</v>
      </c>
      <c r="F275" s="619">
        <f>'7" 26# Deck Tally'!C258</f>
        <v>33.729999999999997</v>
      </c>
      <c r="G275" s="619">
        <f t="shared" si="29"/>
        <v>33.331999999999994</v>
      </c>
      <c r="H275" s="619" t="s">
        <v>9</v>
      </c>
      <c r="I275" s="619">
        <f t="shared" si="32"/>
        <v>8506.3339999999989</v>
      </c>
      <c r="J275" s="619">
        <f t="shared" si="33"/>
        <v>4256.7260000000006</v>
      </c>
      <c r="K275" s="632">
        <f t="shared" si="34"/>
        <v>315.37328843086323</v>
      </c>
      <c r="L275" s="540"/>
      <c r="M275" s="532"/>
      <c r="N275" s="433"/>
      <c r="O275" s="434"/>
      <c r="P275" s="499"/>
      <c r="Q275" s="387">
        <f t="shared" si="30"/>
        <v>142</v>
      </c>
      <c r="R275" s="517">
        <v>33.729999999999997</v>
      </c>
      <c r="S275" s="366" t="str">
        <f t="shared" si="35"/>
        <v>OK</v>
      </c>
    </row>
    <row r="276" spans="1:19" ht="13">
      <c r="A276" s="617">
        <f t="shared" si="31"/>
        <v>259</v>
      </c>
      <c r="B276" s="702" t="s">
        <v>98</v>
      </c>
      <c r="C276" s="702"/>
      <c r="D276" s="702"/>
      <c r="E276" s="618">
        <f>'7" 26# Deck Tally'!B259</f>
        <v>141</v>
      </c>
      <c r="F276" s="619">
        <f>'7" 26# Deck Tally'!C259</f>
        <v>33.58</v>
      </c>
      <c r="G276" s="619">
        <f t="shared" si="29"/>
        <v>33.181999999999995</v>
      </c>
      <c r="H276" s="619" t="s">
        <v>9</v>
      </c>
      <c r="I276" s="619">
        <f t="shared" si="32"/>
        <v>8539.5159999999996</v>
      </c>
      <c r="J276" s="619">
        <f t="shared" si="33"/>
        <v>4223.5439999999999</v>
      </c>
      <c r="K276" s="631">
        <f t="shared" si="34"/>
        <v>316.10420499923606</v>
      </c>
      <c r="L276" s="540"/>
      <c r="M276" s="532"/>
      <c r="N276" s="433"/>
      <c r="O276" s="434"/>
      <c r="P276" s="499"/>
      <c r="Q276" s="387">
        <f t="shared" si="30"/>
        <v>141</v>
      </c>
      <c r="R276" s="517">
        <v>33.58</v>
      </c>
      <c r="S276" s="366" t="str">
        <f t="shared" si="35"/>
        <v>OK</v>
      </c>
    </row>
    <row r="277" spans="1:19" ht="13">
      <c r="A277" s="617">
        <f t="shared" si="31"/>
        <v>260</v>
      </c>
      <c r="B277" s="702" t="s">
        <v>98</v>
      </c>
      <c r="C277" s="702"/>
      <c r="D277" s="702"/>
      <c r="E277" s="618">
        <f>'7" 26# Deck Tally'!B260</f>
        <v>140</v>
      </c>
      <c r="F277" s="619">
        <f>'7" 26# Deck Tally'!C260</f>
        <v>33.53</v>
      </c>
      <c r="G277" s="619">
        <f t="shared" ref="G277:G340" si="36">F277-($F$9)</f>
        <v>33.131999999999998</v>
      </c>
      <c r="H277" s="619" t="s">
        <v>9</v>
      </c>
      <c r="I277" s="619">
        <f t="shared" si="32"/>
        <v>8572.6479999999992</v>
      </c>
      <c r="J277" s="619">
        <f t="shared" si="33"/>
        <v>4190.4120000000003</v>
      </c>
      <c r="K277" s="632">
        <f t="shared" si="34"/>
        <v>316.83402019251332</v>
      </c>
      <c r="L277" s="540"/>
      <c r="M277" s="532"/>
      <c r="N277" s="433"/>
      <c r="O277" s="434"/>
      <c r="P277" s="499"/>
      <c r="Q277" s="387">
        <f t="shared" ref="Q277:Q340" si="37">E277</f>
        <v>140</v>
      </c>
      <c r="R277" s="517">
        <v>33.53</v>
      </c>
      <c r="S277" s="366" t="str">
        <f t="shared" si="35"/>
        <v>OK</v>
      </c>
    </row>
    <row r="278" spans="1:19" ht="13">
      <c r="A278" s="617">
        <f t="shared" si="31"/>
        <v>261</v>
      </c>
      <c r="B278" s="702" t="s">
        <v>98</v>
      </c>
      <c r="C278" s="702"/>
      <c r="D278" s="702"/>
      <c r="E278" s="618">
        <f>'7" 26# Deck Tally'!B261</f>
        <v>139</v>
      </c>
      <c r="F278" s="619">
        <f>'7" 26# Deck Tally'!C261</f>
        <v>33.93</v>
      </c>
      <c r="G278" s="619">
        <f t="shared" si="36"/>
        <v>33.531999999999996</v>
      </c>
      <c r="H278" s="619" t="s">
        <v>9</v>
      </c>
      <c r="I278" s="619">
        <f t="shared" si="32"/>
        <v>8606.1799999999985</v>
      </c>
      <c r="J278" s="619">
        <f t="shared" si="33"/>
        <v>4156.880000000001</v>
      </c>
      <c r="K278" s="632">
        <f t="shared" si="34"/>
        <v>317.5726463865546</v>
      </c>
      <c r="L278" s="540"/>
      <c r="M278" s="532"/>
      <c r="N278" s="433"/>
      <c r="O278" s="434"/>
      <c r="P278" s="499"/>
      <c r="Q278" s="387">
        <f t="shared" si="37"/>
        <v>139</v>
      </c>
      <c r="R278" s="517">
        <v>33.93</v>
      </c>
      <c r="S278" s="366" t="str">
        <f t="shared" si="35"/>
        <v>OK</v>
      </c>
    </row>
    <row r="279" spans="1:19" ht="13">
      <c r="A279" s="617">
        <f t="shared" ref="A279:A342" si="38">A278+1</f>
        <v>262</v>
      </c>
      <c r="B279" s="702" t="s">
        <v>98</v>
      </c>
      <c r="C279" s="702"/>
      <c r="D279" s="702"/>
      <c r="E279" s="618">
        <f>'7" 26# Deck Tally'!B262</f>
        <v>138</v>
      </c>
      <c r="F279" s="619">
        <f>'7" 26# Deck Tally'!C262</f>
        <v>33.93</v>
      </c>
      <c r="G279" s="619">
        <f t="shared" si="36"/>
        <v>33.531999999999996</v>
      </c>
      <c r="H279" s="619" t="s">
        <v>9</v>
      </c>
      <c r="I279" s="619">
        <f t="shared" si="32"/>
        <v>8639.7119999999977</v>
      </c>
      <c r="J279" s="619">
        <f t="shared" si="33"/>
        <v>4123.3480000000018</v>
      </c>
      <c r="K279" s="632">
        <f t="shared" si="34"/>
        <v>318.31127258059581</v>
      </c>
      <c r="L279" s="540"/>
      <c r="M279" s="532"/>
      <c r="N279" s="433"/>
      <c r="O279" s="434"/>
      <c r="P279" s="499"/>
      <c r="Q279" s="387">
        <f t="shared" si="37"/>
        <v>138</v>
      </c>
      <c r="R279" s="517">
        <v>33.93</v>
      </c>
      <c r="S279" s="366" t="str">
        <f t="shared" si="35"/>
        <v>OK</v>
      </c>
    </row>
    <row r="280" spans="1:19" ht="13">
      <c r="A280" s="617">
        <f t="shared" si="38"/>
        <v>263</v>
      </c>
      <c r="B280" s="702" t="s">
        <v>98</v>
      </c>
      <c r="C280" s="702"/>
      <c r="D280" s="702"/>
      <c r="E280" s="618">
        <f>'7" 26# Deck Tally'!B263</f>
        <v>137</v>
      </c>
      <c r="F280" s="619">
        <f>'7" 26# Deck Tally'!C263</f>
        <v>33.799999999999997</v>
      </c>
      <c r="G280" s="619">
        <f t="shared" si="36"/>
        <v>33.401999999999994</v>
      </c>
      <c r="H280" s="619" t="s">
        <v>9</v>
      </c>
      <c r="I280" s="619">
        <f t="shared" si="32"/>
        <v>8673.1139999999978</v>
      </c>
      <c r="J280" s="619">
        <f t="shared" si="33"/>
        <v>4089.9460000000017</v>
      </c>
      <c r="K280" s="631">
        <f t="shared" si="34"/>
        <v>319.0470351993888</v>
      </c>
      <c r="L280" s="540"/>
      <c r="M280" s="532"/>
      <c r="N280" s="433"/>
      <c r="O280" s="434"/>
      <c r="P280" s="499"/>
      <c r="Q280" s="387">
        <f t="shared" si="37"/>
        <v>137</v>
      </c>
      <c r="R280" s="517">
        <v>33.799999999999997</v>
      </c>
      <c r="S280" s="366" t="str">
        <f t="shared" si="35"/>
        <v>OK</v>
      </c>
    </row>
    <row r="281" spans="1:19" ht="13">
      <c r="A281" s="617">
        <f t="shared" si="38"/>
        <v>264</v>
      </c>
      <c r="B281" s="702" t="s">
        <v>98</v>
      </c>
      <c r="C281" s="702"/>
      <c r="D281" s="702"/>
      <c r="E281" s="618">
        <f>'7" 26# Deck Tally'!B264</f>
        <v>136</v>
      </c>
      <c r="F281" s="619">
        <f>'7" 26# Deck Tally'!C264</f>
        <v>33.75</v>
      </c>
      <c r="G281" s="619">
        <f t="shared" si="36"/>
        <v>33.351999999999997</v>
      </c>
      <c r="H281" s="619" t="s">
        <v>9</v>
      </c>
      <c r="I281" s="619">
        <f t="shared" si="32"/>
        <v>8706.4659999999985</v>
      </c>
      <c r="J281" s="619">
        <f t="shared" si="33"/>
        <v>4056.594000000001</v>
      </c>
      <c r="K281" s="632">
        <f t="shared" si="34"/>
        <v>319.78169644308628</v>
      </c>
      <c r="L281" s="540"/>
      <c r="M281" s="532"/>
      <c r="N281" s="433"/>
      <c r="O281" s="434"/>
      <c r="P281" s="499"/>
      <c r="Q281" s="387">
        <f t="shared" si="37"/>
        <v>136</v>
      </c>
      <c r="R281" s="517">
        <v>33.75</v>
      </c>
      <c r="S281" s="366" t="str">
        <f t="shared" si="35"/>
        <v>OK</v>
      </c>
    </row>
    <row r="282" spans="1:19" ht="13">
      <c r="A282" s="617">
        <f t="shared" si="38"/>
        <v>265</v>
      </c>
      <c r="B282" s="702" t="s">
        <v>98</v>
      </c>
      <c r="C282" s="702"/>
      <c r="D282" s="702"/>
      <c r="E282" s="618">
        <f>'7" 26# Deck Tally'!B265</f>
        <v>135</v>
      </c>
      <c r="F282" s="619">
        <f>'7" 26# Deck Tally'!C265</f>
        <v>33.520000000000003</v>
      </c>
      <c r="G282" s="619">
        <f t="shared" si="36"/>
        <v>33.122</v>
      </c>
      <c r="H282" s="619" t="s">
        <v>9</v>
      </c>
      <c r="I282" s="619">
        <f t="shared" si="32"/>
        <v>8739.5879999999979</v>
      </c>
      <c r="J282" s="619">
        <f t="shared" si="33"/>
        <v>4023.4720000000016</v>
      </c>
      <c r="K282" s="632">
        <f t="shared" si="34"/>
        <v>320.51129136134449</v>
      </c>
      <c r="L282" s="540"/>
      <c r="M282" s="532"/>
      <c r="N282" s="433"/>
      <c r="O282" s="434"/>
      <c r="P282" s="499"/>
      <c r="Q282" s="387">
        <f t="shared" si="37"/>
        <v>135</v>
      </c>
      <c r="R282" s="517">
        <v>33.520000000000003</v>
      </c>
      <c r="S282" s="366" t="str">
        <f t="shared" si="35"/>
        <v>OK</v>
      </c>
    </row>
    <row r="283" spans="1:19" ht="13">
      <c r="A283" s="617">
        <f t="shared" si="38"/>
        <v>266</v>
      </c>
      <c r="B283" s="702" t="s">
        <v>98</v>
      </c>
      <c r="C283" s="702"/>
      <c r="D283" s="702"/>
      <c r="E283" s="618">
        <f>'7" 26# Deck Tally'!B266</f>
        <v>134</v>
      </c>
      <c r="F283" s="619">
        <f>'7" 26# Deck Tally'!C266</f>
        <v>33.67</v>
      </c>
      <c r="G283" s="619">
        <f t="shared" si="36"/>
        <v>33.271999999999998</v>
      </c>
      <c r="H283" s="619" t="s">
        <v>9</v>
      </c>
      <c r="I283" s="619">
        <f t="shared" si="32"/>
        <v>8772.8599999999988</v>
      </c>
      <c r="J283" s="619">
        <f t="shared" si="33"/>
        <v>3990.2000000000007</v>
      </c>
      <c r="K283" s="632">
        <f t="shared" si="34"/>
        <v>321.2441904048892</v>
      </c>
      <c r="L283" s="540"/>
      <c r="M283" s="532"/>
      <c r="N283" s="433"/>
      <c r="O283" s="434"/>
      <c r="P283" s="499"/>
      <c r="Q283" s="387">
        <f t="shared" si="37"/>
        <v>134</v>
      </c>
      <c r="R283" s="517">
        <v>33.67</v>
      </c>
      <c r="S283" s="366" t="str">
        <f t="shared" si="35"/>
        <v>OK</v>
      </c>
    </row>
    <row r="284" spans="1:19" ht="13">
      <c r="A284" s="617">
        <f t="shared" si="38"/>
        <v>267</v>
      </c>
      <c r="B284" s="702" t="s">
        <v>98</v>
      </c>
      <c r="C284" s="702"/>
      <c r="D284" s="702"/>
      <c r="E284" s="618">
        <f>'7" 26# Deck Tally'!B267</f>
        <v>133</v>
      </c>
      <c r="F284" s="619">
        <f>'7" 26# Deck Tally'!C267</f>
        <v>33.520000000000003</v>
      </c>
      <c r="G284" s="619">
        <f t="shared" si="36"/>
        <v>33.122</v>
      </c>
      <c r="H284" s="619" t="s">
        <v>9</v>
      </c>
      <c r="I284" s="619">
        <f t="shared" si="32"/>
        <v>8805.9819999999982</v>
      </c>
      <c r="J284" s="619">
        <f t="shared" si="33"/>
        <v>3957.0780000000013</v>
      </c>
      <c r="K284" s="632">
        <f t="shared" si="34"/>
        <v>321.97378532314741</v>
      </c>
      <c r="L284" s="540"/>
      <c r="M284" s="532"/>
      <c r="N284" s="433"/>
      <c r="O284" s="434"/>
      <c r="P284" s="499"/>
      <c r="Q284" s="387">
        <f t="shared" si="37"/>
        <v>133</v>
      </c>
      <c r="R284" s="517">
        <v>33.520000000000003</v>
      </c>
      <c r="S284" s="366" t="str">
        <f t="shared" si="35"/>
        <v>OK</v>
      </c>
    </row>
    <row r="285" spans="1:19" ht="13">
      <c r="A285" s="617">
        <f t="shared" si="38"/>
        <v>268</v>
      </c>
      <c r="B285" s="702" t="s">
        <v>98</v>
      </c>
      <c r="C285" s="702"/>
      <c r="D285" s="702"/>
      <c r="E285" s="618">
        <f>'7" 26# Deck Tally'!B268</f>
        <v>132</v>
      </c>
      <c r="F285" s="619">
        <f>'7" 26# Deck Tally'!C268</f>
        <v>33.93</v>
      </c>
      <c r="G285" s="619">
        <f t="shared" si="36"/>
        <v>33.531999999999996</v>
      </c>
      <c r="H285" s="619" t="s">
        <v>9</v>
      </c>
      <c r="I285" s="619">
        <f t="shared" si="32"/>
        <v>8839.5139999999974</v>
      </c>
      <c r="J285" s="619">
        <f t="shared" si="33"/>
        <v>3923.5460000000021</v>
      </c>
      <c r="K285" s="631">
        <f t="shared" si="34"/>
        <v>322.71241151718868</v>
      </c>
      <c r="L285" s="540"/>
      <c r="M285" s="532"/>
      <c r="N285" s="433"/>
      <c r="O285" s="434"/>
      <c r="P285" s="499"/>
      <c r="Q285" s="387">
        <f t="shared" si="37"/>
        <v>132</v>
      </c>
      <c r="R285" s="517">
        <v>33.93</v>
      </c>
      <c r="S285" s="366" t="str">
        <f t="shared" si="35"/>
        <v>OK</v>
      </c>
    </row>
    <row r="286" spans="1:19" ht="13">
      <c r="A286" s="617">
        <f t="shared" si="38"/>
        <v>269</v>
      </c>
      <c r="B286" s="702" t="s">
        <v>98</v>
      </c>
      <c r="C286" s="702"/>
      <c r="D286" s="702"/>
      <c r="E286" s="618">
        <f>'7" 26# Deck Tally'!B269</f>
        <v>131</v>
      </c>
      <c r="F286" s="619">
        <f>'7" 26# Deck Tally'!C269</f>
        <v>33.67</v>
      </c>
      <c r="G286" s="619">
        <f t="shared" si="36"/>
        <v>33.271999999999998</v>
      </c>
      <c r="H286" s="619" t="s">
        <v>9</v>
      </c>
      <c r="I286" s="619">
        <f t="shared" si="32"/>
        <v>8872.7859999999982</v>
      </c>
      <c r="J286" s="619">
        <f t="shared" si="33"/>
        <v>3890.2740000000013</v>
      </c>
      <c r="K286" s="632">
        <f t="shared" si="34"/>
        <v>323.44531056073333</v>
      </c>
      <c r="L286" s="540"/>
      <c r="M286" s="532"/>
      <c r="N286" s="433"/>
      <c r="O286" s="434"/>
      <c r="P286" s="499"/>
      <c r="Q286" s="387">
        <f t="shared" si="37"/>
        <v>131</v>
      </c>
      <c r="R286" s="517">
        <v>33.67</v>
      </c>
      <c r="S286" s="366" t="str">
        <f t="shared" si="35"/>
        <v>OK</v>
      </c>
    </row>
    <row r="287" spans="1:19" ht="13">
      <c r="A287" s="617">
        <f t="shared" si="38"/>
        <v>270</v>
      </c>
      <c r="B287" s="702" t="s">
        <v>98</v>
      </c>
      <c r="C287" s="702"/>
      <c r="D287" s="702"/>
      <c r="E287" s="618">
        <f>'7" 26# Deck Tally'!B270</f>
        <v>130</v>
      </c>
      <c r="F287" s="619">
        <f>'7" 26# Deck Tally'!C270</f>
        <v>33.46</v>
      </c>
      <c r="G287" s="619">
        <f t="shared" si="36"/>
        <v>33.061999999999998</v>
      </c>
      <c r="H287" s="619" t="s">
        <v>9</v>
      </c>
      <c r="I287" s="619">
        <f t="shared" si="32"/>
        <v>8905.8479999999981</v>
      </c>
      <c r="J287" s="619">
        <f t="shared" si="33"/>
        <v>3857.2120000000014</v>
      </c>
      <c r="K287" s="632">
        <f t="shared" si="34"/>
        <v>324.17358382887699</v>
      </c>
      <c r="L287" s="540"/>
      <c r="M287" s="532"/>
      <c r="N287" s="433"/>
      <c r="O287" s="434"/>
      <c r="P287" s="499"/>
      <c r="Q287" s="387">
        <f t="shared" si="37"/>
        <v>130</v>
      </c>
      <c r="R287" s="517">
        <v>33.46</v>
      </c>
      <c r="S287" s="366" t="str">
        <f t="shared" si="35"/>
        <v>OK</v>
      </c>
    </row>
    <row r="288" spans="1:19" ht="13">
      <c r="A288" s="617">
        <f t="shared" si="38"/>
        <v>271</v>
      </c>
      <c r="B288" s="702" t="s">
        <v>98</v>
      </c>
      <c r="C288" s="702"/>
      <c r="D288" s="702"/>
      <c r="E288" s="618">
        <f>'7" 26# Deck Tally'!B271</f>
        <v>129</v>
      </c>
      <c r="F288" s="619">
        <f>'7" 26# Deck Tally'!C271</f>
        <v>33.630000000000003</v>
      </c>
      <c r="G288" s="619">
        <f t="shared" si="36"/>
        <v>33.231999999999999</v>
      </c>
      <c r="H288" s="619" t="s">
        <v>9</v>
      </c>
      <c r="I288" s="619">
        <f t="shared" si="32"/>
        <v>8939.0799999999981</v>
      </c>
      <c r="J288" s="619">
        <f t="shared" si="33"/>
        <v>3823.9800000000014</v>
      </c>
      <c r="K288" s="632">
        <f t="shared" si="34"/>
        <v>324.90560177234528</v>
      </c>
      <c r="L288" s="540"/>
      <c r="M288" s="532"/>
      <c r="N288" s="433"/>
      <c r="O288" s="434"/>
      <c r="P288" s="499"/>
      <c r="Q288" s="387">
        <f t="shared" si="37"/>
        <v>129</v>
      </c>
      <c r="R288" s="517">
        <v>33.630000000000003</v>
      </c>
      <c r="S288" s="366" t="str">
        <f t="shared" si="35"/>
        <v>OK</v>
      </c>
    </row>
    <row r="289" spans="1:19" ht="13">
      <c r="A289" s="617">
        <f t="shared" si="38"/>
        <v>272</v>
      </c>
      <c r="B289" s="702" t="s">
        <v>98</v>
      </c>
      <c r="C289" s="702"/>
      <c r="D289" s="702"/>
      <c r="E289" s="618">
        <f>'7" 26# Deck Tally'!B272</f>
        <v>128</v>
      </c>
      <c r="F289" s="619">
        <f>'7" 26# Deck Tally'!C272</f>
        <v>33.840000000000003</v>
      </c>
      <c r="G289" s="619">
        <f t="shared" si="36"/>
        <v>33.442</v>
      </c>
      <c r="H289" s="619" t="s">
        <v>9</v>
      </c>
      <c r="I289" s="619">
        <f t="shared" si="32"/>
        <v>8972.5219999999972</v>
      </c>
      <c r="J289" s="619">
        <f t="shared" si="33"/>
        <v>3790.5380000000023</v>
      </c>
      <c r="K289" s="632">
        <f t="shared" si="34"/>
        <v>325.64224549121462</v>
      </c>
      <c r="L289" s="540"/>
      <c r="M289" s="532"/>
      <c r="N289" s="433"/>
      <c r="O289" s="434"/>
      <c r="P289" s="499"/>
      <c r="Q289" s="387">
        <f t="shared" si="37"/>
        <v>128</v>
      </c>
      <c r="R289" s="517">
        <v>33.840000000000003</v>
      </c>
      <c r="S289" s="366" t="str">
        <f t="shared" si="35"/>
        <v>OK</v>
      </c>
    </row>
    <row r="290" spans="1:19" ht="13">
      <c r="A290" s="617">
        <f t="shared" si="38"/>
        <v>273</v>
      </c>
      <c r="B290" s="702" t="s">
        <v>98</v>
      </c>
      <c r="C290" s="702"/>
      <c r="D290" s="702"/>
      <c r="E290" s="618">
        <f>'7" 26# Deck Tally'!B273</f>
        <v>127</v>
      </c>
      <c r="F290" s="619">
        <f>'7" 26# Deck Tally'!C273</f>
        <v>33.68</v>
      </c>
      <c r="G290" s="619">
        <f t="shared" si="36"/>
        <v>33.281999999999996</v>
      </c>
      <c r="H290" s="619" t="s">
        <v>9</v>
      </c>
      <c r="I290" s="619">
        <f t="shared" si="32"/>
        <v>9005.8039999999964</v>
      </c>
      <c r="J290" s="619">
        <f t="shared" si="33"/>
        <v>3757.256000000003</v>
      </c>
      <c r="K290" s="631">
        <f t="shared" si="34"/>
        <v>326.37536480977838</v>
      </c>
      <c r="L290" s="540"/>
      <c r="M290" s="532"/>
      <c r="N290" s="433"/>
      <c r="O290" s="434"/>
      <c r="P290" s="499"/>
      <c r="Q290" s="387">
        <f t="shared" si="37"/>
        <v>127</v>
      </c>
      <c r="R290" s="517">
        <v>33.68</v>
      </c>
      <c r="S290" s="366" t="str">
        <f t="shared" si="35"/>
        <v>OK</v>
      </c>
    </row>
    <row r="291" spans="1:19" ht="13">
      <c r="A291" s="617">
        <f t="shared" si="38"/>
        <v>274</v>
      </c>
      <c r="B291" s="702" t="s">
        <v>98</v>
      </c>
      <c r="C291" s="702"/>
      <c r="D291" s="702"/>
      <c r="E291" s="618">
        <f>'7" 26# Deck Tally'!B274</f>
        <v>126</v>
      </c>
      <c r="F291" s="619">
        <f>'7" 26# Deck Tally'!C274</f>
        <v>33.700000000000003</v>
      </c>
      <c r="G291" s="619">
        <f t="shared" si="36"/>
        <v>33.302</v>
      </c>
      <c r="H291" s="619" t="s">
        <v>9</v>
      </c>
      <c r="I291" s="619">
        <f t="shared" si="32"/>
        <v>9039.1059999999961</v>
      </c>
      <c r="J291" s="619">
        <f t="shared" si="33"/>
        <v>3723.9540000000034</v>
      </c>
      <c r="K291" s="632">
        <f t="shared" si="34"/>
        <v>327.10892467838039</v>
      </c>
      <c r="L291" s="540"/>
      <c r="M291" s="532"/>
      <c r="N291" s="433"/>
      <c r="O291" s="434"/>
      <c r="P291" s="499"/>
      <c r="Q291" s="387">
        <f t="shared" si="37"/>
        <v>126</v>
      </c>
      <c r="R291" s="517">
        <v>33.700000000000003</v>
      </c>
      <c r="S291" s="366" t="str">
        <f t="shared" si="35"/>
        <v>OK</v>
      </c>
    </row>
    <row r="292" spans="1:19" ht="13">
      <c r="A292" s="617">
        <f t="shared" si="38"/>
        <v>275</v>
      </c>
      <c r="B292" s="702" t="s">
        <v>98</v>
      </c>
      <c r="C292" s="702"/>
      <c r="D292" s="702"/>
      <c r="E292" s="618">
        <f>'7" 26# Deck Tally'!B275</f>
        <v>125</v>
      </c>
      <c r="F292" s="619">
        <f>'7" 26# Deck Tally'!C275</f>
        <v>33.5</v>
      </c>
      <c r="G292" s="619">
        <f t="shared" si="36"/>
        <v>33.101999999999997</v>
      </c>
      <c r="H292" s="619" t="s">
        <v>9</v>
      </c>
      <c r="I292" s="619">
        <f t="shared" si="32"/>
        <v>9072.2079999999969</v>
      </c>
      <c r="J292" s="619">
        <f t="shared" si="33"/>
        <v>3690.8520000000026</v>
      </c>
      <c r="K292" s="632">
        <f t="shared" si="34"/>
        <v>327.83807904660034</v>
      </c>
      <c r="L292" s="540"/>
      <c r="M292" s="532"/>
      <c r="N292" s="433"/>
      <c r="O292" s="434"/>
      <c r="P292" s="499"/>
      <c r="Q292" s="387">
        <f t="shared" si="37"/>
        <v>125</v>
      </c>
      <c r="R292" s="517">
        <v>33.5</v>
      </c>
      <c r="S292" s="366" t="str">
        <f t="shared" si="35"/>
        <v>OK</v>
      </c>
    </row>
    <row r="293" spans="1:19" ht="13">
      <c r="A293" s="617">
        <f t="shared" si="38"/>
        <v>276</v>
      </c>
      <c r="B293" s="702" t="s">
        <v>98</v>
      </c>
      <c r="C293" s="702"/>
      <c r="D293" s="702"/>
      <c r="E293" s="618">
        <f>'7" 26# Deck Tally'!B276</f>
        <v>124</v>
      </c>
      <c r="F293" s="619">
        <f>'7" 26# Deck Tally'!C276</f>
        <v>31.96</v>
      </c>
      <c r="G293" s="619">
        <f t="shared" si="36"/>
        <v>31.562000000000001</v>
      </c>
      <c r="H293" s="619" t="s">
        <v>9</v>
      </c>
      <c r="I293" s="619">
        <f t="shared" si="32"/>
        <v>9103.7699999999968</v>
      </c>
      <c r="J293" s="619">
        <f t="shared" si="33"/>
        <v>3659.2900000000027</v>
      </c>
      <c r="K293" s="632">
        <f t="shared" si="34"/>
        <v>328.5333110618792</v>
      </c>
      <c r="L293" s="540"/>
      <c r="M293" s="532"/>
      <c r="N293" s="433"/>
      <c r="O293" s="434"/>
      <c r="P293" s="499"/>
      <c r="Q293" s="387">
        <f t="shared" si="37"/>
        <v>124</v>
      </c>
      <c r="R293" s="517">
        <v>31.96</v>
      </c>
      <c r="S293" s="366" t="str">
        <f t="shared" si="35"/>
        <v>OK</v>
      </c>
    </row>
    <row r="294" spans="1:19" ht="13">
      <c r="A294" s="617">
        <f t="shared" si="38"/>
        <v>277</v>
      </c>
      <c r="B294" s="702" t="s">
        <v>98</v>
      </c>
      <c r="C294" s="702"/>
      <c r="D294" s="702"/>
      <c r="E294" s="618">
        <f>'7" 26# Deck Tally'!B277</f>
        <v>123</v>
      </c>
      <c r="F294" s="619">
        <f>'7" 26# Deck Tally'!C277</f>
        <v>33.56</v>
      </c>
      <c r="G294" s="619">
        <f t="shared" si="36"/>
        <v>33.161999999999999</v>
      </c>
      <c r="H294" s="619" t="s">
        <v>9</v>
      </c>
      <c r="I294" s="619">
        <f t="shared" si="32"/>
        <v>9136.9319999999971</v>
      </c>
      <c r="J294" s="619">
        <f t="shared" si="33"/>
        <v>3626.1280000000024</v>
      </c>
      <c r="K294" s="632">
        <f t="shared" si="34"/>
        <v>329.26378708021383</v>
      </c>
      <c r="L294" s="540"/>
      <c r="M294" s="532"/>
      <c r="N294" s="433"/>
      <c r="O294" s="434"/>
      <c r="P294" s="499"/>
      <c r="Q294" s="387">
        <f t="shared" si="37"/>
        <v>123</v>
      </c>
      <c r="R294" s="517">
        <v>33.56</v>
      </c>
      <c r="S294" s="366" t="str">
        <f t="shared" si="35"/>
        <v>OK</v>
      </c>
    </row>
    <row r="295" spans="1:19" ht="13">
      <c r="A295" s="617">
        <f t="shared" si="38"/>
        <v>278</v>
      </c>
      <c r="B295" s="702" t="s">
        <v>98</v>
      </c>
      <c r="C295" s="702"/>
      <c r="D295" s="702"/>
      <c r="E295" s="618">
        <f>'7" 26# Deck Tally'!B278</f>
        <v>122</v>
      </c>
      <c r="F295" s="619">
        <f>'7" 26# Deck Tally'!C278</f>
        <v>33.549999999999997</v>
      </c>
      <c r="G295" s="619">
        <f t="shared" si="36"/>
        <v>33.151999999999994</v>
      </c>
      <c r="H295" s="619" t="s">
        <v>9</v>
      </c>
      <c r="I295" s="619">
        <f t="shared" si="32"/>
        <v>9170.0839999999971</v>
      </c>
      <c r="J295" s="619">
        <f t="shared" si="33"/>
        <v>3592.9760000000024</v>
      </c>
      <c r="K295" s="632">
        <f t="shared" si="34"/>
        <v>329.9940428235293</v>
      </c>
      <c r="L295" s="540"/>
      <c r="M295" s="532"/>
      <c r="N295" s="433"/>
      <c r="O295" s="434"/>
      <c r="P295" s="499"/>
      <c r="Q295" s="387">
        <f t="shared" si="37"/>
        <v>122</v>
      </c>
      <c r="R295" s="517">
        <v>33.549999999999997</v>
      </c>
      <c r="S295" s="366" t="str">
        <f t="shared" si="35"/>
        <v>OK</v>
      </c>
    </row>
    <row r="296" spans="1:19" ht="13">
      <c r="A296" s="617">
        <f t="shared" si="38"/>
        <v>279</v>
      </c>
      <c r="B296" s="702" t="s">
        <v>98</v>
      </c>
      <c r="C296" s="702"/>
      <c r="D296" s="702"/>
      <c r="E296" s="618">
        <f>'7" 26# Deck Tally'!B279</f>
        <v>121</v>
      </c>
      <c r="F296" s="619">
        <f>'7" 26# Deck Tally'!C279</f>
        <v>33.159999999999997</v>
      </c>
      <c r="G296" s="619">
        <f t="shared" si="36"/>
        <v>32.761999999999993</v>
      </c>
      <c r="H296" s="619" t="s">
        <v>9</v>
      </c>
      <c r="I296" s="619">
        <f t="shared" si="32"/>
        <v>9202.8459999999977</v>
      </c>
      <c r="J296" s="619">
        <f t="shared" si="33"/>
        <v>3560.2140000000018</v>
      </c>
      <c r="K296" s="632">
        <f t="shared" si="34"/>
        <v>330.71570784110003</v>
      </c>
      <c r="L296" s="540"/>
      <c r="M296" s="532"/>
      <c r="N296" s="433"/>
      <c r="O296" s="434"/>
      <c r="P296" s="499"/>
      <c r="Q296" s="387">
        <f t="shared" si="37"/>
        <v>121</v>
      </c>
      <c r="R296" s="517">
        <v>33.159999999999997</v>
      </c>
      <c r="S296" s="366" t="str">
        <f t="shared" si="35"/>
        <v>OK</v>
      </c>
    </row>
    <row r="297" spans="1:19" ht="13">
      <c r="A297" s="617">
        <f t="shared" si="38"/>
        <v>280</v>
      </c>
      <c r="B297" s="702" t="s">
        <v>98</v>
      </c>
      <c r="C297" s="702"/>
      <c r="D297" s="702"/>
      <c r="E297" s="618">
        <f>'7" 26# Deck Tally'!B280</f>
        <v>120</v>
      </c>
      <c r="F297" s="619">
        <f>'7" 26# Deck Tally'!C280</f>
        <v>33.090000000000003</v>
      </c>
      <c r="G297" s="619">
        <f t="shared" si="36"/>
        <v>32.692</v>
      </c>
      <c r="H297" s="619" t="s">
        <v>9</v>
      </c>
      <c r="I297" s="619">
        <f t="shared" si="32"/>
        <v>9235.5379999999968</v>
      </c>
      <c r="J297" s="619">
        <f t="shared" si="33"/>
        <v>3527.5220000000027</v>
      </c>
      <c r="K297" s="632">
        <f t="shared" si="34"/>
        <v>331.43583093353698</v>
      </c>
      <c r="L297" s="540"/>
      <c r="M297" s="532"/>
      <c r="N297" s="497"/>
      <c r="O297" s="434"/>
      <c r="P297" s="499"/>
      <c r="Q297" s="387">
        <f t="shared" si="37"/>
        <v>120</v>
      </c>
      <c r="R297" s="517">
        <v>33.090000000000003</v>
      </c>
      <c r="S297" s="366" t="str">
        <f t="shared" si="35"/>
        <v>OK</v>
      </c>
    </row>
    <row r="298" spans="1:19" ht="13" customHeight="1">
      <c r="A298" s="617">
        <f t="shared" si="38"/>
        <v>281</v>
      </c>
      <c r="B298" s="702" t="s">
        <v>98</v>
      </c>
      <c r="C298" s="702"/>
      <c r="D298" s="702"/>
      <c r="E298" s="618">
        <f>'7" 26# Deck Tally'!B281</f>
        <v>119</v>
      </c>
      <c r="F298" s="619">
        <f>'7" 26# Deck Tally'!C281</f>
        <v>31.82</v>
      </c>
      <c r="G298" s="619">
        <f t="shared" si="36"/>
        <v>31.422000000000001</v>
      </c>
      <c r="H298" s="619" t="s">
        <v>9</v>
      </c>
      <c r="I298" s="619">
        <f t="shared" si="32"/>
        <v>9266.9599999999973</v>
      </c>
      <c r="J298" s="619">
        <f t="shared" si="33"/>
        <v>3496.1000000000022</v>
      </c>
      <c r="K298" s="632">
        <f t="shared" si="34"/>
        <v>332.12797909854845</v>
      </c>
      <c r="L298" s="540"/>
      <c r="M298" s="532"/>
      <c r="N298" s="368"/>
      <c r="P298" s="436"/>
      <c r="Q298" s="387">
        <f t="shared" si="37"/>
        <v>119</v>
      </c>
      <c r="R298" s="517">
        <v>31.82</v>
      </c>
      <c r="S298" s="366" t="str">
        <f t="shared" si="35"/>
        <v>OK</v>
      </c>
    </row>
    <row r="299" spans="1:19">
      <c r="A299" s="617">
        <f t="shared" si="38"/>
        <v>282</v>
      </c>
      <c r="B299" s="702" t="s">
        <v>98</v>
      </c>
      <c r="C299" s="702"/>
      <c r="D299" s="702"/>
      <c r="E299" s="618">
        <f>'7" 26# Deck Tally'!B282</f>
        <v>118</v>
      </c>
      <c r="F299" s="619">
        <f>'7" 26# Deck Tally'!C282</f>
        <v>32.1</v>
      </c>
      <c r="G299" s="619">
        <f t="shared" si="36"/>
        <v>31.702000000000002</v>
      </c>
      <c r="H299" s="619" t="s">
        <v>9</v>
      </c>
      <c r="I299" s="619">
        <f t="shared" si="32"/>
        <v>9298.6619999999966</v>
      </c>
      <c r="J299" s="619">
        <f t="shared" si="33"/>
        <v>3464.3980000000029</v>
      </c>
      <c r="K299" s="632">
        <f t="shared" si="34"/>
        <v>332.82629496409464</v>
      </c>
      <c r="L299" s="540"/>
      <c r="M299" s="532"/>
      <c r="N299" s="433"/>
      <c r="O299" s="434"/>
      <c r="P299" s="436"/>
      <c r="Q299" s="387">
        <f t="shared" si="37"/>
        <v>118</v>
      </c>
      <c r="R299" s="517">
        <v>32.1</v>
      </c>
      <c r="S299" s="366" t="str">
        <f t="shared" si="35"/>
        <v>OK</v>
      </c>
    </row>
    <row r="300" spans="1:19">
      <c r="A300" s="617">
        <f t="shared" si="38"/>
        <v>283</v>
      </c>
      <c r="B300" s="702" t="s">
        <v>98</v>
      </c>
      <c r="C300" s="702"/>
      <c r="D300" s="702"/>
      <c r="E300" s="618">
        <f>'7" 26# Deck Tally'!B283</f>
        <v>117</v>
      </c>
      <c r="F300" s="619">
        <f>'7" 26# Deck Tally'!C283</f>
        <v>33.479999999999997</v>
      </c>
      <c r="G300" s="619">
        <f t="shared" si="36"/>
        <v>33.081999999999994</v>
      </c>
      <c r="H300" s="619" t="s">
        <v>9</v>
      </c>
      <c r="I300" s="619">
        <f t="shared" si="32"/>
        <v>9331.743999999997</v>
      </c>
      <c r="J300" s="619">
        <f t="shared" si="33"/>
        <v>3431.3160000000025</v>
      </c>
      <c r="K300" s="632">
        <f t="shared" si="34"/>
        <v>333.55500878227645</v>
      </c>
      <c r="L300" s="540"/>
      <c r="M300" s="532"/>
      <c r="N300" s="433"/>
      <c r="O300" s="434"/>
      <c r="P300" s="436"/>
      <c r="Q300" s="387">
        <f t="shared" si="37"/>
        <v>117</v>
      </c>
      <c r="R300" s="517">
        <v>33.479999999999997</v>
      </c>
      <c r="S300" s="366" t="str">
        <f t="shared" si="35"/>
        <v>OK</v>
      </c>
    </row>
    <row r="301" spans="1:19">
      <c r="A301" s="617">
        <f t="shared" si="38"/>
        <v>284</v>
      </c>
      <c r="B301" s="702" t="s">
        <v>98</v>
      </c>
      <c r="C301" s="702"/>
      <c r="D301" s="702"/>
      <c r="E301" s="618">
        <f>'7" 26# Deck Tally'!B284</f>
        <v>116</v>
      </c>
      <c r="F301" s="619">
        <f>'7" 26# Deck Tally'!C284</f>
        <v>33.51</v>
      </c>
      <c r="G301" s="619">
        <f t="shared" si="36"/>
        <v>33.111999999999995</v>
      </c>
      <c r="H301" s="619" t="s">
        <v>9</v>
      </c>
      <c r="I301" s="619">
        <f t="shared" si="32"/>
        <v>9364.8559999999961</v>
      </c>
      <c r="J301" s="619">
        <f t="shared" si="33"/>
        <v>3398.2040000000034</v>
      </c>
      <c r="K301" s="632">
        <f t="shared" si="34"/>
        <v>334.28438342551556</v>
      </c>
      <c r="L301" s="540"/>
      <c r="M301" s="532"/>
      <c r="N301" s="433"/>
      <c r="O301" s="434"/>
      <c r="P301" s="436"/>
      <c r="Q301" s="387">
        <f t="shared" si="37"/>
        <v>116</v>
      </c>
      <c r="R301" s="517">
        <v>33.51</v>
      </c>
      <c r="S301" s="366" t="str">
        <f t="shared" si="35"/>
        <v>OK</v>
      </c>
    </row>
    <row r="302" spans="1:19">
      <c r="A302" s="617">
        <f t="shared" si="38"/>
        <v>285</v>
      </c>
      <c r="B302" s="702" t="s">
        <v>98</v>
      </c>
      <c r="C302" s="702"/>
      <c r="D302" s="702"/>
      <c r="E302" s="618">
        <f>'7" 26# Deck Tally'!B285</f>
        <v>115</v>
      </c>
      <c r="F302" s="619">
        <f>'7" 26# Deck Tally'!C285</f>
        <v>33.380000000000003</v>
      </c>
      <c r="G302" s="619">
        <f t="shared" si="36"/>
        <v>32.981999999999999</v>
      </c>
      <c r="H302" s="619" t="s">
        <v>9</v>
      </c>
      <c r="I302" s="619">
        <f t="shared" si="32"/>
        <v>9397.8379999999961</v>
      </c>
      <c r="J302" s="619">
        <f t="shared" si="33"/>
        <v>3365.2220000000034</v>
      </c>
      <c r="K302" s="632">
        <f t="shared" si="34"/>
        <v>335.01089449350638</v>
      </c>
      <c r="L302" s="540"/>
      <c r="M302" s="532"/>
      <c r="N302" s="433"/>
      <c r="O302" s="434"/>
      <c r="P302" s="436"/>
      <c r="Q302" s="387">
        <f t="shared" si="37"/>
        <v>115</v>
      </c>
      <c r="R302" s="517">
        <v>33.380000000000003</v>
      </c>
      <c r="S302" s="366" t="str">
        <f t="shared" si="35"/>
        <v>OK</v>
      </c>
    </row>
    <row r="303" spans="1:19">
      <c r="A303" s="617">
        <f t="shared" si="38"/>
        <v>286</v>
      </c>
      <c r="B303" s="702" t="s">
        <v>98</v>
      </c>
      <c r="C303" s="702"/>
      <c r="D303" s="702"/>
      <c r="E303" s="618">
        <f>'7" 26# Deck Tally'!B286</f>
        <v>114</v>
      </c>
      <c r="F303" s="619">
        <f>'7" 26# Deck Tally'!C286</f>
        <v>33.43</v>
      </c>
      <c r="G303" s="619">
        <f t="shared" si="36"/>
        <v>33.031999999999996</v>
      </c>
      <c r="H303" s="619" t="s">
        <v>9</v>
      </c>
      <c r="I303" s="619">
        <f t="shared" si="32"/>
        <v>9430.8699999999953</v>
      </c>
      <c r="J303" s="619">
        <f t="shared" si="33"/>
        <v>3332.1900000000041</v>
      </c>
      <c r="K303" s="632">
        <f t="shared" si="34"/>
        <v>335.73850693659273</v>
      </c>
      <c r="L303" s="540"/>
      <c r="M303" s="532"/>
      <c r="N303" s="433"/>
      <c r="O303" s="434"/>
      <c r="P303" s="436"/>
      <c r="Q303" s="387">
        <f t="shared" si="37"/>
        <v>114</v>
      </c>
      <c r="R303" s="517">
        <v>33.43</v>
      </c>
      <c r="S303" s="366" t="str">
        <f t="shared" si="35"/>
        <v>OK</v>
      </c>
    </row>
    <row r="304" spans="1:19">
      <c r="A304" s="617">
        <f t="shared" si="38"/>
        <v>287</v>
      </c>
      <c r="B304" s="702" t="s">
        <v>98</v>
      </c>
      <c r="C304" s="702"/>
      <c r="D304" s="702"/>
      <c r="E304" s="618">
        <f>'7" 26# Deck Tally'!B287</f>
        <v>113</v>
      </c>
      <c r="F304" s="619">
        <f>'7" 26# Deck Tally'!C287</f>
        <v>31.61</v>
      </c>
      <c r="G304" s="619">
        <f t="shared" si="36"/>
        <v>31.212</v>
      </c>
      <c r="H304" s="619" t="s">
        <v>9</v>
      </c>
      <c r="I304" s="619">
        <f t="shared" si="32"/>
        <v>9462.0819999999949</v>
      </c>
      <c r="J304" s="619">
        <f t="shared" si="33"/>
        <v>3300.9780000000046</v>
      </c>
      <c r="K304" s="632">
        <f t="shared" si="34"/>
        <v>336.42602932620309</v>
      </c>
      <c r="L304" s="540"/>
      <c r="M304" s="532"/>
      <c r="N304" s="433"/>
      <c r="O304" s="434"/>
      <c r="P304" s="436"/>
      <c r="Q304" s="387">
        <f t="shared" si="37"/>
        <v>113</v>
      </c>
      <c r="R304" s="517">
        <v>31.61</v>
      </c>
      <c r="S304" s="366" t="str">
        <f t="shared" si="35"/>
        <v>OK</v>
      </c>
    </row>
    <row r="305" spans="1:19">
      <c r="A305" s="617">
        <f t="shared" si="38"/>
        <v>288</v>
      </c>
      <c r="B305" s="702" t="s">
        <v>98</v>
      </c>
      <c r="C305" s="702"/>
      <c r="D305" s="702"/>
      <c r="E305" s="618">
        <f>'7" 26# Deck Tally'!B288</f>
        <v>112</v>
      </c>
      <c r="F305" s="619">
        <f>'7" 26# Deck Tally'!C288</f>
        <v>33.619999999999997</v>
      </c>
      <c r="G305" s="619">
        <f t="shared" si="36"/>
        <v>33.221999999999994</v>
      </c>
      <c r="H305" s="619" t="s">
        <v>9</v>
      </c>
      <c r="I305" s="619">
        <f t="shared" si="32"/>
        <v>9495.3039999999946</v>
      </c>
      <c r="J305" s="619">
        <f t="shared" si="33"/>
        <v>3267.7560000000049</v>
      </c>
      <c r="K305" s="632">
        <f t="shared" si="34"/>
        <v>337.15782699465228</v>
      </c>
      <c r="L305" s="540"/>
      <c r="M305" s="532"/>
      <c r="N305" s="433"/>
      <c r="O305" s="434"/>
      <c r="P305" s="436"/>
      <c r="Q305" s="387">
        <f t="shared" si="37"/>
        <v>112</v>
      </c>
      <c r="R305" s="517">
        <v>33.619999999999997</v>
      </c>
      <c r="S305" s="366" t="str">
        <f t="shared" si="35"/>
        <v>OK</v>
      </c>
    </row>
    <row r="306" spans="1:19">
      <c r="A306" s="617">
        <f t="shared" si="38"/>
        <v>289</v>
      </c>
      <c r="B306" s="702" t="s">
        <v>98</v>
      </c>
      <c r="C306" s="702"/>
      <c r="D306" s="702"/>
      <c r="E306" s="618">
        <f>'7" 26# Deck Tally'!B289</f>
        <v>111</v>
      </c>
      <c r="F306" s="619">
        <f>'7" 26# Deck Tally'!C289</f>
        <v>33.76</v>
      </c>
      <c r="G306" s="619">
        <f t="shared" si="36"/>
        <v>33.361999999999995</v>
      </c>
      <c r="H306" s="619" t="s">
        <v>9</v>
      </c>
      <c r="I306" s="619">
        <f t="shared" si="32"/>
        <v>9528.6659999999938</v>
      </c>
      <c r="J306" s="619">
        <f t="shared" si="33"/>
        <v>3234.3940000000057</v>
      </c>
      <c r="K306" s="632">
        <f t="shared" si="34"/>
        <v>337.89270851336886</v>
      </c>
      <c r="L306" s="540"/>
      <c r="M306" s="532"/>
      <c r="N306" s="433"/>
      <c r="O306" s="434"/>
      <c r="P306" s="436"/>
      <c r="Q306" s="387">
        <f t="shared" si="37"/>
        <v>111</v>
      </c>
      <c r="R306" s="517">
        <v>33.76</v>
      </c>
      <c r="S306" s="366" t="str">
        <f t="shared" si="35"/>
        <v>OK</v>
      </c>
    </row>
    <row r="307" spans="1:19">
      <c r="A307" s="617">
        <f t="shared" si="38"/>
        <v>290</v>
      </c>
      <c r="B307" s="702" t="s">
        <v>98</v>
      </c>
      <c r="C307" s="702"/>
      <c r="D307" s="702"/>
      <c r="E307" s="618">
        <f>'7" 26# Deck Tally'!B290</f>
        <v>110</v>
      </c>
      <c r="F307" s="619">
        <f>'7" 26# Deck Tally'!C290</f>
        <v>33.81</v>
      </c>
      <c r="G307" s="619">
        <f t="shared" si="36"/>
        <v>33.411999999999999</v>
      </c>
      <c r="H307" s="619" t="s">
        <v>9</v>
      </c>
      <c r="I307" s="619">
        <f t="shared" si="32"/>
        <v>9562.0779999999941</v>
      </c>
      <c r="J307" s="619">
        <f t="shared" si="33"/>
        <v>3200.9820000000054</v>
      </c>
      <c r="K307" s="632">
        <f t="shared" si="34"/>
        <v>338.6286914071809</v>
      </c>
      <c r="L307" s="540"/>
      <c r="M307" s="532"/>
      <c r="N307" s="433"/>
      <c r="O307" s="434"/>
      <c r="P307" s="436"/>
      <c r="Q307" s="387">
        <f t="shared" si="37"/>
        <v>110</v>
      </c>
      <c r="R307" s="517">
        <v>33.81</v>
      </c>
      <c r="S307" s="366" t="str">
        <f t="shared" si="35"/>
        <v>OK</v>
      </c>
    </row>
    <row r="308" spans="1:19">
      <c r="A308" s="617">
        <f t="shared" si="38"/>
        <v>291</v>
      </c>
      <c r="B308" s="702" t="s">
        <v>98</v>
      </c>
      <c r="C308" s="702"/>
      <c r="D308" s="702"/>
      <c r="E308" s="618">
        <f>'7" 26# Deck Tally'!B291</f>
        <v>109</v>
      </c>
      <c r="F308" s="619">
        <f>'7" 26# Deck Tally'!C291</f>
        <v>33.75</v>
      </c>
      <c r="G308" s="619">
        <f t="shared" si="36"/>
        <v>33.351999999999997</v>
      </c>
      <c r="H308" s="619" t="s">
        <v>9</v>
      </c>
      <c r="I308" s="619">
        <f t="shared" si="32"/>
        <v>9595.4299999999948</v>
      </c>
      <c r="J308" s="619">
        <f t="shared" si="33"/>
        <v>3167.6300000000047</v>
      </c>
      <c r="K308" s="632">
        <f t="shared" si="34"/>
        <v>339.36335265087843</v>
      </c>
      <c r="L308" s="540"/>
      <c r="M308" s="532"/>
      <c r="N308" s="433"/>
      <c r="O308" s="434"/>
      <c r="P308" s="436"/>
      <c r="Q308" s="387">
        <f t="shared" si="37"/>
        <v>109</v>
      </c>
      <c r="R308" s="517">
        <v>33.75</v>
      </c>
      <c r="S308" s="366" t="str">
        <f t="shared" si="35"/>
        <v>OK</v>
      </c>
    </row>
    <row r="309" spans="1:19">
      <c r="A309" s="617">
        <f t="shared" si="38"/>
        <v>292</v>
      </c>
      <c r="B309" s="702" t="s">
        <v>98</v>
      </c>
      <c r="C309" s="702"/>
      <c r="D309" s="702"/>
      <c r="E309" s="618">
        <f>'7" 26# Deck Tally'!B292</f>
        <v>108</v>
      </c>
      <c r="F309" s="619">
        <f>'7" 26# Deck Tally'!C292</f>
        <v>33.53</v>
      </c>
      <c r="G309" s="619">
        <f t="shared" si="36"/>
        <v>33.131999999999998</v>
      </c>
      <c r="H309" s="619" t="s">
        <v>9</v>
      </c>
      <c r="I309" s="619">
        <f t="shared" si="32"/>
        <v>9628.5619999999944</v>
      </c>
      <c r="J309" s="619">
        <f t="shared" si="33"/>
        <v>3134.498000000005</v>
      </c>
      <c r="K309" s="632">
        <f t="shared" si="34"/>
        <v>340.09316784415569</v>
      </c>
      <c r="L309" s="540"/>
      <c r="M309" s="532"/>
      <c r="N309" s="433"/>
      <c r="O309" s="434"/>
      <c r="P309" s="436"/>
      <c r="Q309" s="387">
        <f t="shared" si="37"/>
        <v>108</v>
      </c>
      <c r="R309" s="517">
        <v>33.53</v>
      </c>
      <c r="S309" s="366" t="str">
        <f t="shared" si="35"/>
        <v>OK</v>
      </c>
    </row>
    <row r="310" spans="1:19">
      <c r="A310" s="617">
        <f t="shared" si="38"/>
        <v>293</v>
      </c>
      <c r="B310" s="702" t="s">
        <v>98</v>
      </c>
      <c r="C310" s="702"/>
      <c r="D310" s="702"/>
      <c r="E310" s="618">
        <f>'7" 26# Deck Tally'!B293</f>
        <v>107</v>
      </c>
      <c r="F310" s="619">
        <f>'7" 26# Deck Tally'!C293</f>
        <v>33.49</v>
      </c>
      <c r="G310" s="619">
        <f t="shared" si="36"/>
        <v>33.091999999999999</v>
      </c>
      <c r="H310" s="619" t="s">
        <v>9</v>
      </c>
      <c r="I310" s="619">
        <f t="shared" si="32"/>
        <v>9661.653999999995</v>
      </c>
      <c r="J310" s="619">
        <f t="shared" si="33"/>
        <v>3101.4060000000045</v>
      </c>
      <c r="K310" s="632">
        <f t="shared" si="34"/>
        <v>340.82210193735671</v>
      </c>
      <c r="L310" s="540"/>
      <c r="M310" s="532"/>
      <c r="N310" s="433"/>
      <c r="O310" s="434"/>
      <c r="P310" s="436"/>
      <c r="Q310" s="387">
        <f t="shared" si="37"/>
        <v>107</v>
      </c>
      <c r="R310" s="517">
        <v>33.49</v>
      </c>
      <c r="S310" s="366" t="str">
        <f t="shared" si="35"/>
        <v>OK</v>
      </c>
    </row>
    <row r="311" spans="1:19">
      <c r="A311" s="617">
        <f t="shared" si="38"/>
        <v>294</v>
      </c>
      <c r="B311" s="702" t="s">
        <v>98</v>
      </c>
      <c r="C311" s="702"/>
      <c r="D311" s="702"/>
      <c r="E311" s="618">
        <f>'7" 26# Deck Tally'!B294</f>
        <v>106</v>
      </c>
      <c r="F311" s="619">
        <f>'7" 26# Deck Tally'!C294</f>
        <v>33.51</v>
      </c>
      <c r="G311" s="619">
        <f t="shared" si="36"/>
        <v>33.111999999999995</v>
      </c>
      <c r="H311" s="619" t="s">
        <v>9</v>
      </c>
      <c r="I311" s="619">
        <f t="shared" si="32"/>
        <v>9694.7659999999942</v>
      </c>
      <c r="J311" s="619">
        <f t="shared" si="33"/>
        <v>3068.2940000000053</v>
      </c>
      <c r="K311" s="631">
        <f t="shared" si="34"/>
        <v>341.5514765805957</v>
      </c>
      <c r="L311" s="540"/>
      <c r="M311" s="532"/>
      <c r="N311" s="433"/>
      <c r="O311" s="434"/>
      <c r="P311" s="436"/>
      <c r="Q311" s="387">
        <f t="shared" si="37"/>
        <v>106</v>
      </c>
      <c r="R311" s="517">
        <v>33.51</v>
      </c>
      <c r="S311" s="366" t="str">
        <f t="shared" si="35"/>
        <v>OK</v>
      </c>
    </row>
    <row r="312" spans="1:19">
      <c r="A312" s="617">
        <f t="shared" si="38"/>
        <v>295</v>
      </c>
      <c r="B312" s="702" t="s">
        <v>98</v>
      </c>
      <c r="C312" s="702"/>
      <c r="D312" s="702"/>
      <c r="E312" s="618">
        <f>'7" 26# Deck Tally'!B295</f>
        <v>105</v>
      </c>
      <c r="F312" s="619">
        <f>'7" 26# Deck Tally'!C295</f>
        <v>33.4</v>
      </c>
      <c r="G312" s="619">
        <f t="shared" si="36"/>
        <v>33.001999999999995</v>
      </c>
      <c r="H312" s="619" t="s">
        <v>9</v>
      </c>
      <c r="I312" s="619">
        <f t="shared" si="32"/>
        <v>9727.7679999999946</v>
      </c>
      <c r="J312" s="619">
        <f t="shared" si="33"/>
        <v>3035.2920000000049</v>
      </c>
      <c r="K312" s="632">
        <f t="shared" si="34"/>
        <v>342.27842819862479</v>
      </c>
      <c r="L312" s="540"/>
      <c r="M312" s="532"/>
      <c r="N312" s="433"/>
      <c r="O312" s="434"/>
      <c r="P312" s="436"/>
      <c r="Q312" s="387">
        <f t="shared" si="37"/>
        <v>105</v>
      </c>
      <c r="R312" s="517">
        <v>33.4</v>
      </c>
      <c r="S312" s="366" t="str">
        <f t="shared" si="35"/>
        <v>OK</v>
      </c>
    </row>
    <row r="313" spans="1:19">
      <c r="A313" s="617">
        <f t="shared" si="38"/>
        <v>296</v>
      </c>
      <c r="B313" s="702" t="s">
        <v>98</v>
      </c>
      <c r="C313" s="702"/>
      <c r="D313" s="702"/>
      <c r="E313" s="618">
        <f>'7" 26# Deck Tally'!B296</f>
        <v>104</v>
      </c>
      <c r="F313" s="619">
        <f>'7" 26# Deck Tally'!C296</f>
        <v>33.68</v>
      </c>
      <c r="G313" s="619">
        <f t="shared" si="36"/>
        <v>33.281999999999996</v>
      </c>
      <c r="H313" s="619" t="s">
        <v>9</v>
      </c>
      <c r="I313" s="619">
        <f t="shared" si="32"/>
        <v>9761.0499999999938</v>
      </c>
      <c r="J313" s="619">
        <f t="shared" si="33"/>
        <v>3002.0100000000057</v>
      </c>
      <c r="K313" s="632">
        <f t="shared" si="34"/>
        <v>343.01154751718855</v>
      </c>
      <c r="L313" s="540"/>
      <c r="M313" s="532"/>
      <c r="N313" s="433"/>
      <c r="O313" s="434"/>
      <c r="P313" s="436"/>
      <c r="Q313" s="387">
        <f t="shared" si="37"/>
        <v>104</v>
      </c>
      <c r="R313" s="517">
        <v>33.68</v>
      </c>
      <c r="S313" s="366" t="str">
        <f t="shared" si="35"/>
        <v>OK</v>
      </c>
    </row>
    <row r="314" spans="1:19">
      <c r="A314" s="617">
        <f t="shared" si="38"/>
        <v>297</v>
      </c>
      <c r="B314" s="702" t="s">
        <v>98</v>
      </c>
      <c r="C314" s="702"/>
      <c r="D314" s="702"/>
      <c r="E314" s="618">
        <f>'7" 26# Deck Tally'!B297</f>
        <v>103</v>
      </c>
      <c r="F314" s="619">
        <f>'7" 26# Deck Tally'!C297</f>
        <v>33.21</v>
      </c>
      <c r="G314" s="619">
        <f t="shared" si="36"/>
        <v>32.811999999999998</v>
      </c>
      <c r="H314" s="619" t="s">
        <v>9</v>
      </c>
      <c r="I314" s="619">
        <f t="shared" si="32"/>
        <v>9793.8619999999937</v>
      </c>
      <c r="J314" s="619">
        <f t="shared" si="33"/>
        <v>2969.1980000000058</v>
      </c>
      <c r="K314" s="632">
        <f t="shared" si="34"/>
        <v>343.73431390985468</v>
      </c>
      <c r="L314" s="540"/>
      <c r="M314" s="532"/>
      <c r="N314" s="433"/>
      <c r="O314" s="434"/>
      <c r="P314" s="436"/>
      <c r="Q314" s="387">
        <f t="shared" si="37"/>
        <v>103</v>
      </c>
      <c r="R314" s="517">
        <v>33.21</v>
      </c>
      <c r="S314" s="366" t="str">
        <f t="shared" si="35"/>
        <v>OK</v>
      </c>
    </row>
    <row r="315" spans="1:19">
      <c r="A315" s="617">
        <f t="shared" si="38"/>
        <v>298</v>
      </c>
      <c r="B315" s="702" t="s">
        <v>98</v>
      </c>
      <c r="C315" s="702"/>
      <c r="D315" s="702"/>
      <c r="E315" s="618">
        <f>'7" 26# Deck Tally'!B298</f>
        <v>102</v>
      </c>
      <c r="F315" s="619">
        <f>'7" 26# Deck Tally'!C298</f>
        <v>33.94</v>
      </c>
      <c r="G315" s="619">
        <f t="shared" si="36"/>
        <v>33.541999999999994</v>
      </c>
      <c r="H315" s="619" t="s">
        <v>9</v>
      </c>
      <c r="I315" s="619">
        <f t="shared" si="32"/>
        <v>9827.4039999999932</v>
      </c>
      <c r="J315" s="619">
        <f t="shared" si="33"/>
        <v>2935.6560000000063</v>
      </c>
      <c r="K315" s="632">
        <f t="shared" si="34"/>
        <v>344.47316037891505</v>
      </c>
      <c r="L315" s="540"/>
      <c r="M315" s="532"/>
      <c r="N315" s="433"/>
      <c r="O315" s="434"/>
      <c r="P315" s="436"/>
      <c r="Q315" s="387">
        <f t="shared" si="37"/>
        <v>102</v>
      </c>
      <c r="R315" s="517">
        <v>33.94</v>
      </c>
      <c r="S315" s="366" t="str">
        <f t="shared" si="35"/>
        <v>OK</v>
      </c>
    </row>
    <row r="316" spans="1:19">
      <c r="A316" s="617">
        <f t="shared" si="38"/>
        <v>299</v>
      </c>
      <c r="B316" s="702" t="s">
        <v>98</v>
      </c>
      <c r="C316" s="702"/>
      <c r="D316" s="702"/>
      <c r="E316" s="618">
        <f>'7" 26# Deck Tally'!B299</f>
        <v>101</v>
      </c>
      <c r="F316" s="619">
        <f>'7" 26# Deck Tally'!C299</f>
        <v>33.42</v>
      </c>
      <c r="G316" s="619">
        <f t="shared" si="36"/>
        <v>33.021999999999998</v>
      </c>
      <c r="H316" s="619" t="s">
        <v>9</v>
      </c>
      <c r="I316" s="619">
        <f t="shared" si="32"/>
        <v>9860.425999999994</v>
      </c>
      <c r="J316" s="619">
        <f t="shared" si="33"/>
        <v>2902.6340000000055</v>
      </c>
      <c r="K316" s="631">
        <f t="shared" si="34"/>
        <v>345.20055254698229</v>
      </c>
      <c r="L316" s="540"/>
      <c r="M316" s="532"/>
      <c r="N316" s="433"/>
      <c r="O316" s="434"/>
      <c r="P316" s="436"/>
      <c r="Q316" s="387">
        <f t="shared" si="37"/>
        <v>101</v>
      </c>
      <c r="R316" s="517">
        <v>33.42</v>
      </c>
      <c r="S316" s="366" t="str">
        <f t="shared" si="35"/>
        <v>OK</v>
      </c>
    </row>
    <row r="317" spans="1:19">
      <c r="A317" s="617">
        <f t="shared" si="38"/>
        <v>300</v>
      </c>
      <c r="B317" s="702" t="s">
        <v>98</v>
      </c>
      <c r="C317" s="702"/>
      <c r="D317" s="702"/>
      <c r="E317" s="618">
        <f>'7" 26# Deck Tally'!B300</f>
        <v>100</v>
      </c>
      <c r="F317" s="619">
        <f>'7" 26# Deck Tally'!C300</f>
        <v>33.549999999999997</v>
      </c>
      <c r="G317" s="619">
        <f t="shared" si="36"/>
        <v>33.151999999999994</v>
      </c>
      <c r="H317" s="619" t="s">
        <v>9</v>
      </c>
      <c r="I317" s="619">
        <f t="shared" si="32"/>
        <v>9893.5779999999941</v>
      </c>
      <c r="J317" s="619">
        <f t="shared" si="33"/>
        <v>2869.4820000000054</v>
      </c>
      <c r="K317" s="632">
        <f t="shared" si="34"/>
        <v>345.93080829029782</v>
      </c>
      <c r="L317" s="540"/>
      <c r="M317" s="352"/>
      <c r="N317" s="433"/>
      <c r="O317" s="434"/>
      <c r="P317" s="436"/>
      <c r="Q317" s="387">
        <f t="shared" si="37"/>
        <v>100</v>
      </c>
      <c r="R317" s="517">
        <v>33.549999999999997</v>
      </c>
      <c r="S317" s="366" t="str">
        <f t="shared" si="35"/>
        <v>OK</v>
      </c>
    </row>
    <row r="318" spans="1:19">
      <c r="A318" s="617">
        <f t="shared" si="38"/>
        <v>301</v>
      </c>
      <c r="B318" s="702" t="s">
        <v>98</v>
      </c>
      <c r="C318" s="702"/>
      <c r="D318" s="702"/>
      <c r="E318" s="618">
        <f>'7" 26# Deck Tally'!B301</f>
        <v>99</v>
      </c>
      <c r="F318" s="619">
        <f>'7" 26# Deck Tally'!C301</f>
        <v>33.659999999999997</v>
      </c>
      <c r="G318" s="619">
        <f t="shared" si="36"/>
        <v>33.261999999999993</v>
      </c>
      <c r="H318" s="619" t="s">
        <v>9</v>
      </c>
      <c r="I318" s="619">
        <f t="shared" si="32"/>
        <v>9926.8399999999947</v>
      </c>
      <c r="J318" s="619">
        <f t="shared" si="33"/>
        <v>2836.2200000000048</v>
      </c>
      <c r="K318" s="632">
        <f t="shared" si="34"/>
        <v>346.66348705882342</v>
      </c>
      <c r="L318" s="540"/>
      <c r="M318" s="352"/>
      <c r="N318" s="433"/>
      <c r="O318" s="434"/>
      <c r="P318" s="436"/>
      <c r="Q318" s="387">
        <f t="shared" si="37"/>
        <v>99</v>
      </c>
      <c r="R318" s="517">
        <v>33.659999999999997</v>
      </c>
      <c r="S318" s="366" t="str">
        <f t="shared" si="35"/>
        <v>OK</v>
      </c>
    </row>
    <row r="319" spans="1:19">
      <c r="A319" s="617">
        <f t="shared" si="38"/>
        <v>302</v>
      </c>
      <c r="B319" s="702" t="s">
        <v>98</v>
      </c>
      <c r="C319" s="702"/>
      <c r="D319" s="702"/>
      <c r="E319" s="618">
        <f>'7" 26# Deck Tally'!B302</f>
        <v>98</v>
      </c>
      <c r="F319" s="619">
        <f>'7" 26# Deck Tally'!C302</f>
        <v>33.32</v>
      </c>
      <c r="G319" s="619">
        <f t="shared" si="36"/>
        <v>32.921999999999997</v>
      </c>
      <c r="H319" s="619" t="s">
        <v>9</v>
      </c>
      <c r="I319" s="619">
        <f t="shared" si="32"/>
        <v>9959.7619999999952</v>
      </c>
      <c r="J319" s="619">
        <f t="shared" si="33"/>
        <v>2803.2980000000043</v>
      </c>
      <c r="K319" s="632">
        <f t="shared" si="34"/>
        <v>347.38867647669963</v>
      </c>
      <c r="L319" s="540"/>
      <c r="M319" s="352"/>
      <c r="N319" s="433"/>
      <c r="O319" s="434"/>
      <c r="P319" s="436"/>
      <c r="Q319" s="387">
        <f t="shared" si="37"/>
        <v>98</v>
      </c>
      <c r="R319" s="517">
        <v>33.32</v>
      </c>
      <c r="S319" s="366" t="str">
        <f t="shared" si="35"/>
        <v>OK</v>
      </c>
    </row>
    <row r="320" spans="1:19">
      <c r="A320" s="617">
        <f t="shared" si="38"/>
        <v>303</v>
      </c>
      <c r="B320" s="702" t="s">
        <v>98</v>
      </c>
      <c r="C320" s="702"/>
      <c r="D320" s="702"/>
      <c r="E320" s="618">
        <f>'7" 26# Deck Tally'!B303</f>
        <v>97</v>
      </c>
      <c r="F320" s="619">
        <f>'7" 26# Deck Tally'!C303</f>
        <v>33.82</v>
      </c>
      <c r="G320" s="619">
        <f t="shared" si="36"/>
        <v>33.421999999999997</v>
      </c>
      <c r="H320" s="619" t="s">
        <v>9</v>
      </c>
      <c r="I320" s="619">
        <f t="shared" si="32"/>
        <v>9993.1839999999956</v>
      </c>
      <c r="J320" s="619">
        <f t="shared" si="33"/>
        <v>2769.8760000000038</v>
      </c>
      <c r="K320" s="632">
        <f t="shared" si="34"/>
        <v>348.12487964553088</v>
      </c>
      <c r="L320" s="540"/>
      <c r="M320" s="532"/>
      <c r="N320" s="433"/>
      <c r="O320" s="434"/>
      <c r="P320" s="436"/>
      <c r="Q320" s="387">
        <f t="shared" si="37"/>
        <v>97</v>
      </c>
      <c r="R320" s="517">
        <v>33.82</v>
      </c>
      <c r="S320" s="366" t="str">
        <f t="shared" si="35"/>
        <v>OK</v>
      </c>
    </row>
    <row r="321" spans="1:19">
      <c r="A321" s="617">
        <f t="shared" si="38"/>
        <v>304</v>
      </c>
      <c r="B321" s="702" t="s">
        <v>98</v>
      </c>
      <c r="C321" s="702"/>
      <c r="D321" s="702"/>
      <c r="E321" s="618">
        <f>'7" 26# Deck Tally'!B304</f>
        <v>96</v>
      </c>
      <c r="F321" s="619">
        <f>'7" 26# Deck Tally'!C304</f>
        <v>31.9</v>
      </c>
      <c r="G321" s="619">
        <f t="shared" si="36"/>
        <v>31.501999999999999</v>
      </c>
      <c r="H321" s="619" t="s">
        <v>9</v>
      </c>
      <c r="I321" s="619">
        <f t="shared" si="32"/>
        <v>10024.685999999996</v>
      </c>
      <c r="J321" s="619">
        <f t="shared" si="33"/>
        <v>2738.3740000000034</v>
      </c>
      <c r="K321" s="632">
        <f t="shared" si="34"/>
        <v>348.81879001069512</v>
      </c>
      <c r="L321" s="540"/>
      <c r="M321" s="532"/>
      <c r="N321" s="433"/>
      <c r="O321" s="434"/>
      <c r="P321" s="436"/>
      <c r="Q321" s="387">
        <f t="shared" si="37"/>
        <v>96</v>
      </c>
      <c r="R321" s="517">
        <v>31.9</v>
      </c>
      <c r="S321" s="366" t="str">
        <f t="shared" si="35"/>
        <v>OK</v>
      </c>
    </row>
    <row r="322" spans="1:19">
      <c r="A322" s="617">
        <f t="shared" si="38"/>
        <v>305</v>
      </c>
      <c r="B322" s="702" t="s">
        <v>98</v>
      </c>
      <c r="C322" s="702"/>
      <c r="D322" s="702"/>
      <c r="E322" s="618">
        <f>'7" 26# Deck Tally'!B305</f>
        <v>95</v>
      </c>
      <c r="F322" s="619">
        <f>'7" 26# Deck Tally'!C305</f>
        <v>33.43</v>
      </c>
      <c r="G322" s="619">
        <f t="shared" si="36"/>
        <v>33.031999999999996</v>
      </c>
      <c r="H322" s="619" t="s">
        <v>9</v>
      </c>
      <c r="I322" s="619">
        <f t="shared" si="32"/>
        <v>10057.717999999995</v>
      </c>
      <c r="J322" s="619">
        <f t="shared" si="33"/>
        <v>2705.3420000000042</v>
      </c>
      <c r="K322" s="632">
        <f t="shared" si="34"/>
        <v>349.54640245378141</v>
      </c>
      <c r="L322" s="540"/>
      <c r="M322" s="532"/>
      <c r="N322" s="433"/>
      <c r="O322" s="434"/>
      <c r="P322" s="436"/>
      <c r="Q322" s="387">
        <f t="shared" si="37"/>
        <v>95</v>
      </c>
      <c r="R322" s="517">
        <v>33.43</v>
      </c>
      <c r="S322" s="366" t="str">
        <f t="shared" si="35"/>
        <v>OK</v>
      </c>
    </row>
    <row r="323" spans="1:19">
      <c r="A323" s="617">
        <f t="shared" si="38"/>
        <v>306</v>
      </c>
      <c r="B323" s="702" t="s">
        <v>98</v>
      </c>
      <c r="C323" s="702"/>
      <c r="D323" s="702"/>
      <c r="E323" s="618">
        <f>'7" 26# Deck Tally'!B306</f>
        <v>94</v>
      </c>
      <c r="F323" s="619">
        <f>'7" 26# Deck Tally'!C306</f>
        <v>33.5</v>
      </c>
      <c r="G323" s="619">
        <f t="shared" si="36"/>
        <v>33.101999999999997</v>
      </c>
      <c r="H323" s="619" t="s">
        <v>9</v>
      </c>
      <c r="I323" s="619">
        <f t="shared" si="32"/>
        <v>10090.819999999996</v>
      </c>
      <c r="J323" s="619">
        <f t="shared" si="33"/>
        <v>2672.2400000000034</v>
      </c>
      <c r="K323" s="632">
        <f t="shared" si="34"/>
        <v>350.27555682200148</v>
      </c>
      <c r="L323" s="540"/>
      <c r="M323" s="532"/>
      <c r="N323" s="433"/>
      <c r="O323" s="434"/>
      <c r="P323" s="436"/>
      <c r="Q323" s="387">
        <f t="shared" si="37"/>
        <v>94</v>
      </c>
      <c r="R323" s="517">
        <v>33.5</v>
      </c>
      <c r="S323" s="366" t="str">
        <f t="shared" si="35"/>
        <v>OK</v>
      </c>
    </row>
    <row r="324" spans="1:19">
      <c r="A324" s="617">
        <f t="shared" si="38"/>
        <v>307</v>
      </c>
      <c r="B324" s="702" t="s">
        <v>98</v>
      </c>
      <c r="C324" s="702"/>
      <c r="D324" s="702"/>
      <c r="E324" s="618">
        <f>'7" 26# Deck Tally'!B307</f>
        <v>93</v>
      </c>
      <c r="F324" s="619">
        <f>'7" 26# Deck Tally'!C307</f>
        <v>33.369999999999997</v>
      </c>
      <c r="G324" s="619">
        <f t="shared" si="36"/>
        <v>32.971999999999994</v>
      </c>
      <c r="H324" s="619" t="s">
        <v>9</v>
      </c>
      <c r="I324" s="619">
        <f t="shared" si="32"/>
        <v>10123.791999999996</v>
      </c>
      <c r="J324" s="619">
        <f t="shared" si="33"/>
        <v>2639.2680000000037</v>
      </c>
      <c r="K324" s="632">
        <f t="shared" si="34"/>
        <v>351.00184761497314</v>
      </c>
      <c r="L324" s="540"/>
      <c r="M324" s="532"/>
      <c r="N324" s="433"/>
      <c r="O324" s="434"/>
      <c r="P324" s="436"/>
      <c r="Q324" s="387">
        <f t="shared" si="37"/>
        <v>93</v>
      </c>
      <c r="R324" s="517">
        <v>33.369999999999997</v>
      </c>
      <c r="S324" s="366" t="str">
        <f t="shared" si="35"/>
        <v>OK</v>
      </c>
    </row>
    <row r="325" spans="1:19">
      <c r="A325" s="617">
        <f t="shared" si="38"/>
        <v>308</v>
      </c>
      <c r="B325" s="702" t="s">
        <v>98</v>
      </c>
      <c r="C325" s="702"/>
      <c r="D325" s="702"/>
      <c r="E325" s="618">
        <f>'7" 26# Deck Tally'!B308</f>
        <v>92</v>
      </c>
      <c r="F325" s="619">
        <f>'7" 26# Deck Tally'!C308</f>
        <v>33.5</v>
      </c>
      <c r="G325" s="619">
        <f t="shared" si="36"/>
        <v>33.101999999999997</v>
      </c>
      <c r="H325" s="619" t="s">
        <v>9</v>
      </c>
      <c r="I325" s="619">
        <f t="shared" si="32"/>
        <v>10156.893999999997</v>
      </c>
      <c r="J325" s="619">
        <f t="shared" si="33"/>
        <v>2606.1660000000029</v>
      </c>
      <c r="K325" s="632">
        <f t="shared" si="34"/>
        <v>351.73100198319321</v>
      </c>
      <c r="L325" s="540"/>
      <c r="M325" s="532"/>
      <c r="N325" s="433"/>
      <c r="O325" s="434"/>
      <c r="P325" s="436"/>
      <c r="Q325" s="387">
        <f t="shared" si="37"/>
        <v>92</v>
      </c>
      <c r="R325" s="517">
        <v>33.5</v>
      </c>
      <c r="S325" s="366" t="str">
        <f t="shared" si="35"/>
        <v>OK</v>
      </c>
    </row>
    <row r="326" spans="1:19">
      <c r="A326" s="617">
        <f t="shared" si="38"/>
        <v>309</v>
      </c>
      <c r="B326" s="702" t="s">
        <v>98</v>
      </c>
      <c r="C326" s="702"/>
      <c r="D326" s="702"/>
      <c r="E326" s="618">
        <f>'7" 26# Deck Tally'!B309</f>
        <v>91</v>
      </c>
      <c r="F326" s="619">
        <f>'7" 26# Deck Tally'!C309</f>
        <v>33.56</v>
      </c>
      <c r="G326" s="619">
        <f t="shared" si="36"/>
        <v>33.161999999999999</v>
      </c>
      <c r="H326" s="619" t="s">
        <v>9</v>
      </c>
      <c r="I326" s="619">
        <f t="shared" si="32"/>
        <v>10190.055999999997</v>
      </c>
      <c r="J326" s="619">
        <f t="shared" si="33"/>
        <v>2573.0040000000026</v>
      </c>
      <c r="K326" s="632">
        <f t="shared" si="34"/>
        <v>352.46147800152778</v>
      </c>
      <c r="L326" s="540"/>
      <c r="M326" s="532"/>
      <c r="N326" s="433"/>
      <c r="O326" s="434"/>
      <c r="P326" s="436"/>
      <c r="Q326" s="387">
        <f t="shared" si="37"/>
        <v>91</v>
      </c>
      <c r="R326" s="517">
        <v>33.56</v>
      </c>
      <c r="S326" s="366" t="str">
        <f t="shared" si="35"/>
        <v>OK</v>
      </c>
    </row>
    <row r="327" spans="1:19">
      <c r="A327" s="617">
        <f t="shared" si="38"/>
        <v>310</v>
      </c>
      <c r="B327" s="702" t="s">
        <v>98</v>
      </c>
      <c r="C327" s="702"/>
      <c r="D327" s="702"/>
      <c r="E327" s="618">
        <f>'7" 26# Deck Tally'!B310</f>
        <v>90</v>
      </c>
      <c r="F327" s="619">
        <f>'7" 26# Deck Tally'!C310</f>
        <v>33.39</v>
      </c>
      <c r="G327" s="619">
        <f t="shared" si="36"/>
        <v>32.991999999999997</v>
      </c>
      <c r="H327" s="619" t="s">
        <v>9</v>
      </c>
      <c r="I327" s="619">
        <f t="shared" si="32"/>
        <v>10223.047999999997</v>
      </c>
      <c r="J327" s="619">
        <f t="shared" si="33"/>
        <v>2540.0120000000024</v>
      </c>
      <c r="K327" s="632">
        <f t="shared" si="34"/>
        <v>353.18820934453771</v>
      </c>
      <c r="L327" s="540"/>
      <c r="M327" s="532"/>
      <c r="N327" s="433"/>
      <c r="O327" s="434"/>
      <c r="P327" s="436"/>
      <c r="Q327" s="387">
        <f t="shared" si="37"/>
        <v>90</v>
      </c>
      <c r="R327" s="517">
        <v>33.39</v>
      </c>
      <c r="S327" s="366" t="str">
        <f t="shared" si="35"/>
        <v>OK</v>
      </c>
    </row>
    <row r="328" spans="1:19">
      <c r="A328" s="617">
        <f t="shared" si="38"/>
        <v>311</v>
      </c>
      <c r="B328" s="702" t="s">
        <v>98</v>
      </c>
      <c r="C328" s="702"/>
      <c r="D328" s="702"/>
      <c r="E328" s="618">
        <f>'7" 26# Deck Tally'!B311</f>
        <v>89</v>
      </c>
      <c r="F328" s="619">
        <f>'7" 26# Deck Tally'!C311</f>
        <v>33.39</v>
      </c>
      <c r="G328" s="619">
        <f t="shared" si="36"/>
        <v>32.991999999999997</v>
      </c>
      <c r="H328" s="619" t="s">
        <v>9</v>
      </c>
      <c r="I328" s="619">
        <f t="shared" si="32"/>
        <v>10256.039999999997</v>
      </c>
      <c r="J328" s="619">
        <f t="shared" si="33"/>
        <v>2507.0200000000023</v>
      </c>
      <c r="K328" s="632">
        <f t="shared" si="34"/>
        <v>353.91494068754764</v>
      </c>
      <c r="L328" s="540"/>
      <c r="M328" s="532"/>
      <c r="N328" s="433"/>
      <c r="O328" s="434"/>
      <c r="P328" s="436"/>
      <c r="Q328" s="387">
        <f t="shared" si="37"/>
        <v>89</v>
      </c>
      <c r="R328" s="517">
        <v>33.39</v>
      </c>
      <c r="S328" s="366" t="str">
        <f t="shared" si="35"/>
        <v>OK</v>
      </c>
    </row>
    <row r="329" spans="1:19">
      <c r="A329" s="617">
        <f t="shared" si="38"/>
        <v>312</v>
      </c>
      <c r="B329" s="702" t="s">
        <v>98</v>
      </c>
      <c r="C329" s="702"/>
      <c r="D329" s="702"/>
      <c r="E329" s="618">
        <f>'7" 26# Deck Tally'!B312</f>
        <v>88</v>
      </c>
      <c r="F329" s="619">
        <f>'7" 26# Deck Tally'!C312</f>
        <v>33.369999999999997</v>
      </c>
      <c r="G329" s="619">
        <f t="shared" si="36"/>
        <v>32.971999999999994</v>
      </c>
      <c r="H329" s="619" t="s">
        <v>9</v>
      </c>
      <c r="I329" s="619">
        <f t="shared" si="32"/>
        <v>10289.011999999997</v>
      </c>
      <c r="J329" s="619">
        <f t="shared" si="33"/>
        <v>2474.0480000000025</v>
      </c>
      <c r="K329" s="632">
        <f t="shared" si="34"/>
        <v>354.64123148051942</v>
      </c>
      <c r="L329" s="540"/>
      <c r="M329" s="532"/>
      <c r="N329" s="433"/>
      <c r="O329" s="434"/>
      <c r="P329" s="436"/>
      <c r="Q329" s="387">
        <f t="shared" si="37"/>
        <v>88</v>
      </c>
      <c r="R329" s="517">
        <v>33.369999999999997</v>
      </c>
      <c r="S329" s="366" t="str">
        <f t="shared" si="35"/>
        <v>OK</v>
      </c>
    </row>
    <row r="330" spans="1:19">
      <c r="A330" s="617">
        <f t="shared" si="38"/>
        <v>313</v>
      </c>
      <c r="B330" s="702" t="s">
        <v>98</v>
      </c>
      <c r="C330" s="702"/>
      <c r="D330" s="702"/>
      <c r="E330" s="618">
        <f>'7" 26# Deck Tally'!B313</f>
        <v>87</v>
      </c>
      <c r="F330" s="619">
        <f>'7" 26# Deck Tally'!C313</f>
        <v>33.44</v>
      </c>
      <c r="G330" s="619">
        <f t="shared" si="36"/>
        <v>33.041999999999994</v>
      </c>
      <c r="H330" s="619" t="s">
        <v>9</v>
      </c>
      <c r="I330" s="619">
        <f t="shared" si="32"/>
        <v>10322.053999999996</v>
      </c>
      <c r="J330" s="619">
        <f t="shared" si="33"/>
        <v>2441.006000000003</v>
      </c>
      <c r="K330" s="632">
        <f t="shared" si="34"/>
        <v>355.36906419862487</v>
      </c>
      <c r="L330" s="540"/>
      <c r="M330" s="532"/>
      <c r="N330" s="433"/>
      <c r="O330" s="434"/>
      <c r="P330" s="436"/>
      <c r="Q330" s="387">
        <f t="shared" si="37"/>
        <v>87</v>
      </c>
      <c r="R330" s="517">
        <v>33.44</v>
      </c>
      <c r="S330" s="366" t="str">
        <f t="shared" si="35"/>
        <v>OK</v>
      </c>
    </row>
    <row r="331" spans="1:19">
      <c r="A331" s="617">
        <f t="shared" si="38"/>
        <v>314</v>
      </c>
      <c r="B331" s="702" t="s">
        <v>98</v>
      </c>
      <c r="C331" s="702"/>
      <c r="D331" s="702"/>
      <c r="E331" s="618">
        <f>'7" 26# Deck Tally'!B314</f>
        <v>86</v>
      </c>
      <c r="F331" s="619">
        <f>'7" 26# Deck Tally'!C314</f>
        <v>33.450000000000003</v>
      </c>
      <c r="G331" s="619">
        <f t="shared" si="36"/>
        <v>33.052</v>
      </c>
      <c r="H331" s="619" t="s">
        <v>9</v>
      </c>
      <c r="I331" s="619">
        <f t="shared" si="32"/>
        <v>10355.105999999996</v>
      </c>
      <c r="J331" s="619">
        <f t="shared" si="33"/>
        <v>2407.9540000000034</v>
      </c>
      <c r="K331" s="632">
        <f t="shared" si="34"/>
        <v>356.09711719174936</v>
      </c>
      <c r="L331" s="540"/>
      <c r="M331" s="532"/>
      <c r="N331" s="433"/>
      <c r="O331" s="434"/>
      <c r="P331" s="436"/>
      <c r="Q331" s="387">
        <f t="shared" si="37"/>
        <v>86</v>
      </c>
      <c r="R331" s="517">
        <v>33.450000000000003</v>
      </c>
      <c r="S331" s="366" t="str">
        <f t="shared" si="35"/>
        <v>OK</v>
      </c>
    </row>
    <row r="332" spans="1:19">
      <c r="A332" s="617">
        <f t="shared" si="38"/>
        <v>315</v>
      </c>
      <c r="B332" s="702" t="s">
        <v>98</v>
      </c>
      <c r="C332" s="702"/>
      <c r="D332" s="702"/>
      <c r="E332" s="618">
        <f>'7" 26# Deck Tally'!B315</f>
        <v>85</v>
      </c>
      <c r="F332" s="619">
        <f>'7" 26# Deck Tally'!C315</f>
        <v>33.869999999999997</v>
      </c>
      <c r="G332" s="619">
        <f t="shared" si="36"/>
        <v>33.471999999999994</v>
      </c>
      <c r="H332" s="619" t="s">
        <v>9</v>
      </c>
      <c r="I332" s="619">
        <f t="shared" si="32"/>
        <v>10388.577999999996</v>
      </c>
      <c r="J332" s="619">
        <f t="shared" si="33"/>
        <v>2374.4820000000036</v>
      </c>
      <c r="K332" s="632">
        <f t="shared" si="34"/>
        <v>356.83442173567596</v>
      </c>
      <c r="L332" s="540"/>
      <c r="M332" s="532"/>
      <c r="N332" s="433"/>
      <c r="O332" s="434"/>
      <c r="P332" s="436"/>
      <c r="Q332" s="387">
        <f t="shared" si="37"/>
        <v>85</v>
      </c>
      <c r="R332" s="517">
        <v>33.869999999999997</v>
      </c>
      <c r="S332" s="366" t="str">
        <f t="shared" si="35"/>
        <v>OK</v>
      </c>
    </row>
    <row r="333" spans="1:19">
      <c r="A333" s="617">
        <f t="shared" si="38"/>
        <v>316</v>
      </c>
      <c r="B333" s="702" t="s">
        <v>98</v>
      </c>
      <c r="C333" s="702"/>
      <c r="D333" s="702"/>
      <c r="E333" s="618">
        <f>'7" 26# Deck Tally'!B316</f>
        <v>84</v>
      </c>
      <c r="F333" s="619">
        <f>'7" 26# Deck Tally'!C316</f>
        <v>33.700000000000003</v>
      </c>
      <c r="G333" s="619">
        <f t="shared" si="36"/>
        <v>33.302</v>
      </c>
      <c r="H333" s="619" t="s">
        <v>9</v>
      </c>
      <c r="I333" s="619">
        <f t="shared" ref="I333:I337" si="39">IF(H333="IN",I332+G333,I332)</f>
        <v>10421.879999999996</v>
      </c>
      <c r="J333" s="619">
        <f t="shared" si="33"/>
        <v>2341.1800000000039</v>
      </c>
      <c r="K333" s="632">
        <f t="shared" si="34"/>
        <v>357.56798160427797</v>
      </c>
      <c r="L333" s="540"/>
      <c r="M333" s="532"/>
      <c r="N333" s="433"/>
      <c r="O333" s="434"/>
      <c r="P333" s="436"/>
      <c r="Q333" s="387">
        <f t="shared" si="37"/>
        <v>84</v>
      </c>
      <c r="R333" s="518">
        <v>33.700000000000003</v>
      </c>
      <c r="S333" s="496" t="str">
        <f t="shared" si="35"/>
        <v>OK</v>
      </c>
    </row>
    <row r="334" spans="1:19">
      <c r="A334" s="617">
        <f t="shared" si="38"/>
        <v>317</v>
      </c>
      <c r="B334" s="702" t="s">
        <v>98</v>
      </c>
      <c r="C334" s="702"/>
      <c r="D334" s="702"/>
      <c r="E334" s="618">
        <f>'7" 26# Deck Tally'!B317</f>
        <v>83</v>
      </c>
      <c r="F334" s="619">
        <f>'7" 26# Deck Tally'!C317</f>
        <v>33.65</v>
      </c>
      <c r="G334" s="619">
        <f t="shared" si="36"/>
        <v>33.251999999999995</v>
      </c>
      <c r="H334" s="619" t="s">
        <v>9</v>
      </c>
      <c r="I334" s="619">
        <f t="shared" si="39"/>
        <v>10455.131999999996</v>
      </c>
      <c r="J334" s="619">
        <f t="shared" si="33"/>
        <v>2307.9280000000035</v>
      </c>
      <c r="K334" s="632">
        <f t="shared" si="34"/>
        <v>358.30044009778453</v>
      </c>
      <c r="L334" s="540"/>
      <c r="M334" s="532"/>
      <c r="N334" s="433"/>
      <c r="O334" s="434"/>
      <c r="P334" s="436"/>
      <c r="Q334" s="387">
        <f t="shared" si="37"/>
        <v>83</v>
      </c>
      <c r="R334" s="517">
        <v>33.65</v>
      </c>
      <c r="S334" s="366" t="str">
        <f t="shared" si="35"/>
        <v>OK</v>
      </c>
    </row>
    <row r="335" spans="1:19">
      <c r="A335" s="617">
        <f t="shared" si="38"/>
        <v>318</v>
      </c>
      <c r="B335" s="702" t="s">
        <v>98</v>
      </c>
      <c r="C335" s="702"/>
      <c r="D335" s="702"/>
      <c r="E335" s="618">
        <f>'7" 26# Deck Tally'!B318</f>
        <v>82</v>
      </c>
      <c r="F335" s="619">
        <f>'7" 26# Deck Tally'!C318</f>
        <v>33.43</v>
      </c>
      <c r="G335" s="619">
        <f t="shared" si="36"/>
        <v>33.031999999999996</v>
      </c>
      <c r="H335" s="619" t="s">
        <v>9</v>
      </c>
      <c r="I335" s="619">
        <f t="shared" si="39"/>
        <v>10488.163999999995</v>
      </c>
      <c r="J335" s="619">
        <f t="shared" si="33"/>
        <v>2274.8960000000043</v>
      </c>
      <c r="K335" s="632">
        <f t="shared" si="34"/>
        <v>359.02805254087076</v>
      </c>
      <c r="L335" s="540"/>
      <c r="M335" s="532"/>
      <c r="N335" s="433"/>
      <c r="O335" s="434"/>
      <c r="P335" s="436"/>
      <c r="Q335" s="387">
        <f t="shared" si="37"/>
        <v>82</v>
      </c>
      <c r="R335" s="517">
        <v>33.43</v>
      </c>
      <c r="S335" s="366" t="str">
        <f t="shared" si="35"/>
        <v>OK</v>
      </c>
    </row>
    <row r="336" spans="1:19">
      <c r="A336" s="617">
        <f t="shared" si="38"/>
        <v>319</v>
      </c>
      <c r="B336" s="702" t="s">
        <v>98</v>
      </c>
      <c r="C336" s="702"/>
      <c r="D336" s="702"/>
      <c r="E336" s="618">
        <f>'7" 26# Deck Tally'!B319</f>
        <v>81</v>
      </c>
      <c r="F336" s="619">
        <f>'7" 26# Deck Tally'!C319</f>
        <v>33.26</v>
      </c>
      <c r="G336" s="619">
        <f t="shared" si="36"/>
        <v>32.861999999999995</v>
      </c>
      <c r="H336" s="619" t="s">
        <v>9</v>
      </c>
      <c r="I336" s="619">
        <f t="shared" si="39"/>
        <v>10521.025999999994</v>
      </c>
      <c r="J336" s="619">
        <f t="shared" ref="J336:J343" si="40">IF(I336="","",$L$6-I336)</f>
        <v>2242.0340000000051</v>
      </c>
      <c r="K336" s="632">
        <f t="shared" ref="K336" si="41">$H$6+(I336*$F$7*$H$8/1000)</f>
        <v>359.75192030863241</v>
      </c>
      <c r="L336" s="540"/>
      <c r="M336" s="532"/>
      <c r="N336" s="433"/>
      <c r="O336" s="434"/>
      <c r="P336" s="436"/>
      <c r="Q336" s="387">
        <f t="shared" si="37"/>
        <v>81</v>
      </c>
      <c r="R336" s="517">
        <v>33.26</v>
      </c>
      <c r="S336" s="366" t="str">
        <f t="shared" ref="S336:S384" si="42">IF(F336-R336=0,"OK","FALSE")</f>
        <v>OK</v>
      </c>
    </row>
    <row r="337" spans="1:19">
      <c r="A337" s="617">
        <f t="shared" si="38"/>
        <v>320</v>
      </c>
      <c r="B337" s="702" t="s">
        <v>98</v>
      </c>
      <c r="C337" s="702"/>
      <c r="D337" s="702"/>
      <c r="E337" s="618">
        <f>'7" 26# Deck Tally'!B320</f>
        <v>80</v>
      </c>
      <c r="F337" s="619">
        <f>'7" 26# Deck Tally'!C320</f>
        <v>33.19</v>
      </c>
      <c r="G337" s="619">
        <f t="shared" si="36"/>
        <v>32.791999999999994</v>
      </c>
      <c r="H337" s="619" t="s">
        <v>9</v>
      </c>
      <c r="I337" s="619">
        <f t="shared" si="39"/>
        <v>10553.817999999994</v>
      </c>
      <c r="J337" s="619">
        <f t="shared" si="40"/>
        <v>2209.2420000000056</v>
      </c>
      <c r="K337" s="632">
        <f t="shared" ref="K337:K405" si="43">$H$6+(I337*$F$7*$H$8/1000)</f>
        <v>360.47424615126039</v>
      </c>
      <c r="L337" s="540"/>
      <c r="M337" s="532"/>
      <c r="N337" s="433"/>
      <c r="O337" s="434"/>
      <c r="P337" s="436"/>
      <c r="Q337" s="387">
        <f t="shared" si="37"/>
        <v>80</v>
      </c>
      <c r="R337" s="517">
        <v>33.19</v>
      </c>
      <c r="S337" s="366" t="str">
        <f t="shared" si="42"/>
        <v>OK</v>
      </c>
    </row>
    <row r="338" spans="1:19">
      <c r="A338" s="617">
        <f t="shared" si="38"/>
        <v>321</v>
      </c>
      <c r="B338" s="702" t="s">
        <v>98</v>
      </c>
      <c r="C338" s="702"/>
      <c r="D338" s="702"/>
      <c r="E338" s="618">
        <f>'7" 26# Deck Tally'!B321</f>
        <v>79</v>
      </c>
      <c r="F338" s="619">
        <f>'7" 26# Deck Tally'!C321</f>
        <v>33.380000000000003</v>
      </c>
      <c r="G338" s="619">
        <f t="shared" si="36"/>
        <v>32.981999999999999</v>
      </c>
      <c r="H338" s="619" t="s">
        <v>9</v>
      </c>
      <c r="I338" s="619">
        <f t="shared" ref="I338:I421" si="44">IF(H338="IN",I337+G338,I337)</f>
        <v>10586.799999999994</v>
      </c>
      <c r="J338" s="619">
        <f t="shared" si="40"/>
        <v>2176.2600000000057</v>
      </c>
      <c r="K338" s="632">
        <f t="shared" si="43"/>
        <v>361.20075721925116</v>
      </c>
      <c r="L338" s="540"/>
      <c r="M338" s="532"/>
      <c r="N338" s="433"/>
      <c r="O338" s="434"/>
      <c r="P338" s="436"/>
      <c r="Q338" s="387">
        <f t="shared" si="37"/>
        <v>79</v>
      </c>
      <c r="R338" s="517">
        <v>33.380000000000003</v>
      </c>
      <c r="S338" s="366" t="str">
        <f t="shared" si="42"/>
        <v>OK</v>
      </c>
    </row>
    <row r="339" spans="1:19">
      <c r="A339" s="617">
        <f t="shared" si="38"/>
        <v>322</v>
      </c>
      <c r="B339" s="702" t="s">
        <v>98</v>
      </c>
      <c r="C339" s="702"/>
      <c r="D339" s="702"/>
      <c r="E339" s="618">
        <f>'7" 26# Deck Tally'!B322</f>
        <v>78</v>
      </c>
      <c r="F339" s="619">
        <f>'7" 26# Deck Tally'!C322</f>
        <v>33.64</v>
      </c>
      <c r="G339" s="619">
        <f t="shared" si="36"/>
        <v>33.241999999999997</v>
      </c>
      <c r="H339" s="619" t="s">
        <v>9</v>
      </c>
      <c r="I339" s="619">
        <f t="shared" si="44"/>
        <v>10620.041999999994</v>
      </c>
      <c r="J339" s="619">
        <f t="shared" si="40"/>
        <v>2143.0180000000055</v>
      </c>
      <c r="K339" s="632">
        <f t="shared" si="43"/>
        <v>361.93299543773861</v>
      </c>
      <c r="L339" s="540"/>
      <c r="M339" s="532"/>
      <c r="N339" s="433"/>
      <c r="O339" s="434"/>
      <c r="P339" s="436"/>
      <c r="Q339" s="387">
        <f t="shared" si="37"/>
        <v>78</v>
      </c>
      <c r="R339" s="517">
        <v>33.64</v>
      </c>
      <c r="S339" s="366" t="str">
        <f t="shared" si="42"/>
        <v>OK</v>
      </c>
    </row>
    <row r="340" spans="1:19">
      <c r="A340" s="617">
        <f t="shared" si="38"/>
        <v>323</v>
      </c>
      <c r="B340" s="702" t="s">
        <v>98</v>
      </c>
      <c r="C340" s="702"/>
      <c r="D340" s="702"/>
      <c r="E340" s="618">
        <f>'7" 26# Deck Tally'!B323</f>
        <v>77</v>
      </c>
      <c r="F340" s="619">
        <f>'7" 26# Deck Tally'!C323</f>
        <v>33.78</v>
      </c>
      <c r="G340" s="619">
        <f t="shared" si="36"/>
        <v>33.381999999999998</v>
      </c>
      <c r="H340" s="619" t="s">
        <v>9</v>
      </c>
      <c r="I340" s="619">
        <f t="shared" si="44"/>
        <v>10653.423999999994</v>
      </c>
      <c r="J340" s="619">
        <f t="shared" si="40"/>
        <v>2109.6360000000059</v>
      </c>
      <c r="K340" s="631">
        <f t="shared" si="43"/>
        <v>362.66831750649339</v>
      </c>
      <c r="L340" s="540"/>
      <c r="M340" s="532"/>
      <c r="N340" s="433"/>
      <c r="O340" s="434"/>
      <c r="P340" s="436"/>
      <c r="Q340" s="387">
        <f t="shared" si="37"/>
        <v>77</v>
      </c>
      <c r="R340" s="517">
        <v>33.78</v>
      </c>
      <c r="S340" s="366" t="str">
        <f t="shared" si="42"/>
        <v>OK</v>
      </c>
    </row>
    <row r="341" spans="1:19">
      <c r="A341" s="617">
        <f t="shared" si="38"/>
        <v>324</v>
      </c>
      <c r="B341" s="702" t="s">
        <v>98</v>
      </c>
      <c r="C341" s="702"/>
      <c r="D341" s="702"/>
      <c r="E341" s="618">
        <f>'7" 26# Deck Tally'!B324</f>
        <v>76</v>
      </c>
      <c r="F341" s="619">
        <f>'7" 26# Deck Tally'!C324</f>
        <v>33.479999999999997</v>
      </c>
      <c r="G341" s="619">
        <f t="shared" ref="G341:G423" si="45">F341-($F$9)</f>
        <v>33.081999999999994</v>
      </c>
      <c r="H341" s="619" t="s">
        <v>9</v>
      </c>
      <c r="I341" s="619">
        <f t="shared" si="44"/>
        <v>10686.505999999994</v>
      </c>
      <c r="J341" s="619">
        <f t="shared" si="40"/>
        <v>2076.5540000000055</v>
      </c>
      <c r="K341" s="632">
        <f t="shared" si="43"/>
        <v>363.3970313246752</v>
      </c>
      <c r="L341" s="540"/>
      <c r="M341" s="532"/>
      <c r="N341" s="433"/>
      <c r="O341" s="434"/>
      <c r="P341" s="436"/>
      <c r="Q341" s="387">
        <f t="shared" ref="Q341:Q404" si="46">E341</f>
        <v>76</v>
      </c>
      <c r="R341" s="517">
        <v>33.479999999999997</v>
      </c>
      <c r="S341" s="366" t="str">
        <f t="shared" si="42"/>
        <v>OK</v>
      </c>
    </row>
    <row r="342" spans="1:19">
      <c r="A342" s="617">
        <f t="shared" si="38"/>
        <v>325</v>
      </c>
      <c r="B342" s="702" t="s">
        <v>98</v>
      </c>
      <c r="C342" s="702"/>
      <c r="D342" s="702"/>
      <c r="E342" s="618">
        <f>'7" 26# Deck Tally'!B325</f>
        <v>75</v>
      </c>
      <c r="F342" s="619">
        <f>'7" 26# Deck Tally'!C325</f>
        <v>33.4</v>
      </c>
      <c r="G342" s="619">
        <f t="shared" si="45"/>
        <v>33.001999999999995</v>
      </c>
      <c r="H342" s="619" t="s">
        <v>9</v>
      </c>
      <c r="I342" s="619">
        <f t="shared" si="44"/>
        <v>10719.507999999994</v>
      </c>
      <c r="J342" s="619">
        <f t="shared" si="40"/>
        <v>2043.5520000000051</v>
      </c>
      <c r="K342" s="632">
        <f t="shared" si="43"/>
        <v>364.12398294270429</v>
      </c>
      <c r="L342" s="540"/>
      <c r="M342" s="532"/>
      <c r="N342" s="433"/>
      <c r="O342" s="434"/>
      <c r="P342" s="436"/>
      <c r="Q342" s="387">
        <f t="shared" si="46"/>
        <v>75</v>
      </c>
      <c r="R342" s="517">
        <v>33.4</v>
      </c>
      <c r="S342" s="366" t="str">
        <f t="shared" si="42"/>
        <v>OK</v>
      </c>
    </row>
    <row r="343" spans="1:19">
      <c r="A343" s="617">
        <f t="shared" ref="A343:A411" si="47">A342+1</f>
        <v>326</v>
      </c>
      <c r="B343" s="702" t="s">
        <v>98</v>
      </c>
      <c r="C343" s="702"/>
      <c r="D343" s="702"/>
      <c r="E343" s="618">
        <f>'7" 26# Deck Tally'!B326</f>
        <v>74</v>
      </c>
      <c r="F343" s="619">
        <f>'7" 26# Deck Tally'!C326</f>
        <v>33.380000000000003</v>
      </c>
      <c r="G343" s="619">
        <f t="shared" si="45"/>
        <v>32.981999999999999</v>
      </c>
      <c r="H343" s="619" t="s">
        <v>9</v>
      </c>
      <c r="I343" s="619">
        <f t="shared" si="44"/>
        <v>10752.489999999994</v>
      </c>
      <c r="J343" s="619">
        <f t="shared" si="40"/>
        <v>2010.5700000000052</v>
      </c>
      <c r="K343" s="632">
        <f t="shared" si="43"/>
        <v>364.85049401069512</v>
      </c>
      <c r="L343" s="540"/>
      <c r="M343" s="352"/>
      <c r="N343" s="433"/>
      <c r="O343" s="434"/>
      <c r="P343" s="436"/>
      <c r="Q343" s="387">
        <f t="shared" si="46"/>
        <v>74</v>
      </c>
      <c r="R343" s="517">
        <v>33.380000000000003</v>
      </c>
      <c r="S343" s="366" t="str">
        <f t="shared" si="42"/>
        <v>OK</v>
      </c>
    </row>
    <row r="344" spans="1:19">
      <c r="A344" s="617">
        <f t="shared" si="47"/>
        <v>327</v>
      </c>
      <c r="B344" s="702" t="s">
        <v>98</v>
      </c>
      <c r="C344" s="702"/>
      <c r="D344" s="702"/>
      <c r="E344" s="618">
        <f>'7" 26# Deck Tally'!B327</f>
        <v>73</v>
      </c>
      <c r="F344" s="619">
        <f>'7" 26# Deck Tally'!C327</f>
        <v>33.549999999999997</v>
      </c>
      <c r="G344" s="619">
        <f t="shared" si="45"/>
        <v>33.151999999999994</v>
      </c>
      <c r="H344" s="619" t="s">
        <v>9</v>
      </c>
      <c r="I344" s="619">
        <f t="shared" si="44"/>
        <v>10785.641999999994</v>
      </c>
      <c r="J344" s="619">
        <f t="shared" ref="J344:J422" si="48">IF(I344="","",$L$6-I344)</f>
        <v>1977.4180000000051</v>
      </c>
      <c r="K344" s="632">
        <f t="shared" si="43"/>
        <v>365.58074975401058</v>
      </c>
      <c r="L344" s="540"/>
      <c r="M344" s="532"/>
      <c r="N344" s="433"/>
      <c r="O344" s="434"/>
      <c r="P344" s="436"/>
      <c r="Q344" s="387">
        <f t="shared" si="46"/>
        <v>73</v>
      </c>
      <c r="R344" s="517">
        <v>33.549999999999997</v>
      </c>
      <c r="S344" s="366" t="str">
        <f t="shared" si="42"/>
        <v>OK</v>
      </c>
    </row>
    <row r="345" spans="1:19">
      <c r="A345" s="617">
        <f t="shared" si="47"/>
        <v>328</v>
      </c>
      <c r="B345" s="702" t="s">
        <v>98</v>
      </c>
      <c r="C345" s="702"/>
      <c r="D345" s="702"/>
      <c r="E345" s="618">
        <f>'7" 26# Deck Tally'!B328</f>
        <v>72</v>
      </c>
      <c r="F345" s="619">
        <f>'7" 26# Deck Tally'!C328</f>
        <v>32.99</v>
      </c>
      <c r="G345" s="619">
        <f t="shared" si="45"/>
        <v>32.591999999999999</v>
      </c>
      <c r="H345" s="619" t="s">
        <v>9</v>
      </c>
      <c r="I345" s="619">
        <f t="shared" si="44"/>
        <v>10818.233999999995</v>
      </c>
      <c r="J345" s="619">
        <f t="shared" si="48"/>
        <v>1944.8260000000046</v>
      </c>
      <c r="K345" s="631">
        <f t="shared" si="43"/>
        <v>366.29867009625656</v>
      </c>
      <c r="L345" s="540"/>
      <c r="M345" s="532"/>
      <c r="N345" s="433"/>
      <c r="O345" s="434"/>
      <c r="P345" s="436"/>
      <c r="Q345" s="387">
        <f t="shared" si="46"/>
        <v>72</v>
      </c>
      <c r="R345" s="517">
        <v>32.99</v>
      </c>
      <c r="S345" s="366" t="str">
        <f t="shared" si="42"/>
        <v>OK</v>
      </c>
    </row>
    <row r="346" spans="1:19">
      <c r="A346" s="617">
        <f t="shared" si="47"/>
        <v>329</v>
      </c>
      <c r="B346" s="702" t="s">
        <v>98</v>
      </c>
      <c r="C346" s="702"/>
      <c r="D346" s="702"/>
      <c r="E346" s="618">
        <f>'7" 26# Deck Tally'!B329</f>
        <v>71</v>
      </c>
      <c r="F346" s="619">
        <f>'7" 26# Deck Tally'!C329</f>
        <v>33.54</v>
      </c>
      <c r="G346" s="619">
        <f t="shared" si="45"/>
        <v>33.141999999999996</v>
      </c>
      <c r="H346" s="619" t="s">
        <v>9</v>
      </c>
      <c r="I346" s="619">
        <f t="shared" si="44"/>
        <v>10851.375999999995</v>
      </c>
      <c r="J346" s="619">
        <f t="shared" si="48"/>
        <v>1911.6840000000047</v>
      </c>
      <c r="K346" s="632">
        <f t="shared" si="43"/>
        <v>367.02870556455298</v>
      </c>
      <c r="L346" s="540"/>
      <c r="M346" s="532"/>
      <c r="N346" s="433"/>
      <c r="O346" s="434"/>
      <c r="P346" s="436"/>
      <c r="Q346" s="387">
        <f t="shared" si="46"/>
        <v>71</v>
      </c>
      <c r="R346" s="517">
        <v>33.54</v>
      </c>
      <c r="S346" s="366" t="str">
        <f t="shared" si="42"/>
        <v>OK</v>
      </c>
    </row>
    <row r="347" spans="1:19">
      <c r="A347" s="617">
        <f t="shared" si="47"/>
        <v>330</v>
      </c>
      <c r="B347" s="702" t="s">
        <v>98</v>
      </c>
      <c r="C347" s="702"/>
      <c r="D347" s="702"/>
      <c r="E347" s="618">
        <f>'7" 26# Deck Tally'!B330</f>
        <v>70</v>
      </c>
      <c r="F347" s="619">
        <f>'7" 26# Deck Tally'!C330</f>
        <v>33.4</v>
      </c>
      <c r="G347" s="619">
        <f t="shared" si="45"/>
        <v>33.001999999999995</v>
      </c>
      <c r="H347" s="619" t="s">
        <v>9</v>
      </c>
      <c r="I347" s="619">
        <f t="shared" si="44"/>
        <v>10884.377999999995</v>
      </c>
      <c r="J347" s="619">
        <f t="shared" si="48"/>
        <v>1878.6820000000043</v>
      </c>
      <c r="K347" s="632">
        <f t="shared" si="43"/>
        <v>367.75565718258201</v>
      </c>
      <c r="L347" s="540"/>
      <c r="M347" s="532"/>
      <c r="N347" s="433"/>
      <c r="O347" s="434"/>
      <c r="P347" s="436"/>
      <c r="Q347" s="387">
        <f t="shared" si="46"/>
        <v>70</v>
      </c>
      <c r="R347" s="517">
        <v>33.4</v>
      </c>
      <c r="S347" s="366" t="str">
        <f t="shared" si="42"/>
        <v>OK</v>
      </c>
    </row>
    <row r="348" spans="1:19">
      <c r="A348" s="617">
        <f t="shared" si="47"/>
        <v>331</v>
      </c>
      <c r="B348" s="702" t="s">
        <v>98</v>
      </c>
      <c r="C348" s="702"/>
      <c r="D348" s="702"/>
      <c r="E348" s="618">
        <f>'7" 26# Deck Tally'!B331</f>
        <v>69</v>
      </c>
      <c r="F348" s="619">
        <f>'7" 26# Deck Tally'!C331</f>
        <v>33.950000000000003</v>
      </c>
      <c r="G348" s="619">
        <f t="shared" si="45"/>
        <v>33.552</v>
      </c>
      <c r="H348" s="619" t="s">
        <v>9</v>
      </c>
      <c r="I348" s="619">
        <f t="shared" si="44"/>
        <v>10917.929999999995</v>
      </c>
      <c r="J348" s="619">
        <f t="shared" si="48"/>
        <v>1845.1300000000047</v>
      </c>
      <c r="K348" s="632">
        <f t="shared" si="43"/>
        <v>368.49472392666144</v>
      </c>
      <c r="L348" s="540"/>
      <c r="M348" s="532"/>
      <c r="N348" s="433"/>
      <c r="O348" s="434"/>
      <c r="P348" s="436"/>
      <c r="Q348" s="387">
        <f t="shared" si="46"/>
        <v>69</v>
      </c>
      <c r="R348" s="517">
        <v>33.950000000000003</v>
      </c>
      <c r="S348" s="366" t="str">
        <f t="shared" si="42"/>
        <v>OK</v>
      </c>
    </row>
    <row r="349" spans="1:19">
      <c r="A349" s="617">
        <f t="shared" si="47"/>
        <v>332</v>
      </c>
      <c r="B349" s="702" t="s">
        <v>98</v>
      </c>
      <c r="C349" s="702"/>
      <c r="D349" s="702"/>
      <c r="E349" s="618">
        <f>'7" 26# Deck Tally'!B332</f>
        <v>68</v>
      </c>
      <c r="F349" s="619">
        <f>'7" 26# Deck Tally'!C332</f>
        <v>33.65</v>
      </c>
      <c r="G349" s="619">
        <f t="shared" si="45"/>
        <v>33.251999999999995</v>
      </c>
      <c r="H349" s="619" t="s">
        <v>9</v>
      </c>
      <c r="I349" s="619">
        <f t="shared" si="44"/>
        <v>10951.181999999995</v>
      </c>
      <c r="J349" s="619">
        <f t="shared" si="48"/>
        <v>1811.8780000000042</v>
      </c>
      <c r="K349" s="632">
        <f t="shared" si="43"/>
        <v>369.22718242016799</v>
      </c>
      <c r="L349" s="454"/>
      <c r="M349" s="455"/>
      <c r="N349" s="433"/>
      <c r="O349" s="434"/>
      <c r="P349" s="436"/>
      <c r="Q349" s="387">
        <f t="shared" si="46"/>
        <v>68</v>
      </c>
      <c r="R349" s="517">
        <v>33.65</v>
      </c>
      <c r="S349" s="366" t="str">
        <f t="shared" si="42"/>
        <v>OK</v>
      </c>
    </row>
    <row r="350" spans="1:19">
      <c r="A350" s="617">
        <f t="shared" si="47"/>
        <v>333</v>
      </c>
      <c r="B350" s="702" t="s">
        <v>98</v>
      </c>
      <c r="C350" s="702"/>
      <c r="D350" s="702"/>
      <c r="E350" s="618">
        <f>'7" 26# Deck Tally'!B333</f>
        <v>67</v>
      </c>
      <c r="F350" s="619">
        <f>'7" 26# Deck Tally'!C333</f>
        <v>33.76</v>
      </c>
      <c r="G350" s="619">
        <f t="shared" si="45"/>
        <v>33.361999999999995</v>
      </c>
      <c r="H350" s="619" t="s">
        <v>9</v>
      </c>
      <c r="I350" s="619">
        <f t="shared" si="44"/>
        <v>10984.543999999994</v>
      </c>
      <c r="J350" s="619">
        <f t="shared" si="48"/>
        <v>1778.5160000000051</v>
      </c>
      <c r="K350" s="631">
        <f t="shared" si="43"/>
        <v>369.96206393888451</v>
      </c>
      <c r="L350" s="454"/>
      <c r="M350" s="455"/>
      <c r="N350" s="433"/>
      <c r="O350" s="434"/>
      <c r="P350" s="436"/>
      <c r="Q350" s="387">
        <f t="shared" si="46"/>
        <v>67</v>
      </c>
      <c r="R350" s="517">
        <v>33.76</v>
      </c>
      <c r="S350" s="366" t="str">
        <f t="shared" si="42"/>
        <v>OK</v>
      </c>
    </row>
    <row r="351" spans="1:19">
      <c r="A351" s="617">
        <f t="shared" si="47"/>
        <v>334</v>
      </c>
      <c r="B351" s="702" t="s">
        <v>98</v>
      </c>
      <c r="C351" s="702"/>
      <c r="D351" s="702"/>
      <c r="E351" s="618">
        <f>'7" 26# Deck Tally'!B334</f>
        <v>66</v>
      </c>
      <c r="F351" s="619">
        <f>'7" 26# Deck Tally'!C334</f>
        <v>33.29</v>
      </c>
      <c r="G351" s="619">
        <f t="shared" si="45"/>
        <v>32.891999999999996</v>
      </c>
      <c r="H351" s="619" t="s">
        <v>9</v>
      </c>
      <c r="I351" s="619">
        <f t="shared" si="44"/>
        <v>11017.435999999994</v>
      </c>
      <c r="J351" s="619">
        <f t="shared" si="48"/>
        <v>1745.6240000000053</v>
      </c>
      <c r="K351" s="632">
        <f t="shared" si="43"/>
        <v>370.68659253170347</v>
      </c>
      <c r="L351" s="282"/>
      <c r="M351" s="220"/>
      <c r="N351" s="433"/>
      <c r="O351" s="434"/>
      <c r="P351" s="436"/>
      <c r="Q351" s="387">
        <f t="shared" si="46"/>
        <v>66</v>
      </c>
      <c r="R351" s="517">
        <v>33.29</v>
      </c>
      <c r="S351" s="366" t="str">
        <f t="shared" si="42"/>
        <v>OK</v>
      </c>
    </row>
    <row r="352" spans="1:19">
      <c r="A352" s="617">
        <f t="shared" si="47"/>
        <v>335</v>
      </c>
      <c r="B352" s="702" t="s">
        <v>98</v>
      </c>
      <c r="C352" s="702"/>
      <c r="D352" s="702"/>
      <c r="E352" s="618">
        <f>'7" 26# Deck Tally'!B335</f>
        <v>65</v>
      </c>
      <c r="F352" s="619">
        <f>'7" 26# Deck Tally'!C335</f>
        <v>33.72</v>
      </c>
      <c r="G352" s="619">
        <f t="shared" si="45"/>
        <v>33.321999999999996</v>
      </c>
      <c r="H352" s="619" t="s">
        <v>9</v>
      </c>
      <c r="I352" s="619">
        <f t="shared" si="44"/>
        <v>11050.757999999994</v>
      </c>
      <c r="J352" s="619">
        <f t="shared" si="48"/>
        <v>1712.3020000000051</v>
      </c>
      <c r="K352" s="632">
        <f t="shared" si="43"/>
        <v>371.42059295034369</v>
      </c>
      <c r="L352" s="282"/>
      <c r="M352" s="220"/>
      <c r="N352" s="433"/>
      <c r="O352" s="434"/>
      <c r="P352" s="436"/>
      <c r="Q352" s="387">
        <f t="shared" si="46"/>
        <v>65</v>
      </c>
      <c r="R352" s="517">
        <v>33.72</v>
      </c>
      <c r="S352" s="366" t="str">
        <f t="shared" si="42"/>
        <v>OK</v>
      </c>
    </row>
    <row r="353" spans="1:19" ht="13">
      <c r="A353" s="617">
        <f t="shared" si="47"/>
        <v>336</v>
      </c>
      <c r="B353" s="702" t="s">
        <v>98</v>
      </c>
      <c r="C353" s="702"/>
      <c r="D353" s="702"/>
      <c r="E353" s="618">
        <f>'7" 26# Deck Tally'!B336</f>
        <v>64</v>
      </c>
      <c r="F353" s="619">
        <f>'7" 26# Deck Tally'!C336</f>
        <v>33.67</v>
      </c>
      <c r="G353" s="619">
        <f t="shared" si="45"/>
        <v>33.271999999999998</v>
      </c>
      <c r="H353" s="619" t="s">
        <v>9</v>
      </c>
      <c r="I353" s="619">
        <f t="shared" si="44"/>
        <v>11084.029999999995</v>
      </c>
      <c r="J353" s="619">
        <f t="shared" si="48"/>
        <v>1679.0300000000043</v>
      </c>
      <c r="K353" s="632">
        <f t="shared" si="43"/>
        <v>372.15349199388834</v>
      </c>
      <c r="L353" s="706"/>
      <c r="M353" s="707"/>
      <c r="N353" s="433"/>
      <c r="O353" s="434"/>
      <c r="P353" s="436"/>
      <c r="Q353" s="387">
        <f t="shared" si="46"/>
        <v>64</v>
      </c>
      <c r="R353" s="517">
        <v>33.67</v>
      </c>
      <c r="S353" s="366" t="str">
        <f t="shared" si="42"/>
        <v>OK</v>
      </c>
    </row>
    <row r="354" spans="1:19" ht="13">
      <c r="A354" s="617">
        <f t="shared" si="47"/>
        <v>337</v>
      </c>
      <c r="B354" s="702" t="s">
        <v>98</v>
      </c>
      <c r="C354" s="702"/>
      <c r="D354" s="702"/>
      <c r="E354" s="618">
        <f>'7" 26# Deck Tally'!B337</f>
        <v>63</v>
      </c>
      <c r="F354" s="619">
        <f>'7" 26# Deck Tally'!C337</f>
        <v>33.4</v>
      </c>
      <c r="G354" s="619">
        <f t="shared" si="45"/>
        <v>33.001999999999995</v>
      </c>
      <c r="H354" s="619" t="s">
        <v>9</v>
      </c>
      <c r="I354" s="619">
        <f t="shared" si="44"/>
        <v>11117.031999999996</v>
      </c>
      <c r="J354" s="619">
        <f t="shared" si="48"/>
        <v>1646.0280000000039</v>
      </c>
      <c r="K354" s="632">
        <f t="shared" si="43"/>
        <v>372.88044361191737</v>
      </c>
      <c r="L354" s="706"/>
      <c r="M354" s="707"/>
      <c r="N354" s="433"/>
      <c r="O354" s="434"/>
      <c r="P354" s="436"/>
      <c r="Q354" s="387">
        <f t="shared" si="46"/>
        <v>63</v>
      </c>
      <c r="R354" s="517">
        <v>33.4</v>
      </c>
      <c r="S354" s="366" t="str">
        <f t="shared" si="42"/>
        <v>OK</v>
      </c>
    </row>
    <row r="355" spans="1:19" ht="14">
      <c r="A355" s="617">
        <f t="shared" si="47"/>
        <v>338</v>
      </c>
      <c r="B355" s="702" t="s">
        <v>98</v>
      </c>
      <c r="C355" s="702"/>
      <c r="D355" s="702"/>
      <c r="E355" s="618">
        <f>'7" 26# Deck Tally'!B338</f>
        <v>62</v>
      </c>
      <c r="F355" s="619">
        <f>'7" 26# Deck Tally'!C338</f>
        <v>33.590000000000003</v>
      </c>
      <c r="G355" s="619">
        <f t="shared" si="45"/>
        <v>33.192</v>
      </c>
      <c r="H355" s="619" t="s">
        <v>9</v>
      </c>
      <c r="I355" s="619">
        <f t="shared" si="44"/>
        <v>11150.223999999995</v>
      </c>
      <c r="J355" s="619">
        <f t="shared" si="48"/>
        <v>1612.8360000000048</v>
      </c>
      <c r="K355" s="631">
        <f t="shared" si="43"/>
        <v>373.61158045530931</v>
      </c>
      <c r="L355" s="704"/>
      <c r="M355" s="705"/>
      <c r="N355" s="433"/>
      <c r="O355" s="434"/>
      <c r="P355" s="436"/>
      <c r="Q355" s="387">
        <f t="shared" si="46"/>
        <v>62</v>
      </c>
      <c r="R355" s="517">
        <v>33.590000000000003</v>
      </c>
      <c r="S355" s="366" t="str">
        <f t="shared" si="42"/>
        <v>OK</v>
      </c>
    </row>
    <row r="356" spans="1:19" ht="14">
      <c r="A356" s="617">
        <f t="shared" si="47"/>
        <v>339</v>
      </c>
      <c r="B356" s="702" t="s">
        <v>98</v>
      </c>
      <c r="C356" s="702"/>
      <c r="D356" s="702"/>
      <c r="E356" s="618">
        <f>'7" 26# Deck Tally'!B339</f>
        <v>61</v>
      </c>
      <c r="F356" s="619">
        <f>'7" 26# Deck Tally'!C339</f>
        <v>33.409999999999997</v>
      </c>
      <c r="G356" s="619">
        <f t="shared" si="45"/>
        <v>33.011999999999993</v>
      </c>
      <c r="H356" s="619" t="s">
        <v>9</v>
      </c>
      <c r="I356" s="619">
        <f t="shared" si="44"/>
        <v>11183.235999999995</v>
      </c>
      <c r="J356" s="619">
        <f t="shared" si="48"/>
        <v>1579.8240000000042</v>
      </c>
      <c r="K356" s="632">
        <f t="shared" si="43"/>
        <v>374.33875234835745</v>
      </c>
      <c r="L356" s="704"/>
      <c r="M356" s="705"/>
      <c r="N356" s="433"/>
      <c r="O356" s="434"/>
      <c r="P356" s="436"/>
      <c r="Q356" s="387">
        <f t="shared" si="46"/>
        <v>61</v>
      </c>
      <c r="R356" s="517">
        <v>33.409999999999997</v>
      </c>
      <c r="S356" s="366" t="str">
        <f t="shared" si="42"/>
        <v>OK</v>
      </c>
    </row>
    <row r="357" spans="1:19">
      <c r="A357" s="617">
        <f t="shared" si="47"/>
        <v>340</v>
      </c>
      <c r="B357" s="702" t="s">
        <v>98</v>
      </c>
      <c r="C357" s="702"/>
      <c r="D357" s="702"/>
      <c r="E357" s="618">
        <f>'7" 26# Deck Tally'!B340</f>
        <v>60</v>
      </c>
      <c r="F357" s="619">
        <f>'7" 26# Deck Tally'!C340</f>
        <v>33.6</v>
      </c>
      <c r="G357" s="619">
        <f t="shared" si="45"/>
        <v>33.201999999999998</v>
      </c>
      <c r="H357" s="619" t="s">
        <v>9</v>
      </c>
      <c r="I357" s="619">
        <f t="shared" si="44"/>
        <v>11216.437999999995</v>
      </c>
      <c r="J357" s="619">
        <f t="shared" si="48"/>
        <v>1546.6220000000048</v>
      </c>
      <c r="K357" s="632">
        <f t="shared" si="43"/>
        <v>375.07010946676843</v>
      </c>
      <c r="L357" s="540"/>
      <c r="M357" s="532"/>
      <c r="N357" s="433"/>
      <c r="O357" s="434"/>
      <c r="P357" s="436"/>
      <c r="Q357" s="387">
        <f t="shared" si="46"/>
        <v>60</v>
      </c>
      <c r="R357" s="517">
        <v>33.6</v>
      </c>
      <c r="S357" s="366" t="str">
        <f t="shared" si="42"/>
        <v>OK</v>
      </c>
    </row>
    <row r="358" spans="1:19">
      <c r="A358" s="617">
        <f t="shared" si="47"/>
        <v>341</v>
      </c>
      <c r="B358" s="702" t="s">
        <v>98</v>
      </c>
      <c r="C358" s="702"/>
      <c r="D358" s="702"/>
      <c r="E358" s="618">
        <f>'7" 26# Deck Tally'!B341</f>
        <v>59</v>
      </c>
      <c r="F358" s="619">
        <f>'7" 26# Deck Tally'!C341</f>
        <v>33.840000000000003</v>
      </c>
      <c r="G358" s="619">
        <f t="shared" si="45"/>
        <v>33.442</v>
      </c>
      <c r="H358" s="619" t="s">
        <v>9</v>
      </c>
      <c r="I358" s="619">
        <f t="shared" si="44"/>
        <v>11249.879999999994</v>
      </c>
      <c r="J358" s="619">
        <f t="shared" si="48"/>
        <v>1513.1800000000057</v>
      </c>
      <c r="K358" s="632">
        <f t="shared" si="43"/>
        <v>375.80675318563777</v>
      </c>
      <c r="L358" s="540"/>
      <c r="M358" s="532"/>
      <c r="N358" s="433"/>
      <c r="O358" s="434"/>
      <c r="P358" s="436"/>
      <c r="Q358" s="387">
        <f t="shared" si="46"/>
        <v>59</v>
      </c>
      <c r="R358" s="517">
        <v>33.840000000000003</v>
      </c>
      <c r="S358" s="366" t="str">
        <f t="shared" si="42"/>
        <v>OK</v>
      </c>
    </row>
    <row r="359" spans="1:19">
      <c r="A359" s="617">
        <f t="shared" si="47"/>
        <v>342</v>
      </c>
      <c r="B359" s="702" t="s">
        <v>98</v>
      </c>
      <c r="C359" s="702"/>
      <c r="D359" s="702"/>
      <c r="E359" s="618">
        <f>'7" 26# Deck Tally'!B342</f>
        <v>58</v>
      </c>
      <c r="F359" s="619">
        <f>'7" 26# Deck Tally'!C342</f>
        <v>33.409999999999997</v>
      </c>
      <c r="G359" s="619">
        <f t="shared" si="45"/>
        <v>33.011999999999993</v>
      </c>
      <c r="H359" s="619" t="s">
        <v>9</v>
      </c>
      <c r="I359" s="619">
        <f t="shared" si="44"/>
        <v>11282.891999999994</v>
      </c>
      <c r="J359" s="619">
        <f t="shared" si="48"/>
        <v>1480.1680000000051</v>
      </c>
      <c r="K359" s="632">
        <f t="shared" si="43"/>
        <v>376.53392507868591</v>
      </c>
      <c r="L359" s="540"/>
      <c r="M359" s="532"/>
      <c r="N359" s="433"/>
      <c r="O359" s="434"/>
      <c r="P359" s="436"/>
      <c r="Q359" s="387">
        <f t="shared" si="46"/>
        <v>58</v>
      </c>
      <c r="R359" s="517">
        <v>33.409999999999997</v>
      </c>
      <c r="S359" s="366" t="str">
        <f t="shared" si="42"/>
        <v>OK</v>
      </c>
    </row>
    <row r="360" spans="1:19">
      <c r="A360" s="617">
        <f t="shared" si="47"/>
        <v>343</v>
      </c>
      <c r="B360" s="702" t="s">
        <v>98</v>
      </c>
      <c r="C360" s="702"/>
      <c r="D360" s="702"/>
      <c r="E360" s="618">
        <f>'7" 26# Deck Tally'!B343</f>
        <v>57</v>
      </c>
      <c r="F360" s="619">
        <f>'7" 26# Deck Tally'!C343</f>
        <v>33.64</v>
      </c>
      <c r="G360" s="619">
        <f t="shared" si="45"/>
        <v>33.241999999999997</v>
      </c>
      <c r="H360" s="619" t="s">
        <v>9</v>
      </c>
      <c r="I360" s="619">
        <f t="shared" si="44"/>
        <v>11316.133999999995</v>
      </c>
      <c r="J360" s="619">
        <f t="shared" si="48"/>
        <v>1446.9260000000049</v>
      </c>
      <c r="K360" s="631">
        <f t="shared" si="43"/>
        <v>377.26616329717331</v>
      </c>
      <c r="L360" s="540"/>
      <c r="M360" s="532"/>
      <c r="N360" s="433"/>
      <c r="O360" s="434"/>
      <c r="P360" s="436"/>
      <c r="Q360" s="387">
        <f t="shared" si="46"/>
        <v>57</v>
      </c>
      <c r="R360" s="517">
        <v>33.64</v>
      </c>
      <c r="S360" s="366" t="str">
        <f t="shared" si="42"/>
        <v>OK</v>
      </c>
    </row>
    <row r="361" spans="1:19">
      <c r="A361" s="617">
        <f t="shared" si="47"/>
        <v>344</v>
      </c>
      <c r="B361" s="702" t="s">
        <v>98</v>
      </c>
      <c r="C361" s="702"/>
      <c r="D361" s="702"/>
      <c r="E361" s="618">
        <f>'7" 26# Deck Tally'!B344</f>
        <v>56</v>
      </c>
      <c r="F361" s="619">
        <f>'7" 26# Deck Tally'!C344</f>
        <v>33.520000000000003</v>
      </c>
      <c r="G361" s="619">
        <f t="shared" si="45"/>
        <v>33.122</v>
      </c>
      <c r="H361" s="619" t="s">
        <v>9</v>
      </c>
      <c r="I361" s="619">
        <f t="shared" si="44"/>
        <v>11349.255999999994</v>
      </c>
      <c r="J361" s="619">
        <f t="shared" si="48"/>
        <v>1413.8040000000055</v>
      </c>
      <c r="K361" s="632">
        <f t="shared" si="43"/>
        <v>377.99575821543147</v>
      </c>
      <c r="L361" s="540"/>
      <c r="M361" s="532"/>
      <c r="N361" s="433"/>
      <c r="O361" s="434"/>
      <c r="P361" s="436"/>
      <c r="Q361" s="387">
        <f t="shared" si="46"/>
        <v>56</v>
      </c>
      <c r="R361" s="517">
        <v>33.520000000000003</v>
      </c>
      <c r="S361" s="366" t="str">
        <f t="shared" si="42"/>
        <v>OK</v>
      </c>
    </row>
    <row r="362" spans="1:19">
      <c r="A362" s="617">
        <f t="shared" si="47"/>
        <v>345</v>
      </c>
      <c r="B362" s="702" t="s">
        <v>98</v>
      </c>
      <c r="C362" s="702"/>
      <c r="D362" s="702"/>
      <c r="E362" s="618">
        <f>'7" 26# Deck Tally'!B345</f>
        <v>55</v>
      </c>
      <c r="F362" s="619">
        <f>'7" 26# Deck Tally'!C345</f>
        <v>33.86</v>
      </c>
      <c r="G362" s="619">
        <f t="shared" si="45"/>
        <v>33.461999999999996</v>
      </c>
      <c r="H362" s="619" t="s">
        <v>9</v>
      </c>
      <c r="I362" s="619">
        <f t="shared" si="44"/>
        <v>11382.717999999993</v>
      </c>
      <c r="J362" s="619">
        <f t="shared" si="48"/>
        <v>1380.342000000006</v>
      </c>
      <c r="K362" s="632">
        <f t="shared" si="43"/>
        <v>378.73284248433902</v>
      </c>
      <c r="L362" s="540"/>
      <c r="M362" s="532"/>
      <c r="N362" s="433"/>
      <c r="O362" s="434"/>
      <c r="P362" s="436"/>
      <c r="Q362" s="387">
        <f t="shared" si="46"/>
        <v>55</v>
      </c>
      <c r="R362" s="517">
        <v>33.86</v>
      </c>
      <c r="S362" s="366" t="str">
        <f t="shared" si="42"/>
        <v>OK</v>
      </c>
    </row>
    <row r="363" spans="1:19">
      <c r="A363" s="617">
        <f t="shared" si="47"/>
        <v>346</v>
      </c>
      <c r="B363" s="702" t="s">
        <v>98</v>
      </c>
      <c r="C363" s="702"/>
      <c r="D363" s="702"/>
      <c r="E363" s="618">
        <f>'7" 26# Deck Tally'!B346</f>
        <v>54</v>
      </c>
      <c r="F363" s="619">
        <f>'7" 26# Deck Tally'!C346</f>
        <v>33.74</v>
      </c>
      <c r="G363" s="619">
        <f t="shared" si="45"/>
        <v>33.341999999999999</v>
      </c>
      <c r="H363" s="619" t="s">
        <v>9</v>
      </c>
      <c r="I363" s="619">
        <f t="shared" si="44"/>
        <v>11416.059999999994</v>
      </c>
      <c r="J363" s="619">
        <f t="shared" si="48"/>
        <v>1347.0000000000055</v>
      </c>
      <c r="K363" s="632">
        <f t="shared" si="43"/>
        <v>379.46728345301744</v>
      </c>
      <c r="L363" s="540"/>
      <c r="M363" s="532"/>
      <c r="N363" s="433"/>
      <c r="O363" s="434"/>
      <c r="P363" s="436"/>
      <c r="Q363" s="387">
        <f t="shared" si="46"/>
        <v>54</v>
      </c>
      <c r="R363" s="517">
        <v>33.74</v>
      </c>
      <c r="S363" s="366" t="str">
        <f t="shared" si="42"/>
        <v>OK</v>
      </c>
    </row>
    <row r="364" spans="1:19">
      <c r="A364" s="617">
        <f t="shared" si="47"/>
        <v>347</v>
      </c>
      <c r="B364" s="702" t="s">
        <v>98</v>
      </c>
      <c r="C364" s="702"/>
      <c r="D364" s="702"/>
      <c r="E364" s="618">
        <f>'7" 26# Deck Tally'!B347</f>
        <v>53</v>
      </c>
      <c r="F364" s="619">
        <f>'7" 26# Deck Tally'!C347</f>
        <v>33.950000000000003</v>
      </c>
      <c r="G364" s="619">
        <f t="shared" si="45"/>
        <v>33.552</v>
      </c>
      <c r="H364" s="619" t="s">
        <v>9</v>
      </c>
      <c r="I364" s="619">
        <f t="shared" si="44"/>
        <v>11449.611999999994</v>
      </c>
      <c r="J364" s="619">
        <f t="shared" si="48"/>
        <v>1313.4480000000058</v>
      </c>
      <c r="K364" s="632">
        <f t="shared" si="43"/>
        <v>380.20635019709687</v>
      </c>
      <c r="L364" s="540"/>
      <c r="M364" s="532"/>
      <c r="N364" s="433"/>
      <c r="O364" s="434"/>
      <c r="P364" s="436"/>
      <c r="Q364" s="387">
        <f t="shared" si="46"/>
        <v>53</v>
      </c>
      <c r="R364" s="517">
        <v>33.950000000000003</v>
      </c>
      <c r="S364" s="366" t="str">
        <f t="shared" si="42"/>
        <v>OK</v>
      </c>
    </row>
    <row r="365" spans="1:19">
      <c r="A365" s="617">
        <f t="shared" si="47"/>
        <v>348</v>
      </c>
      <c r="B365" s="702" t="s">
        <v>98</v>
      </c>
      <c r="C365" s="702"/>
      <c r="D365" s="702"/>
      <c r="E365" s="618">
        <f>'7" 26# Deck Tally'!B348</f>
        <v>52</v>
      </c>
      <c r="F365" s="619">
        <f>'7" 26# Deck Tally'!C348</f>
        <v>33.299999999999997</v>
      </c>
      <c r="G365" s="619">
        <f t="shared" si="45"/>
        <v>32.901999999999994</v>
      </c>
      <c r="H365" s="619" t="s">
        <v>9</v>
      </c>
      <c r="I365" s="619">
        <f t="shared" si="44"/>
        <v>11482.513999999994</v>
      </c>
      <c r="J365" s="619">
        <f t="shared" si="48"/>
        <v>1280.5460000000057</v>
      </c>
      <c r="K365" s="631">
        <f t="shared" si="43"/>
        <v>380.93109906493487</v>
      </c>
      <c r="L365" s="540"/>
      <c r="M365" s="532"/>
      <c r="N365" s="433"/>
      <c r="O365" s="434"/>
      <c r="P365" s="436"/>
      <c r="Q365" s="387">
        <f t="shared" si="46"/>
        <v>52</v>
      </c>
      <c r="R365" s="517">
        <v>33.299999999999997</v>
      </c>
      <c r="S365" s="366" t="str">
        <f t="shared" si="42"/>
        <v>OK</v>
      </c>
    </row>
    <row r="366" spans="1:19">
      <c r="A366" s="617">
        <f t="shared" si="47"/>
        <v>349</v>
      </c>
      <c r="B366" s="702" t="s">
        <v>98</v>
      </c>
      <c r="C366" s="702"/>
      <c r="D366" s="702"/>
      <c r="E366" s="618">
        <f>'7" 26# Deck Tally'!B349</f>
        <v>51</v>
      </c>
      <c r="F366" s="619">
        <f>'7" 26# Deck Tally'!C349</f>
        <v>33.979999999999997</v>
      </c>
      <c r="G366" s="619">
        <f t="shared" si="45"/>
        <v>33.581999999999994</v>
      </c>
      <c r="H366" s="619" t="s">
        <v>9</v>
      </c>
      <c r="I366" s="619">
        <f t="shared" si="44"/>
        <v>11516.095999999994</v>
      </c>
      <c r="J366" s="619">
        <f t="shared" si="48"/>
        <v>1246.9640000000054</v>
      </c>
      <c r="K366" s="632">
        <f t="shared" si="43"/>
        <v>381.67082663407172</v>
      </c>
      <c r="L366" s="540"/>
      <c r="M366" s="532"/>
      <c r="N366" s="433"/>
      <c r="O366" s="434"/>
      <c r="P366" s="436"/>
      <c r="Q366" s="387">
        <f t="shared" si="46"/>
        <v>51</v>
      </c>
      <c r="R366" s="517">
        <v>33.979999999999997</v>
      </c>
      <c r="S366" s="366" t="str">
        <f t="shared" si="42"/>
        <v>OK</v>
      </c>
    </row>
    <row r="367" spans="1:19" ht="13" thickBot="1">
      <c r="A367" s="617">
        <f t="shared" si="47"/>
        <v>350</v>
      </c>
      <c r="B367" s="702" t="s">
        <v>98</v>
      </c>
      <c r="C367" s="702"/>
      <c r="D367" s="702"/>
      <c r="E367" s="618">
        <f>'7" 26# Deck Tally'!B350</f>
        <v>50</v>
      </c>
      <c r="F367" s="619">
        <f>'7" 26# Deck Tally'!C350</f>
        <v>33.97</v>
      </c>
      <c r="G367" s="619">
        <f t="shared" si="45"/>
        <v>33.571999999999996</v>
      </c>
      <c r="H367" s="619" t="s">
        <v>9</v>
      </c>
      <c r="I367" s="619">
        <f t="shared" si="44"/>
        <v>11549.667999999994</v>
      </c>
      <c r="J367" s="619">
        <f t="shared" si="48"/>
        <v>1213.3920000000053</v>
      </c>
      <c r="K367" s="632">
        <f t="shared" si="43"/>
        <v>382.41033392818929</v>
      </c>
      <c r="L367" s="540"/>
      <c r="M367" s="532"/>
      <c r="N367" s="433"/>
      <c r="O367" s="434"/>
      <c r="P367" s="436"/>
      <c r="Q367" s="387">
        <f t="shared" si="46"/>
        <v>50</v>
      </c>
      <c r="R367" s="517">
        <v>33.97</v>
      </c>
      <c r="S367" s="366" t="str">
        <f t="shared" si="42"/>
        <v>OK</v>
      </c>
    </row>
    <row r="368" spans="1:19" ht="14.15" customHeight="1" thickBot="1">
      <c r="A368" s="827">
        <f>A367+1</f>
        <v>351</v>
      </c>
      <c r="B368" s="829" t="s">
        <v>114</v>
      </c>
      <c r="C368" s="832" t="s">
        <v>230</v>
      </c>
      <c r="D368" s="808" t="s">
        <v>84</v>
      </c>
      <c r="E368" s="809"/>
      <c r="F368" s="317">
        <v>6.2</v>
      </c>
      <c r="G368" s="435">
        <f t="shared" si="45"/>
        <v>5.8020000000000005</v>
      </c>
      <c r="H368" s="435" t="s">
        <v>9</v>
      </c>
      <c r="I368" s="435">
        <f t="shared" si="44"/>
        <v>11555.469999999994</v>
      </c>
      <c r="J368" s="435">
        <f t="shared" si="48"/>
        <v>1207.5900000000056</v>
      </c>
      <c r="K368" s="498">
        <f t="shared" si="43"/>
        <v>382.5381374942703</v>
      </c>
      <c r="L368" s="314" t="s">
        <v>113</v>
      </c>
      <c r="M368" s="315">
        <f>J370</f>
        <v>1193.2800000000061</v>
      </c>
      <c r="N368" s="368" t="s">
        <v>227</v>
      </c>
      <c r="P368" s="436"/>
      <c r="Q368" s="806" t="s">
        <v>232</v>
      </c>
      <c r="R368" s="519">
        <v>6.2</v>
      </c>
      <c r="S368" s="495" t="str">
        <f t="shared" si="42"/>
        <v>OK</v>
      </c>
    </row>
    <row r="369" spans="1:19">
      <c r="A369" s="827"/>
      <c r="B369" s="830"/>
      <c r="C369" s="833"/>
      <c r="D369" s="808" t="s">
        <v>85</v>
      </c>
      <c r="E369" s="809"/>
      <c r="F369" s="317">
        <v>5.84</v>
      </c>
      <c r="G369" s="435">
        <f>F369</f>
        <v>5.84</v>
      </c>
      <c r="H369" s="435" t="s">
        <v>9</v>
      </c>
      <c r="I369" s="435">
        <f t="shared" si="44"/>
        <v>11561.309999999994</v>
      </c>
      <c r="J369" s="435">
        <f t="shared" si="48"/>
        <v>1201.7500000000055</v>
      </c>
      <c r="K369" s="498">
        <f t="shared" si="43"/>
        <v>382.66677810542387</v>
      </c>
      <c r="L369" s="305"/>
      <c r="M369" s="306"/>
      <c r="N369" s="368" t="s">
        <v>228</v>
      </c>
      <c r="P369" s="436"/>
      <c r="Q369" s="806"/>
      <c r="R369" s="519">
        <v>5.84</v>
      </c>
      <c r="S369" s="495" t="str">
        <f t="shared" si="42"/>
        <v>OK</v>
      </c>
    </row>
    <row r="370" spans="1:19" ht="13" thickBot="1">
      <c r="A370" s="827"/>
      <c r="B370" s="830"/>
      <c r="C370" s="833"/>
      <c r="D370" s="810" t="s">
        <v>27</v>
      </c>
      <c r="E370" s="811"/>
      <c r="F370" s="323">
        <v>8.4700000000000006</v>
      </c>
      <c r="G370" s="324">
        <f>F370</f>
        <v>8.4700000000000006</v>
      </c>
      <c r="H370" s="324" t="s">
        <v>9</v>
      </c>
      <c r="I370" s="324">
        <f t="shared" si="44"/>
        <v>11569.779999999993</v>
      </c>
      <c r="J370" s="324">
        <f t="shared" si="48"/>
        <v>1193.2800000000061</v>
      </c>
      <c r="K370" s="633">
        <f t="shared" si="43"/>
        <v>382.85335104660032</v>
      </c>
      <c r="L370" s="305"/>
      <c r="M370" s="306"/>
      <c r="N370" s="368" t="s">
        <v>112</v>
      </c>
      <c r="P370" s="436"/>
      <c r="Q370" s="806"/>
      <c r="R370" s="519">
        <v>8.4700000000000006</v>
      </c>
      <c r="S370" s="495" t="str">
        <f t="shared" si="42"/>
        <v>OK</v>
      </c>
    </row>
    <row r="371" spans="1:19" ht="12.65" customHeight="1">
      <c r="A371" s="827"/>
      <c r="B371" s="830"/>
      <c r="C371" s="833"/>
      <c r="D371" s="808" t="s">
        <v>85</v>
      </c>
      <c r="E371" s="809"/>
      <c r="F371" s="317">
        <v>11.85</v>
      </c>
      <c r="G371" s="435">
        <f>F371</f>
        <v>11.85</v>
      </c>
      <c r="H371" s="435" t="s">
        <v>9</v>
      </c>
      <c r="I371" s="435">
        <f t="shared" si="44"/>
        <v>11581.629999999994</v>
      </c>
      <c r="J371" s="435">
        <f t="shared" si="48"/>
        <v>1181.4300000000057</v>
      </c>
      <c r="K371" s="498">
        <f t="shared" si="43"/>
        <v>383.11437694423211</v>
      </c>
      <c r="L371" s="812" t="s">
        <v>163</v>
      </c>
      <c r="M371" s="813"/>
      <c r="N371" s="368" t="s">
        <v>229</v>
      </c>
      <c r="P371" s="436"/>
      <c r="Q371" s="806"/>
      <c r="R371" s="519">
        <v>11.85</v>
      </c>
      <c r="S371" s="495" t="str">
        <f t="shared" si="42"/>
        <v>OK</v>
      </c>
    </row>
    <row r="372" spans="1:19" ht="13" customHeight="1" thickBot="1">
      <c r="A372" s="828"/>
      <c r="B372" s="831"/>
      <c r="C372" s="834"/>
      <c r="D372" s="835" t="s">
        <v>84</v>
      </c>
      <c r="E372" s="836"/>
      <c r="F372" s="385">
        <v>5.82</v>
      </c>
      <c r="G372" s="483">
        <f t="shared" ref="G372" si="49">F372</f>
        <v>5.82</v>
      </c>
      <c r="H372" s="483" t="s">
        <v>9</v>
      </c>
      <c r="I372" s="483">
        <f t="shared" si="44"/>
        <v>11587.449999999993</v>
      </c>
      <c r="J372" s="483">
        <f t="shared" si="48"/>
        <v>1175.610000000006</v>
      </c>
      <c r="K372" s="634">
        <f t="shared" si="43"/>
        <v>383.24257700534747</v>
      </c>
      <c r="L372" s="837" t="s">
        <v>226</v>
      </c>
      <c r="M372" s="782"/>
      <c r="N372" s="368" t="s">
        <v>136</v>
      </c>
      <c r="P372" s="436"/>
      <c r="Q372" s="807"/>
      <c r="R372" s="519">
        <v>5.82</v>
      </c>
      <c r="S372" s="495" t="str">
        <f t="shared" si="42"/>
        <v>OK</v>
      </c>
    </row>
    <row r="373" spans="1:19">
      <c r="A373" s="610">
        <f>A368+1</f>
        <v>352</v>
      </c>
      <c r="B373" s="703" t="s">
        <v>98</v>
      </c>
      <c r="C373" s="703"/>
      <c r="D373" s="703"/>
      <c r="E373" s="611">
        <f>E367-1</f>
        <v>49</v>
      </c>
      <c r="F373" s="612">
        <f>'7" 26# Deck Tally'!C351</f>
        <v>33.69</v>
      </c>
      <c r="G373" s="612">
        <f t="shared" si="45"/>
        <v>33.291999999999994</v>
      </c>
      <c r="H373" s="612" t="s">
        <v>9</v>
      </c>
      <c r="I373" s="612">
        <f t="shared" si="44"/>
        <v>11620.741999999993</v>
      </c>
      <c r="J373" s="612">
        <f t="shared" si="48"/>
        <v>1142.3180000000066</v>
      </c>
      <c r="K373" s="635">
        <f t="shared" si="43"/>
        <v>383.97591659893033</v>
      </c>
      <c r="L373" s="540"/>
      <c r="M373" s="532"/>
      <c r="N373" s="433"/>
      <c r="O373" s="434"/>
      <c r="P373" s="436"/>
      <c r="Q373" s="387">
        <f t="shared" si="46"/>
        <v>49</v>
      </c>
      <c r="R373" s="517">
        <v>33.69</v>
      </c>
      <c r="S373" s="366" t="str">
        <f t="shared" si="42"/>
        <v>OK</v>
      </c>
    </row>
    <row r="374" spans="1:19">
      <c r="A374" s="617">
        <f t="shared" si="47"/>
        <v>353</v>
      </c>
      <c r="B374" s="702" t="s">
        <v>98</v>
      </c>
      <c r="C374" s="702"/>
      <c r="D374" s="702"/>
      <c r="E374" s="618">
        <f>E373-1</f>
        <v>48</v>
      </c>
      <c r="F374" s="619">
        <f>'7" 26# Deck Tally'!C352</f>
        <v>33.74</v>
      </c>
      <c r="G374" s="619">
        <f t="shared" si="45"/>
        <v>33.341999999999999</v>
      </c>
      <c r="H374" s="619" t="s">
        <v>9</v>
      </c>
      <c r="I374" s="619">
        <f t="shared" si="44"/>
        <v>11654.083999999993</v>
      </c>
      <c r="J374" s="619">
        <f t="shared" si="48"/>
        <v>1108.976000000006</v>
      </c>
      <c r="K374" s="632">
        <f t="shared" si="43"/>
        <v>384.71035756760875</v>
      </c>
      <c r="L374" s="540"/>
      <c r="M374" s="532"/>
      <c r="N374" s="433"/>
      <c r="O374" s="434"/>
      <c r="P374" s="436"/>
      <c r="Q374" s="387">
        <f>E374</f>
        <v>48</v>
      </c>
      <c r="R374" s="517">
        <v>33.74</v>
      </c>
      <c r="S374" s="366" t="str">
        <f>IF(F374-R374=0,"OK","FALSE")</f>
        <v>OK</v>
      </c>
    </row>
    <row r="375" spans="1:19">
      <c r="A375" s="617">
        <f t="shared" si="47"/>
        <v>354</v>
      </c>
      <c r="B375" s="702" t="s">
        <v>98</v>
      </c>
      <c r="C375" s="702"/>
      <c r="D375" s="702"/>
      <c r="E375" s="618">
        <f t="shared" ref="E375:E420" si="50">E374-1</f>
        <v>47</v>
      </c>
      <c r="F375" s="619">
        <f>'7" 26# Deck Tally'!C353</f>
        <v>33.950000000000003</v>
      </c>
      <c r="G375" s="619">
        <f t="shared" si="45"/>
        <v>33.552</v>
      </c>
      <c r="H375" s="619" t="s">
        <v>9</v>
      </c>
      <c r="I375" s="619">
        <f t="shared" si="44"/>
        <v>11687.635999999993</v>
      </c>
      <c r="J375" s="619">
        <f t="shared" si="48"/>
        <v>1075.4240000000063</v>
      </c>
      <c r="K375" s="632">
        <f t="shared" si="43"/>
        <v>385.44942431168818</v>
      </c>
      <c r="L375" s="540"/>
      <c r="M375" s="532"/>
      <c r="N375" s="433"/>
      <c r="O375" s="434"/>
      <c r="P375" s="436"/>
      <c r="Q375" s="387">
        <f t="shared" si="46"/>
        <v>47</v>
      </c>
      <c r="R375" s="517">
        <v>33.950000000000003</v>
      </c>
      <c r="S375" s="366" t="str">
        <f t="shared" si="42"/>
        <v>OK</v>
      </c>
    </row>
    <row r="376" spans="1:19">
      <c r="A376" s="617">
        <f t="shared" si="47"/>
        <v>355</v>
      </c>
      <c r="B376" s="702" t="s">
        <v>98</v>
      </c>
      <c r="C376" s="702"/>
      <c r="D376" s="702"/>
      <c r="E376" s="618">
        <f t="shared" si="50"/>
        <v>46</v>
      </c>
      <c r="F376" s="619">
        <f>'7" 26# Deck Tally'!C354</f>
        <v>33.950000000000003</v>
      </c>
      <c r="G376" s="619">
        <f t="shared" si="45"/>
        <v>33.552</v>
      </c>
      <c r="H376" s="619" t="s">
        <v>9</v>
      </c>
      <c r="I376" s="619">
        <f t="shared" si="44"/>
        <v>11721.187999999993</v>
      </c>
      <c r="J376" s="619">
        <f t="shared" si="48"/>
        <v>1041.8720000000067</v>
      </c>
      <c r="K376" s="632">
        <f t="shared" si="43"/>
        <v>386.1884910557676</v>
      </c>
      <c r="L376" s="540"/>
      <c r="M376" s="532"/>
      <c r="N376" s="433"/>
      <c r="O376" s="434"/>
      <c r="P376" s="436"/>
      <c r="Q376" s="387">
        <f t="shared" si="46"/>
        <v>46</v>
      </c>
      <c r="R376" s="517">
        <v>33.950000000000003</v>
      </c>
      <c r="S376" s="366" t="str">
        <f t="shared" si="42"/>
        <v>OK</v>
      </c>
    </row>
    <row r="377" spans="1:19">
      <c r="A377" s="617">
        <f t="shared" si="47"/>
        <v>356</v>
      </c>
      <c r="B377" s="702" t="s">
        <v>98</v>
      </c>
      <c r="C377" s="702"/>
      <c r="D377" s="702"/>
      <c r="E377" s="618">
        <f t="shared" si="50"/>
        <v>45</v>
      </c>
      <c r="F377" s="619">
        <f>'7" 26# Deck Tally'!C355</f>
        <v>32.119999999999997</v>
      </c>
      <c r="G377" s="619">
        <f t="shared" si="45"/>
        <v>31.721999999999998</v>
      </c>
      <c r="H377" s="619" t="s">
        <v>9</v>
      </c>
      <c r="I377" s="619">
        <f t="shared" si="44"/>
        <v>11752.909999999993</v>
      </c>
      <c r="J377" s="619">
        <f t="shared" si="48"/>
        <v>1010.1500000000069</v>
      </c>
      <c r="K377" s="631">
        <f t="shared" si="43"/>
        <v>386.887247471352</v>
      </c>
      <c r="L377" s="540"/>
      <c r="M377" s="532"/>
      <c r="N377" s="433"/>
      <c r="O377" s="434"/>
      <c r="P377" s="436"/>
      <c r="Q377" s="387">
        <f t="shared" si="46"/>
        <v>45</v>
      </c>
      <c r="R377" s="517">
        <v>32.119999999999997</v>
      </c>
      <c r="S377" s="366" t="str">
        <f t="shared" si="42"/>
        <v>OK</v>
      </c>
    </row>
    <row r="378" spans="1:19">
      <c r="A378" s="617">
        <f t="shared" si="47"/>
        <v>357</v>
      </c>
      <c r="B378" s="702" t="s">
        <v>98</v>
      </c>
      <c r="C378" s="702"/>
      <c r="D378" s="702"/>
      <c r="E378" s="618">
        <f t="shared" si="50"/>
        <v>44</v>
      </c>
      <c r="F378" s="619">
        <f>'7" 26# Deck Tally'!C356</f>
        <v>33.619999999999997</v>
      </c>
      <c r="G378" s="619">
        <f t="shared" si="45"/>
        <v>33.221999999999994</v>
      </c>
      <c r="H378" s="619" t="s">
        <v>9</v>
      </c>
      <c r="I378" s="619">
        <f t="shared" si="44"/>
        <v>11786.131999999992</v>
      </c>
      <c r="J378" s="619">
        <f t="shared" si="48"/>
        <v>976.92800000000716</v>
      </c>
      <c r="K378" s="632">
        <f t="shared" si="43"/>
        <v>387.61904513980119</v>
      </c>
      <c r="L378" s="540"/>
      <c r="M378" s="532"/>
      <c r="N378" s="433"/>
      <c r="O378" s="434"/>
      <c r="P378" s="436"/>
      <c r="Q378" s="387">
        <f t="shared" si="46"/>
        <v>44</v>
      </c>
      <c r="R378" s="517">
        <v>33.619999999999997</v>
      </c>
      <c r="S378" s="366" t="str">
        <f t="shared" si="42"/>
        <v>OK</v>
      </c>
    </row>
    <row r="379" spans="1:19">
      <c r="A379" s="617">
        <f t="shared" si="47"/>
        <v>358</v>
      </c>
      <c r="B379" s="702" t="s">
        <v>98</v>
      </c>
      <c r="C379" s="702"/>
      <c r="D379" s="702"/>
      <c r="E379" s="618">
        <f t="shared" si="50"/>
        <v>43</v>
      </c>
      <c r="F379" s="619">
        <f>'7" 26# Deck Tally'!C357</f>
        <v>33.619999999999997</v>
      </c>
      <c r="G379" s="619">
        <f t="shared" si="45"/>
        <v>33.221999999999994</v>
      </c>
      <c r="H379" s="619" t="s">
        <v>9</v>
      </c>
      <c r="I379" s="619">
        <f t="shared" si="44"/>
        <v>11819.353999999992</v>
      </c>
      <c r="J379" s="619">
        <f t="shared" si="48"/>
        <v>943.70600000000741</v>
      </c>
      <c r="K379" s="632">
        <f t="shared" si="43"/>
        <v>388.35084280825038</v>
      </c>
      <c r="L379" s="540"/>
      <c r="M379" s="532"/>
      <c r="N379" s="433"/>
      <c r="O379" s="434"/>
      <c r="P379" s="436"/>
      <c r="Q379" s="387">
        <f t="shared" si="46"/>
        <v>43</v>
      </c>
      <c r="R379" s="517">
        <v>33.619999999999997</v>
      </c>
      <c r="S379" s="366" t="str">
        <f t="shared" si="42"/>
        <v>OK</v>
      </c>
    </row>
    <row r="380" spans="1:19">
      <c r="A380" s="617">
        <f t="shared" si="47"/>
        <v>359</v>
      </c>
      <c r="B380" s="702" t="s">
        <v>98</v>
      </c>
      <c r="C380" s="702"/>
      <c r="D380" s="702"/>
      <c r="E380" s="618">
        <f t="shared" si="50"/>
        <v>42</v>
      </c>
      <c r="F380" s="619">
        <f>'7" 26# Deck Tally'!C358</f>
        <v>31.15</v>
      </c>
      <c r="G380" s="619">
        <f t="shared" si="45"/>
        <v>30.751999999999999</v>
      </c>
      <c r="H380" s="619" t="s">
        <v>9</v>
      </c>
      <c r="I380" s="619">
        <f t="shared" si="44"/>
        <v>11850.105999999992</v>
      </c>
      <c r="J380" s="619">
        <f t="shared" si="48"/>
        <v>912.954000000007</v>
      </c>
      <c r="K380" s="632">
        <f t="shared" si="43"/>
        <v>389.02823254698228</v>
      </c>
      <c r="L380" s="540"/>
      <c r="M380" s="532"/>
      <c r="N380" s="433"/>
      <c r="O380" s="434"/>
      <c r="P380" s="436"/>
      <c r="Q380" s="387">
        <f t="shared" si="46"/>
        <v>42</v>
      </c>
      <c r="R380" s="517">
        <v>31.15</v>
      </c>
      <c r="S380" s="366" t="str">
        <f t="shared" si="42"/>
        <v>OK</v>
      </c>
    </row>
    <row r="381" spans="1:19">
      <c r="A381" s="617">
        <f t="shared" si="47"/>
        <v>360</v>
      </c>
      <c r="B381" s="702" t="s">
        <v>98</v>
      </c>
      <c r="C381" s="702"/>
      <c r="D381" s="702"/>
      <c r="E381" s="618">
        <f t="shared" si="50"/>
        <v>41</v>
      </c>
      <c r="F381" s="619">
        <f>'7" 26# Deck Tally'!C359</f>
        <v>31.83</v>
      </c>
      <c r="G381" s="619">
        <f t="shared" si="45"/>
        <v>31.431999999999999</v>
      </c>
      <c r="H381" s="619" t="s">
        <v>9</v>
      </c>
      <c r="I381" s="619">
        <f t="shared" si="44"/>
        <v>11881.537999999993</v>
      </c>
      <c r="J381" s="619">
        <f t="shared" si="48"/>
        <v>881.5220000000063</v>
      </c>
      <c r="K381" s="632">
        <f t="shared" si="43"/>
        <v>389.72060098701286</v>
      </c>
      <c r="L381" s="540"/>
      <c r="M381" s="532"/>
      <c r="N381" s="433"/>
      <c r="O381" s="434"/>
      <c r="P381" s="436"/>
      <c r="Q381" s="387">
        <f t="shared" si="46"/>
        <v>41</v>
      </c>
      <c r="R381" s="517">
        <v>31.83</v>
      </c>
      <c r="S381" s="366" t="str">
        <f t="shared" si="42"/>
        <v>OK</v>
      </c>
    </row>
    <row r="382" spans="1:19">
      <c r="A382" s="617">
        <f t="shared" si="47"/>
        <v>361</v>
      </c>
      <c r="B382" s="702" t="s">
        <v>98</v>
      </c>
      <c r="C382" s="702"/>
      <c r="D382" s="702"/>
      <c r="E382" s="618">
        <f t="shared" si="50"/>
        <v>40</v>
      </c>
      <c r="F382" s="619">
        <f>'7" 26# Deck Tally'!C360</f>
        <v>30.9</v>
      </c>
      <c r="G382" s="619">
        <f t="shared" si="45"/>
        <v>30.501999999999999</v>
      </c>
      <c r="H382" s="619" t="s">
        <v>9</v>
      </c>
      <c r="I382" s="619">
        <f t="shared" si="44"/>
        <v>11912.039999999994</v>
      </c>
      <c r="J382" s="619">
        <f t="shared" si="48"/>
        <v>851.02000000000589</v>
      </c>
      <c r="K382" s="632">
        <f t="shared" si="43"/>
        <v>390.39248385026718</v>
      </c>
      <c r="L382" s="540"/>
      <c r="M382" s="532"/>
      <c r="N382" s="433"/>
      <c r="O382" s="434"/>
      <c r="P382" s="436"/>
      <c r="Q382" s="387">
        <f t="shared" si="46"/>
        <v>40</v>
      </c>
      <c r="R382" s="517">
        <v>30.9</v>
      </c>
      <c r="S382" s="366" t="str">
        <f t="shared" si="42"/>
        <v>OK</v>
      </c>
    </row>
    <row r="383" spans="1:19">
      <c r="A383" s="617">
        <f t="shared" si="47"/>
        <v>362</v>
      </c>
      <c r="B383" s="702" t="s">
        <v>98</v>
      </c>
      <c r="C383" s="702"/>
      <c r="D383" s="702"/>
      <c r="E383" s="618">
        <f t="shared" si="50"/>
        <v>39</v>
      </c>
      <c r="F383" s="619">
        <f>'7" 26# Deck Tally'!C361</f>
        <v>33.549999999999997</v>
      </c>
      <c r="G383" s="619">
        <f t="shared" si="45"/>
        <v>33.151999999999994</v>
      </c>
      <c r="H383" s="619" t="s">
        <v>9</v>
      </c>
      <c r="I383" s="619">
        <f t="shared" si="44"/>
        <v>11945.191999999994</v>
      </c>
      <c r="J383" s="619">
        <f t="shared" si="48"/>
        <v>817.86800000000585</v>
      </c>
      <c r="K383" s="632">
        <f t="shared" si="43"/>
        <v>391.12273959358276</v>
      </c>
      <c r="L383" s="540"/>
      <c r="M383" s="532"/>
      <c r="N383" s="433"/>
      <c r="O383" s="434"/>
      <c r="P383" s="436"/>
      <c r="Q383" s="387">
        <f t="shared" si="46"/>
        <v>39</v>
      </c>
      <c r="R383" s="517">
        <v>33.549999999999997</v>
      </c>
      <c r="S383" s="366" t="str">
        <f t="shared" si="42"/>
        <v>OK</v>
      </c>
    </row>
    <row r="384" spans="1:19">
      <c r="A384" s="617">
        <f t="shared" si="47"/>
        <v>363</v>
      </c>
      <c r="B384" s="702" t="s">
        <v>98</v>
      </c>
      <c r="C384" s="702"/>
      <c r="D384" s="702"/>
      <c r="E384" s="618">
        <f t="shared" si="50"/>
        <v>38</v>
      </c>
      <c r="F384" s="619">
        <f>'7" 26# Deck Tally'!C362</f>
        <v>30.9</v>
      </c>
      <c r="G384" s="619">
        <f t="shared" si="45"/>
        <v>30.501999999999999</v>
      </c>
      <c r="H384" s="619" t="s">
        <v>9</v>
      </c>
      <c r="I384" s="619">
        <f>IF(H384="IN",I383+G384,I383)</f>
        <v>11975.693999999994</v>
      </c>
      <c r="J384" s="619">
        <f t="shared" si="48"/>
        <v>787.36600000000544</v>
      </c>
      <c r="K384" s="631">
        <f t="shared" si="43"/>
        <v>391.79462245683715</v>
      </c>
      <c r="L384" s="540"/>
      <c r="M384" s="532"/>
      <c r="N384" s="433"/>
      <c r="O384" s="434"/>
      <c r="P384" s="436"/>
      <c r="Q384" s="387">
        <f t="shared" si="46"/>
        <v>38</v>
      </c>
      <c r="R384" s="517">
        <v>30.9</v>
      </c>
      <c r="S384" s="366" t="str">
        <f t="shared" si="42"/>
        <v>OK</v>
      </c>
    </row>
    <row r="385" spans="1:19">
      <c r="A385" s="617">
        <f t="shared" si="47"/>
        <v>364</v>
      </c>
      <c r="B385" s="702" t="s">
        <v>98</v>
      </c>
      <c r="C385" s="702"/>
      <c r="D385" s="702"/>
      <c r="E385" s="618">
        <f t="shared" si="50"/>
        <v>37</v>
      </c>
      <c r="F385" s="619">
        <f>'7" 26# Deck Tally'!C363</f>
        <v>33.65</v>
      </c>
      <c r="G385" s="619">
        <f t="shared" si="45"/>
        <v>33.251999999999995</v>
      </c>
      <c r="H385" s="619" t="s">
        <v>9</v>
      </c>
      <c r="I385" s="619">
        <f t="shared" si="44"/>
        <v>12008.945999999994</v>
      </c>
      <c r="J385" s="619">
        <f t="shared" si="48"/>
        <v>754.11400000000503</v>
      </c>
      <c r="K385" s="632">
        <f t="shared" si="43"/>
        <v>392.52708095034365</v>
      </c>
      <c r="L385" s="540"/>
      <c r="M385" s="532"/>
      <c r="N385" s="433"/>
      <c r="O385" s="434"/>
      <c r="P385" s="436"/>
      <c r="Q385" s="387">
        <f t="shared" si="46"/>
        <v>37</v>
      </c>
      <c r="R385" s="517">
        <v>33.65</v>
      </c>
      <c r="S385" s="366" t="str">
        <f t="shared" ref="S385:S420" si="51">IF(F385-R385=0,"OK","FALSE")</f>
        <v>OK</v>
      </c>
    </row>
    <row r="386" spans="1:19">
      <c r="A386" s="617">
        <f t="shared" si="47"/>
        <v>365</v>
      </c>
      <c r="B386" s="702" t="s">
        <v>98</v>
      </c>
      <c r="C386" s="702"/>
      <c r="D386" s="702"/>
      <c r="E386" s="618">
        <f t="shared" si="50"/>
        <v>36</v>
      </c>
      <c r="F386" s="619">
        <f>'7" 26# Deck Tally'!C364</f>
        <v>33.96</v>
      </c>
      <c r="G386" s="619">
        <f t="shared" si="45"/>
        <v>33.561999999999998</v>
      </c>
      <c r="H386" s="619" t="s">
        <v>9</v>
      </c>
      <c r="I386" s="619">
        <f t="shared" si="44"/>
        <v>12042.507999999994</v>
      </c>
      <c r="J386" s="619">
        <f t="shared" si="48"/>
        <v>720.55200000000514</v>
      </c>
      <c r="K386" s="632">
        <f t="shared" si="43"/>
        <v>393.26636796944223</v>
      </c>
      <c r="L386" s="540"/>
      <c r="M386" s="532"/>
      <c r="N386" s="433"/>
      <c r="O386" s="434"/>
      <c r="P386" s="436"/>
      <c r="Q386" s="387">
        <f t="shared" si="46"/>
        <v>36</v>
      </c>
      <c r="R386" s="517">
        <v>33.96</v>
      </c>
      <c r="S386" s="366" t="str">
        <f t="shared" si="51"/>
        <v>OK</v>
      </c>
    </row>
    <row r="387" spans="1:19">
      <c r="A387" s="617">
        <f t="shared" si="47"/>
        <v>366</v>
      </c>
      <c r="B387" s="702" t="s">
        <v>98</v>
      </c>
      <c r="C387" s="702"/>
      <c r="D387" s="702"/>
      <c r="E387" s="618">
        <f t="shared" si="50"/>
        <v>35</v>
      </c>
      <c r="F387" s="619">
        <f>'7" 26# Deck Tally'!C365</f>
        <v>33.61</v>
      </c>
      <c r="G387" s="619">
        <f t="shared" si="45"/>
        <v>33.211999999999996</v>
      </c>
      <c r="H387" s="619" t="s">
        <v>9</v>
      </c>
      <c r="I387" s="619">
        <f t="shared" si="44"/>
        <v>12075.719999999994</v>
      </c>
      <c r="J387" s="619">
        <f t="shared" si="48"/>
        <v>687.3400000000056</v>
      </c>
      <c r="K387" s="632">
        <f t="shared" si="43"/>
        <v>393.99794536287231</v>
      </c>
      <c r="L387" s="540"/>
      <c r="M387" s="532"/>
      <c r="N387" s="433"/>
      <c r="O387" s="434"/>
      <c r="P387" s="436"/>
      <c r="Q387" s="387">
        <f t="shared" si="46"/>
        <v>35</v>
      </c>
      <c r="R387" s="517">
        <v>33.61</v>
      </c>
      <c r="S387" s="366" t="str">
        <f t="shared" si="51"/>
        <v>OK</v>
      </c>
    </row>
    <row r="388" spans="1:19">
      <c r="A388" s="617">
        <f t="shared" si="47"/>
        <v>367</v>
      </c>
      <c r="B388" s="702" t="s">
        <v>98</v>
      </c>
      <c r="C388" s="702"/>
      <c r="D388" s="702"/>
      <c r="E388" s="618">
        <f t="shared" si="50"/>
        <v>34</v>
      </c>
      <c r="F388" s="619">
        <f>'7" 26# Deck Tally'!C366</f>
        <v>33.56</v>
      </c>
      <c r="G388" s="619">
        <f t="shared" si="45"/>
        <v>33.161999999999999</v>
      </c>
      <c r="H388" s="619" t="s">
        <v>9</v>
      </c>
      <c r="I388" s="619">
        <f t="shared" si="44"/>
        <v>12108.881999999994</v>
      </c>
      <c r="J388" s="619">
        <f t="shared" si="48"/>
        <v>654.17800000000534</v>
      </c>
      <c r="K388" s="632">
        <f t="shared" si="43"/>
        <v>394.72842138120689</v>
      </c>
      <c r="L388" s="540"/>
      <c r="M388" s="532"/>
      <c r="N388" s="433"/>
      <c r="O388" s="434"/>
      <c r="P388" s="436"/>
      <c r="Q388" s="387">
        <f t="shared" si="46"/>
        <v>34</v>
      </c>
      <c r="R388" s="517">
        <v>33.56</v>
      </c>
      <c r="S388" s="366" t="str">
        <f t="shared" si="51"/>
        <v>OK</v>
      </c>
    </row>
    <row r="389" spans="1:19">
      <c r="A389" s="617">
        <f t="shared" si="47"/>
        <v>368</v>
      </c>
      <c r="B389" s="702" t="s">
        <v>98</v>
      </c>
      <c r="C389" s="702"/>
      <c r="D389" s="702"/>
      <c r="E389" s="618">
        <f t="shared" si="50"/>
        <v>33</v>
      </c>
      <c r="F389" s="619">
        <f>'7" 26# Deck Tally'!C367</f>
        <v>33.47</v>
      </c>
      <c r="G389" s="619">
        <f t="shared" si="45"/>
        <v>33.071999999999996</v>
      </c>
      <c r="H389" s="619" t="s">
        <v>9</v>
      </c>
      <c r="I389" s="619">
        <f t="shared" si="44"/>
        <v>12141.953999999994</v>
      </c>
      <c r="J389" s="619">
        <f t="shared" si="48"/>
        <v>621.10600000000522</v>
      </c>
      <c r="K389" s="631">
        <f t="shared" si="43"/>
        <v>395.45691492436958</v>
      </c>
      <c r="L389" s="540"/>
      <c r="M389" s="532"/>
      <c r="N389" s="433"/>
      <c r="O389" s="434"/>
      <c r="P389" s="436"/>
      <c r="Q389" s="387">
        <f t="shared" si="46"/>
        <v>33</v>
      </c>
      <c r="R389" s="517">
        <v>33.47</v>
      </c>
      <c r="S389" s="366" t="str">
        <f t="shared" si="51"/>
        <v>OK</v>
      </c>
    </row>
    <row r="390" spans="1:19">
      <c r="A390" s="617">
        <f t="shared" si="47"/>
        <v>369</v>
      </c>
      <c r="B390" s="702" t="s">
        <v>98</v>
      </c>
      <c r="C390" s="702"/>
      <c r="D390" s="702"/>
      <c r="E390" s="618">
        <f t="shared" si="50"/>
        <v>32</v>
      </c>
      <c r="F390" s="619">
        <f>'7" 26# Deck Tally'!C368</f>
        <v>33.75</v>
      </c>
      <c r="G390" s="619">
        <f t="shared" si="45"/>
        <v>33.351999999999997</v>
      </c>
      <c r="H390" s="619" t="s">
        <v>9</v>
      </c>
      <c r="I390" s="619">
        <f t="shared" si="44"/>
        <v>12175.305999999995</v>
      </c>
      <c r="J390" s="619">
        <f t="shared" si="48"/>
        <v>587.75400000000445</v>
      </c>
      <c r="K390" s="632">
        <f t="shared" si="43"/>
        <v>396.19157616806712</v>
      </c>
      <c r="L390" s="540"/>
      <c r="M390" s="532"/>
      <c r="N390" s="433"/>
      <c r="O390" s="434"/>
      <c r="P390" s="436"/>
      <c r="Q390" s="387">
        <f t="shared" si="46"/>
        <v>32</v>
      </c>
      <c r="R390" s="517">
        <v>33.75</v>
      </c>
      <c r="S390" s="366" t="str">
        <f t="shared" si="51"/>
        <v>OK</v>
      </c>
    </row>
    <row r="391" spans="1:19" ht="13" thickBot="1">
      <c r="A391" s="617">
        <f t="shared" si="47"/>
        <v>370</v>
      </c>
      <c r="B391" s="702" t="s">
        <v>98</v>
      </c>
      <c r="C391" s="702"/>
      <c r="D391" s="702"/>
      <c r="E391" s="618">
        <f t="shared" si="50"/>
        <v>31</v>
      </c>
      <c r="F391" s="619">
        <f>'7" 26# Deck Tally'!C369</f>
        <v>33.64</v>
      </c>
      <c r="G391" s="619">
        <f t="shared" si="45"/>
        <v>33.241999999999997</v>
      </c>
      <c r="H391" s="619" t="s">
        <v>9</v>
      </c>
      <c r="I391" s="619">
        <f t="shared" si="44"/>
        <v>12208.547999999995</v>
      </c>
      <c r="J391" s="619">
        <f t="shared" si="48"/>
        <v>554.51200000000426</v>
      </c>
      <c r="K391" s="632">
        <f t="shared" si="43"/>
        <v>396.92381438655451</v>
      </c>
      <c r="L391" s="540"/>
      <c r="M391" s="532"/>
      <c r="N391" s="433"/>
      <c r="O391" s="434"/>
      <c r="P391" s="436"/>
      <c r="Q391" s="387">
        <f t="shared" si="46"/>
        <v>31</v>
      </c>
      <c r="R391" s="517">
        <v>33.64</v>
      </c>
      <c r="S391" s="366" t="str">
        <f t="shared" si="51"/>
        <v>OK</v>
      </c>
    </row>
    <row r="392" spans="1:19" ht="13.5" thickBot="1">
      <c r="A392" s="617">
        <f t="shared" si="47"/>
        <v>371</v>
      </c>
      <c r="B392" s="702" t="s">
        <v>98</v>
      </c>
      <c r="C392" s="702"/>
      <c r="D392" s="702"/>
      <c r="E392" s="618">
        <f t="shared" si="50"/>
        <v>30</v>
      </c>
      <c r="F392" s="619">
        <f>'7" 26# Deck Tally'!C370</f>
        <v>33.47</v>
      </c>
      <c r="G392" s="619">
        <f t="shared" si="45"/>
        <v>33.071999999999996</v>
      </c>
      <c r="H392" s="619" t="s">
        <v>9</v>
      </c>
      <c r="I392" s="619">
        <f t="shared" si="44"/>
        <v>12241.619999999995</v>
      </c>
      <c r="J392" s="619">
        <f t="shared" si="48"/>
        <v>521.44000000000415</v>
      </c>
      <c r="K392" s="632">
        <f t="shared" si="43"/>
        <v>397.65230792971721</v>
      </c>
      <c r="L392" s="553" t="s">
        <v>188</v>
      </c>
      <c r="M392" s="552">
        <f>E21-E408</f>
        <v>382</v>
      </c>
      <c r="N392" s="433"/>
      <c r="O392" s="434"/>
      <c r="P392" s="436"/>
      <c r="Q392" s="387">
        <f t="shared" si="46"/>
        <v>30</v>
      </c>
      <c r="R392" s="517">
        <v>33.47</v>
      </c>
      <c r="S392" s="366" t="str">
        <f t="shared" si="51"/>
        <v>OK</v>
      </c>
    </row>
    <row r="393" spans="1:19" ht="13" thickBot="1">
      <c r="A393" s="617">
        <f t="shared" si="47"/>
        <v>372</v>
      </c>
      <c r="B393" s="702" t="s">
        <v>98</v>
      </c>
      <c r="C393" s="702"/>
      <c r="D393" s="702"/>
      <c r="E393" s="618">
        <f t="shared" si="50"/>
        <v>29</v>
      </c>
      <c r="F393" s="619">
        <f>'7" 26# Deck Tally'!C371</f>
        <v>33.79</v>
      </c>
      <c r="G393" s="619">
        <f t="shared" si="45"/>
        <v>33.391999999999996</v>
      </c>
      <c r="H393" s="619" t="s">
        <v>9</v>
      </c>
      <c r="I393" s="619">
        <f t="shared" si="44"/>
        <v>12275.011999999995</v>
      </c>
      <c r="J393" s="619">
        <f t="shared" si="48"/>
        <v>488.04800000000432</v>
      </c>
      <c r="K393" s="632">
        <f t="shared" si="43"/>
        <v>398.3878502734911</v>
      </c>
      <c r="L393" s="540"/>
      <c r="M393" s="532"/>
      <c r="N393" s="433"/>
      <c r="O393" s="434"/>
      <c r="P393" s="436"/>
      <c r="Q393" s="387">
        <f t="shared" si="46"/>
        <v>29</v>
      </c>
      <c r="R393" s="517">
        <v>33.79</v>
      </c>
      <c r="S393" s="366" t="str">
        <f t="shared" si="51"/>
        <v>OK</v>
      </c>
    </row>
    <row r="394" spans="1:19" ht="13" thickBot="1">
      <c r="A394" s="617">
        <f t="shared" si="47"/>
        <v>373</v>
      </c>
      <c r="B394" s="702" t="s">
        <v>98</v>
      </c>
      <c r="C394" s="702"/>
      <c r="D394" s="702"/>
      <c r="E394" s="618">
        <f t="shared" si="50"/>
        <v>28</v>
      </c>
      <c r="F394" s="619">
        <f>'7" 26# Deck Tally'!C372</f>
        <v>33.81</v>
      </c>
      <c r="G394" s="619">
        <f t="shared" si="45"/>
        <v>33.411999999999999</v>
      </c>
      <c r="H394" s="619" t="s">
        <v>9</v>
      </c>
      <c r="I394" s="619">
        <f t="shared" si="44"/>
        <v>12308.423999999995</v>
      </c>
      <c r="J394" s="619">
        <f t="shared" si="48"/>
        <v>454.63600000000406</v>
      </c>
      <c r="K394" s="631">
        <f t="shared" si="43"/>
        <v>399.12383316730319</v>
      </c>
      <c r="L394" s="543" t="s">
        <v>171</v>
      </c>
      <c r="M394" s="546"/>
      <c r="N394" s="433"/>
      <c r="O394" s="434"/>
      <c r="P394" s="436"/>
      <c r="Q394" s="387">
        <f t="shared" si="46"/>
        <v>28</v>
      </c>
      <c r="R394" s="517">
        <v>33.81</v>
      </c>
      <c r="S394" s="366" t="str">
        <f t="shared" si="51"/>
        <v>OK</v>
      </c>
    </row>
    <row r="395" spans="1:19" ht="13" thickBot="1">
      <c r="A395" s="617">
        <f t="shared" si="47"/>
        <v>374</v>
      </c>
      <c r="B395" s="702" t="s">
        <v>98</v>
      </c>
      <c r="C395" s="702"/>
      <c r="D395" s="702"/>
      <c r="E395" s="618">
        <f t="shared" si="50"/>
        <v>27</v>
      </c>
      <c r="F395" s="619">
        <f>'7" 26# Deck Tally'!C373</f>
        <v>33.869999999999997</v>
      </c>
      <c r="G395" s="619">
        <f t="shared" si="45"/>
        <v>33.471999999999994</v>
      </c>
      <c r="H395" s="619" t="s">
        <v>9</v>
      </c>
      <c r="I395" s="619">
        <f t="shared" si="44"/>
        <v>12341.895999999995</v>
      </c>
      <c r="J395" s="619">
        <f t="shared" si="48"/>
        <v>421.16400000000431</v>
      </c>
      <c r="K395" s="632">
        <f t="shared" si="43"/>
        <v>399.86113771122984</v>
      </c>
      <c r="L395" s="543" t="s">
        <v>212</v>
      </c>
      <c r="M395" s="546"/>
      <c r="N395" s="433"/>
      <c r="O395" s="434"/>
      <c r="P395" s="436"/>
      <c r="Q395" s="387">
        <f t="shared" si="46"/>
        <v>27</v>
      </c>
      <c r="R395" s="517">
        <v>33.869999999999997</v>
      </c>
      <c r="S395" s="366" t="str">
        <f t="shared" si="51"/>
        <v>OK</v>
      </c>
    </row>
    <row r="396" spans="1:19" ht="13" thickBot="1">
      <c r="A396" s="617">
        <f t="shared" si="47"/>
        <v>375</v>
      </c>
      <c r="B396" s="702" t="s">
        <v>98</v>
      </c>
      <c r="C396" s="702"/>
      <c r="D396" s="702"/>
      <c r="E396" s="618">
        <f t="shared" si="50"/>
        <v>26</v>
      </c>
      <c r="F396" s="619">
        <f>'7" 26# Deck Tally'!C374</f>
        <v>33.74</v>
      </c>
      <c r="G396" s="619">
        <f t="shared" si="45"/>
        <v>33.341999999999999</v>
      </c>
      <c r="H396" s="619" t="s">
        <v>9</v>
      </c>
      <c r="I396" s="619">
        <f t="shared" si="44"/>
        <v>12375.237999999996</v>
      </c>
      <c r="J396" s="619">
        <f t="shared" si="48"/>
        <v>387.82200000000375</v>
      </c>
      <c r="K396" s="632">
        <f t="shared" si="43"/>
        <v>400.59557867990821</v>
      </c>
      <c r="L396" s="543" t="s">
        <v>213</v>
      </c>
      <c r="M396" s="544"/>
      <c r="N396" s="433"/>
      <c r="O396" s="434"/>
      <c r="P396" s="436"/>
      <c r="Q396" s="387">
        <f t="shared" si="46"/>
        <v>26</v>
      </c>
      <c r="R396" s="517">
        <v>33.74</v>
      </c>
      <c r="S396" s="366" t="str">
        <f t="shared" si="51"/>
        <v>OK</v>
      </c>
    </row>
    <row r="397" spans="1:19" ht="13" thickBot="1">
      <c r="A397" s="617">
        <f t="shared" si="47"/>
        <v>376</v>
      </c>
      <c r="B397" s="702" t="s">
        <v>98</v>
      </c>
      <c r="C397" s="702"/>
      <c r="D397" s="702"/>
      <c r="E397" s="618">
        <f t="shared" si="50"/>
        <v>25</v>
      </c>
      <c r="F397" s="619">
        <f>'7" 26# Deck Tally'!C375</f>
        <v>33.6</v>
      </c>
      <c r="G397" s="619">
        <f t="shared" si="45"/>
        <v>33.201999999999998</v>
      </c>
      <c r="H397" s="619" t="s">
        <v>9</v>
      </c>
      <c r="I397" s="619">
        <f t="shared" si="44"/>
        <v>12408.439999999995</v>
      </c>
      <c r="J397" s="619">
        <f t="shared" si="48"/>
        <v>354.62000000000444</v>
      </c>
      <c r="K397" s="632">
        <f t="shared" si="43"/>
        <v>401.32693579831925</v>
      </c>
      <c r="L397" s="540"/>
      <c r="M397" s="532"/>
      <c r="N397" s="433"/>
      <c r="O397" s="434"/>
      <c r="P397" s="436"/>
      <c r="Q397" s="387">
        <f t="shared" si="46"/>
        <v>25</v>
      </c>
      <c r="R397" s="517">
        <v>33.6</v>
      </c>
      <c r="S397" s="366" t="str">
        <f t="shared" si="51"/>
        <v>OK</v>
      </c>
    </row>
    <row r="398" spans="1:19" ht="13.5" thickBot="1">
      <c r="A398" s="617">
        <f t="shared" si="47"/>
        <v>377</v>
      </c>
      <c r="B398" s="702" t="s">
        <v>98</v>
      </c>
      <c r="C398" s="702"/>
      <c r="D398" s="702"/>
      <c r="E398" s="618">
        <f t="shared" si="50"/>
        <v>24</v>
      </c>
      <c r="F398" s="619">
        <f>'7" 26# Deck Tally'!C376</f>
        <v>33.94</v>
      </c>
      <c r="G398" s="619">
        <f t="shared" si="45"/>
        <v>33.541999999999994</v>
      </c>
      <c r="H398" s="619" t="s">
        <v>9</v>
      </c>
      <c r="I398" s="619">
        <f t="shared" si="44"/>
        <v>12441.981999999995</v>
      </c>
      <c r="J398" s="619">
        <f t="shared" si="48"/>
        <v>321.07800000000498</v>
      </c>
      <c r="K398" s="632">
        <f t="shared" si="43"/>
        <v>402.06578226737952</v>
      </c>
      <c r="L398" s="562" t="s">
        <v>93</v>
      </c>
      <c r="M398" s="563">
        <f>L6</f>
        <v>12763.06</v>
      </c>
      <c r="N398" s="433"/>
      <c r="O398" s="434"/>
      <c r="P398" s="436"/>
      <c r="Q398" s="387">
        <f t="shared" si="46"/>
        <v>24</v>
      </c>
      <c r="R398" s="517">
        <v>33.94</v>
      </c>
      <c r="S398" s="366" t="str">
        <f t="shared" si="51"/>
        <v>OK</v>
      </c>
    </row>
    <row r="399" spans="1:19" ht="13" thickBot="1">
      <c r="A399" s="617">
        <f t="shared" si="47"/>
        <v>378</v>
      </c>
      <c r="B399" s="702" t="s">
        <v>98</v>
      </c>
      <c r="C399" s="702"/>
      <c r="D399" s="702"/>
      <c r="E399" s="618">
        <f t="shared" si="50"/>
        <v>23</v>
      </c>
      <c r="F399" s="619">
        <f>'7" 26# Deck Tally'!C377</f>
        <v>33.97</v>
      </c>
      <c r="G399" s="619">
        <f t="shared" si="45"/>
        <v>33.571999999999996</v>
      </c>
      <c r="H399" s="619" t="s">
        <v>9</v>
      </c>
      <c r="I399" s="619">
        <f t="shared" si="44"/>
        <v>12475.553999999995</v>
      </c>
      <c r="J399" s="619">
        <f t="shared" si="48"/>
        <v>287.50600000000486</v>
      </c>
      <c r="K399" s="631">
        <f t="shared" si="43"/>
        <v>402.8052895614972</v>
      </c>
      <c r="L399" s="540"/>
      <c r="M399" s="532"/>
      <c r="N399" s="433"/>
      <c r="O399" s="434"/>
      <c r="P399" s="436"/>
      <c r="Q399" s="387">
        <f t="shared" si="46"/>
        <v>23</v>
      </c>
      <c r="R399" s="517">
        <v>33.97</v>
      </c>
      <c r="S399" s="366" t="str">
        <f t="shared" si="51"/>
        <v>OK</v>
      </c>
    </row>
    <row r="400" spans="1:19" ht="13.5" thickBot="1">
      <c r="A400" s="617">
        <f t="shared" si="47"/>
        <v>379</v>
      </c>
      <c r="B400" s="702" t="s">
        <v>98</v>
      </c>
      <c r="C400" s="702"/>
      <c r="D400" s="702"/>
      <c r="E400" s="618">
        <f t="shared" si="50"/>
        <v>22</v>
      </c>
      <c r="F400" s="619">
        <f>'7" 26# Deck Tally'!C378</f>
        <v>33.97</v>
      </c>
      <c r="G400" s="619">
        <f t="shared" si="45"/>
        <v>33.571999999999996</v>
      </c>
      <c r="H400" s="619" t="s">
        <v>9</v>
      </c>
      <c r="I400" s="619">
        <f t="shared" si="44"/>
        <v>12509.125999999995</v>
      </c>
      <c r="J400" s="619">
        <f t="shared" si="48"/>
        <v>253.93400000000474</v>
      </c>
      <c r="K400" s="632">
        <f t="shared" si="43"/>
        <v>403.54479685561483</v>
      </c>
      <c r="L400" s="665" t="s">
        <v>242</v>
      </c>
      <c r="M400" s="666"/>
      <c r="N400" s="433"/>
      <c r="O400" s="434"/>
      <c r="P400" s="436"/>
      <c r="Q400" s="387">
        <f t="shared" si="46"/>
        <v>22</v>
      </c>
      <c r="R400" s="517">
        <v>33.97</v>
      </c>
      <c r="S400" s="366" t="str">
        <f t="shared" si="51"/>
        <v>OK</v>
      </c>
    </row>
    <row r="401" spans="1:19" ht="13" thickBot="1">
      <c r="A401" s="617">
        <f t="shared" si="47"/>
        <v>380</v>
      </c>
      <c r="B401" s="702" t="s">
        <v>98</v>
      </c>
      <c r="C401" s="702"/>
      <c r="D401" s="702"/>
      <c r="E401" s="618">
        <f t="shared" si="50"/>
        <v>21</v>
      </c>
      <c r="F401" s="619">
        <f>'7" 26# Deck Tally'!C379</f>
        <v>33.46</v>
      </c>
      <c r="G401" s="619">
        <f t="shared" si="45"/>
        <v>33.061999999999998</v>
      </c>
      <c r="H401" s="619" t="s">
        <v>9</v>
      </c>
      <c r="I401" s="619">
        <f t="shared" si="44"/>
        <v>12542.187999999995</v>
      </c>
      <c r="J401" s="619">
        <f t="shared" si="48"/>
        <v>220.87200000000485</v>
      </c>
      <c r="K401" s="632">
        <f t="shared" si="43"/>
        <v>404.27307012375843</v>
      </c>
      <c r="L401" s="540"/>
      <c r="M401" s="532"/>
      <c r="N401" s="433"/>
      <c r="O401" s="434"/>
      <c r="P401" s="436"/>
      <c r="Q401" s="387">
        <f t="shared" si="46"/>
        <v>21</v>
      </c>
      <c r="R401" s="517">
        <v>33.46</v>
      </c>
      <c r="S401" s="366" t="str">
        <f t="shared" si="51"/>
        <v>OK</v>
      </c>
    </row>
    <row r="402" spans="1:19" ht="14.5" thickBot="1">
      <c r="A402" s="617">
        <f t="shared" si="47"/>
        <v>381</v>
      </c>
      <c r="B402" s="702" t="s">
        <v>98</v>
      </c>
      <c r="C402" s="702"/>
      <c r="D402" s="702"/>
      <c r="E402" s="618">
        <f t="shared" si="50"/>
        <v>20</v>
      </c>
      <c r="F402" s="619">
        <f>'7" 26# Deck Tally'!C380</f>
        <v>33.5</v>
      </c>
      <c r="G402" s="619">
        <f t="shared" si="45"/>
        <v>33.101999999999997</v>
      </c>
      <c r="H402" s="619" t="s">
        <v>9</v>
      </c>
      <c r="I402" s="619">
        <f t="shared" si="44"/>
        <v>12575.289999999995</v>
      </c>
      <c r="J402" s="619">
        <f t="shared" si="48"/>
        <v>187.77000000000407</v>
      </c>
      <c r="K402" s="632">
        <f t="shared" si="43"/>
        <v>405.0022244919785</v>
      </c>
      <c r="L402" s="667" t="s">
        <v>243</v>
      </c>
      <c r="M402" s="668"/>
      <c r="N402" s="433"/>
      <c r="O402" s="434"/>
      <c r="P402" s="436"/>
      <c r="Q402" s="387">
        <f t="shared" si="46"/>
        <v>20</v>
      </c>
      <c r="R402" s="517">
        <v>33.5</v>
      </c>
      <c r="S402" s="366" t="str">
        <f t="shared" si="51"/>
        <v>OK</v>
      </c>
    </row>
    <row r="403" spans="1:19" ht="12.65" customHeight="1" thickBot="1">
      <c r="A403" s="617">
        <f t="shared" si="47"/>
        <v>382</v>
      </c>
      <c r="B403" s="702" t="s">
        <v>98</v>
      </c>
      <c r="C403" s="702"/>
      <c r="D403" s="702"/>
      <c r="E403" s="618">
        <f t="shared" si="50"/>
        <v>19</v>
      </c>
      <c r="F403" s="619">
        <f>'7" 26# Deck Tally'!C381</f>
        <v>33.89</v>
      </c>
      <c r="G403" s="619">
        <f t="shared" si="45"/>
        <v>33.491999999999997</v>
      </c>
      <c r="H403" s="619" t="s">
        <v>9</v>
      </c>
      <c r="I403" s="619">
        <f t="shared" si="44"/>
        <v>12608.781999999996</v>
      </c>
      <c r="J403" s="619">
        <f t="shared" si="48"/>
        <v>154.27800000000389</v>
      </c>
      <c r="K403" s="632">
        <f t="shared" si="43"/>
        <v>405.73996958594341</v>
      </c>
      <c r="L403" s="540"/>
      <c r="M403" s="532"/>
      <c r="N403" s="433"/>
      <c r="O403" s="434"/>
      <c r="P403" s="436"/>
      <c r="Q403" s="387">
        <f t="shared" si="46"/>
        <v>19</v>
      </c>
      <c r="R403" s="517">
        <v>33.89</v>
      </c>
      <c r="S403" s="366" t="str">
        <f t="shared" si="51"/>
        <v>OK</v>
      </c>
    </row>
    <row r="404" spans="1:19">
      <c r="A404" s="617">
        <f t="shared" si="47"/>
        <v>383</v>
      </c>
      <c r="B404" s="702" t="s">
        <v>98</v>
      </c>
      <c r="C404" s="702"/>
      <c r="D404" s="702"/>
      <c r="E404" s="618">
        <f t="shared" si="50"/>
        <v>18</v>
      </c>
      <c r="F404" s="619">
        <f>'7" 26# Deck Tally'!C382</f>
        <v>33.659999999999997</v>
      </c>
      <c r="G404" s="619">
        <f t="shared" si="45"/>
        <v>33.261999999999993</v>
      </c>
      <c r="H404" s="619" t="s">
        <v>9</v>
      </c>
      <c r="I404" s="619">
        <f t="shared" si="44"/>
        <v>12642.043999999996</v>
      </c>
      <c r="J404" s="619">
        <f t="shared" si="48"/>
        <v>121.01600000000326</v>
      </c>
      <c r="K404" s="631">
        <f t="shared" si="43"/>
        <v>406.47264835446896</v>
      </c>
      <c r="L404" s="672" t="s">
        <v>266</v>
      </c>
      <c r="M404" s="675">
        <f>((I407+G13-L6)-4)*(-1)</f>
        <v>5.8500000000021828</v>
      </c>
      <c r="N404" s="433"/>
      <c r="O404" s="434"/>
      <c r="P404" s="436"/>
      <c r="Q404" s="387">
        <f t="shared" si="46"/>
        <v>18</v>
      </c>
      <c r="R404" s="517">
        <v>33.659999999999997</v>
      </c>
      <c r="S404" s="366" t="str">
        <f t="shared" si="51"/>
        <v>OK</v>
      </c>
    </row>
    <row r="405" spans="1:19">
      <c r="A405" s="617">
        <f t="shared" si="47"/>
        <v>384</v>
      </c>
      <c r="B405" s="702" t="s">
        <v>98</v>
      </c>
      <c r="C405" s="702"/>
      <c r="D405" s="702"/>
      <c r="E405" s="618">
        <f t="shared" si="50"/>
        <v>17</v>
      </c>
      <c r="F405" s="619">
        <f>'7" 26# Deck Tally'!C383</f>
        <v>33.65</v>
      </c>
      <c r="G405" s="619">
        <f t="shared" si="45"/>
        <v>33.251999999999995</v>
      </c>
      <c r="H405" s="619" t="s">
        <v>9</v>
      </c>
      <c r="I405" s="619">
        <f t="shared" si="44"/>
        <v>12675.295999999997</v>
      </c>
      <c r="J405" s="619">
        <f t="shared" si="48"/>
        <v>87.764000000002852</v>
      </c>
      <c r="K405" s="632">
        <f t="shared" si="43"/>
        <v>407.20510684797551</v>
      </c>
      <c r="L405" s="673"/>
      <c r="M405" s="676"/>
      <c r="N405" s="433"/>
      <c r="O405" s="434"/>
      <c r="P405" s="436"/>
      <c r="Q405" s="387">
        <f t="shared" ref="Q405:Q421" si="52">E405</f>
        <v>17</v>
      </c>
      <c r="R405" s="517">
        <v>33.65</v>
      </c>
      <c r="S405" s="366" t="str">
        <f t="shared" si="51"/>
        <v>OK</v>
      </c>
    </row>
    <row r="406" spans="1:19">
      <c r="A406" s="617">
        <f t="shared" si="47"/>
        <v>385</v>
      </c>
      <c r="B406" s="702" t="s">
        <v>98</v>
      </c>
      <c r="C406" s="702"/>
      <c r="D406" s="702"/>
      <c r="E406" s="618">
        <f t="shared" si="50"/>
        <v>16</v>
      </c>
      <c r="F406" s="619">
        <f>'7" 26# Deck Tally'!C384</f>
        <v>33.770000000000003</v>
      </c>
      <c r="G406" s="619">
        <f t="shared" si="45"/>
        <v>33.372</v>
      </c>
      <c r="H406" s="619" t="s">
        <v>9</v>
      </c>
      <c r="I406" s="619">
        <f t="shared" si="44"/>
        <v>12708.667999999996</v>
      </c>
      <c r="J406" s="619">
        <f t="shared" si="48"/>
        <v>54.392000000003463</v>
      </c>
      <c r="K406" s="632">
        <f t="shared" ref="K406:K422" si="53">$H$6+(I406*$F$7*$H$8/1000)</f>
        <v>407.94020864171114</v>
      </c>
      <c r="L406" s="673"/>
      <c r="M406" s="676"/>
      <c r="N406" s="433"/>
      <c r="O406" s="434"/>
      <c r="P406" s="436"/>
      <c r="Q406" s="387">
        <f t="shared" si="52"/>
        <v>16</v>
      </c>
      <c r="R406" s="517">
        <v>33.770000000000003</v>
      </c>
      <c r="S406" s="366" t="str">
        <f t="shared" si="51"/>
        <v>OK</v>
      </c>
    </row>
    <row r="407" spans="1:19" ht="13" thickBot="1">
      <c r="A407" s="621">
        <f t="shared" si="47"/>
        <v>386</v>
      </c>
      <c r="B407" s="850" t="s">
        <v>98</v>
      </c>
      <c r="C407" s="850"/>
      <c r="D407" s="850"/>
      <c r="E407" s="622">
        <f t="shared" si="50"/>
        <v>15</v>
      </c>
      <c r="F407" s="623">
        <f>'7" 26# Deck Tally'!C385</f>
        <v>33.4</v>
      </c>
      <c r="G407" s="624">
        <f t="shared" si="45"/>
        <v>33.001999999999995</v>
      </c>
      <c r="H407" s="624" t="s">
        <v>9</v>
      </c>
      <c r="I407" s="624">
        <f t="shared" si="44"/>
        <v>12741.669999999996</v>
      </c>
      <c r="J407" s="624">
        <f t="shared" si="48"/>
        <v>21.390000000003056</v>
      </c>
      <c r="K407" s="636">
        <f t="shared" si="53"/>
        <v>408.66716025974017</v>
      </c>
      <c r="L407" s="674"/>
      <c r="M407" s="677"/>
      <c r="N407" s="433"/>
      <c r="O407" s="434"/>
      <c r="P407" s="436"/>
      <c r="Q407" s="387">
        <f t="shared" si="52"/>
        <v>15</v>
      </c>
      <c r="R407" s="517">
        <v>33.4</v>
      </c>
      <c r="S407" s="366" t="str">
        <f t="shared" si="51"/>
        <v>OK</v>
      </c>
    </row>
    <row r="408" spans="1:19" ht="13" hidden="1" thickBot="1">
      <c r="A408" s="507">
        <f t="shared" si="47"/>
        <v>387</v>
      </c>
      <c r="B408" s="687" t="s">
        <v>98</v>
      </c>
      <c r="C408" s="688"/>
      <c r="D408" s="689"/>
      <c r="E408" s="371">
        <f t="shared" si="50"/>
        <v>14</v>
      </c>
      <c r="F408" s="363">
        <f>'7" 26# Deck Tally'!C386</f>
        <v>33.29</v>
      </c>
      <c r="G408" s="33">
        <f t="shared" si="45"/>
        <v>32.891999999999996</v>
      </c>
      <c r="H408" s="482" t="s">
        <v>11</v>
      </c>
      <c r="I408" s="33">
        <f t="shared" si="44"/>
        <v>12741.669999999996</v>
      </c>
      <c r="J408" s="33">
        <f t="shared" si="48"/>
        <v>21.390000000003056</v>
      </c>
      <c r="K408" s="370">
        <f t="shared" si="53"/>
        <v>408.66716025974017</v>
      </c>
      <c r="L408" s="540"/>
      <c r="M408" s="532"/>
      <c r="N408" s="433"/>
      <c r="O408" s="434"/>
      <c r="P408" s="436"/>
      <c r="Q408" s="387">
        <f t="shared" si="52"/>
        <v>14</v>
      </c>
      <c r="R408" s="517">
        <v>33.29</v>
      </c>
      <c r="S408" s="366" t="str">
        <f t="shared" si="51"/>
        <v>OK</v>
      </c>
    </row>
    <row r="409" spans="1:19" ht="13" hidden="1" thickBot="1">
      <c r="A409" s="507">
        <f t="shared" si="47"/>
        <v>388</v>
      </c>
      <c r="B409" s="687" t="s">
        <v>98</v>
      </c>
      <c r="C409" s="688"/>
      <c r="D409" s="689"/>
      <c r="E409" s="371">
        <f t="shared" si="50"/>
        <v>13</v>
      </c>
      <c r="F409" s="363">
        <f>'7" 26# Deck Tally'!C387</f>
        <v>33.409999999999997</v>
      </c>
      <c r="G409" s="33">
        <f t="shared" si="45"/>
        <v>33.011999999999993</v>
      </c>
      <c r="H409" s="482" t="s">
        <v>11</v>
      </c>
      <c r="I409" s="33">
        <f t="shared" si="44"/>
        <v>12741.669999999996</v>
      </c>
      <c r="J409" s="33">
        <f t="shared" si="48"/>
        <v>21.390000000003056</v>
      </c>
      <c r="K409" s="236">
        <f t="shared" si="53"/>
        <v>408.66716025974017</v>
      </c>
      <c r="L409" s="540"/>
      <c r="M409" s="532"/>
      <c r="N409" s="433"/>
      <c r="O409" s="434"/>
      <c r="P409" s="436"/>
      <c r="Q409" s="387">
        <f t="shared" si="52"/>
        <v>13</v>
      </c>
      <c r="R409" s="517">
        <v>33.409999999999997</v>
      </c>
      <c r="S409" s="366" t="str">
        <f t="shared" si="51"/>
        <v>OK</v>
      </c>
    </row>
    <row r="410" spans="1:19" ht="13" hidden="1" thickBot="1">
      <c r="A410" s="507">
        <f t="shared" si="47"/>
        <v>389</v>
      </c>
      <c r="B410" s="687" t="s">
        <v>98</v>
      </c>
      <c r="C410" s="688"/>
      <c r="D410" s="689"/>
      <c r="E410" s="371">
        <f t="shared" si="50"/>
        <v>12</v>
      </c>
      <c r="F410" s="363">
        <f>'7" 26# Deck Tally'!C388</f>
        <v>33.56</v>
      </c>
      <c r="G410" s="33">
        <f t="shared" si="45"/>
        <v>33.161999999999999</v>
      </c>
      <c r="H410" s="482" t="s">
        <v>11</v>
      </c>
      <c r="I410" s="33">
        <f t="shared" si="44"/>
        <v>12741.669999999996</v>
      </c>
      <c r="J410" s="33">
        <f t="shared" si="48"/>
        <v>21.390000000003056</v>
      </c>
      <c r="K410" s="370">
        <f t="shared" si="53"/>
        <v>408.66716025974017</v>
      </c>
      <c r="L410" s="540"/>
      <c r="M410" s="532"/>
      <c r="N410" s="433"/>
      <c r="O410" s="556"/>
      <c r="P410" s="436"/>
      <c r="Q410" s="387">
        <f t="shared" si="52"/>
        <v>12</v>
      </c>
      <c r="R410" s="517">
        <v>33.56</v>
      </c>
      <c r="S410" s="366" t="str">
        <f t="shared" si="51"/>
        <v>OK</v>
      </c>
    </row>
    <row r="411" spans="1:19" ht="13" hidden="1" thickBot="1">
      <c r="A411" s="507">
        <f t="shared" si="47"/>
        <v>390</v>
      </c>
      <c r="B411" s="687" t="s">
        <v>98</v>
      </c>
      <c r="C411" s="688"/>
      <c r="D411" s="689"/>
      <c r="E411" s="371">
        <f t="shared" si="50"/>
        <v>11</v>
      </c>
      <c r="F411" s="363">
        <f>'7" 26# Deck Tally'!C389</f>
        <v>33.28</v>
      </c>
      <c r="G411" s="33">
        <f t="shared" si="45"/>
        <v>32.881999999999998</v>
      </c>
      <c r="H411" s="482" t="s">
        <v>11</v>
      </c>
      <c r="I411" s="33">
        <f t="shared" si="44"/>
        <v>12741.669999999996</v>
      </c>
      <c r="J411" s="33">
        <f t="shared" si="48"/>
        <v>21.390000000003056</v>
      </c>
      <c r="K411" s="370">
        <f t="shared" si="53"/>
        <v>408.66716025974017</v>
      </c>
      <c r="L411" s="540"/>
      <c r="M411" s="532"/>
      <c r="N411" s="433"/>
      <c r="O411" s="434"/>
      <c r="P411" s="436"/>
      <c r="Q411" s="387">
        <f t="shared" si="52"/>
        <v>11</v>
      </c>
      <c r="R411" s="517">
        <v>33.28</v>
      </c>
      <c r="S411" s="366" t="str">
        <f t="shared" si="51"/>
        <v>OK</v>
      </c>
    </row>
    <row r="412" spans="1:19" ht="13" hidden="1" thickBot="1">
      <c r="A412" s="507">
        <f t="shared" ref="A412:A421" si="54">A411+1</f>
        <v>391</v>
      </c>
      <c r="B412" s="687" t="s">
        <v>98</v>
      </c>
      <c r="C412" s="688"/>
      <c r="D412" s="689"/>
      <c r="E412" s="371">
        <f t="shared" si="50"/>
        <v>10</v>
      </c>
      <c r="F412" s="363">
        <f>'7" 26# Deck Tally'!C390</f>
        <v>33.520000000000003</v>
      </c>
      <c r="G412" s="33">
        <f t="shared" si="45"/>
        <v>33.122</v>
      </c>
      <c r="H412" s="482" t="s">
        <v>11</v>
      </c>
      <c r="I412" s="33">
        <f t="shared" si="44"/>
        <v>12741.669999999996</v>
      </c>
      <c r="J412" s="33">
        <f t="shared" si="48"/>
        <v>21.390000000003056</v>
      </c>
      <c r="K412" s="370">
        <f t="shared" si="53"/>
        <v>408.66716025974017</v>
      </c>
      <c r="L412" s="540"/>
      <c r="M412" s="532"/>
      <c r="N412" s="433"/>
      <c r="O412" s="434"/>
      <c r="P412" s="436"/>
      <c r="Q412" s="387">
        <f t="shared" si="52"/>
        <v>10</v>
      </c>
      <c r="R412" s="517">
        <v>33.520000000000003</v>
      </c>
      <c r="S412" s="366" t="str">
        <f t="shared" si="51"/>
        <v>OK</v>
      </c>
    </row>
    <row r="413" spans="1:19" ht="13" hidden="1" thickBot="1">
      <c r="A413" s="507">
        <f t="shared" si="54"/>
        <v>392</v>
      </c>
      <c r="B413" s="687" t="s">
        <v>98</v>
      </c>
      <c r="C413" s="688"/>
      <c r="D413" s="689"/>
      <c r="E413" s="371">
        <f t="shared" si="50"/>
        <v>9</v>
      </c>
      <c r="F413" s="363">
        <f>'7" 26# Deck Tally'!C391</f>
        <v>33.26</v>
      </c>
      <c r="G413" s="33">
        <f t="shared" si="45"/>
        <v>32.861999999999995</v>
      </c>
      <c r="H413" s="482" t="s">
        <v>11</v>
      </c>
      <c r="I413" s="33">
        <f t="shared" si="44"/>
        <v>12741.669999999996</v>
      </c>
      <c r="J413" s="33">
        <f t="shared" si="48"/>
        <v>21.390000000003056</v>
      </c>
      <c r="K413" s="370">
        <f t="shared" si="53"/>
        <v>408.66716025974017</v>
      </c>
      <c r="L413" s="540"/>
      <c r="M413" s="532"/>
      <c r="N413" s="433"/>
      <c r="O413" s="434"/>
      <c r="P413" s="436"/>
      <c r="Q413" s="387">
        <f t="shared" si="52"/>
        <v>9</v>
      </c>
      <c r="R413" s="517">
        <v>33.26</v>
      </c>
      <c r="S413" s="366" t="str">
        <f t="shared" si="51"/>
        <v>OK</v>
      </c>
    </row>
    <row r="414" spans="1:19" ht="13" hidden="1" thickBot="1">
      <c r="A414" s="507">
        <f t="shared" si="54"/>
        <v>393</v>
      </c>
      <c r="B414" s="687" t="s">
        <v>98</v>
      </c>
      <c r="C414" s="688"/>
      <c r="D414" s="689"/>
      <c r="E414" s="371">
        <f t="shared" si="50"/>
        <v>8</v>
      </c>
      <c r="F414" s="363">
        <f>'7" 26# Deck Tally'!C392</f>
        <v>33.58</v>
      </c>
      <c r="G414" s="33">
        <f t="shared" si="45"/>
        <v>33.181999999999995</v>
      </c>
      <c r="H414" s="482" t="s">
        <v>11</v>
      </c>
      <c r="I414" s="33">
        <f t="shared" si="44"/>
        <v>12741.669999999996</v>
      </c>
      <c r="J414" s="33">
        <f t="shared" si="48"/>
        <v>21.390000000003056</v>
      </c>
      <c r="K414" s="236">
        <f t="shared" si="53"/>
        <v>408.66716025974017</v>
      </c>
      <c r="L414" s="540"/>
      <c r="M414" s="532"/>
      <c r="N414" s="433"/>
      <c r="O414" s="434"/>
      <c r="P414" s="436"/>
      <c r="Q414" s="387">
        <f t="shared" si="52"/>
        <v>8</v>
      </c>
      <c r="R414" s="517">
        <v>33.58</v>
      </c>
      <c r="S414" s="366" t="str">
        <f t="shared" si="51"/>
        <v>OK</v>
      </c>
    </row>
    <row r="415" spans="1:19" ht="13" hidden="1" thickBot="1">
      <c r="A415" s="507">
        <f t="shared" si="54"/>
        <v>394</v>
      </c>
      <c r="B415" s="687" t="s">
        <v>98</v>
      </c>
      <c r="C415" s="688"/>
      <c r="D415" s="689"/>
      <c r="E415" s="371">
        <f t="shared" si="50"/>
        <v>7</v>
      </c>
      <c r="F415" s="363">
        <f>'7" 26# Deck Tally'!C393</f>
        <v>33.159999999999997</v>
      </c>
      <c r="G415" s="33">
        <f t="shared" si="45"/>
        <v>32.761999999999993</v>
      </c>
      <c r="H415" s="482" t="s">
        <v>11</v>
      </c>
      <c r="I415" s="33">
        <f t="shared" si="44"/>
        <v>12741.669999999996</v>
      </c>
      <c r="J415" s="33">
        <f t="shared" si="48"/>
        <v>21.390000000003056</v>
      </c>
      <c r="K415" s="370">
        <f t="shared" si="53"/>
        <v>408.66716025974017</v>
      </c>
      <c r="L415" s="540"/>
      <c r="M415" s="532"/>
      <c r="N415" s="433"/>
      <c r="O415" s="434"/>
      <c r="P415" s="436"/>
      <c r="Q415" s="387">
        <f t="shared" si="52"/>
        <v>7</v>
      </c>
      <c r="R415" s="517">
        <v>33.159999999999997</v>
      </c>
      <c r="S415" s="366" t="str">
        <f t="shared" si="51"/>
        <v>OK</v>
      </c>
    </row>
    <row r="416" spans="1:19" ht="13" hidden="1" thickBot="1">
      <c r="A416" s="507">
        <f t="shared" si="54"/>
        <v>395</v>
      </c>
      <c r="B416" s="687" t="s">
        <v>98</v>
      </c>
      <c r="C416" s="688"/>
      <c r="D416" s="689"/>
      <c r="E416" s="371">
        <f t="shared" si="50"/>
        <v>6</v>
      </c>
      <c r="F416" s="363">
        <f>'7" 26# Deck Tally'!C394</f>
        <v>33.42</v>
      </c>
      <c r="G416" s="33">
        <f t="shared" si="45"/>
        <v>33.021999999999998</v>
      </c>
      <c r="H416" s="482" t="s">
        <v>11</v>
      </c>
      <c r="I416" s="33">
        <f t="shared" si="44"/>
        <v>12741.669999999996</v>
      </c>
      <c r="J416" s="33">
        <f t="shared" si="48"/>
        <v>21.390000000003056</v>
      </c>
      <c r="K416" s="370">
        <f t="shared" si="53"/>
        <v>408.66716025974017</v>
      </c>
      <c r="L416" s="540"/>
      <c r="M416" s="532"/>
      <c r="N416" s="433"/>
      <c r="O416" s="434"/>
      <c r="P416" s="436"/>
      <c r="Q416" s="387">
        <f t="shared" si="52"/>
        <v>6</v>
      </c>
      <c r="R416" s="517">
        <v>33.42</v>
      </c>
      <c r="S416" s="366" t="str">
        <f t="shared" si="51"/>
        <v>OK</v>
      </c>
    </row>
    <row r="417" spans="1:19" ht="13" hidden="1" thickBot="1">
      <c r="A417" s="507">
        <f t="shared" si="54"/>
        <v>396</v>
      </c>
      <c r="B417" s="687" t="s">
        <v>98</v>
      </c>
      <c r="C417" s="688"/>
      <c r="D417" s="689"/>
      <c r="E417" s="371">
        <f t="shared" si="50"/>
        <v>5</v>
      </c>
      <c r="F417" s="363">
        <f>'7" 26# Deck Tally'!C395</f>
        <v>33.950000000000003</v>
      </c>
      <c r="G417" s="33">
        <f t="shared" si="45"/>
        <v>33.552</v>
      </c>
      <c r="H417" s="482" t="s">
        <v>11</v>
      </c>
      <c r="I417" s="33">
        <f t="shared" si="44"/>
        <v>12741.669999999996</v>
      </c>
      <c r="J417" s="33">
        <f t="shared" si="48"/>
        <v>21.390000000003056</v>
      </c>
      <c r="K417" s="370">
        <f t="shared" si="53"/>
        <v>408.66716025974017</v>
      </c>
      <c r="L417" s="540"/>
      <c r="M417" s="532"/>
      <c r="N417" s="433"/>
      <c r="O417" s="434"/>
      <c r="P417" s="436"/>
      <c r="Q417" s="387">
        <f t="shared" si="52"/>
        <v>5</v>
      </c>
      <c r="R417" s="517">
        <v>33.950000000000003</v>
      </c>
      <c r="S417" s="366" t="str">
        <f t="shared" si="51"/>
        <v>OK</v>
      </c>
    </row>
    <row r="418" spans="1:19" ht="13" hidden="1" thickBot="1">
      <c r="A418" s="507">
        <f t="shared" si="54"/>
        <v>397</v>
      </c>
      <c r="B418" s="687" t="s">
        <v>98</v>
      </c>
      <c r="C418" s="688"/>
      <c r="D418" s="689"/>
      <c r="E418" s="371">
        <f t="shared" si="50"/>
        <v>4</v>
      </c>
      <c r="F418" s="363">
        <f>'7" 26# Deck Tally'!C396</f>
        <v>33.17</v>
      </c>
      <c r="G418" s="33">
        <f t="shared" si="45"/>
        <v>32.771999999999998</v>
      </c>
      <c r="H418" s="482" t="s">
        <v>11</v>
      </c>
      <c r="I418" s="33">
        <f t="shared" si="44"/>
        <v>12741.669999999996</v>
      </c>
      <c r="J418" s="33">
        <f t="shared" si="48"/>
        <v>21.390000000003056</v>
      </c>
      <c r="K418" s="370">
        <f t="shared" si="53"/>
        <v>408.66716025974017</v>
      </c>
      <c r="L418" s="540"/>
      <c r="M418" s="532"/>
      <c r="N418" s="433"/>
      <c r="O418" s="434"/>
      <c r="P418" s="436"/>
      <c r="Q418" s="387">
        <f t="shared" si="52"/>
        <v>4</v>
      </c>
      <c r="R418" s="517">
        <v>33.17</v>
      </c>
      <c r="S418" s="366" t="str">
        <f t="shared" si="51"/>
        <v>OK</v>
      </c>
    </row>
    <row r="419" spans="1:19" ht="13" hidden="1" thickBot="1">
      <c r="A419" s="507">
        <f t="shared" si="54"/>
        <v>398</v>
      </c>
      <c r="B419" s="687" t="s">
        <v>98</v>
      </c>
      <c r="C419" s="688"/>
      <c r="D419" s="689"/>
      <c r="E419" s="371">
        <f t="shared" si="50"/>
        <v>3</v>
      </c>
      <c r="F419" s="363">
        <f>'7" 26# Deck Tally'!C397</f>
        <v>33.94</v>
      </c>
      <c r="G419" s="33">
        <f t="shared" si="45"/>
        <v>33.541999999999994</v>
      </c>
      <c r="H419" s="482" t="s">
        <v>11</v>
      </c>
      <c r="I419" s="33">
        <f t="shared" si="44"/>
        <v>12741.669999999996</v>
      </c>
      <c r="J419" s="33">
        <f t="shared" si="48"/>
        <v>21.390000000003056</v>
      </c>
      <c r="K419" s="370">
        <f t="shared" si="53"/>
        <v>408.66716025974017</v>
      </c>
      <c r="L419" s="540"/>
      <c r="M419" s="532"/>
      <c r="N419" s="433"/>
      <c r="O419" s="434"/>
      <c r="P419" s="436"/>
      <c r="Q419" s="387">
        <f t="shared" si="52"/>
        <v>3</v>
      </c>
      <c r="R419" s="517">
        <v>33.94</v>
      </c>
      <c r="S419" s="366" t="str">
        <f t="shared" si="51"/>
        <v>OK</v>
      </c>
    </row>
    <row r="420" spans="1:19" ht="13" hidden="1" thickBot="1">
      <c r="A420" s="507">
        <f t="shared" si="54"/>
        <v>399</v>
      </c>
      <c r="B420" s="687" t="s">
        <v>98</v>
      </c>
      <c r="C420" s="688"/>
      <c r="D420" s="689"/>
      <c r="E420" s="371">
        <f t="shared" si="50"/>
        <v>2</v>
      </c>
      <c r="F420" s="363">
        <f>'7" 26# Deck Tally'!C398</f>
        <v>31.92</v>
      </c>
      <c r="G420" s="33">
        <f t="shared" si="45"/>
        <v>31.522000000000002</v>
      </c>
      <c r="H420" s="482" t="s">
        <v>11</v>
      </c>
      <c r="I420" s="33">
        <f t="shared" si="44"/>
        <v>12741.669999999996</v>
      </c>
      <c r="J420" s="33">
        <f t="shared" si="48"/>
        <v>21.390000000003056</v>
      </c>
      <c r="K420" s="370">
        <f t="shared" si="53"/>
        <v>408.66716025974017</v>
      </c>
      <c r="L420" s="540"/>
      <c r="M420" s="532"/>
      <c r="N420" s="433"/>
      <c r="O420" s="434"/>
      <c r="P420" s="436"/>
      <c r="Q420" s="387">
        <f t="shared" si="52"/>
        <v>2</v>
      </c>
      <c r="R420" s="517">
        <v>31.92</v>
      </c>
      <c r="S420" s="366" t="str">
        <f t="shared" si="51"/>
        <v>OK</v>
      </c>
    </row>
    <row r="421" spans="1:19" ht="13" hidden="1" thickBot="1">
      <c r="A421" s="507">
        <f t="shared" si="54"/>
        <v>400</v>
      </c>
      <c r="B421" s="687" t="s">
        <v>98</v>
      </c>
      <c r="C421" s="688"/>
      <c r="D421" s="689"/>
      <c r="E421" s="371">
        <f t="shared" ref="E421" si="55">E420-1</f>
        <v>1</v>
      </c>
      <c r="F421" s="363">
        <f>'7" 26# Deck Tally'!C399</f>
        <v>33.76</v>
      </c>
      <c r="G421" s="33">
        <f t="shared" si="45"/>
        <v>33.361999999999995</v>
      </c>
      <c r="H421" s="482" t="s">
        <v>11</v>
      </c>
      <c r="I421" s="33">
        <f t="shared" si="44"/>
        <v>12741.669999999996</v>
      </c>
      <c r="J421" s="33">
        <f t="shared" si="48"/>
        <v>21.390000000003056</v>
      </c>
      <c r="K421" s="370">
        <f t="shared" si="53"/>
        <v>408.66716025974017</v>
      </c>
      <c r="L421" s="540"/>
      <c r="M421" s="532"/>
      <c r="N421" s="433"/>
      <c r="O421" s="434"/>
      <c r="P421" s="436"/>
      <c r="Q421" s="550">
        <f t="shared" si="52"/>
        <v>1</v>
      </c>
      <c r="R421" s="517">
        <v>33.76</v>
      </c>
      <c r="S421" s="548" t="str">
        <f t="shared" ref="S421" si="56">IF(F421-R421=0,"OK","FALSE")</f>
        <v>OK</v>
      </c>
    </row>
    <row r="422" spans="1:19" ht="13" thickBot="1">
      <c r="A422" s="471"/>
      <c r="B422" s="839" t="s">
        <v>92</v>
      </c>
      <c r="C422" s="840"/>
      <c r="D422" s="469" t="s">
        <v>111</v>
      </c>
      <c r="E422" s="470" t="s">
        <v>225</v>
      </c>
      <c r="F422" s="237">
        <v>33.21</v>
      </c>
      <c r="G422" s="237">
        <f t="shared" si="45"/>
        <v>32.811999999999998</v>
      </c>
      <c r="H422" s="237" t="s">
        <v>9</v>
      </c>
      <c r="I422" s="237">
        <f>IF(H422="IN",I421+G422,I421)</f>
        <v>12774.481999999996</v>
      </c>
      <c r="J422" s="237">
        <f t="shared" si="48"/>
        <v>-11.421999999996842</v>
      </c>
      <c r="K422" s="637">
        <f t="shared" si="53"/>
        <v>409.38992665240636</v>
      </c>
      <c r="L422" s="815"/>
      <c r="M422" s="816"/>
      <c r="N422" s="433"/>
      <c r="O422" s="434"/>
      <c r="P422" s="394"/>
    </row>
    <row r="423" spans="1:19" s="526" customFormat="1">
      <c r="A423" s="565"/>
      <c r="B423" s="678" t="s">
        <v>233</v>
      </c>
      <c r="C423" s="679"/>
      <c r="D423" s="679"/>
      <c r="E423" s="680"/>
      <c r="F423" s="567">
        <v>3.5</v>
      </c>
      <c r="G423" s="521">
        <f t="shared" si="45"/>
        <v>3.1019999999999999</v>
      </c>
      <c r="H423" s="521" t="s">
        <v>9</v>
      </c>
      <c r="I423" s="521">
        <f>IF(H423="IN",I422+G423,I422)</f>
        <v>12777.583999999997</v>
      </c>
      <c r="J423" s="521">
        <f t="shared" ref="J423:J424" si="57">IF(I423="","",$L$6-I423)</f>
        <v>-14.523999999997613</v>
      </c>
      <c r="K423" s="638">
        <f t="shared" ref="K423:K424" si="58">$H$6+(I423*$F$7*$H$8/1000)</f>
        <v>409.45825596333071</v>
      </c>
      <c r="L423" s="577"/>
      <c r="M423" s="578"/>
      <c r="N423" s="555"/>
      <c r="O423" s="556"/>
      <c r="P423" s="551"/>
      <c r="Q423" s="550"/>
    </row>
    <row r="424" spans="1:19" s="526" customFormat="1" ht="13" thickBot="1">
      <c r="A424" s="565"/>
      <c r="B424" s="681" t="s">
        <v>234</v>
      </c>
      <c r="C424" s="682"/>
      <c r="D424" s="682"/>
      <c r="E424" s="683"/>
      <c r="F424" s="568">
        <v>10</v>
      </c>
      <c r="G424" s="529">
        <v>10</v>
      </c>
      <c r="H424" s="529" t="s">
        <v>9</v>
      </c>
      <c r="I424" s="529">
        <f>IF(H424="IN",I423+G424,I423)</f>
        <v>12787.583999999997</v>
      </c>
      <c r="J424" s="529">
        <f t="shared" si="57"/>
        <v>-24.523999999997613</v>
      </c>
      <c r="K424" s="236">
        <f t="shared" si="58"/>
        <v>409.67853098242927</v>
      </c>
      <c r="L424" s="577"/>
      <c r="M424" s="578"/>
      <c r="N424" s="555"/>
      <c r="O424" s="556"/>
      <c r="P424" s="551"/>
      <c r="Q424" s="550"/>
    </row>
    <row r="425" spans="1:19" s="526" customFormat="1" ht="13.5" thickTop="1" thickBot="1">
      <c r="A425" s="565"/>
      <c r="B425" s="684"/>
      <c r="C425" s="685"/>
      <c r="D425" s="685"/>
      <c r="E425" s="686"/>
      <c r="F425" s="579"/>
      <c r="G425" s="580"/>
      <c r="H425" s="580"/>
      <c r="I425" s="580"/>
      <c r="J425" s="580"/>
      <c r="K425" s="639"/>
      <c r="L425" s="577"/>
      <c r="M425" s="578"/>
      <c r="N425" s="555"/>
      <c r="O425" s="601"/>
      <c r="P425" s="551"/>
      <c r="Q425" s="550"/>
    </row>
    <row r="426" spans="1:19" ht="13" customHeight="1">
      <c r="A426" s="468"/>
      <c r="B426" s="841" t="s">
        <v>208</v>
      </c>
      <c r="C426" s="819" t="s">
        <v>68</v>
      </c>
      <c r="D426" s="820"/>
      <c r="E426" s="821"/>
      <c r="F426" s="203">
        <f>'7" 26# Deck Tally'!Q4</f>
        <v>7.16</v>
      </c>
      <c r="G426" s="534">
        <f>F426-($F$9)</f>
        <v>6.7620000000000005</v>
      </c>
      <c r="H426" s="534"/>
      <c r="I426" s="545"/>
      <c r="J426" s="545"/>
      <c r="K426" s="640" t="s">
        <v>120</v>
      </c>
      <c r="L426" s="847"/>
      <c r="M426" s="817"/>
      <c r="N426" s="433"/>
      <c r="O426" s="601"/>
      <c r="P426" s="436"/>
    </row>
    <row r="427" spans="1:19" ht="13" customHeight="1" thickBot="1">
      <c r="A427" s="468"/>
      <c r="B427" s="842"/>
      <c r="C427" s="822" t="s">
        <v>244</v>
      </c>
      <c r="D427" s="823"/>
      <c r="E427" s="824"/>
      <c r="F427" s="547">
        <f>'7" 26# Deck Tally'!Q6</f>
        <v>12.68</v>
      </c>
      <c r="G427" s="542">
        <f>F427</f>
        <v>12.68</v>
      </c>
      <c r="H427" s="542"/>
      <c r="I427" s="557"/>
      <c r="J427" s="557"/>
      <c r="K427" s="641" t="s">
        <v>231</v>
      </c>
      <c r="L427" s="848"/>
      <c r="M427" s="817"/>
      <c r="N427" s="462"/>
      <c r="O427" s="437"/>
      <c r="P427" s="436"/>
      <c r="R427" s="20"/>
    </row>
    <row r="428" spans="1:19" ht="13" customHeight="1" thickBot="1">
      <c r="A428" s="468"/>
      <c r="B428" s="843"/>
      <c r="C428" s="844" t="s">
        <v>69</v>
      </c>
      <c r="D428" s="845"/>
      <c r="E428" s="845"/>
      <c r="F428" s="846"/>
      <c r="G428" s="237">
        <v>0</v>
      </c>
      <c r="H428" s="202"/>
      <c r="I428" s="523"/>
      <c r="J428" s="523"/>
      <c r="K428" s="609"/>
      <c r="L428" s="848"/>
      <c r="M428" s="817"/>
      <c r="N428" s="463"/>
      <c r="O428" s="437"/>
      <c r="P428" s="436"/>
      <c r="R428" s="20"/>
    </row>
    <row r="429" spans="1:19" s="526" customFormat="1" ht="13" customHeight="1" thickBot="1">
      <c r="A429" s="564"/>
      <c r="B429" s="696"/>
      <c r="C429" s="697"/>
      <c r="D429" s="697"/>
      <c r="E429" s="698"/>
      <c r="F429" s="583"/>
      <c r="G429" s="521"/>
      <c r="H429" s="521"/>
      <c r="I429" s="521"/>
      <c r="J429" s="521"/>
      <c r="K429" s="638"/>
      <c r="L429" s="848"/>
      <c r="M429" s="817"/>
      <c r="N429" s="561"/>
      <c r="O429" s="559"/>
      <c r="P429" s="558"/>
      <c r="Q429" s="550"/>
      <c r="R429" s="527"/>
    </row>
    <row r="430" spans="1:19" s="526" customFormat="1" ht="13" customHeight="1" thickTop="1" thickBot="1">
      <c r="A430" s="564"/>
      <c r="B430" s="669" t="s">
        <v>235</v>
      </c>
      <c r="C430" s="670"/>
      <c r="D430" s="670"/>
      <c r="E430" s="671"/>
      <c r="F430" s="587">
        <v>99.83</v>
      </c>
      <c r="G430" s="588"/>
      <c r="H430" s="588"/>
      <c r="I430" s="588"/>
      <c r="J430" s="588"/>
      <c r="K430" s="642"/>
      <c r="L430" s="848"/>
      <c r="M430" s="817"/>
      <c r="N430" s="561"/>
      <c r="O430" s="559"/>
      <c r="P430" s="558"/>
      <c r="Q430" s="550"/>
      <c r="R430" s="527"/>
    </row>
    <row r="431" spans="1:19" s="526" customFormat="1" ht="13" customHeight="1" thickBot="1">
      <c r="A431" s="564"/>
      <c r="B431" s="535"/>
      <c r="C431" s="581"/>
      <c r="D431" s="581"/>
      <c r="E431" s="582"/>
      <c r="F431" s="584"/>
      <c r="G431" s="529"/>
      <c r="H431" s="529"/>
      <c r="I431" s="529"/>
      <c r="J431" s="529"/>
      <c r="K431" s="236"/>
      <c r="L431" s="848"/>
      <c r="M431" s="817"/>
      <c r="N431" s="561"/>
      <c r="O431" s="559"/>
      <c r="P431" s="558"/>
      <c r="Q431" s="550"/>
      <c r="R431" s="527"/>
    </row>
    <row r="432" spans="1:19" s="526" customFormat="1" ht="13" customHeight="1">
      <c r="A432" s="658" t="s">
        <v>240</v>
      </c>
      <c r="B432" s="699" t="s">
        <v>236</v>
      </c>
      <c r="C432" s="700"/>
      <c r="D432" s="700"/>
      <c r="E432" s="701"/>
      <c r="F432" s="583">
        <v>6.54</v>
      </c>
      <c r="G432" s="521">
        <f>F432-E9</f>
        <v>6.2247500000000002</v>
      </c>
      <c r="H432" s="521"/>
      <c r="I432" s="521"/>
      <c r="J432" s="661">
        <f>SUM(G427:G434)-F430</f>
        <v>3.6242500000000035</v>
      </c>
      <c r="K432" s="663" t="s">
        <v>241</v>
      </c>
      <c r="L432" s="848"/>
      <c r="M432" s="817"/>
      <c r="N432" s="561"/>
      <c r="O432" s="559"/>
      <c r="P432" s="558"/>
      <c r="Q432" s="550"/>
      <c r="R432" s="527"/>
    </row>
    <row r="433" spans="1:26" s="526" customFormat="1" ht="13" customHeight="1">
      <c r="A433" s="659"/>
      <c r="B433" s="693" t="s">
        <v>237</v>
      </c>
      <c r="C433" s="694"/>
      <c r="D433" s="694"/>
      <c r="E433" s="695"/>
      <c r="F433" s="584">
        <v>42.07</v>
      </c>
      <c r="G433" s="529">
        <f>F433-E9</f>
        <v>41.754750000000001</v>
      </c>
      <c r="H433" s="529"/>
      <c r="I433" s="529"/>
      <c r="J433" s="662"/>
      <c r="K433" s="664"/>
      <c r="L433" s="848"/>
      <c r="M433" s="817"/>
      <c r="N433" s="561"/>
      <c r="O433" s="559"/>
      <c r="P433" s="558"/>
      <c r="Q433" s="550"/>
      <c r="R433" s="527"/>
    </row>
    <row r="434" spans="1:26" s="526" customFormat="1" ht="13" customHeight="1">
      <c r="A434" s="659"/>
      <c r="B434" s="693" t="s">
        <v>238</v>
      </c>
      <c r="C434" s="694"/>
      <c r="D434" s="694"/>
      <c r="E434" s="695"/>
      <c r="F434" s="584">
        <v>43.11</v>
      </c>
      <c r="G434" s="529">
        <f>F434-E9</f>
        <v>42.794750000000001</v>
      </c>
      <c r="H434" s="529"/>
      <c r="I434" s="529"/>
      <c r="J434" s="662"/>
      <c r="K434" s="664"/>
      <c r="L434" s="848"/>
      <c r="M434" s="817"/>
      <c r="N434" s="561"/>
      <c r="O434" s="559"/>
      <c r="P434" s="558"/>
      <c r="Q434" s="550"/>
      <c r="R434" s="527"/>
    </row>
    <row r="435" spans="1:26" ht="13.5" thickBot="1">
      <c r="A435" s="660"/>
      <c r="B435" s="690" t="s">
        <v>239</v>
      </c>
      <c r="C435" s="691"/>
      <c r="D435" s="691"/>
      <c r="E435" s="692"/>
      <c r="F435" s="585">
        <v>3.86</v>
      </c>
      <c r="G435" s="585">
        <f>F435-E9</f>
        <v>3.5447500000000001</v>
      </c>
      <c r="H435" s="585"/>
      <c r="I435" s="585"/>
      <c r="J435" s="586"/>
      <c r="K435" s="643"/>
      <c r="L435" s="849"/>
      <c r="M435" s="818"/>
      <c r="N435" s="463"/>
      <c r="O435" s="437"/>
      <c r="P435" s="436"/>
      <c r="R435" s="20"/>
    </row>
    <row r="436" spans="1:26" s="28" customFormat="1">
      <c r="B436" s="11"/>
      <c r="C436" s="11"/>
      <c r="D436" s="12"/>
      <c r="E436" s="193"/>
      <c r="F436" s="8"/>
      <c r="G436" s="8"/>
      <c r="H436" s="8"/>
      <c r="I436" s="41"/>
      <c r="J436" s="8"/>
      <c r="K436" s="194"/>
      <c r="L436" s="525"/>
      <c r="M436" s="524"/>
      <c r="P436" s="395"/>
      <c r="Q436" s="386"/>
      <c r="R436" s="231"/>
    </row>
    <row r="437" spans="1:26" s="28" customFormat="1">
      <c r="B437" s="11"/>
      <c r="C437" s="11"/>
      <c r="D437" s="12"/>
      <c r="E437" s="193"/>
      <c r="F437" s="8"/>
      <c r="G437" s="8"/>
      <c r="H437" s="8"/>
      <c r="I437" s="41"/>
      <c r="J437" s="8"/>
      <c r="K437" s="194"/>
      <c r="L437" s="10"/>
      <c r="M437" s="10"/>
      <c r="N437" s="536"/>
      <c r="O437" s="536"/>
      <c r="P437" s="199"/>
      <c r="Q437" s="386"/>
      <c r="R437" s="231"/>
    </row>
    <row r="438" spans="1:26" s="28" customFormat="1">
      <c r="B438" s="11"/>
      <c r="C438" s="11"/>
      <c r="D438" s="12"/>
      <c r="E438" s="193"/>
      <c r="F438" s="8"/>
      <c r="G438" s="8"/>
      <c r="H438" s="8"/>
      <c r="I438" s="41"/>
      <c r="J438" s="8"/>
      <c r="K438" s="194"/>
      <c r="L438" s="10"/>
      <c r="M438" s="372"/>
      <c r="N438" s="456"/>
      <c r="O438" s="231"/>
      <c r="P438" s="395"/>
      <c r="Q438" s="386"/>
      <c r="R438" s="231"/>
    </row>
    <row r="439" spans="1:26" s="28" customFormat="1">
      <c r="B439" s="11"/>
      <c r="C439" s="11"/>
      <c r="D439" s="12"/>
      <c r="E439" s="193"/>
      <c r="F439" s="8"/>
      <c r="G439" s="8"/>
      <c r="H439" s="8"/>
      <c r="I439" s="41"/>
      <c r="J439" s="8"/>
      <c r="K439" s="194"/>
      <c r="L439" s="10"/>
      <c r="M439" s="10"/>
      <c r="P439" s="199"/>
      <c r="Q439" s="386"/>
    </row>
    <row r="440" spans="1:26" s="28" customFormat="1">
      <c r="B440" s="11"/>
      <c r="C440" s="11"/>
      <c r="D440" s="12"/>
      <c r="E440" s="193"/>
      <c r="F440" s="8"/>
      <c r="G440" s="8"/>
      <c r="H440" s="8"/>
      <c r="I440" s="41"/>
      <c r="J440" s="8"/>
      <c r="K440" s="194"/>
      <c r="L440" s="10"/>
      <c r="M440" s="372"/>
      <c r="P440" s="199"/>
      <c r="Q440" s="386"/>
    </row>
    <row r="441" spans="1:26" s="28" customFormat="1">
      <c r="B441" s="11"/>
      <c r="C441" s="11"/>
      <c r="D441" s="12"/>
      <c r="E441" s="193"/>
      <c r="F441" s="8"/>
      <c r="G441" s="8"/>
      <c r="H441" s="8"/>
      <c r="I441" s="41"/>
      <c r="J441" s="8"/>
      <c r="K441" s="194"/>
      <c r="L441" s="10"/>
      <c r="M441" s="10"/>
      <c r="P441" s="199"/>
      <c r="Q441" s="386"/>
    </row>
    <row r="442" spans="1:26" s="28" customFormat="1">
      <c r="B442" s="11"/>
      <c r="C442" s="11"/>
      <c r="D442" s="12"/>
      <c r="E442" s="193"/>
      <c r="F442" s="8"/>
      <c r="G442" s="8"/>
      <c r="H442" s="8"/>
      <c r="I442" s="41"/>
      <c r="J442" s="8"/>
      <c r="K442" s="194"/>
      <c r="L442" s="10"/>
      <c r="M442" s="10"/>
      <c r="P442" s="199"/>
      <c r="Q442" s="386"/>
    </row>
    <row r="443" spans="1:26" s="28" customFormat="1">
      <c r="B443" s="11"/>
      <c r="C443" s="11"/>
      <c r="D443" s="12"/>
      <c r="E443" s="193"/>
      <c r="F443" s="8"/>
      <c r="G443" s="8"/>
      <c r="H443" s="8"/>
      <c r="I443" s="41"/>
      <c r="J443" s="8"/>
      <c r="K443" s="194"/>
      <c r="L443" s="10"/>
      <c r="M443" s="10"/>
      <c r="P443" s="199"/>
      <c r="Q443" s="386"/>
    </row>
    <row r="444" spans="1:26" s="28" customFormat="1">
      <c r="B444" s="11"/>
      <c r="C444" s="11"/>
      <c r="D444" s="12"/>
      <c r="E444" s="193"/>
      <c r="F444" s="8"/>
      <c r="G444" s="8"/>
      <c r="H444" s="8"/>
      <c r="I444" s="41"/>
      <c r="J444" s="8"/>
      <c r="K444" s="194"/>
      <c r="L444" s="10"/>
      <c r="M444" s="10"/>
      <c r="P444" s="199"/>
      <c r="Q444" s="386"/>
    </row>
    <row r="445" spans="1:26" s="199" customFormat="1">
      <c r="B445" s="11"/>
      <c r="C445" s="11"/>
      <c r="D445" s="12"/>
      <c r="E445" s="193"/>
      <c r="F445" s="8"/>
      <c r="G445" s="8"/>
      <c r="H445" s="8"/>
      <c r="I445" s="41"/>
      <c r="J445" s="8"/>
      <c r="K445" s="194"/>
      <c r="L445" s="10"/>
      <c r="M445" s="10"/>
      <c r="Q445" s="388"/>
    </row>
    <row r="446" spans="1:26" s="28" customFormat="1" ht="14.15" customHeight="1">
      <c r="B446" s="11"/>
      <c r="C446" s="11"/>
      <c r="D446" s="12"/>
      <c r="E446" s="193"/>
      <c r="F446" s="8"/>
      <c r="G446" s="8"/>
      <c r="H446" s="8"/>
      <c r="I446" s="41"/>
      <c r="J446" s="8"/>
      <c r="K446" s="194"/>
      <c r="L446" s="814"/>
      <c r="M446" s="825"/>
      <c r="N446" s="826"/>
      <c r="O446" s="804"/>
      <c r="P446" s="804"/>
      <c r="Q446" s="571"/>
      <c r="R446" s="530"/>
      <c r="S446" s="530"/>
      <c r="T446" s="530"/>
      <c r="U446" s="530"/>
      <c r="V446" s="533"/>
      <c r="W446" s="572"/>
      <c r="X446" s="573"/>
      <c r="Y446" s="569"/>
      <c r="Z446" s="538"/>
    </row>
    <row r="447" spans="1:26" s="28" customFormat="1">
      <c r="B447" s="11"/>
      <c r="C447" s="11"/>
      <c r="D447" s="12"/>
      <c r="E447" s="193"/>
      <c r="F447" s="8"/>
      <c r="G447" s="8"/>
      <c r="H447" s="8"/>
      <c r="I447" s="41"/>
      <c r="J447" s="8"/>
      <c r="K447" s="194"/>
      <c r="L447" s="814"/>
      <c r="M447" s="825"/>
      <c r="N447" s="826"/>
      <c r="O447" s="804"/>
      <c r="P447" s="804"/>
      <c r="Q447" s="571"/>
      <c r="R447" s="530"/>
      <c r="S447" s="530"/>
      <c r="T447" s="530"/>
      <c r="U447" s="530"/>
      <c r="V447" s="533"/>
      <c r="W447" s="570"/>
      <c r="X447" s="570"/>
      <c r="Y447" s="569"/>
      <c r="Z447" s="538"/>
    </row>
    <row r="448" spans="1:26" s="28" customFormat="1">
      <c r="B448" s="11"/>
      <c r="C448" s="11"/>
      <c r="D448" s="12"/>
      <c r="E448" s="193"/>
      <c r="F448" s="8"/>
      <c r="G448" s="8"/>
      <c r="H448" s="8"/>
      <c r="I448" s="41"/>
      <c r="J448" s="8"/>
      <c r="K448" s="194"/>
      <c r="L448" s="814"/>
      <c r="M448" s="825"/>
      <c r="N448" s="826"/>
      <c r="O448" s="838"/>
      <c r="P448" s="838"/>
      <c r="Q448" s="574"/>
      <c r="R448" s="575"/>
      <c r="S448" s="575"/>
      <c r="T448" s="575"/>
      <c r="U448" s="575"/>
      <c r="V448" s="576"/>
      <c r="W448" s="570"/>
      <c r="X448" s="570"/>
      <c r="Y448" s="569"/>
      <c r="Z448" s="538"/>
    </row>
    <row r="449" spans="2:26" s="28" customFormat="1" ht="12.65" customHeight="1">
      <c r="B449" s="11"/>
      <c r="C449" s="11"/>
      <c r="D449" s="12"/>
      <c r="E449" s="193"/>
      <c r="F449" s="8"/>
      <c r="G449" s="8"/>
      <c r="H449" s="8"/>
      <c r="I449" s="41"/>
      <c r="J449" s="8"/>
      <c r="K449" s="194"/>
      <c r="L449" s="814"/>
      <c r="M449" s="825"/>
      <c r="N449" s="826"/>
      <c r="O449" s="804"/>
      <c r="P449" s="804"/>
      <c r="Q449" s="571"/>
      <c r="R449" s="530"/>
      <c r="S449" s="530"/>
      <c r="T449" s="530"/>
      <c r="U449" s="530"/>
      <c r="V449" s="533"/>
      <c r="W449" s="803"/>
      <c r="X449" s="803"/>
      <c r="Y449" s="569"/>
      <c r="Z449" s="538"/>
    </row>
    <row r="450" spans="2:26" ht="13" customHeight="1">
      <c r="B450" s="11"/>
      <c r="C450" s="11"/>
      <c r="D450" s="12"/>
      <c r="E450" s="193"/>
      <c r="F450" s="8"/>
      <c r="G450" s="8"/>
      <c r="H450" s="8"/>
      <c r="I450" s="41"/>
      <c r="J450" s="8"/>
      <c r="K450" s="194"/>
      <c r="L450" s="814"/>
      <c r="M450" s="825"/>
      <c r="N450" s="826"/>
      <c r="O450" s="804"/>
      <c r="P450" s="804"/>
      <c r="Q450" s="571"/>
      <c r="R450" s="530"/>
      <c r="S450" s="530"/>
      <c r="T450" s="530"/>
      <c r="U450" s="530"/>
      <c r="V450" s="533"/>
      <c r="W450" s="805"/>
      <c r="X450" s="805"/>
      <c r="Y450" s="569"/>
      <c r="Z450" s="538"/>
    </row>
    <row r="451" spans="2:26">
      <c r="B451"/>
      <c r="C451"/>
      <c r="D451" s="27"/>
      <c r="E451"/>
      <c r="F451"/>
      <c r="G451" s="475"/>
      <c r="H451"/>
      <c r="I451"/>
      <c r="J451"/>
      <c r="K451"/>
      <c r="M451" s="16"/>
    </row>
    <row r="452" spans="2:26">
      <c r="B452"/>
      <c r="C452"/>
      <c r="D452" s="27"/>
      <c r="E452"/>
      <c r="F452"/>
      <c r="G452" s="475"/>
      <c r="H452"/>
      <c r="I452"/>
      <c r="J452"/>
      <c r="K452"/>
      <c r="M452" s="16"/>
    </row>
    <row r="453" spans="2:26">
      <c r="B453"/>
      <c r="C453"/>
      <c r="D453" s="27"/>
      <c r="E453"/>
      <c r="F453"/>
      <c r="G453" s="475"/>
      <c r="H453"/>
      <c r="I453"/>
      <c r="J453"/>
      <c r="K453"/>
      <c r="M453" s="16"/>
    </row>
    <row r="454" spans="2:26">
      <c r="B454"/>
      <c r="C454"/>
      <c r="D454" s="27"/>
      <c r="E454"/>
      <c r="F454"/>
      <c r="G454" s="475"/>
      <c r="H454"/>
      <c r="I454"/>
      <c r="J454"/>
      <c r="K454"/>
      <c r="M454" s="16"/>
    </row>
    <row r="455" spans="2:26">
      <c r="B455"/>
      <c r="C455"/>
      <c r="D455" s="27"/>
      <c r="E455"/>
      <c r="F455"/>
      <c r="G455" s="475"/>
      <c r="H455"/>
      <c r="I455"/>
      <c r="J455"/>
      <c r="K455"/>
      <c r="M455" s="16"/>
    </row>
    <row r="456" spans="2:26">
      <c r="B456"/>
      <c r="C456"/>
      <c r="D456" s="27"/>
      <c r="E456"/>
      <c r="F456"/>
      <c r="G456" s="475"/>
      <c r="H456"/>
      <c r="I456"/>
      <c r="J456"/>
      <c r="K456"/>
      <c r="M456" s="16"/>
    </row>
    <row r="457" spans="2:26">
      <c r="B457"/>
      <c r="C457"/>
      <c r="D457" s="27"/>
      <c r="E457"/>
      <c r="F457"/>
      <c r="G457" s="475"/>
      <c r="H457"/>
      <c r="I457"/>
      <c r="J457"/>
      <c r="K457"/>
      <c r="M457" s="16"/>
    </row>
    <row r="458" spans="2:26">
      <c r="M458" s="16"/>
    </row>
    <row r="459" spans="2:26">
      <c r="M459" s="16"/>
    </row>
    <row r="460" spans="2:26">
      <c r="M460" s="16"/>
    </row>
    <row r="461" spans="2:26">
      <c r="L461"/>
    </row>
    <row r="462" spans="2:26">
      <c r="L462"/>
    </row>
    <row r="463" spans="2:26">
      <c r="L463"/>
    </row>
    <row r="464" spans="2:26">
      <c r="L464"/>
    </row>
    <row r="465" spans="12:12">
      <c r="L465"/>
    </row>
    <row r="466" spans="12:12">
      <c r="L466"/>
    </row>
    <row r="467" spans="12:12">
      <c r="L467"/>
    </row>
    <row r="468" spans="12:12">
      <c r="L468"/>
    </row>
    <row r="469" spans="12:12">
      <c r="L469"/>
    </row>
    <row r="470" spans="12:12">
      <c r="L470"/>
    </row>
    <row r="471" spans="12:12">
      <c r="L471"/>
    </row>
  </sheetData>
  <mergeCells count="508">
    <mergeCell ref="A368:A372"/>
    <mergeCell ref="B368:B372"/>
    <mergeCell ref="C368:C372"/>
    <mergeCell ref="D372:E372"/>
    <mergeCell ref="L372:M372"/>
    <mergeCell ref="O446:P446"/>
    <mergeCell ref="O447:P447"/>
    <mergeCell ref="O448:P448"/>
    <mergeCell ref="O449:P449"/>
    <mergeCell ref="B422:C422"/>
    <mergeCell ref="B426:B428"/>
    <mergeCell ref="B378:D378"/>
    <mergeCell ref="B379:D379"/>
    <mergeCell ref="B380:D380"/>
    <mergeCell ref="B381:D381"/>
    <mergeCell ref="B382:D382"/>
    <mergeCell ref="B383:D383"/>
    <mergeCell ref="C428:F428"/>
    <mergeCell ref="L426:L435"/>
    <mergeCell ref="B405:D405"/>
    <mergeCell ref="B406:D406"/>
    <mergeCell ref="B407:D407"/>
    <mergeCell ref="B408:D408"/>
    <mergeCell ref="B409:D409"/>
    <mergeCell ref="W449:X449"/>
    <mergeCell ref="O450:P450"/>
    <mergeCell ref="W450:X450"/>
    <mergeCell ref="Q368:Q372"/>
    <mergeCell ref="D368:E368"/>
    <mergeCell ref="D369:E369"/>
    <mergeCell ref="D370:E370"/>
    <mergeCell ref="D371:E371"/>
    <mergeCell ref="L371:M371"/>
    <mergeCell ref="L446:L450"/>
    <mergeCell ref="L422:M422"/>
    <mergeCell ref="M426:M435"/>
    <mergeCell ref="C426:E426"/>
    <mergeCell ref="C427:E427"/>
    <mergeCell ref="M446:M450"/>
    <mergeCell ref="N446:N450"/>
    <mergeCell ref="B398:D398"/>
    <mergeCell ref="B399:D399"/>
    <mergeCell ref="B400:D400"/>
    <mergeCell ref="B401:D401"/>
    <mergeCell ref="B402:D402"/>
    <mergeCell ref="B403:D403"/>
    <mergeCell ref="B404:D404"/>
    <mergeCell ref="B384:D384"/>
    <mergeCell ref="B315:D315"/>
    <mergeCell ref="B316:D316"/>
    <mergeCell ref="B317:D317"/>
    <mergeCell ref="B324:D324"/>
    <mergeCell ref="B325:D325"/>
    <mergeCell ref="B326:D326"/>
    <mergeCell ref="B327:D327"/>
    <mergeCell ref="B328:D328"/>
    <mergeCell ref="B329:D329"/>
    <mergeCell ref="B318:D318"/>
    <mergeCell ref="B319:D319"/>
    <mergeCell ref="B320:D320"/>
    <mergeCell ref="B321:D321"/>
    <mergeCell ref="B416:D416"/>
    <mergeCell ref="B389:D389"/>
    <mergeCell ref="B390:D390"/>
    <mergeCell ref="B391:D391"/>
    <mergeCell ref="B392:D392"/>
    <mergeCell ref="B393:D393"/>
    <mergeCell ref="B394:D394"/>
    <mergeCell ref="B395:D395"/>
    <mergeCell ref="B396:D396"/>
    <mergeCell ref="B397:D397"/>
    <mergeCell ref="B413:D413"/>
    <mergeCell ref="B414:D414"/>
    <mergeCell ref="B415:D415"/>
    <mergeCell ref="B37:D37"/>
    <mergeCell ref="B38:D38"/>
    <mergeCell ref="B39:D39"/>
    <mergeCell ref="B40:D40"/>
    <mergeCell ref="B41:D41"/>
    <mergeCell ref="B42:D42"/>
    <mergeCell ref="B31:D31"/>
    <mergeCell ref="B32:D32"/>
    <mergeCell ref="B33:D33"/>
    <mergeCell ref="B34:D34"/>
    <mergeCell ref="B35:D35"/>
    <mergeCell ref="B36:D36"/>
    <mergeCell ref="K10:K11"/>
    <mergeCell ref="L10:M11"/>
    <mergeCell ref="B12:E12"/>
    <mergeCell ref="L12:M12"/>
    <mergeCell ref="A13:A15"/>
    <mergeCell ref="B13:B15"/>
    <mergeCell ref="C13:C15"/>
    <mergeCell ref="D13:E13"/>
    <mergeCell ref="L13:M15"/>
    <mergeCell ref="A1:A11"/>
    <mergeCell ref="I6:J6"/>
    <mergeCell ref="I7:J7"/>
    <mergeCell ref="C9:D9"/>
    <mergeCell ref="B10:D11"/>
    <mergeCell ref="E10:E11"/>
    <mergeCell ref="F10:F11"/>
    <mergeCell ref="G10:G11"/>
    <mergeCell ref="H10:H11"/>
    <mergeCell ref="I10:I11"/>
    <mergeCell ref="L3:M3"/>
    <mergeCell ref="L4:M4"/>
    <mergeCell ref="J10:J11"/>
    <mergeCell ref="Q17:Q20"/>
    <mergeCell ref="D18:E18"/>
    <mergeCell ref="L18:M18"/>
    <mergeCell ref="D19:E19"/>
    <mergeCell ref="L19:M19"/>
    <mergeCell ref="R13:R15"/>
    <mergeCell ref="S13:S15"/>
    <mergeCell ref="D14:E14"/>
    <mergeCell ref="D15:E15"/>
    <mergeCell ref="D20:E20"/>
    <mergeCell ref="L20:M20"/>
    <mergeCell ref="B16:D16"/>
    <mergeCell ref="N21:N22"/>
    <mergeCell ref="O21:O22"/>
    <mergeCell ref="B22:D22"/>
    <mergeCell ref="L22:M22"/>
    <mergeCell ref="A17:A20"/>
    <mergeCell ref="B17:B20"/>
    <mergeCell ref="C17:C20"/>
    <mergeCell ref="D17:E17"/>
    <mergeCell ref="L17:M17"/>
    <mergeCell ref="L21:M21"/>
    <mergeCell ref="B21:D21"/>
    <mergeCell ref="L29:M29"/>
    <mergeCell ref="B30:D30"/>
    <mergeCell ref="L30:M30"/>
    <mergeCell ref="B23:D23"/>
    <mergeCell ref="L23:M23"/>
    <mergeCell ref="B24:D24"/>
    <mergeCell ref="B25:D25"/>
    <mergeCell ref="B26:D26"/>
    <mergeCell ref="L26:M26"/>
    <mergeCell ref="L27:M27"/>
    <mergeCell ref="B27:D27"/>
    <mergeCell ref="B28:D28"/>
    <mergeCell ref="B29:D29"/>
    <mergeCell ref="B50:D50"/>
    <mergeCell ref="B51:D51"/>
    <mergeCell ref="B52:D52"/>
    <mergeCell ref="B53:D53"/>
    <mergeCell ref="B54:D54"/>
    <mergeCell ref="B43:D43"/>
    <mergeCell ref="B44:D44"/>
    <mergeCell ref="B45:D45"/>
    <mergeCell ref="B46:D46"/>
    <mergeCell ref="B47:D47"/>
    <mergeCell ref="B48:D48"/>
    <mergeCell ref="B49:D49"/>
    <mergeCell ref="B61:D61"/>
    <mergeCell ref="B62:D62"/>
    <mergeCell ref="B63:D63"/>
    <mergeCell ref="B64:D64"/>
    <mergeCell ref="B65:D65"/>
    <mergeCell ref="B66:D66"/>
    <mergeCell ref="B55:D55"/>
    <mergeCell ref="B56:D56"/>
    <mergeCell ref="B57:D57"/>
    <mergeCell ref="B58:D58"/>
    <mergeCell ref="B59:D59"/>
    <mergeCell ref="B60:D60"/>
    <mergeCell ref="B73:D73"/>
    <mergeCell ref="B74:D74"/>
    <mergeCell ref="B75:D75"/>
    <mergeCell ref="B76:D76"/>
    <mergeCell ref="B77:D77"/>
    <mergeCell ref="B78:D78"/>
    <mergeCell ref="B67:D67"/>
    <mergeCell ref="B68:D68"/>
    <mergeCell ref="B69:D69"/>
    <mergeCell ref="B70:D70"/>
    <mergeCell ref="B71:D71"/>
    <mergeCell ref="B72:D72"/>
    <mergeCell ref="B85:D85"/>
    <mergeCell ref="B86:D86"/>
    <mergeCell ref="B87:D87"/>
    <mergeCell ref="B88:D88"/>
    <mergeCell ref="B89:D89"/>
    <mergeCell ref="B90:D90"/>
    <mergeCell ref="B79:D79"/>
    <mergeCell ref="B80:D80"/>
    <mergeCell ref="B81:D81"/>
    <mergeCell ref="B82:D82"/>
    <mergeCell ref="B83:D83"/>
    <mergeCell ref="B84:D84"/>
    <mergeCell ref="B97:D97"/>
    <mergeCell ref="B98:D98"/>
    <mergeCell ref="B99:D99"/>
    <mergeCell ref="B100:D100"/>
    <mergeCell ref="B101:D101"/>
    <mergeCell ref="B102:D102"/>
    <mergeCell ref="B91:D91"/>
    <mergeCell ref="B92:D92"/>
    <mergeCell ref="B93:D93"/>
    <mergeCell ref="B94:D94"/>
    <mergeCell ref="B95:D95"/>
    <mergeCell ref="B96:D96"/>
    <mergeCell ref="L119:M119"/>
    <mergeCell ref="B109:D109"/>
    <mergeCell ref="B110:D110"/>
    <mergeCell ref="B111:D111"/>
    <mergeCell ref="B112:D112"/>
    <mergeCell ref="B113:D113"/>
    <mergeCell ref="B114:D114"/>
    <mergeCell ref="B103:D103"/>
    <mergeCell ref="B104:D104"/>
    <mergeCell ref="B105:D105"/>
    <mergeCell ref="B106:D106"/>
    <mergeCell ref="B107:D107"/>
    <mergeCell ref="B108:D108"/>
    <mergeCell ref="B120:D120"/>
    <mergeCell ref="B121:D121"/>
    <mergeCell ref="B122:D122"/>
    <mergeCell ref="B123:D123"/>
    <mergeCell ref="B124:D124"/>
    <mergeCell ref="B125:D125"/>
    <mergeCell ref="B115:D115"/>
    <mergeCell ref="B116:D116"/>
    <mergeCell ref="B117:D117"/>
    <mergeCell ref="B118:D118"/>
    <mergeCell ref="B119:D119"/>
    <mergeCell ref="B132:D132"/>
    <mergeCell ref="B133:D133"/>
    <mergeCell ref="B134:D134"/>
    <mergeCell ref="B135:D135"/>
    <mergeCell ref="B136:D136"/>
    <mergeCell ref="B137:D137"/>
    <mergeCell ref="B126:D126"/>
    <mergeCell ref="B127:D127"/>
    <mergeCell ref="B128:D128"/>
    <mergeCell ref="B129:D129"/>
    <mergeCell ref="B130:D130"/>
    <mergeCell ref="B131:D131"/>
    <mergeCell ref="L143:M143"/>
    <mergeCell ref="B144:D144"/>
    <mergeCell ref="B145:D145"/>
    <mergeCell ref="B146:D146"/>
    <mergeCell ref="B147:D147"/>
    <mergeCell ref="B148:D148"/>
    <mergeCell ref="B138:D138"/>
    <mergeCell ref="B139:D139"/>
    <mergeCell ref="B140:D140"/>
    <mergeCell ref="B141:D141"/>
    <mergeCell ref="B142:D142"/>
    <mergeCell ref="B143:D143"/>
    <mergeCell ref="B155:D155"/>
    <mergeCell ref="B156:D156"/>
    <mergeCell ref="B157:D157"/>
    <mergeCell ref="B158:D158"/>
    <mergeCell ref="B159:D159"/>
    <mergeCell ref="B160:D160"/>
    <mergeCell ref="B149:D149"/>
    <mergeCell ref="B150:D150"/>
    <mergeCell ref="B151:D151"/>
    <mergeCell ref="B152:D152"/>
    <mergeCell ref="B153:D153"/>
    <mergeCell ref="B154:D154"/>
    <mergeCell ref="B167:D167"/>
    <mergeCell ref="B168:D168"/>
    <mergeCell ref="B169:D169"/>
    <mergeCell ref="B170:D170"/>
    <mergeCell ref="B171:D171"/>
    <mergeCell ref="B172:D172"/>
    <mergeCell ref="B161:D161"/>
    <mergeCell ref="B162:D162"/>
    <mergeCell ref="B163:D163"/>
    <mergeCell ref="B164:D164"/>
    <mergeCell ref="B165:D165"/>
    <mergeCell ref="B166:D166"/>
    <mergeCell ref="B179:D179"/>
    <mergeCell ref="B180:D180"/>
    <mergeCell ref="B181:D181"/>
    <mergeCell ref="B182:D182"/>
    <mergeCell ref="B183:D183"/>
    <mergeCell ref="B184:D184"/>
    <mergeCell ref="B173:D173"/>
    <mergeCell ref="B174:D174"/>
    <mergeCell ref="B175:D175"/>
    <mergeCell ref="B176:D176"/>
    <mergeCell ref="B177:D177"/>
    <mergeCell ref="B178:D178"/>
    <mergeCell ref="B191:D191"/>
    <mergeCell ref="B192:D192"/>
    <mergeCell ref="B193:D193"/>
    <mergeCell ref="B194:D194"/>
    <mergeCell ref="B195:D195"/>
    <mergeCell ref="B196:D196"/>
    <mergeCell ref="B185:D185"/>
    <mergeCell ref="B186:D186"/>
    <mergeCell ref="B187:D187"/>
    <mergeCell ref="B188:D188"/>
    <mergeCell ref="B189:D189"/>
    <mergeCell ref="B190:D190"/>
    <mergeCell ref="B203:D203"/>
    <mergeCell ref="B204:D204"/>
    <mergeCell ref="B205:D205"/>
    <mergeCell ref="B206:D206"/>
    <mergeCell ref="B207:D207"/>
    <mergeCell ref="B208:D208"/>
    <mergeCell ref="B197:D197"/>
    <mergeCell ref="B198:D198"/>
    <mergeCell ref="B199:D199"/>
    <mergeCell ref="B200:D200"/>
    <mergeCell ref="B201:D201"/>
    <mergeCell ref="B202:D202"/>
    <mergeCell ref="B215:D215"/>
    <mergeCell ref="B216:D216"/>
    <mergeCell ref="B217:D217"/>
    <mergeCell ref="B218:D218"/>
    <mergeCell ref="B219:D219"/>
    <mergeCell ref="B220:D220"/>
    <mergeCell ref="B209:D209"/>
    <mergeCell ref="B210:D210"/>
    <mergeCell ref="B211:D211"/>
    <mergeCell ref="B212:D212"/>
    <mergeCell ref="B213:D213"/>
    <mergeCell ref="B214:D214"/>
    <mergeCell ref="B227:D227"/>
    <mergeCell ref="B228:D228"/>
    <mergeCell ref="B229:D229"/>
    <mergeCell ref="B230:D230"/>
    <mergeCell ref="L230:M230"/>
    <mergeCell ref="B231:D231"/>
    <mergeCell ref="B221:D221"/>
    <mergeCell ref="B222:D222"/>
    <mergeCell ref="B223:D223"/>
    <mergeCell ref="B224:D224"/>
    <mergeCell ref="B225:D225"/>
    <mergeCell ref="B226:D226"/>
    <mergeCell ref="B237:D237"/>
    <mergeCell ref="B238:D238"/>
    <mergeCell ref="B239:D239"/>
    <mergeCell ref="B240:D240"/>
    <mergeCell ref="B241:D241"/>
    <mergeCell ref="B242:D242"/>
    <mergeCell ref="B232:D232"/>
    <mergeCell ref="L232:M232"/>
    <mergeCell ref="B233:D233"/>
    <mergeCell ref="B234:D234"/>
    <mergeCell ref="B235:D235"/>
    <mergeCell ref="B236:D236"/>
    <mergeCell ref="B249:D249"/>
    <mergeCell ref="B250:D250"/>
    <mergeCell ref="B251:D251"/>
    <mergeCell ref="B252:D252"/>
    <mergeCell ref="B253:D253"/>
    <mergeCell ref="B254:D254"/>
    <mergeCell ref="B243:D243"/>
    <mergeCell ref="B244:D244"/>
    <mergeCell ref="B245:D245"/>
    <mergeCell ref="B246:D246"/>
    <mergeCell ref="B247:D247"/>
    <mergeCell ref="B248:D248"/>
    <mergeCell ref="B258:D258"/>
    <mergeCell ref="L258:M258"/>
    <mergeCell ref="B259:D259"/>
    <mergeCell ref="L259:M259"/>
    <mergeCell ref="B260:D260"/>
    <mergeCell ref="L260:M260"/>
    <mergeCell ref="L254:M254"/>
    <mergeCell ref="B255:D255"/>
    <mergeCell ref="L255:M255"/>
    <mergeCell ref="B256:D256"/>
    <mergeCell ref="L256:M256"/>
    <mergeCell ref="B257:D257"/>
    <mergeCell ref="L257:M257"/>
    <mergeCell ref="B264:D264"/>
    <mergeCell ref="L264:M264"/>
    <mergeCell ref="B265:D265"/>
    <mergeCell ref="B266:D266"/>
    <mergeCell ref="B267:D267"/>
    <mergeCell ref="B268:D268"/>
    <mergeCell ref="B261:D261"/>
    <mergeCell ref="L261:M261"/>
    <mergeCell ref="B262:D262"/>
    <mergeCell ref="L262:M262"/>
    <mergeCell ref="B263:D263"/>
    <mergeCell ref="L263:M263"/>
    <mergeCell ref="B275:D275"/>
    <mergeCell ref="B276:D276"/>
    <mergeCell ref="B277:D277"/>
    <mergeCell ref="B278:D278"/>
    <mergeCell ref="B279:D279"/>
    <mergeCell ref="B280:D280"/>
    <mergeCell ref="B269:D269"/>
    <mergeCell ref="B270:D270"/>
    <mergeCell ref="B271:D271"/>
    <mergeCell ref="B272:D272"/>
    <mergeCell ref="B273:D273"/>
    <mergeCell ref="B274:D274"/>
    <mergeCell ref="B287:D287"/>
    <mergeCell ref="B288:D288"/>
    <mergeCell ref="B289:D289"/>
    <mergeCell ref="B290:D290"/>
    <mergeCell ref="B291:D291"/>
    <mergeCell ref="B292:D292"/>
    <mergeCell ref="B281:D281"/>
    <mergeCell ref="B282:D282"/>
    <mergeCell ref="B283:D283"/>
    <mergeCell ref="B284:D284"/>
    <mergeCell ref="B285:D285"/>
    <mergeCell ref="B286:D286"/>
    <mergeCell ref="B293:D293"/>
    <mergeCell ref="B294:D294"/>
    <mergeCell ref="B295:D295"/>
    <mergeCell ref="B296:D296"/>
    <mergeCell ref="B299:D299"/>
    <mergeCell ref="B312:D312"/>
    <mergeCell ref="B313:D313"/>
    <mergeCell ref="B314:D314"/>
    <mergeCell ref="B306:D306"/>
    <mergeCell ref="B307:D307"/>
    <mergeCell ref="B308:D308"/>
    <mergeCell ref="B309:D309"/>
    <mergeCell ref="B310:D310"/>
    <mergeCell ref="B311:D311"/>
    <mergeCell ref="B298:D298"/>
    <mergeCell ref="B297:D297"/>
    <mergeCell ref="B301:D301"/>
    <mergeCell ref="B302:D302"/>
    <mergeCell ref="B303:D303"/>
    <mergeCell ref="B304:D304"/>
    <mergeCell ref="B305:D305"/>
    <mergeCell ref="B300:D300"/>
    <mergeCell ref="B341:D341"/>
    <mergeCell ref="B342:D342"/>
    <mergeCell ref="B343:D343"/>
    <mergeCell ref="B344:D344"/>
    <mergeCell ref="B345:D345"/>
    <mergeCell ref="B346:D346"/>
    <mergeCell ref="B322:D322"/>
    <mergeCell ref="B323:D323"/>
    <mergeCell ref="B335:D335"/>
    <mergeCell ref="B336:D336"/>
    <mergeCell ref="B337:D337"/>
    <mergeCell ref="B338:D338"/>
    <mergeCell ref="B339:D339"/>
    <mergeCell ref="B340:D340"/>
    <mergeCell ref="B330:D330"/>
    <mergeCell ref="B331:D331"/>
    <mergeCell ref="B332:D332"/>
    <mergeCell ref="B333:D333"/>
    <mergeCell ref="B334:D334"/>
    <mergeCell ref="B353:D353"/>
    <mergeCell ref="L353:M353"/>
    <mergeCell ref="B354:D354"/>
    <mergeCell ref="L354:M354"/>
    <mergeCell ref="B355:D355"/>
    <mergeCell ref="L355:M355"/>
    <mergeCell ref="B347:D347"/>
    <mergeCell ref="B348:D348"/>
    <mergeCell ref="B349:D349"/>
    <mergeCell ref="B350:D350"/>
    <mergeCell ref="B351:D351"/>
    <mergeCell ref="B352:D352"/>
    <mergeCell ref="B361:D361"/>
    <mergeCell ref="B362:D362"/>
    <mergeCell ref="B363:D363"/>
    <mergeCell ref="B364:D364"/>
    <mergeCell ref="B365:D365"/>
    <mergeCell ref="B366:D366"/>
    <mergeCell ref="B356:D356"/>
    <mergeCell ref="L356:M356"/>
    <mergeCell ref="B357:D357"/>
    <mergeCell ref="B358:D358"/>
    <mergeCell ref="B359:D359"/>
    <mergeCell ref="B360:D360"/>
    <mergeCell ref="B385:D385"/>
    <mergeCell ref="B386:D386"/>
    <mergeCell ref="B387:D387"/>
    <mergeCell ref="B388:D388"/>
    <mergeCell ref="B367:D367"/>
    <mergeCell ref="B373:D373"/>
    <mergeCell ref="B374:D374"/>
    <mergeCell ref="B375:D375"/>
    <mergeCell ref="B376:D376"/>
    <mergeCell ref="B377:D377"/>
    <mergeCell ref="A432:A435"/>
    <mergeCell ref="J432:J434"/>
    <mergeCell ref="K432:K434"/>
    <mergeCell ref="L400:M400"/>
    <mergeCell ref="L402:M402"/>
    <mergeCell ref="B430:E430"/>
    <mergeCell ref="L404:L407"/>
    <mergeCell ref="M404:M407"/>
    <mergeCell ref="B423:E423"/>
    <mergeCell ref="B424:E424"/>
    <mergeCell ref="B425:E425"/>
    <mergeCell ref="B417:D417"/>
    <mergeCell ref="B418:D418"/>
    <mergeCell ref="B419:D419"/>
    <mergeCell ref="B420:D420"/>
    <mergeCell ref="B435:E435"/>
    <mergeCell ref="B433:E433"/>
    <mergeCell ref="B429:E429"/>
    <mergeCell ref="B432:E432"/>
    <mergeCell ref="B434:E434"/>
    <mergeCell ref="B421:D421"/>
    <mergeCell ref="B410:D410"/>
    <mergeCell ref="B411:D411"/>
    <mergeCell ref="B412:D412"/>
  </mergeCells>
  <printOptions horizontalCentered="1"/>
  <pageMargins left="0.25" right="0.25" top="0.3" bottom="0.25" header="0" footer="0"/>
  <pageSetup paperSize="9" scale="79" fitToHeight="0" orientation="portrait" horizontalDpi="300" verticalDpi="300" r:id="rId1"/>
  <headerFooter alignWithMargins="0">
    <oddHeader>&amp;L&amp;"Calibri"&amp;9&amp;K000000Classification: Internal&amp;1#</oddHeader>
    <oddFooter>Page &amp;p</oddFooter>
  </headerFooter>
  <ignoredErrors>
    <ignoredError sqref="G43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1:AK399"/>
  <sheetViews>
    <sheetView showGridLines="0" topLeftCell="A43" zoomScale="110" zoomScaleNormal="110" zoomScaleSheetLayoutView="110" workbookViewId="0">
      <selection activeCell="AH41" sqref="AH41"/>
    </sheetView>
  </sheetViews>
  <sheetFormatPr defaultColWidth="9.1796875" defaultRowHeight="10"/>
  <cols>
    <col min="1" max="1" width="2.7265625" style="43" customWidth="1"/>
    <col min="2" max="2" width="1.453125" style="43" customWidth="1"/>
    <col min="3" max="3" width="8.81640625" style="43" customWidth="1"/>
    <col min="4" max="4" width="10.81640625" style="44" customWidth="1"/>
    <col min="5" max="5" width="1.81640625" style="43" customWidth="1"/>
    <col min="6" max="7" width="2.1796875" style="43" customWidth="1"/>
    <col min="8" max="9" width="0.54296875" style="43" customWidth="1"/>
    <col min="10" max="10" width="7.1796875" style="44" customWidth="1"/>
    <col min="11" max="12" width="0.54296875" style="43" customWidth="1"/>
    <col min="13" max="14" width="2.1796875" style="43" customWidth="1"/>
    <col min="15" max="15" width="1.81640625" style="45" customWidth="1"/>
    <col min="16" max="16" width="5.453125" style="43" customWidth="1"/>
    <col min="17" max="17" width="6.453125" style="44" customWidth="1"/>
    <col min="18" max="18" width="5.453125" style="43" customWidth="1"/>
    <col min="19" max="19" width="1.81640625" style="43" customWidth="1"/>
    <col min="20" max="21" width="2.1796875" style="43" customWidth="1"/>
    <col min="22" max="23" width="0.54296875" style="43" customWidth="1"/>
    <col min="24" max="24" width="7.1796875" style="44" customWidth="1"/>
    <col min="25" max="26" width="0.54296875" style="43" customWidth="1"/>
    <col min="27" max="28" width="2.1796875" style="43" customWidth="1"/>
    <col min="29" max="29" width="1.81640625" style="45" customWidth="1"/>
    <col min="30" max="30" width="9.1796875" style="43"/>
    <col min="31" max="31" width="8.453125" style="44" customWidth="1"/>
    <col min="32" max="32" width="9.81640625" style="43" customWidth="1"/>
    <col min="33" max="34" width="10.1796875" style="43" customWidth="1"/>
    <col min="35" max="35" width="8.81640625" style="43" customWidth="1"/>
    <col min="36" max="36" width="1.453125" style="43" customWidth="1"/>
    <col min="37" max="256" width="9.1796875" style="43"/>
    <col min="257" max="257" width="1.453125" style="43" customWidth="1"/>
    <col min="258" max="258" width="8.81640625" style="43" customWidth="1"/>
    <col min="259" max="259" width="10.81640625" style="43" customWidth="1"/>
    <col min="260" max="260" width="1.81640625" style="43" customWidth="1"/>
    <col min="261" max="262" width="2.1796875" style="43" customWidth="1"/>
    <col min="263" max="264" width="0.54296875" style="43" customWidth="1"/>
    <col min="265" max="265" width="7.1796875" style="43" customWidth="1"/>
    <col min="266" max="267" width="0.54296875" style="43" customWidth="1"/>
    <col min="268" max="269" width="2.1796875" style="43" customWidth="1"/>
    <col min="270" max="270" width="1.81640625" style="43" customWidth="1"/>
    <col min="271" max="271" width="5.453125" style="43" customWidth="1"/>
    <col min="272" max="272" width="6.453125" style="43" customWidth="1"/>
    <col min="273" max="273" width="5.453125" style="43" customWidth="1"/>
    <col min="274" max="274" width="1.81640625" style="43" customWidth="1"/>
    <col min="275" max="276" width="2.1796875" style="43" customWidth="1"/>
    <col min="277" max="278" width="0.54296875" style="43" customWidth="1"/>
    <col min="279" max="279" width="7.1796875" style="43" customWidth="1"/>
    <col min="280" max="281" width="0.54296875" style="43" customWidth="1"/>
    <col min="282" max="283" width="2.1796875" style="43" customWidth="1"/>
    <col min="284" max="284" width="1.81640625" style="43" customWidth="1"/>
    <col min="285" max="285" width="9.1796875" style="43"/>
    <col min="286" max="286" width="8.453125" style="43" customWidth="1"/>
    <col min="287" max="287" width="9.81640625" style="43" customWidth="1"/>
    <col min="288" max="289" width="10.1796875" style="43" customWidth="1"/>
    <col min="290" max="290" width="8.81640625" style="43" customWidth="1"/>
    <col min="291" max="291" width="1.453125" style="43" customWidth="1"/>
    <col min="292" max="512" width="9.1796875" style="43"/>
    <col min="513" max="513" width="1.453125" style="43" customWidth="1"/>
    <col min="514" max="514" width="8.81640625" style="43" customWidth="1"/>
    <col min="515" max="515" width="10.81640625" style="43" customWidth="1"/>
    <col min="516" max="516" width="1.81640625" style="43" customWidth="1"/>
    <col min="517" max="518" width="2.1796875" style="43" customWidth="1"/>
    <col min="519" max="520" width="0.54296875" style="43" customWidth="1"/>
    <col min="521" max="521" width="7.1796875" style="43" customWidth="1"/>
    <col min="522" max="523" width="0.54296875" style="43" customWidth="1"/>
    <col min="524" max="525" width="2.1796875" style="43" customWidth="1"/>
    <col min="526" max="526" width="1.81640625" style="43" customWidth="1"/>
    <col min="527" max="527" width="5.453125" style="43" customWidth="1"/>
    <col min="528" max="528" width="6.453125" style="43" customWidth="1"/>
    <col min="529" max="529" width="5.453125" style="43" customWidth="1"/>
    <col min="530" max="530" width="1.81640625" style="43" customWidth="1"/>
    <col min="531" max="532" width="2.1796875" style="43" customWidth="1"/>
    <col min="533" max="534" width="0.54296875" style="43" customWidth="1"/>
    <col min="535" max="535" width="7.1796875" style="43" customWidth="1"/>
    <col min="536" max="537" width="0.54296875" style="43" customWidth="1"/>
    <col min="538" max="539" width="2.1796875" style="43" customWidth="1"/>
    <col min="540" max="540" width="1.81640625" style="43" customWidth="1"/>
    <col min="541" max="541" width="9.1796875" style="43"/>
    <col min="542" max="542" width="8.453125" style="43" customWidth="1"/>
    <col min="543" max="543" width="9.81640625" style="43" customWidth="1"/>
    <col min="544" max="545" width="10.1796875" style="43" customWidth="1"/>
    <col min="546" max="546" width="8.81640625" style="43" customWidth="1"/>
    <col min="547" max="547" width="1.453125" style="43" customWidth="1"/>
    <col min="548" max="768" width="9.1796875" style="43"/>
    <col min="769" max="769" width="1.453125" style="43" customWidth="1"/>
    <col min="770" max="770" width="8.81640625" style="43" customWidth="1"/>
    <col min="771" max="771" width="10.81640625" style="43" customWidth="1"/>
    <col min="772" max="772" width="1.81640625" style="43" customWidth="1"/>
    <col min="773" max="774" width="2.1796875" style="43" customWidth="1"/>
    <col min="775" max="776" width="0.54296875" style="43" customWidth="1"/>
    <col min="777" max="777" width="7.1796875" style="43" customWidth="1"/>
    <col min="778" max="779" width="0.54296875" style="43" customWidth="1"/>
    <col min="780" max="781" width="2.1796875" style="43" customWidth="1"/>
    <col min="782" max="782" width="1.81640625" style="43" customWidth="1"/>
    <col min="783" max="783" width="5.453125" style="43" customWidth="1"/>
    <col min="784" max="784" width="6.453125" style="43" customWidth="1"/>
    <col min="785" max="785" width="5.453125" style="43" customWidth="1"/>
    <col min="786" max="786" width="1.81640625" style="43" customWidth="1"/>
    <col min="787" max="788" width="2.1796875" style="43" customWidth="1"/>
    <col min="789" max="790" width="0.54296875" style="43" customWidth="1"/>
    <col min="791" max="791" width="7.1796875" style="43" customWidth="1"/>
    <col min="792" max="793" width="0.54296875" style="43" customWidth="1"/>
    <col min="794" max="795" width="2.1796875" style="43" customWidth="1"/>
    <col min="796" max="796" width="1.81640625" style="43" customWidth="1"/>
    <col min="797" max="797" width="9.1796875" style="43"/>
    <col min="798" max="798" width="8.453125" style="43" customWidth="1"/>
    <col min="799" max="799" width="9.81640625" style="43" customWidth="1"/>
    <col min="800" max="801" width="10.1796875" style="43" customWidth="1"/>
    <col min="802" max="802" width="8.81640625" style="43" customWidth="1"/>
    <col min="803" max="803" width="1.453125" style="43" customWidth="1"/>
    <col min="804" max="1024" width="9.1796875" style="43"/>
    <col min="1025" max="1025" width="1.453125" style="43" customWidth="1"/>
    <col min="1026" max="1026" width="8.81640625" style="43" customWidth="1"/>
    <col min="1027" max="1027" width="10.81640625" style="43" customWidth="1"/>
    <col min="1028" max="1028" width="1.81640625" style="43" customWidth="1"/>
    <col min="1029" max="1030" width="2.1796875" style="43" customWidth="1"/>
    <col min="1031" max="1032" width="0.54296875" style="43" customWidth="1"/>
    <col min="1033" max="1033" width="7.1796875" style="43" customWidth="1"/>
    <col min="1034" max="1035" width="0.54296875" style="43" customWidth="1"/>
    <col min="1036" max="1037" width="2.1796875" style="43" customWidth="1"/>
    <col min="1038" max="1038" width="1.81640625" style="43" customWidth="1"/>
    <col min="1039" max="1039" width="5.453125" style="43" customWidth="1"/>
    <col min="1040" max="1040" width="6.453125" style="43" customWidth="1"/>
    <col min="1041" max="1041" width="5.453125" style="43" customWidth="1"/>
    <col min="1042" max="1042" width="1.81640625" style="43" customWidth="1"/>
    <col min="1043" max="1044" width="2.1796875" style="43" customWidth="1"/>
    <col min="1045" max="1046" width="0.54296875" style="43" customWidth="1"/>
    <col min="1047" max="1047" width="7.1796875" style="43" customWidth="1"/>
    <col min="1048" max="1049" width="0.54296875" style="43" customWidth="1"/>
    <col min="1050" max="1051" width="2.1796875" style="43" customWidth="1"/>
    <col min="1052" max="1052" width="1.81640625" style="43" customWidth="1"/>
    <col min="1053" max="1053" width="9.1796875" style="43"/>
    <col min="1054" max="1054" width="8.453125" style="43" customWidth="1"/>
    <col min="1055" max="1055" width="9.81640625" style="43" customWidth="1"/>
    <col min="1056" max="1057" width="10.1796875" style="43" customWidth="1"/>
    <col min="1058" max="1058" width="8.81640625" style="43" customWidth="1"/>
    <col min="1059" max="1059" width="1.453125" style="43" customWidth="1"/>
    <col min="1060" max="1280" width="9.1796875" style="43"/>
    <col min="1281" max="1281" width="1.453125" style="43" customWidth="1"/>
    <col min="1282" max="1282" width="8.81640625" style="43" customWidth="1"/>
    <col min="1283" max="1283" width="10.81640625" style="43" customWidth="1"/>
    <col min="1284" max="1284" width="1.81640625" style="43" customWidth="1"/>
    <col min="1285" max="1286" width="2.1796875" style="43" customWidth="1"/>
    <col min="1287" max="1288" width="0.54296875" style="43" customWidth="1"/>
    <col min="1289" max="1289" width="7.1796875" style="43" customWidth="1"/>
    <col min="1290" max="1291" width="0.54296875" style="43" customWidth="1"/>
    <col min="1292" max="1293" width="2.1796875" style="43" customWidth="1"/>
    <col min="1294" max="1294" width="1.81640625" style="43" customWidth="1"/>
    <col min="1295" max="1295" width="5.453125" style="43" customWidth="1"/>
    <col min="1296" max="1296" width="6.453125" style="43" customWidth="1"/>
    <col min="1297" max="1297" width="5.453125" style="43" customWidth="1"/>
    <col min="1298" max="1298" width="1.81640625" style="43" customWidth="1"/>
    <col min="1299" max="1300" width="2.1796875" style="43" customWidth="1"/>
    <col min="1301" max="1302" width="0.54296875" style="43" customWidth="1"/>
    <col min="1303" max="1303" width="7.1796875" style="43" customWidth="1"/>
    <col min="1304" max="1305" width="0.54296875" style="43" customWidth="1"/>
    <col min="1306" max="1307" width="2.1796875" style="43" customWidth="1"/>
    <col min="1308" max="1308" width="1.81640625" style="43" customWidth="1"/>
    <col min="1309" max="1309" width="9.1796875" style="43"/>
    <col min="1310" max="1310" width="8.453125" style="43" customWidth="1"/>
    <col min="1311" max="1311" width="9.81640625" style="43" customWidth="1"/>
    <col min="1312" max="1313" width="10.1796875" style="43" customWidth="1"/>
    <col min="1314" max="1314" width="8.81640625" style="43" customWidth="1"/>
    <col min="1315" max="1315" width="1.453125" style="43" customWidth="1"/>
    <col min="1316" max="1536" width="9.1796875" style="43"/>
    <col min="1537" max="1537" width="1.453125" style="43" customWidth="1"/>
    <col min="1538" max="1538" width="8.81640625" style="43" customWidth="1"/>
    <col min="1539" max="1539" width="10.81640625" style="43" customWidth="1"/>
    <col min="1540" max="1540" width="1.81640625" style="43" customWidth="1"/>
    <col min="1541" max="1542" width="2.1796875" style="43" customWidth="1"/>
    <col min="1543" max="1544" width="0.54296875" style="43" customWidth="1"/>
    <col min="1545" max="1545" width="7.1796875" style="43" customWidth="1"/>
    <col min="1546" max="1547" width="0.54296875" style="43" customWidth="1"/>
    <col min="1548" max="1549" width="2.1796875" style="43" customWidth="1"/>
    <col min="1550" max="1550" width="1.81640625" style="43" customWidth="1"/>
    <col min="1551" max="1551" width="5.453125" style="43" customWidth="1"/>
    <col min="1552" max="1552" width="6.453125" style="43" customWidth="1"/>
    <col min="1553" max="1553" width="5.453125" style="43" customWidth="1"/>
    <col min="1554" max="1554" width="1.81640625" style="43" customWidth="1"/>
    <col min="1555" max="1556" width="2.1796875" style="43" customWidth="1"/>
    <col min="1557" max="1558" width="0.54296875" style="43" customWidth="1"/>
    <col min="1559" max="1559" width="7.1796875" style="43" customWidth="1"/>
    <col min="1560" max="1561" width="0.54296875" style="43" customWidth="1"/>
    <col min="1562" max="1563" width="2.1796875" style="43" customWidth="1"/>
    <col min="1564" max="1564" width="1.81640625" style="43" customWidth="1"/>
    <col min="1565" max="1565" width="9.1796875" style="43"/>
    <col min="1566" max="1566" width="8.453125" style="43" customWidth="1"/>
    <col min="1567" max="1567" width="9.81640625" style="43" customWidth="1"/>
    <col min="1568" max="1569" width="10.1796875" style="43" customWidth="1"/>
    <col min="1570" max="1570" width="8.81640625" style="43" customWidth="1"/>
    <col min="1571" max="1571" width="1.453125" style="43" customWidth="1"/>
    <col min="1572" max="1792" width="9.1796875" style="43"/>
    <col min="1793" max="1793" width="1.453125" style="43" customWidth="1"/>
    <col min="1794" max="1794" width="8.81640625" style="43" customWidth="1"/>
    <col min="1795" max="1795" width="10.81640625" style="43" customWidth="1"/>
    <col min="1796" max="1796" width="1.81640625" style="43" customWidth="1"/>
    <col min="1797" max="1798" width="2.1796875" style="43" customWidth="1"/>
    <col min="1799" max="1800" width="0.54296875" style="43" customWidth="1"/>
    <col min="1801" max="1801" width="7.1796875" style="43" customWidth="1"/>
    <col min="1802" max="1803" width="0.54296875" style="43" customWidth="1"/>
    <col min="1804" max="1805" width="2.1796875" style="43" customWidth="1"/>
    <col min="1806" max="1806" width="1.81640625" style="43" customWidth="1"/>
    <col min="1807" max="1807" width="5.453125" style="43" customWidth="1"/>
    <col min="1808" max="1808" width="6.453125" style="43" customWidth="1"/>
    <col min="1809" max="1809" width="5.453125" style="43" customWidth="1"/>
    <col min="1810" max="1810" width="1.81640625" style="43" customWidth="1"/>
    <col min="1811" max="1812" width="2.1796875" style="43" customWidth="1"/>
    <col min="1813" max="1814" width="0.54296875" style="43" customWidth="1"/>
    <col min="1815" max="1815" width="7.1796875" style="43" customWidth="1"/>
    <col min="1816" max="1817" width="0.54296875" style="43" customWidth="1"/>
    <col min="1818" max="1819" width="2.1796875" style="43" customWidth="1"/>
    <col min="1820" max="1820" width="1.81640625" style="43" customWidth="1"/>
    <col min="1821" max="1821" width="9.1796875" style="43"/>
    <col min="1822" max="1822" width="8.453125" style="43" customWidth="1"/>
    <col min="1823" max="1823" width="9.81640625" style="43" customWidth="1"/>
    <col min="1824" max="1825" width="10.1796875" style="43" customWidth="1"/>
    <col min="1826" max="1826" width="8.81640625" style="43" customWidth="1"/>
    <col min="1827" max="1827" width="1.453125" style="43" customWidth="1"/>
    <col min="1828" max="2048" width="9.1796875" style="43"/>
    <col min="2049" max="2049" width="1.453125" style="43" customWidth="1"/>
    <col min="2050" max="2050" width="8.81640625" style="43" customWidth="1"/>
    <col min="2051" max="2051" width="10.81640625" style="43" customWidth="1"/>
    <col min="2052" max="2052" width="1.81640625" style="43" customWidth="1"/>
    <col min="2053" max="2054" width="2.1796875" style="43" customWidth="1"/>
    <col min="2055" max="2056" width="0.54296875" style="43" customWidth="1"/>
    <col min="2057" max="2057" width="7.1796875" style="43" customWidth="1"/>
    <col min="2058" max="2059" width="0.54296875" style="43" customWidth="1"/>
    <col min="2060" max="2061" width="2.1796875" style="43" customWidth="1"/>
    <col min="2062" max="2062" width="1.81640625" style="43" customWidth="1"/>
    <col min="2063" max="2063" width="5.453125" style="43" customWidth="1"/>
    <col min="2064" max="2064" width="6.453125" style="43" customWidth="1"/>
    <col min="2065" max="2065" width="5.453125" style="43" customWidth="1"/>
    <col min="2066" max="2066" width="1.81640625" style="43" customWidth="1"/>
    <col min="2067" max="2068" width="2.1796875" style="43" customWidth="1"/>
    <col min="2069" max="2070" width="0.54296875" style="43" customWidth="1"/>
    <col min="2071" max="2071" width="7.1796875" style="43" customWidth="1"/>
    <col min="2072" max="2073" width="0.54296875" style="43" customWidth="1"/>
    <col min="2074" max="2075" width="2.1796875" style="43" customWidth="1"/>
    <col min="2076" max="2076" width="1.81640625" style="43" customWidth="1"/>
    <col min="2077" max="2077" width="9.1796875" style="43"/>
    <col min="2078" max="2078" width="8.453125" style="43" customWidth="1"/>
    <col min="2079" max="2079" width="9.81640625" style="43" customWidth="1"/>
    <col min="2080" max="2081" width="10.1796875" style="43" customWidth="1"/>
    <col min="2082" max="2082" width="8.81640625" style="43" customWidth="1"/>
    <col min="2083" max="2083" width="1.453125" style="43" customWidth="1"/>
    <col min="2084" max="2304" width="9.1796875" style="43"/>
    <col min="2305" max="2305" width="1.453125" style="43" customWidth="1"/>
    <col min="2306" max="2306" width="8.81640625" style="43" customWidth="1"/>
    <col min="2307" max="2307" width="10.81640625" style="43" customWidth="1"/>
    <col min="2308" max="2308" width="1.81640625" style="43" customWidth="1"/>
    <col min="2309" max="2310" width="2.1796875" style="43" customWidth="1"/>
    <col min="2311" max="2312" width="0.54296875" style="43" customWidth="1"/>
    <col min="2313" max="2313" width="7.1796875" style="43" customWidth="1"/>
    <col min="2314" max="2315" width="0.54296875" style="43" customWidth="1"/>
    <col min="2316" max="2317" width="2.1796875" style="43" customWidth="1"/>
    <col min="2318" max="2318" width="1.81640625" style="43" customWidth="1"/>
    <col min="2319" max="2319" width="5.453125" style="43" customWidth="1"/>
    <col min="2320" max="2320" width="6.453125" style="43" customWidth="1"/>
    <col min="2321" max="2321" width="5.453125" style="43" customWidth="1"/>
    <col min="2322" max="2322" width="1.81640625" style="43" customWidth="1"/>
    <col min="2323" max="2324" width="2.1796875" style="43" customWidth="1"/>
    <col min="2325" max="2326" width="0.54296875" style="43" customWidth="1"/>
    <col min="2327" max="2327" width="7.1796875" style="43" customWidth="1"/>
    <col min="2328" max="2329" width="0.54296875" style="43" customWidth="1"/>
    <col min="2330" max="2331" width="2.1796875" style="43" customWidth="1"/>
    <col min="2332" max="2332" width="1.81640625" style="43" customWidth="1"/>
    <col min="2333" max="2333" width="9.1796875" style="43"/>
    <col min="2334" max="2334" width="8.453125" style="43" customWidth="1"/>
    <col min="2335" max="2335" width="9.81640625" style="43" customWidth="1"/>
    <col min="2336" max="2337" width="10.1796875" style="43" customWidth="1"/>
    <col min="2338" max="2338" width="8.81640625" style="43" customWidth="1"/>
    <col min="2339" max="2339" width="1.453125" style="43" customWidth="1"/>
    <col min="2340" max="2560" width="9.1796875" style="43"/>
    <col min="2561" max="2561" width="1.453125" style="43" customWidth="1"/>
    <col min="2562" max="2562" width="8.81640625" style="43" customWidth="1"/>
    <col min="2563" max="2563" width="10.81640625" style="43" customWidth="1"/>
    <col min="2564" max="2564" width="1.81640625" style="43" customWidth="1"/>
    <col min="2565" max="2566" width="2.1796875" style="43" customWidth="1"/>
    <col min="2567" max="2568" width="0.54296875" style="43" customWidth="1"/>
    <col min="2569" max="2569" width="7.1796875" style="43" customWidth="1"/>
    <col min="2570" max="2571" width="0.54296875" style="43" customWidth="1"/>
    <col min="2572" max="2573" width="2.1796875" style="43" customWidth="1"/>
    <col min="2574" max="2574" width="1.81640625" style="43" customWidth="1"/>
    <col min="2575" max="2575" width="5.453125" style="43" customWidth="1"/>
    <col min="2576" max="2576" width="6.453125" style="43" customWidth="1"/>
    <col min="2577" max="2577" width="5.453125" style="43" customWidth="1"/>
    <col min="2578" max="2578" width="1.81640625" style="43" customWidth="1"/>
    <col min="2579" max="2580" width="2.1796875" style="43" customWidth="1"/>
    <col min="2581" max="2582" width="0.54296875" style="43" customWidth="1"/>
    <col min="2583" max="2583" width="7.1796875" style="43" customWidth="1"/>
    <col min="2584" max="2585" width="0.54296875" style="43" customWidth="1"/>
    <col min="2586" max="2587" width="2.1796875" style="43" customWidth="1"/>
    <col min="2588" max="2588" width="1.81640625" style="43" customWidth="1"/>
    <col min="2589" max="2589" width="9.1796875" style="43"/>
    <col min="2590" max="2590" width="8.453125" style="43" customWidth="1"/>
    <col min="2591" max="2591" width="9.81640625" style="43" customWidth="1"/>
    <col min="2592" max="2593" width="10.1796875" style="43" customWidth="1"/>
    <col min="2594" max="2594" width="8.81640625" style="43" customWidth="1"/>
    <col min="2595" max="2595" width="1.453125" style="43" customWidth="1"/>
    <col min="2596" max="2816" width="9.1796875" style="43"/>
    <col min="2817" max="2817" width="1.453125" style="43" customWidth="1"/>
    <col min="2818" max="2818" width="8.81640625" style="43" customWidth="1"/>
    <col min="2819" max="2819" width="10.81640625" style="43" customWidth="1"/>
    <col min="2820" max="2820" width="1.81640625" style="43" customWidth="1"/>
    <col min="2821" max="2822" width="2.1796875" style="43" customWidth="1"/>
    <col min="2823" max="2824" width="0.54296875" style="43" customWidth="1"/>
    <col min="2825" max="2825" width="7.1796875" style="43" customWidth="1"/>
    <col min="2826" max="2827" width="0.54296875" style="43" customWidth="1"/>
    <col min="2828" max="2829" width="2.1796875" style="43" customWidth="1"/>
    <col min="2830" max="2830" width="1.81640625" style="43" customWidth="1"/>
    <col min="2831" max="2831" width="5.453125" style="43" customWidth="1"/>
    <col min="2832" max="2832" width="6.453125" style="43" customWidth="1"/>
    <col min="2833" max="2833" width="5.453125" style="43" customWidth="1"/>
    <col min="2834" max="2834" width="1.81640625" style="43" customWidth="1"/>
    <col min="2835" max="2836" width="2.1796875" style="43" customWidth="1"/>
    <col min="2837" max="2838" width="0.54296875" style="43" customWidth="1"/>
    <col min="2839" max="2839" width="7.1796875" style="43" customWidth="1"/>
    <col min="2840" max="2841" width="0.54296875" style="43" customWidth="1"/>
    <col min="2842" max="2843" width="2.1796875" style="43" customWidth="1"/>
    <col min="2844" max="2844" width="1.81640625" style="43" customWidth="1"/>
    <col min="2845" max="2845" width="9.1796875" style="43"/>
    <col min="2846" max="2846" width="8.453125" style="43" customWidth="1"/>
    <col min="2847" max="2847" width="9.81640625" style="43" customWidth="1"/>
    <col min="2848" max="2849" width="10.1796875" style="43" customWidth="1"/>
    <col min="2850" max="2850" width="8.81640625" style="43" customWidth="1"/>
    <col min="2851" max="2851" width="1.453125" style="43" customWidth="1"/>
    <col min="2852" max="3072" width="9.1796875" style="43"/>
    <col min="3073" max="3073" width="1.453125" style="43" customWidth="1"/>
    <col min="3074" max="3074" width="8.81640625" style="43" customWidth="1"/>
    <col min="3075" max="3075" width="10.81640625" style="43" customWidth="1"/>
    <col min="3076" max="3076" width="1.81640625" style="43" customWidth="1"/>
    <col min="3077" max="3078" width="2.1796875" style="43" customWidth="1"/>
    <col min="3079" max="3080" width="0.54296875" style="43" customWidth="1"/>
    <col min="3081" max="3081" width="7.1796875" style="43" customWidth="1"/>
    <col min="3082" max="3083" width="0.54296875" style="43" customWidth="1"/>
    <col min="3084" max="3085" width="2.1796875" style="43" customWidth="1"/>
    <col min="3086" max="3086" width="1.81640625" style="43" customWidth="1"/>
    <col min="3087" max="3087" width="5.453125" style="43" customWidth="1"/>
    <col min="3088" max="3088" width="6.453125" style="43" customWidth="1"/>
    <col min="3089" max="3089" width="5.453125" style="43" customWidth="1"/>
    <col min="3090" max="3090" width="1.81640625" style="43" customWidth="1"/>
    <col min="3091" max="3092" width="2.1796875" style="43" customWidth="1"/>
    <col min="3093" max="3094" width="0.54296875" style="43" customWidth="1"/>
    <col min="3095" max="3095" width="7.1796875" style="43" customWidth="1"/>
    <col min="3096" max="3097" width="0.54296875" style="43" customWidth="1"/>
    <col min="3098" max="3099" width="2.1796875" style="43" customWidth="1"/>
    <col min="3100" max="3100" width="1.81640625" style="43" customWidth="1"/>
    <col min="3101" max="3101" width="9.1796875" style="43"/>
    <col min="3102" max="3102" width="8.453125" style="43" customWidth="1"/>
    <col min="3103" max="3103" width="9.81640625" style="43" customWidth="1"/>
    <col min="3104" max="3105" width="10.1796875" style="43" customWidth="1"/>
    <col min="3106" max="3106" width="8.81640625" style="43" customWidth="1"/>
    <col min="3107" max="3107" width="1.453125" style="43" customWidth="1"/>
    <col min="3108" max="3328" width="9.1796875" style="43"/>
    <col min="3329" max="3329" width="1.453125" style="43" customWidth="1"/>
    <col min="3330" max="3330" width="8.81640625" style="43" customWidth="1"/>
    <col min="3331" max="3331" width="10.81640625" style="43" customWidth="1"/>
    <col min="3332" max="3332" width="1.81640625" style="43" customWidth="1"/>
    <col min="3333" max="3334" width="2.1796875" style="43" customWidth="1"/>
    <col min="3335" max="3336" width="0.54296875" style="43" customWidth="1"/>
    <col min="3337" max="3337" width="7.1796875" style="43" customWidth="1"/>
    <col min="3338" max="3339" width="0.54296875" style="43" customWidth="1"/>
    <col min="3340" max="3341" width="2.1796875" style="43" customWidth="1"/>
    <col min="3342" max="3342" width="1.81640625" style="43" customWidth="1"/>
    <col min="3343" max="3343" width="5.453125" style="43" customWidth="1"/>
    <col min="3344" max="3344" width="6.453125" style="43" customWidth="1"/>
    <col min="3345" max="3345" width="5.453125" style="43" customWidth="1"/>
    <col min="3346" max="3346" width="1.81640625" style="43" customWidth="1"/>
    <col min="3347" max="3348" width="2.1796875" style="43" customWidth="1"/>
    <col min="3349" max="3350" width="0.54296875" style="43" customWidth="1"/>
    <col min="3351" max="3351" width="7.1796875" style="43" customWidth="1"/>
    <col min="3352" max="3353" width="0.54296875" style="43" customWidth="1"/>
    <col min="3354" max="3355" width="2.1796875" style="43" customWidth="1"/>
    <col min="3356" max="3356" width="1.81640625" style="43" customWidth="1"/>
    <col min="3357" max="3357" width="9.1796875" style="43"/>
    <col min="3358" max="3358" width="8.453125" style="43" customWidth="1"/>
    <col min="3359" max="3359" width="9.81640625" style="43" customWidth="1"/>
    <col min="3360" max="3361" width="10.1796875" style="43" customWidth="1"/>
    <col min="3362" max="3362" width="8.81640625" style="43" customWidth="1"/>
    <col min="3363" max="3363" width="1.453125" style="43" customWidth="1"/>
    <col min="3364" max="3584" width="9.1796875" style="43"/>
    <col min="3585" max="3585" width="1.453125" style="43" customWidth="1"/>
    <col min="3586" max="3586" width="8.81640625" style="43" customWidth="1"/>
    <col min="3587" max="3587" width="10.81640625" style="43" customWidth="1"/>
    <col min="3588" max="3588" width="1.81640625" style="43" customWidth="1"/>
    <col min="3589" max="3590" width="2.1796875" style="43" customWidth="1"/>
    <col min="3591" max="3592" width="0.54296875" style="43" customWidth="1"/>
    <col min="3593" max="3593" width="7.1796875" style="43" customWidth="1"/>
    <col min="3594" max="3595" width="0.54296875" style="43" customWidth="1"/>
    <col min="3596" max="3597" width="2.1796875" style="43" customWidth="1"/>
    <col min="3598" max="3598" width="1.81640625" style="43" customWidth="1"/>
    <col min="3599" max="3599" width="5.453125" style="43" customWidth="1"/>
    <col min="3600" max="3600" width="6.453125" style="43" customWidth="1"/>
    <col min="3601" max="3601" width="5.453125" style="43" customWidth="1"/>
    <col min="3602" max="3602" width="1.81640625" style="43" customWidth="1"/>
    <col min="3603" max="3604" width="2.1796875" style="43" customWidth="1"/>
    <col min="3605" max="3606" width="0.54296875" style="43" customWidth="1"/>
    <col min="3607" max="3607" width="7.1796875" style="43" customWidth="1"/>
    <col min="3608" max="3609" width="0.54296875" style="43" customWidth="1"/>
    <col min="3610" max="3611" width="2.1796875" style="43" customWidth="1"/>
    <col min="3612" max="3612" width="1.81640625" style="43" customWidth="1"/>
    <col min="3613" max="3613" width="9.1796875" style="43"/>
    <col min="3614" max="3614" width="8.453125" style="43" customWidth="1"/>
    <col min="3615" max="3615" width="9.81640625" style="43" customWidth="1"/>
    <col min="3616" max="3617" width="10.1796875" style="43" customWidth="1"/>
    <col min="3618" max="3618" width="8.81640625" style="43" customWidth="1"/>
    <col min="3619" max="3619" width="1.453125" style="43" customWidth="1"/>
    <col min="3620" max="3840" width="9.1796875" style="43"/>
    <col min="3841" max="3841" width="1.453125" style="43" customWidth="1"/>
    <col min="3842" max="3842" width="8.81640625" style="43" customWidth="1"/>
    <col min="3843" max="3843" width="10.81640625" style="43" customWidth="1"/>
    <col min="3844" max="3844" width="1.81640625" style="43" customWidth="1"/>
    <col min="3845" max="3846" width="2.1796875" style="43" customWidth="1"/>
    <col min="3847" max="3848" width="0.54296875" style="43" customWidth="1"/>
    <col min="3849" max="3849" width="7.1796875" style="43" customWidth="1"/>
    <col min="3850" max="3851" width="0.54296875" style="43" customWidth="1"/>
    <col min="3852" max="3853" width="2.1796875" style="43" customWidth="1"/>
    <col min="3854" max="3854" width="1.81640625" style="43" customWidth="1"/>
    <col min="3855" max="3855" width="5.453125" style="43" customWidth="1"/>
    <col min="3856" max="3856" width="6.453125" style="43" customWidth="1"/>
    <col min="3857" max="3857" width="5.453125" style="43" customWidth="1"/>
    <col min="3858" max="3858" width="1.81640625" style="43" customWidth="1"/>
    <col min="3859" max="3860" width="2.1796875" style="43" customWidth="1"/>
    <col min="3861" max="3862" width="0.54296875" style="43" customWidth="1"/>
    <col min="3863" max="3863" width="7.1796875" style="43" customWidth="1"/>
    <col min="3864" max="3865" width="0.54296875" style="43" customWidth="1"/>
    <col min="3866" max="3867" width="2.1796875" style="43" customWidth="1"/>
    <col min="3868" max="3868" width="1.81640625" style="43" customWidth="1"/>
    <col min="3869" max="3869" width="9.1796875" style="43"/>
    <col min="3870" max="3870" width="8.453125" style="43" customWidth="1"/>
    <col min="3871" max="3871" width="9.81640625" style="43" customWidth="1"/>
    <col min="3872" max="3873" width="10.1796875" style="43" customWidth="1"/>
    <col min="3874" max="3874" width="8.81640625" style="43" customWidth="1"/>
    <col min="3875" max="3875" width="1.453125" style="43" customWidth="1"/>
    <col min="3876" max="4096" width="9.1796875" style="43"/>
    <col min="4097" max="4097" width="1.453125" style="43" customWidth="1"/>
    <col min="4098" max="4098" width="8.81640625" style="43" customWidth="1"/>
    <col min="4099" max="4099" width="10.81640625" style="43" customWidth="1"/>
    <col min="4100" max="4100" width="1.81640625" style="43" customWidth="1"/>
    <col min="4101" max="4102" width="2.1796875" style="43" customWidth="1"/>
    <col min="4103" max="4104" width="0.54296875" style="43" customWidth="1"/>
    <col min="4105" max="4105" width="7.1796875" style="43" customWidth="1"/>
    <col min="4106" max="4107" width="0.54296875" style="43" customWidth="1"/>
    <col min="4108" max="4109" width="2.1796875" style="43" customWidth="1"/>
    <col min="4110" max="4110" width="1.81640625" style="43" customWidth="1"/>
    <col min="4111" max="4111" width="5.453125" style="43" customWidth="1"/>
    <col min="4112" max="4112" width="6.453125" style="43" customWidth="1"/>
    <col min="4113" max="4113" width="5.453125" style="43" customWidth="1"/>
    <col min="4114" max="4114" width="1.81640625" style="43" customWidth="1"/>
    <col min="4115" max="4116" width="2.1796875" style="43" customWidth="1"/>
    <col min="4117" max="4118" width="0.54296875" style="43" customWidth="1"/>
    <col min="4119" max="4119" width="7.1796875" style="43" customWidth="1"/>
    <col min="4120" max="4121" width="0.54296875" style="43" customWidth="1"/>
    <col min="4122" max="4123" width="2.1796875" style="43" customWidth="1"/>
    <col min="4124" max="4124" width="1.81640625" style="43" customWidth="1"/>
    <col min="4125" max="4125" width="9.1796875" style="43"/>
    <col min="4126" max="4126" width="8.453125" style="43" customWidth="1"/>
    <col min="4127" max="4127" width="9.81640625" style="43" customWidth="1"/>
    <col min="4128" max="4129" width="10.1796875" style="43" customWidth="1"/>
    <col min="4130" max="4130" width="8.81640625" style="43" customWidth="1"/>
    <col min="4131" max="4131" width="1.453125" style="43" customWidth="1"/>
    <col min="4132" max="4352" width="9.1796875" style="43"/>
    <col min="4353" max="4353" width="1.453125" style="43" customWidth="1"/>
    <col min="4354" max="4354" width="8.81640625" style="43" customWidth="1"/>
    <col min="4355" max="4355" width="10.81640625" style="43" customWidth="1"/>
    <col min="4356" max="4356" width="1.81640625" style="43" customWidth="1"/>
    <col min="4357" max="4358" width="2.1796875" style="43" customWidth="1"/>
    <col min="4359" max="4360" width="0.54296875" style="43" customWidth="1"/>
    <col min="4361" max="4361" width="7.1796875" style="43" customWidth="1"/>
    <col min="4362" max="4363" width="0.54296875" style="43" customWidth="1"/>
    <col min="4364" max="4365" width="2.1796875" style="43" customWidth="1"/>
    <col min="4366" max="4366" width="1.81640625" style="43" customWidth="1"/>
    <col min="4367" max="4367" width="5.453125" style="43" customWidth="1"/>
    <col min="4368" max="4368" width="6.453125" style="43" customWidth="1"/>
    <col min="4369" max="4369" width="5.453125" style="43" customWidth="1"/>
    <col min="4370" max="4370" width="1.81640625" style="43" customWidth="1"/>
    <col min="4371" max="4372" width="2.1796875" style="43" customWidth="1"/>
    <col min="4373" max="4374" width="0.54296875" style="43" customWidth="1"/>
    <col min="4375" max="4375" width="7.1796875" style="43" customWidth="1"/>
    <col min="4376" max="4377" width="0.54296875" style="43" customWidth="1"/>
    <col min="4378" max="4379" width="2.1796875" style="43" customWidth="1"/>
    <col min="4380" max="4380" width="1.81640625" style="43" customWidth="1"/>
    <col min="4381" max="4381" width="9.1796875" style="43"/>
    <col min="4382" max="4382" width="8.453125" style="43" customWidth="1"/>
    <col min="4383" max="4383" width="9.81640625" style="43" customWidth="1"/>
    <col min="4384" max="4385" width="10.1796875" style="43" customWidth="1"/>
    <col min="4386" max="4386" width="8.81640625" style="43" customWidth="1"/>
    <col min="4387" max="4387" width="1.453125" style="43" customWidth="1"/>
    <col min="4388" max="4608" width="9.1796875" style="43"/>
    <col min="4609" max="4609" width="1.453125" style="43" customWidth="1"/>
    <col min="4610" max="4610" width="8.81640625" style="43" customWidth="1"/>
    <col min="4611" max="4611" width="10.81640625" style="43" customWidth="1"/>
    <col min="4612" max="4612" width="1.81640625" style="43" customWidth="1"/>
    <col min="4613" max="4614" width="2.1796875" style="43" customWidth="1"/>
    <col min="4615" max="4616" width="0.54296875" style="43" customWidth="1"/>
    <col min="4617" max="4617" width="7.1796875" style="43" customWidth="1"/>
    <col min="4618" max="4619" width="0.54296875" style="43" customWidth="1"/>
    <col min="4620" max="4621" width="2.1796875" style="43" customWidth="1"/>
    <col min="4622" max="4622" width="1.81640625" style="43" customWidth="1"/>
    <col min="4623" max="4623" width="5.453125" style="43" customWidth="1"/>
    <col min="4624" max="4624" width="6.453125" style="43" customWidth="1"/>
    <col min="4625" max="4625" width="5.453125" style="43" customWidth="1"/>
    <col min="4626" max="4626" width="1.81640625" style="43" customWidth="1"/>
    <col min="4627" max="4628" width="2.1796875" style="43" customWidth="1"/>
    <col min="4629" max="4630" width="0.54296875" style="43" customWidth="1"/>
    <col min="4631" max="4631" width="7.1796875" style="43" customWidth="1"/>
    <col min="4632" max="4633" width="0.54296875" style="43" customWidth="1"/>
    <col min="4634" max="4635" width="2.1796875" style="43" customWidth="1"/>
    <col min="4636" max="4636" width="1.81640625" style="43" customWidth="1"/>
    <col min="4637" max="4637" width="9.1796875" style="43"/>
    <col min="4638" max="4638" width="8.453125" style="43" customWidth="1"/>
    <col min="4639" max="4639" width="9.81640625" style="43" customWidth="1"/>
    <col min="4640" max="4641" width="10.1796875" style="43" customWidth="1"/>
    <col min="4642" max="4642" width="8.81640625" style="43" customWidth="1"/>
    <col min="4643" max="4643" width="1.453125" style="43" customWidth="1"/>
    <col min="4644" max="4864" width="9.1796875" style="43"/>
    <col min="4865" max="4865" width="1.453125" style="43" customWidth="1"/>
    <col min="4866" max="4866" width="8.81640625" style="43" customWidth="1"/>
    <col min="4867" max="4867" width="10.81640625" style="43" customWidth="1"/>
    <col min="4868" max="4868" width="1.81640625" style="43" customWidth="1"/>
    <col min="4869" max="4870" width="2.1796875" style="43" customWidth="1"/>
    <col min="4871" max="4872" width="0.54296875" style="43" customWidth="1"/>
    <col min="4873" max="4873" width="7.1796875" style="43" customWidth="1"/>
    <col min="4874" max="4875" width="0.54296875" style="43" customWidth="1"/>
    <col min="4876" max="4877" width="2.1796875" style="43" customWidth="1"/>
    <col min="4878" max="4878" width="1.81640625" style="43" customWidth="1"/>
    <col min="4879" max="4879" width="5.453125" style="43" customWidth="1"/>
    <col min="4880" max="4880" width="6.453125" style="43" customWidth="1"/>
    <col min="4881" max="4881" width="5.453125" style="43" customWidth="1"/>
    <col min="4882" max="4882" width="1.81640625" style="43" customWidth="1"/>
    <col min="4883" max="4884" width="2.1796875" style="43" customWidth="1"/>
    <col min="4885" max="4886" width="0.54296875" style="43" customWidth="1"/>
    <col min="4887" max="4887" width="7.1796875" style="43" customWidth="1"/>
    <col min="4888" max="4889" width="0.54296875" style="43" customWidth="1"/>
    <col min="4890" max="4891" width="2.1796875" style="43" customWidth="1"/>
    <col min="4892" max="4892" width="1.81640625" style="43" customWidth="1"/>
    <col min="4893" max="4893" width="9.1796875" style="43"/>
    <col min="4894" max="4894" width="8.453125" style="43" customWidth="1"/>
    <col min="4895" max="4895" width="9.81640625" style="43" customWidth="1"/>
    <col min="4896" max="4897" width="10.1796875" style="43" customWidth="1"/>
    <col min="4898" max="4898" width="8.81640625" style="43" customWidth="1"/>
    <col min="4899" max="4899" width="1.453125" style="43" customWidth="1"/>
    <col min="4900" max="5120" width="9.1796875" style="43"/>
    <col min="5121" max="5121" width="1.453125" style="43" customWidth="1"/>
    <col min="5122" max="5122" width="8.81640625" style="43" customWidth="1"/>
    <col min="5123" max="5123" width="10.81640625" style="43" customWidth="1"/>
    <col min="5124" max="5124" width="1.81640625" style="43" customWidth="1"/>
    <col min="5125" max="5126" width="2.1796875" style="43" customWidth="1"/>
    <col min="5127" max="5128" width="0.54296875" style="43" customWidth="1"/>
    <col min="5129" max="5129" width="7.1796875" style="43" customWidth="1"/>
    <col min="5130" max="5131" width="0.54296875" style="43" customWidth="1"/>
    <col min="5132" max="5133" width="2.1796875" style="43" customWidth="1"/>
    <col min="5134" max="5134" width="1.81640625" style="43" customWidth="1"/>
    <col min="5135" max="5135" width="5.453125" style="43" customWidth="1"/>
    <col min="5136" max="5136" width="6.453125" style="43" customWidth="1"/>
    <col min="5137" max="5137" width="5.453125" style="43" customWidth="1"/>
    <col min="5138" max="5138" width="1.81640625" style="43" customWidth="1"/>
    <col min="5139" max="5140" width="2.1796875" style="43" customWidth="1"/>
    <col min="5141" max="5142" width="0.54296875" style="43" customWidth="1"/>
    <col min="5143" max="5143" width="7.1796875" style="43" customWidth="1"/>
    <col min="5144" max="5145" width="0.54296875" style="43" customWidth="1"/>
    <col min="5146" max="5147" width="2.1796875" style="43" customWidth="1"/>
    <col min="5148" max="5148" width="1.81640625" style="43" customWidth="1"/>
    <col min="5149" max="5149" width="9.1796875" style="43"/>
    <col min="5150" max="5150" width="8.453125" style="43" customWidth="1"/>
    <col min="5151" max="5151" width="9.81640625" style="43" customWidth="1"/>
    <col min="5152" max="5153" width="10.1796875" style="43" customWidth="1"/>
    <col min="5154" max="5154" width="8.81640625" style="43" customWidth="1"/>
    <col min="5155" max="5155" width="1.453125" style="43" customWidth="1"/>
    <col min="5156" max="5376" width="9.1796875" style="43"/>
    <col min="5377" max="5377" width="1.453125" style="43" customWidth="1"/>
    <col min="5378" max="5378" width="8.81640625" style="43" customWidth="1"/>
    <col min="5379" max="5379" width="10.81640625" style="43" customWidth="1"/>
    <col min="5380" max="5380" width="1.81640625" style="43" customWidth="1"/>
    <col min="5381" max="5382" width="2.1796875" style="43" customWidth="1"/>
    <col min="5383" max="5384" width="0.54296875" style="43" customWidth="1"/>
    <col min="5385" max="5385" width="7.1796875" style="43" customWidth="1"/>
    <col min="5386" max="5387" width="0.54296875" style="43" customWidth="1"/>
    <col min="5388" max="5389" width="2.1796875" style="43" customWidth="1"/>
    <col min="5390" max="5390" width="1.81640625" style="43" customWidth="1"/>
    <col min="5391" max="5391" width="5.453125" style="43" customWidth="1"/>
    <col min="5392" max="5392" width="6.453125" style="43" customWidth="1"/>
    <col min="5393" max="5393" width="5.453125" style="43" customWidth="1"/>
    <col min="5394" max="5394" width="1.81640625" style="43" customWidth="1"/>
    <col min="5395" max="5396" width="2.1796875" style="43" customWidth="1"/>
    <col min="5397" max="5398" width="0.54296875" style="43" customWidth="1"/>
    <col min="5399" max="5399" width="7.1796875" style="43" customWidth="1"/>
    <col min="5400" max="5401" width="0.54296875" style="43" customWidth="1"/>
    <col min="5402" max="5403" width="2.1796875" style="43" customWidth="1"/>
    <col min="5404" max="5404" width="1.81640625" style="43" customWidth="1"/>
    <col min="5405" max="5405" width="9.1796875" style="43"/>
    <col min="5406" max="5406" width="8.453125" style="43" customWidth="1"/>
    <col min="5407" max="5407" width="9.81640625" style="43" customWidth="1"/>
    <col min="5408" max="5409" width="10.1796875" style="43" customWidth="1"/>
    <col min="5410" max="5410" width="8.81640625" style="43" customWidth="1"/>
    <col min="5411" max="5411" width="1.453125" style="43" customWidth="1"/>
    <col min="5412" max="5632" width="9.1796875" style="43"/>
    <col min="5633" max="5633" width="1.453125" style="43" customWidth="1"/>
    <col min="5634" max="5634" width="8.81640625" style="43" customWidth="1"/>
    <col min="5635" max="5635" width="10.81640625" style="43" customWidth="1"/>
    <col min="5636" max="5636" width="1.81640625" style="43" customWidth="1"/>
    <col min="5637" max="5638" width="2.1796875" style="43" customWidth="1"/>
    <col min="5639" max="5640" width="0.54296875" style="43" customWidth="1"/>
    <col min="5641" max="5641" width="7.1796875" style="43" customWidth="1"/>
    <col min="5642" max="5643" width="0.54296875" style="43" customWidth="1"/>
    <col min="5644" max="5645" width="2.1796875" style="43" customWidth="1"/>
    <col min="5646" max="5646" width="1.81640625" style="43" customWidth="1"/>
    <col min="5647" max="5647" width="5.453125" style="43" customWidth="1"/>
    <col min="5648" max="5648" width="6.453125" style="43" customWidth="1"/>
    <col min="5649" max="5649" width="5.453125" style="43" customWidth="1"/>
    <col min="5650" max="5650" width="1.81640625" style="43" customWidth="1"/>
    <col min="5651" max="5652" width="2.1796875" style="43" customWidth="1"/>
    <col min="5653" max="5654" width="0.54296875" style="43" customWidth="1"/>
    <col min="5655" max="5655" width="7.1796875" style="43" customWidth="1"/>
    <col min="5656" max="5657" width="0.54296875" style="43" customWidth="1"/>
    <col min="5658" max="5659" width="2.1796875" style="43" customWidth="1"/>
    <col min="5660" max="5660" width="1.81640625" style="43" customWidth="1"/>
    <col min="5661" max="5661" width="9.1796875" style="43"/>
    <col min="5662" max="5662" width="8.453125" style="43" customWidth="1"/>
    <col min="5663" max="5663" width="9.81640625" style="43" customWidth="1"/>
    <col min="5664" max="5665" width="10.1796875" style="43" customWidth="1"/>
    <col min="5666" max="5666" width="8.81640625" style="43" customWidth="1"/>
    <col min="5667" max="5667" width="1.453125" style="43" customWidth="1"/>
    <col min="5668" max="5888" width="9.1796875" style="43"/>
    <col min="5889" max="5889" width="1.453125" style="43" customWidth="1"/>
    <col min="5890" max="5890" width="8.81640625" style="43" customWidth="1"/>
    <col min="5891" max="5891" width="10.81640625" style="43" customWidth="1"/>
    <col min="5892" max="5892" width="1.81640625" style="43" customWidth="1"/>
    <col min="5893" max="5894" width="2.1796875" style="43" customWidth="1"/>
    <col min="5895" max="5896" width="0.54296875" style="43" customWidth="1"/>
    <col min="5897" max="5897" width="7.1796875" style="43" customWidth="1"/>
    <col min="5898" max="5899" width="0.54296875" style="43" customWidth="1"/>
    <col min="5900" max="5901" width="2.1796875" style="43" customWidth="1"/>
    <col min="5902" max="5902" width="1.81640625" style="43" customWidth="1"/>
    <col min="5903" max="5903" width="5.453125" style="43" customWidth="1"/>
    <col min="5904" max="5904" width="6.453125" style="43" customWidth="1"/>
    <col min="5905" max="5905" width="5.453125" style="43" customWidth="1"/>
    <col min="5906" max="5906" width="1.81640625" style="43" customWidth="1"/>
    <col min="5907" max="5908" width="2.1796875" style="43" customWidth="1"/>
    <col min="5909" max="5910" width="0.54296875" style="43" customWidth="1"/>
    <col min="5911" max="5911" width="7.1796875" style="43" customWidth="1"/>
    <col min="5912" max="5913" width="0.54296875" style="43" customWidth="1"/>
    <col min="5914" max="5915" width="2.1796875" style="43" customWidth="1"/>
    <col min="5916" max="5916" width="1.81640625" style="43" customWidth="1"/>
    <col min="5917" max="5917" width="9.1796875" style="43"/>
    <col min="5918" max="5918" width="8.453125" style="43" customWidth="1"/>
    <col min="5919" max="5919" width="9.81640625" style="43" customWidth="1"/>
    <col min="5920" max="5921" width="10.1796875" style="43" customWidth="1"/>
    <col min="5922" max="5922" width="8.81640625" style="43" customWidth="1"/>
    <col min="5923" max="5923" width="1.453125" style="43" customWidth="1"/>
    <col min="5924" max="6144" width="9.1796875" style="43"/>
    <col min="6145" max="6145" width="1.453125" style="43" customWidth="1"/>
    <col min="6146" max="6146" width="8.81640625" style="43" customWidth="1"/>
    <col min="6147" max="6147" width="10.81640625" style="43" customWidth="1"/>
    <col min="6148" max="6148" width="1.81640625" style="43" customWidth="1"/>
    <col min="6149" max="6150" width="2.1796875" style="43" customWidth="1"/>
    <col min="6151" max="6152" width="0.54296875" style="43" customWidth="1"/>
    <col min="6153" max="6153" width="7.1796875" style="43" customWidth="1"/>
    <col min="6154" max="6155" width="0.54296875" style="43" customWidth="1"/>
    <col min="6156" max="6157" width="2.1796875" style="43" customWidth="1"/>
    <col min="6158" max="6158" width="1.81640625" style="43" customWidth="1"/>
    <col min="6159" max="6159" width="5.453125" style="43" customWidth="1"/>
    <col min="6160" max="6160" width="6.453125" style="43" customWidth="1"/>
    <col min="6161" max="6161" width="5.453125" style="43" customWidth="1"/>
    <col min="6162" max="6162" width="1.81640625" style="43" customWidth="1"/>
    <col min="6163" max="6164" width="2.1796875" style="43" customWidth="1"/>
    <col min="6165" max="6166" width="0.54296875" style="43" customWidth="1"/>
    <col min="6167" max="6167" width="7.1796875" style="43" customWidth="1"/>
    <col min="6168" max="6169" width="0.54296875" style="43" customWidth="1"/>
    <col min="6170" max="6171" width="2.1796875" style="43" customWidth="1"/>
    <col min="6172" max="6172" width="1.81640625" style="43" customWidth="1"/>
    <col min="6173" max="6173" width="9.1796875" style="43"/>
    <col min="6174" max="6174" width="8.453125" style="43" customWidth="1"/>
    <col min="6175" max="6175" width="9.81640625" style="43" customWidth="1"/>
    <col min="6176" max="6177" width="10.1796875" style="43" customWidth="1"/>
    <col min="6178" max="6178" width="8.81640625" style="43" customWidth="1"/>
    <col min="6179" max="6179" width="1.453125" style="43" customWidth="1"/>
    <col min="6180" max="6400" width="9.1796875" style="43"/>
    <col min="6401" max="6401" width="1.453125" style="43" customWidth="1"/>
    <col min="6402" max="6402" width="8.81640625" style="43" customWidth="1"/>
    <col min="6403" max="6403" width="10.81640625" style="43" customWidth="1"/>
    <col min="6404" max="6404" width="1.81640625" style="43" customWidth="1"/>
    <col min="6405" max="6406" width="2.1796875" style="43" customWidth="1"/>
    <col min="6407" max="6408" width="0.54296875" style="43" customWidth="1"/>
    <col min="6409" max="6409" width="7.1796875" style="43" customWidth="1"/>
    <col min="6410" max="6411" width="0.54296875" style="43" customWidth="1"/>
    <col min="6412" max="6413" width="2.1796875" style="43" customWidth="1"/>
    <col min="6414" max="6414" width="1.81640625" style="43" customWidth="1"/>
    <col min="6415" max="6415" width="5.453125" style="43" customWidth="1"/>
    <col min="6416" max="6416" width="6.453125" style="43" customWidth="1"/>
    <col min="6417" max="6417" width="5.453125" style="43" customWidth="1"/>
    <col min="6418" max="6418" width="1.81640625" style="43" customWidth="1"/>
    <col min="6419" max="6420" width="2.1796875" style="43" customWidth="1"/>
    <col min="6421" max="6422" width="0.54296875" style="43" customWidth="1"/>
    <col min="6423" max="6423" width="7.1796875" style="43" customWidth="1"/>
    <col min="6424" max="6425" width="0.54296875" style="43" customWidth="1"/>
    <col min="6426" max="6427" width="2.1796875" style="43" customWidth="1"/>
    <col min="6428" max="6428" width="1.81640625" style="43" customWidth="1"/>
    <col min="6429" max="6429" width="9.1796875" style="43"/>
    <col min="6430" max="6430" width="8.453125" style="43" customWidth="1"/>
    <col min="6431" max="6431" width="9.81640625" style="43" customWidth="1"/>
    <col min="6432" max="6433" width="10.1796875" style="43" customWidth="1"/>
    <col min="6434" max="6434" width="8.81640625" style="43" customWidth="1"/>
    <col min="6435" max="6435" width="1.453125" style="43" customWidth="1"/>
    <col min="6436" max="6656" width="9.1796875" style="43"/>
    <col min="6657" max="6657" width="1.453125" style="43" customWidth="1"/>
    <col min="6658" max="6658" width="8.81640625" style="43" customWidth="1"/>
    <col min="6659" max="6659" width="10.81640625" style="43" customWidth="1"/>
    <col min="6660" max="6660" width="1.81640625" style="43" customWidth="1"/>
    <col min="6661" max="6662" width="2.1796875" style="43" customWidth="1"/>
    <col min="6663" max="6664" width="0.54296875" style="43" customWidth="1"/>
    <col min="6665" max="6665" width="7.1796875" style="43" customWidth="1"/>
    <col min="6666" max="6667" width="0.54296875" style="43" customWidth="1"/>
    <col min="6668" max="6669" width="2.1796875" style="43" customWidth="1"/>
    <col min="6670" max="6670" width="1.81640625" style="43" customWidth="1"/>
    <col min="6671" max="6671" width="5.453125" style="43" customWidth="1"/>
    <col min="6672" max="6672" width="6.453125" style="43" customWidth="1"/>
    <col min="6673" max="6673" width="5.453125" style="43" customWidth="1"/>
    <col min="6674" max="6674" width="1.81640625" style="43" customWidth="1"/>
    <col min="6675" max="6676" width="2.1796875" style="43" customWidth="1"/>
    <col min="6677" max="6678" width="0.54296875" style="43" customWidth="1"/>
    <col min="6679" max="6679" width="7.1796875" style="43" customWidth="1"/>
    <col min="6680" max="6681" width="0.54296875" style="43" customWidth="1"/>
    <col min="6682" max="6683" width="2.1796875" style="43" customWidth="1"/>
    <col min="6684" max="6684" width="1.81640625" style="43" customWidth="1"/>
    <col min="6685" max="6685" width="9.1796875" style="43"/>
    <col min="6686" max="6686" width="8.453125" style="43" customWidth="1"/>
    <col min="6687" max="6687" width="9.81640625" style="43" customWidth="1"/>
    <col min="6688" max="6689" width="10.1796875" style="43" customWidth="1"/>
    <col min="6690" max="6690" width="8.81640625" style="43" customWidth="1"/>
    <col min="6691" max="6691" width="1.453125" style="43" customWidth="1"/>
    <col min="6692" max="6912" width="9.1796875" style="43"/>
    <col min="6913" max="6913" width="1.453125" style="43" customWidth="1"/>
    <col min="6914" max="6914" width="8.81640625" style="43" customWidth="1"/>
    <col min="6915" max="6915" width="10.81640625" style="43" customWidth="1"/>
    <col min="6916" max="6916" width="1.81640625" style="43" customWidth="1"/>
    <col min="6917" max="6918" width="2.1796875" style="43" customWidth="1"/>
    <col min="6919" max="6920" width="0.54296875" style="43" customWidth="1"/>
    <col min="6921" max="6921" width="7.1796875" style="43" customWidth="1"/>
    <col min="6922" max="6923" width="0.54296875" style="43" customWidth="1"/>
    <col min="6924" max="6925" width="2.1796875" style="43" customWidth="1"/>
    <col min="6926" max="6926" width="1.81640625" style="43" customWidth="1"/>
    <col min="6927" max="6927" width="5.453125" style="43" customWidth="1"/>
    <col min="6928" max="6928" width="6.453125" style="43" customWidth="1"/>
    <col min="6929" max="6929" width="5.453125" style="43" customWidth="1"/>
    <col min="6930" max="6930" width="1.81640625" style="43" customWidth="1"/>
    <col min="6931" max="6932" width="2.1796875" style="43" customWidth="1"/>
    <col min="6933" max="6934" width="0.54296875" style="43" customWidth="1"/>
    <col min="6935" max="6935" width="7.1796875" style="43" customWidth="1"/>
    <col min="6936" max="6937" width="0.54296875" style="43" customWidth="1"/>
    <col min="6938" max="6939" width="2.1796875" style="43" customWidth="1"/>
    <col min="6940" max="6940" width="1.81640625" style="43" customWidth="1"/>
    <col min="6941" max="6941" width="9.1796875" style="43"/>
    <col min="6942" max="6942" width="8.453125" style="43" customWidth="1"/>
    <col min="6943" max="6943" width="9.81640625" style="43" customWidth="1"/>
    <col min="6944" max="6945" width="10.1796875" style="43" customWidth="1"/>
    <col min="6946" max="6946" width="8.81640625" style="43" customWidth="1"/>
    <col min="6947" max="6947" width="1.453125" style="43" customWidth="1"/>
    <col min="6948" max="7168" width="9.1796875" style="43"/>
    <col min="7169" max="7169" width="1.453125" style="43" customWidth="1"/>
    <col min="7170" max="7170" width="8.81640625" style="43" customWidth="1"/>
    <col min="7171" max="7171" width="10.81640625" style="43" customWidth="1"/>
    <col min="7172" max="7172" width="1.81640625" style="43" customWidth="1"/>
    <col min="7173" max="7174" width="2.1796875" style="43" customWidth="1"/>
    <col min="7175" max="7176" width="0.54296875" style="43" customWidth="1"/>
    <col min="7177" max="7177" width="7.1796875" style="43" customWidth="1"/>
    <col min="7178" max="7179" width="0.54296875" style="43" customWidth="1"/>
    <col min="7180" max="7181" width="2.1796875" style="43" customWidth="1"/>
    <col min="7182" max="7182" width="1.81640625" style="43" customWidth="1"/>
    <col min="7183" max="7183" width="5.453125" style="43" customWidth="1"/>
    <col min="7184" max="7184" width="6.453125" style="43" customWidth="1"/>
    <col min="7185" max="7185" width="5.453125" style="43" customWidth="1"/>
    <col min="7186" max="7186" width="1.81640625" style="43" customWidth="1"/>
    <col min="7187" max="7188" width="2.1796875" style="43" customWidth="1"/>
    <col min="7189" max="7190" width="0.54296875" style="43" customWidth="1"/>
    <col min="7191" max="7191" width="7.1796875" style="43" customWidth="1"/>
    <col min="7192" max="7193" width="0.54296875" style="43" customWidth="1"/>
    <col min="7194" max="7195" width="2.1796875" style="43" customWidth="1"/>
    <col min="7196" max="7196" width="1.81640625" style="43" customWidth="1"/>
    <col min="7197" max="7197" width="9.1796875" style="43"/>
    <col min="7198" max="7198" width="8.453125" style="43" customWidth="1"/>
    <col min="7199" max="7199" width="9.81640625" style="43" customWidth="1"/>
    <col min="7200" max="7201" width="10.1796875" style="43" customWidth="1"/>
    <col min="7202" max="7202" width="8.81640625" style="43" customWidth="1"/>
    <col min="7203" max="7203" width="1.453125" style="43" customWidth="1"/>
    <col min="7204" max="7424" width="9.1796875" style="43"/>
    <col min="7425" max="7425" width="1.453125" style="43" customWidth="1"/>
    <col min="7426" max="7426" width="8.81640625" style="43" customWidth="1"/>
    <col min="7427" max="7427" width="10.81640625" style="43" customWidth="1"/>
    <col min="7428" max="7428" width="1.81640625" style="43" customWidth="1"/>
    <col min="7429" max="7430" width="2.1796875" style="43" customWidth="1"/>
    <col min="7431" max="7432" width="0.54296875" style="43" customWidth="1"/>
    <col min="7433" max="7433" width="7.1796875" style="43" customWidth="1"/>
    <col min="7434" max="7435" width="0.54296875" style="43" customWidth="1"/>
    <col min="7436" max="7437" width="2.1796875" style="43" customWidth="1"/>
    <col min="7438" max="7438" width="1.81640625" style="43" customWidth="1"/>
    <col min="7439" max="7439" width="5.453125" style="43" customWidth="1"/>
    <col min="7440" max="7440" width="6.453125" style="43" customWidth="1"/>
    <col min="7441" max="7441" width="5.453125" style="43" customWidth="1"/>
    <col min="7442" max="7442" width="1.81640625" style="43" customWidth="1"/>
    <col min="7443" max="7444" width="2.1796875" style="43" customWidth="1"/>
    <col min="7445" max="7446" width="0.54296875" style="43" customWidth="1"/>
    <col min="7447" max="7447" width="7.1796875" style="43" customWidth="1"/>
    <col min="7448" max="7449" width="0.54296875" style="43" customWidth="1"/>
    <col min="7450" max="7451" width="2.1796875" style="43" customWidth="1"/>
    <col min="7452" max="7452" width="1.81640625" style="43" customWidth="1"/>
    <col min="7453" max="7453" width="9.1796875" style="43"/>
    <col min="7454" max="7454" width="8.453125" style="43" customWidth="1"/>
    <col min="7455" max="7455" width="9.81640625" style="43" customWidth="1"/>
    <col min="7456" max="7457" width="10.1796875" style="43" customWidth="1"/>
    <col min="7458" max="7458" width="8.81640625" style="43" customWidth="1"/>
    <col min="7459" max="7459" width="1.453125" style="43" customWidth="1"/>
    <col min="7460" max="7680" width="9.1796875" style="43"/>
    <col min="7681" max="7681" width="1.453125" style="43" customWidth="1"/>
    <col min="7682" max="7682" width="8.81640625" style="43" customWidth="1"/>
    <col min="7683" max="7683" width="10.81640625" style="43" customWidth="1"/>
    <col min="7684" max="7684" width="1.81640625" style="43" customWidth="1"/>
    <col min="7685" max="7686" width="2.1796875" style="43" customWidth="1"/>
    <col min="7687" max="7688" width="0.54296875" style="43" customWidth="1"/>
    <col min="7689" max="7689" width="7.1796875" style="43" customWidth="1"/>
    <col min="7690" max="7691" width="0.54296875" style="43" customWidth="1"/>
    <col min="7692" max="7693" width="2.1796875" style="43" customWidth="1"/>
    <col min="7694" max="7694" width="1.81640625" style="43" customWidth="1"/>
    <col min="7695" max="7695" width="5.453125" style="43" customWidth="1"/>
    <col min="7696" max="7696" width="6.453125" style="43" customWidth="1"/>
    <col min="7697" max="7697" width="5.453125" style="43" customWidth="1"/>
    <col min="7698" max="7698" width="1.81640625" style="43" customWidth="1"/>
    <col min="7699" max="7700" width="2.1796875" style="43" customWidth="1"/>
    <col min="7701" max="7702" width="0.54296875" style="43" customWidth="1"/>
    <col min="7703" max="7703" width="7.1796875" style="43" customWidth="1"/>
    <col min="7704" max="7705" width="0.54296875" style="43" customWidth="1"/>
    <col min="7706" max="7707" width="2.1796875" style="43" customWidth="1"/>
    <col min="7708" max="7708" width="1.81640625" style="43" customWidth="1"/>
    <col min="7709" max="7709" width="9.1796875" style="43"/>
    <col min="7710" max="7710" width="8.453125" style="43" customWidth="1"/>
    <col min="7711" max="7711" width="9.81640625" style="43" customWidth="1"/>
    <col min="7712" max="7713" width="10.1796875" style="43" customWidth="1"/>
    <col min="7714" max="7714" width="8.81640625" style="43" customWidth="1"/>
    <col min="7715" max="7715" width="1.453125" style="43" customWidth="1"/>
    <col min="7716" max="7936" width="9.1796875" style="43"/>
    <col min="7937" max="7937" width="1.453125" style="43" customWidth="1"/>
    <col min="7938" max="7938" width="8.81640625" style="43" customWidth="1"/>
    <col min="7939" max="7939" width="10.81640625" style="43" customWidth="1"/>
    <col min="7940" max="7940" width="1.81640625" style="43" customWidth="1"/>
    <col min="7941" max="7942" width="2.1796875" style="43" customWidth="1"/>
    <col min="7943" max="7944" width="0.54296875" style="43" customWidth="1"/>
    <col min="7945" max="7945" width="7.1796875" style="43" customWidth="1"/>
    <col min="7946" max="7947" width="0.54296875" style="43" customWidth="1"/>
    <col min="7948" max="7949" width="2.1796875" style="43" customWidth="1"/>
    <col min="7950" max="7950" width="1.81640625" style="43" customWidth="1"/>
    <col min="7951" max="7951" width="5.453125" style="43" customWidth="1"/>
    <col min="7952" max="7952" width="6.453125" style="43" customWidth="1"/>
    <col min="7953" max="7953" width="5.453125" style="43" customWidth="1"/>
    <col min="7954" max="7954" width="1.81640625" style="43" customWidth="1"/>
    <col min="7955" max="7956" width="2.1796875" style="43" customWidth="1"/>
    <col min="7957" max="7958" width="0.54296875" style="43" customWidth="1"/>
    <col min="7959" max="7959" width="7.1796875" style="43" customWidth="1"/>
    <col min="7960" max="7961" width="0.54296875" style="43" customWidth="1"/>
    <col min="7962" max="7963" width="2.1796875" style="43" customWidth="1"/>
    <col min="7964" max="7964" width="1.81640625" style="43" customWidth="1"/>
    <col min="7965" max="7965" width="9.1796875" style="43"/>
    <col min="7966" max="7966" width="8.453125" style="43" customWidth="1"/>
    <col min="7967" max="7967" width="9.81640625" style="43" customWidth="1"/>
    <col min="7968" max="7969" width="10.1796875" style="43" customWidth="1"/>
    <col min="7970" max="7970" width="8.81640625" style="43" customWidth="1"/>
    <col min="7971" max="7971" width="1.453125" style="43" customWidth="1"/>
    <col min="7972" max="8192" width="9.1796875" style="43"/>
    <col min="8193" max="8193" width="1.453125" style="43" customWidth="1"/>
    <col min="8194" max="8194" width="8.81640625" style="43" customWidth="1"/>
    <col min="8195" max="8195" width="10.81640625" style="43" customWidth="1"/>
    <col min="8196" max="8196" width="1.81640625" style="43" customWidth="1"/>
    <col min="8197" max="8198" width="2.1796875" style="43" customWidth="1"/>
    <col min="8199" max="8200" width="0.54296875" style="43" customWidth="1"/>
    <col min="8201" max="8201" width="7.1796875" style="43" customWidth="1"/>
    <col min="8202" max="8203" width="0.54296875" style="43" customWidth="1"/>
    <col min="8204" max="8205" width="2.1796875" style="43" customWidth="1"/>
    <col min="8206" max="8206" width="1.81640625" style="43" customWidth="1"/>
    <col min="8207" max="8207" width="5.453125" style="43" customWidth="1"/>
    <col min="8208" max="8208" width="6.453125" style="43" customWidth="1"/>
    <col min="8209" max="8209" width="5.453125" style="43" customWidth="1"/>
    <col min="8210" max="8210" width="1.81640625" style="43" customWidth="1"/>
    <col min="8211" max="8212" width="2.1796875" style="43" customWidth="1"/>
    <col min="8213" max="8214" width="0.54296875" style="43" customWidth="1"/>
    <col min="8215" max="8215" width="7.1796875" style="43" customWidth="1"/>
    <col min="8216" max="8217" width="0.54296875" style="43" customWidth="1"/>
    <col min="8218" max="8219" width="2.1796875" style="43" customWidth="1"/>
    <col min="8220" max="8220" width="1.81640625" style="43" customWidth="1"/>
    <col min="8221" max="8221" width="9.1796875" style="43"/>
    <col min="8222" max="8222" width="8.453125" style="43" customWidth="1"/>
    <col min="8223" max="8223" width="9.81640625" style="43" customWidth="1"/>
    <col min="8224" max="8225" width="10.1796875" style="43" customWidth="1"/>
    <col min="8226" max="8226" width="8.81640625" style="43" customWidth="1"/>
    <col min="8227" max="8227" width="1.453125" style="43" customWidth="1"/>
    <col min="8228" max="8448" width="9.1796875" style="43"/>
    <col min="8449" max="8449" width="1.453125" style="43" customWidth="1"/>
    <col min="8450" max="8450" width="8.81640625" style="43" customWidth="1"/>
    <col min="8451" max="8451" width="10.81640625" style="43" customWidth="1"/>
    <col min="8452" max="8452" width="1.81640625" style="43" customWidth="1"/>
    <col min="8453" max="8454" width="2.1796875" style="43" customWidth="1"/>
    <col min="8455" max="8456" width="0.54296875" style="43" customWidth="1"/>
    <col min="8457" max="8457" width="7.1796875" style="43" customWidth="1"/>
    <col min="8458" max="8459" width="0.54296875" style="43" customWidth="1"/>
    <col min="8460" max="8461" width="2.1796875" style="43" customWidth="1"/>
    <col min="8462" max="8462" width="1.81640625" style="43" customWidth="1"/>
    <col min="8463" max="8463" width="5.453125" style="43" customWidth="1"/>
    <col min="8464" max="8464" width="6.453125" style="43" customWidth="1"/>
    <col min="8465" max="8465" width="5.453125" style="43" customWidth="1"/>
    <col min="8466" max="8466" width="1.81640625" style="43" customWidth="1"/>
    <col min="8467" max="8468" width="2.1796875" style="43" customWidth="1"/>
    <col min="8469" max="8470" width="0.54296875" style="43" customWidth="1"/>
    <col min="8471" max="8471" width="7.1796875" style="43" customWidth="1"/>
    <col min="8472" max="8473" width="0.54296875" style="43" customWidth="1"/>
    <col min="8474" max="8475" width="2.1796875" style="43" customWidth="1"/>
    <col min="8476" max="8476" width="1.81640625" style="43" customWidth="1"/>
    <col min="8477" max="8477" width="9.1796875" style="43"/>
    <col min="8478" max="8478" width="8.453125" style="43" customWidth="1"/>
    <col min="8479" max="8479" width="9.81640625" style="43" customWidth="1"/>
    <col min="8480" max="8481" width="10.1796875" style="43" customWidth="1"/>
    <col min="8482" max="8482" width="8.81640625" style="43" customWidth="1"/>
    <col min="8483" max="8483" width="1.453125" style="43" customWidth="1"/>
    <col min="8484" max="8704" width="9.1796875" style="43"/>
    <col min="8705" max="8705" width="1.453125" style="43" customWidth="1"/>
    <col min="8706" max="8706" width="8.81640625" style="43" customWidth="1"/>
    <col min="8707" max="8707" width="10.81640625" style="43" customWidth="1"/>
    <col min="8708" max="8708" width="1.81640625" style="43" customWidth="1"/>
    <col min="8709" max="8710" width="2.1796875" style="43" customWidth="1"/>
    <col min="8711" max="8712" width="0.54296875" style="43" customWidth="1"/>
    <col min="8713" max="8713" width="7.1796875" style="43" customWidth="1"/>
    <col min="8714" max="8715" width="0.54296875" style="43" customWidth="1"/>
    <col min="8716" max="8717" width="2.1796875" style="43" customWidth="1"/>
    <col min="8718" max="8718" width="1.81640625" style="43" customWidth="1"/>
    <col min="8719" max="8719" width="5.453125" style="43" customWidth="1"/>
    <col min="8720" max="8720" width="6.453125" style="43" customWidth="1"/>
    <col min="8721" max="8721" width="5.453125" style="43" customWidth="1"/>
    <col min="8722" max="8722" width="1.81640625" style="43" customWidth="1"/>
    <col min="8723" max="8724" width="2.1796875" style="43" customWidth="1"/>
    <col min="8725" max="8726" width="0.54296875" style="43" customWidth="1"/>
    <col min="8727" max="8727" width="7.1796875" style="43" customWidth="1"/>
    <col min="8728" max="8729" width="0.54296875" style="43" customWidth="1"/>
    <col min="8730" max="8731" width="2.1796875" style="43" customWidth="1"/>
    <col min="8732" max="8732" width="1.81640625" style="43" customWidth="1"/>
    <col min="8733" max="8733" width="9.1796875" style="43"/>
    <col min="8734" max="8734" width="8.453125" style="43" customWidth="1"/>
    <col min="8735" max="8735" width="9.81640625" style="43" customWidth="1"/>
    <col min="8736" max="8737" width="10.1796875" style="43" customWidth="1"/>
    <col min="8738" max="8738" width="8.81640625" style="43" customWidth="1"/>
    <col min="8739" max="8739" width="1.453125" style="43" customWidth="1"/>
    <col min="8740" max="8960" width="9.1796875" style="43"/>
    <col min="8961" max="8961" width="1.453125" style="43" customWidth="1"/>
    <col min="8962" max="8962" width="8.81640625" style="43" customWidth="1"/>
    <col min="8963" max="8963" width="10.81640625" style="43" customWidth="1"/>
    <col min="8964" max="8964" width="1.81640625" style="43" customWidth="1"/>
    <col min="8965" max="8966" width="2.1796875" style="43" customWidth="1"/>
    <col min="8967" max="8968" width="0.54296875" style="43" customWidth="1"/>
    <col min="8969" max="8969" width="7.1796875" style="43" customWidth="1"/>
    <col min="8970" max="8971" width="0.54296875" style="43" customWidth="1"/>
    <col min="8972" max="8973" width="2.1796875" style="43" customWidth="1"/>
    <col min="8974" max="8974" width="1.81640625" style="43" customWidth="1"/>
    <col min="8975" max="8975" width="5.453125" style="43" customWidth="1"/>
    <col min="8976" max="8976" width="6.453125" style="43" customWidth="1"/>
    <col min="8977" max="8977" width="5.453125" style="43" customWidth="1"/>
    <col min="8978" max="8978" width="1.81640625" style="43" customWidth="1"/>
    <col min="8979" max="8980" width="2.1796875" style="43" customWidth="1"/>
    <col min="8981" max="8982" width="0.54296875" style="43" customWidth="1"/>
    <col min="8983" max="8983" width="7.1796875" style="43" customWidth="1"/>
    <col min="8984" max="8985" width="0.54296875" style="43" customWidth="1"/>
    <col min="8986" max="8987" width="2.1796875" style="43" customWidth="1"/>
    <col min="8988" max="8988" width="1.81640625" style="43" customWidth="1"/>
    <col min="8989" max="8989" width="9.1796875" style="43"/>
    <col min="8990" max="8990" width="8.453125" style="43" customWidth="1"/>
    <col min="8991" max="8991" width="9.81640625" style="43" customWidth="1"/>
    <col min="8992" max="8993" width="10.1796875" style="43" customWidth="1"/>
    <col min="8994" max="8994" width="8.81640625" style="43" customWidth="1"/>
    <col min="8995" max="8995" width="1.453125" style="43" customWidth="1"/>
    <col min="8996" max="9216" width="9.1796875" style="43"/>
    <col min="9217" max="9217" width="1.453125" style="43" customWidth="1"/>
    <col min="9218" max="9218" width="8.81640625" style="43" customWidth="1"/>
    <col min="9219" max="9219" width="10.81640625" style="43" customWidth="1"/>
    <col min="9220" max="9220" width="1.81640625" style="43" customWidth="1"/>
    <col min="9221" max="9222" width="2.1796875" style="43" customWidth="1"/>
    <col min="9223" max="9224" width="0.54296875" style="43" customWidth="1"/>
    <col min="9225" max="9225" width="7.1796875" style="43" customWidth="1"/>
    <col min="9226" max="9227" width="0.54296875" style="43" customWidth="1"/>
    <col min="9228" max="9229" width="2.1796875" style="43" customWidth="1"/>
    <col min="9230" max="9230" width="1.81640625" style="43" customWidth="1"/>
    <col min="9231" max="9231" width="5.453125" style="43" customWidth="1"/>
    <col min="9232" max="9232" width="6.453125" style="43" customWidth="1"/>
    <col min="9233" max="9233" width="5.453125" style="43" customWidth="1"/>
    <col min="9234" max="9234" width="1.81640625" style="43" customWidth="1"/>
    <col min="9235" max="9236" width="2.1796875" style="43" customWidth="1"/>
    <col min="9237" max="9238" width="0.54296875" style="43" customWidth="1"/>
    <col min="9239" max="9239" width="7.1796875" style="43" customWidth="1"/>
    <col min="9240" max="9241" width="0.54296875" style="43" customWidth="1"/>
    <col min="9242" max="9243" width="2.1796875" style="43" customWidth="1"/>
    <col min="9244" max="9244" width="1.81640625" style="43" customWidth="1"/>
    <col min="9245" max="9245" width="9.1796875" style="43"/>
    <col min="9246" max="9246" width="8.453125" style="43" customWidth="1"/>
    <col min="9247" max="9247" width="9.81640625" style="43" customWidth="1"/>
    <col min="9248" max="9249" width="10.1796875" style="43" customWidth="1"/>
    <col min="9250" max="9250" width="8.81640625" style="43" customWidth="1"/>
    <col min="9251" max="9251" width="1.453125" style="43" customWidth="1"/>
    <col min="9252" max="9472" width="9.1796875" style="43"/>
    <col min="9473" max="9473" width="1.453125" style="43" customWidth="1"/>
    <col min="9474" max="9474" width="8.81640625" style="43" customWidth="1"/>
    <col min="9475" max="9475" width="10.81640625" style="43" customWidth="1"/>
    <col min="9476" max="9476" width="1.81640625" style="43" customWidth="1"/>
    <col min="9477" max="9478" width="2.1796875" style="43" customWidth="1"/>
    <col min="9479" max="9480" width="0.54296875" style="43" customWidth="1"/>
    <col min="9481" max="9481" width="7.1796875" style="43" customWidth="1"/>
    <col min="9482" max="9483" width="0.54296875" style="43" customWidth="1"/>
    <col min="9484" max="9485" width="2.1796875" style="43" customWidth="1"/>
    <col min="9486" max="9486" width="1.81640625" style="43" customWidth="1"/>
    <col min="9487" max="9487" width="5.453125" style="43" customWidth="1"/>
    <col min="9488" max="9488" width="6.453125" style="43" customWidth="1"/>
    <col min="9489" max="9489" width="5.453125" style="43" customWidth="1"/>
    <col min="9490" max="9490" width="1.81640625" style="43" customWidth="1"/>
    <col min="9491" max="9492" width="2.1796875" style="43" customWidth="1"/>
    <col min="9493" max="9494" width="0.54296875" style="43" customWidth="1"/>
    <col min="9495" max="9495" width="7.1796875" style="43" customWidth="1"/>
    <col min="9496" max="9497" width="0.54296875" style="43" customWidth="1"/>
    <col min="9498" max="9499" width="2.1796875" style="43" customWidth="1"/>
    <col min="9500" max="9500" width="1.81640625" style="43" customWidth="1"/>
    <col min="9501" max="9501" width="9.1796875" style="43"/>
    <col min="9502" max="9502" width="8.453125" style="43" customWidth="1"/>
    <col min="9503" max="9503" width="9.81640625" style="43" customWidth="1"/>
    <col min="9504" max="9505" width="10.1796875" style="43" customWidth="1"/>
    <col min="9506" max="9506" width="8.81640625" style="43" customWidth="1"/>
    <col min="9507" max="9507" width="1.453125" style="43" customWidth="1"/>
    <col min="9508" max="9728" width="9.1796875" style="43"/>
    <col min="9729" max="9729" width="1.453125" style="43" customWidth="1"/>
    <col min="9730" max="9730" width="8.81640625" style="43" customWidth="1"/>
    <col min="9731" max="9731" width="10.81640625" style="43" customWidth="1"/>
    <col min="9732" max="9732" width="1.81640625" style="43" customWidth="1"/>
    <col min="9733" max="9734" width="2.1796875" style="43" customWidth="1"/>
    <col min="9735" max="9736" width="0.54296875" style="43" customWidth="1"/>
    <col min="9737" max="9737" width="7.1796875" style="43" customWidth="1"/>
    <col min="9738" max="9739" width="0.54296875" style="43" customWidth="1"/>
    <col min="9740" max="9741" width="2.1796875" style="43" customWidth="1"/>
    <col min="9742" max="9742" width="1.81640625" style="43" customWidth="1"/>
    <col min="9743" max="9743" width="5.453125" style="43" customWidth="1"/>
    <col min="9744" max="9744" width="6.453125" style="43" customWidth="1"/>
    <col min="9745" max="9745" width="5.453125" style="43" customWidth="1"/>
    <col min="9746" max="9746" width="1.81640625" style="43" customWidth="1"/>
    <col min="9747" max="9748" width="2.1796875" style="43" customWidth="1"/>
    <col min="9749" max="9750" width="0.54296875" style="43" customWidth="1"/>
    <col min="9751" max="9751" width="7.1796875" style="43" customWidth="1"/>
    <col min="9752" max="9753" width="0.54296875" style="43" customWidth="1"/>
    <col min="9754" max="9755" width="2.1796875" style="43" customWidth="1"/>
    <col min="9756" max="9756" width="1.81640625" style="43" customWidth="1"/>
    <col min="9757" max="9757" width="9.1796875" style="43"/>
    <col min="9758" max="9758" width="8.453125" style="43" customWidth="1"/>
    <col min="9759" max="9759" width="9.81640625" style="43" customWidth="1"/>
    <col min="9760" max="9761" width="10.1796875" style="43" customWidth="1"/>
    <col min="9762" max="9762" width="8.81640625" style="43" customWidth="1"/>
    <col min="9763" max="9763" width="1.453125" style="43" customWidth="1"/>
    <col min="9764" max="9984" width="9.1796875" style="43"/>
    <col min="9985" max="9985" width="1.453125" style="43" customWidth="1"/>
    <col min="9986" max="9986" width="8.81640625" style="43" customWidth="1"/>
    <col min="9987" max="9987" width="10.81640625" style="43" customWidth="1"/>
    <col min="9988" max="9988" width="1.81640625" style="43" customWidth="1"/>
    <col min="9989" max="9990" width="2.1796875" style="43" customWidth="1"/>
    <col min="9991" max="9992" width="0.54296875" style="43" customWidth="1"/>
    <col min="9993" max="9993" width="7.1796875" style="43" customWidth="1"/>
    <col min="9994" max="9995" width="0.54296875" style="43" customWidth="1"/>
    <col min="9996" max="9997" width="2.1796875" style="43" customWidth="1"/>
    <col min="9998" max="9998" width="1.81640625" style="43" customWidth="1"/>
    <col min="9999" max="9999" width="5.453125" style="43" customWidth="1"/>
    <col min="10000" max="10000" width="6.453125" style="43" customWidth="1"/>
    <col min="10001" max="10001" width="5.453125" style="43" customWidth="1"/>
    <col min="10002" max="10002" width="1.81640625" style="43" customWidth="1"/>
    <col min="10003" max="10004" width="2.1796875" style="43" customWidth="1"/>
    <col min="10005" max="10006" width="0.54296875" style="43" customWidth="1"/>
    <col min="10007" max="10007" width="7.1796875" style="43" customWidth="1"/>
    <col min="10008" max="10009" width="0.54296875" style="43" customWidth="1"/>
    <col min="10010" max="10011" width="2.1796875" style="43" customWidth="1"/>
    <col min="10012" max="10012" width="1.81640625" style="43" customWidth="1"/>
    <col min="10013" max="10013" width="9.1796875" style="43"/>
    <col min="10014" max="10014" width="8.453125" style="43" customWidth="1"/>
    <col min="10015" max="10015" width="9.81640625" style="43" customWidth="1"/>
    <col min="10016" max="10017" width="10.1796875" style="43" customWidth="1"/>
    <col min="10018" max="10018" width="8.81640625" style="43" customWidth="1"/>
    <col min="10019" max="10019" width="1.453125" style="43" customWidth="1"/>
    <col min="10020" max="10240" width="9.1796875" style="43"/>
    <col min="10241" max="10241" width="1.453125" style="43" customWidth="1"/>
    <col min="10242" max="10242" width="8.81640625" style="43" customWidth="1"/>
    <col min="10243" max="10243" width="10.81640625" style="43" customWidth="1"/>
    <col min="10244" max="10244" width="1.81640625" style="43" customWidth="1"/>
    <col min="10245" max="10246" width="2.1796875" style="43" customWidth="1"/>
    <col min="10247" max="10248" width="0.54296875" style="43" customWidth="1"/>
    <col min="10249" max="10249" width="7.1796875" style="43" customWidth="1"/>
    <col min="10250" max="10251" width="0.54296875" style="43" customWidth="1"/>
    <col min="10252" max="10253" width="2.1796875" style="43" customWidth="1"/>
    <col min="10254" max="10254" width="1.81640625" style="43" customWidth="1"/>
    <col min="10255" max="10255" width="5.453125" style="43" customWidth="1"/>
    <col min="10256" max="10256" width="6.453125" style="43" customWidth="1"/>
    <col min="10257" max="10257" width="5.453125" style="43" customWidth="1"/>
    <col min="10258" max="10258" width="1.81640625" style="43" customWidth="1"/>
    <col min="10259" max="10260" width="2.1796875" style="43" customWidth="1"/>
    <col min="10261" max="10262" width="0.54296875" style="43" customWidth="1"/>
    <col min="10263" max="10263" width="7.1796875" style="43" customWidth="1"/>
    <col min="10264" max="10265" width="0.54296875" style="43" customWidth="1"/>
    <col min="10266" max="10267" width="2.1796875" style="43" customWidth="1"/>
    <col min="10268" max="10268" width="1.81640625" style="43" customWidth="1"/>
    <col min="10269" max="10269" width="9.1796875" style="43"/>
    <col min="10270" max="10270" width="8.453125" style="43" customWidth="1"/>
    <col min="10271" max="10271" width="9.81640625" style="43" customWidth="1"/>
    <col min="10272" max="10273" width="10.1796875" style="43" customWidth="1"/>
    <col min="10274" max="10274" width="8.81640625" style="43" customWidth="1"/>
    <col min="10275" max="10275" width="1.453125" style="43" customWidth="1"/>
    <col min="10276" max="10496" width="9.1796875" style="43"/>
    <col min="10497" max="10497" width="1.453125" style="43" customWidth="1"/>
    <col min="10498" max="10498" width="8.81640625" style="43" customWidth="1"/>
    <col min="10499" max="10499" width="10.81640625" style="43" customWidth="1"/>
    <col min="10500" max="10500" width="1.81640625" style="43" customWidth="1"/>
    <col min="10501" max="10502" width="2.1796875" style="43" customWidth="1"/>
    <col min="10503" max="10504" width="0.54296875" style="43" customWidth="1"/>
    <col min="10505" max="10505" width="7.1796875" style="43" customWidth="1"/>
    <col min="10506" max="10507" width="0.54296875" style="43" customWidth="1"/>
    <col min="10508" max="10509" width="2.1796875" style="43" customWidth="1"/>
    <col min="10510" max="10510" width="1.81640625" style="43" customWidth="1"/>
    <col min="10511" max="10511" width="5.453125" style="43" customWidth="1"/>
    <col min="10512" max="10512" width="6.453125" style="43" customWidth="1"/>
    <col min="10513" max="10513" width="5.453125" style="43" customWidth="1"/>
    <col min="10514" max="10514" width="1.81640625" style="43" customWidth="1"/>
    <col min="10515" max="10516" width="2.1796875" style="43" customWidth="1"/>
    <col min="10517" max="10518" width="0.54296875" style="43" customWidth="1"/>
    <col min="10519" max="10519" width="7.1796875" style="43" customWidth="1"/>
    <col min="10520" max="10521" width="0.54296875" style="43" customWidth="1"/>
    <col min="10522" max="10523" width="2.1796875" style="43" customWidth="1"/>
    <col min="10524" max="10524" width="1.81640625" style="43" customWidth="1"/>
    <col min="10525" max="10525" width="9.1796875" style="43"/>
    <col min="10526" max="10526" width="8.453125" style="43" customWidth="1"/>
    <col min="10527" max="10527" width="9.81640625" style="43" customWidth="1"/>
    <col min="10528" max="10529" width="10.1796875" style="43" customWidth="1"/>
    <col min="10530" max="10530" width="8.81640625" style="43" customWidth="1"/>
    <col min="10531" max="10531" width="1.453125" style="43" customWidth="1"/>
    <col min="10532" max="10752" width="9.1796875" style="43"/>
    <col min="10753" max="10753" width="1.453125" style="43" customWidth="1"/>
    <col min="10754" max="10754" width="8.81640625" style="43" customWidth="1"/>
    <col min="10755" max="10755" width="10.81640625" style="43" customWidth="1"/>
    <col min="10756" max="10756" width="1.81640625" style="43" customWidth="1"/>
    <col min="10757" max="10758" width="2.1796875" style="43" customWidth="1"/>
    <col min="10759" max="10760" width="0.54296875" style="43" customWidth="1"/>
    <col min="10761" max="10761" width="7.1796875" style="43" customWidth="1"/>
    <col min="10762" max="10763" width="0.54296875" style="43" customWidth="1"/>
    <col min="10764" max="10765" width="2.1796875" style="43" customWidth="1"/>
    <col min="10766" max="10766" width="1.81640625" style="43" customWidth="1"/>
    <col min="10767" max="10767" width="5.453125" style="43" customWidth="1"/>
    <col min="10768" max="10768" width="6.453125" style="43" customWidth="1"/>
    <col min="10769" max="10769" width="5.453125" style="43" customWidth="1"/>
    <col min="10770" max="10770" width="1.81640625" style="43" customWidth="1"/>
    <col min="10771" max="10772" width="2.1796875" style="43" customWidth="1"/>
    <col min="10773" max="10774" width="0.54296875" style="43" customWidth="1"/>
    <col min="10775" max="10775" width="7.1796875" style="43" customWidth="1"/>
    <col min="10776" max="10777" width="0.54296875" style="43" customWidth="1"/>
    <col min="10778" max="10779" width="2.1796875" style="43" customWidth="1"/>
    <col min="10780" max="10780" width="1.81640625" style="43" customWidth="1"/>
    <col min="10781" max="10781" width="9.1796875" style="43"/>
    <col min="10782" max="10782" width="8.453125" style="43" customWidth="1"/>
    <col min="10783" max="10783" width="9.81640625" style="43" customWidth="1"/>
    <col min="10784" max="10785" width="10.1796875" style="43" customWidth="1"/>
    <col min="10786" max="10786" width="8.81640625" style="43" customWidth="1"/>
    <col min="10787" max="10787" width="1.453125" style="43" customWidth="1"/>
    <col min="10788" max="11008" width="9.1796875" style="43"/>
    <col min="11009" max="11009" width="1.453125" style="43" customWidth="1"/>
    <col min="11010" max="11010" width="8.81640625" style="43" customWidth="1"/>
    <col min="11011" max="11011" width="10.81640625" style="43" customWidth="1"/>
    <col min="11012" max="11012" width="1.81640625" style="43" customWidth="1"/>
    <col min="11013" max="11014" width="2.1796875" style="43" customWidth="1"/>
    <col min="11015" max="11016" width="0.54296875" style="43" customWidth="1"/>
    <col min="11017" max="11017" width="7.1796875" style="43" customWidth="1"/>
    <col min="11018" max="11019" width="0.54296875" style="43" customWidth="1"/>
    <col min="11020" max="11021" width="2.1796875" style="43" customWidth="1"/>
    <col min="11022" max="11022" width="1.81640625" style="43" customWidth="1"/>
    <col min="11023" max="11023" width="5.453125" style="43" customWidth="1"/>
    <col min="11024" max="11024" width="6.453125" style="43" customWidth="1"/>
    <col min="11025" max="11025" width="5.453125" style="43" customWidth="1"/>
    <col min="11026" max="11026" width="1.81640625" style="43" customWidth="1"/>
    <col min="11027" max="11028" width="2.1796875" style="43" customWidth="1"/>
    <col min="11029" max="11030" width="0.54296875" style="43" customWidth="1"/>
    <col min="11031" max="11031" width="7.1796875" style="43" customWidth="1"/>
    <col min="11032" max="11033" width="0.54296875" style="43" customWidth="1"/>
    <col min="11034" max="11035" width="2.1796875" style="43" customWidth="1"/>
    <col min="11036" max="11036" width="1.81640625" style="43" customWidth="1"/>
    <col min="11037" max="11037" width="9.1796875" style="43"/>
    <col min="11038" max="11038" width="8.453125" style="43" customWidth="1"/>
    <col min="11039" max="11039" width="9.81640625" style="43" customWidth="1"/>
    <col min="11040" max="11041" width="10.1796875" style="43" customWidth="1"/>
    <col min="11042" max="11042" width="8.81640625" style="43" customWidth="1"/>
    <col min="11043" max="11043" width="1.453125" style="43" customWidth="1"/>
    <col min="11044" max="11264" width="9.1796875" style="43"/>
    <col min="11265" max="11265" width="1.453125" style="43" customWidth="1"/>
    <col min="11266" max="11266" width="8.81640625" style="43" customWidth="1"/>
    <col min="11267" max="11267" width="10.81640625" style="43" customWidth="1"/>
    <col min="11268" max="11268" width="1.81640625" style="43" customWidth="1"/>
    <col min="11269" max="11270" width="2.1796875" style="43" customWidth="1"/>
    <col min="11271" max="11272" width="0.54296875" style="43" customWidth="1"/>
    <col min="11273" max="11273" width="7.1796875" style="43" customWidth="1"/>
    <col min="11274" max="11275" width="0.54296875" style="43" customWidth="1"/>
    <col min="11276" max="11277" width="2.1796875" style="43" customWidth="1"/>
    <col min="11278" max="11278" width="1.81640625" style="43" customWidth="1"/>
    <col min="11279" max="11279" width="5.453125" style="43" customWidth="1"/>
    <col min="11280" max="11280" width="6.453125" style="43" customWidth="1"/>
    <col min="11281" max="11281" width="5.453125" style="43" customWidth="1"/>
    <col min="11282" max="11282" width="1.81640625" style="43" customWidth="1"/>
    <col min="11283" max="11284" width="2.1796875" style="43" customWidth="1"/>
    <col min="11285" max="11286" width="0.54296875" style="43" customWidth="1"/>
    <col min="11287" max="11287" width="7.1796875" style="43" customWidth="1"/>
    <col min="11288" max="11289" width="0.54296875" style="43" customWidth="1"/>
    <col min="11290" max="11291" width="2.1796875" style="43" customWidth="1"/>
    <col min="11292" max="11292" width="1.81640625" style="43" customWidth="1"/>
    <col min="11293" max="11293" width="9.1796875" style="43"/>
    <col min="11294" max="11294" width="8.453125" style="43" customWidth="1"/>
    <col min="11295" max="11295" width="9.81640625" style="43" customWidth="1"/>
    <col min="11296" max="11297" width="10.1796875" style="43" customWidth="1"/>
    <col min="11298" max="11298" width="8.81640625" style="43" customWidth="1"/>
    <col min="11299" max="11299" width="1.453125" style="43" customWidth="1"/>
    <col min="11300" max="11520" width="9.1796875" style="43"/>
    <col min="11521" max="11521" width="1.453125" style="43" customWidth="1"/>
    <col min="11522" max="11522" width="8.81640625" style="43" customWidth="1"/>
    <col min="11523" max="11523" width="10.81640625" style="43" customWidth="1"/>
    <col min="11524" max="11524" width="1.81640625" style="43" customWidth="1"/>
    <col min="11525" max="11526" width="2.1796875" style="43" customWidth="1"/>
    <col min="11527" max="11528" width="0.54296875" style="43" customWidth="1"/>
    <col min="11529" max="11529" width="7.1796875" style="43" customWidth="1"/>
    <col min="11530" max="11531" width="0.54296875" style="43" customWidth="1"/>
    <col min="11532" max="11533" width="2.1796875" style="43" customWidth="1"/>
    <col min="11534" max="11534" width="1.81640625" style="43" customWidth="1"/>
    <col min="11535" max="11535" width="5.453125" style="43" customWidth="1"/>
    <col min="11536" max="11536" width="6.453125" style="43" customWidth="1"/>
    <col min="11537" max="11537" width="5.453125" style="43" customWidth="1"/>
    <col min="11538" max="11538" width="1.81640625" style="43" customWidth="1"/>
    <col min="11539" max="11540" width="2.1796875" style="43" customWidth="1"/>
    <col min="11541" max="11542" width="0.54296875" style="43" customWidth="1"/>
    <col min="11543" max="11543" width="7.1796875" style="43" customWidth="1"/>
    <col min="11544" max="11545" width="0.54296875" style="43" customWidth="1"/>
    <col min="11546" max="11547" width="2.1796875" style="43" customWidth="1"/>
    <col min="11548" max="11548" width="1.81640625" style="43" customWidth="1"/>
    <col min="11549" max="11549" width="9.1796875" style="43"/>
    <col min="11550" max="11550" width="8.453125" style="43" customWidth="1"/>
    <col min="11551" max="11551" width="9.81640625" style="43" customWidth="1"/>
    <col min="11552" max="11553" width="10.1796875" style="43" customWidth="1"/>
    <col min="11554" max="11554" width="8.81640625" style="43" customWidth="1"/>
    <col min="11555" max="11555" width="1.453125" style="43" customWidth="1"/>
    <col min="11556" max="11776" width="9.1796875" style="43"/>
    <col min="11777" max="11777" width="1.453125" style="43" customWidth="1"/>
    <col min="11778" max="11778" width="8.81640625" style="43" customWidth="1"/>
    <col min="11779" max="11779" width="10.81640625" style="43" customWidth="1"/>
    <col min="11780" max="11780" width="1.81640625" style="43" customWidth="1"/>
    <col min="11781" max="11782" width="2.1796875" style="43" customWidth="1"/>
    <col min="11783" max="11784" width="0.54296875" style="43" customWidth="1"/>
    <col min="11785" max="11785" width="7.1796875" style="43" customWidth="1"/>
    <col min="11786" max="11787" width="0.54296875" style="43" customWidth="1"/>
    <col min="11788" max="11789" width="2.1796875" style="43" customWidth="1"/>
    <col min="11790" max="11790" width="1.81640625" style="43" customWidth="1"/>
    <col min="11791" max="11791" width="5.453125" style="43" customWidth="1"/>
    <col min="11792" max="11792" width="6.453125" style="43" customWidth="1"/>
    <col min="11793" max="11793" width="5.453125" style="43" customWidth="1"/>
    <col min="11794" max="11794" width="1.81640625" style="43" customWidth="1"/>
    <col min="11795" max="11796" width="2.1796875" style="43" customWidth="1"/>
    <col min="11797" max="11798" width="0.54296875" style="43" customWidth="1"/>
    <col min="11799" max="11799" width="7.1796875" style="43" customWidth="1"/>
    <col min="11800" max="11801" width="0.54296875" style="43" customWidth="1"/>
    <col min="11802" max="11803" width="2.1796875" style="43" customWidth="1"/>
    <col min="11804" max="11804" width="1.81640625" style="43" customWidth="1"/>
    <col min="11805" max="11805" width="9.1796875" style="43"/>
    <col min="11806" max="11806" width="8.453125" style="43" customWidth="1"/>
    <col min="11807" max="11807" width="9.81640625" style="43" customWidth="1"/>
    <col min="11808" max="11809" width="10.1796875" style="43" customWidth="1"/>
    <col min="11810" max="11810" width="8.81640625" style="43" customWidth="1"/>
    <col min="11811" max="11811" width="1.453125" style="43" customWidth="1"/>
    <col min="11812" max="12032" width="9.1796875" style="43"/>
    <col min="12033" max="12033" width="1.453125" style="43" customWidth="1"/>
    <col min="12034" max="12034" width="8.81640625" style="43" customWidth="1"/>
    <col min="12035" max="12035" width="10.81640625" style="43" customWidth="1"/>
    <col min="12036" max="12036" width="1.81640625" style="43" customWidth="1"/>
    <col min="12037" max="12038" width="2.1796875" style="43" customWidth="1"/>
    <col min="12039" max="12040" width="0.54296875" style="43" customWidth="1"/>
    <col min="12041" max="12041" width="7.1796875" style="43" customWidth="1"/>
    <col min="12042" max="12043" width="0.54296875" style="43" customWidth="1"/>
    <col min="12044" max="12045" width="2.1796875" style="43" customWidth="1"/>
    <col min="12046" max="12046" width="1.81640625" style="43" customWidth="1"/>
    <col min="12047" max="12047" width="5.453125" style="43" customWidth="1"/>
    <col min="12048" max="12048" width="6.453125" style="43" customWidth="1"/>
    <col min="12049" max="12049" width="5.453125" style="43" customWidth="1"/>
    <col min="12050" max="12050" width="1.81640625" style="43" customWidth="1"/>
    <col min="12051" max="12052" width="2.1796875" style="43" customWidth="1"/>
    <col min="12053" max="12054" width="0.54296875" style="43" customWidth="1"/>
    <col min="12055" max="12055" width="7.1796875" style="43" customWidth="1"/>
    <col min="12056" max="12057" width="0.54296875" style="43" customWidth="1"/>
    <col min="12058" max="12059" width="2.1796875" style="43" customWidth="1"/>
    <col min="12060" max="12060" width="1.81640625" style="43" customWidth="1"/>
    <col min="12061" max="12061" width="9.1796875" style="43"/>
    <col min="12062" max="12062" width="8.453125" style="43" customWidth="1"/>
    <col min="12063" max="12063" width="9.81640625" style="43" customWidth="1"/>
    <col min="12064" max="12065" width="10.1796875" style="43" customWidth="1"/>
    <col min="12066" max="12066" width="8.81640625" style="43" customWidth="1"/>
    <col min="12067" max="12067" width="1.453125" style="43" customWidth="1"/>
    <col min="12068" max="12288" width="9.1796875" style="43"/>
    <col min="12289" max="12289" width="1.453125" style="43" customWidth="1"/>
    <col min="12290" max="12290" width="8.81640625" style="43" customWidth="1"/>
    <col min="12291" max="12291" width="10.81640625" style="43" customWidth="1"/>
    <col min="12292" max="12292" width="1.81640625" style="43" customWidth="1"/>
    <col min="12293" max="12294" width="2.1796875" style="43" customWidth="1"/>
    <col min="12295" max="12296" width="0.54296875" style="43" customWidth="1"/>
    <col min="12297" max="12297" width="7.1796875" style="43" customWidth="1"/>
    <col min="12298" max="12299" width="0.54296875" style="43" customWidth="1"/>
    <col min="12300" max="12301" width="2.1796875" style="43" customWidth="1"/>
    <col min="12302" max="12302" width="1.81640625" style="43" customWidth="1"/>
    <col min="12303" max="12303" width="5.453125" style="43" customWidth="1"/>
    <col min="12304" max="12304" width="6.453125" style="43" customWidth="1"/>
    <col min="12305" max="12305" width="5.453125" style="43" customWidth="1"/>
    <col min="12306" max="12306" width="1.81640625" style="43" customWidth="1"/>
    <col min="12307" max="12308" width="2.1796875" style="43" customWidth="1"/>
    <col min="12309" max="12310" width="0.54296875" style="43" customWidth="1"/>
    <col min="12311" max="12311" width="7.1796875" style="43" customWidth="1"/>
    <col min="12312" max="12313" width="0.54296875" style="43" customWidth="1"/>
    <col min="12314" max="12315" width="2.1796875" style="43" customWidth="1"/>
    <col min="12316" max="12316" width="1.81640625" style="43" customWidth="1"/>
    <col min="12317" max="12317" width="9.1796875" style="43"/>
    <col min="12318" max="12318" width="8.453125" style="43" customWidth="1"/>
    <col min="12319" max="12319" width="9.81640625" style="43" customWidth="1"/>
    <col min="12320" max="12321" width="10.1796875" style="43" customWidth="1"/>
    <col min="12322" max="12322" width="8.81640625" style="43" customWidth="1"/>
    <col min="12323" max="12323" width="1.453125" style="43" customWidth="1"/>
    <col min="12324" max="12544" width="9.1796875" style="43"/>
    <col min="12545" max="12545" width="1.453125" style="43" customWidth="1"/>
    <col min="12546" max="12546" width="8.81640625" style="43" customWidth="1"/>
    <col min="12547" max="12547" width="10.81640625" style="43" customWidth="1"/>
    <col min="12548" max="12548" width="1.81640625" style="43" customWidth="1"/>
    <col min="12549" max="12550" width="2.1796875" style="43" customWidth="1"/>
    <col min="12551" max="12552" width="0.54296875" style="43" customWidth="1"/>
    <col min="12553" max="12553" width="7.1796875" style="43" customWidth="1"/>
    <col min="12554" max="12555" width="0.54296875" style="43" customWidth="1"/>
    <col min="12556" max="12557" width="2.1796875" style="43" customWidth="1"/>
    <col min="12558" max="12558" width="1.81640625" style="43" customWidth="1"/>
    <col min="12559" max="12559" width="5.453125" style="43" customWidth="1"/>
    <col min="12560" max="12560" width="6.453125" style="43" customWidth="1"/>
    <col min="12561" max="12561" width="5.453125" style="43" customWidth="1"/>
    <col min="12562" max="12562" width="1.81640625" style="43" customWidth="1"/>
    <col min="12563" max="12564" width="2.1796875" style="43" customWidth="1"/>
    <col min="12565" max="12566" width="0.54296875" style="43" customWidth="1"/>
    <col min="12567" max="12567" width="7.1796875" style="43" customWidth="1"/>
    <col min="12568" max="12569" width="0.54296875" style="43" customWidth="1"/>
    <col min="12570" max="12571" width="2.1796875" style="43" customWidth="1"/>
    <col min="12572" max="12572" width="1.81640625" style="43" customWidth="1"/>
    <col min="12573" max="12573" width="9.1796875" style="43"/>
    <col min="12574" max="12574" width="8.453125" style="43" customWidth="1"/>
    <col min="12575" max="12575" width="9.81640625" style="43" customWidth="1"/>
    <col min="12576" max="12577" width="10.1796875" style="43" customWidth="1"/>
    <col min="12578" max="12578" width="8.81640625" style="43" customWidth="1"/>
    <col min="12579" max="12579" width="1.453125" style="43" customWidth="1"/>
    <col min="12580" max="12800" width="9.1796875" style="43"/>
    <col min="12801" max="12801" width="1.453125" style="43" customWidth="1"/>
    <col min="12802" max="12802" width="8.81640625" style="43" customWidth="1"/>
    <col min="12803" max="12803" width="10.81640625" style="43" customWidth="1"/>
    <col min="12804" max="12804" width="1.81640625" style="43" customWidth="1"/>
    <col min="12805" max="12806" width="2.1796875" style="43" customWidth="1"/>
    <col min="12807" max="12808" width="0.54296875" style="43" customWidth="1"/>
    <col min="12809" max="12809" width="7.1796875" style="43" customWidth="1"/>
    <col min="12810" max="12811" width="0.54296875" style="43" customWidth="1"/>
    <col min="12812" max="12813" width="2.1796875" style="43" customWidth="1"/>
    <col min="12814" max="12814" width="1.81640625" style="43" customWidth="1"/>
    <col min="12815" max="12815" width="5.453125" style="43" customWidth="1"/>
    <col min="12816" max="12816" width="6.453125" style="43" customWidth="1"/>
    <col min="12817" max="12817" width="5.453125" style="43" customWidth="1"/>
    <col min="12818" max="12818" width="1.81640625" style="43" customWidth="1"/>
    <col min="12819" max="12820" width="2.1796875" style="43" customWidth="1"/>
    <col min="12821" max="12822" width="0.54296875" style="43" customWidth="1"/>
    <col min="12823" max="12823" width="7.1796875" style="43" customWidth="1"/>
    <col min="12824" max="12825" width="0.54296875" style="43" customWidth="1"/>
    <col min="12826" max="12827" width="2.1796875" style="43" customWidth="1"/>
    <col min="12828" max="12828" width="1.81640625" style="43" customWidth="1"/>
    <col min="12829" max="12829" width="9.1796875" style="43"/>
    <col min="12830" max="12830" width="8.453125" style="43" customWidth="1"/>
    <col min="12831" max="12831" width="9.81640625" style="43" customWidth="1"/>
    <col min="12832" max="12833" width="10.1796875" style="43" customWidth="1"/>
    <col min="12834" max="12834" width="8.81640625" style="43" customWidth="1"/>
    <col min="12835" max="12835" width="1.453125" style="43" customWidth="1"/>
    <col min="12836" max="13056" width="9.1796875" style="43"/>
    <col min="13057" max="13057" width="1.453125" style="43" customWidth="1"/>
    <col min="13058" max="13058" width="8.81640625" style="43" customWidth="1"/>
    <col min="13059" max="13059" width="10.81640625" style="43" customWidth="1"/>
    <col min="13060" max="13060" width="1.81640625" style="43" customWidth="1"/>
    <col min="13061" max="13062" width="2.1796875" style="43" customWidth="1"/>
    <col min="13063" max="13064" width="0.54296875" style="43" customWidth="1"/>
    <col min="13065" max="13065" width="7.1796875" style="43" customWidth="1"/>
    <col min="13066" max="13067" width="0.54296875" style="43" customWidth="1"/>
    <col min="13068" max="13069" width="2.1796875" style="43" customWidth="1"/>
    <col min="13070" max="13070" width="1.81640625" style="43" customWidth="1"/>
    <col min="13071" max="13071" width="5.453125" style="43" customWidth="1"/>
    <col min="13072" max="13072" width="6.453125" style="43" customWidth="1"/>
    <col min="13073" max="13073" width="5.453125" style="43" customWidth="1"/>
    <col min="13074" max="13074" width="1.81640625" style="43" customWidth="1"/>
    <col min="13075" max="13076" width="2.1796875" style="43" customWidth="1"/>
    <col min="13077" max="13078" width="0.54296875" style="43" customWidth="1"/>
    <col min="13079" max="13079" width="7.1796875" style="43" customWidth="1"/>
    <col min="13080" max="13081" width="0.54296875" style="43" customWidth="1"/>
    <col min="13082" max="13083" width="2.1796875" style="43" customWidth="1"/>
    <col min="13084" max="13084" width="1.81640625" style="43" customWidth="1"/>
    <col min="13085" max="13085" width="9.1796875" style="43"/>
    <col min="13086" max="13086" width="8.453125" style="43" customWidth="1"/>
    <col min="13087" max="13087" width="9.81640625" style="43" customWidth="1"/>
    <col min="13088" max="13089" width="10.1796875" style="43" customWidth="1"/>
    <col min="13090" max="13090" width="8.81640625" style="43" customWidth="1"/>
    <col min="13091" max="13091" width="1.453125" style="43" customWidth="1"/>
    <col min="13092" max="13312" width="9.1796875" style="43"/>
    <col min="13313" max="13313" width="1.453125" style="43" customWidth="1"/>
    <col min="13314" max="13314" width="8.81640625" style="43" customWidth="1"/>
    <col min="13315" max="13315" width="10.81640625" style="43" customWidth="1"/>
    <col min="13316" max="13316" width="1.81640625" style="43" customWidth="1"/>
    <col min="13317" max="13318" width="2.1796875" style="43" customWidth="1"/>
    <col min="13319" max="13320" width="0.54296875" style="43" customWidth="1"/>
    <col min="13321" max="13321" width="7.1796875" style="43" customWidth="1"/>
    <col min="13322" max="13323" width="0.54296875" style="43" customWidth="1"/>
    <col min="13324" max="13325" width="2.1796875" style="43" customWidth="1"/>
    <col min="13326" max="13326" width="1.81640625" style="43" customWidth="1"/>
    <col min="13327" max="13327" width="5.453125" style="43" customWidth="1"/>
    <col min="13328" max="13328" width="6.453125" style="43" customWidth="1"/>
    <col min="13329" max="13329" width="5.453125" style="43" customWidth="1"/>
    <col min="13330" max="13330" width="1.81640625" style="43" customWidth="1"/>
    <col min="13331" max="13332" width="2.1796875" style="43" customWidth="1"/>
    <col min="13333" max="13334" width="0.54296875" style="43" customWidth="1"/>
    <col min="13335" max="13335" width="7.1796875" style="43" customWidth="1"/>
    <col min="13336" max="13337" width="0.54296875" style="43" customWidth="1"/>
    <col min="13338" max="13339" width="2.1796875" style="43" customWidth="1"/>
    <col min="13340" max="13340" width="1.81640625" style="43" customWidth="1"/>
    <col min="13341" max="13341" width="9.1796875" style="43"/>
    <col min="13342" max="13342" width="8.453125" style="43" customWidth="1"/>
    <col min="13343" max="13343" width="9.81640625" style="43" customWidth="1"/>
    <col min="13344" max="13345" width="10.1796875" style="43" customWidth="1"/>
    <col min="13346" max="13346" width="8.81640625" style="43" customWidth="1"/>
    <col min="13347" max="13347" width="1.453125" style="43" customWidth="1"/>
    <col min="13348" max="13568" width="9.1796875" style="43"/>
    <col min="13569" max="13569" width="1.453125" style="43" customWidth="1"/>
    <col min="13570" max="13570" width="8.81640625" style="43" customWidth="1"/>
    <col min="13571" max="13571" width="10.81640625" style="43" customWidth="1"/>
    <col min="13572" max="13572" width="1.81640625" style="43" customWidth="1"/>
    <col min="13573" max="13574" width="2.1796875" style="43" customWidth="1"/>
    <col min="13575" max="13576" width="0.54296875" style="43" customWidth="1"/>
    <col min="13577" max="13577" width="7.1796875" style="43" customWidth="1"/>
    <col min="13578" max="13579" width="0.54296875" style="43" customWidth="1"/>
    <col min="13580" max="13581" width="2.1796875" style="43" customWidth="1"/>
    <col min="13582" max="13582" width="1.81640625" style="43" customWidth="1"/>
    <col min="13583" max="13583" width="5.453125" style="43" customWidth="1"/>
    <col min="13584" max="13584" width="6.453125" style="43" customWidth="1"/>
    <col min="13585" max="13585" width="5.453125" style="43" customWidth="1"/>
    <col min="13586" max="13586" width="1.81640625" style="43" customWidth="1"/>
    <col min="13587" max="13588" width="2.1796875" style="43" customWidth="1"/>
    <col min="13589" max="13590" width="0.54296875" style="43" customWidth="1"/>
    <col min="13591" max="13591" width="7.1796875" style="43" customWidth="1"/>
    <col min="13592" max="13593" width="0.54296875" style="43" customWidth="1"/>
    <col min="13594" max="13595" width="2.1796875" style="43" customWidth="1"/>
    <col min="13596" max="13596" width="1.81640625" style="43" customWidth="1"/>
    <col min="13597" max="13597" width="9.1796875" style="43"/>
    <col min="13598" max="13598" width="8.453125" style="43" customWidth="1"/>
    <col min="13599" max="13599" width="9.81640625" style="43" customWidth="1"/>
    <col min="13600" max="13601" width="10.1796875" style="43" customWidth="1"/>
    <col min="13602" max="13602" width="8.81640625" style="43" customWidth="1"/>
    <col min="13603" max="13603" width="1.453125" style="43" customWidth="1"/>
    <col min="13604" max="13824" width="9.1796875" style="43"/>
    <col min="13825" max="13825" width="1.453125" style="43" customWidth="1"/>
    <col min="13826" max="13826" width="8.81640625" style="43" customWidth="1"/>
    <col min="13827" max="13827" width="10.81640625" style="43" customWidth="1"/>
    <col min="13828" max="13828" width="1.81640625" style="43" customWidth="1"/>
    <col min="13829" max="13830" width="2.1796875" style="43" customWidth="1"/>
    <col min="13831" max="13832" width="0.54296875" style="43" customWidth="1"/>
    <col min="13833" max="13833" width="7.1796875" style="43" customWidth="1"/>
    <col min="13834" max="13835" width="0.54296875" style="43" customWidth="1"/>
    <col min="13836" max="13837" width="2.1796875" style="43" customWidth="1"/>
    <col min="13838" max="13838" width="1.81640625" style="43" customWidth="1"/>
    <col min="13839" max="13839" width="5.453125" style="43" customWidth="1"/>
    <col min="13840" max="13840" width="6.453125" style="43" customWidth="1"/>
    <col min="13841" max="13841" width="5.453125" style="43" customWidth="1"/>
    <col min="13842" max="13842" width="1.81640625" style="43" customWidth="1"/>
    <col min="13843" max="13844" width="2.1796875" style="43" customWidth="1"/>
    <col min="13845" max="13846" width="0.54296875" style="43" customWidth="1"/>
    <col min="13847" max="13847" width="7.1796875" style="43" customWidth="1"/>
    <col min="13848" max="13849" width="0.54296875" style="43" customWidth="1"/>
    <col min="13850" max="13851" width="2.1796875" style="43" customWidth="1"/>
    <col min="13852" max="13852" width="1.81640625" style="43" customWidth="1"/>
    <col min="13853" max="13853" width="9.1796875" style="43"/>
    <col min="13854" max="13854" width="8.453125" style="43" customWidth="1"/>
    <col min="13855" max="13855" width="9.81640625" style="43" customWidth="1"/>
    <col min="13856" max="13857" width="10.1796875" style="43" customWidth="1"/>
    <col min="13858" max="13858" width="8.81640625" style="43" customWidth="1"/>
    <col min="13859" max="13859" width="1.453125" style="43" customWidth="1"/>
    <col min="13860" max="14080" width="9.1796875" style="43"/>
    <col min="14081" max="14081" width="1.453125" style="43" customWidth="1"/>
    <col min="14082" max="14082" width="8.81640625" style="43" customWidth="1"/>
    <col min="14083" max="14083" width="10.81640625" style="43" customWidth="1"/>
    <col min="14084" max="14084" width="1.81640625" style="43" customWidth="1"/>
    <col min="14085" max="14086" width="2.1796875" style="43" customWidth="1"/>
    <col min="14087" max="14088" width="0.54296875" style="43" customWidth="1"/>
    <col min="14089" max="14089" width="7.1796875" style="43" customWidth="1"/>
    <col min="14090" max="14091" width="0.54296875" style="43" customWidth="1"/>
    <col min="14092" max="14093" width="2.1796875" style="43" customWidth="1"/>
    <col min="14094" max="14094" width="1.81640625" style="43" customWidth="1"/>
    <col min="14095" max="14095" width="5.453125" style="43" customWidth="1"/>
    <col min="14096" max="14096" width="6.453125" style="43" customWidth="1"/>
    <col min="14097" max="14097" width="5.453125" style="43" customWidth="1"/>
    <col min="14098" max="14098" width="1.81640625" style="43" customWidth="1"/>
    <col min="14099" max="14100" width="2.1796875" style="43" customWidth="1"/>
    <col min="14101" max="14102" width="0.54296875" style="43" customWidth="1"/>
    <col min="14103" max="14103" width="7.1796875" style="43" customWidth="1"/>
    <col min="14104" max="14105" width="0.54296875" style="43" customWidth="1"/>
    <col min="14106" max="14107" width="2.1796875" style="43" customWidth="1"/>
    <col min="14108" max="14108" width="1.81640625" style="43" customWidth="1"/>
    <col min="14109" max="14109" width="9.1796875" style="43"/>
    <col min="14110" max="14110" width="8.453125" style="43" customWidth="1"/>
    <col min="14111" max="14111" width="9.81640625" style="43" customWidth="1"/>
    <col min="14112" max="14113" width="10.1796875" style="43" customWidth="1"/>
    <col min="14114" max="14114" width="8.81640625" style="43" customWidth="1"/>
    <col min="14115" max="14115" width="1.453125" style="43" customWidth="1"/>
    <col min="14116" max="14336" width="9.1796875" style="43"/>
    <col min="14337" max="14337" width="1.453125" style="43" customWidth="1"/>
    <col min="14338" max="14338" width="8.81640625" style="43" customWidth="1"/>
    <col min="14339" max="14339" width="10.81640625" style="43" customWidth="1"/>
    <col min="14340" max="14340" width="1.81640625" style="43" customWidth="1"/>
    <col min="14341" max="14342" width="2.1796875" style="43" customWidth="1"/>
    <col min="14343" max="14344" width="0.54296875" style="43" customWidth="1"/>
    <col min="14345" max="14345" width="7.1796875" style="43" customWidth="1"/>
    <col min="14346" max="14347" width="0.54296875" style="43" customWidth="1"/>
    <col min="14348" max="14349" width="2.1796875" style="43" customWidth="1"/>
    <col min="14350" max="14350" width="1.81640625" style="43" customWidth="1"/>
    <col min="14351" max="14351" width="5.453125" style="43" customWidth="1"/>
    <col min="14352" max="14352" width="6.453125" style="43" customWidth="1"/>
    <col min="14353" max="14353" width="5.453125" style="43" customWidth="1"/>
    <col min="14354" max="14354" width="1.81640625" style="43" customWidth="1"/>
    <col min="14355" max="14356" width="2.1796875" style="43" customWidth="1"/>
    <col min="14357" max="14358" width="0.54296875" style="43" customWidth="1"/>
    <col min="14359" max="14359" width="7.1796875" style="43" customWidth="1"/>
    <col min="14360" max="14361" width="0.54296875" style="43" customWidth="1"/>
    <col min="14362" max="14363" width="2.1796875" style="43" customWidth="1"/>
    <col min="14364" max="14364" width="1.81640625" style="43" customWidth="1"/>
    <col min="14365" max="14365" width="9.1796875" style="43"/>
    <col min="14366" max="14366" width="8.453125" style="43" customWidth="1"/>
    <col min="14367" max="14367" width="9.81640625" style="43" customWidth="1"/>
    <col min="14368" max="14369" width="10.1796875" style="43" customWidth="1"/>
    <col min="14370" max="14370" width="8.81640625" style="43" customWidth="1"/>
    <col min="14371" max="14371" width="1.453125" style="43" customWidth="1"/>
    <col min="14372" max="14592" width="9.1796875" style="43"/>
    <col min="14593" max="14593" width="1.453125" style="43" customWidth="1"/>
    <col min="14594" max="14594" width="8.81640625" style="43" customWidth="1"/>
    <col min="14595" max="14595" width="10.81640625" style="43" customWidth="1"/>
    <col min="14596" max="14596" width="1.81640625" style="43" customWidth="1"/>
    <col min="14597" max="14598" width="2.1796875" style="43" customWidth="1"/>
    <col min="14599" max="14600" width="0.54296875" style="43" customWidth="1"/>
    <col min="14601" max="14601" width="7.1796875" style="43" customWidth="1"/>
    <col min="14602" max="14603" width="0.54296875" style="43" customWidth="1"/>
    <col min="14604" max="14605" width="2.1796875" style="43" customWidth="1"/>
    <col min="14606" max="14606" width="1.81640625" style="43" customWidth="1"/>
    <col min="14607" max="14607" width="5.453125" style="43" customWidth="1"/>
    <col min="14608" max="14608" width="6.453125" style="43" customWidth="1"/>
    <col min="14609" max="14609" width="5.453125" style="43" customWidth="1"/>
    <col min="14610" max="14610" width="1.81640625" style="43" customWidth="1"/>
    <col min="14611" max="14612" width="2.1796875" style="43" customWidth="1"/>
    <col min="14613" max="14614" width="0.54296875" style="43" customWidth="1"/>
    <col min="14615" max="14615" width="7.1796875" style="43" customWidth="1"/>
    <col min="14616" max="14617" width="0.54296875" style="43" customWidth="1"/>
    <col min="14618" max="14619" width="2.1796875" style="43" customWidth="1"/>
    <col min="14620" max="14620" width="1.81640625" style="43" customWidth="1"/>
    <col min="14621" max="14621" width="9.1796875" style="43"/>
    <col min="14622" max="14622" width="8.453125" style="43" customWidth="1"/>
    <col min="14623" max="14623" width="9.81640625" style="43" customWidth="1"/>
    <col min="14624" max="14625" width="10.1796875" style="43" customWidth="1"/>
    <col min="14626" max="14626" width="8.81640625" style="43" customWidth="1"/>
    <col min="14627" max="14627" width="1.453125" style="43" customWidth="1"/>
    <col min="14628" max="14848" width="9.1796875" style="43"/>
    <col min="14849" max="14849" width="1.453125" style="43" customWidth="1"/>
    <col min="14850" max="14850" width="8.81640625" style="43" customWidth="1"/>
    <col min="14851" max="14851" width="10.81640625" style="43" customWidth="1"/>
    <col min="14852" max="14852" width="1.81640625" style="43" customWidth="1"/>
    <col min="14853" max="14854" width="2.1796875" style="43" customWidth="1"/>
    <col min="14855" max="14856" width="0.54296875" style="43" customWidth="1"/>
    <col min="14857" max="14857" width="7.1796875" style="43" customWidth="1"/>
    <col min="14858" max="14859" width="0.54296875" style="43" customWidth="1"/>
    <col min="14860" max="14861" width="2.1796875" style="43" customWidth="1"/>
    <col min="14862" max="14862" width="1.81640625" style="43" customWidth="1"/>
    <col min="14863" max="14863" width="5.453125" style="43" customWidth="1"/>
    <col min="14864" max="14864" width="6.453125" style="43" customWidth="1"/>
    <col min="14865" max="14865" width="5.453125" style="43" customWidth="1"/>
    <col min="14866" max="14866" width="1.81640625" style="43" customWidth="1"/>
    <col min="14867" max="14868" width="2.1796875" style="43" customWidth="1"/>
    <col min="14869" max="14870" width="0.54296875" style="43" customWidth="1"/>
    <col min="14871" max="14871" width="7.1796875" style="43" customWidth="1"/>
    <col min="14872" max="14873" width="0.54296875" style="43" customWidth="1"/>
    <col min="14874" max="14875" width="2.1796875" style="43" customWidth="1"/>
    <col min="14876" max="14876" width="1.81640625" style="43" customWidth="1"/>
    <col min="14877" max="14877" width="9.1796875" style="43"/>
    <col min="14878" max="14878" width="8.453125" style="43" customWidth="1"/>
    <col min="14879" max="14879" width="9.81640625" style="43" customWidth="1"/>
    <col min="14880" max="14881" width="10.1796875" style="43" customWidth="1"/>
    <col min="14882" max="14882" width="8.81640625" style="43" customWidth="1"/>
    <col min="14883" max="14883" width="1.453125" style="43" customWidth="1"/>
    <col min="14884" max="15104" width="9.1796875" style="43"/>
    <col min="15105" max="15105" width="1.453125" style="43" customWidth="1"/>
    <col min="15106" max="15106" width="8.81640625" style="43" customWidth="1"/>
    <col min="15107" max="15107" width="10.81640625" style="43" customWidth="1"/>
    <col min="15108" max="15108" width="1.81640625" style="43" customWidth="1"/>
    <col min="15109" max="15110" width="2.1796875" style="43" customWidth="1"/>
    <col min="15111" max="15112" width="0.54296875" style="43" customWidth="1"/>
    <col min="15113" max="15113" width="7.1796875" style="43" customWidth="1"/>
    <col min="15114" max="15115" width="0.54296875" style="43" customWidth="1"/>
    <col min="15116" max="15117" width="2.1796875" style="43" customWidth="1"/>
    <col min="15118" max="15118" width="1.81640625" style="43" customWidth="1"/>
    <col min="15119" max="15119" width="5.453125" style="43" customWidth="1"/>
    <col min="15120" max="15120" width="6.453125" style="43" customWidth="1"/>
    <col min="15121" max="15121" width="5.453125" style="43" customWidth="1"/>
    <col min="15122" max="15122" width="1.81640625" style="43" customWidth="1"/>
    <col min="15123" max="15124" width="2.1796875" style="43" customWidth="1"/>
    <col min="15125" max="15126" width="0.54296875" style="43" customWidth="1"/>
    <col min="15127" max="15127" width="7.1796875" style="43" customWidth="1"/>
    <col min="15128" max="15129" width="0.54296875" style="43" customWidth="1"/>
    <col min="15130" max="15131" width="2.1796875" style="43" customWidth="1"/>
    <col min="15132" max="15132" width="1.81640625" style="43" customWidth="1"/>
    <col min="15133" max="15133" width="9.1796875" style="43"/>
    <col min="15134" max="15134" width="8.453125" style="43" customWidth="1"/>
    <col min="15135" max="15135" width="9.81640625" style="43" customWidth="1"/>
    <col min="15136" max="15137" width="10.1796875" style="43" customWidth="1"/>
    <col min="15138" max="15138" width="8.81640625" style="43" customWidth="1"/>
    <col min="15139" max="15139" width="1.453125" style="43" customWidth="1"/>
    <col min="15140" max="15360" width="9.1796875" style="43"/>
    <col min="15361" max="15361" width="1.453125" style="43" customWidth="1"/>
    <col min="15362" max="15362" width="8.81640625" style="43" customWidth="1"/>
    <col min="15363" max="15363" width="10.81640625" style="43" customWidth="1"/>
    <col min="15364" max="15364" width="1.81640625" style="43" customWidth="1"/>
    <col min="15365" max="15366" width="2.1796875" style="43" customWidth="1"/>
    <col min="15367" max="15368" width="0.54296875" style="43" customWidth="1"/>
    <col min="15369" max="15369" width="7.1796875" style="43" customWidth="1"/>
    <col min="15370" max="15371" width="0.54296875" style="43" customWidth="1"/>
    <col min="15372" max="15373" width="2.1796875" style="43" customWidth="1"/>
    <col min="15374" max="15374" width="1.81640625" style="43" customWidth="1"/>
    <col min="15375" max="15375" width="5.453125" style="43" customWidth="1"/>
    <col min="15376" max="15376" width="6.453125" style="43" customWidth="1"/>
    <col min="15377" max="15377" width="5.453125" style="43" customWidth="1"/>
    <col min="15378" max="15378" width="1.81640625" style="43" customWidth="1"/>
    <col min="15379" max="15380" width="2.1796875" style="43" customWidth="1"/>
    <col min="15381" max="15382" width="0.54296875" style="43" customWidth="1"/>
    <col min="15383" max="15383" width="7.1796875" style="43" customWidth="1"/>
    <col min="15384" max="15385" width="0.54296875" style="43" customWidth="1"/>
    <col min="15386" max="15387" width="2.1796875" style="43" customWidth="1"/>
    <col min="15388" max="15388" width="1.81640625" style="43" customWidth="1"/>
    <col min="15389" max="15389" width="9.1796875" style="43"/>
    <col min="15390" max="15390" width="8.453125" style="43" customWidth="1"/>
    <col min="15391" max="15391" width="9.81640625" style="43" customWidth="1"/>
    <col min="15392" max="15393" width="10.1796875" style="43" customWidth="1"/>
    <col min="15394" max="15394" width="8.81640625" style="43" customWidth="1"/>
    <col min="15395" max="15395" width="1.453125" style="43" customWidth="1"/>
    <col min="15396" max="15616" width="9.1796875" style="43"/>
    <col min="15617" max="15617" width="1.453125" style="43" customWidth="1"/>
    <col min="15618" max="15618" width="8.81640625" style="43" customWidth="1"/>
    <col min="15619" max="15619" width="10.81640625" style="43" customWidth="1"/>
    <col min="15620" max="15620" width="1.81640625" style="43" customWidth="1"/>
    <col min="15621" max="15622" width="2.1796875" style="43" customWidth="1"/>
    <col min="15623" max="15624" width="0.54296875" style="43" customWidth="1"/>
    <col min="15625" max="15625" width="7.1796875" style="43" customWidth="1"/>
    <col min="15626" max="15627" width="0.54296875" style="43" customWidth="1"/>
    <col min="15628" max="15629" width="2.1796875" style="43" customWidth="1"/>
    <col min="15630" max="15630" width="1.81640625" style="43" customWidth="1"/>
    <col min="15631" max="15631" width="5.453125" style="43" customWidth="1"/>
    <col min="15632" max="15632" width="6.453125" style="43" customWidth="1"/>
    <col min="15633" max="15633" width="5.453125" style="43" customWidth="1"/>
    <col min="15634" max="15634" width="1.81640625" style="43" customWidth="1"/>
    <col min="15635" max="15636" width="2.1796875" style="43" customWidth="1"/>
    <col min="15637" max="15638" width="0.54296875" style="43" customWidth="1"/>
    <col min="15639" max="15639" width="7.1796875" style="43" customWidth="1"/>
    <col min="15640" max="15641" width="0.54296875" style="43" customWidth="1"/>
    <col min="15642" max="15643" width="2.1796875" style="43" customWidth="1"/>
    <col min="15644" max="15644" width="1.81640625" style="43" customWidth="1"/>
    <col min="15645" max="15645" width="9.1796875" style="43"/>
    <col min="15646" max="15646" width="8.453125" style="43" customWidth="1"/>
    <col min="15647" max="15647" width="9.81640625" style="43" customWidth="1"/>
    <col min="15648" max="15649" width="10.1796875" style="43" customWidth="1"/>
    <col min="15650" max="15650" width="8.81640625" style="43" customWidth="1"/>
    <col min="15651" max="15651" width="1.453125" style="43" customWidth="1"/>
    <col min="15652" max="15872" width="9.1796875" style="43"/>
    <col min="15873" max="15873" width="1.453125" style="43" customWidth="1"/>
    <col min="15874" max="15874" width="8.81640625" style="43" customWidth="1"/>
    <col min="15875" max="15875" width="10.81640625" style="43" customWidth="1"/>
    <col min="15876" max="15876" width="1.81640625" style="43" customWidth="1"/>
    <col min="15877" max="15878" width="2.1796875" style="43" customWidth="1"/>
    <col min="15879" max="15880" width="0.54296875" style="43" customWidth="1"/>
    <col min="15881" max="15881" width="7.1796875" style="43" customWidth="1"/>
    <col min="15882" max="15883" width="0.54296875" style="43" customWidth="1"/>
    <col min="15884" max="15885" width="2.1796875" style="43" customWidth="1"/>
    <col min="15886" max="15886" width="1.81640625" style="43" customWidth="1"/>
    <col min="15887" max="15887" width="5.453125" style="43" customWidth="1"/>
    <col min="15888" max="15888" width="6.453125" style="43" customWidth="1"/>
    <col min="15889" max="15889" width="5.453125" style="43" customWidth="1"/>
    <col min="15890" max="15890" width="1.81640625" style="43" customWidth="1"/>
    <col min="15891" max="15892" width="2.1796875" style="43" customWidth="1"/>
    <col min="15893" max="15894" width="0.54296875" style="43" customWidth="1"/>
    <col min="15895" max="15895" width="7.1796875" style="43" customWidth="1"/>
    <col min="15896" max="15897" width="0.54296875" style="43" customWidth="1"/>
    <col min="15898" max="15899" width="2.1796875" style="43" customWidth="1"/>
    <col min="15900" max="15900" width="1.81640625" style="43" customWidth="1"/>
    <col min="15901" max="15901" width="9.1796875" style="43"/>
    <col min="15902" max="15902" width="8.453125" style="43" customWidth="1"/>
    <col min="15903" max="15903" width="9.81640625" style="43" customWidth="1"/>
    <col min="15904" max="15905" width="10.1796875" style="43" customWidth="1"/>
    <col min="15906" max="15906" width="8.81640625" style="43" customWidth="1"/>
    <col min="15907" max="15907" width="1.453125" style="43" customWidth="1"/>
    <col min="15908" max="16128" width="9.1796875" style="43"/>
    <col min="16129" max="16129" width="1.453125" style="43" customWidth="1"/>
    <col min="16130" max="16130" width="8.81640625" style="43" customWidth="1"/>
    <col min="16131" max="16131" width="10.81640625" style="43" customWidth="1"/>
    <col min="16132" max="16132" width="1.81640625" style="43" customWidth="1"/>
    <col min="16133" max="16134" width="2.1796875" style="43" customWidth="1"/>
    <col min="16135" max="16136" width="0.54296875" style="43" customWidth="1"/>
    <col min="16137" max="16137" width="7.1796875" style="43" customWidth="1"/>
    <col min="16138" max="16139" width="0.54296875" style="43" customWidth="1"/>
    <col min="16140" max="16141" width="2.1796875" style="43" customWidth="1"/>
    <col min="16142" max="16142" width="1.81640625" style="43" customWidth="1"/>
    <col min="16143" max="16143" width="5.453125" style="43" customWidth="1"/>
    <col min="16144" max="16144" width="6.453125" style="43" customWidth="1"/>
    <col min="16145" max="16145" width="5.453125" style="43" customWidth="1"/>
    <col min="16146" max="16146" width="1.81640625" style="43" customWidth="1"/>
    <col min="16147" max="16148" width="2.1796875" style="43" customWidth="1"/>
    <col min="16149" max="16150" width="0.54296875" style="43" customWidth="1"/>
    <col min="16151" max="16151" width="7.1796875" style="43" customWidth="1"/>
    <col min="16152" max="16153" width="0.54296875" style="43" customWidth="1"/>
    <col min="16154" max="16155" width="2.1796875" style="43" customWidth="1"/>
    <col min="16156" max="16156" width="1.81640625" style="43" customWidth="1"/>
    <col min="16157" max="16157" width="9.1796875" style="43"/>
    <col min="16158" max="16158" width="8.453125" style="43" customWidth="1"/>
    <col min="16159" max="16159" width="9.81640625" style="43" customWidth="1"/>
    <col min="16160" max="16161" width="10.1796875" style="43" customWidth="1"/>
    <col min="16162" max="16162" width="8.81640625" style="43" customWidth="1"/>
    <col min="16163" max="16163" width="1.453125" style="43" customWidth="1"/>
    <col min="16164" max="16384" width="9.1796875" style="43"/>
  </cols>
  <sheetData>
    <row r="1" spans="2:37" ht="10.5" thickBot="1"/>
    <row r="2" spans="2:37" ht="7.5" customHeight="1">
      <c r="B2" s="46"/>
      <c r="C2" s="47"/>
      <c r="D2" s="48"/>
      <c r="E2" s="47"/>
      <c r="F2" s="47"/>
      <c r="G2" s="47"/>
      <c r="H2" s="47"/>
      <c r="I2" s="47"/>
      <c r="J2" s="48"/>
      <c r="K2" s="47"/>
      <c r="L2" s="47"/>
      <c r="M2" s="47"/>
      <c r="N2" s="47"/>
      <c r="O2" s="47"/>
      <c r="P2" s="47"/>
      <c r="Q2" s="48"/>
      <c r="R2" s="47"/>
      <c r="S2" s="47"/>
      <c r="T2" s="47"/>
      <c r="U2" s="47"/>
      <c r="V2" s="47"/>
      <c r="W2" s="47"/>
      <c r="X2" s="48"/>
      <c r="Y2" s="47"/>
      <c r="Z2" s="47"/>
      <c r="AA2" s="47"/>
      <c r="AB2" s="47"/>
      <c r="AC2" s="47"/>
      <c r="AD2" s="47"/>
      <c r="AE2" s="48"/>
      <c r="AF2" s="47"/>
      <c r="AG2" s="47"/>
      <c r="AH2" s="47"/>
      <c r="AI2" s="47"/>
      <c r="AJ2" s="49"/>
    </row>
    <row r="3" spans="2:37" ht="21.75" customHeight="1">
      <c r="B3" s="50"/>
      <c r="C3" s="51" t="s">
        <v>33</v>
      </c>
      <c r="D3" s="52"/>
      <c r="E3" s="51"/>
      <c r="F3" s="51"/>
      <c r="G3" s="51"/>
      <c r="H3" s="51"/>
      <c r="I3" s="51"/>
      <c r="J3" s="52"/>
      <c r="K3" s="51"/>
      <c r="L3" s="51"/>
      <c r="M3" s="51"/>
      <c r="N3" s="51"/>
      <c r="O3" s="51"/>
      <c r="P3" s="51"/>
      <c r="Q3" s="52"/>
      <c r="R3" s="51"/>
      <c r="S3" s="51"/>
      <c r="T3" s="51"/>
      <c r="U3" s="51"/>
      <c r="V3" s="51"/>
      <c r="W3" s="51"/>
      <c r="X3" s="53" t="s">
        <v>34</v>
      </c>
      <c r="Y3" s="51"/>
      <c r="Z3" s="51"/>
      <c r="AA3" s="51"/>
      <c r="AB3" s="51"/>
      <c r="AC3" s="51"/>
      <c r="AD3" s="51"/>
      <c r="AE3" s="52"/>
      <c r="AF3" s="51"/>
      <c r="AG3" s="55"/>
      <c r="AH3" s="55"/>
      <c r="AI3" s="51"/>
      <c r="AJ3" s="54"/>
    </row>
    <row r="4" spans="2:37" ht="6.75" customHeight="1" thickBot="1">
      <c r="B4" s="50"/>
      <c r="C4" s="51"/>
      <c r="D4" s="52"/>
      <c r="E4" s="51"/>
      <c r="F4" s="51"/>
      <c r="G4" s="51"/>
      <c r="H4" s="51"/>
      <c r="I4" s="51"/>
      <c r="J4" s="52"/>
      <c r="K4" s="51"/>
      <c r="L4" s="51"/>
      <c r="M4" s="51"/>
      <c r="N4" s="51"/>
      <c r="O4" s="51"/>
      <c r="P4" s="51"/>
      <c r="Q4" s="52"/>
      <c r="R4" s="51"/>
      <c r="S4" s="51"/>
      <c r="T4" s="51"/>
      <c r="U4" s="51"/>
      <c r="V4" s="51"/>
      <c r="W4" s="51"/>
      <c r="X4" s="52"/>
      <c r="Y4" s="51"/>
      <c r="Z4" s="51"/>
      <c r="AA4" s="51"/>
      <c r="AB4" s="51"/>
      <c r="AC4" s="51"/>
      <c r="AD4" s="51"/>
      <c r="AE4" s="52"/>
      <c r="AF4" s="51"/>
      <c r="AG4" s="51"/>
      <c r="AH4" s="51"/>
      <c r="AI4" s="51"/>
      <c r="AJ4" s="54"/>
    </row>
    <row r="5" spans="2:37" ht="14.15" customHeight="1" thickBot="1">
      <c r="B5" s="50"/>
      <c r="C5" s="55"/>
      <c r="D5" s="56"/>
      <c r="E5" s="55"/>
      <c r="F5" s="55"/>
      <c r="G5" s="55"/>
      <c r="H5" s="55"/>
      <c r="I5" s="55"/>
      <c r="J5" s="56"/>
      <c r="K5" s="55"/>
      <c r="L5" s="55"/>
      <c r="M5" s="55"/>
      <c r="N5" s="55"/>
      <c r="O5" s="57"/>
      <c r="P5" s="55"/>
      <c r="Q5" s="56"/>
      <c r="R5" s="55"/>
      <c r="S5" s="55"/>
      <c r="T5" s="55"/>
      <c r="U5" s="55"/>
      <c r="V5" s="55"/>
      <c r="W5" s="55"/>
      <c r="X5" s="56"/>
      <c r="Y5" s="55"/>
      <c r="Z5" s="55"/>
      <c r="AA5" s="55"/>
      <c r="AB5" s="55"/>
      <c r="AC5" s="57"/>
      <c r="AD5" s="55"/>
      <c r="AE5" s="851" t="s">
        <v>161</v>
      </c>
      <c r="AF5" s="852"/>
      <c r="AG5" s="852"/>
      <c r="AH5" s="852"/>
      <c r="AI5" s="853"/>
      <c r="AJ5" s="54"/>
    </row>
    <row r="6" spans="2:37" s="67" customFormat="1" ht="14.5" thickBot="1">
      <c r="B6" s="58"/>
      <c r="C6" s="59"/>
      <c r="D6" s="60"/>
      <c r="E6" s="61"/>
      <c r="F6" s="61"/>
      <c r="G6" s="61"/>
      <c r="H6" s="61"/>
      <c r="I6" s="62"/>
      <c r="J6" s="63" t="s">
        <v>35</v>
      </c>
      <c r="K6" s="61"/>
      <c r="L6" s="61"/>
      <c r="M6" s="61"/>
      <c r="N6" s="61"/>
      <c r="O6" s="61"/>
      <c r="P6" s="61"/>
      <c r="Q6" s="60"/>
      <c r="R6" s="61"/>
      <c r="S6" s="61"/>
      <c r="T6" s="61"/>
      <c r="U6" s="61"/>
      <c r="V6" s="61"/>
      <c r="W6" s="64"/>
      <c r="X6" s="65"/>
      <c r="Y6" s="61"/>
      <c r="Z6" s="61"/>
      <c r="AA6" s="61"/>
      <c r="AB6" s="61"/>
      <c r="AC6" s="61"/>
      <c r="AD6" s="61"/>
      <c r="AE6" s="293" t="s">
        <v>36</v>
      </c>
      <c r="AF6" s="294" t="s">
        <v>37</v>
      </c>
      <c r="AG6" s="295" t="s">
        <v>108</v>
      </c>
      <c r="AH6" s="295" t="s">
        <v>109</v>
      </c>
      <c r="AI6" s="296"/>
      <c r="AJ6" s="66"/>
    </row>
    <row r="7" spans="2:37" s="67" customFormat="1" ht="14">
      <c r="B7" s="58"/>
      <c r="C7" s="68"/>
      <c r="D7" s="69"/>
      <c r="E7" s="68"/>
      <c r="F7" s="68"/>
      <c r="G7" s="68"/>
      <c r="H7" s="68"/>
      <c r="I7" s="68"/>
      <c r="J7" s="63" t="s">
        <v>38</v>
      </c>
      <c r="K7" s="68"/>
      <c r="L7" s="68"/>
      <c r="M7" s="68"/>
      <c r="N7" s="68"/>
      <c r="O7" s="68"/>
      <c r="P7" s="68"/>
      <c r="Q7" s="70" t="s">
        <v>12</v>
      </c>
      <c r="R7" s="68"/>
      <c r="S7" s="68"/>
      <c r="T7" s="68"/>
      <c r="U7" s="68"/>
      <c r="V7" s="68"/>
      <c r="W7" s="71"/>
      <c r="X7" s="72"/>
      <c r="Y7" s="68"/>
      <c r="Z7" s="68"/>
      <c r="AA7" s="68"/>
      <c r="AB7" s="68"/>
      <c r="AC7" s="68"/>
      <c r="AD7" s="68"/>
      <c r="AE7" s="415">
        <f>'7" 26# Deck Tally'!G5</f>
        <v>3.21</v>
      </c>
      <c r="AF7" s="308">
        <f>AE7-(4.776/12)</f>
        <v>2.8119999999999998</v>
      </c>
      <c r="AG7" s="602" t="s">
        <v>9</v>
      </c>
      <c r="AH7" s="412" t="str">
        <f>'7" 26# Deck Tally'!F5</f>
        <v>PJ A</v>
      </c>
      <c r="AI7" s="340">
        <f>IF(AG7="IN",AF7,0)</f>
        <v>2.8119999999999998</v>
      </c>
      <c r="AJ7" s="66"/>
    </row>
    <row r="8" spans="2:37" s="67" customFormat="1" ht="14.5" thickBot="1">
      <c r="B8" s="58"/>
      <c r="C8" s="61"/>
      <c r="D8" s="74"/>
      <c r="E8" s="75"/>
      <c r="F8" s="76"/>
      <c r="G8" s="76"/>
      <c r="H8" s="76"/>
      <c r="I8" s="77"/>
      <c r="J8" s="78"/>
      <c r="K8" s="76"/>
      <c r="L8" s="76"/>
      <c r="M8" s="76"/>
      <c r="N8" s="76"/>
      <c r="O8" s="79"/>
      <c r="P8" s="76"/>
      <c r="Q8" s="74"/>
      <c r="R8" s="76"/>
      <c r="S8" s="75"/>
      <c r="T8" s="76"/>
      <c r="U8" s="76"/>
      <c r="V8" s="76"/>
      <c r="W8" s="80"/>
      <c r="X8" s="81" t="s">
        <v>39</v>
      </c>
      <c r="Y8" s="76"/>
      <c r="Z8" s="76"/>
      <c r="AA8" s="76"/>
      <c r="AB8" s="76"/>
      <c r="AC8" s="79"/>
      <c r="AD8" s="76"/>
      <c r="AE8" s="414">
        <f>'7" 26# Deck Tally'!G6</f>
        <v>3.21</v>
      </c>
      <c r="AF8" s="307">
        <f t="shared" ref="AF8:AF15" si="0">AE8-(4.776/12)</f>
        <v>2.8119999999999998</v>
      </c>
      <c r="AG8" s="73" t="s">
        <v>11</v>
      </c>
      <c r="AH8" s="411" t="str">
        <f>'7" 26# Deck Tally'!F6</f>
        <v>PJ B</v>
      </c>
      <c r="AI8" s="341">
        <f t="shared" ref="AI8:AI16" si="1">IF(AG8="IN",AF8,0)</f>
        <v>0</v>
      </c>
      <c r="AJ8" s="66"/>
    </row>
    <row r="9" spans="2:37" s="67" customFormat="1" ht="15" thickTop="1" thickBot="1">
      <c r="B9" s="58"/>
      <c r="C9" s="61"/>
      <c r="D9" s="60"/>
      <c r="E9" s="82"/>
      <c r="F9" s="83"/>
      <c r="G9" s="83"/>
      <c r="H9" s="83"/>
      <c r="I9" s="84"/>
      <c r="J9" s="78" t="s">
        <v>40</v>
      </c>
      <c r="K9" s="83"/>
      <c r="L9" s="83"/>
      <c r="M9" s="83"/>
      <c r="N9" s="83"/>
      <c r="O9" s="85"/>
      <c r="P9" s="61"/>
      <c r="Q9" s="60"/>
      <c r="R9" s="61"/>
      <c r="S9" s="82"/>
      <c r="T9" s="61"/>
      <c r="U9" s="61"/>
      <c r="V9" s="61"/>
      <c r="W9" s="64"/>
      <c r="X9" s="65" t="s">
        <v>29</v>
      </c>
      <c r="Y9" s="61"/>
      <c r="Z9" s="61"/>
      <c r="AA9" s="61"/>
      <c r="AB9" s="61"/>
      <c r="AC9" s="85"/>
      <c r="AD9" s="61"/>
      <c r="AE9" s="414">
        <f>'7" 26# Deck Tally'!G7</f>
        <v>6.22</v>
      </c>
      <c r="AF9" s="307">
        <f t="shared" si="0"/>
        <v>5.8220000000000001</v>
      </c>
      <c r="AG9" s="531" t="s">
        <v>11</v>
      </c>
      <c r="AH9" s="411" t="str">
        <f>'7" 26# Deck Tally'!F7</f>
        <v>PJ C</v>
      </c>
      <c r="AI9" s="341">
        <f t="shared" si="1"/>
        <v>0</v>
      </c>
      <c r="AJ9" s="66"/>
    </row>
    <row r="10" spans="2:37" s="67" customFormat="1" ht="15" thickTop="1" thickBot="1">
      <c r="B10" s="58"/>
      <c r="C10" s="68"/>
      <c r="D10" s="69"/>
      <c r="E10" s="86"/>
      <c r="F10" s="87"/>
      <c r="G10" s="88"/>
      <c r="H10" s="88"/>
      <c r="I10" s="88"/>
      <c r="J10" s="89" t="s">
        <v>41</v>
      </c>
      <c r="K10" s="88"/>
      <c r="L10" s="88"/>
      <c r="M10" s="88"/>
      <c r="N10" s="90"/>
      <c r="O10" s="91"/>
      <c r="P10" s="68"/>
      <c r="Q10" s="70" t="s">
        <v>42</v>
      </c>
      <c r="R10" s="68"/>
      <c r="S10" s="92"/>
      <c r="T10" s="61"/>
      <c r="U10" s="61"/>
      <c r="V10" s="61"/>
      <c r="W10" s="64"/>
      <c r="X10" s="65" t="s">
        <v>38</v>
      </c>
      <c r="Y10" s="61"/>
      <c r="Z10" s="61"/>
      <c r="AA10" s="61"/>
      <c r="AB10" s="61"/>
      <c r="AC10" s="91"/>
      <c r="AD10" s="68"/>
      <c r="AE10" s="414">
        <f>'7" 26# Deck Tally'!G8</f>
        <v>6.21</v>
      </c>
      <c r="AF10" s="307">
        <f t="shared" si="0"/>
        <v>5.8120000000000003</v>
      </c>
      <c r="AG10" s="73" t="s">
        <v>11</v>
      </c>
      <c r="AH10" s="411" t="str">
        <f>'7" 26# Deck Tally'!F8</f>
        <v>PJ D</v>
      </c>
      <c r="AI10" s="341">
        <f t="shared" si="1"/>
        <v>0</v>
      </c>
      <c r="AJ10" s="66"/>
    </row>
    <row r="11" spans="2:37" s="67" customFormat="1" ht="15" thickTop="1" thickBot="1">
      <c r="B11" s="58"/>
      <c r="C11" s="61"/>
      <c r="D11" s="60"/>
      <c r="E11" s="61"/>
      <c r="F11" s="82"/>
      <c r="G11" s="61"/>
      <c r="H11" s="61"/>
      <c r="I11" s="93"/>
      <c r="J11" s="94" t="s">
        <v>43</v>
      </c>
      <c r="K11" s="61"/>
      <c r="L11" s="61"/>
      <c r="M11" s="61"/>
      <c r="N11" s="85"/>
      <c r="O11" s="61"/>
      <c r="P11" s="61"/>
      <c r="Q11" s="60"/>
      <c r="R11" s="61"/>
      <c r="S11" s="61"/>
      <c r="T11" s="82"/>
      <c r="U11" s="61"/>
      <c r="V11" s="61"/>
      <c r="W11" s="64"/>
      <c r="X11" s="95"/>
      <c r="Y11" s="61"/>
      <c r="Z11" s="61"/>
      <c r="AA11" s="61"/>
      <c r="AB11" s="85"/>
      <c r="AC11" s="61"/>
      <c r="AD11" s="61"/>
      <c r="AE11" s="414">
        <f>'7" 26# Deck Tally'!G9</f>
        <v>10.210000000000001</v>
      </c>
      <c r="AF11" s="307">
        <f t="shared" si="0"/>
        <v>9.8120000000000012</v>
      </c>
      <c r="AG11" s="603" t="s">
        <v>9</v>
      </c>
      <c r="AH11" s="411" t="str">
        <f>'7" 26# Deck Tally'!F9</f>
        <v>PJ E</v>
      </c>
      <c r="AI11" s="341">
        <f t="shared" si="1"/>
        <v>9.8120000000000012</v>
      </c>
      <c r="AJ11" s="66"/>
    </row>
    <row r="12" spans="2:37" s="67" customFormat="1" ht="14.5" thickTop="1">
      <c r="B12" s="58"/>
      <c r="C12" s="61"/>
      <c r="D12" s="60"/>
      <c r="E12" s="61"/>
      <c r="F12" s="82"/>
      <c r="G12" s="61"/>
      <c r="H12" s="61"/>
      <c r="I12" s="61"/>
      <c r="J12" s="96"/>
      <c r="K12" s="61"/>
      <c r="L12" s="61"/>
      <c r="M12" s="61"/>
      <c r="N12" s="85"/>
      <c r="O12" s="61"/>
      <c r="P12" s="61"/>
      <c r="Q12" s="60"/>
      <c r="R12" s="61"/>
      <c r="S12" s="61"/>
      <c r="T12" s="82"/>
      <c r="U12" s="61"/>
      <c r="V12" s="61"/>
      <c r="W12" s="64"/>
      <c r="X12" s="97"/>
      <c r="Y12" s="61"/>
      <c r="Z12" s="61"/>
      <c r="AA12" s="61"/>
      <c r="AB12" s="85"/>
      <c r="AC12" s="61"/>
      <c r="AD12" s="61"/>
      <c r="AE12" s="414">
        <f>'7" 26# Deck Tally'!G10</f>
        <v>10.210000000000001</v>
      </c>
      <c r="AF12" s="307">
        <f t="shared" si="0"/>
        <v>9.8120000000000012</v>
      </c>
      <c r="AG12" s="73" t="s">
        <v>11</v>
      </c>
      <c r="AH12" s="411" t="str">
        <f>'7" 26# Deck Tally'!F10</f>
        <v>PJ F</v>
      </c>
      <c r="AI12" s="341">
        <f t="shared" si="1"/>
        <v>0</v>
      </c>
      <c r="AJ12" s="66"/>
    </row>
    <row r="13" spans="2:37" s="67" customFormat="1" ht="14">
      <c r="B13" s="58"/>
      <c r="C13" s="61"/>
      <c r="D13" s="60"/>
      <c r="E13" s="61"/>
      <c r="F13" s="82"/>
      <c r="G13" s="61"/>
      <c r="H13" s="61"/>
      <c r="I13" s="61"/>
      <c r="J13" s="98" t="s">
        <v>44</v>
      </c>
      <c r="K13" s="61"/>
      <c r="L13" s="61"/>
      <c r="M13" s="61"/>
      <c r="N13" s="85"/>
      <c r="O13" s="61"/>
      <c r="P13" s="61"/>
      <c r="Q13" s="60"/>
      <c r="R13" s="61"/>
      <c r="S13" s="61"/>
      <c r="T13" s="82"/>
      <c r="U13" s="61"/>
      <c r="V13" s="61"/>
      <c r="W13" s="99"/>
      <c r="X13" s="97"/>
      <c r="Y13" s="61"/>
      <c r="Z13" s="61"/>
      <c r="AA13" s="61"/>
      <c r="AB13" s="85"/>
      <c r="AC13" s="61"/>
      <c r="AD13" s="61"/>
      <c r="AE13" s="414">
        <f>'7" 26# Deck Tally'!G11</f>
        <v>15.2</v>
      </c>
      <c r="AF13" s="448">
        <f t="shared" si="0"/>
        <v>14.802</v>
      </c>
      <c r="AG13" s="73" t="s">
        <v>11</v>
      </c>
      <c r="AH13" s="411" t="str">
        <f>'7" 26# Deck Tally'!F11</f>
        <v>PJ G</v>
      </c>
      <c r="AI13" s="341">
        <f t="shared" si="1"/>
        <v>0</v>
      </c>
      <c r="AJ13" s="66"/>
      <c r="AK13" s="432"/>
    </row>
    <row r="14" spans="2:37" s="67" customFormat="1" ht="14.5" thickBot="1">
      <c r="B14" s="58"/>
      <c r="C14" s="61"/>
      <c r="D14" s="60"/>
      <c r="E14" s="61"/>
      <c r="F14" s="82"/>
      <c r="G14" s="61"/>
      <c r="H14" s="61"/>
      <c r="I14" s="61"/>
      <c r="J14" s="100"/>
      <c r="K14" s="61"/>
      <c r="L14" s="61"/>
      <c r="M14" s="61"/>
      <c r="N14" s="85"/>
      <c r="O14" s="61"/>
      <c r="P14" s="61"/>
      <c r="Q14" s="60"/>
      <c r="R14" s="61"/>
      <c r="S14" s="61"/>
      <c r="T14" s="82"/>
      <c r="U14" s="61"/>
      <c r="V14" s="61"/>
      <c r="W14" s="99"/>
      <c r="X14" s="97"/>
      <c r="Y14" s="61"/>
      <c r="Z14" s="61"/>
      <c r="AA14" s="61"/>
      <c r="AB14" s="85"/>
      <c r="AC14" s="61"/>
      <c r="AD14" s="61"/>
      <c r="AE14" s="414">
        <f>'7" 26# Deck Tally'!G12</f>
        <v>15.21</v>
      </c>
      <c r="AF14" s="307">
        <f t="shared" si="0"/>
        <v>14.812000000000001</v>
      </c>
      <c r="AG14" s="73" t="s">
        <v>11</v>
      </c>
      <c r="AH14" s="411" t="str">
        <f>'7" 26# Deck Tally'!F12</f>
        <v>PJ H</v>
      </c>
      <c r="AI14" s="342">
        <f t="shared" si="1"/>
        <v>0</v>
      </c>
      <c r="AJ14" s="66"/>
    </row>
    <row r="15" spans="2:37" s="67" customFormat="1" ht="15" thickTop="1" thickBot="1">
      <c r="B15" s="58"/>
      <c r="C15" s="61"/>
      <c r="D15" s="60"/>
      <c r="E15" s="61"/>
      <c r="F15" s="82"/>
      <c r="G15" s="61"/>
      <c r="H15" s="61"/>
      <c r="I15" s="99"/>
      <c r="J15" s="101"/>
      <c r="K15" s="61"/>
      <c r="L15" s="61"/>
      <c r="M15" s="61"/>
      <c r="N15" s="85"/>
      <c r="O15" s="61"/>
      <c r="P15" s="61"/>
      <c r="Q15" s="60"/>
      <c r="R15" s="61"/>
      <c r="S15" s="61"/>
      <c r="T15" s="82"/>
      <c r="U15" s="61"/>
      <c r="V15" s="61"/>
      <c r="W15" s="99"/>
      <c r="X15" s="102"/>
      <c r="Y15" s="61"/>
      <c r="Z15" s="61"/>
      <c r="AA15" s="61"/>
      <c r="AB15" s="85"/>
      <c r="AC15" s="61"/>
      <c r="AD15" s="61"/>
      <c r="AE15" s="414">
        <f>'7" 26# Deck Tally'!G13</f>
        <v>20.2</v>
      </c>
      <c r="AF15" s="307">
        <f t="shared" si="0"/>
        <v>19.802</v>
      </c>
      <c r="AG15" s="531" t="s">
        <v>11</v>
      </c>
      <c r="AH15" s="411" t="str">
        <f>'7" 26# Deck Tally'!F13</f>
        <v>PJ I</v>
      </c>
      <c r="AI15" s="341">
        <f t="shared" si="1"/>
        <v>0</v>
      </c>
      <c r="AJ15" s="66"/>
    </row>
    <row r="16" spans="2:37" s="67" customFormat="1" ht="15" thickTop="1" thickBot="1">
      <c r="B16" s="58"/>
      <c r="C16" s="61"/>
      <c r="D16" s="60"/>
      <c r="E16" s="61"/>
      <c r="F16" s="82"/>
      <c r="G16" s="61"/>
      <c r="H16" s="103"/>
      <c r="I16" s="104"/>
      <c r="J16" s="105"/>
      <c r="K16" s="106"/>
      <c r="L16" s="107"/>
      <c r="M16" s="61"/>
      <c r="N16" s="85"/>
      <c r="O16" s="61"/>
      <c r="P16" s="61"/>
      <c r="Q16" s="60"/>
      <c r="R16" s="61"/>
      <c r="S16" s="61"/>
      <c r="T16" s="82"/>
      <c r="U16" s="61"/>
      <c r="V16" s="61"/>
      <c r="W16" s="99"/>
      <c r="X16" s="105"/>
      <c r="Y16" s="61"/>
      <c r="Z16" s="61"/>
      <c r="AA16" s="61"/>
      <c r="AB16" s="85"/>
      <c r="AC16" s="61"/>
      <c r="AD16" s="61"/>
      <c r="AE16" s="414">
        <f>'7" 26# Deck Tally'!G14</f>
        <v>19.87</v>
      </c>
      <c r="AF16" s="307">
        <f t="shared" ref="AF16:AF19" si="2">AE16-(4.776/12)</f>
        <v>19.472000000000001</v>
      </c>
      <c r="AG16" s="73" t="s">
        <v>11</v>
      </c>
      <c r="AH16" s="411" t="str">
        <f>'7" 26# Deck Tally'!F14</f>
        <v>PJ J</v>
      </c>
      <c r="AI16" s="341">
        <f t="shared" si="1"/>
        <v>0</v>
      </c>
      <c r="AJ16" s="66"/>
    </row>
    <row r="17" spans="2:36" s="67" customFormat="1" ht="15" thickTop="1" thickBot="1">
      <c r="B17" s="58"/>
      <c r="C17" s="108" t="s">
        <v>45</v>
      </c>
      <c r="D17" s="108"/>
      <c r="E17" s="109"/>
      <c r="F17" s="68"/>
      <c r="G17" s="110"/>
      <c r="H17" s="111"/>
      <c r="I17" s="104"/>
      <c r="J17" s="105"/>
      <c r="K17" s="112"/>
      <c r="L17" s="113"/>
      <c r="M17" s="111"/>
      <c r="N17" s="85"/>
      <c r="O17" s="61"/>
      <c r="P17" s="61"/>
      <c r="Q17" s="60"/>
      <c r="R17" s="61"/>
      <c r="S17" s="61"/>
      <c r="T17" s="82"/>
      <c r="U17" s="61"/>
      <c r="V17" s="103"/>
      <c r="W17" s="104"/>
      <c r="X17" s="105"/>
      <c r="Y17" s="114"/>
      <c r="Z17" s="107"/>
      <c r="AA17" s="61"/>
      <c r="AB17" s="85"/>
      <c r="AC17" s="61"/>
      <c r="AD17" s="61"/>
      <c r="AE17" s="489"/>
      <c r="AF17" s="307">
        <f t="shared" si="2"/>
        <v>-0.39799999999999996</v>
      </c>
      <c r="AG17" s="73" t="s">
        <v>11</v>
      </c>
      <c r="AH17" s="411"/>
      <c r="AI17" s="341"/>
      <c r="AJ17" s="66"/>
    </row>
    <row r="18" spans="2:36" s="67" customFormat="1" ht="15" thickTop="1" thickBot="1">
      <c r="B18" s="58"/>
      <c r="C18" s="115"/>
      <c r="D18" s="115"/>
      <c r="E18" s="116"/>
      <c r="F18" s="76"/>
      <c r="G18" s="61"/>
      <c r="H18" s="117"/>
      <c r="I18" s="118"/>
      <c r="J18" s="105"/>
      <c r="K18" s="119"/>
      <c r="L18" s="117"/>
      <c r="M18" s="61"/>
      <c r="N18" s="85"/>
      <c r="O18" s="61"/>
      <c r="P18" s="61"/>
      <c r="Q18" s="60"/>
      <c r="R18" s="61"/>
      <c r="S18" s="61"/>
      <c r="T18" s="82"/>
      <c r="U18" s="110"/>
      <c r="V18" s="111"/>
      <c r="W18" s="104"/>
      <c r="X18" s="105"/>
      <c r="Y18" s="112"/>
      <c r="Z18" s="113"/>
      <c r="AA18" s="111"/>
      <c r="AB18" s="85"/>
      <c r="AC18" s="61"/>
      <c r="AD18" s="459"/>
      <c r="AE18" s="414"/>
      <c r="AF18" s="448">
        <f t="shared" si="2"/>
        <v>-0.39799999999999996</v>
      </c>
      <c r="AG18" s="73" t="s">
        <v>11</v>
      </c>
      <c r="AH18" s="411"/>
      <c r="AI18" s="341"/>
      <c r="AJ18" s="297"/>
    </row>
    <row r="19" spans="2:36" s="67" customFormat="1" ht="15" thickTop="1" thickBot="1">
      <c r="B19" s="58"/>
      <c r="C19" s="61"/>
      <c r="D19" s="60"/>
      <c r="E19" s="61"/>
      <c r="F19" s="82"/>
      <c r="G19" s="125"/>
      <c r="H19" s="61"/>
      <c r="I19" s="99"/>
      <c r="J19" s="120"/>
      <c r="K19" s="61"/>
      <c r="L19" s="125"/>
      <c r="M19" s="125"/>
      <c r="N19" s="85"/>
      <c r="O19" s="61"/>
      <c r="P19" s="61"/>
      <c r="Q19" s="60"/>
      <c r="R19" s="61"/>
      <c r="S19" s="61"/>
      <c r="T19" s="82"/>
      <c r="U19" s="61"/>
      <c r="V19" s="117"/>
      <c r="W19" s="118"/>
      <c r="X19" s="105"/>
      <c r="Y19" s="119"/>
      <c r="Z19" s="117"/>
      <c r="AA19" s="61"/>
      <c r="AB19" s="85"/>
      <c r="AC19" s="61"/>
      <c r="AD19" s="459"/>
      <c r="AE19" s="414"/>
      <c r="AF19" s="307">
        <f t="shared" si="2"/>
        <v>-0.39799999999999996</v>
      </c>
      <c r="AG19" s="73" t="s">
        <v>11</v>
      </c>
      <c r="AH19" s="411"/>
      <c r="AI19" s="341"/>
      <c r="AJ19" s="297"/>
    </row>
    <row r="20" spans="2:36" s="67" customFormat="1" ht="15" thickTop="1" thickBot="1">
      <c r="B20" s="58"/>
      <c r="C20" s="61"/>
      <c r="D20" s="121"/>
      <c r="E20" s="61"/>
      <c r="F20" s="122"/>
      <c r="G20" s="61"/>
      <c r="H20" s="61"/>
      <c r="I20" s="99"/>
      <c r="J20" s="120"/>
      <c r="K20" s="61"/>
      <c r="L20" s="61"/>
      <c r="M20" s="61"/>
      <c r="N20" s="123"/>
      <c r="O20" s="61"/>
      <c r="P20" s="61"/>
      <c r="Q20" s="60"/>
      <c r="R20" s="61"/>
      <c r="S20" s="61"/>
      <c r="T20" s="122"/>
      <c r="U20" s="61"/>
      <c r="V20" s="61"/>
      <c r="W20" s="99"/>
      <c r="X20" s="105"/>
      <c r="Y20" s="124"/>
      <c r="Z20" s="61"/>
      <c r="AA20" s="61"/>
      <c r="AB20" s="123"/>
      <c r="AC20" s="59"/>
      <c r="AD20" s="458"/>
      <c r="AE20" s="414"/>
      <c r="AF20" s="307">
        <f>AE20-(4.776/12)</f>
        <v>-0.39799999999999996</v>
      </c>
      <c r="AG20" s="73" t="s">
        <v>11</v>
      </c>
      <c r="AH20" s="411"/>
      <c r="AI20" s="341"/>
      <c r="AJ20" s="297"/>
    </row>
    <row r="21" spans="2:36" s="67" customFormat="1" ht="15" thickTop="1" thickBot="1">
      <c r="B21" s="58"/>
      <c r="C21" s="61"/>
      <c r="D21" s="121"/>
      <c r="E21" s="61"/>
      <c r="F21" s="85"/>
      <c r="G21" s="61"/>
      <c r="H21" s="61"/>
      <c r="I21" s="61"/>
      <c r="J21" s="126" t="s">
        <v>46</v>
      </c>
      <c r="K21" s="61"/>
      <c r="L21" s="61"/>
      <c r="M21" s="61"/>
      <c r="N21" s="82"/>
      <c r="O21" s="61"/>
      <c r="P21" s="61"/>
      <c r="Q21" s="60"/>
      <c r="R21" s="61"/>
      <c r="S21" s="61"/>
      <c r="T21" s="85"/>
      <c r="U21" s="61"/>
      <c r="V21" s="61"/>
      <c r="W21" s="99"/>
      <c r="X21" s="105"/>
      <c r="Y21" s="61"/>
      <c r="Z21" s="61"/>
      <c r="AA21" s="85"/>
      <c r="AB21" s="61"/>
      <c r="AC21" s="59"/>
      <c r="AD21" s="458"/>
      <c r="AE21" s="413"/>
      <c r="AF21" s="307">
        <f t="shared" ref="AF21:AF25" si="3">AE21-0.398</f>
        <v>-0.39800000000000002</v>
      </c>
      <c r="AG21" s="73" t="s">
        <v>11</v>
      </c>
      <c r="AH21" s="411"/>
      <c r="AI21" s="341"/>
      <c r="AJ21" s="297"/>
    </row>
    <row r="22" spans="2:36" s="67" customFormat="1" ht="15" thickTop="1" thickBot="1">
      <c r="B22" s="58"/>
      <c r="C22" s="61"/>
      <c r="D22" s="70" t="s">
        <v>47</v>
      </c>
      <c r="E22" s="68"/>
      <c r="F22" s="109"/>
      <c r="G22" s="68"/>
      <c r="H22" s="127"/>
      <c r="I22" s="128"/>
      <c r="J22" s="101"/>
      <c r="K22" s="129"/>
      <c r="L22" s="127"/>
      <c r="M22" s="61"/>
      <c r="N22" s="82"/>
      <c r="O22" s="61"/>
      <c r="P22" s="61"/>
      <c r="Q22" s="125"/>
      <c r="R22" s="61"/>
      <c r="S22" s="61"/>
      <c r="T22" s="130"/>
      <c r="U22" s="61"/>
      <c r="V22" s="61"/>
      <c r="W22" s="99"/>
      <c r="X22" s="101"/>
      <c r="Y22" s="61"/>
      <c r="Z22" s="61"/>
      <c r="AA22" s="85"/>
      <c r="AB22" s="61"/>
      <c r="AC22" s="61"/>
      <c r="AD22" s="459"/>
      <c r="AE22" s="413"/>
      <c r="AF22" s="307">
        <f t="shared" si="3"/>
        <v>-0.39800000000000002</v>
      </c>
      <c r="AG22" s="73" t="s">
        <v>11</v>
      </c>
      <c r="AH22" s="411"/>
      <c r="AI22" s="341"/>
      <c r="AJ22" s="297"/>
    </row>
    <row r="23" spans="2:36" s="67" customFormat="1" ht="17.25" customHeight="1" thickTop="1" thickBot="1">
      <c r="B23" s="58"/>
      <c r="C23" s="61"/>
      <c r="D23" s="70"/>
      <c r="E23" s="68"/>
      <c r="F23" s="109"/>
      <c r="G23" s="68"/>
      <c r="H23" s="61"/>
      <c r="I23" s="99"/>
      <c r="J23" s="105"/>
      <c r="K23" s="61"/>
      <c r="L23" s="61"/>
      <c r="M23" s="131"/>
      <c r="N23" s="68"/>
      <c r="O23" s="68"/>
      <c r="P23" s="68"/>
      <c r="Q23" s="70"/>
      <c r="R23" s="68"/>
      <c r="S23" s="68"/>
      <c r="T23" s="109"/>
      <c r="U23" s="68"/>
      <c r="V23" s="127"/>
      <c r="W23" s="132"/>
      <c r="X23" s="105"/>
      <c r="Y23" s="133"/>
      <c r="Z23" s="127"/>
      <c r="AA23" s="85"/>
      <c r="AB23" s="61"/>
      <c r="AC23" s="61"/>
      <c r="AD23" s="459"/>
      <c r="AE23" s="413"/>
      <c r="AF23" s="307">
        <f t="shared" si="3"/>
        <v>-0.39800000000000002</v>
      </c>
      <c r="AG23" s="73" t="s">
        <v>11</v>
      </c>
      <c r="AH23" s="411"/>
      <c r="AI23" s="341"/>
      <c r="AJ23" s="297"/>
    </row>
    <row r="24" spans="2:36" s="67" customFormat="1" ht="14.5" thickTop="1">
      <c r="B24" s="58"/>
      <c r="C24" s="61"/>
      <c r="D24" s="121"/>
      <c r="E24" s="61"/>
      <c r="F24" s="130"/>
      <c r="G24" s="61"/>
      <c r="H24" s="134"/>
      <c r="I24" s="135"/>
      <c r="J24" s="120"/>
      <c r="K24" s="125"/>
      <c r="L24" s="134"/>
      <c r="M24" s="85"/>
      <c r="N24" s="61"/>
      <c r="O24" s="61"/>
      <c r="P24" s="61"/>
      <c r="Q24" s="121" t="s">
        <v>48</v>
      </c>
      <c r="R24" s="61"/>
      <c r="S24" s="61"/>
      <c r="T24" s="130"/>
      <c r="U24" s="61"/>
      <c r="V24" s="134"/>
      <c r="W24" s="135"/>
      <c r="X24" s="105"/>
      <c r="Y24" s="125"/>
      <c r="Z24" s="134"/>
      <c r="AA24" s="85"/>
      <c r="AB24" s="61"/>
      <c r="AC24" s="61"/>
      <c r="AD24" s="61"/>
      <c r="AE24" s="414"/>
      <c r="AF24" s="307">
        <f t="shared" si="3"/>
        <v>-0.39800000000000002</v>
      </c>
      <c r="AG24" s="73" t="s">
        <v>11</v>
      </c>
      <c r="AH24" s="411"/>
      <c r="AI24" s="341"/>
      <c r="AJ24" s="297"/>
    </row>
    <row r="25" spans="2:36" s="67" customFormat="1" ht="14">
      <c r="B25" s="58"/>
      <c r="C25" s="61"/>
      <c r="D25" s="121"/>
      <c r="E25" s="61"/>
      <c r="F25" s="130"/>
      <c r="G25" s="61"/>
      <c r="H25" s="134"/>
      <c r="I25" s="136"/>
      <c r="J25" s="105"/>
      <c r="K25" s="61"/>
      <c r="L25" s="134"/>
      <c r="M25" s="85"/>
      <c r="N25" s="61"/>
      <c r="O25" s="61"/>
      <c r="P25" s="61"/>
      <c r="Q25" s="60"/>
      <c r="R25" s="61"/>
      <c r="S25" s="61"/>
      <c r="T25" s="130"/>
      <c r="U25" s="61"/>
      <c r="V25" s="134"/>
      <c r="W25" s="136"/>
      <c r="X25" s="105"/>
      <c r="Y25" s="61"/>
      <c r="Z25" s="134"/>
      <c r="AA25" s="85"/>
      <c r="AB25" s="61"/>
      <c r="AC25" s="61"/>
      <c r="AD25" s="61"/>
      <c r="AE25" s="343"/>
      <c r="AF25" s="307">
        <f t="shared" si="3"/>
        <v>-0.39800000000000002</v>
      </c>
      <c r="AG25" s="73" t="s">
        <v>11</v>
      </c>
      <c r="AH25" s="246"/>
      <c r="AI25" s="344"/>
      <c r="AJ25" s="297"/>
    </row>
    <row r="26" spans="2:36" s="67" customFormat="1" ht="14">
      <c r="B26" s="58"/>
      <c r="C26" s="61"/>
      <c r="D26" s="121"/>
      <c r="E26" s="61"/>
      <c r="F26" s="130"/>
      <c r="G26" s="61"/>
      <c r="H26" s="134"/>
      <c r="I26" s="136"/>
      <c r="J26" s="105"/>
      <c r="K26" s="61"/>
      <c r="L26" s="134"/>
      <c r="M26" s="85"/>
      <c r="N26" s="61"/>
      <c r="O26" s="61"/>
      <c r="P26" s="61"/>
      <c r="Q26" s="60"/>
      <c r="R26" s="61"/>
      <c r="S26" s="61"/>
      <c r="T26" s="130"/>
      <c r="U26" s="61"/>
      <c r="V26" s="134"/>
      <c r="W26" s="136"/>
      <c r="X26" s="105"/>
      <c r="Y26" s="61"/>
      <c r="Z26" s="134"/>
      <c r="AA26" s="85"/>
      <c r="AB26" s="61"/>
      <c r="AC26" s="61"/>
      <c r="AD26" s="61"/>
      <c r="AE26" s="343"/>
      <c r="AF26" s="307">
        <f t="shared" ref="AF26:AF36" si="4">AE26-0.398</f>
        <v>-0.39800000000000002</v>
      </c>
      <c r="AG26" s="73" t="s">
        <v>11</v>
      </c>
      <c r="AH26" s="246"/>
      <c r="AI26" s="344"/>
      <c r="AJ26" s="297"/>
    </row>
    <row r="27" spans="2:36" s="67" customFormat="1" ht="14">
      <c r="B27" s="58"/>
      <c r="C27" s="61"/>
      <c r="D27" s="121"/>
      <c r="E27" s="61"/>
      <c r="F27" s="130"/>
      <c r="G27" s="61"/>
      <c r="H27" s="134"/>
      <c r="I27" s="136"/>
      <c r="J27" s="105"/>
      <c r="K27" s="61"/>
      <c r="L27" s="134"/>
      <c r="M27" s="85"/>
      <c r="N27" s="61"/>
      <c r="O27" s="61"/>
      <c r="P27" s="61"/>
      <c r="Q27" s="60"/>
      <c r="R27" s="61"/>
      <c r="S27" s="61"/>
      <c r="T27" s="130"/>
      <c r="U27" s="61"/>
      <c r="V27" s="134"/>
      <c r="W27" s="136"/>
      <c r="X27" s="105"/>
      <c r="Y27" s="61"/>
      <c r="Z27" s="134"/>
      <c r="AA27" s="85"/>
      <c r="AB27" s="61"/>
      <c r="AC27" s="61"/>
      <c r="AD27" s="61"/>
      <c r="AE27" s="343"/>
      <c r="AF27" s="307">
        <f t="shared" si="4"/>
        <v>-0.39800000000000002</v>
      </c>
      <c r="AG27" s="73" t="s">
        <v>11</v>
      </c>
      <c r="AH27" s="246"/>
      <c r="AI27" s="344"/>
      <c r="AJ27" s="297"/>
    </row>
    <row r="28" spans="2:36" s="67" customFormat="1" ht="14">
      <c r="B28" s="58"/>
      <c r="C28" s="61"/>
      <c r="D28" s="70" t="s">
        <v>49</v>
      </c>
      <c r="E28" s="68"/>
      <c r="F28" s="109"/>
      <c r="G28" s="68"/>
      <c r="H28" s="134"/>
      <c r="I28" s="136"/>
      <c r="J28" s="105"/>
      <c r="K28" s="61"/>
      <c r="L28" s="134"/>
      <c r="M28" s="85"/>
      <c r="N28" s="61"/>
      <c r="O28" s="61"/>
      <c r="P28" s="61"/>
      <c r="Q28" s="60"/>
      <c r="R28" s="61"/>
      <c r="S28" s="61"/>
      <c r="T28" s="130"/>
      <c r="U28" s="61"/>
      <c r="V28" s="134"/>
      <c r="W28" s="136"/>
      <c r="X28" s="105"/>
      <c r="Y28" s="61"/>
      <c r="Z28" s="134"/>
      <c r="AA28" s="85"/>
      <c r="AB28" s="61"/>
      <c r="AC28" s="61"/>
      <c r="AD28" s="61"/>
      <c r="AE28" s="343"/>
      <c r="AF28" s="307">
        <f t="shared" si="4"/>
        <v>-0.39800000000000002</v>
      </c>
      <c r="AG28" s="73" t="s">
        <v>11</v>
      </c>
      <c r="AH28" s="246"/>
      <c r="AI28" s="344"/>
      <c r="AJ28" s="297"/>
    </row>
    <row r="29" spans="2:36" s="67" customFormat="1" ht="14.5" thickBot="1">
      <c r="B29" s="58"/>
      <c r="C29" s="61"/>
      <c r="D29" s="70" t="s">
        <v>50</v>
      </c>
      <c r="E29" s="68"/>
      <c r="F29" s="109"/>
      <c r="G29" s="68"/>
      <c r="H29" s="137"/>
      <c r="I29" s="138"/>
      <c r="J29" s="60"/>
      <c r="K29" s="138"/>
      <c r="L29" s="137"/>
      <c r="M29" s="85"/>
      <c r="N29" s="61"/>
      <c r="O29" s="61"/>
      <c r="P29" s="61"/>
      <c r="Q29" s="60"/>
      <c r="R29" s="61"/>
      <c r="S29" s="61"/>
      <c r="T29" s="130"/>
      <c r="U29" s="61"/>
      <c r="V29" s="137"/>
      <c r="W29" s="138"/>
      <c r="X29" s="105"/>
      <c r="Y29" s="138"/>
      <c r="Z29" s="137"/>
      <c r="AA29" s="85"/>
      <c r="AB29" s="61"/>
      <c r="AC29" s="61"/>
      <c r="AD29" s="61"/>
      <c r="AE29" s="343"/>
      <c r="AF29" s="307">
        <f t="shared" si="4"/>
        <v>-0.39800000000000002</v>
      </c>
      <c r="AG29" s="73" t="s">
        <v>11</v>
      </c>
      <c r="AH29" s="246"/>
      <c r="AI29" s="344"/>
      <c r="AJ29" s="297"/>
    </row>
    <row r="30" spans="2:36" s="67" customFormat="1" ht="14.5" thickTop="1">
      <c r="B30" s="58"/>
      <c r="C30" s="61"/>
      <c r="D30" s="60"/>
      <c r="E30" s="61"/>
      <c r="F30" s="130"/>
      <c r="G30" s="61"/>
      <c r="H30" s="139"/>
      <c r="I30" s="140"/>
      <c r="J30" s="95"/>
      <c r="K30" s="141"/>
      <c r="L30" s="139"/>
      <c r="M30" s="85"/>
      <c r="N30" s="61"/>
      <c r="O30" s="61"/>
      <c r="P30" s="61"/>
      <c r="Q30" s="60"/>
      <c r="R30" s="61"/>
      <c r="S30" s="61"/>
      <c r="T30" s="130"/>
      <c r="U30" s="61"/>
      <c r="V30" s="139"/>
      <c r="W30" s="140"/>
      <c r="X30" s="95"/>
      <c r="Y30" s="141"/>
      <c r="Z30" s="139"/>
      <c r="AA30" s="85"/>
      <c r="AB30" s="61"/>
      <c r="AC30" s="61"/>
      <c r="AD30" s="61"/>
      <c r="AE30" s="343"/>
      <c r="AF30" s="307">
        <f t="shared" si="4"/>
        <v>-0.39800000000000002</v>
      </c>
      <c r="AG30" s="73" t="s">
        <v>11</v>
      </c>
      <c r="AH30" s="246"/>
      <c r="AI30" s="344"/>
      <c r="AJ30" s="297"/>
    </row>
    <row r="31" spans="2:36" s="67" customFormat="1" ht="14">
      <c r="B31" s="58"/>
      <c r="C31" s="61"/>
      <c r="D31" s="60"/>
      <c r="E31" s="61"/>
      <c r="F31" s="85"/>
      <c r="G31" s="61"/>
      <c r="H31" s="139"/>
      <c r="I31" s="142"/>
      <c r="J31" s="95"/>
      <c r="K31" s="143"/>
      <c r="L31" s="139"/>
      <c r="M31" s="85"/>
      <c r="N31" s="61"/>
      <c r="O31" s="61"/>
      <c r="P31" s="61"/>
      <c r="Q31" s="60"/>
      <c r="R31" s="61"/>
      <c r="S31" s="61"/>
      <c r="T31" s="85"/>
      <c r="U31" s="61"/>
      <c r="V31" s="139"/>
      <c r="W31" s="142"/>
      <c r="X31" s="95"/>
      <c r="Y31" s="143"/>
      <c r="Z31" s="139"/>
      <c r="AA31" s="85"/>
      <c r="AB31" s="61"/>
      <c r="AC31" s="61"/>
      <c r="AD31" s="61"/>
      <c r="AE31" s="345"/>
      <c r="AF31" s="307">
        <f t="shared" si="4"/>
        <v>-0.39800000000000002</v>
      </c>
      <c r="AG31" s="73" t="s">
        <v>11</v>
      </c>
      <c r="AH31" s="246"/>
      <c r="AI31" s="344"/>
      <c r="AJ31" s="297"/>
    </row>
    <row r="32" spans="2:36" s="67" customFormat="1" ht="14">
      <c r="B32" s="58"/>
      <c r="C32" s="61"/>
      <c r="D32" s="60"/>
      <c r="E32" s="61"/>
      <c r="F32" s="85"/>
      <c r="G32" s="61"/>
      <c r="H32" s="144"/>
      <c r="I32" s="145"/>
      <c r="J32" s="95"/>
      <c r="K32" s="141"/>
      <c r="L32" s="144"/>
      <c r="M32" s="85"/>
      <c r="N32" s="61"/>
      <c r="O32" s="61"/>
      <c r="P32" s="61"/>
      <c r="Q32" s="60"/>
      <c r="R32" s="61"/>
      <c r="S32" s="61"/>
      <c r="T32" s="85"/>
      <c r="U32" s="61"/>
      <c r="V32" s="144"/>
      <c r="W32" s="145"/>
      <c r="X32" s="95"/>
      <c r="Y32" s="141"/>
      <c r="Z32" s="144"/>
      <c r="AA32" s="85"/>
      <c r="AB32" s="61"/>
      <c r="AC32" s="61"/>
      <c r="AD32" s="61"/>
      <c r="AE32" s="309"/>
      <c r="AF32" s="307">
        <f t="shared" si="4"/>
        <v>-0.39800000000000002</v>
      </c>
      <c r="AG32" s="73" t="s">
        <v>11</v>
      </c>
      <c r="AH32" s="246"/>
      <c r="AI32" s="298"/>
      <c r="AJ32" s="297"/>
    </row>
    <row r="33" spans="2:37" s="67" customFormat="1" ht="14">
      <c r="B33" s="58"/>
      <c r="C33" s="61"/>
      <c r="D33" s="60"/>
      <c r="E33" s="61"/>
      <c r="F33" s="85"/>
      <c r="G33" s="61"/>
      <c r="H33" s="61"/>
      <c r="I33" s="85"/>
      <c r="J33" s="95"/>
      <c r="K33" s="61"/>
      <c r="L33" s="61"/>
      <c r="M33" s="85"/>
      <c r="N33" s="61"/>
      <c r="O33" s="61"/>
      <c r="P33" s="61"/>
      <c r="Q33" s="60"/>
      <c r="R33" s="61"/>
      <c r="S33" s="61"/>
      <c r="T33" s="85"/>
      <c r="U33" s="61"/>
      <c r="V33" s="61"/>
      <c r="W33" s="85"/>
      <c r="X33" s="95"/>
      <c r="Y33" s="61"/>
      <c r="Z33" s="61"/>
      <c r="AA33" s="85"/>
      <c r="AB33" s="61"/>
      <c r="AC33" s="61"/>
      <c r="AD33" s="61"/>
      <c r="AE33" s="309"/>
      <c r="AF33" s="307">
        <f t="shared" si="4"/>
        <v>-0.39800000000000002</v>
      </c>
      <c r="AG33" s="73" t="s">
        <v>11</v>
      </c>
      <c r="AH33" s="246"/>
      <c r="AI33" s="298"/>
      <c r="AJ33" s="297"/>
    </row>
    <row r="34" spans="2:37" s="67" customFormat="1" ht="14">
      <c r="B34" s="58"/>
      <c r="C34" s="61"/>
      <c r="D34" s="60"/>
      <c r="E34" s="61"/>
      <c r="F34" s="61"/>
      <c r="G34" s="61"/>
      <c r="H34" s="61"/>
      <c r="I34" s="85"/>
      <c r="J34" s="146"/>
      <c r="K34" s="61"/>
      <c r="L34" s="61"/>
      <c r="M34" s="61"/>
      <c r="N34" s="61"/>
      <c r="O34" s="61"/>
      <c r="P34" s="61"/>
      <c r="Q34" s="60"/>
      <c r="R34" s="61"/>
      <c r="S34" s="61"/>
      <c r="T34" s="61"/>
      <c r="U34" s="61"/>
      <c r="V34" s="61"/>
      <c r="W34" s="85"/>
      <c r="X34" s="146"/>
      <c r="Y34" s="61"/>
      <c r="Z34" s="61"/>
      <c r="AA34" s="61"/>
      <c r="AB34" s="61"/>
      <c r="AC34" s="61"/>
      <c r="AD34" s="61"/>
      <c r="AE34" s="309"/>
      <c r="AF34" s="307">
        <f t="shared" si="4"/>
        <v>-0.39800000000000002</v>
      </c>
      <c r="AG34" s="73" t="s">
        <v>11</v>
      </c>
      <c r="AH34" s="246"/>
      <c r="AI34" s="298"/>
      <c r="AJ34" s="66"/>
      <c r="AK34" s="67" t="s">
        <v>8</v>
      </c>
    </row>
    <row r="35" spans="2:37" s="67" customFormat="1" ht="14.5" thickBot="1">
      <c r="B35" s="58"/>
      <c r="C35" s="61"/>
      <c r="D35" s="60"/>
      <c r="E35" s="61"/>
      <c r="F35" s="61"/>
      <c r="G35" s="61"/>
      <c r="H35" s="61"/>
      <c r="I35" s="61"/>
      <c r="J35" s="60"/>
      <c r="K35" s="61"/>
      <c r="L35" s="61"/>
      <c r="M35" s="61"/>
      <c r="N35" s="61"/>
      <c r="O35" s="61"/>
      <c r="P35" s="61"/>
      <c r="Q35" s="60"/>
      <c r="R35" s="61"/>
      <c r="S35" s="61"/>
      <c r="T35" s="61"/>
      <c r="U35" s="61"/>
      <c r="V35" s="61"/>
      <c r="W35" s="61"/>
      <c r="X35" s="60"/>
      <c r="Y35" s="61"/>
      <c r="Z35" s="61"/>
      <c r="AA35" s="61"/>
      <c r="AB35" s="61"/>
      <c r="AC35" s="61"/>
      <c r="AD35" s="61"/>
      <c r="AE35" s="309"/>
      <c r="AF35" s="307">
        <f t="shared" si="4"/>
        <v>-0.39800000000000002</v>
      </c>
      <c r="AG35" s="73" t="s">
        <v>11</v>
      </c>
      <c r="AH35" s="246"/>
      <c r="AI35" s="298"/>
      <c r="AJ35" s="66"/>
    </row>
    <row r="36" spans="2:37" s="67" customFormat="1" ht="14.5" thickBot="1">
      <c r="B36" s="58"/>
      <c r="C36" s="61"/>
      <c r="D36" s="60"/>
      <c r="E36" s="147"/>
      <c r="F36" s="148"/>
      <c r="G36" s="148"/>
      <c r="H36" s="148"/>
      <c r="I36" s="148"/>
      <c r="J36" s="149" t="s">
        <v>51</v>
      </c>
      <c r="K36" s="148"/>
      <c r="L36" s="148"/>
      <c r="M36" s="148"/>
      <c r="N36" s="148"/>
      <c r="O36" s="150"/>
      <c r="P36" s="61"/>
      <c r="Q36" s="60"/>
      <c r="R36" s="61"/>
      <c r="S36" s="147"/>
      <c r="T36" s="148"/>
      <c r="U36" s="148"/>
      <c r="V36" s="148"/>
      <c r="W36" s="148"/>
      <c r="X36" s="149" t="s">
        <v>52</v>
      </c>
      <c r="Y36" s="148"/>
      <c r="Z36" s="148"/>
      <c r="AA36" s="148"/>
      <c r="AB36" s="148"/>
      <c r="AC36" s="150"/>
      <c r="AD36" s="61"/>
      <c r="AE36" s="309"/>
      <c r="AF36" s="307">
        <f t="shared" si="4"/>
        <v>-0.39800000000000002</v>
      </c>
      <c r="AG36" s="73" t="s">
        <v>11</v>
      </c>
      <c r="AH36" s="246"/>
      <c r="AI36" s="298"/>
      <c r="AJ36" s="66"/>
    </row>
    <row r="37" spans="2:37" s="67" customFormat="1" ht="14.5" thickBot="1">
      <c r="B37" s="58"/>
      <c r="C37" s="61"/>
      <c r="D37" s="60"/>
      <c r="E37" s="61"/>
      <c r="F37" s="61"/>
      <c r="G37" s="61"/>
      <c r="H37" s="61"/>
      <c r="I37" s="61"/>
      <c r="J37" s="121"/>
      <c r="K37" s="61"/>
      <c r="L37" s="61"/>
      <c r="M37" s="61"/>
      <c r="N37" s="61"/>
      <c r="O37" s="61"/>
      <c r="P37" s="61"/>
      <c r="Q37" s="60"/>
      <c r="R37" s="61"/>
      <c r="S37" s="61"/>
      <c r="T37" s="61"/>
      <c r="U37" s="61"/>
      <c r="V37" s="61"/>
      <c r="W37" s="61"/>
      <c r="X37" s="121"/>
      <c r="Y37" s="61"/>
      <c r="Z37" s="61"/>
      <c r="AA37" s="61"/>
      <c r="AB37" s="61"/>
      <c r="AC37" s="61"/>
      <c r="AD37" s="61"/>
      <c r="AE37" s="346"/>
      <c r="AF37" s="347">
        <f>SUM(AI7:AI36)</f>
        <v>12.624000000000001</v>
      </c>
      <c r="AG37" s="299" t="s">
        <v>53</v>
      </c>
      <c r="AH37" s="299"/>
      <c r="AI37" s="348"/>
      <c r="AJ37" s="66"/>
    </row>
    <row r="38" spans="2:37" s="67" customFormat="1" ht="14">
      <c r="B38" s="58"/>
      <c r="C38" s="61"/>
      <c r="D38" s="60"/>
      <c r="E38" s="61"/>
      <c r="F38" s="61"/>
      <c r="G38" s="61"/>
      <c r="H38" s="61"/>
      <c r="I38" s="61"/>
      <c r="J38" s="121"/>
      <c r="K38" s="61"/>
      <c r="L38" s="61"/>
      <c r="M38" s="61"/>
      <c r="N38" s="61"/>
      <c r="O38" s="61"/>
      <c r="P38" s="61"/>
      <c r="Q38" s="60"/>
      <c r="R38" s="61"/>
      <c r="S38" s="61"/>
      <c r="T38" s="61"/>
      <c r="U38" s="61"/>
      <c r="V38" s="61"/>
      <c r="W38" s="61"/>
      <c r="X38" s="121"/>
      <c r="Y38" s="61"/>
      <c r="Z38" s="61"/>
      <c r="AA38" s="61"/>
      <c r="AB38" s="61"/>
      <c r="AC38" s="61"/>
      <c r="AD38" s="61"/>
      <c r="AE38" s="55"/>
      <c r="AF38" s="55"/>
      <c r="AG38" s="55"/>
      <c r="AH38" s="55"/>
      <c r="AI38" s="55"/>
      <c r="AJ38" s="66"/>
    </row>
    <row r="39" spans="2:37" s="67" customFormat="1" ht="14">
      <c r="B39" s="58"/>
      <c r="C39" s="60" t="s">
        <v>54</v>
      </c>
      <c r="D39" s="60"/>
      <c r="E39" s="61"/>
      <c r="F39" s="61"/>
      <c r="G39" s="61"/>
      <c r="H39" s="61"/>
      <c r="I39" s="61"/>
      <c r="J39" s="121"/>
      <c r="K39" s="61"/>
      <c r="L39" s="61"/>
      <c r="M39" s="61"/>
      <c r="N39" s="61"/>
      <c r="O39" s="61"/>
      <c r="P39" s="61"/>
      <c r="Q39" s="60"/>
      <c r="R39" s="61"/>
      <c r="S39" s="61"/>
      <c r="T39" s="61"/>
      <c r="U39" s="61"/>
      <c r="V39" s="61"/>
      <c r="W39" s="61"/>
      <c r="X39" s="121"/>
      <c r="Y39" s="61"/>
      <c r="Z39" s="61"/>
      <c r="AA39" s="61"/>
      <c r="AB39" s="61"/>
      <c r="AC39" s="61"/>
      <c r="AD39" s="61"/>
      <c r="AE39" s="55"/>
      <c r="AF39" s="55"/>
      <c r="AG39" s="55"/>
      <c r="AH39" s="55"/>
      <c r="AI39" s="55"/>
      <c r="AJ39" s="66"/>
    </row>
    <row r="40" spans="2:37" ht="11.5">
      <c r="B40" s="50"/>
      <c r="C40" s="151">
        <v>22</v>
      </c>
      <c r="D40" s="490" t="s">
        <v>257</v>
      </c>
      <c r="E40" s="491"/>
      <c r="F40" s="491"/>
      <c r="G40" s="491"/>
      <c r="H40" s="491"/>
      <c r="I40" s="491"/>
      <c r="J40" s="492"/>
      <c r="K40" s="491"/>
      <c r="L40" s="491"/>
      <c r="M40" s="491"/>
      <c r="N40" s="491"/>
      <c r="O40" s="493"/>
      <c r="P40" s="491"/>
      <c r="Q40" s="494"/>
      <c r="R40" s="57"/>
      <c r="S40" s="57"/>
      <c r="T40" s="57"/>
      <c r="U40" s="57"/>
      <c r="V40" s="57"/>
      <c r="W40" s="57"/>
      <c r="X40" s="157"/>
      <c r="Y40" s="57"/>
      <c r="Z40" s="57"/>
      <c r="AA40" s="57"/>
      <c r="AB40" s="57"/>
      <c r="AC40" s="57"/>
      <c r="AD40" s="57"/>
      <c r="AE40" s="55"/>
      <c r="AF40" s="55"/>
      <c r="AG40" s="55"/>
      <c r="AH40" s="55"/>
      <c r="AI40" s="55"/>
      <c r="AJ40" s="54"/>
    </row>
    <row r="41" spans="2:37" ht="12.5">
      <c r="B41" s="50"/>
      <c r="C41" s="158">
        <f>'PRO TBG AS RUN - TALLY'!G407</f>
        <v>33.001999999999995</v>
      </c>
      <c r="D41" s="490" t="s">
        <v>258</v>
      </c>
      <c r="E41" s="491"/>
      <c r="F41" s="491"/>
      <c r="G41" s="491"/>
      <c r="H41" s="491"/>
      <c r="I41" s="491"/>
      <c r="J41" s="492"/>
      <c r="K41" s="491"/>
      <c r="L41" s="491"/>
      <c r="M41" s="491"/>
      <c r="N41" s="491"/>
      <c r="O41" s="493"/>
      <c r="P41" s="491"/>
      <c r="Q41" s="494"/>
      <c r="R41" s="159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4"/>
    </row>
    <row r="42" spans="2:37" ht="12.5">
      <c r="B42" s="50"/>
      <c r="C42" s="158">
        <f>'PRO TBG AS RUN - TALLY'!G406</f>
        <v>33.372</v>
      </c>
      <c r="D42" s="490" t="s">
        <v>259</v>
      </c>
      <c r="E42" s="491"/>
      <c r="F42" s="491"/>
      <c r="G42" s="491"/>
      <c r="H42" s="491"/>
      <c r="I42" s="491"/>
      <c r="J42" s="492"/>
      <c r="K42" s="491"/>
      <c r="L42" s="491"/>
      <c r="M42" s="491"/>
      <c r="N42" s="491"/>
      <c r="O42" s="493"/>
      <c r="P42" s="491"/>
      <c r="Q42" s="494"/>
      <c r="R42" s="159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4"/>
    </row>
    <row r="43" spans="2:37" ht="14">
      <c r="B43" s="50"/>
      <c r="C43" s="158">
        <f>'PRO TBG AS RUN - TALLY'!G405</f>
        <v>33.251999999999995</v>
      </c>
      <c r="D43" s="490" t="s">
        <v>260</v>
      </c>
      <c r="E43" s="491"/>
      <c r="F43" s="491"/>
      <c r="G43" s="491"/>
      <c r="H43" s="491"/>
      <c r="I43" s="491"/>
      <c r="J43" s="492"/>
      <c r="K43" s="491"/>
      <c r="L43" s="491"/>
      <c r="M43" s="491"/>
      <c r="N43" s="491"/>
      <c r="O43" s="493"/>
      <c r="P43" s="491"/>
      <c r="Q43" s="494"/>
      <c r="R43" s="159"/>
      <c r="S43" s="55"/>
      <c r="T43" s="60" t="s">
        <v>54</v>
      </c>
      <c r="U43" s="55"/>
      <c r="V43" s="55"/>
      <c r="W43" s="55"/>
      <c r="X43" s="165" t="s">
        <v>55</v>
      </c>
      <c r="Y43" s="55"/>
      <c r="Z43" s="55"/>
      <c r="AA43" s="55"/>
      <c r="AB43" s="55"/>
      <c r="AC43" s="55"/>
      <c r="AD43" s="55"/>
      <c r="AE43" s="55"/>
      <c r="AF43" s="55"/>
      <c r="AG43" s="55"/>
      <c r="AH43" s="460"/>
      <c r="AI43" s="55"/>
      <c r="AJ43" s="54"/>
    </row>
    <row r="44" spans="2:37" ht="14.5" thickBot="1">
      <c r="B44" s="50"/>
      <c r="C44" s="160"/>
      <c r="D44" s="490" t="s">
        <v>261</v>
      </c>
      <c r="E44" s="491"/>
      <c r="F44" s="491"/>
      <c r="G44" s="491"/>
      <c r="H44" s="491"/>
      <c r="I44" s="491"/>
      <c r="J44" s="492"/>
      <c r="K44" s="491"/>
      <c r="L44" s="491"/>
      <c r="M44" s="491"/>
      <c r="N44" s="491"/>
      <c r="O44" s="493"/>
      <c r="P44" s="491"/>
      <c r="Q44" s="494"/>
      <c r="R44" s="159"/>
      <c r="S44" s="55"/>
      <c r="T44" s="60"/>
      <c r="U44" s="55"/>
      <c r="V44" s="55"/>
      <c r="W44" s="55"/>
      <c r="X44" s="165"/>
      <c r="Y44" s="55"/>
      <c r="Z44" s="55"/>
      <c r="AA44" s="55"/>
      <c r="AB44" s="55"/>
      <c r="AC44" s="55"/>
      <c r="AD44" s="55"/>
      <c r="AE44" s="55"/>
      <c r="AF44" s="55"/>
      <c r="AG44" s="55"/>
      <c r="AH44" s="460"/>
      <c r="AI44" s="55"/>
      <c r="AJ44" s="54"/>
    </row>
    <row r="45" spans="2:37" ht="12.5">
      <c r="B45" s="50"/>
      <c r="C45" s="166">
        <f>SUM(C40:C44)</f>
        <v>121.62599999999999</v>
      </c>
      <c r="D45" s="167" t="s">
        <v>56</v>
      </c>
      <c r="E45" s="168"/>
      <c r="F45" s="168"/>
      <c r="G45" s="168"/>
      <c r="H45" s="168"/>
      <c r="I45" s="168"/>
      <c r="J45" s="169"/>
      <c r="K45" s="168"/>
      <c r="L45" s="168"/>
      <c r="M45" s="168"/>
      <c r="N45" s="168"/>
      <c r="O45" s="168"/>
      <c r="P45" s="168"/>
      <c r="Q45" s="170"/>
      <c r="R45" s="159"/>
      <c r="S45" s="872">
        <f>C45</f>
        <v>121.62599999999999</v>
      </c>
      <c r="T45" s="873"/>
      <c r="U45" s="874"/>
      <c r="V45" s="875" t="s">
        <v>57</v>
      </c>
      <c r="W45" s="876"/>
      <c r="X45" s="876"/>
      <c r="Y45" s="876"/>
      <c r="Z45" s="876"/>
      <c r="AA45" s="876"/>
      <c r="AB45" s="876"/>
      <c r="AC45" s="876"/>
      <c r="AD45" s="876"/>
      <c r="AE45" s="877"/>
      <c r="AF45" s="55"/>
      <c r="AG45" s="55"/>
      <c r="AH45" s="55"/>
      <c r="AI45" s="55"/>
      <c r="AJ45" s="54"/>
    </row>
    <row r="46" spans="2:37" ht="12.5">
      <c r="B46" s="50"/>
      <c r="C46" s="171"/>
      <c r="D46" s="55"/>
      <c r="E46" s="55"/>
      <c r="F46" s="55"/>
      <c r="G46" s="55"/>
      <c r="H46" s="55"/>
      <c r="I46" s="55"/>
      <c r="J46" s="56"/>
      <c r="K46" s="55"/>
      <c r="L46" s="55"/>
      <c r="M46" s="55"/>
      <c r="N46" s="55"/>
      <c r="O46" s="57"/>
      <c r="P46" s="55"/>
      <c r="Q46" s="55"/>
      <c r="R46" s="159"/>
      <c r="S46" s="878">
        <f>C49</f>
        <v>107.512</v>
      </c>
      <c r="T46" s="879"/>
      <c r="U46" s="880"/>
      <c r="V46" s="881" t="s">
        <v>58</v>
      </c>
      <c r="W46" s="882"/>
      <c r="X46" s="882"/>
      <c r="Y46" s="882"/>
      <c r="Z46" s="882"/>
      <c r="AA46" s="882"/>
      <c r="AB46" s="882"/>
      <c r="AC46" s="882"/>
      <c r="AD46" s="882"/>
      <c r="AE46" s="883"/>
      <c r="AF46" s="55"/>
      <c r="AG46" s="460"/>
      <c r="AH46" s="461"/>
      <c r="AI46" s="55"/>
      <c r="AJ46" s="54"/>
    </row>
    <row r="47" spans="2:37" ht="12.5">
      <c r="B47" s="50"/>
      <c r="C47" s="172">
        <v>100.75</v>
      </c>
      <c r="D47" s="152" t="s">
        <v>59</v>
      </c>
      <c r="E47" s="153"/>
      <c r="F47" s="153"/>
      <c r="G47" s="153"/>
      <c r="H47" s="153"/>
      <c r="I47" s="153"/>
      <c r="J47" s="154"/>
      <c r="K47" s="153"/>
      <c r="L47" s="153"/>
      <c r="M47" s="153"/>
      <c r="N47" s="153"/>
      <c r="O47" s="155"/>
      <c r="P47" s="153"/>
      <c r="Q47" s="156"/>
      <c r="R47" s="159"/>
      <c r="S47" s="884">
        <v>2</v>
      </c>
      <c r="T47" s="867"/>
      <c r="U47" s="868"/>
      <c r="V47" s="881" t="s">
        <v>60</v>
      </c>
      <c r="W47" s="882"/>
      <c r="X47" s="882"/>
      <c r="Y47" s="882"/>
      <c r="Z47" s="882"/>
      <c r="AA47" s="882"/>
      <c r="AB47" s="882"/>
      <c r="AC47" s="882"/>
      <c r="AD47" s="882"/>
      <c r="AE47" s="883"/>
      <c r="AF47" s="55"/>
      <c r="AG47" s="460"/>
      <c r="AH47" s="460"/>
      <c r="AI47" s="55"/>
      <c r="AJ47" s="54"/>
    </row>
    <row r="48" spans="2:37" ht="13" thickBot="1">
      <c r="B48" s="50"/>
      <c r="C48" s="173">
        <f>'PRO TBG AS RUN - TALLY'!G426</f>
        <v>6.7620000000000005</v>
      </c>
      <c r="D48" s="174" t="s">
        <v>61</v>
      </c>
      <c r="E48" s="161"/>
      <c r="F48" s="161"/>
      <c r="G48" s="161"/>
      <c r="H48" s="161"/>
      <c r="I48" s="161"/>
      <c r="J48" s="162"/>
      <c r="K48" s="161"/>
      <c r="L48" s="161"/>
      <c r="M48" s="161"/>
      <c r="N48" s="161"/>
      <c r="O48" s="163"/>
      <c r="P48" s="161"/>
      <c r="Q48" s="164"/>
      <c r="R48" s="159"/>
      <c r="S48" s="854">
        <f>S45-S46-S47</f>
        <v>12.11399999999999</v>
      </c>
      <c r="T48" s="855"/>
      <c r="U48" s="856"/>
      <c r="V48" s="857" t="s">
        <v>62</v>
      </c>
      <c r="W48" s="858"/>
      <c r="X48" s="858"/>
      <c r="Y48" s="858"/>
      <c r="Z48" s="858"/>
      <c r="AA48" s="858"/>
      <c r="AB48" s="858"/>
      <c r="AC48" s="858"/>
      <c r="AD48" s="858"/>
      <c r="AE48" s="859"/>
      <c r="AF48" s="55"/>
      <c r="AG48" s="461"/>
      <c r="AH48" s="460"/>
      <c r="AI48" s="55"/>
      <c r="AJ48" s="54"/>
    </row>
    <row r="49" spans="2:36" ht="12.5">
      <c r="B49" s="50"/>
      <c r="C49" s="166">
        <f>C47+C48</f>
        <v>107.512</v>
      </c>
      <c r="D49" s="167" t="s">
        <v>63</v>
      </c>
      <c r="E49" s="168"/>
      <c r="F49" s="168"/>
      <c r="G49" s="168"/>
      <c r="H49" s="168"/>
      <c r="I49" s="168"/>
      <c r="J49" s="169"/>
      <c r="K49" s="168"/>
      <c r="L49" s="168"/>
      <c r="M49" s="168"/>
      <c r="N49" s="168"/>
      <c r="O49" s="168"/>
      <c r="P49" s="168"/>
      <c r="Q49" s="170"/>
      <c r="R49" s="159"/>
      <c r="S49" s="860">
        <f>AF37</f>
        <v>12.624000000000001</v>
      </c>
      <c r="T49" s="861"/>
      <c r="U49" s="862"/>
      <c r="V49" s="863" t="s">
        <v>64</v>
      </c>
      <c r="W49" s="864"/>
      <c r="X49" s="864"/>
      <c r="Y49" s="864"/>
      <c r="Z49" s="864"/>
      <c r="AA49" s="864"/>
      <c r="AB49" s="864"/>
      <c r="AC49" s="864"/>
      <c r="AD49" s="864"/>
      <c r="AE49" s="865"/>
      <c r="AF49" s="55"/>
      <c r="AG49" s="55"/>
      <c r="AH49" s="461"/>
      <c r="AI49" s="55"/>
      <c r="AJ49" s="54"/>
    </row>
    <row r="50" spans="2:36" ht="12.5">
      <c r="B50" s="50"/>
      <c r="C50" s="175"/>
      <c r="D50" s="55"/>
      <c r="E50" s="55"/>
      <c r="F50" s="55"/>
      <c r="G50" s="55"/>
      <c r="H50" s="55"/>
      <c r="I50" s="55"/>
      <c r="J50" s="56"/>
      <c r="K50" s="55"/>
      <c r="L50" s="55"/>
      <c r="M50" s="55"/>
      <c r="N50" s="55"/>
      <c r="O50" s="57"/>
      <c r="P50" s="55"/>
      <c r="Q50" s="55"/>
      <c r="R50" s="159"/>
      <c r="S50" s="866">
        <f>S49-S48</f>
        <v>0.51000000000001044</v>
      </c>
      <c r="T50" s="867"/>
      <c r="U50" s="868"/>
      <c r="V50" s="869" t="s">
        <v>65</v>
      </c>
      <c r="W50" s="870"/>
      <c r="X50" s="870"/>
      <c r="Y50" s="870"/>
      <c r="Z50" s="870"/>
      <c r="AA50" s="870"/>
      <c r="AB50" s="870"/>
      <c r="AC50" s="870"/>
      <c r="AD50" s="870"/>
      <c r="AE50" s="871"/>
      <c r="AF50" s="55"/>
      <c r="AG50" s="460"/>
      <c r="AH50" s="460"/>
      <c r="AI50" s="55"/>
      <c r="AJ50" s="54"/>
    </row>
    <row r="51" spans="2:36" ht="12.5">
      <c r="B51" s="50"/>
      <c r="C51" s="175"/>
      <c r="D51" s="55"/>
      <c r="E51" s="55"/>
      <c r="F51" s="55"/>
      <c r="G51" s="55"/>
      <c r="H51" s="55"/>
      <c r="I51" s="55"/>
      <c r="J51" s="56"/>
      <c r="K51" s="55"/>
      <c r="L51" s="55"/>
      <c r="M51" s="55"/>
      <c r="N51" s="55"/>
      <c r="O51" s="57"/>
      <c r="P51" s="55"/>
      <c r="Q51" s="55"/>
      <c r="R51" s="159"/>
      <c r="S51" s="55"/>
      <c r="T51" s="56"/>
      <c r="U51" s="55"/>
      <c r="V51" s="55"/>
      <c r="W51" s="55"/>
      <c r="X51" s="176" t="s">
        <v>66</v>
      </c>
      <c r="Y51" s="55"/>
      <c r="Z51" s="55"/>
      <c r="AA51" s="55"/>
      <c r="AB51" s="57"/>
      <c r="AC51" s="55"/>
      <c r="AD51" s="56"/>
      <c r="AE51" s="55"/>
      <c r="AF51" s="55"/>
      <c r="AG51" s="55"/>
      <c r="AH51" s="461"/>
      <c r="AI51" s="55"/>
      <c r="AJ51" s="54"/>
    </row>
    <row r="52" spans="2:36" ht="12.5">
      <c r="B52" s="50"/>
      <c r="C52" s="175"/>
      <c r="D52" s="55"/>
      <c r="E52" s="55"/>
      <c r="F52" s="55"/>
      <c r="G52" s="55"/>
      <c r="H52" s="55"/>
      <c r="I52" s="55"/>
      <c r="J52" s="56"/>
      <c r="K52" s="55"/>
      <c r="L52" s="55"/>
      <c r="M52" s="55"/>
      <c r="N52" s="55"/>
      <c r="O52" s="57"/>
      <c r="P52" s="55"/>
      <c r="Q52" s="55"/>
      <c r="R52" s="159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4"/>
    </row>
    <row r="53" spans="2:36" ht="12.5">
      <c r="B53" s="50"/>
      <c r="C53" s="171"/>
      <c r="D53" s="55"/>
      <c r="E53" s="55"/>
      <c r="F53" s="55"/>
      <c r="G53" s="55"/>
      <c r="H53" s="55"/>
      <c r="I53" s="55"/>
      <c r="J53" s="56"/>
      <c r="K53" s="55"/>
      <c r="L53" s="55"/>
      <c r="M53" s="55"/>
      <c r="N53" s="55"/>
      <c r="O53" s="57"/>
      <c r="P53" s="55"/>
      <c r="Q53" s="55"/>
      <c r="R53" s="159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4"/>
    </row>
    <row r="54" spans="2:36" ht="7.5" customHeight="1" thickBot="1">
      <c r="B54" s="177"/>
      <c r="C54" s="178"/>
      <c r="D54" s="179"/>
      <c r="E54" s="179"/>
      <c r="F54" s="179"/>
      <c r="G54" s="179"/>
      <c r="H54" s="179"/>
      <c r="I54" s="179"/>
      <c r="J54" s="180"/>
      <c r="K54" s="179"/>
      <c r="L54" s="179"/>
      <c r="M54" s="179"/>
      <c r="N54" s="179"/>
      <c r="O54" s="181"/>
      <c r="P54" s="179"/>
      <c r="Q54" s="179"/>
      <c r="R54" s="182"/>
      <c r="S54" s="179"/>
      <c r="T54" s="179"/>
      <c r="U54" s="179"/>
      <c r="V54" s="179"/>
      <c r="W54" s="179"/>
      <c r="X54" s="179"/>
      <c r="Y54" s="179"/>
      <c r="Z54" s="179"/>
      <c r="AA54" s="179"/>
      <c r="AB54" s="179"/>
      <c r="AC54" s="179"/>
      <c r="AD54" s="179"/>
      <c r="AE54" s="179"/>
      <c r="AF54" s="179"/>
      <c r="AG54" s="179"/>
      <c r="AH54" s="179"/>
      <c r="AI54" s="179"/>
      <c r="AJ54" s="183"/>
    </row>
    <row r="55" spans="2:36" ht="12.5">
      <c r="C55" s="184"/>
      <c r="D55" s="55"/>
      <c r="E55" s="55"/>
      <c r="F55" s="55"/>
      <c r="G55" s="55"/>
      <c r="H55" s="55"/>
      <c r="I55" s="55"/>
      <c r="J55" s="56"/>
      <c r="K55" s="55"/>
      <c r="L55" s="55"/>
      <c r="M55" s="55"/>
      <c r="N55" s="55"/>
      <c r="O55" s="57"/>
      <c r="P55" s="55"/>
      <c r="Q55" s="43"/>
      <c r="R55" s="185"/>
      <c r="X55" s="43"/>
      <c r="AC55" s="43"/>
      <c r="AD55" s="186"/>
      <c r="AE55" s="43"/>
    </row>
    <row r="56" spans="2:36" ht="12.5">
      <c r="D56" s="43"/>
      <c r="J56" s="43"/>
      <c r="O56" s="43"/>
      <c r="Q56" s="43"/>
      <c r="R56" s="185"/>
      <c r="X56" s="185"/>
      <c r="Y56" s="185"/>
      <c r="Z56" s="185"/>
      <c r="AA56" s="185"/>
      <c r="AB56" s="185"/>
      <c r="AC56" s="185"/>
      <c r="AD56" s="185"/>
      <c r="AE56" s="43"/>
      <c r="AG56" s="473"/>
    </row>
    <row r="57" spans="2:36" ht="12.5">
      <c r="D57" s="43"/>
      <c r="J57" s="43"/>
      <c r="O57" s="43"/>
      <c r="Q57" s="43"/>
      <c r="R57" s="185"/>
      <c r="X57" s="185"/>
      <c r="Y57" s="185"/>
      <c r="Z57" s="185"/>
      <c r="AA57" s="185"/>
      <c r="AB57" s="185"/>
      <c r="AC57" s="185"/>
      <c r="AD57" s="185"/>
      <c r="AE57" s="43"/>
      <c r="AG57" s="472"/>
    </row>
    <row r="58" spans="2:36" ht="12.5">
      <c r="D58" s="43"/>
      <c r="J58" s="43"/>
      <c r="O58" s="43"/>
      <c r="Q58" s="43"/>
      <c r="R58" s="185"/>
      <c r="X58" s="185"/>
      <c r="Y58" s="185"/>
      <c r="Z58" s="185"/>
      <c r="AA58" s="185"/>
      <c r="AB58" s="185"/>
      <c r="AC58" s="185"/>
      <c r="AD58" s="185"/>
      <c r="AE58" s="43"/>
      <c r="AG58" s="473"/>
    </row>
    <row r="59" spans="2:36" ht="12.5">
      <c r="D59" s="43"/>
      <c r="J59" s="43"/>
      <c r="O59" s="43"/>
      <c r="Q59" s="43"/>
      <c r="R59" s="185"/>
      <c r="W59" s="55"/>
      <c r="X59" s="185"/>
      <c r="Y59" s="185"/>
      <c r="Z59" s="185"/>
      <c r="AA59" s="185"/>
      <c r="AB59" s="185"/>
      <c r="AC59" s="185"/>
      <c r="AD59" s="185"/>
    </row>
    <row r="60" spans="2:36" ht="12.5">
      <c r="D60" s="43"/>
      <c r="J60" s="43"/>
      <c r="O60" s="43"/>
      <c r="Q60" s="43"/>
      <c r="R60" s="185"/>
      <c r="X60" s="185"/>
      <c r="Y60" s="185"/>
      <c r="Z60" s="185"/>
      <c r="AA60" s="185"/>
      <c r="AB60" s="185"/>
      <c r="AC60" s="185"/>
      <c r="AD60" s="185"/>
    </row>
    <row r="61" spans="2:36" ht="12.5">
      <c r="D61" s="43"/>
      <c r="J61" s="43"/>
      <c r="O61" s="43"/>
      <c r="Q61" s="43"/>
      <c r="R61" s="185"/>
      <c r="X61" s="185"/>
      <c r="Y61" s="185"/>
      <c r="Z61" s="185"/>
      <c r="AA61" s="185"/>
      <c r="AB61" s="185"/>
      <c r="AC61" s="185"/>
      <c r="AD61" s="185"/>
    </row>
    <row r="62" spans="2:36" ht="12.5">
      <c r="C62" s="187"/>
      <c r="D62" s="188"/>
      <c r="E62" s="187"/>
      <c r="F62" s="187"/>
      <c r="G62" s="187"/>
      <c r="H62" s="187"/>
      <c r="I62" s="187"/>
      <c r="J62" s="188"/>
      <c r="K62" s="187"/>
      <c r="L62" s="187"/>
      <c r="M62" s="187"/>
      <c r="N62" s="187"/>
      <c r="O62" s="187"/>
      <c r="P62" s="187"/>
      <c r="Q62" s="188"/>
      <c r="R62" s="187"/>
      <c r="S62" s="187"/>
      <c r="T62" s="187"/>
      <c r="U62" s="187"/>
      <c r="V62" s="187"/>
      <c r="W62" s="187"/>
      <c r="X62" s="185"/>
      <c r="Y62" s="185"/>
      <c r="Z62" s="185"/>
      <c r="AA62" s="185"/>
      <c r="AB62" s="185"/>
      <c r="AC62" s="185"/>
      <c r="AD62" s="185"/>
    </row>
    <row r="63" spans="2:36" ht="12.5">
      <c r="C63" s="187"/>
      <c r="D63" s="188"/>
      <c r="E63" s="187"/>
      <c r="F63" s="187"/>
      <c r="G63" s="187"/>
      <c r="H63" s="187"/>
      <c r="I63" s="187"/>
      <c r="J63" s="188"/>
      <c r="K63" s="187"/>
      <c r="L63" s="187"/>
      <c r="M63" s="187"/>
      <c r="N63" s="187"/>
      <c r="O63" s="187"/>
      <c r="P63" s="187"/>
      <c r="Q63" s="188"/>
      <c r="R63" s="187"/>
      <c r="S63" s="187"/>
      <c r="T63" s="187"/>
      <c r="U63" s="187"/>
      <c r="V63" s="187"/>
      <c r="W63" s="187"/>
      <c r="X63" s="185"/>
      <c r="Y63" s="185"/>
      <c r="Z63" s="185"/>
      <c r="AA63" s="185"/>
      <c r="AB63" s="185"/>
      <c r="AC63" s="185"/>
      <c r="AD63" s="185"/>
    </row>
    <row r="64" spans="2:36" ht="12.5">
      <c r="C64" s="187"/>
      <c r="D64" s="188"/>
      <c r="E64" s="187"/>
      <c r="F64" s="187"/>
      <c r="G64" s="187"/>
      <c r="H64" s="187"/>
      <c r="I64" s="187"/>
      <c r="J64" s="188"/>
      <c r="K64" s="187"/>
      <c r="L64" s="187"/>
      <c r="M64" s="187"/>
      <c r="N64" s="187"/>
      <c r="O64" s="187"/>
      <c r="P64" s="187"/>
      <c r="Q64" s="188"/>
      <c r="R64" s="187"/>
      <c r="S64" s="187"/>
      <c r="T64" s="187"/>
      <c r="U64" s="187"/>
      <c r="V64" s="187"/>
      <c r="W64" s="187"/>
      <c r="X64" s="185"/>
      <c r="Y64" s="185"/>
      <c r="Z64" s="185"/>
      <c r="AA64" s="185"/>
      <c r="AB64" s="185"/>
      <c r="AC64" s="185"/>
      <c r="AD64" s="185"/>
      <c r="AE64" s="185"/>
    </row>
    <row r="65" spans="3:31" ht="12.5">
      <c r="C65" s="187"/>
      <c r="D65" s="188"/>
      <c r="E65" s="187"/>
      <c r="F65" s="187"/>
      <c r="G65" s="187"/>
      <c r="H65" s="187"/>
      <c r="I65" s="187"/>
      <c r="J65" s="188"/>
      <c r="K65" s="187"/>
      <c r="L65" s="187"/>
      <c r="M65" s="187"/>
      <c r="N65" s="187"/>
      <c r="O65" s="187"/>
      <c r="P65" s="187"/>
      <c r="Q65" s="188"/>
      <c r="R65" s="187"/>
      <c r="S65" s="187"/>
      <c r="T65" s="187"/>
      <c r="U65" s="187"/>
      <c r="V65" s="187"/>
      <c r="W65" s="187"/>
      <c r="X65" s="185"/>
      <c r="Y65" s="185"/>
      <c r="Z65" s="185"/>
      <c r="AA65" s="185"/>
      <c r="AB65" s="185"/>
      <c r="AC65" s="185"/>
      <c r="AD65" s="185"/>
      <c r="AE65" s="185"/>
    </row>
    <row r="66" spans="3:31" ht="12.5">
      <c r="C66" s="187"/>
      <c r="D66" s="188"/>
      <c r="E66" s="187"/>
      <c r="F66" s="187"/>
      <c r="G66" s="187"/>
      <c r="H66" s="187"/>
      <c r="I66" s="187"/>
      <c r="J66" s="188"/>
      <c r="K66" s="187"/>
      <c r="L66" s="187"/>
      <c r="M66" s="187"/>
      <c r="N66" s="187"/>
      <c r="O66" s="187"/>
      <c r="P66" s="187"/>
      <c r="Q66" s="188"/>
      <c r="R66" s="187"/>
      <c r="S66" s="187"/>
      <c r="T66" s="187"/>
      <c r="U66" s="187"/>
      <c r="V66" s="187"/>
      <c r="W66" s="187"/>
      <c r="X66" s="185"/>
      <c r="Y66" s="185"/>
      <c r="Z66" s="185"/>
      <c r="AA66" s="185"/>
      <c r="AB66" s="185"/>
      <c r="AC66" s="185"/>
      <c r="AD66" s="185"/>
      <c r="AE66" s="185"/>
    </row>
    <row r="67" spans="3:31" ht="12.5">
      <c r="C67" s="187"/>
      <c r="D67" s="188"/>
      <c r="E67" s="187"/>
      <c r="F67" s="187"/>
      <c r="G67" s="187"/>
      <c r="H67" s="187"/>
      <c r="I67" s="187"/>
      <c r="J67" s="188"/>
      <c r="K67" s="187"/>
      <c r="L67" s="187"/>
      <c r="M67" s="187"/>
      <c r="N67" s="187"/>
      <c r="O67" s="187"/>
      <c r="P67" s="187"/>
      <c r="Q67" s="188"/>
      <c r="R67" s="187"/>
      <c r="S67" s="187"/>
      <c r="T67" s="187"/>
      <c r="U67" s="187"/>
      <c r="V67" s="187"/>
      <c r="W67" s="187"/>
      <c r="X67" s="185"/>
      <c r="Y67" s="185"/>
      <c r="Z67" s="185"/>
      <c r="AA67" s="185"/>
      <c r="AB67" s="185"/>
      <c r="AC67" s="185"/>
      <c r="AD67" s="185"/>
      <c r="AE67" s="185"/>
    </row>
    <row r="68" spans="3:31" ht="12.5">
      <c r="C68" s="187"/>
      <c r="D68" s="188"/>
      <c r="E68" s="187"/>
      <c r="F68" s="187"/>
      <c r="G68" s="187"/>
      <c r="H68" s="187"/>
      <c r="I68" s="187"/>
      <c r="J68" s="188"/>
      <c r="K68" s="187"/>
      <c r="L68" s="187"/>
      <c r="M68" s="187"/>
      <c r="N68" s="187"/>
      <c r="O68" s="187"/>
      <c r="P68" s="187"/>
      <c r="Q68" s="188"/>
      <c r="R68" s="187"/>
      <c r="S68" s="187"/>
      <c r="T68" s="187"/>
      <c r="U68" s="187"/>
      <c r="V68" s="187"/>
      <c r="W68" s="187"/>
      <c r="X68" s="185"/>
      <c r="Y68" s="185"/>
      <c r="Z68" s="185"/>
      <c r="AA68" s="185"/>
      <c r="AB68" s="185"/>
      <c r="AC68" s="185"/>
      <c r="AD68" s="185"/>
      <c r="AE68" s="185"/>
    </row>
    <row r="69" spans="3:31" ht="12.5">
      <c r="C69" s="187"/>
      <c r="D69" s="188"/>
      <c r="E69" s="187"/>
      <c r="F69" s="187"/>
      <c r="G69" s="187"/>
      <c r="H69" s="187"/>
      <c r="I69" s="187"/>
      <c r="J69" s="188"/>
      <c r="K69" s="187"/>
      <c r="L69" s="187"/>
      <c r="M69" s="187"/>
      <c r="N69" s="187"/>
      <c r="O69" s="187"/>
      <c r="P69" s="187"/>
      <c r="Q69" s="188"/>
      <c r="R69" s="187"/>
      <c r="S69" s="187"/>
      <c r="T69" s="187"/>
      <c r="U69" s="187"/>
      <c r="V69" s="187"/>
      <c r="W69" s="187"/>
      <c r="X69" s="185"/>
      <c r="Y69" s="185"/>
      <c r="Z69" s="185"/>
      <c r="AA69" s="185"/>
      <c r="AB69" s="185"/>
      <c r="AC69" s="185"/>
      <c r="AD69" s="185"/>
      <c r="AE69" s="185"/>
    </row>
    <row r="70" spans="3:31" ht="12.5">
      <c r="C70" s="187"/>
      <c r="D70" s="188"/>
      <c r="E70" s="187"/>
      <c r="F70" s="187"/>
      <c r="G70" s="187"/>
      <c r="H70" s="187"/>
      <c r="I70" s="187"/>
      <c r="J70" s="188"/>
      <c r="K70" s="187"/>
      <c r="L70" s="187"/>
      <c r="M70" s="187"/>
      <c r="N70" s="187"/>
      <c r="O70" s="187"/>
      <c r="P70" s="187"/>
      <c r="Q70" s="188"/>
      <c r="R70" s="187"/>
      <c r="S70" s="187"/>
      <c r="T70" s="187"/>
      <c r="U70" s="187"/>
      <c r="V70" s="187"/>
      <c r="W70" s="187"/>
      <c r="X70" s="185"/>
      <c r="Y70" s="185"/>
      <c r="Z70" s="185"/>
      <c r="AA70" s="185"/>
      <c r="AB70" s="185"/>
      <c r="AC70" s="185"/>
      <c r="AD70" s="185"/>
      <c r="AE70" s="185"/>
    </row>
    <row r="71" spans="3:31" ht="12.5">
      <c r="C71" s="187"/>
      <c r="D71" s="188"/>
      <c r="E71" s="187"/>
      <c r="F71" s="187"/>
      <c r="G71" s="187"/>
      <c r="H71" s="187"/>
      <c r="I71" s="187"/>
      <c r="J71" s="188"/>
      <c r="K71" s="187"/>
      <c r="L71" s="187"/>
      <c r="M71" s="187"/>
      <c r="N71" s="187"/>
      <c r="O71" s="187"/>
      <c r="P71" s="187"/>
      <c r="Q71" s="188"/>
      <c r="R71" s="187"/>
      <c r="S71" s="187"/>
      <c r="T71" s="187"/>
      <c r="U71" s="187"/>
      <c r="V71" s="187"/>
      <c r="W71" s="187"/>
      <c r="X71" s="185"/>
      <c r="Y71" s="185"/>
      <c r="Z71" s="185"/>
      <c r="AA71" s="185"/>
      <c r="AB71" s="185"/>
      <c r="AC71" s="185"/>
      <c r="AD71" s="185"/>
      <c r="AE71" s="185"/>
    </row>
    <row r="72" spans="3:31" ht="12.5">
      <c r="C72" s="187"/>
      <c r="D72" s="188"/>
      <c r="E72" s="187"/>
      <c r="F72" s="187"/>
      <c r="G72" s="187"/>
      <c r="H72" s="187"/>
      <c r="I72" s="187"/>
      <c r="J72" s="188"/>
      <c r="K72" s="187"/>
      <c r="L72" s="187"/>
      <c r="M72" s="187"/>
      <c r="N72" s="187"/>
      <c r="O72" s="187"/>
      <c r="P72" s="187"/>
      <c r="Q72" s="188"/>
      <c r="R72" s="187"/>
      <c r="S72" s="187"/>
      <c r="T72" s="187"/>
      <c r="U72" s="187"/>
      <c r="V72" s="187"/>
      <c r="W72" s="187"/>
      <c r="X72" s="188"/>
      <c r="Z72" s="187"/>
      <c r="AA72" s="57"/>
      <c r="AC72" s="43"/>
      <c r="AE72" s="185"/>
    </row>
    <row r="73" spans="3:31" ht="12.5">
      <c r="C73" s="187"/>
      <c r="D73" s="188"/>
      <c r="E73" s="187"/>
      <c r="F73" s="187"/>
      <c r="G73" s="187"/>
      <c r="H73" s="187"/>
      <c r="I73" s="187"/>
      <c r="J73" s="188"/>
      <c r="K73" s="187"/>
      <c r="L73" s="187"/>
      <c r="M73" s="187"/>
      <c r="N73" s="187"/>
      <c r="O73" s="187"/>
      <c r="P73" s="187"/>
      <c r="Q73" s="188"/>
      <c r="R73" s="187"/>
      <c r="S73" s="187"/>
      <c r="T73" s="187"/>
      <c r="U73" s="187"/>
      <c r="V73" s="187"/>
      <c r="W73" s="187"/>
      <c r="X73" s="188"/>
      <c r="Y73" s="187"/>
      <c r="Z73" s="187"/>
      <c r="AA73" s="57"/>
      <c r="AE73" s="185"/>
    </row>
    <row r="74" spans="3:31" ht="12.5">
      <c r="C74" s="187"/>
      <c r="D74" s="188"/>
      <c r="E74" s="187"/>
      <c r="F74" s="187"/>
      <c r="G74" s="187"/>
      <c r="H74" s="187"/>
      <c r="I74" s="187"/>
      <c r="J74" s="188"/>
      <c r="K74" s="187"/>
      <c r="L74" s="187"/>
      <c r="M74" s="187"/>
      <c r="N74" s="187"/>
      <c r="O74" s="187"/>
      <c r="P74" s="187"/>
      <c r="Q74" s="188"/>
      <c r="R74" s="187"/>
      <c r="S74" s="187"/>
      <c r="T74" s="187"/>
      <c r="U74" s="187"/>
      <c r="V74" s="187"/>
      <c r="W74" s="187"/>
      <c r="X74" s="188"/>
      <c r="Y74" s="187"/>
      <c r="Z74" s="187"/>
      <c r="AA74" s="57"/>
      <c r="AB74" s="187"/>
      <c r="AC74" s="187"/>
      <c r="AD74" s="187"/>
      <c r="AE74" s="185"/>
    </row>
    <row r="75" spans="3:31" ht="12.5">
      <c r="C75" s="187"/>
      <c r="D75" s="188"/>
      <c r="E75" s="187"/>
      <c r="F75" s="187"/>
      <c r="G75" s="187"/>
      <c r="H75" s="187"/>
      <c r="I75" s="187"/>
      <c r="J75" s="188"/>
      <c r="K75" s="187"/>
      <c r="L75" s="187"/>
      <c r="M75" s="187"/>
      <c r="N75" s="187"/>
      <c r="O75" s="187"/>
      <c r="P75" s="187"/>
      <c r="Q75" s="188"/>
      <c r="R75" s="187"/>
      <c r="S75" s="187"/>
      <c r="T75" s="187"/>
      <c r="U75" s="187"/>
      <c r="V75" s="187"/>
      <c r="W75" s="187"/>
      <c r="X75" s="188"/>
      <c r="Y75" s="187"/>
      <c r="Z75" s="187"/>
      <c r="AB75" s="187"/>
      <c r="AC75" s="187"/>
      <c r="AD75" s="187"/>
      <c r="AE75" s="185"/>
    </row>
    <row r="76" spans="3:31" ht="12.5">
      <c r="C76" s="187"/>
      <c r="D76" s="188"/>
      <c r="E76" s="187"/>
      <c r="F76" s="187"/>
      <c r="G76" s="187"/>
      <c r="H76" s="187"/>
      <c r="I76" s="187"/>
      <c r="J76" s="188"/>
      <c r="K76" s="187"/>
      <c r="L76" s="187"/>
      <c r="M76" s="187"/>
      <c r="N76" s="187"/>
      <c r="O76" s="187"/>
      <c r="P76" s="187"/>
      <c r="Q76" s="188"/>
      <c r="R76" s="187"/>
      <c r="S76" s="187"/>
      <c r="T76" s="187"/>
      <c r="U76" s="187"/>
      <c r="V76" s="187"/>
      <c r="W76" s="187"/>
      <c r="X76" s="188"/>
      <c r="Y76" s="187"/>
      <c r="Z76" s="187"/>
      <c r="AB76" s="187"/>
      <c r="AC76" s="187"/>
      <c r="AD76" s="187"/>
      <c r="AE76" s="185"/>
    </row>
    <row r="77" spans="3:31" ht="13">
      <c r="C77" s="187"/>
      <c r="D77" s="188"/>
      <c r="E77" s="187"/>
      <c r="F77" s="187"/>
      <c r="G77" s="187"/>
      <c r="H77" s="187"/>
      <c r="I77" s="187"/>
      <c r="J77" s="188"/>
      <c r="K77" s="187"/>
      <c r="L77" s="187"/>
      <c r="M77" s="187"/>
      <c r="N77" s="187"/>
      <c r="O77" s="187"/>
      <c r="P77" s="187"/>
      <c r="Q77" s="188"/>
      <c r="R77" s="187"/>
      <c r="S77" s="187"/>
      <c r="T77" s="187"/>
      <c r="U77" s="187"/>
      <c r="V77" s="187"/>
      <c r="W77" s="187"/>
      <c r="X77" s="188"/>
      <c r="Y77" s="187"/>
      <c r="Z77" s="187"/>
      <c r="AA77" s="187"/>
      <c r="AB77" s="187"/>
      <c r="AC77" s="187"/>
      <c r="AD77" s="189"/>
      <c r="AE77" s="185"/>
    </row>
    <row r="78" spans="3:31" ht="13">
      <c r="C78" s="187"/>
      <c r="D78" s="188"/>
      <c r="E78" s="187"/>
      <c r="F78" s="187"/>
      <c r="G78" s="187"/>
      <c r="H78" s="187"/>
      <c r="I78" s="187"/>
      <c r="J78" s="188"/>
      <c r="K78" s="187"/>
      <c r="L78" s="187"/>
      <c r="M78" s="187"/>
      <c r="N78" s="187"/>
      <c r="O78" s="187"/>
      <c r="P78" s="187"/>
      <c r="Q78" s="188"/>
      <c r="R78" s="187"/>
      <c r="S78" s="187"/>
      <c r="T78" s="187"/>
      <c r="U78" s="187"/>
      <c r="V78" s="187"/>
      <c r="W78" s="187"/>
      <c r="X78" s="188"/>
      <c r="Y78" s="187"/>
      <c r="Z78" s="187"/>
      <c r="AA78" s="187"/>
      <c r="AB78" s="187"/>
      <c r="AC78" s="187"/>
      <c r="AD78" s="189"/>
      <c r="AE78" s="185"/>
    </row>
    <row r="79" spans="3:31" ht="13">
      <c r="C79" s="187"/>
      <c r="D79" s="188"/>
      <c r="E79" s="187"/>
      <c r="F79" s="187"/>
      <c r="G79" s="187"/>
      <c r="H79" s="187"/>
      <c r="I79" s="187"/>
      <c r="J79" s="188"/>
      <c r="K79" s="187"/>
      <c r="L79" s="187"/>
      <c r="M79" s="187"/>
      <c r="N79" s="187"/>
      <c r="O79" s="187"/>
      <c r="P79" s="187"/>
      <c r="Q79" s="188"/>
      <c r="R79" s="187"/>
      <c r="S79" s="187"/>
      <c r="T79" s="187"/>
      <c r="U79" s="187"/>
      <c r="V79" s="187"/>
      <c r="W79" s="187"/>
      <c r="X79" s="188"/>
      <c r="Y79" s="187"/>
      <c r="Z79" s="187"/>
      <c r="AA79" s="187"/>
      <c r="AB79" s="187"/>
      <c r="AC79" s="187"/>
      <c r="AD79" s="189"/>
      <c r="AE79" s="185"/>
    </row>
    <row r="80" spans="3:31" ht="13">
      <c r="C80" s="187"/>
      <c r="D80" s="188"/>
      <c r="E80" s="187"/>
      <c r="F80" s="187"/>
      <c r="G80" s="187"/>
      <c r="H80" s="187"/>
      <c r="I80" s="187"/>
      <c r="J80" s="188"/>
      <c r="K80" s="187"/>
      <c r="L80" s="187"/>
      <c r="M80" s="187"/>
      <c r="N80" s="187"/>
      <c r="O80" s="187"/>
      <c r="P80" s="187"/>
      <c r="Q80" s="188"/>
      <c r="R80" s="187"/>
      <c r="S80" s="187"/>
      <c r="T80" s="187"/>
      <c r="U80" s="187"/>
      <c r="V80" s="187"/>
      <c r="W80" s="187"/>
      <c r="X80" s="188"/>
      <c r="Y80" s="187"/>
      <c r="Z80" s="187"/>
      <c r="AA80" s="187"/>
      <c r="AB80" s="187"/>
      <c r="AC80" s="187"/>
      <c r="AD80" s="189"/>
      <c r="AE80" s="189"/>
    </row>
    <row r="81" spans="3:30" ht="13">
      <c r="C81" s="187"/>
      <c r="D81" s="188"/>
      <c r="E81" s="187"/>
      <c r="F81" s="187"/>
      <c r="G81" s="187"/>
      <c r="H81" s="187"/>
      <c r="I81" s="187"/>
      <c r="J81" s="188"/>
      <c r="K81" s="187"/>
      <c r="L81" s="187"/>
      <c r="M81" s="187"/>
      <c r="N81" s="187"/>
      <c r="O81" s="187"/>
      <c r="P81" s="187"/>
      <c r="Q81" s="188"/>
      <c r="R81" s="187"/>
      <c r="S81" s="187"/>
      <c r="T81" s="187"/>
      <c r="U81" s="187"/>
      <c r="V81" s="187"/>
      <c r="W81" s="187"/>
      <c r="X81" s="188"/>
      <c r="Y81" s="187"/>
      <c r="Z81" s="187"/>
      <c r="AA81" s="187"/>
      <c r="AB81" s="187"/>
      <c r="AC81" s="187"/>
      <c r="AD81" s="189"/>
    </row>
    <row r="82" spans="3:30" ht="13">
      <c r="C82" s="187"/>
      <c r="D82" s="188"/>
      <c r="E82" s="187"/>
      <c r="F82" s="187"/>
      <c r="G82" s="187"/>
      <c r="H82" s="187"/>
      <c r="I82" s="187"/>
      <c r="J82" s="188"/>
      <c r="K82" s="187"/>
      <c r="L82" s="187"/>
      <c r="M82" s="187"/>
      <c r="N82" s="187"/>
      <c r="O82" s="187"/>
      <c r="P82" s="187"/>
      <c r="Q82" s="188"/>
      <c r="R82" s="187"/>
      <c r="S82" s="187"/>
      <c r="T82" s="187"/>
      <c r="U82" s="187"/>
      <c r="V82" s="187"/>
      <c r="W82" s="187"/>
      <c r="X82" s="188"/>
      <c r="Y82" s="187"/>
      <c r="Z82" s="187"/>
      <c r="AA82" s="187"/>
      <c r="AB82" s="187"/>
      <c r="AC82" s="187"/>
      <c r="AD82" s="189"/>
    </row>
    <row r="83" spans="3:30" ht="13">
      <c r="C83" s="187"/>
      <c r="D83" s="188"/>
      <c r="E83" s="187"/>
      <c r="F83" s="187"/>
      <c r="G83" s="187"/>
      <c r="H83" s="187"/>
      <c r="I83" s="187"/>
      <c r="J83" s="188"/>
      <c r="K83" s="187"/>
      <c r="L83" s="187"/>
      <c r="M83" s="187"/>
      <c r="N83" s="187"/>
      <c r="O83" s="187"/>
      <c r="P83" s="187"/>
      <c r="Q83" s="188"/>
      <c r="R83" s="187"/>
      <c r="S83" s="187"/>
      <c r="T83" s="187"/>
      <c r="U83" s="187"/>
      <c r="V83" s="187"/>
      <c r="W83" s="187"/>
      <c r="X83" s="188"/>
      <c r="Y83" s="187"/>
      <c r="Z83" s="187"/>
      <c r="AA83" s="187"/>
      <c r="AB83" s="187"/>
      <c r="AC83" s="187"/>
      <c r="AD83" s="189"/>
    </row>
    <row r="84" spans="3:30" ht="13">
      <c r="C84" s="187"/>
      <c r="D84" s="188"/>
      <c r="E84" s="187"/>
      <c r="F84" s="187"/>
      <c r="G84" s="187"/>
      <c r="H84" s="187"/>
      <c r="I84" s="187"/>
      <c r="J84" s="188"/>
      <c r="K84" s="187"/>
      <c r="L84" s="187"/>
      <c r="M84" s="187"/>
      <c r="N84" s="187"/>
      <c r="O84" s="187"/>
      <c r="P84" s="187"/>
      <c r="Q84" s="188"/>
      <c r="R84" s="187"/>
      <c r="S84" s="187"/>
      <c r="T84" s="187"/>
      <c r="U84" s="187"/>
      <c r="V84" s="187"/>
      <c r="W84" s="187"/>
      <c r="X84" s="188"/>
      <c r="Y84" s="187"/>
      <c r="Z84" s="187"/>
      <c r="AA84" s="187"/>
      <c r="AB84" s="187"/>
      <c r="AC84" s="187"/>
      <c r="AD84" s="189"/>
    </row>
    <row r="85" spans="3:30" ht="13">
      <c r="C85" s="187"/>
      <c r="D85" s="188"/>
      <c r="E85" s="187"/>
      <c r="F85" s="187"/>
      <c r="G85" s="187"/>
      <c r="H85" s="187"/>
      <c r="I85" s="187"/>
      <c r="J85" s="188"/>
      <c r="K85" s="187"/>
      <c r="L85" s="187"/>
      <c r="M85" s="187"/>
      <c r="N85" s="187"/>
      <c r="O85" s="187"/>
      <c r="P85" s="187"/>
      <c r="Q85" s="188"/>
      <c r="R85" s="187"/>
      <c r="S85" s="187"/>
      <c r="T85" s="187"/>
      <c r="U85" s="187"/>
      <c r="V85" s="187"/>
      <c r="W85" s="187"/>
      <c r="X85" s="188"/>
      <c r="Y85" s="187"/>
      <c r="Z85" s="187"/>
      <c r="AA85" s="187"/>
      <c r="AB85" s="187"/>
      <c r="AC85" s="187"/>
      <c r="AD85" s="189"/>
    </row>
    <row r="86" spans="3:30" ht="13">
      <c r="C86" s="187"/>
      <c r="D86" s="188"/>
      <c r="E86" s="187"/>
      <c r="F86" s="187"/>
      <c r="G86" s="187"/>
      <c r="H86" s="187"/>
      <c r="I86" s="187"/>
      <c r="J86" s="188"/>
      <c r="K86" s="187"/>
      <c r="L86" s="187"/>
      <c r="M86" s="187"/>
      <c r="N86" s="187"/>
      <c r="O86" s="187"/>
      <c r="P86" s="187"/>
      <c r="Q86" s="188"/>
      <c r="R86" s="187"/>
      <c r="S86" s="187"/>
      <c r="T86" s="187"/>
      <c r="U86" s="187"/>
      <c r="V86" s="187"/>
      <c r="W86" s="187"/>
      <c r="X86" s="188"/>
      <c r="Y86" s="187"/>
      <c r="Z86" s="187"/>
      <c r="AA86" s="187"/>
      <c r="AB86" s="187"/>
      <c r="AC86" s="187"/>
      <c r="AD86" s="189"/>
    </row>
    <row r="87" spans="3:30" ht="13">
      <c r="C87" s="187"/>
      <c r="D87" s="188"/>
      <c r="E87" s="187"/>
      <c r="F87" s="187"/>
      <c r="G87" s="187"/>
      <c r="H87" s="187"/>
      <c r="I87" s="187"/>
      <c r="J87" s="188"/>
      <c r="K87" s="187"/>
      <c r="L87" s="187"/>
      <c r="M87" s="187"/>
      <c r="N87" s="187"/>
      <c r="O87" s="187"/>
      <c r="P87" s="187"/>
      <c r="Q87" s="188"/>
      <c r="R87" s="187"/>
      <c r="S87" s="187"/>
      <c r="T87" s="187"/>
      <c r="U87" s="187"/>
      <c r="V87" s="187"/>
      <c r="W87" s="187"/>
      <c r="X87" s="188"/>
      <c r="Y87" s="187"/>
      <c r="Z87" s="187"/>
      <c r="AA87" s="187"/>
      <c r="AB87" s="187"/>
      <c r="AC87" s="187"/>
      <c r="AD87" s="189"/>
    </row>
    <row r="88" spans="3:30" ht="13">
      <c r="C88" s="187"/>
      <c r="D88" s="188"/>
      <c r="E88" s="187"/>
      <c r="F88" s="187"/>
      <c r="G88" s="187"/>
      <c r="H88" s="187"/>
      <c r="I88" s="187"/>
      <c r="J88" s="188"/>
      <c r="K88" s="187"/>
      <c r="L88" s="187"/>
      <c r="M88" s="187"/>
      <c r="N88" s="187"/>
      <c r="O88" s="187"/>
      <c r="P88" s="187"/>
      <c r="Q88" s="188"/>
      <c r="R88" s="187"/>
      <c r="S88" s="187"/>
      <c r="T88" s="187"/>
      <c r="U88" s="187"/>
      <c r="V88" s="187"/>
      <c r="W88" s="187"/>
      <c r="X88" s="188"/>
      <c r="Y88" s="187"/>
      <c r="Z88" s="187"/>
      <c r="AA88" s="187"/>
      <c r="AB88" s="187"/>
      <c r="AC88" s="187"/>
      <c r="AD88" s="189"/>
    </row>
    <row r="89" spans="3:30" ht="13">
      <c r="C89" s="187"/>
      <c r="D89" s="188"/>
      <c r="E89" s="187"/>
      <c r="F89" s="187"/>
      <c r="G89" s="187"/>
      <c r="H89" s="187"/>
      <c r="I89" s="187"/>
      <c r="J89" s="188"/>
      <c r="K89" s="187"/>
      <c r="L89" s="187"/>
      <c r="M89" s="187"/>
      <c r="N89" s="187"/>
      <c r="O89" s="187"/>
      <c r="P89" s="187"/>
      <c r="Q89" s="188"/>
      <c r="R89" s="187"/>
      <c r="S89" s="187"/>
      <c r="T89" s="187"/>
      <c r="U89" s="187"/>
      <c r="V89" s="187"/>
      <c r="W89" s="187"/>
      <c r="X89" s="188"/>
      <c r="Y89" s="187"/>
      <c r="Z89" s="187"/>
      <c r="AA89" s="187"/>
      <c r="AB89" s="187"/>
      <c r="AC89" s="187"/>
      <c r="AD89" s="189"/>
    </row>
    <row r="90" spans="3:30" ht="13">
      <c r="C90" s="187"/>
      <c r="D90" s="188"/>
      <c r="E90" s="187"/>
      <c r="F90" s="187"/>
      <c r="G90" s="187"/>
      <c r="H90" s="187"/>
      <c r="I90" s="187"/>
      <c r="J90" s="188"/>
      <c r="K90" s="187"/>
      <c r="L90" s="187"/>
      <c r="M90" s="187"/>
      <c r="N90" s="187"/>
      <c r="O90" s="187"/>
      <c r="P90" s="187"/>
      <c r="Q90" s="188"/>
      <c r="R90" s="187"/>
      <c r="S90" s="187"/>
      <c r="T90" s="187"/>
      <c r="U90" s="187"/>
      <c r="V90" s="187"/>
      <c r="W90" s="187"/>
      <c r="X90" s="188"/>
      <c r="Y90" s="187"/>
      <c r="Z90" s="187"/>
      <c r="AA90" s="187"/>
      <c r="AB90" s="187"/>
      <c r="AC90" s="187"/>
      <c r="AD90" s="189"/>
    </row>
    <row r="91" spans="3:30" ht="13">
      <c r="C91" s="187"/>
      <c r="D91" s="188"/>
      <c r="E91" s="187"/>
      <c r="F91" s="187"/>
      <c r="G91" s="187"/>
      <c r="H91" s="187"/>
      <c r="I91" s="187"/>
      <c r="J91" s="188"/>
      <c r="K91" s="187"/>
      <c r="L91" s="187"/>
      <c r="M91" s="187"/>
      <c r="N91" s="187"/>
      <c r="O91" s="187"/>
      <c r="P91" s="187"/>
      <c r="Q91" s="188"/>
      <c r="R91" s="187"/>
      <c r="S91" s="187"/>
      <c r="T91" s="187"/>
      <c r="U91" s="187"/>
      <c r="V91" s="187"/>
      <c r="W91" s="187"/>
      <c r="X91" s="188"/>
      <c r="Y91" s="187"/>
      <c r="Z91" s="187"/>
      <c r="AA91" s="187"/>
      <c r="AB91" s="187"/>
      <c r="AC91" s="187"/>
      <c r="AD91" s="189"/>
    </row>
    <row r="92" spans="3:30" ht="13">
      <c r="C92" s="187"/>
      <c r="D92" s="188"/>
      <c r="E92" s="187"/>
      <c r="F92" s="187"/>
      <c r="G92" s="187"/>
      <c r="H92" s="187"/>
      <c r="I92" s="187"/>
      <c r="J92" s="188"/>
      <c r="K92" s="187"/>
      <c r="L92" s="187"/>
      <c r="M92" s="187"/>
      <c r="N92" s="187"/>
      <c r="O92" s="187"/>
      <c r="P92" s="187"/>
      <c r="Q92" s="188"/>
      <c r="R92" s="187"/>
      <c r="S92" s="187"/>
      <c r="T92" s="187"/>
      <c r="U92" s="187"/>
      <c r="V92" s="187"/>
      <c r="W92" s="187"/>
      <c r="X92" s="188"/>
      <c r="Y92" s="187"/>
      <c r="Z92" s="187"/>
      <c r="AA92" s="187"/>
      <c r="AB92" s="187"/>
      <c r="AC92" s="187"/>
      <c r="AD92" s="189"/>
    </row>
    <row r="93" spans="3:30" ht="13">
      <c r="C93" s="187"/>
      <c r="D93" s="188"/>
      <c r="E93" s="187"/>
      <c r="F93" s="187"/>
      <c r="G93" s="187"/>
      <c r="H93" s="187"/>
      <c r="I93" s="187"/>
      <c r="J93" s="188"/>
      <c r="K93" s="187"/>
      <c r="L93" s="187"/>
      <c r="M93" s="187"/>
      <c r="N93" s="187"/>
      <c r="O93" s="187"/>
      <c r="P93" s="187"/>
      <c r="Q93" s="188"/>
      <c r="R93" s="187"/>
      <c r="S93" s="187"/>
      <c r="T93" s="187"/>
      <c r="U93" s="187"/>
      <c r="V93" s="187"/>
      <c r="W93" s="187"/>
      <c r="X93" s="188"/>
      <c r="Y93" s="187"/>
      <c r="Z93" s="187"/>
      <c r="AA93" s="187"/>
      <c r="AB93" s="187"/>
      <c r="AC93" s="187"/>
      <c r="AD93" s="189"/>
    </row>
    <row r="94" spans="3:30">
      <c r="C94" s="187"/>
      <c r="D94" s="188"/>
      <c r="E94" s="187"/>
      <c r="F94" s="187"/>
      <c r="G94" s="187"/>
      <c r="H94" s="187"/>
      <c r="I94" s="187"/>
      <c r="J94" s="188"/>
      <c r="K94" s="187"/>
      <c r="L94" s="187"/>
      <c r="M94" s="187"/>
      <c r="N94" s="187"/>
      <c r="O94" s="187"/>
      <c r="P94" s="187"/>
      <c r="Q94" s="188"/>
      <c r="R94" s="187"/>
      <c r="S94" s="187"/>
      <c r="T94" s="187"/>
      <c r="U94" s="187"/>
      <c r="V94" s="187"/>
      <c r="W94" s="187"/>
      <c r="X94" s="188"/>
      <c r="Y94" s="187"/>
      <c r="Z94" s="187"/>
      <c r="AA94" s="187"/>
      <c r="AB94" s="187"/>
      <c r="AC94" s="187"/>
      <c r="AD94" s="187"/>
    </row>
    <row r="95" spans="3:30">
      <c r="C95" s="187"/>
      <c r="D95" s="188"/>
      <c r="E95" s="187"/>
      <c r="F95" s="187"/>
      <c r="G95" s="187"/>
      <c r="H95" s="187"/>
      <c r="I95" s="187"/>
      <c r="J95" s="188"/>
      <c r="K95" s="187"/>
      <c r="L95" s="187"/>
      <c r="M95" s="187"/>
      <c r="N95" s="187"/>
      <c r="O95" s="187"/>
      <c r="P95" s="187"/>
      <c r="Q95" s="188"/>
      <c r="R95" s="187"/>
      <c r="S95" s="187"/>
      <c r="T95" s="187"/>
      <c r="U95" s="187"/>
      <c r="V95" s="187"/>
      <c r="W95" s="187"/>
      <c r="X95" s="188"/>
      <c r="Y95" s="187"/>
      <c r="Z95" s="187"/>
      <c r="AA95" s="187"/>
      <c r="AB95" s="187"/>
      <c r="AC95" s="187"/>
      <c r="AD95" s="187"/>
    </row>
    <row r="96" spans="3:30">
      <c r="C96" s="187"/>
      <c r="D96" s="188"/>
      <c r="E96" s="187"/>
      <c r="F96" s="187"/>
      <c r="G96" s="187"/>
      <c r="H96" s="187"/>
      <c r="I96" s="187"/>
      <c r="J96" s="188"/>
      <c r="K96" s="187"/>
      <c r="L96" s="187"/>
      <c r="M96" s="187"/>
      <c r="N96" s="187"/>
      <c r="O96" s="187"/>
      <c r="P96" s="187"/>
      <c r="Q96" s="188"/>
      <c r="R96" s="187"/>
      <c r="S96" s="187"/>
      <c r="T96" s="187"/>
      <c r="U96" s="187"/>
      <c r="V96" s="187"/>
      <c r="W96" s="187"/>
      <c r="X96" s="188"/>
      <c r="Y96" s="187"/>
      <c r="Z96" s="187"/>
      <c r="AA96" s="187"/>
      <c r="AB96" s="187"/>
      <c r="AC96" s="187"/>
      <c r="AD96" s="187"/>
    </row>
    <row r="97" spans="3:30">
      <c r="C97" s="187"/>
      <c r="D97" s="188"/>
      <c r="E97" s="187"/>
      <c r="F97" s="187"/>
      <c r="G97" s="187"/>
      <c r="H97" s="187"/>
      <c r="I97" s="187"/>
      <c r="J97" s="188"/>
      <c r="K97" s="187"/>
      <c r="L97" s="187"/>
      <c r="M97" s="187"/>
      <c r="N97" s="187"/>
      <c r="O97" s="187"/>
      <c r="P97" s="187"/>
      <c r="Q97" s="188"/>
      <c r="R97" s="187"/>
      <c r="S97" s="187"/>
      <c r="T97" s="187"/>
      <c r="U97" s="187"/>
      <c r="V97" s="187"/>
      <c r="W97" s="187"/>
      <c r="X97" s="188"/>
      <c r="Y97" s="187"/>
      <c r="Z97" s="187"/>
      <c r="AA97" s="187"/>
      <c r="AB97" s="187"/>
      <c r="AC97" s="187"/>
      <c r="AD97" s="187"/>
    </row>
    <row r="98" spans="3:30">
      <c r="C98" s="187"/>
      <c r="D98" s="188"/>
      <c r="E98" s="187"/>
      <c r="F98" s="187"/>
      <c r="G98" s="187"/>
      <c r="H98" s="187"/>
      <c r="I98" s="187"/>
      <c r="J98" s="188"/>
      <c r="K98" s="187"/>
      <c r="L98" s="187"/>
      <c r="M98" s="187"/>
      <c r="N98" s="187"/>
      <c r="O98" s="187"/>
      <c r="P98" s="187"/>
      <c r="Q98" s="188"/>
      <c r="R98" s="187"/>
      <c r="S98" s="187"/>
      <c r="T98" s="187"/>
      <c r="U98" s="187"/>
      <c r="V98" s="187"/>
      <c r="W98" s="187"/>
      <c r="X98" s="188"/>
      <c r="Y98" s="187"/>
      <c r="Z98" s="187"/>
      <c r="AA98" s="187"/>
      <c r="AB98" s="187"/>
      <c r="AC98" s="187"/>
      <c r="AD98" s="187"/>
    </row>
    <row r="99" spans="3:30">
      <c r="C99" s="187"/>
      <c r="D99" s="188"/>
      <c r="E99" s="187"/>
      <c r="F99" s="187"/>
      <c r="G99" s="187"/>
      <c r="H99" s="187"/>
      <c r="I99" s="187"/>
      <c r="J99" s="188"/>
      <c r="K99" s="187"/>
      <c r="L99" s="187"/>
      <c r="M99" s="187"/>
      <c r="N99" s="187"/>
      <c r="O99" s="187"/>
      <c r="P99" s="187"/>
      <c r="Q99" s="188"/>
      <c r="R99" s="187"/>
      <c r="S99" s="187"/>
      <c r="T99" s="187"/>
      <c r="U99" s="187"/>
      <c r="V99" s="187"/>
      <c r="W99" s="187"/>
      <c r="X99" s="188"/>
      <c r="Y99" s="187"/>
      <c r="Z99" s="187"/>
      <c r="AA99" s="187"/>
      <c r="AB99" s="187"/>
      <c r="AC99" s="187"/>
      <c r="AD99" s="187"/>
    </row>
    <row r="100" spans="3:30">
      <c r="C100" s="187"/>
      <c r="D100" s="188"/>
      <c r="E100" s="187"/>
      <c r="F100" s="187"/>
      <c r="G100" s="187"/>
      <c r="H100" s="187"/>
      <c r="I100" s="187"/>
      <c r="J100" s="188"/>
      <c r="K100" s="187"/>
      <c r="L100" s="187"/>
      <c r="M100" s="187"/>
      <c r="N100" s="187"/>
      <c r="O100" s="187"/>
      <c r="P100" s="187"/>
      <c r="Q100" s="188"/>
      <c r="R100" s="187"/>
      <c r="S100" s="187"/>
      <c r="T100" s="187"/>
      <c r="U100" s="187"/>
      <c r="V100" s="187"/>
      <c r="W100" s="187"/>
      <c r="X100" s="188"/>
      <c r="Y100" s="187"/>
      <c r="Z100" s="187"/>
      <c r="AA100" s="187"/>
      <c r="AB100" s="187"/>
      <c r="AC100" s="187"/>
      <c r="AD100" s="187"/>
    </row>
    <row r="101" spans="3:30">
      <c r="C101" s="187"/>
      <c r="D101" s="188"/>
      <c r="E101" s="187"/>
      <c r="F101" s="187"/>
      <c r="G101" s="187"/>
      <c r="H101" s="187"/>
      <c r="I101" s="187"/>
      <c r="J101" s="188"/>
      <c r="K101" s="187"/>
      <c r="L101" s="187"/>
      <c r="M101" s="187"/>
      <c r="N101" s="187"/>
      <c r="O101" s="187"/>
      <c r="P101" s="187"/>
      <c r="Q101" s="188"/>
      <c r="R101" s="187"/>
      <c r="S101" s="187"/>
      <c r="T101" s="187"/>
      <c r="U101" s="187"/>
      <c r="V101" s="187"/>
      <c r="W101" s="187"/>
      <c r="X101" s="188"/>
      <c r="Y101" s="187"/>
      <c r="Z101" s="187"/>
      <c r="AA101" s="187"/>
      <c r="AB101" s="187"/>
      <c r="AC101" s="187"/>
      <c r="AD101" s="187"/>
    </row>
    <row r="102" spans="3:30">
      <c r="C102" s="187"/>
      <c r="D102" s="188"/>
      <c r="E102" s="187"/>
      <c r="F102" s="187"/>
      <c r="G102" s="187"/>
      <c r="H102" s="187"/>
      <c r="I102" s="187"/>
      <c r="J102" s="188"/>
      <c r="K102" s="187"/>
      <c r="L102" s="187"/>
      <c r="M102" s="187"/>
      <c r="N102" s="187"/>
      <c r="O102" s="187"/>
      <c r="P102" s="187"/>
      <c r="Q102" s="188"/>
      <c r="R102" s="187"/>
      <c r="S102" s="187"/>
      <c r="T102" s="187"/>
      <c r="U102" s="187"/>
      <c r="V102" s="187"/>
      <c r="W102" s="187"/>
      <c r="X102" s="188"/>
      <c r="Y102" s="187"/>
      <c r="Z102" s="187"/>
      <c r="AA102" s="187"/>
      <c r="AB102" s="187"/>
      <c r="AC102" s="187"/>
      <c r="AD102" s="187"/>
    </row>
    <row r="103" spans="3:30">
      <c r="C103" s="187"/>
      <c r="D103" s="188"/>
      <c r="E103" s="187"/>
      <c r="F103" s="187"/>
      <c r="G103" s="187"/>
      <c r="H103" s="187"/>
      <c r="I103" s="187"/>
      <c r="J103" s="188"/>
      <c r="K103" s="187"/>
      <c r="L103" s="187"/>
      <c r="M103" s="187"/>
      <c r="N103" s="187"/>
      <c r="O103" s="187"/>
      <c r="P103" s="187"/>
      <c r="Q103" s="188"/>
      <c r="R103" s="187"/>
      <c r="S103" s="187"/>
      <c r="T103" s="187"/>
      <c r="U103" s="187"/>
      <c r="V103" s="187"/>
      <c r="W103" s="187"/>
      <c r="X103" s="188"/>
      <c r="Y103" s="187"/>
      <c r="Z103" s="187"/>
      <c r="AA103" s="187"/>
      <c r="AB103" s="187"/>
      <c r="AC103" s="187"/>
      <c r="AD103" s="187"/>
    </row>
    <row r="104" spans="3:30">
      <c r="C104" s="187"/>
      <c r="D104" s="188"/>
      <c r="E104" s="187"/>
      <c r="F104" s="187"/>
      <c r="G104" s="187"/>
      <c r="H104" s="187"/>
      <c r="I104" s="187"/>
      <c r="J104" s="188"/>
      <c r="K104" s="187"/>
      <c r="L104" s="187"/>
      <c r="M104" s="187"/>
      <c r="N104" s="187"/>
      <c r="O104" s="187"/>
      <c r="P104" s="187"/>
      <c r="Q104" s="188"/>
      <c r="R104" s="187"/>
      <c r="S104" s="187"/>
      <c r="T104" s="187"/>
      <c r="U104" s="187"/>
      <c r="V104" s="187"/>
      <c r="W104" s="187"/>
      <c r="X104" s="188"/>
      <c r="Y104" s="187"/>
      <c r="Z104" s="187"/>
      <c r="AA104" s="187"/>
      <c r="AB104" s="187"/>
      <c r="AC104" s="187"/>
      <c r="AD104" s="187"/>
    </row>
    <row r="105" spans="3:30">
      <c r="C105" s="187"/>
      <c r="D105" s="188"/>
      <c r="E105" s="187"/>
      <c r="F105" s="187"/>
      <c r="G105" s="187"/>
      <c r="H105" s="187"/>
      <c r="I105" s="187"/>
      <c r="J105" s="188"/>
      <c r="K105" s="187"/>
      <c r="L105" s="187"/>
      <c r="M105" s="187"/>
      <c r="N105" s="187"/>
      <c r="O105" s="187"/>
      <c r="P105" s="187"/>
      <c r="Q105" s="188"/>
      <c r="R105" s="187"/>
      <c r="S105" s="187"/>
      <c r="T105" s="187"/>
      <c r="U105" s="187"/>
      <c r="V105" s="187"/>
      <c r="W105" s="187"/>
      <c r="X105" s="188"/>
      <c r="Y105" s="187"/>
      <c r="Z105" s="187"/>
      <c r="AA105" s="187"/>
      <c r="AB105" s="187"/>
      <c r="AC105" s="187"/>
      <c r="AD105" s="187"/>
    </row>
    <row r="106" spans="3:30">
      <c r="C106" s="187"/>
      <c r="D106" s="188"/>
      <c r="E106" s="187"/>
      <c r="F106" s="187"/>
      <c r="G106" s="187"/>
      <c r="H106" s="187"/>
      <c r="I106" s="187"/>
      <c r="J106" s="188"/>
      <c r="K106" s="187"/>
      <c r="L106" s="187"/>
      <c r="M106" s="187"/>
      <c r="N106" s="187"/>
      <c r="O106" s="187"/>
      <c r="P106" s="187"/>
      <c r="Q106" s="188"/>
      <c r="R106" s="187"/>
      <c r="S106" s="187"/>
      <c r="T106" s="187"/>
      <c r="U106" s="187"/>
      <c r="V106" s="187"/>
      <c r="W106" s="187"/>
      <c r="X106" s="188"/>
      <c r="Y106" s="187"/>
      <c r="Z106" s="187"/>
      <c r="AA106" s="187"/>
      <c r="AB106" s="187"/>
      <c r="AC106" s="187"/>
      <c r="AD106" s="187"/>
    </row>
    <row r="107" spans="3:30">
      <c r="C107" s="187"/>
      <c r="D107" s="188"/>
      <c r="E107" s="187"/>
      <c r="F107" s="187"/>
      <c r="G107" s="187"/>
      <c r="H107" s="187"/>
      <c r="I107" s="187"/>
      <c r="J107" s="188"/>
      <c r="K107" s="187"/>
      <c r="L107" s="187"/>
      <c r="M107" s="187"/>
      <c r="N107" s="187"/>
      <c r="O107" s="187"/>
      <c r="P107" s="187"/>
      <c r="Q107" s="188"/>
      <c r="R107" s="187"/>
      <c r="S107" s="187"/>
      <c r="T107" s="187"/>
      <c r="U107" s="187"/>
      <c r="V107" s="187"/>
      <c r="W107" s="187"/>
      <c r="X107" s="188"/>
      <c r="Y107" s="187"/>
      <c r="Z107" s="187"/>
      <c r="AA107" s="187"/>
      <c r="AB107" s="187"/>
      <c r="AC107" s="187"/>
      <c r="AD107" s="187"/>
    </row>
    <row r="108" spans="3:30">
      <c r="C108" s="187"/>
      <c r="D108" s="188"/>
      <c r="E108" s="187"/>
      <c r="F108" s="187"/>
      <c r="G108" s="187"/>
      <c r="H108" s="187"/>
      <c r="I108" s="187"/>
      <c r="J108" s="188"/>
      <c r="K108" s="187"/>
      <c r="L108" s="187"/>
      <c r="M108" s="187"/>
      <c r="N108" s="187"/>
      <c r="O108" s="187"/>
      <c r="P108" s="187"/>
      <c r="Q108" s="188"/>
      <c r="R108" s="187"/>
      <c r="S108" s="187"/>
      <c r="T108" s="187"/>
      <c r="U108" s="187"/>
      <c r="V108" s="187"/>
      <c r="W108" s="187"/>
      <c r="X108" s="188"/>
      <c r="Y108" s="187"/>
      <c r="Z108" s="187"/>
      <c r="AA108" s="187"/>
      <c r="AB108" s="187"/>
      <c r="AC108" s="187"/>
      <c r="AD108" s="187"/>
    </row>
    <row r="109" spans="3:30">
      <c r="C109" s="187"/>
      <c r="D109" s="188"/>
      <c r="E109" s="187"/>
      <c r="F109" s="187"/>
      <c r="G109" s="187"/>
      <c r="H109" s="187"/>
      <c r="I109" s="187"/>
      <c r="J109" s="188"/>
      <c r="K109" s="187"/>
      <c r="L109" s="187"/>
      <c r="M109" s="187"/>
      <c r="N109" s="187"/>
      <c r="O109" s="187"/>
      <c r="P109" s="187"/>
      <c r="Q109" s="188"/>
      <c r="R109" s="187"/>
      <c r="S109" s="187"/>
      <c r="T109" s="187"/>
      <c r="U109" s="187"/>
      <c r="V109" s="187"/>
      <c r="W109" s="187"/>
      <c r="X109" s="188"/>
      <c r="Y109" s="187"/>
      <c r="Z109" s="187"/>
      <c r="AA109" s="187"/>
      <c r="AB109" s="187"/>
      <c r="AC109" s="187"/>
      <c r="AD109" s="187"/>
    </row>
    <row r="110" spans="3:30">
      <c r="C110" s="187"/>
      <c r="D110" s="188"/>
      <c r="E110" s="187"/>
      <c r="F110" s="187"/>
      <c r="G110" s="187"/>
      <c r="H110" s="187"/>
      <c r="I110" s="187"/>
      <c r="J110" s="188"/>
      <c r="K110" s="187"/>
      <c r="L110" s="187"/>
      <c r="M110" s="187"/>
      <c r="N110" s="187"/>
      <c r="O110" s="187"/>
      <c r="P110" s="187"/>
      <c r="Q110" s="188"/>
      <c r="R110" s="187"/>
      <c r="S110" s="187"/>
      <c r="T110" s="187"/>
      <c r="U110" s="187"/>
      <c r="V110" s="187"/>
      <c r="W110" s="187"/>
      <c r="X110" s="188"/>
      <c r="Y110" s="187"/>
      <c r="Z110" s="187"/>
      <c r="AA110" s="187"/>
      <c r="AB110" s="187"/>
      <c r="AC110" s="187"/>
      <c r="AD110" s="187"/>
    </row>
    <row r="111" spans="3:30">
      <c r="C111" s="187"/>
      <c r="D111" s="188"/>
      <c r="E111" s="187"/>
      <c r="F111" s="187"/>
      <c r="G111" s="187"/>
      <c r="H111" s="187"/>
      <c r="I111" s="187"/>
      <c r="J111" s="188"/>
      <c r="K111" s="187"/>
      <c r="L111" s="187"/>
      <c r="M111" s="187"/>
      <c r="N111" s="187"/>
      <c r="O111" s="187"/>
      <c r="P111" s="187"/>
      <c r="Q111" s="188"/>
      <c r="R111" s="187"/>
      <c r="S111" s="187"/>
      <c r="T111" s="187"/>
      <c r="U111" s="187"/>
      <c r="V111" s="187"/>
      <c r="W111" s="187"/>
      <c r="X111" s="188"/>
      <c r="Y111" s="187"/>
      <c r="Z111" s="187"/>
      <c r="AA111" s="187"/>
      <c r="AB111" s="187"/>
      <c r="AC111" s="187"/>
      <c r="AD111" s="187"/>
    </row>
    <row r="112" spans="3:30">
      <c r="C112" s="187"/>
      <c r="D112" s="188"/>
      <c r="E112" s="187"/>
      <c r="F112" s="187"/>
      <c r="G112" s="187"/>
      <c r="H112" s="187"/>
      <c r="I112" s="187"/>
      <c r="J112" s="188"/>
      <c r="K112" s="187"/>
      <c r="L112" s="187"/>
      <c r="M112" s="187"/>
      <c r="N112" s="187"/>
      <c r="O112" s="187"/>
      <c r="P112" s="187"/>
      <c r="Q112" s="188"/>
      <c r="R112" s="187"/>
      <c r="S112" s="187"/>
      <c r="T112" s="187"/>
      <c r="U112" s="187"/>
      <c r="V112" s="187"/>
      <c r="W112" s="187"/>
      <c r="X112" s="188"/>
      <c r="Y112" s="187"/>
      <c r="Z112" s="187"/>
      <c r="AA112" s="187"/>
      <c r="AB112" s="187"/>
      <c r="AC112" s="187"/>
      <c r="AD112" s="187"/>
    </row>
    <row r="113" spans="3:30">
      <c r="C113" s="187"/>
      <c r="D113" s="188"/>
      <c r="E113" s="187"/>
      <c r="F113" s="187"/>
      <c r="G113" s="187"/>
      <c r="H113" s="187"/>
      <c r="I113" s="187"/>
      <c r="J113" s="188"/>
      <c r="K113" s="187"/>
      <c r="L113" s="187"/>
      <c r="M113" s="187"/>
      <c r="N113" s="187"/>
      <c r="O113" s="187"/>
      <c r="P113" s="187"/>
      <c r="Q113" s="188"/>
      <c r="R113" s="187"/>
      <c r="S113" s="187"/>
      <c r="T113" s="187"/>
      <c r="U113" s="187"/>
      <c r="V113" s="187"/>
      <c r="W113" s="187"/>
      <c r="X113" s="188"/>
      <c r="Y113" s="187"/>
      <c r="Z113" s="187"/>
      <c r="AA113" s="187"/>
      <c r="AB113" s="187"/>
      <c r="AC113" s="187"/>
      <c r="AD113" s="187"/>
    </row>
    <row r="114" spans="3:30">
      <c r="C114" s="187"/>
      <c r="D114" s="188"/>
      <c r="E114" s="187"/>
      <c r="F114" s="187"/>
      <c r="G114" s="187"/>
      <c r="H114" s="187"/>
      <c r="I114" s="187"/>
      <c r="J114" s="188"/>
      <c r="K114" s="187"/>
      <c r="L114" s="187"/>
      <c r="M114" s="187"/>
      <c r="N114" s="187"/>
      <c r="O114" s="187"/>
      <c r="P114" s="187"/>
      <c r="Q114" s="188"/>
      <c r="R114" s="187"/>
      <c r="S114" s="187"/>
      <c r="T114" s="187"/>
      <c r="U114" s="187"/>
      <c r="V114" s="187"/>
      <c r="W114" s="187"/>
      <c r="X114" s="188"/>
      <c r="Y114" s="187"/>
      <c r="Z114" s="187"/>
      <c r="AA114" s="187"/>
      <c r="AB114" s="187"/>
      <c r="AC114" s="187"/>
      <c r="AD114" s="187"/>
    </row>
    <row r="115" spans="3:30">
      <c r="C115" s="187"/>
      <c r="D115" s="188"/>
      <c r="E115" s="187"/>
      <c r="F115" s="187"/>
      <c r="G115" s="187"/>
      <c r="H115" s="187"/>
      <c r="I115" s="187"/>
      <c r="J115" s="188"/>
      <c r="K115" s="187"/>
      <c r="L115" s="187"/>
      <c r="M115" s="187"/>
      <c r="N115" s="187"/>
      <c r="O115" s="187"/>
      <c r="P115" s="187"/>
      <c r="Q115" s="188"/>
      <c r="R115" s="187"/>
      <c r="S115" s="187"/>
      <c r="T115" s="187"/>
      <c r="U115" s="187"/>
      <c r="V115" s="187"/>
      <c r="W115" s="187"/>
      <c r="X115" s="188"/>
      <c r="Y115" s="187"/>
      <c r="Z115" s="187"/>
      <c r="AA115" s="187"/>
      <c r="AB115" s="187"/>
      <c r="AC115" s="187"/>
      <c r="AD115" s="187"/>
    </row>
    <row r="116" spans="3:30">
      <c r="C116" s="187"/>
      <c r="D116" s="188"/>
      <c r="E116" s="187"/>
      <c r="F116" s="187"/>
      <c r="G116" s="187"/>
      <c r="H116" s="187"/>
      <c r="I116" s="187"/>
      <c r="J116" s="188"/>
      <c r="K116" s="187"/>
      <c r="L116" s="187"/>
      <c r="M116" s="187"/>
      <c r="N116" s="187"/>
      <c r="O116" s="187"/>
      <c r="P116" s="187"/>
      <c r="Q116" s="188"/>
      <c r="R116" s="187"/>
      <c r="S116" s="187"/>
      <c r="T116" s="187"/>
      <c r="U116" s="187"/>
      <c r="V116" s="187"/>
      <c r="W116" s="187"/>
      <c r="X116" s="188"/>
      <c r="Y116" s="187"/>
      <c r="Z116" s="187"/>
      <c r="AA116" s="187"/>
      <c r="AB116" s="187"/>
      <c r="AC116" s="187"/>
      <c r="AD116" s="187"/>
    </row>
    <row r="117" spans="3:30">
      <c r="C117" s="187"/>
      <c r="D117" s="188"/>
      <c r="E117" s="187"/>
      <c r="F117" s="187"/>
      <c r="G117" s="187"/>
      <c r="H117" s="187"/>
      <c r="I117" s="187"/>
      <c r="J117" s="188"/>
      <c r="K117" s="187"/>
      <c r="L117" s="187"/>
      <c r="M117" s="187"/>
      <c r="N117" s="187"/>
      <c r="O117" s="187"/>
      <c r="P117" s="187"/>
      <c r="Q117" s="188"/>
      <c r="R117" s="187"/>
      <c r="S117" s="187"/>
      <c r="T117" s="187"/>
      <c r="U117" s="187"/>
      <c r="V117" s="187"/>
      <c r="W117" s="187"/>
      <c r="X117" s="188"/>
      <c r="Y117" s="187"/>
      <c r="Z117" s="187"/>
      <c r="AA117" s="187"/>
      <c r="AB117" s="187"/>
      <c r="AC117" s="187"/>
      <c r="AD117" s="187"/>
    </row>
    <row r="118" spans="3:30">
      <c r="C118" s="187"/>
      <c r="D118" s="188"/>
      <c r="E118" s="187"/>
      <c r="F118" s="187"/>
      <c r="G118" s="187"/>
      <c r="H118" s="187"/>
      <c r="I118" s="187"/>
      <c r="J118" s="188"/>
      <c r="K118" s="187"/>
      <c r="L118" s="187"/>
      <c r="M118" s="187"/>
      <c r="N118" s="187"/>
      <c r="O118" s="187"/>
      <c r="P118" s="187"/>
      <c r="Q118" s="188"/>
      <c r="R118" s="187"/>
      <c r="S118" s="187"/>
      <c r="T118" s="187"/>
      <c r="U118" s="187"/>
      <c r="V118" s="187"/>
      <c r="W118" s="187"/>
      <c r="X118" s="188"/>
      <c r="Y118" s="187"/>
      <c r="Z118" s="187"/>
      <c r="AA118" s="187"/>
      <c r="AB118" s="187"/>
      <c r="AC118" s="187"/>
      <c r="AD118" s="187"/>
    </row>
    <row r="119" spans="3:30">
      <c r="C119" s="187"/>
      <c r="D119" s="188"/>
      <c r="E119" s="187"/>
      <c r="F119" s="187"/>
      <c r="G119" s="187"/>
      <c r="H119" s="187"/>
      <c r="I119" s="187"/>
      <c r="J119" s="188"/>
      <c r="K119" s="187"/>
      <c r="L119" s="187"/>
      <c r="M119" s="187"/>
      <c r="N119" s="187"/>
      <c r="O119" s="187"/>
      <c r="P119" s="187"/>
      <c r="Q119" s="188"/>
      <c r="R119" s="187"/>
      <c r="S119" s="187"/>
      <c r="T119" s="187"/>
      <c r="U119" s="187"/>
      <c r="V119" s="187"/>
      <c r="W119" s="187"/>
      <c r="X119" s="188"/>
      <c r="Y119" s="187"/>
      <c r="Z119" s="187"/>
      <c r="AA119" s="187"/>
      <c r="AB119" s="187"/>
      <c r="AC119" s="187"/>
      <c r="AD119" s="187"/>
    </row>
    <row r="120" spans="3:30">
      <c r="C120" s="187"/>
      <c r="D120" s="188"/>
      <c r="E120" s="187"/>
      <c r="F120" s="187"/>
      <c r="G120" s="187"/>
      <c r="H120" s="187"/>
      <c r="I120" s="187"/>
      <c r="J120" s="188"/>
      <c r="K120" s="187"/>
      <c r="L120" s="187"/>
      <c r="M120" s="187"/>
      <c r="N120" s="187"/>
      <c r="O120" s="187"/>
      <c r="P120" s="187"/>
      <c r="Q120" s="188"/>
      <c r="R120" s="187"/>
      <c r="S120" s="187"/>
      <c r="T120" s="187"/>
      <c r="U120" s="187"/>
      <c r="V120" s="187"/>
      <c r="W120" s="187"/>
      <c r="X120" s="188"/>
      <c r="Y120" s="187"/>
      <c r="Z120" s="187"/>
      <c r="AA120" s="187"/>
      <c r="AB120" s="187"/>
      <c r="AC120" s="187"/>
      <c r="AD120" s="187"/>
    </row>
    <row r="121" spans="3:30">
      <c r="C121" s="187"/>
      <c r="D121" s="188"/>
      <c r="E121" s="187"/>
      <c r="F121" s="187"/>
      <c r="G121" s="187"/>
      <c r="H121" s="187"/>
      <c r="I121" s="187"/>
      <c r="J121" s="188"/>
      <c r="K121" s="187"/>
      <c r="L121" s="187"/>
      <c r="M121" s="187"/>
      <c r="N121" s="187"/>
      <c r="O121" s="187"/>
      <c r="P121" s="187"/>
      <c r="Q121" s="188"/>
      <c r="R121" s="187"/>
      <c r="S121" s="187"/>
      <c r="T121" s="187"/>
      <c r="U121" s="187"/>
      <c r="V121" s="187"/>
      <c r="W121" s="187"/>
      <c r="X121" s="188"/>
      <c r="Y121" s="187"/>
      <c r="Z121" s="187"/>
      <c r="AA121" s="187"/>
      <c r="AB121" s="187"/>
      <c r="AC121" s="187"/>
      <c r="AD121" s="187"/>
    </row>
    <row r="122" spans="3:30">
      <c r="C122" s="187"/>
      <c r="D122" s="188"/>
      <c r="E122" s="187"/>
      <c r="F122" s="187"/>
      <c r="G122" s="187"/>
      <c r="H122" s="187"/>
      <c r="I122" s="187"/>
      <c r="J122" s="188"/>
      <c r="K122" s="187"/>
      <c r="L122" s="187"/>
      <c r="M122" s="187"/>
      <c r="N122" s="187"/>
      <c r="O122" s="187"/>
      <c r="P122" s="187"/>
      <c r="Q122" s="188"/>
      <c r="R122" s="187"/>
      <c r="S122" s="187"/>
      <c r="T122" s="187"/>
      <c r="U122" s="187"/>
      <c r="V122" s="187"/>
      <c r="W122" s="187"/>
      <c r="X122" s="188"/>
      <c r="Y122" s="187"/>
      <c r="Z122" s="187"/>
      <c r="AA122" s="187"/>
      <c r="AB122" s="187"/>
      <c r="AC122" s="187"/>
      <c r="AD122" s="187"/>
    </row>
    <row r="123" spans="3:30">
      <c r="C123" s="187"/>
      <c r="D123" s="188"/>
      <c r="E123" s="187"/>
      <c r="F123" s="187"/>
      <c r="G123" s="187"/>
      <c r="H123" s="187"/>
      <c r="I123" s="187"/>
      <c r="J123" s="188"/>
      <c r="K123" s="187"/>
      <c r="L123" s="187"/>
      <c r="M123" s="187"/>
      <c r="N123" s="187"/>
      <c r="O123" s="187"/>
      <c r="P123" s="187"/>
      <c r="Q123" s="188"/>
      <c r="R123" s="187"/>
      <c r="S123" s="187"/>
      <c r="T123" s="187"/>
      <c r="U123" s="187"/>
      <c r="V123" s="187"/>
      <c r="W123" s="187"/>
      <c r="X123" s="188"/>
      <c r="Y123" s="187"/>
      <c r="Z123" s="187"/>
      <c r="AA123" s="187"/>
      <c r="AB123" s="187"/>
      <c r="AC123" s="187"/>
      <c r="AD123" s="187"/>
    </row>
    <row r="124" spans="3:30">
      <c r="C124" s="187"/>
      <c r="D124" s="188"/>
      <c r="E124" s="187"/>
      <c r="F124" s="187"/>
      <c r="G124" s="187"/>
      <c r="H124" s="187"/>
      <c r="I124" s="187"/>
      <c r="J124" s="188"/>
      <c r="K124" s="187"/>
      <c r="L124" s="187"/>
      <c r="M124" s="187"/>
      <c r="N124" s="187"/>
      <c r="O124" s="187"/>
      <c r="P124" s="187"/>
      <c r="Q124" s="188"/>
      <c r="R124" s="187"/>
      <c r="S124" s="187"/>
      <c r="T124" s="187"/>
      <c r="U124" s="187"/>
      <c r="V124" s="187"/>
      <c r="W124" s="187"/>
      <c r="X124" s="188"/>
      <c r="Y124" s="187"/>
      <c r="Z124" s="187"/>
      <c r="AA124" s="187"/>
      <c r="AB124" s="187"/>
      <c r="AC124" s="187"/>
      <c r="AD124" s="187"/>
    </row>
    <row r="125" spans="3:30">
      <c r="C125" s="187"/>
      <c r="D125" s="188"/>
      <c r="E125" s="187"/>
      <c r="F125" s="187"/>
      <c r="G125" s="187"/>
      <c r="H125" s="187"/>
      <c r="I125" s="187"/>
      <c r="J125" s="188"/>
      <c r="K125" s="187"/>
      <c r="L125" s="187"/>
      <c r="M125" s="187"/>
      <c r="N125" s="187"/>
      <c r="O125" s="187"/>
      <c r="P125" s="187"/>
      <c r="Q125" s="188"/>
      <c r="R125" s="187"/>
      <c r="S125" s="187"/>
      <c r="T125" s="187"/>
      <c r="U125" s="187"/>
      <c r="V125" s="187"/>
      <c r="W125" s="187"/>
      <c r="X125" s="188"/>
      <c r="Y125" s="187"/>
      <c r="Z125" s="187"/>
      <c r="AA125" s="187"/>
      <c r="AB125" s="187"/>
      <c r="AC125" s="187"/>
      <c r="AD125" s="187"/>
    </row>
    <row r="126" spans="3:30">
      <c r="C126" s="187"/>
      <c r="D126" s="188"/>
      <c r="E126" s="187"/>
      <c r="F126" s="187"/>
      <c r="G126" s="187"/>
      <c r="H126" s="187"/>
      <c r="I126" s="187"/>
      <c r="J126" s="188"/>
      <c r="K126" s="187"/>
      <c r="L126" s="187"/>
      <c r="M126" s="187"/>
      <c r="N126" s="187"/>
      <c r="O126" s="187"/>
      <c r="P126" s="187"/>
      <c r="Q126" s="188"/>
      <c r="R126" s="187"/>
      <c r="S126" s="187"/>
      <c r="T126" s="187"/>
      <c r="U126" s="187"/>
      <c r="V126" s="187"/>
      <c r="W126" s="187"/>
      <c r="X126" s="188"/>
      <c r="Y126" s="187"/>
      <c r="Z126" s="187"/>
      <c r="AA126" s="187"/>
      <c r="AB126" s="187"/>
      <c r="AC126" s="187"/>
      <c r="AD126" s="187"/>
    </row>
    <row r="127" spans="3:30">
      <c r="C127" s="187"/>
      <c r="D127" s="188"/>
      <c r="E127" s="187"/>
      <c r="F127" s="187"/>
      <c r="G127" s="187"/>
      <c r="H127" s="187"/>
      <c r="I127" s="187"/>
      <c r="J127" s="188"/>
      <c r="K127" s="187"/>
      <c r="L127" s="187"/>
      <c r="M127" s="187"/>
      <c r="N127" s="187"/>
      <c r="O127" s="187"/>
      <c r="P127" s="187"/>
      <c r="Q127" s="188"/>
      <c r="R127" s="187"/>
      <c r="S127" s="187"/>
      <c r="T127" s="187"/>
      <c r="U127" s="187"/>
      <c r="V127" s="187"/>
      <c r="W127" s="187"/>
      <c r="X127" s="188"/>
      <c r="Y127" s="187"/>
      <c r="Z127" s="187"/>
      <c r="AA127" s="187"/>
      <c r="AB127" s="187"/>
      <c r="AC127" s="187"/>
      <c r="AD127" s="187"/>
    </row>
    <row r="128" spans="3:30">
      <c r="C128" s="187"/>
      <c r="D128" s="188"/>
      <c r="E128" s="187"/>
      <c r="F128" s="187"/>
      <c r="G128" s="187"/>
      <c r="H128" s="187"/>
      <c r="I128" s="187"/>
      <c r="J128" s="188"/>
      <c r="K128" s="187"/>
      <c r="L128" s="187"/>
      <c r="M128" s="187"/>
      <c r="N128" s="187"/>
      <c r="O128" s="187"/>
      <c r="P128" s="187"/>
      <c r="Q128" s="188"/>
      <c r="R128" s="187"/>
      <c r="S128" s="187"/>
      <c r="T128" s="187"/>
      <c r="U128" s="187"/>
      <c r="V128" s="187"/>
      <c r="W128" s="187"/>
      <c r="X128" s="188"/>
      <c r="Y128" s="187"/>
      <c r="Z128" s="187"/>
      <c r="AA128" s="187"/>
      <c r="AB128" s="187"/>
      <c r="AC128" s="187"/>
      <c r="AD128" s="187"/>
    </row>
    <row r="129" spans="3:30">
      <c r="C129" s="187"/>
      <c r="D129" s="188"/>
      <c r="E129" s="187"/>
      <c r="F129" s="187"/>
      <c r="G129" s="187"/>
      <c r="H129" s="187"/>
      <c r="I129" s="187"/>
      <c r="J129" s="188"/>
      <c r="K129" s="187"/>
      <c r="L129" s="187"/>
      <c r="M129" s="187"/>
      <c r="N129" s="187"/>
      <c r="O129" s="187"/>
      <c r="P129" s="187"/>
      <c r="Q129" s="188"/>
      <c r="R129" s="187"/>
      <c r="S129" s="187"/>
      <c r="T129" s="187"/>
      <c r="U129" s="187"/>
      <c r="V129" s="187"/>
      <c r="W129" s="187"/>
      <c r="X129" s="188"/>
      <c r="Y129" s="187"/>
      <c r="Z129" s="187"/>
      <c r="AA129" s="187"/>
      <c r="AB129" s="187"/>
      <c r="AC129" s="187"/>
      <c r="AD129" s="187"/>
    </row>
    <row r="130" spans="3:30">
      <c r="C130" s="187"/>
      <c r="D130" s="188"/>
      <c r="E130" s="187"/>
      <c r="F130" s="187"/>
      <c r="G130" s="187"/>
      <c r="H130" s="187"/>
      <c r="I130" s="187"/>
      <c r="J130" s="188"/>
      <c r="K130" s="187"/>
      <c r="L130" s="187"/>
      <c r="M130" s="187"/>
      <c r="N130" s="187"/>
      <c r="O130" s="187"/>
      <c r="P130" s="187"/>
      <c r="Q130" s="188"/>
      <c r="R130" s="187"/>
      <c r="S130" s="187"/>
      <c r="T130" s="187"/>
      <c r="U130" s="187"/>
      <c r="V130" s="187"/>
      <c r="W130" s="187"/>
      <c r="X130" s="188"/>
      <c r="Y130" s="187"/>
      <c r="Z130" s="187"/>
      <c r="AA130" s="187"/>
      <c r="AB130" s="187"/>
      <c r="AC130" s="187"/>
      <c r="AD130" s="187"/>
    </row>
    <row r="131" spans="3:30">
      <c r="C131" s="187"/>
      <c r="D131" s="188"/>
      <c r="E131" s="187"/>
      <c r="F131" s="187"/>
      <c r="G131" s="187"/>
      <c r="H131" s="187"/>
      <c r="I131" s="187"/>
      <c r="J131" s="188"/>
      <c r="K131" s="187"/>
      <c r="L131" s="187"/>
      <c r="M131" s="187"/>
      <c r="N131" s="187"/>
      <c r="O131" s="187"/>
      <c r="P131" s="187"/>
      <c r="Q131" s="188"/>
      <c r="R131" s="187"/>
      <c r="S131" s="187"/>
      <c r="T131" s="187"/>
      <c r="U131" s="187"/>
      <c r="V131" s="187"/>
      <c r="W131" s="187"/>
      <c r="X131" s="188"/>
      <c r="Y131" s="187"/>
      <c r="Z131" s="187"/>
      <c r="AA131" s="187"/>
      <c r="AB131" s="187"/>
      <c r="AC131" s="187"/>
      <c r="AD131" s="187"/>
    </row>
    <row r="132" spans="3:30">
      <c r="C132" s="187"/>
      <c r="D132" s="188"/>
      <c r="E132" s="187"/>
      <c r="F132" s="187"/>
      <c r="G132" s="187"/>
      <c r="H132" s="187"/>
      <c r="I132" s="187"/>
      <c r="J132" s="188"/>
      <c r="K132" s="187"/>
      <c r="L132" s="187"/>
      <c r="M132" s="187"/>
      <c r="N132" s="187"/>
      <c r="O132" s="187"/>
      <c r="P132" s="187"/>
      <c r="Q132" s="188"/>
      <c r="R132" s="187"/>
      <c r="S132" s="187"/>
      <c r="T132" s="187"/>
      <c r="U132" s="187"/>
      <c r="V132" s="187"/>
      <c r="W132" s="187"/>
      <c r="X132" s="188"/>
      <c r="Y132" s="187"/>
      <c r="Z132" s="187"/>
      <c r="AA132" s="187"/>
      <c r="AB132" s="187"/>
      <c r="AC132" s="187"/>
      <c r="AD132" s="187"/>
    </row>
    <row r="133" spans="3:30">
      <c r="C133" s="187"/>
      <c r="D133" s="188"/>
      <c r="E133" s="187"/>
      <c r="F133" s="187"/>
      <c r="G133" s="187"/>
      <c r="H133" s="187"/>
      <c r="I133" s="187"/>
      <c r="J133" s="188"/>
      <c r="K133" s="187"/>
      <c r="L133" s="187"/>
      <c r="M133" s="187"/>
      <c r="N133" s="187"/>
      <c r="O133" s="187"/>
      <c r="P133" s="187"/>
      <c r="Q133" s="188"/>
      <c r="R133" s="187"/>
      <c r="S133" s="187"/>
      <c r="T133" s="187"/>
      <c r="U133" s="187"/>
      <c r="V133" s="187"/>
      <c r="W133" s="187"/>
      <c r="X133" s="188"/>
      <c r="Y133" s="187"/>
      <c r="Z133" s="187"/>
      <c r="AA133" s="187"/>
      <c r="AB133" s="187"/>
      <c r="AC133" s="187"/>
      <c r="AD133" s="187"/>
    </row>
    <row r="134" spans="3:30">
      <c r="C134" s="187"/>
      <c r="D134" s="188"/>
      <c r="E134" s="187"/>
      <c r="F134" s="187"/>
      <c r="G134" s="187"/>
      <c r="H134" s="187"/>
      <c r="I134" s="187"/>
      <c r="J134" s="188"/>
      <c r="K134" s="187"/>
      <c r="L134" s="187"/>
      <c r="M134" s="187"/>
      <c r="N134" s="187"/>
      <c r="O134" s="187"/>
      <c r="P134" s="187"/>
      <c r="Q134" s="188"/>
      <c r="R134" s="187"/>
      <c r="S134" s="187"/>
      <c r="T134" s="187"/>
      <c r="U134" s="187"/>
      <c r="V134" s="187"/>
      <c r="W134" s="187"/>
      <c r="X134" s="188"/>
      <c r="Y134" s="187"/>
      <c r="Z134" s="187"/>
      <c r="AA134" s="187"/>
      <c r="AB134" s="187"/>
      <c r="AC134" s="187"/>
      <c r="AD134" s="187"/>
    </row>
    <row r="135" spans="3:30">
      <c r="C135" s="187"/>
      <c r="D135" s="188"/>
      <c r="E135" s="187"/>
      <c r="F135" s="187"/>
      <c r="G135" s="187"/>
      <c r="H135" s="187"/>
      <c r="I135" s="187"/>
      <c r="J135" s="188"/>
      <c r="K135" s="187"/>
      <c r="L135" s="187"/>
      <c r="M135" s="187"/>
      <c r="N135" s="187"/>
      <c r="O135" s="187"/>
      <c r="P135" s="187"/>
      <c r="Q135" s="188"/>
      <c r="R135" s="187"/>
      <c r="S135" s="187"/>
      <c r="T135" s="187"/>
      <c r="U135" s="187"/>
      <c r="V135" s="187"/>
      <c r="W135" s="187"/>
      <c r="X135" s="188"/>
      <c r="Y135" s="187"/>
      <c r="Z135" s="187"/>
      <c r="AA135" s="187"/>
      <c r="AB135" s="187"/>
      <c r="AC135" s="187"/>
      <c r="AD135" s="187"/>
    </row>
    <row r="136" spans="3:30">
      <c r="C136" s="187"/>
      <c r="D136" s="188"/>
      <c r="E136" s="187"/>
      <c r="F136" s="187"/>
      <c r="G136" s="187"/>
      <c r="H136" s="187"/>
      <c r="I136" s="187"/>
      <c r="J136" s="188"/>
      <c r="K136" s="187"/>
      <c r="L136" s="187"/>
      <c r="M136" s="187"/>
      <c r="N136" s="187"/>
      <c r="O136" s="187"/>
      <c r="P136" s="187"/>
      <c r="Q136" s="188"/>
      <c r="R136" s="187"/>
      <c r="S136" s="187"/>
      <c r="T136" s="187"/>
      <c r="U136" s="187"/>
      <c r="V136" s="187"/>
      <c r="W136" s="187"/>
      <c r="X136" s="188"/>
      <c r="Y136" s="187"/>
      <c r="Z136" s="187"/>
      <c r="AA136" s="187"/>
      <c r="AB136" s="187"/>
      <c r="AC136" s="187"/>
      <c r="AD136" s="187"/>
    </row>
    <row r="137" spans="3:30">
      <c r="C137" s="187"/>
      <c r="D137" s="188"/>
      <c r="E137" s="187"/>
      <c r="F137" s="187"/>
      <c r="G137" s="187"/>
      <c r="H137" s="187"/>
      <c r="I137" s="187"/>
      <c r="J137" s="188"/>
      <c r="K137" s="187"/>
      <c r="L137" s="187"/>
      <c r="M137" s="187"/>
      <c r="N137" s="187"/>
      <c r="O137" s="187"/>
      <c r="P137" s="187"/>
      <c r="Q137" s="188"/>
      <c r="R137" s="187"/>
      <c r="S137" s="187"/>
      <c r="T137" s="187"/>
      <c r="U137" s="187"/>
      <c r="V137" s="187"/>
      <c r="W137" s="187"/>
      <c r="X137" s="188"/>
      <c r="Y137" s="187"/>
      <c r="Z137" s="187"/>
      <c r="AA137" s="187"/>
      <c r="AB137" s="187"/>
      <c r="AC137" s="187"/>
      <c r="AD137" s="187"/>
    </row>
    <row r="138" spans="3:30">
      <c r="C138" s="187"/>
      <c r="D138" s="188"/>
      <c r="E138" s="187"/>
      <c r="F138" s="187"/>
      <c r="G138" s="187"/>
      <c r="H138" s="187"/>
      <c r="I138" s="187"/>
      <c r="J138" s="188"/>
      <c r="K138" s="187"/>
      <c r="L138" s="187"/>
      <c r="M138" s="187"/>
      <c r="N138" s="187"/>
      <c r="O138" s="187"/>
      <c r="P138" s="187"/>
      <c r="Q138" s="188"/>
      <c r="R138" s="187"/>
      <c r="S138" s="187"/>
      <c r="T138" s="187"/>
      <c r="U138" s="187"/>
      <c r="V138" s="187"/>
      <c r="W138" s="187"/>
      <c r="X138" s="188"/>
      <c r="Y138" s="187"/>
      <c r="Z138" s="187"/>
      <c r="AA138" s="187"/>
      <c r="AB138" s="187"/>
      <c r="AC138" s="187"/>
      <c r="AD138" s="187"/>
    </row>
    <row r="139" spans="3:30">
      <c r="C139" s="187"/>
      <c r="D139" s="188"/>
      <c r="E139" s="187"/>
      <c r="F139" s="187"/>
      <c r="G139" s="187"/>
      <c r="H139" s="187"/>
      <c r="I139" s="187"/>
      <c r="J139" s="188"/>
      <c r="K139" s="187"/>
      <c r="L139" s="187"/>
      <c r="M139" s="187"/>
      <c r="N139" s="187"/>
      <c r="O139" s="187"/>
      <c r="P139" s="187"/>
      <c r="Q139" s="188"/>
      <c r="R139" s="187"/>
      <c r="S139" s="187"/>
      <c r="T139" s="187"/>
      <c r="U139" s="187"/>
      <c r="V139" s="187"/>
      <c r="W139" s="187"/>
      <c r="X139" s="188"/>
      <c r="Y139" s="187"/>
      <c r="Z139" s="187"/>
      <c r="AA139" s="187"/>
      <c r="AB139" s="187"/>
      <c r="AC139" s="187"/>
      <c r="AD139" s="187"/>
    </row>
    <row r="140" spans="3:30">
      <c r="C140" s="187"/>
      <c r="D140" s="188"/>
      <c r="E140" s="187"/>
      <c r="F140" s="187"/>
      <c r="G140" s="187"/>
      <c r="H140" s="187"/>
      <c r="I140" s="187"/>
      <c r="J140" s="188"/>
      <c r="K140" s="187"/>
      <c r="L140" s="187"/>
      <c r="M140" s="187"/>
      <c r="N140" s="187"/>
      <c r="O140" s="187"/>
      <c r="P140" s="187"/>
      <c r="Q140" s="188"/>
      <c r="R140" s="187"/>
      <c r="S140" s="187"/>
      <c r="T140" s="187"/>
      <c r="U140" s="187"/>
      <c r="V140" s="187"/>
      <c r="W140" s="187"/>
      <c r="X140" s="188"/>
      <c r="Y140" s="187"/>
      <c r="Z140" s="187"/>
      <c r="AA140" s="187"/>
      <c r="AB140" s="187"/>
      <c r="AC140" s="187"/>
      <c r="AD140" s="187"/>
    </row>
    <row r="141" spans="3:30">
      <c r="C141" s="187"/>
      <c r="D141" s="188"/>
      <c r="E141" s="187"/>
      <c r="F141" s="187"/>
      <c r="G141" s="187"/>
      <c r="H141" s="187"/>
      <c r="I141" s="187"/>
      <c r="J141" s="188"/>
      <c r="K141" s="187"/>
      <c r="L141" s="187"/>
      <c r="M141" s="187"/>
      <c r="N141" s="187"/>
      <c r="O141" s="187"/>
      <c r="P141" s="187"/>
      <c r="Q141" s="188"/>
      <c r="R141" s="187"/>
      <c r="S141" s="187"/>
      <c r="T141" s="187"/>
      <c r="U141" s="187"/>
      <c r="V141" s="187"/>
      <c r="W141" s="187"/>
      <c r="X141" s="188"/>
      <c r="Y141" s="187"/>
      <c r="Z141" s="187"/>
      <c r="AA141" s="187"/>
      <c r="AB141" s="187"/>
      <c r="AC141" s="187"/>
      <c r="AD141" s="187"/>
    </row>
    <row r="142" spans="3:30">
      <c r="C142" s="187"/>
      <c r="D142" s="188"/>
      <c r="E142" s="187"/>
      <c r="F142" s="187"/>
      <c r="G142" s="187"/>
      <c r="H142" s="187"/>
      <c r="I142" s="187"/>
      <c r="J142" s="188"/>
      <c r="K142" s="187"/>
      <c r="L142" s="187"/>
      <c r="M142" s="187"/>
      <c r="N142" s="187"/>
      <c r="O142" s="187"/>
      <c r="P142" s="187"/>
      <c r="Q142" s="188"/>
      <c r="R142" s="187"/>
      <c r="S142" s="187"/>
      <c r="T142" s="187"/>
      <c r="U142" s="187"/>
      <c r="V142" s="187"/>
      <c r="W142" s="187"/>
      <c r="X142" s="188"/>
      <c r="Y142" s="187"/>
      <c r="Z142" s="187"/>
      <c r="AA142" s="187"/>
      <c r="AB142" s="187"/>
      <c r="AC142" s="187"/>
      <c r="AD142" s="187"/>
    </row>
    <row r="143" spans="3:30">
      <c r="C143" s="187"/>
      <c r="D143" s="188"/>
      <c r="E143" s="187"/>
      <c r="F143" s="187"/>
      <c r="G143" s="187"/>
      <c r="H143" s="187"/>
      <c r="I143" s="187"/>
      <c r="J143" s="188"/>
      <c r="K143" s="187"/>
      <c r="L143" s="187"/>
      <c r="M143" s="187"/>
      <c r="N143" s="187"/>
      <c r="O143" s="187"/>
      <c r="P143" s="187"/>
      <c r="Q143" s="188"/>
      <c r="R143" s="187"/>
      <c r="S143" s="187"/>
      <c r="T143" s="187"/>
      <c r="U143" s="187"/>
      <c r="V143" s="187"/>
      <c r="W143" s="187"/>
      <c r="X143" s="188"/>
      <c r="Y143" s="187"/>
      <c r="Z143" s="187"/>
      <c r="AA143" s="187"/>
      <c r="AB143" s="187"/>
      <c r="AC143" s="187"/>
      <c r="AD143" s="187"/>
    </row>
    <row r="144" spans="3:30">
      <c r="C144" s="187"/>
      <c r="D144" s="188"/>
      <c r="E144" s="187"/>
      <c r="F144" s="187"/>
      <c r="G144" s="187"/>
      <c r="H144" s="187"/>
      <c r="I144" s="187"/>
      <c r="J144" s="188"/>
      <c r="K144" s="187"/>
      <c r="L144" s="187"/>
      <c r="M144" s="187"/>
      <c r="N144" s="187"/>
      <c r="O144" s="187"/>
      <c r="P144" s="187"/>
      <c r="Q144" s="188"/>
      <c r="R144" s="187"/>
      <c r="S144" s="187"/>
      <c r="T144" s="187"/>
      <c r="U144" s="187"/>
      <c r="V144" s="187"/>
      <c r="W144" s="187"/>
      <c r="X144" s="188"/>
      <c r="Y144" s="187"/>
      <c r="Z144" s="187"/>
      <c r="AA144" s="187"/>
      <c r="AB144" s="187"/>
      <c r="AC144" s="187"/>
      <c r="AD144" s="187"/>
    </row>
    <row r="145" spans="3:30">
      <c r="C145" s="187"/>
      <c r="D145" s="188"/>
      <c r="E145" s="187"/>
      <c r="F145" s="187"/>
      <c r="G145" s="187"/>
      <c r="H145" s="187"/>
      <c r="I145" s="187"/>
      <c r="J145" s="188"/>
      <c r="K145" s="187"/>
      <c r="L145" s="187"/>
      <c r="M145" s="187"/>
      <c r="N145" s="187"/>
      <c r="O145" s="187"/>
      <c r="P145" s="187"/>
      <c r="Q145" s="188"/>
      <c r="R145" s="187"/>
      <c r="S145" s="187"/>
      <c r="T145" s="187"/>
      <c r="U145" s="187"/>
      <c r="V145" s="187"/>
      <c r="W145" s="187"/>
      <c r="X145" s="188"/>
      <c r="Y145" s="187"/>
      <c r="Z145" s="187"/>
      <c r="AA145" s="187"/>
      <c r="AB145" s="187"/>
      <c r="AC145" s="187"/>
      <c r="AD145" s="187"/>
    </row>
    <row r="146" spans="3:30">
      <c r="C146" s="187"/>
      <c r="D146" s="188"/>
      <c r="E146" s="187"/>
      <c r="F146" s="187"/>
      <c r="G146" s="187"/>
      <c r="H146" s="187"/>
      <c r="I146" s="187"/>
      <c r="J146" s="188"/>
      <c r="K146" s="187"/>
      <c r="L146" s="187"/>
      <c r="M146" s="187"/>
      <c r="N146" s="187"/>
      <c r="O146" s="187"/>
      <c r="P146" s="187"/>
      <c r="Q146" s="188"/>
      <c r="R146" s="187"/>
      <c r="S146" s="187"/>
      <c r="T146" s="187"/>
      <c r="U146" s="187"/>
      <c r="V146" s="187"/>
      <c r="W146" s="187"/>
      <c r="X146" s="188"/>
      <c r="Y146" s="187"/>
      <c r="Z146" s="187"/>
      <c r="AA146" s="187"/>
      <c r="AB146" s="187"/>
      <c r="AC146" s="187"/>
      <c r="AD146" s="187"/>
    </row>
    <row r="147" spans="3:30">
      <c r="C147" s="187"/>
      <c r="D147" s="188"/>
      <c r="E147" s="187"/>
      <c r="F147" s="187"/>
      <c r="G147" s="187"/>
      <c r="H147" s="187"/>
      <c r="I147" s="187"/>
      <c r="J147" s="188"/>
      <c r="K147" s="187"/>
      <c r="L147" s="187"/>
      <c r="M147" s="187"/>
      <c r="N147" s="187"/>
      <c r="O147" s="187"/>
      <c r="P147" s="187"/>
      <c r="Q147" s="188"/>
      <c r="R147" s="187"/>
      <c r="S147" s="187"/>
      <c r="T147" s="187"/>
      <c r="U147" s="187"/>
      <c r="V147" s="187"/>
      <c r="W147" s="187"/>
      <c r="X147" s="188"/>
      <c r="Y147" s="187"/>
      <c r="Z147" s="187"/>
      <c r="AA147" s="187"/>
      <c r="AB147" s="187"/>
      <c r="AC147" s="187"/>
      <c r="AD147" s="187"/>
    </row>
    <row r="148" spans="3:30">
      <c r="C148" s="187"/>
      <c r="D148" s="188"/>
      <c r="E148" s="187"/>
      <c r="F148" s="187"/>
      <c r="G148" s="187"/>
      <c r="H148" s="187"/>
      <c r="I148" s="187"/>
      <c r="J148" s="188"/>
      <c r="K148" s="187"/>
      <c r="L148" s="187"/>
      <c r="M148" s="187"/>
      <c r="N148" s="187"/>
      <c r="O148" s="187"/>
      <c r="P148" s="187"/>
      <c r="Q148" s="188"/>
      <c r="R148" s="187"/>
      <c r="S148" s="187"/>
      <c r="T148" s="187"/>
      <c r="U148" s="187"/>
      <c r="V148" s="187"/>
      <c r="W148" s="187"/>
      <c r="X148" s="188"/>
      <c r="Y148" s="187"/>
      <c r="Z148" s="187"/>
      <c r="AA148" s="187"/>
      <c r="AB148" s="187"/>
      <c r="AC148" s="187"/>
      <c r="AD148" s="187"/>
    </row>
    <row r="149" spans="3:30">
      <c r="C149" s="187"/>
      <c r="D149" s="188"/>
      <c r="E149" s="187"/>
      <c r="F149" s="187"/>
      <c r="G149" s="187"/>
      <c r="H149" s="187"/>
      <c r="I149" s="187"/>
      <c r="J149" s="188"/>
      <c r="K149" s="187"/>
      <c r="L149" s="187"/>
      <c r="M149" s="187"/>
      <c r="N149" s="187"/>
      <c r="O149" s="187"/>
      <c r="P149" s="187"/>
      <c r="Q149" s="188"/>
      <c r="R149" s="187"/>
      <c r="S149" s="187"/>
      <c r="T149" s="187"/>
      <c r="U149" s="187"/>
      <c r="V149" s="187"/>
      <c r="W149" s="187"/>
      <c r="X149" s="188"/>
      <c r="Y149" s="187"/>
      <c r="Z149" s="187"/>
      <c r="AA149" s="187"/>
      <c r="AB149" s="187"/>
      <c r="AC149" s="187"/>
      <c r="AD149" s="187"/>
    </row>
    <row r="150" spans="3:30">
      <c r="C150" s="187"/>
      <c r="D150" s="188"/>
      <c r="E150" s="187"/>
      <c r="F150" s="187"/>
      <c r="G150" s="187"/>
      <c r="H150" s="187"/>
      <c r="I150" s="187"/>
      <c r="J150" s="188"/>
      <c r="K150" s="187"/>
      <c r="L150" s="187"/>
      <c r="M150" s="187"/>
      <c r="N150" s="187"/>
      <c r="O150" s="187"/>
      <c r="P150" s="187"/>
      <c r="Q150" s="188"/>
      <c r="R150" s="187"/>
      <c r="S150" s="187"/>
      <c r="T150" s="187"/>
      <c r="U150" s="187"/>
      <c r="V150" s="187"/>
      <c r="W150" s="187"/>
      <c r="X150" s="188"/>
      <c r="Y150" s="187"/>
      <c r="Z150" s="187"/>
      <c r="AA150" s="187"/>
      <c r="AB150" s="187"/>
      <c r="AC150" s="187"/>
      <c r="AD150" s="187"/>
    </row>
    <row r="151" spans="3:30">
      <c r="C151" s="187"/>
      <c r="D151" s="188"/>
      <c r="E151" s="187"/>
      <c r="F151" s="187"/>
      <c r="G151" s="187"/>
      <c r="H151" s="187"/>
      <c r="I151" s="187"/>
      <c r="J151" s="188"/>
      <c r="K151" s="187"/>
      <c r="L151" s="187"/>
      <c r="M151" s="187"/>
      <c r="N151" s="187"/>
      <c r="O151" s="187"/>
      <c r="P151" s="187"/>
      <c r="Q151" s="188"/>
      <c r="R151" s="187"/>
      <c r="S151" s="187"/>
      <c r="T151" s="187"/>
      <c r="U151" s="187"/>
      <c r="V151" s="187"/>
      <c r="W151" s="187"/>
      <c r="X151" s="188"/>
      <c r="Y151" s="187"/>
      <c r="Z151" s="187"/>
      <c r="AA151" s="187"/>
      <c r="AB151" s="187"/>
      <c r="AC151" s="187"/>
      <c r="AD151" s="187"/>
    </row>
    <row r="152" spans="3:30">
      <c r="C152" s="187"/>
      <c r="D152" s="188"/>
      <c r="E152" s="187"/>
      <c r="F152" s="187"/>
      <c r="G152" s="187"/>
      <c r="H152" s="187"/>
      <c r="I152" s="187"/>
      <c r="J152" s="188"/>
      <c r="K152" s="187"/>
      <c r="L152" s="187"/>
      <c r="M152" s="187"/>
      <c r="N152" s="187"/>
      <c r="O152" s="187"/>
      <c r="P152" s="187"/>
      <c r="Q152" s="188"/>
      <c r="R152" s="187"/>
      <c r="S152" s="187"/>
      <c r="T152" s="187"/>
      <c r="U152" s="187"/>
      <c r="V152" s="187"/>
      <c r="W152" s="187"/>
      <c r="X152" s="188"/>
      <c r="Y152" s="187"/>
      <c r="Z152" s="187"/>
      <c r="AA152" s="187"/>
      <c r="AB152" s="187"/>
      <c r="AC152" s="187"/>
      <c r="AD152" s="187"/>
    </row>
    <row r="153" spans="3:30">
      <c r="C153" s="187"/>
      <c r="D153" s="188"/>
      <c r="E153" s="187"/>
      <c r="F153" s="187"/>
      <c r="G153" s="187"/>
      <c r="H153" s="187"/>
      <c r="I153" s="187"/>
      <c r="J153" s="188"/>
      <c r="K153" s="187"/>
      <c r="L153" s="187"/>
      <c r="M153" s="187"/>
      <c r="N153" s="187"/>
      <c r="O153" s="187"/>
      <c r="P153" s="187"/>
      <c r="Q153" s="188"/>
      <c r="R153" s="187"/>
      <c r="S153" s="187"/>
      <c r="T153" s="187"/>
      <c r="U153" s="187"/>
      <c r="V153" s="187"/>
      <c r="W153" s="187"/>
      <c r="X153" s="188"/>
      <c r="Y153" s="187"/>
      <c r="Z153" s="187"/>
      <c r="AA153" s="187"/>
      <c r="AB153" s="187"/>
      <c r="AC153" s="187"/>
      <c r="AD153" s="187"/>
    </row>
    <row r="154" spans="3:30">
      <c r="C154" s="187"/>
      <c r="D154" s="188"/>
      <c r="E154" s="187"/>
      <c r="F154" s="187"/>
      <c r="G154" s="187"/>
      <c r="H154" s="187"/>
      <c r="I154" s="187"/>
      <c r="J154" s="188"/>
      <c r="K154" s="187"/>
      <c r="L154" s="187"/>
      <c r="M154" s="187"/>
      <c r="N154" s="187"/>
      <c r="O154" s="187"/>
      <c r="P154" s="187"/>
      <c r="Q154" s="188"/>
      <c r="R154" s="187"/>
      <c r="S154" s="187"/>
      <c r="T154" s="187"/>
      <c r="U154" s="187"/>
      <c r="V154" s="187"/>
      <c r="W154" s="187"/>
      <c r="X154" s="188"/>
      <c r="Y154" s="187"/>
      <c r="Z154" s="187"/>
      <c r="AA154" s="187"/>
      <c r="AB154" s="187"/>
      <c r="AC154" s="187"/>
      <c r="AD154" s="187"/>
    </row>
    <row r="155" spans="3:30">
      <c r="C155" s="187"/>
      <c r="D155" s="188"/>
      <c r="E155" s="187"/>
      <c r="F155" s="187"/>
      <c r="G155" s="187"/>
      <c r="H155" s="187"/>
      <c r="I155" s="187"/>
      <c r="J155" s="188"/>
      <c r="K155" s="187"/>
      <c r="L155" s="187"/>
      <c r="M155" s="187"/>
      <c r="N155" s="187"/>
      <c r="O155" s="187"/>
      <c r="P155" s="187"/>
      <c r="Q155" s="188"/>
      <c r="R155" s="187"/>
      <c r="S155" s="187"/>
      <c r="T155" s="187"/>
      <c r="U155" s="187"/>
      <c r="V155" s="187"/>
      <c r="W155" s="187"/>
      <c r="X155" s="188"/>
      <c r="Y155" s="187"/>
      <c r="Z155" s="187"/>
      <c r="AA155" s="187"/>
      <c r="AB155" s="187"/>
      <c r="AC155" s="187"/>
      <c r="AD155" s="187"/>
    </row>
    <row r="156" spans="3:30">
      <c r="C156" s="187"/>
      <c r="D156" s="188"/>
      <c r="E156" s="187"/>
      <c r="F156" s="187"/>
      <c r="G156" s="187"/>
      <c r="H156" s="187"/>
      <c r="I156" s="187"/>
      <c r="J156" s="188"/>
      <c r="K156" s="187"/>
      <c r="L156" s="187"/>
      <c r="M156" s="187"/>
      <c r="N156" s="187"/>
      <c r="O156" s="187"/>
      <c r="P156" s="187"/>
      <c r="Q156" s="188"/>
      <c r="R156" s="187"/>
      <c r="S156" s="187"/>
      <c r="T156" s="187"/>
      <c r="U156" s="187"/>
      <c r="V156" s="187"/>
      <c r="W156" s="187"/>
      <c r="X156" s="188"/>
      <c r="Y156" s="187"/>
      <c r="Z156" s="187"/>
      <c r="AA156" s="187"/>
      <c r="AB156" s="187"/>
      <c r="AC156" s="187"/>
      <c r="AD156" s="187"/>
    </row>
    <row r="157" spans="3:30">
      <c r="C157" s="187"/>
      <c r="D157" s="188"/>
      <c r="E157" s="187"/>
      <c r="F157" s="187"/>
      <c r="G157" s="187"/>
      <c r="H157" s="187"/>
      <c r="I157" s="187"/>
      <c r="J157" s="188"/>
      <c r="K157" s="187"/>
      <c r="L157" s="187"/>
      <c r="M157" s="187"/>
      <c r="N157" s="187"/>
      <c r="O157" s="187"/>
      <c r="P157" s="187"/>
      <c r="Q157" s="188"/>
      <c r="R157" s="187"/>
      <c r="S157" s="187"/>
      <c r="T157" s="187"/>
      <c r="U157" s="187"/>
      <c r="V157" s="187"/>
      <c r="W157" s="187"/>
      <c r="X157" s="188"/>
      <c r="Y157" s="187"/>
      <c r="Z157" s="187"/>
      <c r="AA157" s="187"/>
      <c r="AB157" s="187"/>
      <c r="AC157" s="187"/>
      <c r="AD157" s="187"/>
    </row>
    <row r="158" spans="3:30">
      <c r="C158" s="187"/>
      <c r="D158" s="188"/>
      <c r="E158" s="187"/>
      <c r="F158" s="187"/>
      <c r="G158" s="187"/>
      <c r="H158" s="187"/>
      <c r="I158" s="187"/>
      <c r="J158" s="188"/>
      <c r="K158" s="187"/>
      <c r="L158" s="187"/>
      <c r="M158" s="187"/>
      <c r="N158" s="187"/>
      <c r="O158" s="187"/>
      <c r="P158" s="187"/>
      <c r="Q158" s="188"/>
      <c r="R158" s="187"/>
      <c r="S158" s="187"/>
      <c r="T158" s="187"/>
      <c r="U158" s="187"/>
      <c r="V158" s="187"/>
      <c r="W158" s="187"/>
      <c r="X158" s="188"/>
      <c r="Y158" s="187"/>
      <c r="Z158" s="187"/>
      <c r="AA158" s="187"/>
      <c r="AB158" s="187"/>
      <c r="AC158" s="187"/>
      <c r="AD158" s="187"/>
    </row>
    <row r="159" spans="3:30">
      <c r="C159" s="187"/>
      <c r="D159" s="188"/>
      <c r="E159" s="187"/>
      <c r="F159" s="187"/>
      <c r="G159" s="187"/>
      <c r="H159" s="187"/>
      <c r="I159" s="187"/>
      <c r="J159" s="188"/>
      <c r="K159" s="187"/>
      <c r="L159" s="187"/>
      <c r="M159" s="187"/>
      <c r="N159" s="187"/>
      <c r="O159" s="187"/>
      <c r="P159" s="187"/>
      <c r="Q159" s="188"/>
      <c r="R159" s="187"/>
      <c r="S159" s="187"/>
      <c r="T159" s="187"/>
      <c r="U159" s="187"/>
      <c r="V159" s="187"/>
      <c r="W159" s="187"/>
      <c r="X159" s="188"/>
      <c r="Y159" s="187"/>
      <c r="Z159" s="187"/>
      <c r="AA159" s="187"/>
      <c r="AB159" s="187"/>
      <c r="AC159" s="187"/>
      <c r="AD159" s="187"/>
    </row>
    <row r="160" spans="3:30">
      <c r="C160" s="187"/>
      <c r="D160" s="188"/>
      <c r="E160" s="187"/>
      <c r="F160" s="187"/>
      <c r="G160" s="187"/>
      <c r="H160" s="187"/>
      <c r="I160" s="187"/>
      <c r="J160" s="188"/>
      <c r="K160" s="187"/>
      <c r="L160" s="187"/>
      <c r="M160" s="187"/>
      <c r="N160" s="187"/>
      <c r="O160" s="187"/>
      <c r="P160" s="187"/>
      <c r="Q160" s="188"/>
      <c r="R160" s="187"/>
      <c r="S160" s="187"/>
      <c r="T160" s="187"/>
      <c r="U160" s="187"/>
      <c r="V160" s="187"/>
      <c r="W160" s="187"/>
      <c r="X160" s="188"/>
      <c r="Y160" s="187"/>
      <c r="Z160" s="187"/>
      <c r="AA160" s="187"/>
      <c r="AB160" s="187"/>
      <c r="AC160" s="187"/>
      <c r="AD160" s="187"/>
    </row>
    <row r="161" spans="3:30">
      <c r="C161" s="187"/>
      <c r="D161" s="188"/>
      <c r="E161" s="187"/>
      <c r="F161" s="187"/>
      <c r="G161" s="187"/>
      <c r="H161" s="187"/>
      <c r="I161" s="187"/>
      <c r="J161" s="188"/>
      <c r="K161" s="187"/>
      <c r="L161" s="187"/>
      <c r="M161" s="187"/>
      <c r="N161" s="187"/>
      <c r="O161" s="187"/>
      <c r="P161" s="187"/>
      <c r="Q161" s="188"/>
      <c r="R161" s="187"/>
      <c r="S161" s="187"/>
      <c r="T161" s="187"/>
      <c r="U161" s="187"/>
      <c r="V161" s="187"/>
      <c r="W161" s="187"/>
      <c r="X161" s="188"/>
      <c r="Y161" s="187"/>
      <c r="Z161" s="187"/>
      <c r="AA161" s="187"/>
      <c r="AB161" s="187"/>
      <c r="AC161" s="187"/>
      <c r="AD161" s="187"/>
    </row>
    <row r="162" spans="3:30">
      <c r="C162" s="187"/>
      <c r="D162" s="188"/>
      <c r="E162" s="187"/>
      <c r="F162" s="187"/>
      <c r="G162" s="187"/>
      <c r="H162" s="187"/>
      <c r="I162" s="187"/>
      <c r="J162" s="188"/>
      <c r="K162" s="187"/>
      <c r="L162" s="187"/>
      <c r="M162" s="187"/>
      <c r="N162" s="187"/>
      <c r="O162" s="187"/>
      <c r="P162" s="187"/>
      <c r="Q162" s="188"/>
      <c r="R162" s="187"/>
      <c r="S162" s="187"/>
      <c r="T162" s="187"/>
      <c r="U162" s="187"/>
      <c r="V162" s="187"/>
      <c r="W162" s="187"/>
      <c r="X162" s="188"/>
      <c r="Y162" s="187"/>
      <c r="Z162" s="187"/>
      <c r="AA162" s="187"/>
      <c r="AB162" s="187"/>
      <c r="AC162" s="187"/>
      <c r="AD162" s="187"/>
    </row>
    <row r="163" spans="3:30">
      <c r="C163" s="187"/>
      <c r="D163" s="188"/>
      <c r="E163" s="187"/>
      <c r="F163" s="187"/>
      <c r="G163" s="187"/>
      <c r="H163" s="187"/>
      <c r="I163" s="187"/>
      <c r="J163" s="188"/>
      <c r="K163" s="187"/>
      <c r="L163" s="187"/>
      <c r="M163" s="187"/>
      <c r="N163" s="187"/>
      <c r="O163" s="187"/>
      <c r="P163" s="187"/>
      <c r="Q163" s="188"/>
      <c r="R163" s="187"/>
      <c r="S163" s="187"/>
      <c r="T163" s="187"/>
      <c r="U163" s="187"/>
      <c r="V163" s="187"/>
      <c r="W163" s="187"/>
      <c r="X163" s="188"/>
      <c r="Y163" s="187"/>
      <c r="Z163" s="187"/>
      <c r="AA163" s="187"/>
      <c r="AB163" s="187"/>
      <c r="AC163" s="187"/>
      <c r="AD163" s="187"/>
    </row>
    <row r="164" spans="3:30">
      <c r="C164" s="187"/>
      <c r="D164" s="188"/>
      <c r="E164" s="187"/>
      <c r="F164" s="187"/>
      <c r="G164" s="187"/>
      <c r="H164" s="187"/>
      <c r="I164" s="187"/>
      <c r="J164" s="188"/>
      <c r="K164" s="187"/>
      <c r="L164" s="187"/>
      <c r="M164" s="187"/>
      <c r="N164" s="187"/>
      <c r="O164" s="187"/>
      <c r="P164" s="187"/>
      <c r="Q164" s="188"/>
      <c r="R164" s="187"/>
      <c r="S164" s="187"/>
      <c r="T164" s="187"/>
      <c r="U164" s="187"/>
      <c r="V164" s="187"/>
      <c r="W164" s="187"/>
      <c r="X164" s="188"/>
      <c r="Y164" s="187"/>
      <c r="Z164" s="187"/>
      <c r="AA164" s="187"/>
      <c r="AB164" s="187"/>
      <c r="AC164" s="187"/>
      <c r="AD164" s="187"/>
    </row>
    <row r="165" spans="3:30">
      <c r="C165" s="187"/>
      <c r="D165" s="188"/>
      <c r="E165" s="187"/>
      <c r="F165" s="187"/>
      <c r="G165" s="187"/>
      <c r="H165" s="187"/>
      <c r="I165" s="187"/>
      <c r="J165" s="188"/>
      <c r="K165" s="187"/>
      <c r="L165" s="187"/>
      <c r="M165" s="187"/>
      <c r="N165" s="187"/>
      <c r="O165" s="187"/>
      <c r="P165" s="187"/>
      <c r="Q165" s="188"/>
      <c r="R165" s="187"/>
      <c r="S165" s="187"/>
      <c r="T165" s="187"/>
      <c r="U165" s="187"/>
      <c r="V165" s="187"/>
      <c r="W165" s="187"/>
      <c r="X165" s="188"/>
      <c r="Y165" s="187"/>
      <c r="Z165" s="187"/>
      <c r="AA165" s="187"/>
      <c r="AB165" s="187"/>
      <c r="AC165" s="187"/>
      <c r="AD165" s="187"/>
    </row>
    <row r="166" spans="3:30">
      <c r="C166" s="187"/>
      <c r="D166" s="188"/>
      <c r="E166" s="187"/>
      <c r="F166" s="187"/>
      <c r="G166" s="187"/>
      <c r="H166" s="187"/>
      <c r="I166" s="187"/>
      <c r="J166" s="188"/>
      <c r="K166" s="187"/>
      <c r="L166" s="187"/>
      <c r="M166" s="187"/>
      <c r="N166" s="187"/>
      <c r="O166" s="187"/>
      <c r="P166" s="187"/>
      <c r="Q166" s="188"/>
      <c r="R166" s="187"/>
      <c r="S166" s="187"/>
      <c r="T166" s="187"/>
      <c r="U166" s="187"/>
      <c r="V166" s="187"/>
      <c r="W166" s="187"/>
      <c r="X166" s="188"/>
      <c r="Y166" s="187"/>
      <c r="Z166" s="187"/>
      <c r="AA166" s="187"/>
      <c r="AB166" s="187"/>
      <c r="AC166" s="187"/>
      <c r="AD166" s="187"/>
    </row>
    <row r="167" spans="3:30">
      <c r="C167" s="187"/>
      <c r="D167" s="188"/>
      <c r="E167" s="187"/>
      <c r="F167" s="187"/>
      <c r="G167" s="187"/>
      <c r="H167" s="187"/>
      <c r="I167" s="187"/>
      <c r="J167" s="188"/>
      <c r="K167" s="187"/>
      <c r="L167" s="187"/>
      <c r="M167" s="187"/>
      <c r="N167" s="187"/>
      <c r="O167" s="187"/>
      <c r="P167" s="187"/>
      <c r="Q167" s="188"/>
      <c r="R167" s="187"/>
      <c r="S167" s="187"/>
      <c r="T167" s="187"/>
      <c r="U167" s="187"/>
      <c r="V167" s="187"/>
      <c r="W167" s="187"/>
      <c r="X167" s="188"/>
      <c r="Y167" s="187"/>
      <c r="Z167" s="187"/>
      <c r="AA167" s="187"/>
      <c r="AB167" s="187"/>
      <c r="AC167" s="187"/>
      <c r="AD167" s="187"/>
    </row>
    <row r="168" spans="3:30">
      <c r="C168" s="187"/>
      <c r="D168" s="188"/>
      <c r="E168" s="187"/>
      <c r="F168" s="187"/>
      <c r="G168" s="187"/>
      <c r="H168" s="187"/>
      <c r="I168" s="187"/>
      <c r="J168" s="188"/>
      <c r="K168" s="187"/>
      <c r="L168" s="187"/>
      <c r="M168" s="187"/>
      <c r="N168" s="187"/>
      <c r="O168" s="187"/>
      <c r="P168" s="187"/>
      <c r="Q168" s="188"/>
      <c r="R168" s="187"/>
      <c r="S168" s="187"/>
      <c r="T168" s="187"/>
      <c r="U168" s="187"/>
      <c r="V168" s="187"/>
      <c r="W168" s="187"/>
      <c r="X168" s="188"/>
      <c r="Y168" s="187"/>
      <c r="Z168" s="187"/>
      <c r="AA168" s="187"/>
      <c r="AB168" s="187"/>
      <c r="AC168" s="187"/>
      <c r="AD168" s="187"/>
    </row>
    <row r="169" spans="3:30">
      <c r="C169" s="187"/>
      <c r="D169" s="188"/>
      <c r="E169" s="187"/>
      <c r="F169" s="187"/>
      <c r="G169" s="187"/>
      <c r="H169" s="187"/>
      <c r="I169" s="187"/>
      <c r="J169" s="188"/>
      <c r="K169" s="187"/>
      <c r="L169" s="187"/>
      <c r="M169" s="187"/>
      <c r="N169" s="187"/>
      <c r="O169" s="187"/>
      <c r="P169" s="187"/>
      <c r="Q169" s="188"/>
      <c r="R169" s="187"/>
      <c r="S169" s="187"/>
      <c r="T169" s="187"/>
      <c r="U169" s="187"/>
      <c r="V169" s="187"/>
      <c r="W169" s="187"/>
      <c r="X169" s="188"/>
      <c r="Y169" s="187"/>
      <c r="Z169" s="187"/>
      <c r="AA169" s="187"/>
      <c r="AB169" s="187"/>
      <c r="AC169" s="187"/>
      <c r="AD169" s="187"/>
    </row>
    <row r="170" spans="3:30">
      <c r="C170" s="187"/>
      <c r="D170" s="188"/>
      <c r="E170" s="187"/>
      <c r="F170" s="187"/>
      <c r="G170" s="187"/>
      <c r="H170" s="187"/>
      <c r="I170" s="187"/>
      <c r="J170" s="188"/>
      <c r="K170" s="187"/>
      <c r="L170" s="187"/>
      <c r="M170" s="187"/>
      <c r="N170" s="187"/>
      <c r="O170" s="187"/>
      <c r="P170" s="187"/>
      <c r="Q170" s="188"/>
      <c r="R170" s="187"/>
      <c r="S170" s="187"/>
      <c r="T170" s="187"/>
      <c r="U170" s="187"/>
      <c r="V170" s="187"/>
      <c r="W170" s="187"/>
      <c r="X170" s="188"/>
      <c r="Y170" s="187"/>
      <c r="Z170" s="187"/>
      <c r="AA170" s="187"/>
      <c r="AB170" s="187"/>
      <c r="AC170" s="187"/>
      <c r="AD170" s="187"/>
    </row>
    <row r="171" spans="3:30">
      <c r="C171" s="187"/>
      <c r="D171" s="188"/>
      <c r="E171" s="187"/>
      <c r="F171" s="187"/>
      <c r="G171" s="187"/>
      <c r="H171" s="187"/>
      <c r="I171" s="187"/>
      <c r="J171" s="188"/>
      <c r="K171" s="187"/>
      <c r="L171" s="187"/>
      <c r="M171" s="187"/>
      <c r="N171" s="187"/>
      <c r="O171" s="187"/>
      <c r="P171" s="187"/>
      <c r="Q171" s="188"/>
      <c r="R171" s="187"/>
      <c r="S171" s="187"/>
      <c r="T171" s="187"/>
      <c r="U171" s="187"/>
      <c r="V171" s="187"/>
      <c r="W171" s="187"/>
      <c r="X171" s="188"/>
      <c r="Y171" s="187"/>
      <c r="Z171" s="187"/>
      <c r="AA171" s="187"/>
      <c r="AB171" s="187"/>
      <c r="AC171" s="187"/>
      <c r="AD171" s="187"/>
    </row>
    <row r="172" spans="3:30">
      <c r="C172" s="187"/>
      <c r="D172" s="188"/>
      <c r="E172" s="187"/>
      <c r="F172" s="187"/>
      <c r="G172" s="187"/>
      <c r="H172" s="187"/>
      <c r="I172" s="187"/>
      <c r="J172" s="188"/>
      <c r="K172" s="187"/>
      <c r="L172" s="187"/>
      <c r="M172" s="187"/>
      <c r="N172" s="187"/>
      <c r="O172" s="187"/>
      <c r="P172" s="187"/>
      <c r="Q172" s="188"/>
      <c r="R172" s="187"/>
      <c r="S172" s="187"/>
      <c r="T172" s="187"/>
      <c r="U172" s="187"/>
      <c r="V172" s="187"/>
      <c r="W172" s="187"/>
      <c r="X172" s="188"/>
      <c r="Y172" s="187"/>
      <c r="Z172" s="187"/>
      <c r="AA172" s="187"/>
      <c r="AB172" s="187"/>
      <c r="AC172" s="187"/>
      <c r="AD172" s="187"/>
    </row>
    <row r="173" spans="3:30">
      <c r="C173" s="187"/>
      <c r="D173" s="188"/>
      <c r="E173" s="187"/>
      <c r="F173" s="187"/>
      <c r="G173" s="187"/>
      <c r="H173" s="187"/>
      <c r="I173" s="187"/>
      <c r="J173" s="188"/>
      <c r="K173" s="187"/>
      <c r="L173" s="187"/>
      <c r="M173" s="187"/>
      <c r="N173" s="187"/>
      <c r="O173" s="187"/>
      <c r="P173" s="187"/>
      <c r="Q173" s="188"/>
      <c r="R173" s="187"/>
      <c r="S173" s="187"/>
      <c r="T173" s="187"/>
      <c r="U173" s="187"/>
      <c r="V173" s="187"/>
      <c r="W173" s="187"/>
      <c r="X173" s="188"/>
      <c r="Y173" s="187"/>
      <c r="Z173" s="187"/>
      <c r="AA173" s="187"/>
      <c r="AB173" s="187"/>
      <c r="AC173" s="187"/>
      <c r="AD173" s="187"/>
    </row>
    <row r="174" spans="3:30">
      <c r="C174" s="187"/>
      <c r="D174" s="188"/>
      <c r="E174" s="187"/>
      <c r="F174" s="187"/>
      <c r="G174" s="187"/>
      <c r="H174" s="187"/>
      <c r="I174" s="187"/>
      <c r="J174" s="188"/>
      <c r="K174" s="187"/>
      <c r="L174" s="187"/>
      <c r="M174" s="187"/>
      <c r="N174" s="187"/>
      <c r="O174" s="187"/>
      <c r="P174" s="187"/>
      <c r="Q174" s="188"/>
      <c r="R174" s="187"/>
      <c r="S174" s="187"/>
      <c r="T174" s="187"/>
      <c r="U174" s="187"/>
      <c r="V174" s="187"/>
      <c r="W174" s="187"/>
      <c r="X174" s="188"/>
      <c r="Y174" s="187"/>
      <c r="Z174" s="187"/>
      <c r="AA174" s="187"/>
      <c r="AB174" s="187"/>
      <c r="AC174" s="187"/>
      <c r="AD174" s="187"/>
    </row>
    <row r="175" spans="3:30">
      <c r="C175" s="187"/>
      <c r="D175" s="188"/>
      <c r="E175" s="187"/>
      <c r="F175" s="187"/>
      <c r="G175" s="187"/>
      <c r="H175" s="187"/>
      <c r="I175" s="187"/>
      <c r="J175" s="188"/>
      <c r="K175" s="187"/>
      <c r="L175" s="187"/>
      <c r="M175" s="187"/>
      <c r="N175" s="187"/>
      <c r="O175" s="187"/>
      <c r="P175" s="187"/>
      <c r="Q175" s="188"/>
      <c r="R175" s="187"/>
      <c r="S175" s="187"/>
      <c r="T175" s="187"/>
      <c r="U175" s="187"/>
      <c r="V175" s="187"/>
      <c r="W175" s="187"/>
      <c r="X175" s="188"/>
      <c r="Y175" s="187"/>
      <c r="Z175" s="187"/>
      <c r="AA175" s="187"/>
      <c r="AB175" s="187"/>
      <c r="AC175" s="187"/>
      <c r="AD175" s="187"/>
    </row>
    <row r="176" spans="3:30">
      <c r="C176" s="187"/>
      <c r="D176" s="188"/>
      <c r="E176" s="187"/>
      <c r="F176" s="187"/>
      <c r="G176" s="187"/>
      <c r="H176" s="187"/>
      <c r="I176" s="187"/>
      <c r="J176" s="188"/>
      <c r="K176" s="187"/>
      <c r="L176" s="187"/>
      <c r="M176" s="187"/>
      <c r="N176" s="187"/>
      <c r="O176" s="187"/>
      <c r="P176" s="187"/>
      <c r="Q176" s="188"/>
      <c r="R176" s="187"/>
      <c r="S176" s="187"/>
      <c r="T176" s="187"/>
      <c r="U176" s="187"/>
      <c r="V176" s="187"/>
      <c r="W176" s="187"/>
      <c r="X176" s="188"/>
      <c r="Y176" s="187"/>
      <c r="Z176" s="187"/>
      <c r="AA176" s="187"/>
      <c r="AB176" s="187"/>
      <c r="AC176" s="187"/>
      <c r="AD176" s="187"/>
    </row>
    <row r="177" spans="3:30">
      <c r="C177" s="187"/>
      <c r="D177" s="188"/>
      <c r="E177" s="187"/>
      <c r="F177" s="187"/>
      <c r="G177" s="187"/>
      <c r="H177" s="187"/>
      <c r="I177" s="187"/>
      <c r="J177" s="188"/>
      <c r="K177" s="187"/>
      <c r="L177" s="187"/>
      <c r="M177" s="187"/>
      <c r="N177" s="187"/>
      <c r="O177" s="187"/>
      <c r="P177" s="187"/>
      <c r="Q177" s="188"/>
      <c r="R177" s="187"/>
      <c r="S177" s="187"/>
      <c r="T177" s="187"/>
      <c r="U177" s="187"/>
      <c r="V177" s="187"/>
      <c r="W177" s="187"/>
      <c r="X177" s="188"/>
      <c r="Y177" s="187"/>
      <c r="Z177" s="187"/>
      <c r="AA177" s="187"/>
      <c r="AB177" s="187"/>
      <c r="AC177" s="187"/>
      <c r="AD177" s="187"/>
    </row>
    <row r="178" spans="3:30">
      <c r="C178" s="187"/>
      <c r="D178" s="188"/>
      <c r="E178" s="187"/>
      <c r="F178" s="187"/>
      <c r="G178" s="187"/>
      <c r="H178" s="187"/>
      <c r="I178" s="187"/>
      <c r="J178" s="188"/>
      <c r="K178" s="187"/>
      <c r="L178" s="187"/>
      <c r="M178" s="187"/>
      <c r="N178" s="187"/>
      <c r="O178" s="187"/>
      <c r="P178" s="187"/>
      <c r="Q178" s="188"/>
      <c r="R178" s="187"/>
      <c r="S178" s="187"/>
      <c r="T178" s="187"/>
      <c r="U178" s="187"/>
      <c r="V178" s="187"/>
      <c r="W178" s="187"/>
      <c r="X178" s="188"/>
      <c r="Y178" s="187"/>
      <c r="Z178" s="187"/>
      <c r="AA178" s="187"/>
      <c r="AB178" s="187"/>
      <c r="AC178" s="187"/>
      <c r="AD178" s="187"/>
    </row>
    <row r="179" spans="3:30">
      <c r="C179" s="187"/>
      <c r="D179" s="188"/>
      <c r="E179" s="187"/>
      <c r="F179" s="187"/>
      <c r="G179" s="187"/>
      <c r="H179" s="187"/>
      <c r="I179" s="187"/>
      <c r="J179" s="188"/>
      <c r="K179" s="187"/>
      <c r="L179" s="187"/>
      <c r="M179" s="187"/>
      <c r="N179" s="187"/>
      <c r="O179" s="187"/>
      <c r="P179" s="187"/>
      <c r="Q179" s="188"/>
      <c r="R179" s="187"/>
      <c r="S179" s="187"/>
      <c r="T179" s="187"/>
      <c r="U179" s="187"/>
      <c r="V179" s="187"/>
      <c r="W179" s="187"/>
      <c r="X179" s="188"/>
      <c r="Y179" s="187"/>
      <c r="Z179" s="187"/>
      <c r="AA179" s="187"/>
      <c r="AB179" s="187"/>
      <c r="AC179" s="187"/>
      <c r="AD179" s="187"/>
    </row>
    <row r="180" spans="3:30">
      <c r="C180" s="187"/>
      <c r="D180" s="188"/>
      <c r="E180" s="187"/>
      <c r="F180" s="187"/>
      <c r="G180" s="187"/>
      <c r="H180" s="187"/>
      <c r="I180" s="187"/>
      <c r="J180" s="188"/>
      <c r="K180" s="187"/>
      <c r="L180" s="187"/>
      <c r="M180" s="187"/>
      <c r="N180" s="187"/>
      <c r="O180" s="187"/>
      <c r="P180" s="187"/>
      <c r="Q180" s="188"/>
      <c r="R180" s="187"/>
      <c r="S180" s="187"/>
      <c r="T180" s="187"/>
      <c r="U180" s="187"/>
      <c r="V180" s="187"/>
      <c r="W180" s="187"/>
      <c r="X180" s="188"/>
      <c r="Y180" s="187"/>
      <c r="Z180" s="187"/>
      <c r="AA180" s="187"/>
      <c r="AB180" s="187"/>
      <c r="AC180" s="187"/>
      <c r="AD180" s="187"/>
    </row>
    <row r="181" spans="3:30">
      <c r="C181" s="187"/>
      <c r="D181" s="188"/>
      <c r="E181" s="187"/>
      <c r="F181" s="187"/>
      <c r="G181" s="187"/>
      <c r="H181" s="187"/>
      <c r="I181" s="187"/>
      <c r="J181" s="188"/>
      <c r="K181" s="187"/>
      <c r="L181" s="187"/>
      <c r="M181" s="187"/>
      <c r="N181" s="187"/>
      <c r="O181" s="187"/>
      <c r="P181" s="187"/>
      <c r="Q181" s="188"/>
      <c r="R181" s="187"/>
      <c r="S181" s="187"/>
      <c r="T181" s="187"/>
      <c r="U181" s="187"/>
      <c r="V181" s="187"/>
      <c r="W181" s="187"/>
      <c r="X181" s="188"/>
      <c r="Y181" s="187"/>
      <c r="Z181" s="187"/>
      <c r="AA181" s="187"/>
      <c r="AB181" s="187"/>
      <c r="AC181" s="187"/>
      <c r="AD181" s="187"/>
    </row>
    <row r="182" spans="3:30">
      <c r="C182" s="187"/>
      <c r="D182" s="188"/>
      <c r="E182" s="187"/>
      <c r="F182" s="187"/>
      <c r="G182" s="187"/>
      <c r="H182" s="187"/>
      <c r="I182" s="187"/>
      <c r="J182" s="188"/>
      <c r="K182" s="187"/>
      <c r="L182" s="187"/>
      <c r="M182" s="187"/>
      <c r="N182" s="187"/>
      <c r="O182" s="187"/>
      <c r="P182" s="187"/>
      <c r="Q182" s="188"/>
      <c r="R182" s="187"/>
      <c r="S182" s="187"/>
      <c r="T182" s="187"/>
      <c r="U182" s="187"/>
      <c r="V182" s="187"/>
      <c r="W182" s="187"/>
      <c r="X182" s="188"/>
      <c r="Y182" s="187"/>
      <c r="Z182" s="187"/>
      <c r="AA182" s="187"/>
      <c r="AB182" s="187"/>
      <c r="AC182" s="187"/>
      <c r="AD182" s="187"/>
    </row>
    <row r="183" spans="3:30">
      <c r="C183" s="187"/>
      <c r="D183" s="188"/>
      <c r="E183" s="187"/>
      <c r="F183" s="187"/>
      <c r="G183" s="187"/>
      <c r="H183" s="187"/>
      <c r="I183" s="187"/>
      <c r="J183" s="188"/>
      <c r="K183" s="187"/>
      <c r="L183" s="187"/>
      <c r="M183" s="187"/>
      <c r="N183" s="187"/>
      <c r="O183" s="187"/>
      <c r="P183" s="187"/>
      <c r="Q183" s="188"/>
      <c r="R183" s="187"/>
      <c r="S183" s="187"/>
      <c r="T183" s="187"/>
      <c r="U183" s="187"/>
      <c r="V183" s="187"/>
      <c r="W183" s="187"/>
      <c r="X183" s="188"/>
      <c r="Y183" s="187"/>
      <c r="Z183" s="187"/>
      <c r="AA183" s="187"/>
      <c r="AB183" s="187"/>
      <c r="AC183" s="187"/>
      <c r="AD183" s="187"/>
    </row>
    <row r="184" spans="3:30">
      <c r="C184" s="187"/>
      <c r="D184" s="188"/>
      <c r="E184" s="187"/>
      <c r="F184" s="187"/>
      <c r="G184" s="187"/>
      <c r="H184" s="187"/>
      <c r="I184" s="187"/>
      <c r="J184" s="188"/>
      <c r="K184" s="187"/>
      <c r="L184" s="187"/>
      <c r="M184" s="187"/>
      <c r="N184" s="187"/>
      <c r="O184" s="187"/>
      <c r="P184" s="187"/>
      <c r="Q184" s="188"/>
      <c r="R184" s="187"/>
      <c r="S184" s="187"/>
      <c r="T184" s="187"/>
      <c r="U184" s="187"/>
      <c r="V184" s="187"/>
      <c r="W184" s="187"/>
      <c r="X184" s="188"/>
      <c r="Y184" s="187"/>
      <c r="Z184" s="187"/>
      <c r="AA184" s="187"/>
      <c r="AB184" s="187"/>
      <c r="AC184" s="187"/>
      <c r="AD184" s="187"/>
    </row>
    <row r="185" spans="3:30">
      <c r="C185" s="187"/>
      <c r="D185" s="188"/>
      <c r="E185" s="187"/>
      <c r="F185" s="187"/>
      <c r="G185" s="187"/>
      <c r="H185" s="187"/>
      <c r="I185" s="187"/>
      <c r="J185" s="188"/>
      <c r="K185" s="187"/>
      <c r="L185" s="187"/>
      <c r="M185" s="187"/>
      <c r="N185" s="187"/>
      <c r="O185" s="187"/>
      <c r="P185" s="187"/>
      <c r="Q185" s="188"/>
      <c r="R185" s="187"/>
      <c r="S185" s="187"/>
      <c r="T185" s="187"/>
      <c r="U185" s="187"/>
      <c r="V185" s="187"/>
      <c r="W185" s="187"/>
      <c r="X185" s="188"/>
      <c r="Y185" s="187"/>
      <c r="Z185" s="187"/>
      <c r="AA185" s="187"/>
      <c r="AB185" s="187"/>
      <c r="AC185" s="187"/>
      <c r="AD185" s="187"/>
    </row>
    <row r="186" spans="3:30">
      <c r="C186" s="187"/>
      <c r="D186" s="188"/>
      <c r="E186" s="187"/>
      <c r="F186" s="187"/>
      <c r="G186" s="187"/>
      <c r="H186" s="187"/>
      <c r="I186" s="187"/>
      <c r="J186" s="188"/>
      <c r="K186" s="187"/>
      <c r="L186" s="187"/>
      <c r="M186" s="187"/>
      <c r="N186" s="187"/>
      <c r="O186" s="187"/>
      <c r="P186" s="187"/>
      <c r="Q186" s="188"/>
      <c r="R186" s="187"/>
      <c r="S186" s="187"/>
      <c r="T186" s="187"/>
      <c r="U186" s="187"/>
      <c r="V186" s="187"/>
      <c r="W186" s="187"/>
      <c r="X186" s="188"/>
      <c r="Y186" s="187"/>
      <c r="Z186" s="187"/>
      <c r="AA186" s="187"/>
      <c r="AB186" s="187"/>
      <c r="AC186" s="187"/>
      <c r="AD186" s="187"/>
    </row>
    <row r="187" spans="3:30">
      <c r="C187" s="187"/>
      <c r="D187" s="188"/>
      <c r="E187" s="187"/>
      <c r="F187" s="187"/>
      <c r="G187" s="187"/>
      <c r="H187" s="187"/>
      <c r="I187" s="187"/>
      <c r="J187" s="188"/>
      <c r="K187" s="187"/>
      <c r="L187" s="187"/>
      <c r="M187" s="187"/>
      <c r="N187" s="187"/>
      <c r="O187" s="187"/>
      <c r="P187" s="187"/>
      <c r="Q187" s="188"/>
      <c r="R187" s="187"/>
      <c r="S187" s="187"/>
      <c r="T187" s="187"/>
      <c r="U187" s="187"/>
      <c r="V187" s="187"/>
      <c r="W187" s="187"/>
      <c r="X187" s="188"/>
      <c r="Y187" s="187"/>
      <c r="Z187" s="187"/>
      <c r="AA187" s="187"/>
      <c r="AB187" s="187"/>
      <c r="AC187" s="187"/>
      <c r="AD187" s="187"/>
    </row>
    <row r="188" spans="3:30">
      <c r="C188" s="187"/>
      <c r="D188" s="188"/>
      <c r="E188" s="187"/>
      <c r="F188" s="187"/>
      <c r="G188" s="187"/>
      <c r="H188" s="187"/>
      <c r="I188" s="187"/>
      <c r="J188" s="188"/>
      <c r="K188" s="187"/>
      <c r="L188" s="187"/>
      <c r="M188" s="187"/>
      <c r="N188" s="187"/>
      <c r="O188" s="187"/>
      <c r="P188" s="187"/>
      <c r="Q188" s="188"/>
      <c r="R188" s="187"/>
      <c r="S188" s="187"/>
      <c r="T188" s="187"/>
      <c r="U188" s="187"/>
      <c r="V188" s="187"/>
      <c r="W188" s="187"/>
      <c r="X188" s="188"/>
      <c r="Y188" s="187"/>
      <c r="Z188" s="187"/>
      <c r="AA188" s="187"/>
      <c r="AB188" s="187"/>
      <c r="AC188" s="187"/>
      <c r="AD188" s="187"/>
    </row>
    <row r="189" spans="3:30">
      <c r="C189" s="187"/>
      <c r="D189" s="188"/>
      <c r="E189" s="187"/>
      <c r="F189" s="187"/>
      <c r="G189" s="187"/>
      <c r="H189" s="187"/>
      <c r="I189" s="187"/>
      <c r="J189" s="188"/>
      <c r="K189" s="187"/>
      <c r="L189" s="187"/>
      <c r="M189" s="187"/>
      <c r="N189" s="187"/>
      <c r="O189" s="187"/>
      <c r="P189" s="187"/>
      <c r="Q189" s="188"/>
      <c r="R189" s="187"/>
      <c r="S189" s="187"/>
      <c r="T189" s="187"/>
      <c r="U189" s="187"/>
      <c r="V189" s="187"/>
      <c r="W189" s="187"/>
      <c r="X189" s="188"/>
      <c r="Y189" s="187"/>
      <c r="Z189" s="187"/>
      <c r="AA189" s="187"/>
      <c r="AB189" s="187"/>
      <c r="AC189" s="187"/>
      <c r="AD189" s="187"/>
    </row>
    <row r="190" spans="3:30">
      <c r="C190" s="187"/>
      <c r="D190" s="188"/>
      <c r="E190" s="187"/>
      <c r="F190" s="187"/>
      <c r="G190" s="187"/>
      <c r="H190" s="187"/>
      <c r="I190" s="187"/>
      <c r="J190" s="188"/>
      <c r="K190" s="187"/>
      <c r="L190" s="187"/>
      <c r="M190" s="187"/>
      <c r="N190" s="187"/>
      <c r="O190" s="187"/>
      <c r="P190" s="187"/>
      <c r="Q190" s="188"/>
      <c r="R190" s="187"/>
      <c r="S190" s="187"/>
      <c r="T190" s="187"/>
      <c r="U190" s="187"/>
      <c r="V190" s="187"/>
      <c r="W190" s="187"/>
      <c r="X190" s="188"/>
      <c r="Y190" s="187"/>
      <c r="Z190" s="187"/>
      <c r="AA190" s="187"/>
      <c r="AB190" s="187"/>
      <c r="AC190" s="187"/>
      <c r="AD190" s="187"/>
    </row>
    <row r="191" spans="3:30">
      <c r="C191" s="187"/>
      <c r="D191" s="188"/>
      <c r="E191" s="187"/>
      <c r="F191" s="187"/>
      <c r="G191" s="187"/>
      <c r="H191" s="187"/>
      <c r="I191" s="187"/>
      <c r="J191" s="188"/>
      <c r="K191" s="187"/>
      <c r="L191" s="187"/>
      <c r="M191" s="187"/>
      <c r="N191" s="187"/>
      <c r="O191" s="187"/>
      <c r="P191" s="187"/>
      <c r="Q191" s="188"/>
      <c r="R191" s="187"/>
      <c r="S191" s="187"/>
      <c r="T191" s="187"/>
      <c r="U191" s="187"/>
      <c r="V191" s="187"/>
      <c r="W191" s="187"/>
      <c r="X191" s="188"/>
      <c r="Y191" s="187"/>
      <c r="Z191" s="187"/>
      <c r="AA191" s="187"/>
      <c r="AB191" s="187"/>
      <c r="AC191" s="187"/>
      <c r="AD191" s="187"/>
    </row>
    <row r="192" spans="3:30">
      <c r="C192" s="187"/>
      <c r="D192" s="188"/>
      <c r="E192" s="187"/>
      <c r="F192" s="187"/>
      <c r="G192" s="187"/>
      <c r="H192" s="187"/>
      <c r="I192" s="187"/>
      <c r="J192" s="188"/>
      <c r="K192" s="187"/>
      <c r="L192" s="187"/>
      <c r="M192" s="187"/>
      <c r="N192" s="187"/>
      <c r="O192" s="187"/>
      <c r="P192" s="187"/>
      <c r="Q192" s="188"/>
      <c r="R192" s="187"/>
      <c r="S192" s="187"/>
      <c r="T192" s="187"/>
      <c r="U192" s="187"/>
      <c r="V192" s="187"/>
      <c r="W192" s="187"/>
      <c r="X192" s="188"/>
      <c r="Y192" s="187"/>
      <c r="Z192" s="187"/>
      <c r="AA192" s="187"/>
      <c r="AB192" s="187"/>
      <c r="AC192" s="187"/>
      <c r="AD192" s="187"/>
    </row>
    <row r="193" spans="3:30">
      <c r="C193" s="187"/>
      <c r="D193" s="188"/>
      <c r="E193" s="187"/>
      <c r="F193" s="187"/>
      <c r="G193" s="187"/>
      <c r="H193" s="187"/>
      <c r="I193" s="187"/>
      <c r="J193" s="188"/>
      <c r="K193" s="187"/>
      <c r="L193" s="187"/>
      <c r="M193" s="187"/>
      <c r="N193" s="187"/>
      <c r="O193" s="187"/>
      <c r="P193" s="187"/>
      <c r="Q193" s="188"/>
      <c r="R193" s="187"/>
      <c r="S193" s="187"/>
      <c r="T193" s="187"/>
      <c r="U193" s="187"/>
      <c r="V193" s="187"/>
      <c r="W193" s="187"/>
      <c r="X193" s="188"/>
      <c r="Y193" s="187"/>
      <c r="Z193" s="187"/>
      <c r="AA193" s="187"/>
      <c r="AB193" s="187"/>
      <c r="AC193" s="187"/>
      <c r="AD193" s="187"/>
    </row>
    <row r="194" spans="3:30">
      <c r="C194" s="187"/>
      <c r="D194" s="188"/>
      <c r="E194" s="187"/>
      <c r="F194" s="187"/>
      <c r="G194" s="187"/>
      <c r="H194" s="187"/>
      <c r="I194" s="187"/>
      <c r="J194" s="188"/>
      <c r="K194" s="187"/>
      <c r="L194" s="187"/>
      <c r="M194" s="187"/>
      <c r="N194" s="187"/>
      <c r="O194" s="187"/>
      <c r="P194" s="187"/>
      <c r="Q194" s="188"/>
      <c r="R194" s="187"/>
      <c r="S194" s="187"/>
      <c r="T194" s="187"/>
      <c r="U194" s="187"/>
      <c r="V194" s="187"/>
      <c r="W194" s="187"/>
      <c r="X194" s="188"/>
      <c r="Y194" s="187"/>
      <c r="Z194" s="187"/>
      <c r="AA194" s="187"/>
      <c r="AB194" s="187"/>
      <c r="AC194" s="187"/>
      <c r="AD194" s="187"/>
    </row>
    <row r="195" spans="3:30">
      <c r="C195" s="187"/>
      <c r="D195" s="188"/>
      <c r="E195" s="187"/>
      <c r="F195" s="187"/>
      <c r="G195" s="187"/>
      <c r="H195" s="187"/>
      <c r="I195" s="187"/>
      <c r="J195" s="188"/>
      <c r="K195" s="187"/>
      <c r="L195" s="187"/>
      <c r="M195" s="187"/>
      <c r="N195" s="187"/>
      <c r="O195" s="187"/>
      <c r="P195" s="187"/>
      <c r="Q195" s="188"/>
      <c r="R195" s="187"/>
      <c r="S195" s="187"/>
      <c r="T195" s="187"/>
      <c r="U195" s="187"/>
      <c r="V195" s="187"/>
      <c r="W195" s="187"/>
      <c r="X195" s="188"/>
      <c r="Y195" s="187"/>
      <c r="Z195" s="187"/>
      <c r="AA195" s="187"/>
      <c r="AB195" s="187"/>
      <c r="AC195" s="187"/>
      <c r="AD195" s="187"/>
    </row>
    <row r="196" spans="3:30">
      <c r="C196" s="187"/>
      <c r="D196" s="188"/>
      <c r="E196" s="187"/>
      <c r="F196" s="187"/>
      <c r="G196" s="187"/>
      <c r="H196" s="187"/>
      <c r="I196" s="187"/>
      <c r="J196" s="188"/>
      <c r="K196" s="187"/>
      <c r="L196" s="187"/>
      <c r="M196" s="187"/>
      <c r="N196" s="187"/>
      <c r="O196" s="187"/>
      <c r="P196" s="187"/>
      <c r="Q196" s="188"/>
      <c r="R196" s="187"/>
      <c r="S196" s="187"/>
      <c r="T196" s="187"/>
      <c r="U196" s="187"/>
      <c r="V196" s="187"/>
      <c r="W196" s="187"/>
      <c r="X196" s="188"/>
      <c r="Y196" s="187"/>
      <c r="Z196" s="187"/>
      <c r="AA196" s="187"/>
      <c r="AB196" s="187"/>
      <c r="AC196" s="187"/>
      <c r="AD196" s="187"/>
    </row>
    <row r="197" spans="3:30">
      <c r="C197" s="187"/>
      <c r="D197" s="188"/>
      <c r="E197" s="187"/>
      <c r="F197" s="187"/>
      <c r="G197" s="187"/>
      <c r="H197" s="187"/>
      <c r="I197" s="187"/>
      <c r="J197" s="188"/>
      <c r="K197" s="187"/>
      <c r="L197" s="187"/>
      <c r="M197" s="187"/>
      <c r="N197" s="187"/>
      <c r="O197" s="187"/>
      <c r="P197" s="187"/>
      <c r="Q197" s="188"/>
      <c r="R197" s="187"/>
      <c r="S197" s="187"/>
      <c r="T197" s="187"/>
      <c r="U197" s="187"/>
      <c r="V197" s="187"/>
      <c r="W197" s="187"/>
      <c r="X197" s="188"/>
      <c r="Y197" s="187"/>
      <c r="Z197" s="187"/>
      <c r="AA197" s="187"/>
      <c r="AB197" s="187"/>
      <c r="AC197" s="187"/>
      <c r="AD197" s="187"/>
    </row>
    <row r="198" spans="3:30">
      <c r="C198" s="187"/>
      <c r="D198" s="188"/>
      <c r="E198" s="187"/>
      <c r="F198" s="187"/>
      <c r="G198" s="187"/>
      <c r="H198" s="187"/>
      <c r="I198" s="187"/>
      <c r="J198" s="188"/>
      <c r="K198" s="187"/>
      <c r="L198" s="187"/>
      <c r="M198" s="187"/>
      <c r="N198" s="187"/>
      <c r="O198" s="187"/>
      <c r="P198" s="187"/>
      <c r="Q198" s="188"/>
      <c r="R198" s="187"/>
      <c r="S198" s="187"/>
      <c r="T198" s="187"/>
      <c r="U198" s="187"/>
      <c r="V198" s="187"/>
      <c r="W198" s="187"/>
      <c r="X198" s="188"/>
      <c r="Y198" s="187"/>
      <c r="Z198" s="187"/>
      <c r="AA198" s="187"/>
      <c r="AB198" s="187"/>
      <c r="AC198" s="187"/>
      <c r="AD198" s="187"/>
    </row>
    <row r="199" spans="3:30">
      <c r="C199" s="187"/>
      <c r="D199" s="188"/>
      <c r="E199" s="187"/>
      <c r="F199" s="187"/>
      <c r="G199" s="187"/>
      <c r="H199" s="187"/>
      <c r="I199" s="187"/>
      <c r="J199" s="188"/>
      <c r="K199" s="187"/>
      <c r="L199" s="187"/>
      <c r="M199" s="187"/>
      <c r="N199" s="187"/>
      <c r="O199" s="187"/>
      <c r="P199" s="187"/>
      <c r="Q199" s="188"/>
      <c r="R199" s="187"/>
      <c r="S199" s="187"/>
      <c r="T199" s="187"/>
      <c r="U199" s="187"/>
      <c r="V199" s="187"/>
      <c r="W199" s="187"/>
      <c r="X199" s="188"/>
      <c r="Y199" s="187"/>
      <c r="Z199" s="187"/>
      <c r="AA199" s="187"/>
      <c r="AB199" s="187"/>
      <c r="AC199" s="187"/>
      <c r="AD199" s="187"/>
    </row>
    <row r="200" spans="3:30">
      <c r="C200" s="187"/>
      <c r="D200" s="188"/>
      <c r="E200" s="187"/>
      <c r="F200" s="187"/>
      <c r="G200" s="187"/>
      <c r="H200" s="187"/>
      <c r="I200" s="187"/>
      <c r="J200" s="188"/>
      <c r="K200" s="187"/>
      <c r="L200" s="187"/>
      <c r="M200" s="187"/>
      <c r="N200" s="187"/>
      <c r="O200" s="187"/>
      <c r="P200" s="187"/>
      <c r="Q200" s="188"/>
      <c r="R200" s="187"/>
      <c r="S200" s="187"/>
      <c r="T200" s="187"/>
      <c r="U200" s="187"/>
      <c r="V200" s="187"/>
      <c r="W200" s="187"/>
      <c r="X200" s="188"/>
      <c r="Y200" s="187"/>
      <c r="Z200" s="187"/>
      <c r="AA200" s="187"/>
      <c r="AB200" s="187"/>
      <c r="AC200" s="187"/>
      <c r="AD200" s="187"/>
    </row>
    <row r="201" spans="3:30">
      <c r="C201" s="187"/>
      <c r="D201" s="188"/>
      <c r="E201" s="187"/>
      <c r="F201" s="187"/>
      <c r="G201" s="187"/>
      <c r="H201" s="187"/>
      <c r="I201" s="187"/>
      <c r="J201" s="188"/>
      <c r="K201" s="187"/>
      <c r="L201" s="187"/>
      <c r="M201" s="187"/>
      <c r="N201" s="187"/>
      <c r="O201" s="187"/>
      <c r="P201" s="187"/>
      <c r="Q201" s="188"/>
      <c r="R201" s="187"/>
      <c r="S201" s="187"/>
      <c r="T201" s="187"/>
      <c r="U201" s="187"/>
      <c r="V201" s="187"/>
      <c r="W201" s="187"/>
      <c r="X201" s="188"/>
      <c r="Y201" s="187"/>
      <c r="Z201" s="187"/>
      <c r="AA201" s="187"/>
      <c r="AB201" s="187"/>
      <c r="AC201" s="187"/>
      <c r="AD201" s="187"/>
    </row>
    <row r="202" spans="3:30">
      <c r="C202" s="187"/>
      <c r="D202" s="188"/>
      <c r="E202" s="187"/>
      <c r="F202" s="187"/>
      <c r="G202" s="187"/>
      <c r="H202" s="187"/>
      <c r="I202" s="187"/>
      <c r="J202" s="188"/>
      <c r="K202" s="187"/>
      <c r="L202" s="187"/>
      <c r="M202" s="187"/>
      <c r="N202" s="187"/>
      <c r="O202" s="187"/>
      <c r="P202" s="187"/>
      <c r="Q202" s="188"/>
      <c r="R202" s="187"/>
      <c r="S202" s="187"/>
      <c r="T202" s="187"/>
      <c r="U202" s="187"/>
      <c r="V202" s="187"/>
      <c r="W202" s="187"/>
      <c r="X202" s="188"/>
      <c r="Y202" s="187"/>
      <c r="Z202" s="187"/>
      <c r="AA202" s="187"/>
      <c r="AB202" s="187"/>
      <c r="AC202" s="187"/>
      <c r="AD202" s="187"/>
    </row>
    <row r="203" spans="3:30">
      <c r="C203" s="187"/>
      <c r="D203" s="188"/>
      <c r="E203" s="187"/>
      <c r="F203" s="187"/>
      <c r="G203" s="187"/>
      <c r="H203" s="187"/>
      <c r="I203" s="187"/>
      <c r="J203" s="188"/>
      <c r="K203" s="187"/>
      <c r="L203" s="187"/>
      <c r="M203" s="187"/>
      <c r="N203" s="187"/>
      <c r="O203" s="187"/>
      <c r="P203" s="187"/>
      <c r="Q203" s="188"/>
      <c r="R203" s="187"/>
      <c r="S203" s="187"/>
      <c r="T203" s="187"/>
      <c r="U203" s="187"/>
      <c r="V203" s="187"/>
      <c r="W203" s="187"/>
      <c r="X203" s="188"/>
      <c r="Y203" s="187"/>
      <c r="Z203" s="187"/>
      <c r="AA203" s="187"/>
      <c r="AB203" s="187"/>
      <c r="AC203" s="187"/>
      <c r="AD203" s="187"/>
    </row>
    <row r="204" spans="3:30">
      <c r="C204" s="187"/>
      <c r="D204" s="188"/>
      <c r="E204" s="187"/>
      <c r="F204" s="187"/>
      <c r="G204" s="187"/>
      <c r="H204" s="187"/>
      <c r="I204" s="187"/>
      <c r="J204" s="188"/>
      <c r="K204" s="187"/>
      <c r="L204" s="187"/>
      <c r="M204" s="187"/>
      <c r="N204" s="187"/>
      <c r="O204" s="187"/>
      <c r="P204" s="187"/>
      <c r="Q204" s="188"/>
      <c r="R204" s="187"/>
      <c r="S204" s="187"/>
      <c r="T204" s="187"/>
      <c r="U204" s="187"/>
      <c r="V204" s="187"/>
      <c r="W204" s="187"/>
      <c r="X204" s="188"/>
      <c r="Y204" s="187"/>
      <c r="Z204" s="187"/>
      <c r="AA204" s="187"/>
      <c r="AB204" s="187"/>
      <c r="AC204" s="187"/>
      <c r="AD204" s="187"/>
    </row>
    <row r="205" spans="3:30">
      <c r="C205" s="187"/>
      <c r="D205" s="188"/>
      <c r="E205" s="187"/>
      <c r="F205" s="187"/>
      <c r="G205" s="187"/>
      <c r="H205" s="187"/>
      <c r="I205" s="187"/>
      <c r="J205" s="188"/>
      <c r="K205" s="187"/>
      <c r="L205" s="187"/>
      <c r="M205" s="187"/>
      <c r="N205" s="187"/>
      <c r="O205" s="187"/>
      <c r="P205" s="187"/>
      <c r="Q205" s="188"/>
      <c r="R205" s="187"/>
      <c r="S205" s="187"/>
      <c r="T205" s="187"/>
      <c r="U205" s="187"/>
      <c r="V205" s="187"/>
      <c r="W205" s="187"/>
      <c r="X205" s="188"/>
      <c r="Y205" s="187"/>
      <c r="Z205" s="187"/>
      <c r="AA205" s="187"/>
      <c r="AB205" s="187"/>
      <c r="AC205" s="187"/>
      <c r="AD205" s="187"/>
    </row>
    <row r="206" spans="3:30">
      <c r="C206" s="187"/>
      <c r="D206" s="188"/>
      <c r="E206" s="187"/>
      <c r="F206" s="187"/>
      <c r="G206" s="187"/>
      <c r="H206" s="187"/>
      <c r="I206" s="187"/>
      <c r="J206" s="188"/>
      <c r="K206" s="187"/>
      <c r="L206" s="187"/>
      <c r="M206" s="187"/>
      <c r="N206" s="187"/>
      <c r="O206" s="187"/>
      <c r="P206" s="187"/>
      <c r="Q206" s="188"/>
      <c r="R206" s="187"/>
      <c r="S206" s="187"/>
      <c r="T206" s="187"/>
      <c r="U206" s="187"/>
      <c r="V206" s="187"/>
      <c r="W206" s="187"/>
      <c r="X206" s="188"/>
      <c r="Y206" s="187"/>
      <c r="Z206" s="187"/>
      <c r="AA206" s="187"/>
      <c r="AB206" s="187"/>
      <c r="AC206" s="187"/>
      <c r="AD206" s="187"/>
    </row>
    <row r="207" spans="3:30">
      <c r="C207" s="187"/>
      <c r="D207" s="188"/>
      <c r="E207" s="187"/>
      <c r="F207" s="187"/>
      <c r="G207" s="187"/>
      <c r="H207" s="187"/>
      <c r="I207" s="187"/>
      <c r="J207" s="188"/>
      <c r="K207" s="187"/>
      <c r="L207" s="187"/>
      <c r="M207" s="187"/>
      <c r="N207" s="187"/>
      <c r="O207" s="187"/>
      <c r="P207" s="187"/>
      <c r="Q207" s="188"/>
      <c r="R207" s="187"/>
      <c r="S207" s="187"/>
      <c r="T207" s="187"/>
      <c r="U207" s="187"/>
      <c r="V207" s="187"/>
      <c r="W207" s="187"/>
      <c r="X207" s="188"/>
      <c r="Y207" s="187"/>
      <c r="Z207" s="187"/>
      <c r="AA207" s="187"/>
      <c r="AB207" s="187"/>
      <c r="AC207" s="187"/>
      <c r="AD207" s="187"/>
    </row>
    <row r="208" spans="3:30">
      <c r="C208" s="187"/>
      <c r="D208" s="188"/>
      <c r="E208" s="187"/>
      <c r="F208" s="187"/>
      <c r="G208" s="187"/>
      <c r="H208" s="187"/>
      <c r="I208" s="187"/>
      <c r="J208" s="188"/>
      <c r="K208" s="187"/>
      <c r="L208" s="187"/>
      <c r="M208" s="187"/>
      <c r="N208" s="187"/>
      <c r="O208" s="187"/>
      <c r="P208" s="187"/>
      <c r="Q208" s="188"/>
      <c r="R208" s="187"/>
      <c r="S208" s="187"/>
      <c r="T208" s="187"/>
      <c r="U208" s="187"/>
      <c r="V208" s="187"/>
      <c r="W208" s="187"/>
      <c r="X208" s="188"/>
      <c r="Y208" s="187"/>
      <c r="Z208" s="187"/>
      <c r="AA208" s="187"/>
      <c r="AB208" s="187"/>
      <c r="AC208" s="187"/>
      <c r="AD208" s="187"/>
    </row>
    <row r="209" spans="3:30">
      <c r="C209" s="187"/>
      <c r="D209" s="188"/>
      <c r="E209" s="187"/>
      <c r="F209" s="187"/>
      <c r="G209" s="187"/>
      <c r="H209" s="187"/>
      <c r="I209" s="187"/>
      <c r="J209" s="188"/>
      <c r="K209" s="187"/>
      <c r="L209" s="187"/>
      <c r="M209" s="187"/>
      <c r="N209" s="187"/>
      <c r="O209" s="187"/>
      <c r="P209" s="187"/>
      <c r="Q209" s="188"/>
      <c r="R209" s="187"/>
      <c r="S209" s="187"/>
      <c r="T209" s="187"/>
      <c r="U209" s="187"/>
      <c r="V209" s="187"/>
      <c r="W209" s="187"/>
      <c r="X209" s="188"/>
      <c r="Y209" s="187"/>
      <c r="Z209" s="187"/>
      <c r="AA209" s="187"/>
      <c r="AB209" s="187"/>
      <c r="AC209" s="187"/>
      <c r="AD209" s="187"/>
    </row>
    <row r="210" spans="3:30">
      <c r="C210" s="187"/>
      <c r="D210" s="188"/>
      <c r="E210" s="187"/>
      <c r="F210" s="187"/>
      <c r="G210" s="187"/>
      <c r="H210" s="187"/>
      <c r="I210" s="187"/>
      <c r="J210" s="188"/>
      <c r="K210" s="187"/>
      <c r="L210" s="187"/>
      <c r="M210" s="187"/>
      <c r="N210" s="187"/>
      <c r="O210" s="187"/>
      <c r="P210" s="187"/>
      <c r="Q210" s="188"/>
      <c r="R210" s="187"/>
      <c r="S210" s="187"/>
      <c r="T210" s="187"/>
      <c r="U210" s="187"/>
      <c r="V210" s="187"/>
      <c r="W210" s="187"/>
      <c r="X210" s="188"/>
      <c r="Y210" s="187"/>
      <c r="Z210" s="187"/>
      <c r="AA210" s="187"/>
      <c r="AB210" s="187"/>
      <c r="AC210" s="187"/>
      <c r="AD210" s="187"/>
    </row>
    <row r="211" spans="3:30">
      <c r="C211" s="187"/>
      <c r="D211" s="188"/>
      <c r="E211" s="187"/>
      <c r="F211" s="187"/>
      <c r="G211" s="187"/>
      <c r="H211" s="187"/>
      <c r="I211" s="187"/>
      <c r="J211" s="188"/>
      <c r="K211" s="187"/>
      <c r="L211" s="187"/>
      <c r="M211" s="187"/>
      <c r="N211" s="187"/>
      <c r="O211" s="187"/>
      <c r="P211" s="187"/>
      <c r="Q211" s="188"/>
      <c r="R211" s="187"/>
      <c r="S211" s="187"/>
      <c r="T211" s="187"/>
      <c r="U211" s="187"/>
      <c r="V211" s="187"/>
      <c r="W211" s="187"/>
      <c r="X211" s="188"/>
      <c r="Y211" s="187"/>
      <c r="Z211" s="187"/>
      <c r="AA211" s="187"/>
      <c r="AB211" s="187"/>
      <c r="AC211" s="187"/>
      <c r="AD211" s="187"/>
    </row>
    <row r="212" spans="3:30">
      <c r="C212" s="187"/>
      <c r="D212" s="188"/>
      <c r="E212" s="187"/>
      <c r="F212" s="187"/>
      <c r="G212" s="187"/>
      <c r="H212" s="187"/>
      <c r="I212" s="187"/>
      <c r="J212" s="188"/>
      <c r="K212" s="187"/>
      <c r="L212" s="187"/>
      <c r="M212" s="187"/>
      <c r="N212" s="187"/>
      <c r="O212" s="187"/>
      <c r="P212" s="187"/>
      <c r="Q212" s="188"/>
      <c r="R212" s="187"/>
      <c r="S212" s="187"/>
      <c r="T212" s="187"/>
      <c r="U212" s="187"/>
      <c r="V212" s="187"/>
      <c r="W212" s="187"/>
      <c r="X212" s="188"/>
      <c r="Y212" s="187"/>
      <c r="Z212" s="187"/>
      <c r="AA212" s="187"/>
      <c r="AB212" s="187"/>
      <c r="AC212" s="187"/>
      <c r="AD212" s="187"/>
    </row>
    <row r="213" spans="3:30">
      <c r="C213" s="187"/>
      <c r="D213" s="188"/>
      <c r="E213" s="187"/>
      <c r="F213" s="187"/>
      <c r="G213" s="187"/>
      <c r="H213" s="187"/>
      <c r="I213" s="187"/>
      <c r="J213" s="188"/>
      <c r="K213" s="187"/>
      <c r="L213" s="187"/>
      <c r="M213" s="187"/>
      <c r="N213" s="187"/>
      <c r="O213" s="187"/>
      <c r="P213" s="187"/>
      <c r="Q213" s="188"/>
      <c r="R213" s="187"/>
      <c r="S213" s="187"/>
      <c r="T213" s="187"/>
      <c r="U213" s="187"/>
      <c r="V213" s="187"/>
      <c r="W213" s="187"/>
      <c r="X213" s="188"/>
      <c r="Y213" s="187"/>
      <c r="Z213" s="187"/>
      <c r="AA213" s="187"/>
      <c r="AB213" s="187"/>
      <c r="AC213" s="187"/>
      <c r="AD213" s="187"/>
    </row>
    <row r="214" spans="3:30">
      <c r="C214" s="187"/>
      <c r="D214" s="188"/>
      <c r="E214" s="187"/>
      <c r="F214" s="187"/>
      <c r="G214" s="187"/>
      <c r="H214" s="187"/>
      <c r="I214" s="187"/>
      <c r="J214" s="188"/>
      <c r="K214" s="187"/>
      <c r="L214" s="187"/>
      <c r="M214" s="187"/>
      <c r="N214" s="187"/>
      <c r="O214" s="187"/>
      <c r="P214" s="187"/>
      <c r="Q214" s="188"/>
      <c r="R214" s="187"/>
      <c r="S214" s="187"/>
      <c r="T214" s="187"/>
      <c r="U214" s="187"/>
      <c r="V214" s="187"/>
      <c r="W214" s="187"/>
      <c r="X214" s="188"/>
      <c r="Y214" s="187"/>
      <c r="Z214" s="187"/>
      <c r="AA214" s="187"/>
      <c r="AB214" s="187"/>
      <c r="AC214" s="187"/>
      <c r="AD214" s="187"/>
    </row>
    <row r="215" spans="3:30">
      <c r="C215" s="187"/>
      <c r="D215" s="188"/>
      <c r="E215" s="187"/>
      <c r="F215" s="187"/>
      <c r="G215" s="187"/>
      <c r="H215" s="187"/>
      <c r="I215" s="187"/>
      <c r="J215" s="188"/>
      <c r="K215" s="187"/>
      <c r="L215" s="187"/>
      <c r="M215" s="187"/>
      <c r="N215" s="187"/>
      <c r="O215" s="187"/>
      <c r="P215" s="187"/>
      <c r="Q215" s="188"/>
      <c r="R215" s="187"/>
      <c r="S215" s="187"/>
      <c r="T215" s="187"/>
      <c r="U215" s="187"/>
      <c r="V215" s="187"/>
      <c r="W215" s="187"/>
      <c r="X215" s="188"/>
      <c r="Y215" s="187"/>
      <c r="Z215" s="187"/>
      <c r="AA215" s="187"/>
      <c r="AB215" s="187"/>
      <c r="AC215" s="187"/>
      <c r="AD215" s="187"/>
    </row>
    <row r="216" spans="3:30">
      <c r="C216" s="187"/>
      <c r="D216" s="188"/>
      <c r="E216" s="187"/>
      <c r="F216" s="187"/>
      <c r="G216" s="187"/>
      <c r="H216" s="187"/>
      <c r="I216" s="187"/>
      <c r="J216" s="188"/>
      <c r="K216" s="187"/>
      <c r="L216" s="187"/>
      <c r="M216" s="187"/>
      <c r="N216" s="187"/>
      <c r="O216" s="187"/>
      <c r="P216" s="187"/>
      <c r="Q216" s="188"/>
      <c r="R216" s="187"/>
      <c r="S216" s="187"/>
      <c r="T216" s="187"/>
      <c r="U216" s="187"/>
      <c r="V216" s="187"/>
      <c r="W216" s="187"/>
      <c r="X216" s="188"/>
      <c r="Y216" s="187"/>
      <c r="Z216" s="187"/>
      <c r="AA216" s="187"/>
      <c r="AB216" s="187"/>
      <c r="AC216" s="187"/>
      <c r="AD216" s="187"/>
    </row>
    <row r="217" spans="3:30">
      <c r="C217" s="187"/>
      <c r="D217" s="188"/>
      <c r="E217" s="187"/>
      <c r="F217" s="187"/>
      <c r="G217" s="187"/>
      <c r="H217" s="187"/>
      <c r="I217" s="187"/>
      <c r="J217" s="188"/>
      <c r="K217" s="187"/>
      <c r="L217" s="187"/>
      <c r="M217" s="187"/>
      <c r="N217" s="187"/>
      <c r="O217" s="187"/>
      <c r="P217" s="187"/>
      <c r="Q217" s="188"/>
      <c r="R217" s="187"/>
      <c r="S217" s="187"/>
      <c r="T217" s="187"/>
      <c r="U217" s="187"/>
      <c r="V217" s="187"/>
      <c r="W217" s="187"/>
      <c r="X217" s="188"/>
      <c r="Y217" s="187"/>
      <c r="Z217" s="187"/>
      <c r="AA217" s="187"/>
      <c r="AB217" s="187"/>
      <c r="AC217" s="187"/>
      <c r="AD217" s="187"/>
    </row>
    <row r="218" spans="3:30">
      <c r="C218" s="187"/>
      <c r="D218" s="188"/>
      <c r="E218" s="187"/>
      <c r="F218" s="187"/>
      <c r="G218" s="187"/>
      <c r="H218" s="187"/>
      <c r="I218" s="187"/>
      <c r="J218" s="188"/>
      <c r="K218" s="187"/>
      <c r="L218" s="187"/>
      <c r="M218" s="187"/>
      <c r="N218" s="187"/>
      <c r="O218" s="187"/>
      <c r="P218" s="187"/>
      <c r="Q218" s="188"/>
      <c r="R218" s="187"/>
      <c r="S218" s="187"/>
      <c r="T218" s="187"/>
      <c r="U218" s="187"/>
      <c r="V218" s="187"/>
      <c r="W218" s="187"/>
      <c r="X218" s="188"/>
      <c r="Y218" s="187"/>
      <c r="Z218" s="187"/>
      <c r="AA218" s="187"/>
      <c r="AB218" s="187"/>
      <c r="AC218" s="187"/>
      <c r="AD218" s="187"/>
    </row>
    <row r="219" spans="3:30">
      <c r="C219" s="187"/>
      <c r="D219" s="188"/>
      <c r="E219" s="187"/>
      <c r="F219" s="187"/>
      <c r="G219" s="187"/>
      <c r="H219" s="187"/>
      <c r="I219" s="187"/>
      <c r="J219" s="188"/>
      <c r="K219" s="187"/>
      <c r="L219" s="187"/>
      <c r="M219" s="187"/>
      <c r="N219" s="187"/>
      <c r="O219" s="187"/>
      <c r="P219" s="187"/>
      <c r="Q219" s="188"/>
      <c r="R219" s="187"/>
      <c r="S219" s="187"/>
      <c r="T219" s="187"/>
      <c r="U219" s="187"/>
      <c r="V219" s="187"/>
      <c r="W219" s="187"/>
      <c r="X219" s="188"/>
      <c r="Y219" s="187"/>
      <c r="Z219" s="187"/>
      <c r="AA219" s="187"/>
      <c r="AB219" s="187"/>
      <c r="AC219" s="187"/>
      <c r="AD219" s="187"/>
    </row>
    <row r="220" spans="3:30">
      <c r="C220" s="187"/>
      <c r="D220" s="188"/>
      <c r="E220" s="187"/>
      <c r="F220" s="187"/>
      <c r="G220" s="187"/>
      <c r="H220" s="187"/>
      <c r="I220" s="187"/>
      <c r="J220" s="188"/>
      <c r="K220" s="187"/>
      <c r="L220" s="187"/>
      <c r="M220" s="187"/>
      <c r="N220" s="187"/>
      <c r="O220" s="187"/>
      <c r="P220" s="187"/>
      <c r="Q220" s="188"/>
      <c r="R220" s="187"/>
      <c r="S220" s="187"/>
      <c r="T220" s="187"/>
      <c r="U220" s="187"/>
      <c r="V220" s="187"/>
      <c r="W220" s="187"/>
      <c r="X220" s="188"/>
      <c r="Y220" s="187"/>
      <c r="Z220" s="187"/>
      <c r="AA220" s="187"/>
      <c r="AB220" s="187"/>
      <c r="AC220" s="187"/>
      <c r="AD220" s="187"/>
    </row>
    <row r="221" spans="3:30">
      <c r="C221" s="187"/>
      <c r="D221" s="188"/>
      <c r="E221" s="187"/>
      <c r="F221" s="187"/>
      <c r="G221" s="187"/>
      <c r="H221" s="187"/>
      <c r="I221" s="187"/>
      <c r="J221" s="188"/>
      <c r="K221" s="187"/>
      <c r="L221" s="187"/>
      <c r="M221" s="187"/>
      <c r="N221" s="187"/>
      <c r="O221" s="187"/>
      <c r="P221" s="187"/>
      <c r="Q221" s="188"/>
      <c r="R221" s="187"/>
      <c r="S221" s="187"/>
      <c r="T221" s="187"/>
      <c r="U221" s="187"/>
      <c r="V221" s="187"/>
      <c r="W221" s="187"/>
      <c r="X221" s="188"/>
      <c r="Y221" s="187"/>
      <c r="Z221" s="187"/>
      <c r="AA221" s="187"/>
      <c r="AB221" s="187"/>
      <c r="AC221" s="187"/>
      <c r="AD221" s="187"/>
    </row>
    <row r="222" spans="3:30">
      <c r="C222" s="187"/>
      <c r="D222" s="188"/>
      <c r="E222" s="187"/>
      <c r="F222" s="187"/>
      <c r="G222" s="187"/>
      <c r="H222" s="187"/>
      <c r="I222" s="187"/>
      <c r="J222" s="188"/>
      <c r="K222" s="187"/>
      <c r="L222" s="187"/>
      <c r="M222" s="187"/>
      <c r="N222" s="187"/>
      <c r="O222" s="187"/>
      <c r="P222" s="187"/>
      <c r="Q222" s="188"/>
      <c r="R222" s="187"/>
      <c r="S222" s="187"/>
      <c r="T222" s="187"/>
      <c r="U222" s="187"/>
      <c r="V222" s="187"/>
      <c r="W222" s="187"/>
      <c r="X222" s="188"/>
      <c r="Y222" s="187"/>
      <c r="Z222" s="187"/>
      <c r="AA222" s="187"/>
      <c r="AB222" s="187"/>
      <c r="AC222" s="187"/>
      <c r="AD222" s="187"/>
    </row>
    <row r="223" spans="3:30">
      <c r="C223" s="187"/>
      <c r="D223" s="188"/>
      <c r="E223" s="187"/>
      <c r="F223" s="187"/>
      <c r="G223" s="187"/>
      <c r="H223" s="187"/>
      <c r="I223" s="187"/>
      <c r="J223" s="188"/>
      <c r="K223" s="187"/>
      <c r="L223" s="187"/>
      <c r="M223" s="187"/>
      <c r="N223" s="187"/>
      <c r="O223" s="187"/>
      <c r="P223" s="187"/>
      <c r="Q223" s="188"/>
      <c r="R223" s="187"/>
      <c r="S223" s="187"/>
      <c r="T223" s="187"/>
      <c r="U223" s="187"/>
      <c r="V223" s="187"/>
      <c r="W223" s="187"/>
      <c r="X223" s="188"/>
      <c r="Y223" s="187"/>
      <c r="Z223" s="187"/>
      <c r="AA223" s="187"/>
      <c r="AB223" s="187"/>
      <c r="AC223" s="187"/>
      <c r="AD223" s="187"/>
    </row>
    <row r="224" spans="3:30">
      <c r="C224" s="187"/>
      <c r="D224" s="188"/>
      <c r="E224" s="187"/>
      <c r="F224" s="187"/>
      <c r="G224" s="187"/>
      <c r="H224" s="187"/>
      <c r="I224" s="187"/>
      <c r="J224" s="188"/>
      <c r="K224" s="187"/>
      <c r="L224" s="187"/>
      <c r="M224" s="187"/>
      <c r="N224" s="187"/>
      <c r="O224" s="187"/>
      <c r="P224" s="187"/>
      <c r="Q224" s="188"/>
      <c r="R224" s="187"/>
      <c r="S224" s="187"/>
      <c r="T224" s="187"/>
      <c r="U224" s="187"/>
      <c r="V224" s="187"/>
      <c r="W224" s="187"/>
      <c r="X224" s="188"/>
      <c r="Y224" s="187"/>
      <c r="Z224" s="187"/>
      <c r="AA224" s="187"/>
      <c r="AB224" s="187"/>
      <c r="AC224" s="187"/>
      <c r="AD224" s="187"/>
    </row>
    <row r="225" spans="3:30">
      <c r="C225" s="187"/>
      <c r="D225" s="188"/>
      <c r="E225" s="187"/>
      <c r="F225" s="187"/>
      <c r="G225" s="187"/>
      <c r="H225" s="187"/>
      <c r="I225" s="187"/>
      <c r="J225" s="188"/>
      <c r="K225" s="187"/>
      <c r="L225" s="187"/>
      <c r="M225" s="187"/>
      <c r="N225" s="187"/>
      <c r="O225" s="187"/>
      <c r="P225" s="187"/>
      <c r="Q225" s="188"/>
      <c r="R225" s="187"/>
      <c r="S225" s="187"/>
      <c r="T225" s="187"/>
      <c r="U225" s="187"/>
      <c r="V225" s="187"/>
      <c r="W225" s="187"/>
      <c r="X225" s="188"/>
      <c r="Y225" s="187"/>
      <c r="Z225" s="187"/>
      <c r="AA225" s="187"/>
      <c r="AB225" s="187"/>
      <c r="AC225" s="187"/>
      <c r="AD225" s="187"/>
    </row>
    <row r="226" spans="3:30">
      <c r="C226" s="187"/>
      <c r="D226" s="188"/>
      <c r="E226" s="187"/>
      <c r="F226" s="187"/>
      <c r="G226" s="187"/>
      <c r="H226" s="187"/>
      <c r="I226" s="187"/>
      <c r="J226" s="188"/>
      <c r="K226" s="187"/>
      <c r="L226" s="187"/>
      <c r="M226" s="187"/>
      <c r="N226" s="187"/>
      <c r="O226" s="187"/>
      <c r="P226" s="187"/>
      <c r="Q226" s="188"/>
      <c r="R226" s="187"/>
      <c r="S226" s="187"/>
      <c r="T226" s="187"/>
      <c r="U226" s="187"/>
      <c r="V226" s="187"/>
      <c r="W226" s="187"/>
      <c r="X226" s="188"/>
      <c r="Y226" s="187"/>
      <c r="Z226" s="187"/>
      <c r="AA226" s="187"/>
      <c r="AB226" s="187"/>
      <c r="AC226" s="187"/>
      <c r="AD226" s="187"/>
    </row>
    <row r="227" spans="3:30">
      <c r="C227" s="187"/>
      <c r="D227" s="188"/>
      <c r="E227" s="187"/>
      <c r="F227" s="187"/>
      <c r="G227" s="187"/>
      <c r="H227" s="187"/>
      <c r="I227" s="187"/>
      <c r="J227" s="188"/>
      <c r="K227" s="187"/>
      <c r="L227" s="187"/>
      <c r="M227" s="187"/>
      <c r="N227" s="187"/>
      <c r="O227" s="187"/>
      <c r="P227" s="187"/>
      <c r="Q227" s="188"/>
      <c r="R227" s="187"/>
      <c r="S227" s="187"/>
      <c r="T227" s="187"/>
      <c r="U227" s="187"/>
      <c r="V227" s="187"/>
      <c r="W227" s="187"/>
      <c r="X227" s="188"/>
      <c r="Y227" s="187"/>
      <c r="Z227" s="187"/>
      <c r="AA227" s="187"/>
      <c r="AB227" s="187"/>
      <c r="AC227" s="187"/>
      <c r="AD227" s="187"/>
    </row>
    <row r="228" spans="3:30">
      <c r="C228" s="187"/>
      <c r="D228" s="188"/>
      <c r="E228" s="187"/>
      <c r="F228" s="187"/>
      <c r="G228" s="187"/>
      <c r="H228" s="187"/>
      <c r="I228" s="187"/>
      <c r="J228" s="188"/>
      <c r="K228" s="187"/>
      <c r="L228" s="187"/>
      <c r="M228" s="187"/>
      <c r="N228" s="187"/>
      <c r="O228" s="187"/>
      <c r="P228" s="187"/>
      <c r="Q228" s="188"/>
      <c r="R228" s="187"/>
      <c r="S228" s="187"/>
      <c r="T228" s="187"/>
      <c r="U228" s="187"/>
      <c r="V228" s="187"/>
      <c r="W228" s="187"/>
      <c r="X228" s="188"/>
      <c r="Y228" s="187"/>
      <c r="Z228" s="187"/>
      <c r="AA228" s="187"/>
      <c r="AB228" s="187"/>
      <c r="AC228" s="187"/>
      <c r="AD228" s="187"/>
    </row>
    <row r="229" spans="3:30">
      <c r="C229" s="187"/>
      <c r="D229" s="188"/>
      <c r="E229" s="187"/>
      <c r="F229" s="187"/>
      <c r="G229" s="187"/>
      <c r="H229" s="187"/>
      <c r="I229" s="187"/>
      <c r="J229" s="188"/>
      <c r="K229" s="187"/>
      <c r="L229" s="187"/>
      <c r="M229" s="187"/>
      <c r="N229" s="187"/>
      <c r="O229" s="187"/>
      <c r="P229" s="187"/>
      <c r="Q229" s="188"/>
      <c r="R229" s="187"/>
      <c r="S229" s="187"/>
      <c r="T229" s="187"/>
      <c r="U229" s="187"/>
      <c r="V229" s="187"/>
      <c r="W229" s="187"/>
      <c r="X229" s="188"/>
      <c r="Y229" s="187"/>
      <c r="Z229" s="187"/>
      <c r="AA229" s="187"/>
      <c r="AB229" s="187"/>
      <c r="AC229" s="187"/>
      <c r="AD229" s="187"/>
    </row>
    <row r="230" spans="3:30">
      <c r="C230" s="187"/>
      <c r="D230" s="188"/>
      <c r="E230" s="187"/>
      <c r="F230" s="187"/>
      <c r="G230" s="187"/>
      <c r="H230" s="187"/>
      <c r="I230" s="187"/>
      <c r="J230" s="188"/>
      <c r="K230" s="187"/>
      <c r="L230" s="187"/>
      <c r="M230" s="187"/>
      <c r="N230" s="187"/>
      <c r="O230" s="187"/>
      <c r="P230" s="187"/>
      <c r="Q230" s="188"/>
      <c r="R230" s="187"/>
      <c r="S230" s="187"/>
      <c r="T230" s="187"/>
      <c r="U230" s="187"/>
      <c r="V230" s="187"/>
      <c r="W230" s="187"/>
      <c r="X230" s="188"/>
      <c r="Y230" s="187"/>
      <c r="Z230" s="187"/>
      <c r="AA230" s="187"/>
      <c r="AB230" s="187"/>
      <c r="AC230" s="187"/>
      <c r="AD230" s="187"/>
    </row>
    <row r="231" spans="3:30">
      <c r="C231" s="187"/>
      <c r="D231" s="188"/>
      <c r="E231" s="187"/>
      <c r="F231" s="187"/>
      <c r="G231" s="187"/>
      <c r="H231" s="187"/>
      <c r="I231" s="187"/>
      <c r="J231" s="188"/>
      <c r="K231" s="187"/>
      <c r="L231" s="187"/>
      <c r="M231" s="187"/>
      <c r="N231" s="187"/>
      <c r="O231" s="187"/>
      <c r="P231" s="187"/>
      <c r="Q231" s="188"/>
      <c r="R231" s="187"/>
      <c r="S231" s="187"/>
      <c r="T231" s="187"/>
      <c r="U231" s="187"/>
      <c r="V231" s="187"/>
      <c r="W231" s="187"/>
      <c r="X231" s="188"/>
      <c r="Y231" s="187"/>
      <c r="Z231" s="187"/>
      <c r="AA231" s="187"/>
      <c r="AB231" s="187"/>
      <c r="AC231" s="187"/>
      <c r="AD231" s="187"/>
    </row>
    <row r="232" spans="3:30">
      <c r="C232" s="187"/>
      <c r="D232" s="188"/>
      <c r="E232" s="187"/>
      <c r="F232" s="187"/>
      <c r="G232" s="187"/>
      <c r="H232" s="187"/>
      <c r="I232" s="187"/>
      <c r="J232" s="188"/>
      <c r="K232" s="187"/>
      <c r="L232" s="187"/>
      <c r="M232" s="187"/>
      <c r="N232" s="187"/>
      <c r="O232" s="187"/>
      <c r="P232" s="187"/>
      <c r="Q232" s="188"/>
      <c r="R232" s="187"/>
      <c r="S232" s="187"/>
      <c r="T232" s="187"/>
      <c r="U232" s="187"/>
      <c r="V232" s="187"/>
      <c r="W232" s="187"/>
      <c r="X232" s="188"/>
      <c r="Y232" s="187"/>
      <c r="Z232" s="187"/>
      <c r="AA232" s="187"/>
      <c r="AB232" s="187"/>
      <c r="AC232" s="187"/>
      <c r="AD232" s="187"/>
    </row>
    <row r="233" spans="3:30">
      <c r="C233" s="187"/>
      <c r="D233" s="188"/>
      <c r="E233" s="187"/>
      <c r="F233" s="187"/>
      <c r="G233" s="187"/>
      <c r="H233" s="187"/>
      <c r="I233" s="187"/>
      <c r="J233" s="188"/>
      <c r="K233" s="187"/>
      <c r="L233" s="187"/>
      <c r="M233" s="187"/>
      <c r="N233" s="187"/>
      <c r="O233" s="187"/>
      <c r="P233" s="187"/>
      <c r="Q233" s="188"/>
      <c r="R233" s="187"/>
      <c r="S233" s="187"/>
      <c r="T233" s="187"/>
      <c r="U233" s="187"/>
      <c r="V233" s="187"/>
      <c r="W233" s="187"/>
      <c r="X233" s="188"/>
      <c r="Y233" s="187"/>
      <c r="Z233" s="187"/>
      <c r="AA233" s="187"/>
      <c r="AB233" s="187"/>
      <c r="AC233" s="187"/>
      <c r="AD233" s="187"/>
    </row>
    <row r="234" spans="3:30">
      <c r="C234" s="187"/>
      <c r="D234" s="188"/>
      <c r="E234" s="187"/>
      <c r="F234" s="187"/>
      <c r="G234" s="187"/>
      <c r="H234" s="187"/>
      <c r="I234" s="187"/>
      <c r="J234" s="188"/>
      <c r="K234" s="187"/>
      <c r="L234" s="187"/>
      <c r="M234" s="187"/>
      <c r="N234" s="187"/>
      <c r="O234" s="187"/>
      <c r="P234" s="187"/>
      <c r="Q234" s="188"/>
      <c r="R234" s="187"/>
      <c r="S234" s="187"/>
      <c r="T234" s="187"/>
      <c r="U234" s="187"/>
      <c r="V234" s="187"/>
      <c r="W234" s="187"/>
      <c r="X234" s="188"/>
      <c r="Y234" s="187"/>
      <c r="Z234" s="187"/>
      <c r="AA234" s="187"/>
      <c r="AB234" s="187"/>
      <c r="AC234" s="187"/>
      <c r="AD234" s="187"/>
    </row>
    <row r="235" spans="3:30">
      <c r="C235" s="187"/>
      <c r="D235" s="188"/>
      <c r="E235" s="187"/>
      <c r="F235" s="187"/>
      <c r="G235" s="187"/>
      <c r="H235" s="187"/>
      <c r="I235" s="187"/>
      <c r="J235" s="188"/>
      <c r="K235" s="187"/>
      <c r="L235" s="187"/>
      <c r="M235" s="187"/>
      <c r="N235" s="187"/>
      <c r="O235" s="187"/>
      <c r="P235" s="187"/>
      <c r="Q235" s="188"/>
      <c r="R235" s="187"/>
      <c r="S235" s="187"/>
      <c r="T235" s="187"/>
      <c r="U235" s="187"/>
      <c r="V235" s="187"/>
      <c r="W235" s="187"/>
      <c r="X235" s="188"/>
      <c r="Y235" s="187"/>
      <c r="Z235" s="187"/>
      <c r="AA235" s="187"/>
      <c r="AB235" s="187"/>
      <c r="AC235" s="187"/>
      <c r="AD235" s="187"/>
    </row>
    <row r="236" spans="3:30">
      <c r="C236" s="187"/>
      <c r="D236" s="188"/>
      <c r="E236" s="187"/>
      <c r="F236" s="187"/>
      <c r="G236" s="187"/>
      <c r="H236" s="187"/>
      <c r="I236" s="187"/>
      <c r="J236" s="188"/>
      <c r="K236" s="187"/>
      <c r="L236" s="187"/>
      <c r="M236" s="187"/>
      <c r="N236" s="187"/>
      <c r="O236" s="187"/>
      <c r="P236" s="187"/>
      <c r="Q236" s="188"/>
      <c r="R236" s="187"/>
      <c r="S236" s="187"/>
      <c r="T236" s="187"/>
      <c r="U236" s="187"/>
      <c r="V236" s="187"/>
      <c r="W236" s="187"/>
      <c r="X236" s="188"/>
      <c r="Y236" s="187"/>
      <c r="Z236" s="187"/>
      <c r="AA236" s="187"/>
      <c r="AB236" s="187"/>
      <c r="AC236" s="187"/>
      <c r="AD236" s="187"/>
    </row>
    <row r="237" spans="3:30">
      <c r="C237" s="187"/>
      <c r="D237" s="188"/>
      <c r="E237" s="187"/>
      <c r="F237" s="187"/>
      <c r="G237" s="187"/>
      <c r="H237" s="187"/>
      <c r="I237" s="187"/>
      <c r="J237" s="188"/>
      <c r="K237" s="187"/>
      <c r="L237" s="187"/>
      <c r="M237" s="187"/>
      <c r="N237" s="187"/>
      <c r="O237" s="187"/>
      <c r="P237" s="187"/>
      <c r="Q237" s="188"/>
      <c r="R237" s="187"/>
      <c r="S237" s="187"/>
      <c r="T237" s="187"/>
      <c r="U237" s="187"/>
      <c r="V237" s="187"/>
      <c r="W237" s="187"/>
      <c r="X237" s="188"/>
      <c r="Y237" s="187"/>
      <c r="Z237" s="187"/>
      <c r="AA237" s="187"/>
      <c r="AB237" s="187"/>
      <c r="AC237" s="187"/>
      <c r="AD237" s="187"/>
    </row>
    <row r="238" spans="3:30">
      <c r="C238" s="187"/>
      <c r="D238" s="188"/>
      <c r="E238" s="187"/>
      <c r="F238" s="187"/>
      <c r="G238" s="187"/>
      <c r="H238" s="187"/>
      <c r="I238" s="187"/>
      <c r="J238" s="188"/>
      <c r="K238" s="187"/>
      <c r="L238" s="187"/>
      <c r="M238" s="187"/>
      <c r="N238" s="187"/>
      <c r="O238" s="187"/>
      <c r="P238" s="187"/>
      <c r="Q238" s="188"/>
      <c r="R238" s="187"/>
      <c r="S238" s="187"/>
      <c r="T238" s="187"/>
      <c r="U238" s="187"/>
      <c r="V238" s="187"/>
      <c r="W238" s="187"/>
      <c r="X238" s="188"/>
      <c r="Y238" s="187"/>
      <c r="Z238" s="187"/>
      <c r="AA238" s="187"/>
      <c r="AB238" s="187"/>
      <c r="AC238" s="187"/>
      <c r="AD238" s="187"/>
    </row>
    <row r="239" spans="3:30">
      <c r="C239" s="187"/>
      <c r="D239" s="188"/>
      <c r="E239" s="187"/>
      <c r="F239" s="187"/>
      <c r="G239" s="187"/>
      <c r="H239" s="187"/>
      <c r="I239" s="187"/>
      <c r="J239" s="188"/>
      <c r="K239" s="187"/>
      <c r="L239" s="187"/>
      <c r="M239" s="187"/>
      <c r="N239" s="187"/>
      <c r="O239" s="187"/>
      <c r="P239" s="187"/>
      <c r="Q239" s="188"/>
      <c r="R239" s="187"/>
      <c r="S239" s="187"/>
      <c r="T239" s="187"/>
      <c r="U239" s="187"/>
      <c r="V239" s="187"/>
      <c r="W239" s="187"/>
      <c r="X239" s="188"/>
      <c r="Y239" s="187"/>
      <c r="Z239" s="187"/>
      <c r="AA239" s="187"/>
      <c r="AB239" s="187"/>
      <c r="AC239" s="187"/>
      <c r="AD239" s="187"/>
    </row>
    <row r="240" spans="3:30">
      <c r="C240" s="187"/>
      <c r="D240" s="188"/>
      <c r="E240" s="187"/>
      <c r="F240" s="187"/>
      <c r="G240" s="187"/>
      <c r="H240" s="187"/>
      <c r="I240" s="187"/>
      <c r="J240" s="188"/>
      <c r="K240" s="187"/>
      <c r="L240" s="187"/>
      <c r="M240" s="187"/>
      <c r="N240" s="187"/>
      <c r="O240" s="187"/>
      <c r="P240" s="187"/>
      <c r="Q240" s="188"/>
      <c r="R240" s="187"/>
      <c r="S240" s="187"/>
      <c r="T240" s="187"/>
      <c r="U240" s="187"/>
      <c r="V240" s="187"/>
      <c r="W240" s="187"/>
      <c r="X240" s="188"/>
      <c r="Y240" s="187"/>
      <c r="Z240" s="187"/>
      <c r="AA240" s="187"/>
      <c r="AB240" s="187"/>
      <c r="AC240" s="187"/>
      <c r="AD240" s="187"/>
    </row>
    <row r="241" spans="3:30">
      <c r="C241" s="187"/>
      <c r="D241" s="188"/>
      <c r="E241" s="187"/>
      <c r="F241" s="187"/>
      <c r="G241" s="187"/>
      <c r="H241" s="187"/>
      <c r="I241" s="187"/>
      <c r="J241" s="188"/>
      <c r="K241" s="187"/>
      <c r="L241" s="187"/>
      <c r="M241" s="187"/>
      <c r="N241" s="187"/>
      <c r="O241" s="187"/>
      <c r="P241" s="187"/>
      <c r="Q241" s="188"/>
      <c r="R241" s="187"/>
      <c r="S241" s="187"/>
      <c r="T241" s="187"/>
      <c r="U241" s="187"/>
      <c r="V241" s="187"/>
      <c r="W241" s="187"/>
      <c r="X241" s="188"/>
      <c r="Y241" s="187"/>
      <c r="Z241" s="187"/>
      <c r="AA241" s="187"/>
      <c r="AB241" s="187"/>
      <c r="AC241" s="187"/>
      <c r="AD241" s="187"/>
    </row>
    <row r="242" spans="3:30">
      <c r="C242" s="187"/>
      <c r="D242" s="188"/>
      <c r="E242" s="187"/>
      <c r="F242" s="187"/>
      <c r="G242" s="187"/>
      <c r="H242" s="187"/>
      <c r="I242" s="187"/>
      <c r="J242" s="188"/>
      <c r="K242" s="187"/>
      <c r="L242" s="187"/>
      <c r="M242" s="187"/>
      <c r="N242" s="187"/>
      <c r="O242" s="187"/>
      <c r="P242" s="187"/>
      <c r="Q242" s="188"/>
      <c r="R242" s="187"/>
      <c r="S242" s="187"/>
      <c r="T242" s="187"/>
      <c r="U242" s="187"/>
      <c r="V242" s="187"/>
      <c r="W242" s="187"/>
      <c r="X242" s="188"/>
      <c r="Y242" s="187"/>
      <c r="Z242" s="187"/>
      <c r="AA242" s="187"/>
      <c r="AB242" s="187"/>
      <c r="AC242" s="187"/>
      <c r="AD242" s="187"/>
    </row>
    <row r="243" spans="3:30">
      <c r="C243" s="187"/>
      <c r="D243" s="188"/>
      <c r="E243" s="187"/>
      <c r="F243" s="187"/>
      <c r="G243" s="187"/>
      <c r="H243" s="187"/>
      <c r="I243" s="187"/>
      <c r="J243" s="188"/>
      <c r="K243" s="187"/>
      <c r="L243" s="187"/>
      <c r="M243" s="187"/>
      <c r="N243" s="187"/>
      <c r="O243" s="187"/>
      <c r="P243" s="187"/>
      <c r="Q243" s="188"/>
      <c r="R243" s="187"/>
      <c r="S243" s="187"/>
      <c r="T243" s="187"/>
      <c r="U243" s="187"/>
      <c r="V243" s="187"/>
      <c r="W243" s="187"/>
      <c r="X243" s="188"/>
      <c r="Y243" s="187"/>
      <c r="Z243" s="187"/>
      <c r="AA243" s="187"/>
      <c r="AB243" s="187"/>
      <c r="AC243" s="187"/>
      <c r="AD243" s="187"/>
    </row>
    <row r="244" spans="3:30">
      <c r="C244" s="187"/>
      <c r="D244" s="188"/>
      <c r="E244" s="187"/>
      <c r="F244" s="187"/>
      <c r="G244" s="187"/>
      <c r="H244" s="187"/>
      <c r="I244" s="187"/>
      <c r="J244" s="188"/>
      <c r="K244" s="187"/>
      <c r="L244" s="187"/>
      <c r="M244" s="187"/>
      <c r="N244" s="187"/>
      <c r="O244" s="187"/>
      <c r="P244" s="187"/>
      <c r="Q244" s="188"/>
      <c r="R244" s="187"/>
      <c r="S244" s="187"/>
      <c r="T244" s="187"/>
      <c r="U244" s="187"/>
      <c r="V244" s="187"/>
      <c r="W244" s="187"/>
      <c r="X244" s="188"/>
      <c r="Y244" s="187"/>
      <c r="Z244" s="187"/>
      <c r="AA244" s="187"/>
      <c r="AB244" s="187"/>
      <c r="AC244" s="187"/>
      <c r="AD244" s="187"/>
    </row>
    <row r="245" spans="3:30">
      <c r="C245" s="187"/>
      <c r="D245" s="188"/>
      <c r="E245" s="187"/>
      <c r="F245" s="187"/>
      <c r="G245" s="187"/>
      <c r="H245" s="187"/>
      <c r="I245" s="187"/>
      <c r="J245" s="188"/>
      <c r="K245" s="187"/>
      <c r="L245" s="187"/>
      <c r="M245" s="187"/>
      <c r="N245" s="187"/>
      <c r="O245" s="187"/>
      <c r="P245" s="187"/>
      <c r="Q245" s="188"/>
      <c r="R245" s="187"/>
      <c r="S245" s="187"/>
      <c r="T245" s="187"/>
      <c r="U245" s="187"/>
      <c r="V245" s="187"/>
      <c r="W245" s="187"/>
      <c r="X245" s="188"/>
      <c r="Y245" s="187"/>
      <c r="Z245" s="187"/>
      <c r="AA245" s="187"/>
      <c r="AB245" s="187"/>
      <c r="AC245" s="187"/>
      <c r="AD245" s="187"/>
    </row>
    <row r="246" spans="3:30">
      <c r="C246" s="187"/>
      <c r="D246" s="188"/>
      <c r="E246" s="187"/>
      <c r="F246" s="187"/>
      <c r="G246" s="187"/>
      <c r="H246" s="187"/>
      <c r="I246" s="187"/>
      <c r="J246" s="188"/>
      <c r="K246" s="187"/>
      <c r="L246" s="187"/>
      <c r="M246" s="187"/>
      <c r="N246" s="187"/>
      <c r="O246" s="187"/>
      <c r="P246" s="187"/>
      <c r="Q246" s="188"/>
      <c r="R246" s="187"/>
      <c r="S246" s="187"/>
      <c r="T246" s="187"/>
      <c r="U246" s="187"/>
      <c r="V246" s="187"/>
      <c r="W246" s="187"/>
      <c r="X246" s="188"/>
      <c r="Y246" s="187"/>
      <c r="Z246" s="187"/>
      <c r="AA246" s="187"/>
      <c r="AB246" s="187"/>
      <c r="AC246" s="187"/>
      <c r="AD246" s="187"/>
    </row>
    <row r="247" spans="3:30">
      <c r="C247" s="187"/>
      <c r="D247" s="188"/>
      <c r="E247" s="187"/>
      <c r="F247" s="187"/>
      <c r="G247" s="187"/>
      <c r="H247" s="187"/>
      <c r="I247" s="187"/>
      <c r="J247" s="188"/>
      <c r="K247" s="187"/>
      <c r="L247" s="187"/>
      <c r="M247" s="187"/>
      <c r="N247" s="187"/>
      <c r="O247" s="187"/>
      <c r="P247" s="187"/>
      <c r="Q247" s="188"/>
      <c r="R247" s="187"/>
      <c r="S247" s="187"/>
      <c r="T247" s="187"/>
      <c r="U247" s="187"/>
      <c r="V247" s="187"/>
      <c r="W247" s="187"/>
      <c r="X247" s="188"/>
      <c r="Y247" s="187"/>
      <c r="Z247" s="187"/>
      <c r="AA247" s="187"/>
      <c r="AB247" s="187"/>
      <c r="AC247" s="187"/>
      <c r="AD247" s="187"/>
    </row>
    <row r="248" spans="3:30">
      <c r="C248" s="187"/>
      <c r="D248" s="188"/>
      <c r="E248" s="187"/>
      <c r="F248" s="187"/>
      <c r="G248" s="187"/>
      <c r="H248" s="187"/>
      <c r="I248" s="187"/>
      <c r="J248" s="188"/>
      <c r="K248" s="187"/>
      <c r="L248" s="187"/>
      <c r="M248" s="187"/>
      <c r="N248" s="187"/>
      <c r="O248" s="187"/>
      <c r="P248" s="187"/>
      <c r="Q248" s="188"/>
      <c r="R248" s="187"/>
      <c r="S248" s="187"/>
      <c r="T248" s="187"/>
      <c r="U248" s="187"/>
      <c r="V248" s="187"/>
      <c r="W248" s="187"/>
      <c r="X248" s="188"/>
      <c r="Y248" s="187"/>
      <c r="Z248" s="187"/>
      <c r="AA248" s="187"/>
      <c r="AB248" s="187"/>
      <c r="AC248" s="187"/>
      <c r="AD248" s="187"/>
    </row>
    <row r="249" spans="3:30">
      <c r="C249" s="187"/>
      <c r="D249" s="188"/>
      <c r="E249" s="187"/>
      <c r="F249" s="187"/>
      <c r="G249" s="187"/>
      <c r="H249" s="187"/>
      <c r="I249" s="187"/>
      <c r="J249" s="188"/>
      <c r="K249" s="187"/>
      <c r="L249" s="187"/>
      <c r="M249" s="187"/>
      <c r="N249" s="187"/>
      <c r="O249" s="187"/>
      <c r="P249" s="187"/>
      <c r="Q249" s="188"/>
      <c r="R249" s="187"/>
      <c r="S249" s="187"/>
      <c r="T249" s="187"/>
      <c r="U249" s="187"/>
      <c r="V249" s="187"/>
      <c r="W249" s="187"/>
      <c r="X249" s="188"/>
      <c r="Y249" s="187"/>
      <c r="Z249" s="187"/>
      <c r="AA249" s="187"/>
      <c r="AB249" s="187"/>
      <c r="AC249" s="187"/>
      <c r="AD249" s="187"/>
    </row>
    <row r="250" spans="3:30">
      <c r="C250" s="187"/>
      <c r="D250" s="188"/>
      <c r="E250" s="187"/>
      <c r="F250" s="187"/>
      <c r="G250" s="187"/>
      <c r="H250" s="187"/>
      <c r="I250" s="187"/>
      <c r="J250" s="188"/>
      <c r="K250" s="187"/>
      <c r="L250" s="187"/>
      <c r="M250" s="187"/>
      <c r="N250" s="187"/>
      <c r="O250" s="187"/>
      <c r="P250" s="187"/>
      <c r="Q250" s="188"/>
      <c r="R250" s="187"/>
      <c r="S250" s="187"/>
      <c r="T250" s="187"/>
      <c r="U250" s="187"/>
      <c r="V250" s="187"/>
      <c r="W250" s="187"/>
      <c r="X250" s="188"/>
      <c r="Y250" s="187"/>
      <c r="Z250" s="187"/>
      <c r="AA250" s="187"/>
      <c r="AB250" s="187"/>
      <c r="AC250" s="187"/>
      <c r="AD250" s="187"/>
    </row>
    <row r="251" spans="3:30">
      <c r="C251" s="187"/>
      <c r="D251" s="188"/>
      <c r="E251" s="187"/>
      <c r="F251" s="187"/>
      <c r="G251" s="187"/>
      <c r="H251" s="187"/>
      <c r="I251" s="187"/>
      <c r="J251" s="188"/>
      <c r="K251" s="187"/>
      <c r="L251" s="187"/>
      <c r="M251" s="187"/>
      <c r="N251" s="187"/>
      <c r="O251" s="187"/>
      <c r="P251" s="187"/>
      <c r="Q251" s="188"/>
      <c r="R251" s="187"/>
      <c r="S251" s="187"/>
      <c r="T251" s="187"/>
      <c r="U251" s="187"/>
      <c r="V251" s="187"/>
      <c r="W251" s="187"/>
      <c r="X251" s="188"/>
      <c r="Y251" s="187"/>
      <c r="Z251" s="187"/>
      <c r="AA251" s="187"/>
      <c r="AB251" s="187"/>
      <c r="AC251" s="187"/>
      <c r="AD251" s="187"/>
    </row>
    <row r="252" spans="3:30">
      <c r="C252" s="187"/>
      <c r="D252" s="188"/>
      <c r="E252" s="187"/>
      <c r="F252" s="187"/>
      <c r="G252" s="187"/>
      <c r="H252" s="187"/>
      <c r="I252" s="187"/>
      <c r="J252" s="188"/>
      <c r="K252" s="187"/>
      <c r="L252" s="187"/>
      <c r="M252" s="187"/>
      <c r="N252" s="187"/>
      <c r="O252" s="187"/>
      <c r="P252" s="187"/>
      <c r="Q252" s="188"/>
      <c r="R252" s="187"/>
      <c r="S252" s="187"/>
      <c r="T252" s="187"/>
      <c r="U252" s="187"/>
      <c r="V252" s="187"/>
      <c r="W252" s="187"/>
      <c r="X252" s="188"/>
      <c r="Y252" s="187"/>
      <c r="Z252" s="187"/>
      <c r="AA252" s="187"/>
      <c r="AB252" s="187"/>
      <c r="AC252" s="187"/>
      <c r="AD252" s="187"/>
    </row>
    <row r="253" spans="3:30">
      <c r="C253" s="187"/>
      <c r="D253" s="188"/>
      <c r="E253" s="187"/>
      <c r="F253" s="187"/>
      <c r="G253" s="187"/>
      <c r="H253" s="187"/>
      <c r="I253" s="187"/>
      <c r="J253" s="188"/>
      <c r="K253" s="187"/>
      <c r="L253" s="187"/>
      <c r="M253" s="187"/>
      <c r="N253" s="187"/>
      <c r="O253" s="187"/>
      <c r="P253" s="187"/>
      <c r="Q253" s="188"/>
      <c r="R253" s="187"/>
      <c r="S253" s="187"/>
      <c r="T253" s="187"/>
      <c r="U253" s="187"/>
      <c r="V253" s="187"/>
      <c r="W253" s="187"/>
      <c r="X253" s="188"/>
      <c r="Y253" s="187"/>
      <c r="Z253" s="187"/>
      <c r="AA253" s="187"/>
      <c r="AB253" s="187"/>
      <c r="AC253" s="187"/>
      <c r="AD253" s="187"/>
    </row>
    <row r="254" spans="3:30">
      <c r="C254" s="187"/>
      <c r="D254" s="188"/>
      <c r="E254" s="187"/>
      <c r="F254" s="187"/>
      <c r="G254" s="187"/>
      <c r="H254" s="187"/>
      <c r="I254" s="187"/>
      <c r="J254" s="188"/>
      <c r="K254" s="187"/>
      <c r="L254" s="187"/>
      <c r="M254" s="187"/>
      <c r="N254" s="187"/>
      <c r="O254" s="187"/>
      <c r="P254" s="187"/>
      <c r="Q254" s="188"/>
      <c r="R254" s="187"/>
      <c r="S254" s="187"/>
      <c r="T254" s="187"/>
      <c r="U254" s="187"/>
      <c r="V254" s="187"/>
      <c r="W254" s="187"/>
      <c r="X254" s="188"/>
      <c r="Y254" s="187"/>
      <c r="Z254" s="187"/>
      <c r="AA254" s="187"/>
      <c r="AB254" s="187"/>
      <c r="AC254" s="187"/>
      <c r="AD254" s="187"/>
    </row>
    <row r="255" spans="3:30">
      <c r="C255" s="187"/>
      <c r="D255" s="188"/>
      <c r="E255" s="187"/>
      <c r="F255" s="187"/>
      <c r="G255" s="187"/>
      <c r="H255" s="187"/>
      <c r="I255" s="187"/>
      <c r="J255" s="188"/>
      <c r="K255" s="187"/>
      <c r="L255" s="187"/>
      <c r="M255" s="187"/>
      <c r="N255" s="187"/>
      <c r="O255" s="187"/>
      <c r="P255" s="187"/>
      <c r="Q255" s="188"/>
      <c r="R255" s="187"/>
      <c r="S255" s="187"/>
      <c r="T255" s="187"/>
      <c r="U255" s="187"/>
      <c r="V255" s="187"/>
      <c r="W255" s="187"/>
      <c r="X255" s="188"/>
      <c r="Y255" s="187"/>
      <c r="Z255" s="187"/>
      <c r="AA255" s="187"/>
      <c r="AB255" s="187"/>
      <c r="AC255" s="187"/>
      <c r="AD255" s="187"/>
    </row>
    <row r="256" spans="3:30">
      <c r="C256" s="187"/>
      <c r="D256" s="188"/>
      <c r="E256" s="187"/>
      <c r="F256" s="187"/>
      <c r="G256" s="187"/>
      <c r="H256" s="187"/>
      <c r="I256" s="187"/>
      <c r="J256" s="188"/>
      <c r="K256" s="187"/>
      <c r="L256" s="187"/>
      <c r="M256" s="187"/>
      <c r="N256" s="187"/>
      <c r="O256" s="187"/>
      <c r="P256" s="187"/>
      <c r="Q256" s="188"/>
      <c r="R256" s="187"/>
      <c r="S256" s="187"/>
      <c r="T256" s="187"/>
      <c r="U256" s="187"/>
      <c r="V256" s="187"/>
      <c r="W256" s="187"/>
      <c r="X256" s="188"/>
      <c r="Y256" s="187"/>
      <c r="Z256" s="187"/>
      <c r="AA256" s="187"/>
      <c r="AB256" s="187"/>
      <c r="AC256" s="187"/>
      <c r="AD256" s="187"/>
    </row>
    <row r="257" spans="3:30">
      <c r="C257" s="187"/>
      <c r="D257" s="188"/>
      <c r="E257" s="187"/>
      <c r="F257" s="187"/>
      <c r="G257" s="187"/>
      <c r="H257" s="187"/>
      <c r="I257" s="187"/>
      <c r="J257" s="188"/>
      <c r="K257" s="187"/>
      <c r="L257" s="187"/>
      <c r="M257" s="187"/>
      <c r="N257" s="187"/>
      <c r="O257" s="187"/>
      <c r="P257" s="187"/>
      <c r="Q257" s="188"/>
      <c r="R257" s="187"/>
      <c r="S257" s="187"/>
      <c r="T257" s="187"/>
      <c r="U257" s="187"/>
      <c r="V257" s="187"/>
      <c r="W257" s="187"/>
      <c r="X257" s="188"/>
      <c r="Y257" s="187"/>
      <c r="Z257" s="187"/>
      <c r="AA257" s="187"/>
      <c r="AB257" s="187"/>
      <c r="AC257" s="187"/>
      <c r="AD257" s="187"/>
    </row>
    <row r="258" spans="3:30">
      <c r="C258" s="187"/>
      <c r="D258" s="188"/>
      <c r="E258" s="187"/>
      <c r="F258" s="187"/>
      <c r="G258" s="187"/>
      <c r="H258" s="187"/>
      <c r="I258" s="187"/>
      <c r="J258" s="188"/>
      <c r="K258" s="187"/>
      <c r="L258" s="187"/>
      <c r="M258" s="187"/>
      <c r="N258" s="187"/>
      <c r="O258" s="187"/>
      <c r="P258" s="187"/>
      <c r="Q258" s="188"/>
      <c r="R258" s="187"/>
      <c r="S258" s="187"/>
      <c r="T258" s="187"/>
      <c r="U258" s="187"/>
      <c r="V258" s="187"/>
      <c r="W258" s="187"/>
      <c r="X258" s="188"/>
      <c r="Y258" s="187"/>
      <c r="Z258" s="187"/>
      <c r="AA258" s="187"/>
      <c r="AB258" s="187"/>
      <c r="AC258" s="187"/>
      <c r="AD258" s="187"/>
    </row>
    <row r="259" spans="3:30">
      <c r="C259" s="187"/>
      <c r="D259" s="188"/>
      <c r="E259" s="187"/>
      <c r="F259" s="187"/>
      <c r="G259" s="187"/>
      <c r="H259" s="187"/>
      <c r="I259" s="187"/>
      <c r="J259" s="188"/>
      <c r="K259" s="187"/>
      <c r="L259" s="187"/>
      <c r="M259" s="187"/>
      <c r="N259" s="187"/>
      <c r="O259" s="187"/>
      <c r="P259" s="187"/>
      <c r="Q259" s="188"/>
      <c r="R259" s="187"/>
      <c r="S259" s="187"/>
      <c r="T259" s="187"/>
      <c r="U259" s="187"/>
      <c r="V259" s="187"/>
      <c r="W259" s="187"/>
      <c r="X259" s="188"/>
      <c r="Y259" s="187"/>
      <c r="Z259" s="187"/>
      <c r="AA259" s="187"/>
      <c r="AB259" s="187"/>
      <c r="AC259" s="187"/>
      <c r="AD259" s="187"/>
    </row>
    <row r="260" spans="3:30">
      <c r="C260" s="187"/>
      <c r="D260" s="188"/>
      <c r="E260" s="187"/>
      <c r="F260" s="187"/>
      <c r="G260" s="187"/>
      <c r="H260" s="187"/>
      <c r="I260" s="187"/>
      <c r="J260" s="188"/>
      <c r="K260" s="187"/>
      <c r="L260" s="187"/>
      <c r="M260" s="187"/>
      <c r="N260" s="187"/>
      <c r="O260" s="187"/>
      <c r="P260" s="187"/>
      <c r="Q260" s="188"/>
      <c r="R260" s="187"/>
      <c r="S260" s="187"/>
      <c r="T260" s="187"/>
      <c r="U260" s="187"/>
      <c r="V260" s="187"/>
      <c r="W260" s="187"/>
      <c r="X260" s="188"/>
      <c r="Y260" s="187"/>
      <c r="Z260" s="187"/>
      <c r="AA260" s="187"/>
      <c r="AB260" s="187"/>
      <c r="AC260" s="187"/>
      <c r="AD260" s="187"/>
    </row>
    <row r="261" spans="3:30">
      <c r="C261" s="187"/>
      <c r="D261" s="188"/>
      <c r="E261" s="187"/>
      <c r="F261" s="187"/>
      <c r="G261" s="187"/>
      <c r="H261" s="187"/>
      <c r="I261" s="187"/>
      <c r="J261" s="188"/>
      <c r="K261" s="187"/>
      <c r="L261" s="187"/>
      <c r="M261" s="187"/>
      <c r="N261" s="187"/>
      <c r="O261" s="187"/>
      <c r="P261" s="187"/>
      <c r="Q261" s="188"/>
      <c r="R261" s="187"/>
      <c r="S261" s="187"/>
      <c r="T261" s="187"/>
      <c r="U261" s="187"/>
      <c r="V261" s="187"/>
      <c r="W261" s="187"/>
      <c r="X261" s="188"/>
      <c r="Y261" s="187"/>
      <c r="Z261" s="187"/>
      <c r="AA261" s="187"/>
      <c r="AB261" s="187"/>
      <c r="AC261" s="187"/>
      <c r="AD261" s="187"/>
    </row>
    <row r="262" spans="3:30">
      <c r="C262" s="187"/>
      <c r="D262" s="188"/>
      <c r="E262" s="187"/>
      <c r="F262" s="187"/>
      <c r="G262" s="187"/>
      <c r="H262" s="187"/>
      <c r="I262" s="187"/>
      <c r="J262" s="188"/>
      <c r="K262" s="187"/>
      <c r="L262" s="187"/>
      <c r="M262" s="187"/>
      <c r="N262" s="187"/>
      <c r="O262" s="187"/>
      <c r="P262" s="187"/>
      <c r="Q262" s="188"/>
      <c r="R262" s="187"/>
      <c r="S262" s="187"/>
      <c r="T262" s="187"/>
      <c r="U262" s="187"/>
      <c r="V262" s="187"/>
      <c r="W262" s="187"/>
      <c r="X262" s="188"/>
      <c r="Y262" s="187"/>
      <c r="Z262" s="187"/>
      <c r="AA262" s="187"/>
      <c r="AB262" s="187"/>
      <c r="AC262" s="187"/>
      <c r="AD262" s="187"/>
    </row>
    <row r="263" spans="3:30">
      <c r="C263" s="187"/>
      <c r="D263" s="188"/>
      <c r="E263" s="187"/>
      <c r="F263" s="187"/>
      <c r="G263" s="187"/>
      <c r="H263" s="187"/>
      <c r="I263" s="187"/>
      <c r="J263" s="188"/>
      <c r="K263" s="187"/>
      <c r="L263" s="187"/>
      <c r="M263" s="187"/>
      <c r="N263" s="187"/>
      <c r="O263" s="187"/>
      <c r="P263" s="187"/>
      <c r="Q263" s="188"/>
      <c r="R263" s="187"/>
      <c r="S263" s="187"/>
      <c r="T263" s="187"/>
      <c r="U263" s="187"/>
      <c r="V263" s="187"/>
      <c r="W263" s="187"/>
      <c r="X263" s="188"/>
      <c r="Y263" s="187"/>
      <c r="Z263" s="187"/>
      <c r="AA263" s="187"/>
      <c r="AB263" s="187"/>
      <c r="AC263" s="187"/>
      <c r="AD263" s="187"/>
    </row>
    <row r="264" spans="3:30">
      <c r="C264" s="187"/>
      <c r="D264" s="188"/>
      <c r="E264" s="187"/>
      <c r="F264" s="187"/>
      <c r="G264" s="187"/>
      <c r="H264" s="187"/>
      <c r="I264" s="187"/>
      <c r="J264" s="188"/>
      <c r="K264" s="187"/>
      <c r="L264" s="187"/>
      <c r="M264" s="187"/>
      <c r="N264" s="187"/>
      <c r="O264" s="187"/>
      <c r="P264" s="187"/>
      <c r="Q264" s="188"/>
      <c r="R264" s="187"/>
      <c r="S264" s="187"/>
      <c r="T264" s="187"/>
      <c r="U264" s="187"/>
      <c r="V264" s="187"/>
      <c r="W264" s="187"/>
      <c r="X264" s="188"/>
      <c r="Y264" s="187"/>
      <c r="Z264" s="187"/>
      <c r="AA264" s="187"/>
      <c r="AB264" s="187"/>
      <c r="AC264" s="187"/>
      <c r="AD264" s="187"/>
    </row>
    <row r="265" spans="3:30">
      <c r="C265" s="187"/>
      <c r="D265" s="188"/>
      <c r="E265" s="187"/>
      <c r="F265" s="187"/>
      <c r="G265" s="187"/>
      <c r="H265" s="187"/>
      <c r="I265" s="187"/>
      <c r="J265" s="188"/>
      <c r="K265" s="187"/>
      <c r="L265" s="187"/>
      <c r="M265" s="187"/>
      <c r="N265" s="187"/>
      <c r="O265" s="187"/>
      <c r="P265" s="187"/>
      <c r="Q265" s="188"/>
      <c r="R265" s="187"/>
      <c r="S265" s="187"/>
      <c r="T265" s="187"/>
      <c r="U265" s="187"/>
      <c r="V265" s="187"/>
      <c r="W265" s="187"/>
      <c r="X265" s="188"/>
      <c r="Y265" s="187"/>
      <c r="Z265" s="187"/>
      <c r="AA265" s="187"/>
      <c r="AB265" s="187"/>
      <c r="AC265" s="187"/>
      <c r="AD265" s="187"/>
    </row>
    <row r="266" spans="3:30">
      <c r="C266" s="187"/>
      <c r="D266" s="188"/>
      <c r="E266" s="187"/>
      <c r="F266" s="187"/>
      <c r="G266" s="187"/>
      <c r="H266" s="187"/>
      <c r="I266" s="187"/>
      <c r="J266" s="188"/>
      <c r="K266" s="187"/>
      <c r="L266" s="187"/>
      <c r="M266" s="187"/>
      <c r="N266" s="187"/>
      <c r="O266" s="187"/>
      <c r="P266" s="187"/>
      <c r="Q266" s="188"/>
      <c r="R266" s="187"/>
      <c r="S266" s="187"/>
      <c r="T266" s="187"/>
      <c r="U266" s="187"/>
      <c r="V266" s="187"/>
      <c r="W266" s="187"/>
      <c r="X266" s="188"/>
      <c r="Y266" s="187"/>
      <c r="Z266" s="187"/>
      <c r="AA266" s="187"/>
      <c r="AB266" s="187"/>
      <c r="AC266" s="187"/>
      <c r="AD266" s="187"/>
    </row>
    <row r="267" spans="3:30">
      <c r="C267" s="187"/>
      <c r="D267" s="188"/>
      <c r="E267" s="187"/>
      <c r="F267" s="187"/>
      <c r="G267" s="187"/>
      <c r="H267" s="187"/>
      <c r="I267" s="187"/>
      <c r="J267" s="188"/>
      <c r="K267" s="187"/>
      <c r="L267" s="187"/>
      <c r="M267" s="187"/>
      <c r="N267" s="187"/>
      <c r="O267" s="187"/>
      <c r="P267" s="187"/>
      <c r="Q267" s="188"/>
      <c r="R267" s="187"/>
      <c r="S267" s="187"/>
      <c r="T267" s="187"/>
      <c r="U267" s="187"/>
      <c r="V267" s="187"/>
      <c r="W267" s="187"/>
      <c r="X267" s="188"/>
      <c r="Y267" s="187"/>
      <c r="Z267" s="187"/>
      <c r="AA267" s="187"/>
      <c r="AB267" s="187"/>
      <c r="AC267" s="187"/>
      <c r="AD267" s="187"/>
    </row>
    <row r="268" spans="3:30">
      <c r="C268" s="187"/>
      <c r="D268" s="188"/>
      <c r="E268" s="187"/>
      <c r="F268" s="187"/>
      <c r="G268" s="187"/>
      <c r="H268" s="187"/>
      <c r="I268" s="187"/>
      <c r="J268" s="188"/>
      <c r="K268" s="187"/>
      <c r="L268" s="187"/>
      <c r="M268" s="187"/>
      <c r="N268" s="187"/>
      <c r="O268" s="187"/>
      <c r="P268" s="187"/>
      <c r="Q268" s="188"/>
      <c r="R268" s="187"/>
      <c r="S268" s="187"/>
      <c r="T268" s="187"/>
      <c r="U268" s="187"/>
      <c r="V268" s="187"/>
      <c r="W268" s="187"/>
      <c r="X268" s="188"/>
      <c r="Y268" s="187"/>
      <c r="Z268" s="187"/>
      <c r="AA268" s="187"/>
      <c r="AB268" s="187"/>
      <c r="AC268" s="187"/>
      <c r="AD268" s="187"/>
    </row>
    <row r="269" spans="3:30">
      <c r="C269" s="187"/>
      <c r="D269" s="188"/>
      <c r="E269" s="187"/>
      <c r="F269" s="187"/>
      <c r="G269" s="187"/>
      <c r="H269" s="187"/>
      <c r="I269" s="187"/>
      <c r="J269" s="188"/>
      <c r="K269" s="187"/>
      <c r="L269" s="187"/>
      <c r="M269" s="187"/>
      <c r="N269" s="187"/>
      <c r="O269" s="187"/>
      <c r="P269" s="187"/>
      <c r="Q269" s="188"/>
      <c r="R269" s="187"/>
      <c r="S269" s="187"/>
      <c r="T269" s="187"/>
      <c r="U269" s="187"/>
      <c r="V269" s="187"/>
      <c r="W269" s="187"/>
      <c r="X269" s="188"/>
      <c r="Y269" s="187"/>
      <c r="Z269" s="187"/>
      <c r="AA269" s="187"/>
      <c r="AB269" s="187"/>
      <c r="AC269" s="187"/>
      <c r="AD269" s="187"/>
    </row>
    <row r="270" spans="3:30">
      <c r="C270" s="187"/>
      <c r="D270" s="188"/>
      <c r="E270" s="187"/>
      <c r="F270" s="187"/>
      <c r="G270" s="187"/>
      <c r="H270" s="187"/>
      <c r="I270" s="187"/>
      <c r="J270" s="188"/>
      <c r="K270" s="187"/>
      <c r="L270" s="187"/>
      <c r="M270" s="187"/>
      <c r="N270" s="187"/>
      <c r="O270" s="187"/>
      <c r="P270" s="187"/>
      <c r="Q270" s="188"/>
      <c r="R270" s="187"/>
      <c r="S270" s="187"/>
      <c r="T270" s="187"/>
      <c r="U270" s="187"/>
      <c r="V270" s="187"/>
      <c r="W270" s="187"/>
      <c r="X270" s="188"/>
      <c r="Y270" s="187"/>
      <c r="Z270" s="187"/>
      <c r="AA270" s="187"/>
      <c r="AB270" s="187"/>
      <c r="AC270" s="187"/>
      <c r="AD270" s="187"/>
    </row>
    <row r="271" spans="3:30">
      <c r="C271" s="187"/>
      <c r="D271" s="188"/>
      <c r="E271" s="187"/>
      <c r="F271" s="187"/>
      <c r="G271" s="187"/>
      <c r="H271" s="187"/>
      <c r="I271" s="187"/>
      <c r="J271" s="188"/>
      <c r="K271" s="187"/>
      <c r="L271" s="187"/>
      <c r="M271" s="187"/>
      <c r="N271" s="187"/>
      <c r="O271" s="187"/>
      <c r="P271" s="187"/>
      <c r="Q271" s="188"/>
      <c r="R271" s="187"/>
      <c r="S271" s="187"/>
      <c r="T271" s="187"/>
      <c r="U271" s="187"/>
      <c r="V271" s="187"/>
      <c r="W271" s="187"/>
      <c r="X271" s="188"/>
      <c r="Y271" s="187"/>
      <c r="Z271" s="187"/>
      <c r="AA271" s="187"/>
      <c r="AB271" s="187"/>
      <c r="AC271" s="187"/>
      <c r="AD271" s="187"/>
    </row>
    <row r="272" spans="3:30">
      <c r="C272" s="187"/>
      <c r="D272" s="188"/>
      <c r="E272" s="187"/>
      <c r="F272" s="187"/>
      <c r="G272" s="187"/>
      <c r="H272" s="187"/>
      <c r="I272" s="187"/>
      <c r="J272" s="188"/>
      <c r="K272" s="187"/>
      <c r="L272" s="187"/>
      <c r="M272" s="187"/>
      <c r="N272" s="187"/>
      <c r="O272" s="187"/>
      <c r="P272" s="187"/>
      <c r="Q272" s="188"/>
      <c r="R272" s="187"/>
      <c r="S272" s="187"/>
      <c r="T272" s="187"/>
      <c r="U272" s="187"/>
      <c r="V272" s="187"/>
      <c r="W272" s="187"/>
      <c r="X272" s="188"/>
      <c r="Y272" s="187"/>
      <c r="Z272" s="187"/>
      <c r="AA272" s="187"/>
      <c r="AB272" s="187"/>
      <c r="AC272" s="187"/>
      <c r="AD272" s="187"/>
    </row>
    <row r="273" spans="3:30">
      <c r="C273" s="187"/>
      <c r="D273" s="188"/>
      <c r="E273" s="187"/>
      <c r="F273" s="187"/>
      <c r="G273" s="187"/>
      <c r="H273" s="187"/>
      <c r="I273" s="187"/>
      <c r="J273" s="188"/>
      <c r="K273" s="187"/>
      <c r="L273" s="187"/>
      <c r="M273" s="187"/>
      <c r="N273" s="187"/>
      <c r="O273" s="187"/>
      <c r="P273" s="187"/>
      <c r="Q273" s="188"/>
      <c r="R273" s="187"/>
      <c r="S273" s="187"/>
      <c r="T273" s="187"/>
      <c r="U273" s="187"/>
      <c r="V273" s="187"/>
      <c r="W273" s="187"/>
      <c r="X273" s="188"/>
      <c r="Y273" s="187"/>
      <c r="Z273" s="187"/>
      <c r="AA273" s="187"/>
      <c r="AB273" s="187"/>
      <c r="AC273" s="187"/>
      <c r="AD273" s="187"/>
    </row>
    <row r="274" spans="3:30">
      <c r="C274" s="187"/>
      <c r="D274" s="188"/>
      <c r="E274" s="187"/>
      <c r="F274" s="187"/>
      <c r="G274" s="187"/>
      <c r="H274" s="187"/>
      <c r="I274" s="187"/>
      <c r="J274" s="188"/>
      <c r="K274" s="187"/>
      <c r="L274" s="187"/>
      <c r="M274" s="187"/>
      <c r="N274" s="187"/>
      <c r="O274" s="187"/>
      <c r="P274" s="187"/>
      <c r="Q274" s="188"/>
      <c r="R274" s="187"/>
      <c r="S274" s="187"/>
      <c r="T274" s="187"/>
      <c r="U274" s="187"/>
      <c r="V274" s="187"/>
      <c r="W274" s="187"/>
      <c r="X274" s="188"/>
      <c r="Y274" s="187"/>
      <c r="Z274" s="187"/>
      <c r="AA274" s="187"/>
      <c r="AB274" s="187"/>
      <c r="AC274" s="187"/>
      <c r="AD274" s="187"/>
    </row>
    <row r="275" spans="3:30">
      <c r="C275" s="187"/>
      <c r="D275" s="188"/>
      <c r="E275" s="187"/>
      <c r="F275" s="187"/>
      <c r="G275" s="187"/>
      <c r="H275" s="187"/>
      <c r="I275" s="187"/>
      <c r="J275" s="188"/>
      <c r="K275" s="187"/>
      <c r="L275" s="187"/>
      <c r="M275" s="187"/>
      <c r="N275" s="187"/>
      <c r="O275" s="187"/>
      <c r="P275" s="187"/>
      <c r="Q275" s="188"/>
      <c r="R275" s="187"/>
      <c r="S275" s="187"/>
      <c r="T275" s="187"/>
      <c r="U275" s="187"/>
      <c r="V275" s="187"/>
      <c r="W275" s="187"/>
      <c r="X275" s="188"/>
      <c r="Y275" s="187"/>
      <c r="Z275" s="187"/>
      <c r="AA275" s="187"/>
      <c r="AB275" s="187"/>
      <c r="AC275" s="187"/>
      <c r="AD275" s="187"/>
    </row>
    <row r="276" spans="3:30">
      <c r="C276" s="187"/>
      <c r="D276" s="188"/>
      <c r="E276" s="187"/>
      <c r="F276" s="187"/>
      <c r="G276" s="187"/>
      <c r="H276" s="187"/>
      <c r="I276" s="187"/>
      <c r="J276" s="188"/>
      <c r="K276" s="187"/>
      <c r="L276" s="187"/>
      <c r="M276" s="187"/>
      <c r="N276" s="187"/>
      <c r="O276" s="187"/>
      <c r="P276" s="187"/>
      <c r="Q276" s="188"/>
      <c r="R276" s="187"/>
      <c r="S276" s="187"/>
      <c r="T276" s="187"/>
      <c r="U276" s="187"/>
      <c r="V276" s="187"/>
      <c r="W276" s="187"/>
      <c r="X276" s="188"/>
      <c r="Y276" s="187"/>
      <c r="Z276" s="187"/>
      <c r="AA276" s="187"/>
      <c r="AB276" s="187"/>
      <c r="AC276" s="187"/>
      <c r="AD276" s="187"/>
    </row>
    <row r="277" spans="3:30">
      <c r="C277" s="187"/>
      <c r="D277" s="188"/>
      <c r="E277" s="187"/>
      <c r="F277" s="187"/>
      <c r="G277" s="187"/>
      <c r="H277" s="187"/>
      <c r="I277" s="187"/>
      <c r="J277" s="188"/>
      <c r="K277" s="187"/>
      <c r="L277" s="187"/>
      <c r="M277" s="187"/>
      <c r="N277" s="187"/>
      <c r="O277" s="187"/>
      <c r="P277" s="187"/>
      <c r="Q277" s="188"/>
      <c r="R277" s="187"/>
      <c r="S277" s="187"/>
      <c r="T277" s="187"/>
      <c r="U277" s="187"/>
      <c r="V277" s="187"/>
      <c r="W277" s="187"/>
      <c r="X277" s="188"/>
      <c r="Y277" s="187"/>
      <c r="Z277" s="187"/>
      <c r="AA277" s="187"/>
      <c r="AB277" s="187"/>
      <c r="AC277" s="187"/>
      <c r="AD277" s="187"/>
    </row>
    <row r="278" spans="3:30">
      <c r="C278" s="187"/>
      <c r="D278" s="188"/>
      <c r="E278" s="187"/>
      <c r="F278" s="187"/>
      <c r="G278" s="187"/>
      <c r="H278" s="187"/>
      <c r="I278" s="187"/>
      <c r="J278" s="188"/>
      <c r="K278" s="187"/>
      <c r="L278" s="187"/>
      <c r="M278" s="187"/>
      <c r="N278" s="187"/>
      <c r="O278" s="187"/>
      <c r="P278" s="187"/>
      <c r="Q278" s="188"/>
      <c r="R278" s="187"/>
      <c r="S278" s="187"/>
      <c r="T278" s="187"/>
      <c r="U278" s="187"/>
      <c r="V278" s="187"/>
      <c r="W278" s="187"/>
      <c r="X278" s="188"/>
      <c r="Y278" s="187"/>
      <c r="Z278" s="187"/>
      <c r="AA278" s="187"/>
      <c r="AB278" s="187"/>
      <c r="AC278" s="187"/>
      <c r="AD278" s="187"/>
    </row>
    <row r="279" spans="3:30">
      <c r="C279" s="187"/>
      <c r="D279" s="188"/>
      <c r="E279" s="187"/>
      <c r="F279" s="187"/>
      <c r="G279" s="187"/>
      <c r="H279" s="187"/>
      <c r="I279" s="187"/>
      <c r="J279" s="188"/>
      <c r="K279" s="187"/>
      <c r="L279" s="187"/>
      <c r="M279" s="187"/>
      <c r="N279" s="187"/>
      <c r="O279" s="187"/>
      <c r="P279" s="187"/>
      <c r="Q279" s="188"/>
      <c r="R279" s="187"/>
      <c r="S279" s="187"/>
      <c r="T279" s="187"/>
      <c r="U279" s="187"/>
      <c r="V279" s="187"/>
      <c r="W279" s="187"/>
      <c r="X279" s="188"/>
      <c r="Y279" s="187"/>
      <c r="Z279" s="187"/>
      <c r="AA279" s="187"/>
      <c r="AB279" s="187"/>
      <c r="AC279" s="187"/>
      <c r="AD279" s="187"/>
    </row>
    <row r="280" spans="3:30">
      <c r="C280" s="187"/>
      <c r="D280" s="188"/>
      <c r="E280" s="187"/>
      <c r="F280" s="187"/>
      <c r="G280" s="187"/>
      <c r="H280" s="187"/>
      <c r="I280" s="187"/>
      <c r="J280" s="188"/>
      <c r="K280" s="187"/>
      <c r="L280" s="187"/>
      <c r="M280" s="187"/>
      <c r="N280" s="187"/>
      <c r="O280" s="187"/>
      <c r="P280" s="187"/>
      <c r="Q280" s="188"/>
      <c r="R280" s="187"/>
      <c r="S280" s="187"/>
      <c r="T280" s="187"/>
      <c r="U280" s="187"/>
      <c r="V280" s="187"/>
      <c r="W280" s="187"/>
      <c r="X280" s="188"/>
      <c r="Y280" s="187"/>
      <c r="Z280" s="187"/>
      <c r="AA280" s="187"/>
      <c r="AB280" s="187"/>
      <c r="AC280" s="187"/>
      <c r="AD280" s="187"/>
    </row>
    <row r="281" spans="3:30">
      <c r="C281" s="187"/>
      <c r="D281" s="188"/>
      <c r="E281" s="187"/>
      <c r="F281" s="187"/>
      <c r="G281" s="187"/>
      <c r="H281" s="187"/>
      <c r="I281" s="187"/>
      <c r="J281" s="188"/>
      <c r="K281" s="187"/>
      <c r="L281" s="187"/>
      <c r="M281" s="187"/>
      <c r="N281" s="187"/>
      <c r="O281" s="187"/>
      <c r="P281" s="187"/>
      <c r="Q281" s="188"/>
      <c r="R281" s="187"/>
      <c r="S281" s="187"/>
      <c r="T281" s="187"/>
      <c r="U281" s="187"/>
      <c r="V281" s="187"/>
      <c r="W281" s="187"/>
      <c r="X281" s="188"/>
      <c r="Y281" s="187"/>
      <c r="Z281" s="187"/>
      <c r="AA281" s="187"/>
      <c r="AB281" s="187"/>
      <c r="AC281" s="187"/>
      <c r="AD281" s="187"/>
    </row>
    <row r="282" spans="3:30">
      <c r="C282" s="187"/>
      <c r="D282" s="188"/>
      <c r="E282" s="187"/>
      <c r="F282" s="187"/>
      <c r="G282" s="187"/>
      <c r="H282" s="187"/>
      <c r="I282" s="187"/>
      <c r="J282" s="188"/>
      <c r="K282" s="187"/>
      <c r="L282" s="187"/>
      <c r="M282" s="187"/>
      <c r="N282" s="187"/>
      <c r="O282" s="187"/>
      <c r="P282" s="187"/>
      <c r="Q282" s="188"/>
      <c r="R282" s="187"/>
      <c r="S282" s="187"/>
      <c r="T282" s="187"/>
      <c r="U282" s="187"/>
      <c r="V282" s="187"/>
      <c r="W282" s="187"/>
      <c r="X282" s="188"/>
      <c r="Y282" s="187"/>
      <c r="Z282" s="187"/>
      <c r="AA282" s="187"/>
      <c r="AB282" s="187"/>
      <c r="AC282" s="187"/>
      <c r="AD282" s="187"/>
    </row>
    <row r="283" spans="3:30">
      <c r="C283" s="187"/>
      <c r="D283" s="188"/>
      <c r="E283" s="187"/>
      <c r="F283" s="187"/>
      <c r="G283" s="187"/>
      <c r="H283" s="187"/>
      <c r="I283" s="187"/>
      <c r="J283" s="188"/>
      <c r="K283" s="187"/>
      <c r="L283" s="187"/>
      <c r="M283" s="187"/>
      <c r="N283" s="187"/>
      <c r="O283" s="187"/>
      <c r="P283" s="187"/>
      <c r="Q283" s="188"/>
      <c r="R283" s="187"/>
      <c r="S283" s="187"/>
      <c r="T283" s="187"/>
      <c r="U283" s="187"/>
      <c r="V283" s="187"/>
      <c r="W283" s="187"/>
      <c r="X283" s="188"/>
      <c r="Y283" s="187"/>
      <c r="Z283" s="187"/>
      <c r="AA283" s="187"/>
      <c r="AB283" s="187"/>
      <c r="AC283" s="187"/>
      <c r="AD283" s="187"/>
    </row>
    <row r="284" spans="3:30">
      <c r="C284" s="187"/>
      <c r="D284" s="188"/>
      <c r="E284" s="187"/>
      <c r="F284" s="187"/>
      <c r="G284" s="187"/>
      <c r="H284" s="187"/>
      <c r="I284" s="187"/>
      <c r="J284" s="188"/>
      <c r="K284" s="187"/>
      <c r="L284" s="187"/>
      <c r="M284" s="187"/>
      <c r="N284" s="187"/>
      <c r="O284" s="187"/>
      <c r="P284" s="187"/>
      <c r="Q284" s="188"/>
      <c r="R284" s="187"/>
      <c r="S284" s="187"/>
      <c r="T284" s="187"/>
      <c r="U284" s="187"/>
      <c r="V284" s="187"/>
      <c r="W284" s="187"/>
      <c r="X284" s="188"/>
      <c r="Y284" s="187"/>
      <c r="Z284" s="187"/>
      <c r="AA284" s="187"/>
      <c r="AB284" s="187"/>
      <c r="AC284" s="187"/>
      <c r="AD284" s="187"/>
    </row>
    <row r="285" spans="3:30">
      <c r="C285" s="187"/>
      <c r="D285" s="188"/>
      <c r="E285" s="187"/>
      <c r="F285" s="187"/>
      <c r="G285" s="187"/>
      <c r="H285" s="187"/>
      <c r="I285" s="187"/>
      <c r="J285" s="188"/>
      <c r="K285" s="187"/>
      <c r="L285" s="187"/>
      <c r="M285" s="187"/>
      <c r="N285" s="187"/>
      <c r="O285" s="187"/>
      <c r="P285" s="187"/>
      <c r="Q285" s="188"/>
      <c r="R285" s="187"/>
      <c r="S285" s="187"/>
      <c r="T285" s="187"/>
      <c r="U285" s="187"/>
      <c r="V285" s="187"/>
      <c r="W285" s="187"/>
      <c r="X285" s="188"/>
      <c r="Y285" s="187"/>
      <c r="Z285" s="187"/>
      <c r="AA285" s="187"/>
      <c r="AB285" s="187"/>
      <c r="AC285" s="187"/>
      <c r="AD285" s="187"/>
    </row>
    <row r="286" spans="3:30">
      <c r="C286" s="187"/>
      <c r="D286" s="188"/>
      <c r="E286" s="187"/>
      <c r="F286" s="187"/>
      <c r="G286" s="187"/>
      <c r="H286" s="187"/>
      <c r="I286" s="187"/>
      <c r="J286" s="188"/>
      <c r="K286" s="187"/>
      <c r="L286" s="187"/>
      <c r="M286" s="187"/>
      <c r="N286" s="187"/>
      <c r="O286" s="187"/>
      <c r="P286" s="187"/>
      <c r="Q286" s="188"/>
      <c r="R286" s="187"/>
      <c r="S286" s="187"/>
      <c r="T286" s="187"/>
      <c r="U286" s="187"/>
      <c r="V286" s="187"/>
      <c r="W286" s="187"/>
      <c r="X286" s="188"/>
      <c r="Y286" s="187"/>
      <c r="Z286" s="187"/>
      <c r="AA286" s="187"/>
      <c r="AB286" s="187"/>
      <c r="AC286" s="187"/>
      <c r="AD286" s="187"/>
    </row>
    <row r="287" spans="3:30">
      <c r="C287" s="187"/>
      <c r="D287" s="188"/>
      <c r="E287" s="187"/>
      <c r="F287" s="187"/>
      <c r="G287" s="187"/>
      <c r="H287" s="187"/>
      <c r="I287" s="187"/>
      <c r="J287" s="188"/>
      <c r="K287" s="187"/>
      <c r="L287" s="187"/>
      <c r="M287" s="187"/>
      <c r="N287" s="187"/>
      <c r="O287" s="187"/>
      <c r="P287" s="187"/>
      <c r="Q287" s="188"/>
      <c r="R287" s="187"/>
      <c r="S287" s="187"/>
      <c r="T287" s="187"/>
      <c r="U287" s="187"/>
      <c r="V287" s="187"/>
      <c r="W287" s="187"/>
      <c r="X287" s="188"/>
      <c r="Y287" s="187"/>
      <c r="Z287" s="187"/>
      <c r="AA287" s="187"/>
      <c r="AB287" s="187"/>
      <c r="AC287" s="187"/>
      <c r="AD287" s="187"/>
    </row>
    <row r="288" spans="3:30">
      <c r="C288" s="187"/>
      <c r="D288" s="188"/>
      <c r="E288" s="187"/>
      <c r="F288" s="187"/>
      <c r="G288" s="187"/>
      <c r="H288" s="187"/>
      <c r="I288" s="187"/>
      <c r="J288" s="188"/>
      <c r="K288" s="187"/>
      <c r="L288" s="187"/>
      <c r="M288" s="187"/>
      <c r="N288" s="187"/>
      <c r="O288" s="187"/>
      <c r="P288" s="187"/>
      <c r="Q288" s="188"/>
      <c r="R288" s="187"/>
      <c r="S288" s="187"/>
      <c r="T288" s="187"/>
      <c r="U288" s="187"/>
      <c r="V288" s="187"/>
      <c r="W288" s="187"/>
      <c r="X288" s="188"/>
      <c r="Y288" s="187"/>
      <c r="Z288" s="187"/>
      <c r="AA288" s="187"/>
      <c r="AB288" s="187"/>
      <c r="AC288" s="187"/>
      <c r="AD288" s="187"/>
    </row>
    <row r="289" spans="3:30">
      <c r="C289" s="187"/>
      <c r="D289" s="188"/>
      <c r="E289" s="187"/>
      <c r="F289" s="187"/>
      <c r="G289" s="187"/>
      <c r="H289" s="187"/>
      <c r="I289" s="187"/>
      <c r="J289" s="188"/>
      <c r="K289" s="187"/>
      <c r="L289" s="187"/>
      <c r="M289" s="187"/>
      <c r="N289" s="187"/>
      <c r="O289" s="187"/>
      <c r="P289" s="187"/>
      <c r="Q289" s="188"/>
      <c r="R289" s="187"/>
      <c r="S289" s="187"/>
      <c r="T289" s="187"/>
      <c r="U289" s="187"/>
      <c r="V289" s="187"/>
      <c r="W289" s="187"/>
      <c r="X289" s="188"/>
      <c r="Y289" s="187"/>
      <c r="Z289" s="187"/>
      <c r="AA289" s="187"/>
      <c r="AB289" s="187"/>
      <c r="AC289" s="187"/>
      <c r="AD289" s="187"/>
    </row>
    <row r="290" spans="3:30">
      <c r="C290" s="187"/>
      <c r="D290" s="188"/>
      <c r="E290" s="187"/>
      <c r="F290" s="187"/>
      <c r="G290" s="187"/>
      <c r="H290" s="187"/>
      <c r="I290" s="187"/>
      <c r="J290" s="188"/>
      <c r="K290" s="187"/>
      <c r="L290" s="187"/>
      <c r="M290" s="187"/>
      <c r="N290" s="187"/>
      <c r="O290" s="187"/>
      <c r="P290" s="187"/>
      <c r="Q290" s="188"/>
      <c r="R290" s="187"/>
      <c r="S290" s="187"/>
      <c r="T290" s="187"/>
      <c r="U290" s="187"/>
      <c r="V290" s="187"/>
      <c r="W290" s="187"/>
      <c r="X290" s="188"/>
      <c r="Y290" s="187"/>
      <c r="Z290" s="187"/>
      <c r="AA290" s="187"/>
      <c r="AB290" s="187"/>
      <c r="AC290" s="187"/>
      <c r="AD290" s="187"/>
    </row>
    <row r="291" spans="3:30">
      <c r="C291" s="187"/>
      <c r="D291" s="188"/>
      <c r="E291" s="187"/>
      <c r="F291" s="187"/>
      <c r="G291" s="187"/>
      <c r="H291" s="187"/>
      <c r="I291" s="187"/>
      <c r="J291" s="188"/>
      <c r="K291" s="187"/>
      <c r="L291" s="187"/>
      <c r="M291" s="187"/>
      <c r="N291" s="187"/>
      <c r="O291" s="187"/>
      <c r="P291" s="187"/>
      <c r="Q291" s="188"/>
      <c r="R291" s="187"/>
      <c r="S291" s="187"/>
      <c r="T291" s="187"/>
      <c r="U291" s="187"/>
      <c r="V291" s="187"/>
      <c r="W291" s="187"/>
      <c r="X291" s="188"/>
      <c r="Y291" s="187"/>
      <c r="Z291" s="187"/>
      <c r="AA291" s="187"/>
      <c r="AB291" s="187"/>
      <c r="AC291" s="187"/>
      <c r="AD291" s="187"/>
    </row>
    <row r="292" spans="3:30">
      <c r="C292" s="187"/>
      <c r="D292" s="188"/>
      <c r="E292" s="187"/>
      <c r="F292" s="187"/>
      <c r="G292" s="187"/>
      <c r="H292" s="187"/>
      <c r="I292" s="187"/>
      <c r="J292" s="188"/>
      <c r="K292" s="187"/>
      <c r="L292" s="187"/>
      <c r="M292" s="187"/>
      <c r="N292" s="187"/>
      <c r="O292" s="187"/>
      <c r="P292" s="187"/>
      <c r="Q292" s="188"/>
      <c r="R292" s="187"/>
      <c r="S292" s="187"/>
      <c r="T292" s="187"/>
      <c r="U292" s="187"/>
      <c r="V292" s="187"/>
      <c r="W292" s="187"/>
      <c r="X292" s="188"/>
      <c r="Y292" s="187"/>
      <c r="Z292" s="187"/>
      <c r="AA292" s="187"/>
      <c r="AB292" s="187"/>
      <c r="AC292" s="187"/>
      <c r="AD292" s="187"/>
    </row>
    <row r="293" spans="3:30">
      <c r="C293" s="187"/>
      <c r="D293" s="188"/>
      <c r="E293" s="187"/>
      <c r="F293" s="187"/>
      <c r="G293" s="187"/>
      <c r="H293" s="187"/>
      <c r="I293" s="187"/>
      <c r="J293" s="188"/>
      <c r="K293" s="187"/>
      <c r="L293" s="187"/>
      <c r="M293" s="187"/>
      <c r="N293" s="187"/>
      <c r="O293" s="187"/>
      <c r="P293" s="187"/>
      <c r="Q293" s="188"/>
      <c r="R293" s="187"/>
      <c r="S293" s="187"/>
      <c r="T293" s="187"/>
      <c r="U293" s="187"/>
      <c r="V293" s="187"/>
      <c r="W293" s="187"/>
      <c r="X293" s="188"/>
      <c r="Y293" s="187"/>
      <c r="Z293" s="187"/>
      <c r="AA293" s="187"/>
      <c r="AB293" s="187"/>
      <c r="AC293" s="187"/>
      <c r="AD293" s="187"/>
    </row>
    <row r="294" spans="3:30">
      <c r="C294" s="187"/>
      <c r="D294" s="188"/>
      <c r="E294" s="187"/>
      <c r="F294" s="187"/>
      <c r="G294" s="187"/>
      <c r="H294" s="187"/>
      <c r="I294" s="187"/>
      <c r="J294" s="188"/>
      <c r="K294" s="187"/>
      <c r="L294" s="187"/>
      <c r="M294" s="187"/>
      <c r="N294" s="187"/>
      <c r="O294" s="187"/>
      <c r="P294" s="187"/>
      <c r="Q294" s="188"/>
      <c r="R294" s="187"/>
      <c r="S294" s="187"/>
      <c r="T294" s="187"/>
      <c r="U294" s="187"/>
      <c r="V294" s="187"/>
      <c r="W294" s="187"/>
      <c r="X294" s="188"/>
      <c r="Y294" s="187"/>
      <c r="Z294" s="187"/>
      <c r="AA294" s="187"/>
      <c r="AB294" s="187"/>
      <c r="AC294" s="187"/>
      <c r="AD294" s="187"/>
    </row>
    <row r="295" spans="3:30">
      <c r="C295" s="187"/>
      <c r="D295" s="188"/>
      <c r="E295" s="187"/>
      <c r="F295" s="187"/>
      <c r="G295" s="187"/>
      <c r="H295" s="187"/>
      <c r="I295" s="187"/>
      <c r="J295" s="188"/>
      <c r="K295" s="187"/>
      <c r="L295" s="187"/>
      <c r="M295" s="187"/>
      <c r="N295" s="187"/>
      <c r="O295" s="187"/>
      <c r="P295" s="187"/>
      <c r="Q295" s="188"/>
      <c r="R295" s="187"/>
      <c r="S295" s="187"/>
      <c r="T295" s="187"/>
      <c r="U295" s="187"/>
      <c r="V295" s="187"/>
      <c r="W295" s="187"/>
      <c r="X295" s="188"/>
      <c r="Y295" s="187"/>
      <c r="Z295" s="187"/>
      <c r="AA295" s="187"/>
      <c r="AB295" s="187"/>
      <c r="AC295" s="187"/>
      <c r="AD295" s="187"/>
    </row>
    <row r="296" spans="3:30">
      <c r="C296" s="187"/>
      <c r="D296" s="188"/>
      <c r="E296" s="187"/>
      <c r="F296" s="187"/>
      <c r="G296" s="187"/>
      <c r="H296" s="187"/>
      <c r="I296" s="187"/>
      <c r="J296" s="188"/>
      <c r="K296" s="187"/>
      <c r="L296" s="187"/>
      <c r="M296" s="187"/>
      <c r="N296" s="187"/>
      <c r="O296" s="187"/>
      <c r="P296" s="187"/>
      <c r="Q296" s="188"/>
      <c r="R296" s="187"/>
      <c r="S296" s="187"/>
      <c r="T296" s="187"/>
      <c r="U296" s="187"/>
      <c r="V296" s="187"/>
      <c r="W296" s="187"/>
      <c r="X296" s="188"/>
      <c r="Y296" s="187"/>
      <c r="Z296" s="187"/>
      <c r="AA296" s="187"/>
      <c r="AB296" s="187"/>
      <c r="AC296" s="187"/>
      <c r="AD296" s="187"/>
    </row>
    <row r="297" spans="3:30">
      <c r="C297" s="187"/>
      <c r="D297" s="188"/>
      <c r="E297" s="187"/>
      <c r="F297" s="187"/>
      <c r="G297" s="187"/>
      <c r="H297" s="187"/>
      <c r="I297" s="187"/>
      <c r="J297" s="188"/>
      <c r="K297" s="187"/>
      <c r="L297" s="187"/>
      <c r="M297" s="187"/>
      <c r="N297" s="187"/>
      <c r="O297" s="187"/>
      <c r="P297" s="187"/>
      <c r="Q297" s="188"/>
      <c r="R297" s="187"/>
      <c r="S297" s="187"/>
      <c r="T297" s="187"/>
      <c r="U297" s="187"/>
      <c r="V297" s="187"/>
      <c r="W297" s="187"/>
      <c r="X297" s="188"/>
      <c r="Y297" s="187"/>
      <c r="Z297" s="187"/>
      <c r="AA297" s="187"/>
      <c r="AB297" s="187"/>
      <c r="AC297" s="187"/>
      <c r="AD297" s="187"/>
    </row>
    <row r="298" spans="3:30">
      <c r="C298" s="187"/>
      <c r="D298" s="188"/>
      <c r="E298" s="187"/>
      <c r="F298" s="187"/>
      <c r="G298" s="187"/>
      <c r="H298" s="187"/>
      <c r="I298" s="187"/>
      <c r="J298" s="188"/>
      <c r="K298" s="187"/>
      <c r="L298" s="187"/>
      <c r="M298" s="187"/>
      <c r="N298" s="187"/>
      <c r="O298" s="187"/>
      <c r="P298" s="187"/>
      <c r="Q298" s="188"/>
      <c r="R298" s="187"/>
      <c r="S298" s="187"/>
      <c r="T298" s="187"/>
      <c r="U298" s="187"/>
      <c r="V298" s="187"/>
      <c r="W298" s="187"/>
      <c r="X298" s="188"/>
      <c r="Y298" s="187"/>
      <c r="Z298" s="187"/>
      <c r="AA298" s="187"/>
      <c r="AB298" s="187"/>
      <c r="AC298" s="187"/>
      <c r="AD298" s="187"/>
    </row>
    <row r="299" spans="3:30">
      <c r="C299" s="187"/>
      <c r="D299" s="188"/>
      <c r="E299" s="187"/>
      <c r="F299" s="187"/>
      <c r="G299" s="187"/>
      <c r="H299" s="187"/>
      <c r="I299" s="187"/>
      <c r="J299" s="188"/>
      <c r="K299" s="187"/>
      <c r="L299" s="187"/>
      <c r="M299" s="187"/>
      <c r="N299" s="187"/>
      <c r="O299" s="187"/>
      <c r="P299" s="187"/>
      <c r="Q299" s="188"/>
      <c r="R299" s="187"/>
      <c r="S299" s="187"/>
      <c r="T299" s="187"/>
      <c r="U299" s="187"/>
      <c r="V299" s="187"/>
      <c r="W299" s="187"/>
      <c r="X299" s="188"/>
      <c r="Y299" s="187"/>
      <c r="Z299" s="187"/>
      <c r="AA299" s="187"/>
      <c r="AB299" s="187"/>
      <c r="AC299" s="187"/>
      <c r="AD299" s="187"/>
    </row>
    <row r="300" spans="3:30">
      <c r="C300" s="187"/>
      <c r="D300" s="188"/>
      <c r="E300" s="187"/>
      <c r="F300" s="187"/>
      <c r="G300" s="187"/>
      <c r="H300" s="187"/>
      <c r="I300" s="187"/>
      <c r="J300" s="188"/>
      <c r="K300" s="187"/>
      <c r="L300" s="187"/>
      <c r="M300" s="187"/>
      <c r="N300" s="187"/>
      <c r="O300" s="187"/>
      <c r="P300" s="187"/>
      <c r="Q300" s="188"/>
      <c r="R300" s="187"/>
      <c r="S300" s="187"/>
      <c r="T300" s="187"/>
      <c r="U300" s="187"/>
      <c r="V300" s="187"/>
      <c r="W300" s="187"/>
      <c r="X300" s="188"/>
      <c r="Y300" s="187"/>
      <c r="Z300" s="187"/>
      <c r="AA300" s="187"/>
      <c r="AB300" s="187"/>
      <c r="AC300" s="187"/>
      <c r="AD300" s="187"/>
    </row>
    <row r="301" spans="3:30">
      <c r="C301" s="187"/>
      <c r="D301" s="188"/>
      <c r="E301" s="187"/>
      <c r="F301" s="187"/>
      <c r="G301" s="187"/>
      <c r="H301" s="187"/>
      <c r="I301" s="187"/>
      <c r="J301" s="188"/>
      <c r="K301" s="187"/>
      <c r="L301" s="187"/>
      <c r="M301" s="187"/>
      <c r="N301" s="187"/>
      <c r="O301" s="187"/>
      <c r="P301" s="187"/>
      <c r="Q301" s="188"/>
      <c r="R301" s="187"/>
      <c r="S301" s="187"/>
      <c r="T301" s="187"/>
      <c r="U301" s="187"/>
      <c r="V301" s="187"/>
      <c r="W301" s="187"/>
      <c r="X301" s="188"/>
      <c r="Y301" s="187"/>
      <c r="Z301" s="187"/>
      <c r="AA301" s="187"/>
      <c r="AB301" s="187"/>
      <c r="AC301" s="187"/>
      <c r="AD301" s="187"/>
    </row>
    <row r="302" spans="3:30">
      <c r="C302" s="187"/>
      <c r="D302" s="188"/>
      <c r="E302" s="187"/>
      <c r="F302" s="187"/>
      <c r="G302" s="187"/>
      <c r="H302" s="187"/>
      <c r="I302" s="187"/>
      <c r="J302" s="188"/>
      <c r="K302" s="187"/>
      <c r="L302" s="187"/>
      <c r="M302" s="187"/>
      <c r="N302" s="187"/>
      <c r="O302" s="187"/>
      <c r="P302" s="187"/>
      <c r="Q302" s="188"/>
      <c r="R302" s="187"/>
      <c r="S302" s="187"/>
      <c r="T302" s="187"/>
      <c r="U302" s="187"/>
      <c r="V302" s="187"/>
      <c r="W302" s="187"/>
      <c r="X302" s="188"/>
      <c r="Y302" s="187"/>
      <c r="Z302" s="187"/>
      <c r="AA302" s="187"/>
      <c r="AB302" s="187"/>
      <c r="AC302" s="187"/>
      <c r="AD302" s="187"/>
    </row>
    <row r="303" spans="3:30">
      <c r="C303" s="187"/>
      <c r="D303" s="188"/>
      <c r="E303" s="187"/>
      <c r="F303" s="187"/>
      <c r="G303" s="187"/>
      <c r="H303" s="187"/>
      <c r="I303" s="187"/>
      <c r="J303" s="188"/>
      <c r="K303" s="187"/>
      <c r="L303" s="187"/>
      <c r="M303" s="187"/>
      <c r="N303" s="187"/>
      <c r="O303" s="187"/>
      <c r="P303" s="187"/>
      <c r="Q303" s="188"/>
      <c r="R303" s="187"/>
      <c r="S303" s="187"/>
      <c r="T303" s="187"/>
      <c r="U303" s="187"/>
      <c r="V303" s="187"/>
      <c r="W303" s="187"/>
      <c r="X303" s="188"/>
      <c r="Y303" s="187"/>
      <c r="Z303" s="187"/>
      <c r="AA303" s="187"/>
      <c r="AB303" s="187"/>
      <c r="AC303" s="187"/>
      <c r="AD303" s="187"/>
    </row>
    <row r="304" spans="3:30">
      <c r="C304" s="187"/>
      <c r="D304" s="188"/>
      <c r="E304" s="187"/>
      <c r="F304" s="187"/>
      <c r="G304" s="187"/>
      <c r="H304" s="187"/>
      <c r="I304" s="187"/>
      <c r="J304" s="188"/>
      <c r="K304" s="187"/>
      <c r="L304" s="187"/>
      <c r="M304" s="187"/>
      <c r="N304" s="187"/>
      <c r="O304" s="187"/>
      <c r="P304" s="187"/>
      <c r="Q304" s="188"/>
      <c r="R304" s="187"/>
      <c r="S304" s="187"/>
      <c r="T304" s="187"/>
      <c r="U304" s="187"/>
      <c r="V304" s="187"/>
      <c r="W304" s="187"/>
      <c r="X304" s="188"/>
      <c r="Y304" s="187"/>
      <c r="Z304" s="187"/>
      <c r="AA304" s="187"/>
      <c r="AB304" s="187"/>
      <c r="AC304" s="187"/>
      <c r="AD304" s="187"/>
    </row>
    <row r="305" spans="3:30">
      <c r="C305" s="187"/>
      <c r="D305" s="188"/>
      <c r="E305" s="187"/>
      <c r="F305" s="187"/>
      <c r="G305" s="187"/>
      <c r="H305" s="187"/>
      <c r="I305" s="187"/>
      <c r="J305" s="188"/>
      <c r="K305" s="187"/>
      <c r="L305" s="187"/>
      <c r="M305" s="187"/>
      <c r="N305" s="187"/>
      <c r="O305" s="187"/>
      <c r="P305" s="187"/>
      <c r="Q305" s="188"/>
      <c r="R305" s="187"/>
      <c r="S305" s="187"/>
      <c r="T305" s="187"/>
      <c r="U305" s="187"/>
      <c r="V305" s="187"/>
      <c r="W305" s="187"/>
      <c r="X305" s="188"/>
      <c r="Y305" s="187"/>
      <c r="Z305" s="187"/>
      <c r="AA305" s="187"/>
      <c r="AB305" s="187"/>
      <c r="AC305" s="187"/>
      <c r="AD305" s="187"/>
    </row>
    <row r="306" spans="3:30">
      <c r="C306" s="187"/>
      <c r="D306" s="188"/>
      <c r="E306" s="187"/>
      <c r="F306" s="187"/>
      <c r="G306" s="187"/>
      <c r="H306" s="187"/>
      <c r="I306" s="187"/>
      <c r="J306" s="188"/>
      <c r="K306" s="187"/>
      <c r="L306" s="187"/>
      <c r="M306" s="187"/>
      <c r="N306" s="187"/>
      <c r="O306" s="187"/>
      <c r="P306" s="187"/>
      <c r="Q306" s="188"/>
      <c r="R306" s="187"/>
      <c r="S306" s="187"/>
      <c r="T306" s="187"/>
      <c r="U306" s="187"/>
      <c r="V306" s="187"/>
      <c r="W306" s="187"/>
      <c r="X306" s="188"/>
      <c r="Y306" s="187"/>
      <c r="Z306" s="187"/>
      <c r="AA306" s="187"/>
      <c r="AB306" s="187"/>
      <c r="AC306" s="187"/>
      <c r="AD306" s="187"/>
    </row>
    <row r="307" spans="3:30">
      <c r="C307" s="187"/>
      <c r="D307" s="188"/>
      <c r="E307" s="187"/>
      <c r="F307" s="187"/>
      <c r="G307" s="187"/>
      <c r="H307" s="187"/>
      <c r="I307" s="187"/>
      <c r="J307" s="188"/>
      <c r="K307" s="187"/>
      <c r="L307" s="187"/>
      <c r="M307" s="187"/>
      <c r="N307" s="187"/>
      <c r="O307" s="187"/>
      <c r="P307" s="187"/>
      <c r="Q307" s="188"/>
      <c r="R307" s="187"/>
      <c r="S307" s="187"/>
      <c r="T307" s="187"/>
      <c r="U307" s="187"/>
      <c r="V307" s="187"/>
      <c r="W307" s="187"/>
      <c r="X307" s="188"/>
      <c r="Y307" s="187"/>
      <c r="Z307" s="187"/>
      <c r="AA307" s="187"/>
      <c r="AB307" s="187"/>
      <c r="AC307" s="187"/>
      <c r="AD307" s="187"/>
    </row>
    <row r="308" spans="3:30">
      <c r="C308" s="187"/>
      <c r="D308" s="188"/>
      <c r="E308" s="187"/>
      <c r="F308" s="187"/>
      <c r="G308" s="187"/>
      <c r="H308" s="187"/>
      <c r="I308" s="187"/>
      <c r="J308" s="188"/>
      <c r="K308" s="187"/>
      <c r="L308" s="187"/>
      <c r="M308" s="187"/>
      <c r="N308" s="187"/>
      <c r="O308" s="187"/>
      <c r="P308" s="187"/>
      <c r="Q308" s="188"/>
      <c r="R308" s="187"/>
      <c r="S308" s="187"/>
      <c r="T308" s="187"/>
      <c r="U308" s="187"/>
      <c r="V308" s="187"/>
      <c r="W308" s="187"/>
      <c r="X308" s="188"/>
      <c r="Y308" s="187"/>
      <c r="Z308" s="187"/>
      <c r="AA308" s="187"/>
      <c r="AB308" s="187"/>
      <c r="AC308" s="187"/>
      <c r="AD308" s="187"/>
    </row>
    <row r="309" spans="3:30">
      <c r="C309" s="187"/>
      <c r="D309" s="188"/>
      <c r="E309" s="187"/>
      <c r="F309" s="187"/>
      <c r="G309" s="187"/>
      <c r="H309" s="187"/>
      <c r="I309" s="187"/>
      <c r="J309" s="188"/>
      <c r="K309" s="187"/>
      <c r="L309" s="187"/>
      <c r="M309" s="187"/>
      <c r="N309" s="187"/>
      <c r="O309" s="187"/>
      <c r="P309" s="187"/>
      <c r="Q309" s="188"/>
      <c r="R309" s="187"/>
      <c r="S309" s="187"/>
      <c r="T309" s="187"/>
      <c r="U309" s="187"/>
      <c r="V309" s="187"/>
      <c r="W309" s="187"/>
      <c r="X309" s="188"/>
      <c r="Y309" s="187"/>
      <c r="Z309" s="187"/>
      <c r="AA309" s="187"/>
      <c r="AB309" s="187"/>
      <c r="AC309" s="187"/>
      <c r="AD309" s="187"/>
    </row>
    <row r="310" spans="3:30">
      <c r="C310" s="187"/>
      <c r="D310" s="188"/>
      <c r="E310" s="187"/>
      <c r="F310" s="187"/>
      <c r="G310" s="187"/>
      <c r="H310" s="187"/>
      <c r="I310" s="187"/>
      <c r="J310" s="188"/>
      <c r="K310" s="187"/>
      <c r="L310" s="187"/>
      <c r="M310" s="187"/>
      <c r="N310" s="187"/>
      <c r="O310" s="187"/>
      <c r="P310" s="187"/>
      <c r="Q310" s="188"/>
      <c r="R310" s="187"/>
      <c r="S310" s="187"/>
      <c r="T310" s="187"/>
      <c r="U310" s="187"/>
      <c r="V310" s="187"/>
      <c r="W310" s="187"/>
      <c r="X310" s="188"/>
      <c r="Y310" s="187"/>
      <c r="Z310" s="187"/>
      <c r="AA310" s="187"/>
      <c r="AB310" s="187"/>
      <c r="AC310" s="187"/>
      <c r="AD310" s="187"/>
    </row>
    <row r="311" spans="3:30">
      <c r="C311" s="187"/>
      <c r="D311" s="188"/>
      <c r="E311" s="187"/>
      <c r="F311" s="187"/>
      <c r="G311" s="187"/>
      <c r="H311" s="187"/>
      <c r="I311" s="187"/>
      <c r="J311" s="188"/>
      <c r="K311" s="187"/>
      <c r="L311" s="187"/>
      <c r="M311" s="187"/>
      <c r="N311" s="187"/>
      <c r="O311" s="187"/>
      <c r="P311" s="187"/>
      <c r="Q311" s="188"/>
      <c r="R311" s="187"/>
      <c r="S311" s="187"/>
      <c r="T311" s="187"/>
      <c r="U311" s="187"/>
      <c r="V311" s="187"/>
      <c r="W311" s="187"/>
      <c r="X311" s="188"/>
      <c r="Y311" s="187"/>
      <c r="Z311" s="187"/>
      <c r="AA311" s="187"/>
      <c r="AB311" s="187"/>
      <c r="AC311" s="187"/>
      <c r="AD311" s="187"/>
    </row>
    <row r="312" spans="3:30">
      <c r="C312" s="187"/>
      <c r="D312" s="188"/>
      <c r="E312" s="187"/>
      <c r="F312" s="187"/>
      <c r="G312" s="187"/>
      <c r="H312" s="187"/>
      <c r="I312" s="187"/>
      <c r="J312" s="188"/>
      <c r="K312" s="187"/>
      <c r="L312" s="187"/>
      <c r="M312" s="187"/>
      <c r="N312" s="187"/>
      <c r="O312" s="187"/>
      <c r="P312" s="187"/>
      <c r="Q312" s="188"/>
      <c r="R312" s="187"/>
      <c r="S312" s="187"/>
      <c r="T312" s="187"/>
      <c r="U312" s="187"/>
      <c r="V312" s="187"/>
      <c r="W312" s="187"/>
      <c r="X312" s="188"/>
      <c r="Y312" s="187"/>
      <c r="Z312" s="187"/>
      <c r="AA312" s="187"/>
      <c r="AB312" s="187"/>
      <c r="AC312" s="187"/>
      <c r="AD312" s="187"/>
    </row>
    <row r="313" spans="3:30">
      <c r="C313" s="187"/>
      <c r="D313" s="188"/>
      <c r="E313" s="187"/>
      <c r="F313" s="187"/>
      <c r="G313" s="187"/>
      <c r="H313" s="187"/>
      <c r="I313" s="187"/>
      <c r="J313" s="188"/>
      <c r="K313" s="187"/>
      <c r="L313" s="187"/>
      <c r="M313" s="187"/>
      <c r="N313" s="187"/>
      <c r="O313" s="187"/>
      <c r="P313" s="187"/>
      <c r="Q313" s="188"/>
      <c r="R313" s="187"/>
      <c r="S313" s="187"/>
      <c r="T313" s="187"/>
      <c r="U313" s="187"/>
      <c r="V313" s="187"/>
      <c r="W313" s="187"/>
      <c r="X313" s="188"/>
      <c r="Y313" s="187"/>
      <c r="Z313" s="187"/>
      <c r="AA313" s="187"/>
      <c r="AB313" s="187"/>
      <c r="AC313" s="187"/>
      <c r="AD313" s="187"/>
    </row>
    <row r="314" spans="3:30">
      <c r="C314" s="187"/>
      <c r="D314" s="188"/>
      <c r="E314" s="187"/>
      <c r="F314" s="187"/>
      <c r="G314" s="187"/>
      <c r="H314" s="187"/>
      <c r="I314" s="187"/>
      <c r="J314" s="188"/>
      <c r="K314" s="187"/>
      <c r="L314" s="187"/>
      <c r="M314" s="187"/>
      <c r="N314" s="187"/>
      <c r="O314" s="187"/>
      <c r="P314" s="187"/>
      <c r="Q314" s="188"/>
      <c r="R314" s="187"/>
      <c r="S314" s="187"/>
      <c r="T314" s="187"/>
      <c r="U314" s="187"/>
      <c r="V314" s="187"/>
      <c r="W314" s="187"/>
      <c r="X314" s="188"/>
      <c r="Y314" s="187"/>
      <c r="Z314" s="187"/>
      <c r="AA314" s="187"/>
      <c r="AB314" s="187"/>
      <c r="AC314" s="187"/>
      <c r="AD314" s="187"/>
    </row>
    <row r="315" spans="3:30">
      <c r="C315" s="187"/>
      <c r="D315" s="188"/>
      <c r="E315" s="187"/>
      <c r="F315" s="187"/>
      <c r="G315" s="187"/>
      <c r="H315" s="187"/>
      <c r="I315" s="187"/>
      <c r="J315" s="188"/>
      <c r="K315" s="187"/>
      <c r="L315" s="187"/>
      <c r="M315" s="187"/>
      <c r="N315" s="187"/>
      <c r="O315" s="187"/>
      <c r="P315" s="187"/>
      <c r="Q315" s="188"/>
      <c r="R315" s="187"/>
      <c r="S315" s="187"/>
      <c r="T315" s="187"/>
      <c r="U315" s="187"/>
      <c r="V315" s="187"/>
      <c r="W315" s="187"/>
      <c r="X315" s="188"/>
      <c r="Y315" s="187"/>
      <c r="Z315" s="187"/>
      <c r="AA315" s="187"/>
      <c r="AB315" s="187"/>
      <c r="AC315" s="187"/>
      <c r="AD315" s="187"/>
    </row>
    <row r="316" spans="3:30">
      <c r="C316" s="187"/>
      <c r="D316" s="188"/>
      <c r="E316" s="187"/>
      <c r="F316" s="187"/>
      <c r="G316" s="187"/>
      <c r="H316" s="187"/>
      <c r="I316" s="187"/>
      <c r="J316" s="188"/>
      <c r="K316" s="187"/>
      <c r="L316" s="187"/>
      <c r="M316" s="187"/>
      <c r="N316" s="187"/>
      <c r="O316" s="187"/>
      <c r="P316" s="187"/>
      <c r="Q316" s="188"/>
      <c r="R316" s="187"/>
      <c r="S316" s="187"/>
      <c r="T316" s="187"/>
      <c r="U316" s="187"/>
      <c r="V316" s="187"/>
      <c r="W316" s="187"/>
      <c r="X316" s="188"/>
      <c r="Y316" s="187"/>
      <c r="Z316" s="187"/>
      <c r="AA316" s="187"/>
      <c r="AB316" s="187"/>
      <c r="AC316" s="187"/>
      <c r="AD316" s="187"/>
    </row>
    <row r="317" spans="3:30">
      <c r="C317" s="187"/>
      <c r="D317" s="188"/>
      <c r="E317" s="187"/>
      <c r="F317" s="187"/>
      <c r="G317" s="187"/>
      <c r="H317" s="187"/>
      <c r="I317" s="187"/>
      <c r="J317" s="188"/>
      <c r="K317" s="187"/>
      <c r="L317" s="187"/>
      <c r="M317" s="187"/>
      <c r="N317" s="187"/>
      <c r="O317" s="187"/>
      <c r="P317" s="187"/>
      <c r="Q317" s="188"/>
      <c r="R317" s="187"/>
      <c r="S317" s="187"/>
      <c r="T317" s="187"/>
      <c r="U317" s="187"/>
      <c r="V317" s="187"/>
      <c r="W317" s="187"/>
      <c r="X317" s="188"/>
      <c r="Y317" s="187"/>
      <c r="Z317" s="187"/>
      <c r="AA317" s="187"/>
      <c r="AB317" s="187"/>
      <c r="AC317" s="187"/>
      <c r="AD317" s="187"/>
    </row>
    <row r="318" spans="3:30">
      <c r="C318" s="187"/>
      <c r="D318" s="188"/>
      <c r="E318" s="187"/>
      <c r="F318" s="187"/>
      <c r="G318" s="187"/>
      <c r="H318" s="187"/>
      <c r="I318" s="187"/>
      <c r="J318" s="188"/>
      <c r="K318" s="187"/>
      <c r="L318" s="187"/>
      <c r="M318" s="187"/>
      <c r="N318" s="187"/>
      <c r="O318" s="187"/>
      <c r="P318" s="187"/>
      <c r="Q318" s="188"/>
      <c r="R318" s="187"/>
      <c r="S318" s="187"/>
      <c r="T318" s="187"/>
      <c r="U318" s="187"/>
      <c r="V318" s="187"/>
      <c r="W318" s="187"/>
      <c r="X318" s="188"/>
      <c r="Y318" s="187"/>
      <c r="Z318" s="187"/>
      <c r="AA318" s="187"/>
      <c r="AB318" s="187"/>
      <c r="AC318" s="187"/>
      <c r="AD318" s="187"/>
    </row>
    <row r="319" spans="3:30">
      <c r="C319" s="187"/>
      <c r="D319" s="188"/>
      <c r="E319" s="187"/>
      <c r="F319" s="187"/>
      <c r="G319" s="187"/>
      <c r="H319" s="187"/>
      <c r="I319" s="187"/>
      <c r="J319" s="188"/>
      <c r="K319" s="187"/>
      <c r="L319" s="187"/>
      <c r="M319" s="187"/>
      <c r="N319" s="187"/>
      <c r="O319" s="187"/>
      <c r="P319" s="187"/>
      <c r="Q319" s="188"/>
      <c r="R319" s="187"/>
      <c r="S319" s="187"/>
      <c r="T319" s="187"/>
      <c r="U319" s="187"/>
      <c r="V319" s="187"/>
      <c r="W319" s="187"/>
      <c r="X319" s="188"/>
      <c r="Y319" s="187"/>
      <c r="Z319" s="187"/>
      <c r="AA319" s="187"/>
      <c r="AB319" s="187"/>
      <c r="AC319" s="187"/>
      <c r="AD319" s="187"/>
    </row>
    <row r="320" spans="3:30">
      <c r="C320" s="187"/>
      <c r="D320" s="188"/>
      <c r="E320" s="187"/>
      <c r="F320" s="187"/>
      <c r="G320" s="187"/>
      <c r="H320" s="187"/>
      <c r="I320" s="187"/>
      <c r="J320" s="188"/>
      <c r="K320" s="187"/>
      <c r="L320" s="187"/>
      <c r="M320" s="187"/>
      <c r="N320" s="187"/>
      <c r="O320" s="187"/>
      <c r="P320" s="187"/>
      <c r="Q320" s="188"/>
      <c r="R320" s="187"/>
      <c r="S320" s="187"/>
      <c r="T320" s="187"/>
      <c r="U320" s="187"/>
      <c r="V320" s="187"/>
      <c r="W320" s="187"/>
      <c r="X320" s="188"/>
      <c r="Y320" s="187"/>
      <c r="Z320" s="187"/>
      <c r="AA320" s="187"/>
      <c r="AB320" s="187"/>
      <c r="AC320" s="187"/>
      <c r="AD320" s="187"/>
    </row>
    <row r="321" spans="3:30">
      <c r="C321" s="187"/>
      <c r="D321" s="188"/>
      <c r="E321" s="187"/>
      <c r="F321" s="187"/>
      <c r="G321" s="187"/>
      <c r="H321" s="187"/>
      <c r="I321" s="187"/>
      <c r="J321" s="188"/>
      <c r="K321" s="187"/>
      <c r="L321" s="187"/>
      <c r="M321" s="187"/>
      <c r="N321" s="187"/>
      <c r="O321" s="187"/>
      <c r="P321" s="187"/>
      <c r="Q321" s="188"/>
      <c r="R321" s="187"/>
      <c r="S321" s="187"/>
      <c r="T321" s="187"/>
      <c r="U321" s="187"/>
      <c r="V321" s="187"/>
      <c r="W321" s="187"/>
      <c r="X321" s="188"/>
      <c r="Y321" s="187"/>
      <c r="Z321" s="187"/>
      <c r="AA321" s="187"/>
      <c r="AB321" s="187"/>
      <c r="AC321" s="187"/>
      <c r="AD321" s="187"/>
    </row>
    <row r="322" spans="3:30">
      <c r="C322" s="187"/>
      <c r="D322" s="188"/>
      <c r="E322" s="187"/>
      <c r="F322" s="187"/>
      <c r="G322" s="187"/>
      <c r="H322" s="187"/>
      <c r="I322" s="187"/>
      <c r="J322" s="188"/>
      <c r="K322" s="187"/>
      <c r="L322" s="187"/>
      <c r="M322" s="187"/>
      <c r="N322" s="187"/>
      <c r="O322" s="187"/>
      <c r="P322" s="187"/>
      <c r="Q322" s="188"/>
      <c r="R322" s="187"/>
      <c r="S322" s="187"/>
      <c r="T322" s="187"/>
      <c r="U322" s="187"/>
      <c r="V322" s="187"/>
      <c r="W322" s="187"/>
      <c r="X322" s="188"/>
      <c r="Y322" s="187"/>
      <c r="Z322" s="187"/>
      <c r="AA322" s="187"/>
      <c r="AB322" s="187"/>
      <c r="AC322" s="187"/>
      <c r="AD322" s="187"/>
    </row>
    <row r="323" spans="3:30">
      <c r="C323" s="187"/>
      <c r="D323" s="188"/>
      <c r="E323" s="187"/>
      <c r="F323" s="187"/>
      <c r="G323" s="187"/>
      <c r="H323" s="187"/>
      <c r="I323" s="187"/>
      <c r="J323" s="188"/>
      <c r="K323" s="187"/>
      <c r="L323" s="187"/>
      <c r="M323" s="187"/>
      <c r="N323" s="187"/>
      <c r="O323" s="187"/>
      <c r="P323" s="187"/>
      <c r="Q323" s="188"/>
      <c r="R323" s="187"/>
      <c r="S323" s="187"/>
      <c r="T323" s="187"/>
      <c r="U323" s="187"/>
      <c r="V323" s="187"/>
      <c r="W323" s="187"/>
      <c r="X323" s="188"/>
      <c r="Y323" s="187"/>
      <c r="Z323" s="187"/>
      <c r="AA323" s="187"/>
      <c r="AB323" s="187"/>
      <c r="AC323" s="187"/>
      <c r="AD323" s="187"/>
    </row>
    <row r="324" spans="3:30">
      <c r="C324" s="187"/>
      <c r="D324" s="188"/>
      <c r="E324" s="187"/>
      <c r="F324" s="187"/>
      <c r="G324" s="187"/>
      <c r="H324" s="187"/>
      <c r="I324" s="187"/>
      <c r="J324" s="188"/>
      <c r="K324" s="187"/>
      <c r="L324" s="187"/>
      <c r="M324" s="187"/>
      <c r="N324" s="187"/>
      <c r="O324" s="187"/>
      <c r="P324" s="187"/>
      <c r="Q324" s="188"/>
      <c r="R324" s="187"/>
      <c r="S324" s="187"/>
      <c r="T324" s="187"/>
      <c r="U324" s="187"/>
      <c r="V324" s="187"/>
      <c r="W324" s="187"/>
      <c r="X324" s="188"/>
      <c r="Y324" s="187"/>
      <c r="Z324" s="187"/>
      <c r="AA324" s="187"/>
      <c r="AB324" s="187"/>
      <c r="AC324" s="187"/>
      <c r="AD324" s="187"/>
    </row>
    <row r="325" spans="3:30">
      <c r="C325" s="187"/>
      <c r="D325" s="188"/>
      <c r="E325" s="187"/>
      <c r="F325" s="187"/>
      <c r="G325" s="187"/>
      <c r="H325" s="187"/>
      <c r="I325" s="187"/>
      <c r="J325" s="188"/>
      <c r="K325" s="187"/>
      <c r="L325" s="187"/>
      <c r="M325" s="187"/>
      <c r="N325" s="187"/>
      <c r="O325" s="187"/>
      <c r="P325" s="187"/>
      <c r="Q325" s="188"/>
      <c r="R325" s="187"/>
      <c r="S325" s="187"/>
      <c r="T325" s="187"/>
      <c r="U325" s="187"/>
      <c r="V325" s="187"/>
      <c r="W325" s="187"/>
      <c r="X325" s="188"/>
      <c r="Y325" s="187"/>
      <c r="Z325" s="187"/>
      <c r="AA325" s="187"/>
      <c r="AB325" s="187"/>
      <c r="AC325" s="187"/>
      <c r="AD325" s="187"/>
    </row>
    <row r="326" spans="3:30">
      <c r="C326" s="187"/>
      <c r="D326" s="188"/>
      <c r="E326" s="187"/>
      <c r="F326" s="187"/>
      <c r="G326" s="187"/>
      <c r="H326" s="187"/>
      <c r="I326" s="187"/>
      <c r="J326" s="188"/>
      <c r="K326" s="187"/>
      <c r="L326" s="187"/>
      <c r="M326" s="187"/>
      <c r="N326" s="187"/>
      <c r="O326" s="187"/>
      <c r="P326" s="187"/>
      <c r="Q326" s="188"/>
      <c r="R326" s="187"/>
      <c r="S326" s="187"/>
      <c r="T326" s="187"/>
      <c r="U326" s="187"/>
      <c r="V326" s="187"/>
      <c r="W326" s="187"/>
      <c r="X326" s="188"/>
      <c r="Y326" s="187"/>
      <c r="Z326" s="187"/>
      <c r="AA326" s="187"/>
      <c r="AB326" s="187"/>
      <c r="AC326" s="187"/>
      <c r="AD326" s="187"/>
    </row>
    <row r="327" spans="3:30">
      <c r="C327" s="187"/>
      <c r="D327" s="188"/>
      <c r="E327" s="187"/>
      <c r="F327" s="187"/>
      <c r="G327" s="187"/>
      <c r="H327" s="187"/>
      <c r="I327" s="187"/>
      <c r="J327" s="188"/>
      <c r="K327" s="187"/>
      <c r="L327" s="187"/>
      <c r="M327" s="187"/>
      <c r="N327" s="187"/>
      <c r="O327" s="187"/>
      <c r="P327" s="187"/>
      <c r="Q327" s="188"/>
      <c r="R327" s="187"/>
      <c r="S327" s="187"/>
      <c r="T327" s="187"/>
      <c r="U327" s="187"/>
      <c r="V327" s="187"/>
      <c r="W327" s="187"/>
      <c r="X327" s="188"/>
      <c r="Y327" s="187"/>
      <c r="Z327" s="187"/>
      <c r="AA327" s="187"/>
      <c r="AB327" s="187"/>
      <c r="AC327" s="187"/>
      <c r="AD327" s="187"/>
    </row>
    <row r="328" spans="3:30">
      <c r="C328" s="187"/>
      <c r="D328" s="188"/>
      <c r="E328" s="187"/>
      <c r="F328" s="187"/>
      <c r="G328" s="187"/>
      <c r="H328" s="187"/>
      <c r="I328" s="187"/>
      <c r="J328" s="188"/>
      <c r="K328" s="187"/>
      <c r="L328" s="187"/>
      <c r="M328" s="187"/>
      <c r="N328" s="187"/>
      <c r="O328" s="187"/>
      <c r="P328" s="187"/>
      <c r="Q328" s="188"/>
      <c r="R328" s="187"/>
      <c r="S328" s="187"/>
      <c r="T328" s="187"/>
      <c r="U328" s="187"/>
      <c r="V328" s="187"/>
      <c r="W328" s="187"/>
      <c r="X328" s="188"/>
      <c r="Y328" s="187"/>
      <c r="Z328" s="187"/>
      <c r="AA328" s="187"/>
      <c r="AB328" s="187"/>
      <c r="AC328" s="187"/>
      <c r="AD328" s="187"/>
    </row>
    <row r="329" spans="3:30">
      <c r="C329" s="187"/>
      <c r="D329" s="188"/>
      <c r="E329" s="187"/>
      <c r="F329" s="187"/>
      <c r="G329" s="187"/>
      <c r="H329" s="187"/>
      <c r="I329" s="187"/>
      <c r="J329" s="188"/>
      <c r="K329" s="187"/>
      <c r="L329" s="187"/>
      <c r="M329" s="187"/>
      <c r="N329" s="187"/>
      <c r="O329" s="187"/>
      <c r="P329" s="187"/>
      <c r="Q329" s="188"/>
      <c r="R329" s="187"/>
      <c r="S329" s="187"/>
      <c r="T329" s="187"/>
      <c r="U329" s="187"/>
      <c r="V329" s="187"/>
      <c r="W329" s="187"/>
      <c r="X329" s="188"/>
      <c r="Y329" s="187"/>
      <c r="Z329" s="187"/>
      <c r="AA329" s="187"/>
      <c r="AB329" s="187"/>
      <c r="AC329" s="187"/>
      <c r="AD329" s="187"/>
    </row>
    <row r="330" spans="3:30">
      <c r="C330" s="187"/>
      <c r="D330" s="188"/>
      <c r="E330" s="187"/>
      <c r="F330" s="187"/>
      <c r="G330" s="187"/>
      <c r="H330" s="187"/>
      <c r="I330" s="187"/>
      <c r="J330" s="188"/>
      <c r="K330" s="187"/>
      <c r="L330" s="187"/>
      <c r="M330" s="187"/>
      <c r="N330" s="187"/>
      <c r="O330" s="187"/>
      <c r="P330" s="187"/>
      <c r="Q330" s="188"/>
      <c r="R330" s="187"/>
      <c r="S330" s="187"/>
      <c r="T330" s="187"/>
      <c r="U330" s="187"/>
      <c r="V330" s="187"/>
      <c r="W330" s="187"/>
      <c r="X330" s="188"/>
      <c r="Y330" s="187"/>
      <c r="Z330" s="187"/>
      <c r="AA330" s="187"/>
      <c r="AB330" s="187"/>
      <c r="AC330" s="187"/>
      <c r="AD330" s="187"/>
    </row>
    <row r="331" spans="3:30">
      <c r="C331" s="187"/>
      <c r="D331" s="188"/>
      <c r="E331" s="187"/>
      <c r="F331" s="187"/>
      <c r="G331" s="187"/>
      <c r="H331" s="187"/>
      <c r="I331" s="187"/>
      <c r="J331" s="188"/>
      <c r="K331" s="187"/>
      <c r="L331" s="187"/>
      <c r="M331" s="187"/>
      <c r="N331" s="187"/>
      <c r="O331" s="187"/>
      <c r="P331" s="187"/>
      <c r="Q331" s="188"/>
      <c r="R331" s="187"/>
      <c r="S331" s="187"/>
      <c r="T331" s="187"/>
      <c r="U331" s="187"/>
      <c r="V331" s="187"/>
      <c r="W331" s="187"/>
      <c r="X331" s="188"/>
      <c r="Y331" s="187"/>
      <c r="Z331" s="187"/>
      <c r="AA331" s="187"/>
      <c r="AB331" s="187"/>
      <c r="AC331" s="187"/>
      <c r="AD331" s="187"/>
    </row>
    <row r="332" spans="3:30">
      <c r="C332" s="187"/>
      <c r="D332" s="188"/>
      <c r="E332" s="187"/>
      <c r="F332" s="187"/>
      <c r="G332" s="187"/>
      <c r="H332" s="187"/>
      <c r="I332" s="187"/>
      <c r="J332" s="188"/>
      <c r="K332" s="187"/>
      <c r="L332" s="187"/>
      <c r="M332" s="187"/>
      <c r="N332" s="187"/>
      <c r="O332" s="187"/>
      <c r="P332" s="187"/>
      <c r="Q332" s="188"/>
      <c r="R332" s="187"/>
      <c r="S332" s="187"/>
      <c r="T332" s="187"/>
      <c r="U332" s="187"/>
      <c r="V332" s="187"/>
      <c r="W332" s="187"/>
      <c r="X332" s="188"/>
      <c r="Y332" s="187"/>
      <c r="Z332" s="187"/>
      <c r="AA332" s="187"/>
      <c r="AB332" s="187"/>
      <c r="AC332" s="187"/>
      <c r="AD332" s="187"/>
    </row>
    <row r="333" spans="3:30">
      <c r="C333" s="187"/>
      <c r="D333" s="188"/>
      <c r="E333" s="187"/>
      <c r="F333" s="187"/>
      <c r="G333" s="187"/>
      <c r="H333" s="187"/>
      <c r="I333" s="187"/>
      <c r="J333" s="188"/>
      <c r="K333" s="187"/>
      <c r="L333" s="187"/>
      <c r="M333" s="187"/>
      <c r="N333" s="187"/>
      <c r="O333" s="187"/>
      <c r="P333" s="187"/>
      <c r="Q333" s="188"/>
      <c r="R333" s="187"/>
      <c r="S333" s="187"/>
      <c r="T333" s="187"/>
      <c r="U333" s="187"/>
      <c r="V333" s="187"/>
      <c r="W333" s="187"/>
      <c r="X333" s="188"/>
      <c r="Y333" s="187"/>
      <c r="Z333" s="187"/>
      <c r="AA333" s="187"/>
      <c r="AB333" s="187"/>
      <c r="AC333" s="187"/>
      <c r="AD333" s="187"/>
    </row>
    <row r="334" spans="3:30">
      <c r="C334" s="187"/>
      <c r="D334" s="188"/>
      <c r="E334" s="187"/>
      <c r="F334" s="187"/>
      <c r="G334" s="187"/>
      <c r="H334" s="187"/>
      <c r="I334" s="187"/>
      <c r="J334" s="188"/>
      <c r="K334" s="187"/>
      <c r="L334" s="187"/>
      <c r="M334" s="187"/>
      <c r="N334" s="187"/>
      <c r="O334" s="187"/>
      <c r="P334" s="187"/>
      <c r="Q334" s="188"/>
      <c r="R334" s="187"/>
      <c r="S334" s="187"/>
      <c r="T334" s="187"/>
      <c r="U334" s="187"/>
      <c r="V334" s="187"/>
      <c r="W334" s="187"/>
      <c r="X334" s="188"/>
      <c r="Y334" s="187"/>
      <c r="Z334" s="187"/>
      <c r="AA334" s="187"/>
      <c r="AB334" s="187"/>
      <c r="AC334" s="187"/>
      <c r="AD334" s="187"/>
    </row>
    <row r="335" spans="3:30">
      <c r="C335" s="187"/>
      <c r="D335" s="188"/>
      <c r="E335" s="187"/>
      <c r="F335" s="187"/>
      <c r="G335" s="187"/>
      <c r="H335" s="187"/>
      <c r="I335" s="187"/>
      <c r="J335" s="188"/>
      <c r="K335" s="187"/>
      <c r="L335" s="187"/>
      <c r="M335" s="187"/>
      <c r="N335" s="187"/>
      <c r="O335" s="187"/>
      <c r="P335" s="187"/>
      <c r="Q335" s="188"/>
      <c r="R335" s="187"/>
      <c r="S335" s="187"/>
      <c r="T335" s="187"/>
      <c r="U335" s="187"/>
      <c r="V335" s="187"/>
      <c r="W335" s="187"/>
      <c r="X335" s="188"/>
      <c r="Y335" s="187"/>
      <c r="Z335" s="187"/>
      <c r="AA335" s="187"/>
      <c r="AB335" s="187"/>
      <c r="AC335" s="187"/>
      <c r="AD335" s="187"/>
    </row>
    <row r="336" spans="3:30">
      <c r="C336" s="187"/>
      <c r="D336" s="188"/>
      <c r="E336" s="187"/>
      <c r="F336" s="187"/>
      <c r="G336" s="187"/>
      <c r="H336" s="187"/>
      <c r="I336" s="187"/>
      <c r="J336" s="188"/>
      <c r="K336" s="187"/>
      <c r="L336" s="187"/>
      <c r="M336" s="187"/>
      <c r="N336" s="187"/>
      <c r="O336" s="187"/>
      <c r="P336" s="187"/>
      <c r="Q336" s="188"/>
      <c r="R336" s="187"/>
      <c r="S336" s="187"/>
      <c r="T336" s="187"/>
      <c r="U336" s="187"/>
      <c r="V336" s="187"/>
      <c r="W336" s="187"/>
      <c r="X336" s="188"/>
      <c r="Y336" s="187"/>
      <c r="Z336" s="187"/>
      <c r="AA336" s="187"/>
      <c r="AB336" s="187"/>
      <c r="AC336" s="187"/>
      <c r="AD336" s="187"/>
    </row>
    <row r="337" spans="3:30">
      <c r="C337" s="187"/>
      <c r="D337" s="188"/>
      <c r="E337" s="187"/>
      <c r="F337" s="187"/>
      <c r="G337" s="187"/>
      <c r="H337" s="187"/>
      <c r="I337" s="187"/>
      <c r="J337" s="188"/>
      <c r="K337" s="187"/>
      <c r="L337" s="187"/>
      <c r="M337" s="187"/>
      <c r="N337" s="187"/>
      <c r="O337" s="187"/>
      <c r="P337" s="187"/>
      <c r="Q337" s="188"/>
      <c r="R337" s="187"/>
      <c r="S337" s="187"/>
      <c r="T337" s="187"/>
      <c r="U337" s="187"/>
      <c r="V337" s="187"/>
      <c r="W337" s="187"/>
      <c r="X337" s="188"/>
      <c r="Y337" s="187"/>
      <c r="Z337" s="187"/>
      <c r="AA337" s="187"/>
      <c r="AB337" s="187"/>
      <c r="AC337" s="187"/>
      <c r="AD337" s="187"/>
    </row>
    <row r="338" spans="3:30">
      <c r="C338" s="187"/>
      <c r="D338" s="188"/>
      <c r="E338" s="187"/>
      <c r="F338" s="187"/>
      <c r="G338" s="187"/>
      <c r="H338" s="187"/>
      <c r="I338" s="187"/>
      <c r="J338" s="188"/>
      <c r="K338" s="187"/>
      <c r="L338" s="187"/>
      <c r="M338" s="187"/>
      <c r="N338" s="187"/>
      <c r="O338" s="187"/>
      <c r="P338" s="187"/>
      <c r="Q338" s="188"/>
      <c r="R338" s="187"/>
      <c r="S338" s="187"/>
      <c r="T338" s="187"/>
      <c r="U338" s="187"/>
      <c r="V338" s="187"/>
      <c r="W338" s="187"/>
      <c r="X338" s="188"/>
      <c r="Y338" s="187"/>
      <c r="Z338" s="187"/>
      <c r="AA338" s="187"/>
      <c r="AB338" s="187"/>
      <c r="AC338" s="187"/>
      <c r="AD338" s="187"/>
    </row>
    <row r="339" spans="3:30">
      <c r="C339" s="187"/>
      <c r="D339" s="188"/>
      <c r="E339" s="187"/>
      <c r="F339" s="187"/>
      <c r="G339" s="187"/>
      <c r="H339" s="187"/>
      <c r="I339" s="187"/>
      <c r="J339" s="188"/>
      <c r="K339" s="187"/>
      <c r="L339" s="187"/>
      <c r="M339" s="187"/>
      <c r="N339" s="187"/>
      <c r="O339" s="187"/>
      <c r="P339" s="187"/>
      <c r="Q339" s="188"/>
      <c r="R339" s="187"/>
      <c r="S339" s="187"/>
      <c r="T339" s="187"/>
      <c r="U339" s="187"/>
      <c r="V339" s="187"/>
      <c r="W339" s="187"/>
      <c r="X339" s="188"/>
      <c r="Y339" s="187"/>
      <c r="Z339" s="187"/>
      <c r="AA339" s="187"/>
      <c r="AB339" s="187"/>
      <c r="AC339" s="187"/>
      <c r="AD339" s="187"/>
    </row>
    <row r="340" spans="3:30">
      <c r="C340" s="187"/>
      <c r="D340" s="188"/>
      <c r="E340" s="187"/>
      <c r="F340" s="187"/>
      <c r="G340" s="187"/>
      <c r="H340" s="187"/>
      <c r="I340" s="187"/>
      <c r="J340" s="188"/>
      <c r="K340" s="187"/>
      <c r="L340" s="187"/>
      <c r="M340" s="187"/>
      <c r="N340" s="187"/>
      <c r="O340" s="187"/>
      <c r="P340" s="187"/>
      <c r="Q340" s="188"/>
      <c r="R340" s="187"/>
      <c r="S340" s="187"/>
      <c r="T340" s="187"/>
      <c r="U340" s="187"/>
      <c r="V340" s="187"/>
      <c r="W340" s="187"/>
      <c r="X340" s="188"/>
      <c r="Y340" s="187"/>
      <c r="Z340" s="187"/>
      <c r="AA340" s="187"/>
      <c r="AB340" s="187"/>
      <c r="AC340" s="187"/>
      <c r="AD340" s="187"/>
    </row>
    <row r="341" spans="3:30">
      <c r="C341" s="187"/>
      <c r="D341" s="188"/>
      <c r="E341" s="187"/>
      <c r="F341" s="187"/>
      <c r="G341" s="187"/>
      <c r="H341" s="187"/>
      <c r="I341" s="187"/>
      <c r="J341" s="188"/>
      <c r="K341" s="187"/>
      <c r="L341" s="187"/>
      <c r="M341" s="187"/>
      <c r="N341" s="187"/>
      <c r="O341" s="187"/>
      <c r="P341" s="187"/>
      <c r="Q341" s="188"/>
      <c r="R341" s="187"/>
      <c r="S341" s="187"/>
      <c r="T341" s="187"/>
      <c r="U341" s="187"/>
      <c r="V341" s="187"/>
      <c r="W341" s="187"/>
      <c r="X341" s="188"/>
      <c r="Y341" s="187"/>
      <c r="Z341" s="187"/>
      <c r="AA341" s="187"/>
      <c r="AB341" s="187"/>
      <c r="AC341" s="187"/>
      <c r="AD341" s="187"/>
    </row>
    <row r="342" spans="3:30">
      <c r="C342" s="187"/>
      <c r="D342" s="188"/>
      <c r="E342" s="187"/>
      <c r="F342" s="187"/>
      <c r="G342" s="187"/>
      <c r="H342" s="187"/>
      <c r="I342" s="187"/>
      <c r="J342" s="188"/>
      <c r="K342" s="187"/>
      <c r="L342" s="187"/>
      <c r="M342" s="187"/>
      <c r="N342" s="187"/>
      <c r="O342" s="187"/>
      <c r="P342" s="187"/>
      <c r="Q342" s="188"/>
      <c r="R342" s="187"/>
      <c r="S342" s="187"/>
      <c r="T342" s="187"/>
      <c r="U342" s="187"/>
      <c r="V342" s="187"/>
      <c r="W342" s="187"/>
      <c r="X342" s="188"/>
      <c r="Y342" s="187"/>
      <c r="Z342" s="187"/>
      <c r="AA342" s="187"/>
      <c r="AB342" s="187"/>
      <c r="AC342" s="187"/>
      <c r="AD342" s="187"/>
    </row>
    <row r="343" spans="3:30">
      <c r="C343" s="187"/>
      <c r="D343" s="188"/>
      <c r="E343" s="187"/>
      <c r="F343" s="187"/>
      <c r="G343" s="187"/>
      <c r="H343" s="187"/>
      <c r="I343" s="187"/>
      <c r="J343" s="188"/>
      <c r="K343" s="187"/>
      <c r="L343" s="187"/>
      <c r="M343" s="187"/>
      <c r="N343" s="187"/>
      <c r="O343" s="187"/>
      <c r="P343" s="187"/>
      <c r="Q343" s="188"/>
      <c r="R343" s="187"/>
      <c r="S343" s="187"/>
      <c r="T343" s="187"/>
      <c r="U343" s="187"/>
      <c r="V343" s="187"/>
      <c r="W343" s="187"/>
      <c r="X343" s="188"/>
      <c r="Y343" s="187"/>
      <c r="Z343" s="187"/>
      <c r="AA343" s="187"/>
      <c r="AB343" s="187"/>
      <c r="AC343" s="187"/>
      <c r="AD343" s="187"/>
    </row>
    <row r="344" spans="3:30">
      <c r="C344" s="187"/>
      <c r="D344" s="188"/>
      <c r="E344" s="187"/>
      <c r="F344" s="187"/>
      <c r="G344" s="187"/>
      <c r="H344" s="187"/>
      <c r="I344" s="187"/>
      <c r="J344" s="188"/>
      <c r="K344" s="187"/>
      <c r="L344" s="187"/>
      <c r="M344" s="187"/>
      <c r="N344" s="187"/>
      <c r="O344" s="187"/>
      <c r="P344" s="187"/>
      <c r="Q344" s="188"/>
      <c r="R344" s="187"/>
      <c r="S344" s="187"/>
      <c r="T344" s="187"/>
      <c r="U344" s="187"/>
      <c r="V344" s="187"/>
      <c r="W344" s="187"/>
      <c r="X344" s="188"/>
      <c r="Y344" s="187"/>
      <c r="Z344" s="187"/>
      <c r="AA344" s="187"/>
      <c r="AB344" s="187"/>
      <c r="AC344" s="187"/>
      <c r="AD344" s="187"/>
    </row>
    <row r="345" spans="3:30">
      <c r="C345" s="187"/>
      <c r="D345" s="188"/>
      <c r="E345" s="187"/>
      <c r="F345" s="187"/>
      <c r="G345" s="187"/>
      <c r="H345" s="187"/>
      <c r="I345" s="187"/>
      <c r="J345" s="188"/>
      <c r="K345" s="187"/>
      <c r="L345" s="187"/>
      <c r="M345" s="187"/>
      <c r="N345" s="187"/>
      <c r="O345" s="187"/>
      <c r="P345" s="187"/>
      <c r="Q345" s="188"/>
      <c r="R345" s="187"/>
      <c r="S345" s="187"/>
      <c r="T345" s="187"/>
      <c r="U345" s="187"/>
      <c r="V345" s="187"/>
      <c r="W345" s="187"/>
      <c r="X345" s="188"/>
      <c r="Y345" s="187"/>
      <c r="Z345" s="187"/>
      <c r="AA345" s="187"/>
      <c r="AB345" s="187"/>
      <c r="AC345" s="187"/>
      <c r="AD345" s="187"/>
    </row>
    <row r="346" spans="3:30">
      <c r="C346" s="187"/>
      <c r="D346" s="188"/>
      <c r="E346" s="187"/>
      <c r="F346" s="187"/>
      <c r="G346" s="187"/>
      <c r="H346" s="187"/>
      <c r="I346" s="187"/>
      <c r="J346" s="188"/>
      <c r="K346" s="187"/>
      <c r="L346" s="187"/>
      <c r="M346" s="187"/>
      <c r="N346" s="187"/>
      <c r="O346" s="187"/>
      <c r="P346" s="187"/>
      <c r="Q346" s="188"/>
      <c r="R346" s="187"/>
      <c r="S346" s="187"/>
      <c r="T346" s="187"/>
      <c r="U346" s="187"/>
      <c r="V346" s="187"/>
      <c r="W346" s="187"/>
      <c r="X346" s="188"/>
      <c r="Y346" s="187"/>
      <c r="Z346" s="187"/>
      <c r="AA346" s="187"/>
      <c r="AB346" s="187"/>
      <c r="AC346" s="187"/>
      <c r="AD346" s="187"/>
    </row>
    <row r="347" spans="3:30">
      <c r="C347" s="187"/>
      <c r="D347" s="188"/>
      <c r="E347" s="187"/>
      <c r="F347" s="187"/>
      <c r="G347" s="187"/>
      <c r="H347" s="187"/>
      <c r="I347" s="187"/>
      <c r="J347" s="188"/>
      <c r="K347" s="187"/>
      <c r="L347" s="187"/>
      <c r="M347" s="187"/>
      <c r="N347" s="187"/>
      <c r="O347" s="187"/>
      <c r="P347" s="187"/>
      <c r="Q347" s="188"/>
      <c r="R347" s="187"/>
      <c r="S347" s="187"/>
      <c r="T347" s="187"/>
      <c r="U347" s="187"/>
      <c r="V347" s="187"/>
      <c r="W347" s="187"/>
      <c r="X347" s="188"/>
      <c r="Y347" s="187"/>
      <c r="Z347" s="187"/>
      <c r="AA347" s="187"/>
      <c r="AB347" s="187"/>
      <c r="AC347" s="187"/>
      <c r="AD347" s="187"/>
    </row>
    <row r="348" spans="3:30">
      <c r="C348" s="187"/>
      <c r="D348" s="188"/>
      <c r="E348" s="187"/>
      <c r="F348" s="187"/>
      <c r="G348" s="187"/>
      <c r="H348" s="187"/>
      <c r="I348" s="187"/>
      <c r="J348" s="188"/>
      <c r="K348" s="187"/>
      <c r="L348" s="187"/>
      <c r="M348" s="187"/>
      <c r="N348" s="187"/>
      <c r="O348" s="187"/>
      <c r="P348" s="187"/>
      <c r="Q348" s="188"/>
      <c r="R348" s="187"/>
      <c r="S348" s="187"/>
      <c r="T348" s="187"/>
      <c r="U348" s="187"/>
      <c r="V348" s="187"/>
      <c r="W348" s="187"/>
      <c r="X348" s="188"/>
      <c r="Y348" s="187"/>
      <c r="Z348" s="187"/>
      <c r="AA348" s="187"/>
      <c r="AB348" s="187"/>
      <c r="AC348" s="187"/>
      <c r="AD348" s="187"/>
    </row>
    <row r="349" spans="3:30">
      <c r="C349" s="187"/>
      <c r="D349" s="188"/>
      <c r="E349" s="187"/>
      <c r="F349" s="187"/>
      <c r="G349" s="187"/>
      <c r="H349" s="187"/>
      <c r="I349" s="187"/>
      <c r="J349" s="188"/>
      <c r="K349" s="187"/>
      <c r="L349" s="187"/>
      <c r="M349" s="187"/>
      <c r="N349" s="187"/>
      <c r="O349" s="187"/>
      <c r="P349" s="187"/>
      <c r="Q349" s="188"/>
      <c r="R349" s="187"/>
      <c r="S349" s="187"/>
      <c r="T349" s="187"/>
      <c r="U349" s="187"/>
      <c r="V349" s="187"/>
      <c r="W349" s="187"/>
      <c r="X349" s="188"/>
      <c r="Y349" s="187"/>
      <c r="Z349" s="187"/>
      <c r="AA349" s="187"/>
      <c r="AB349" s="187"/>
      <c r="AC349" s="187"/>
      <c r="AD349" s="187"/>
    </row>
    <row r="350" spans="3:30">
      <c r="C350" s="187"/>
      <c r="D350" s="188"/>
      <c r="E350" s="187"/>
      <c r="F350" s="187"/>
      <c r="G350" s="187"/>
      <c r="H350" s="187"/>
      <c r="I350" s="187"/>
      <c r="J350" s="188"/>
      <c r="K350" s="187"/>
      <c r="L350" s="187"/>
      <c r="M350" s="187"/>
      <c r="N350" s="187"/>
      <c r="O350" s="187"/>
      <c r="P350" s="187"/>
      <c r="Q350" s="188"/>
      <c r="R350" s="187"/>
      <c r="S350" s="187"/>
      <c r="T350" s="187"/>
      <c r="U350" s="187"/>
      <c r="V350" s="187"/>
      <c r="W350" s="187"/>
      <c r="X350" s="188"/>
      <c r="Y350" s="187"/>
      <c r="Z350" s="187"/>
      <c r="AA350" s="187"/>
      <c r="AB350" s="187"/>
      <c r="AC350" s="187"/>
      <c r="AD350" s="187"/>
    </row>
    <row r="351" spans="3:30">
      <c r="C351" s="187"/>
      <c r="D351" s="188"/>
      <c r="E351" s="187"/>
      <c r="F351" s="187"/>
      <c r="G351" s="187"/>
      <c r="H351" s="187"/>
      <c r="I351" s="187"/>
      <c r="J351" s="188"/>
      <c r="K351" s="187"/>
      <c r="L351" s="187"/>
      <c r="M351" s="187"/>
      <c r="N351" s="187"/>
      <c r="O351" s="187"/>
      <c r="P351" s="187"/>
      <c r="Q351" s="188"/>
      <c r="R351" s="187"/>
      <c r="S351" s="187"/>
      <c r="T351" s="187"/>
      <c r="U351" s="187"/>
      <c r="V351" s="187"/>
      <c r="W351" s="187"/>
      <c r="X351" s="188"/>
      <c r="Y351" s="187"/>
      <c r="Z351" s="187"/>
      <c r="AA351" s="187"/>
      <c r="AB351" s="187"/>
      <c r="AC351" s="187"/>
      <c r="AD351" s="187"/>
    </row>
    <row r="352" spans="3:30">
      <c r="C352" s="187"/>
      <c r="D352" s="188"/>
      <c r="E352" s="187"/>
      <c r="F352" s="187"/>
      <c r="G352" s="187"/>
      <c r="H352" s="187"/>
      <c r="I352" s="187"/>
      <c r="J352" s="188"/>
      <c r="K352" s="187"/>
      <c r="L352" s="187"/>
      <c r="M352" s="187"/>
      <c r="N352" s="187"/>
      <c r="O352" s="187"/>
      <c r="P352" s="187"/>
      <c r="Q352" s="188"/>
      <c r="R352" s="187"/>
      <c r="S352" s="187"/>
      <c r="T352" s="187"/>
      <c r="U352" s="187"/>
      <c r="V352" s="187"/>
      <c r="W352" s="187"/>
      <c r="X352" s="188"/>
      <c r="Y352" s="187"/>
      <c r="Z352" s="187"/>
      <c r="AA352" s="187"/>
      <c r="AB352" s="187"/>
      <c r="AC352" s="187"/>
      <c r="AD352" s="187"/>
    </row>
    <row r="353" spans="3:30">
      <c r="C353" s="187"/>
      <c r="D353" s="188"/>
      <c r="E353" s="187"/>
      <c r="F353" s="187"/>
      <c r="G353" s="187"/>
      <c r="H353" s="187"/>
      <c r="I353" s="187"/>
      <c r="J353" s="188"/>
      <c r="K353" s="187"/>
      <c r="L353" s="187"/>
      <c r="M353" s="187"/>
      <c r="N353" s="187"/>
      <c r="O353" s="187"/>
      <c r="P353" s="187"/>
      <c r="Q353" s="188"/>
      <c r="R353" s="187"/>
      <c r="S353" s="187"/>
      <c r="T353" s="187"/>
      <c r="U353" s="187"/>
      <c r="V353" s="187"/>
      <c r="W353" s="187"/>
      <c r="X353" s="188"/>
      <c r="Y353" s="187"/>
      <c r="Z353" s="187"/>
      <c r="AA353" s="187"/>
      <c r="AB353" s="187"/>
      <c r="AC353" s="187"/>
      <c r="AD353" s="187"/>
    </row>
    <row r="354" spans="3:30">
      <c r="C354" s="187"/>
      <c r="D354" s="188"/>
      <c r="E354" s="187"/>
      <c r="F354" s="187"/>
      <c r="G354" s="187"/>
      <c r="H354" s="187"/>
      <c r="I354" s="187"/>
      <c r="J354" s="188"/>
      <c r="K354" s="187"/>
      <c r="L354" s="187"/>
      <c r="M354" s="187"/>
      <c r="N354" s="187"/>
      <c r="O354" s="187"/>
      <c r="P354" s="187"/>
      <c r="Q354" s="188"/>
      <c r="R354" s="187"/>
      <c r="S354" s="187"/>
      <c r="T354" s="187"/>
      <c r="U354" s="187"/>
      <c r="V354" s="187"/>
      <c r="W354" s="187"/>
      <c r="X354" s="188"/>
      <c r="Y354" s="187"/>
      <c r="Z354" s="187"/>
      <c r="AA354" s="187"/>
      <c r="AB354" s="187"/>
      <c r="AC354" s="187"/>
      <c r="AD354" s="187"/>
    </row>
    <row r="355" spans="3:30">
      <c r="C355" s="187"/>
      <c r="D355" s="188"/>
      <c r="E355" s="187"/>
      <c r="F355" s="187"/>
      <c r="G355" s="187"/>
      <c r="H355" s="187"/>
      <c r="I355" s="187"/>
      <c r="J355" s="188"/>
      <c r="K355" s="187"/>
      <c r="L355" s="187"/>
      <c r="M355" s="187"/>
      <c r="N355" s="187"/>
      <c r="O355" s="187"/>
      <c r="P355" s="187"/>
      <c r="Q355" s="188"/>
      <c r="R355" s="187"/>
      <c r="S355" s="187"/>
      <c r="T355" s="187"/>
      <c r="U355" s="187"/>
      <c r="V355" s="187"/>
      <c r="W355" s="187"/>
      <c r="X355" s="188"/>
      <c r="Y355" s="187"/>
      <c r="Z355" s="187"/>
      <c r="AA355" s="187"/>
      <c r="AB355" s="187"/>
      <c r="AC355" s="187"/>
      <c r="AD355" s="187"/>
    </row>
    <row r="356" spans="3:30">
      <c r="C356" s="187"/>
      <c r="D356" s="188"/>
      <c r="E356" s="187"/>
      <c r="F356" s="187"/>
      <c r="G356" s="187"/>
      <c r="H356" s="187"/>
      <c r="I356" s="187"/>
      <c r="J356" s="188"/>
      <c r="K356" s="187"/>
      <c r="L356" s="187"/>
      <c r="M356" s="187"/>
      <c r="N356" s="187"/>
      <c r="O356" s="187"/>
      <c r="P356" s="187"/>
      <c r="Q356" s="188"/>
      <c r="R356" s="187"/>
      <c r="S356" s="187"/>
      <c r="T356" s="187"/>
      <c r="U356" s="187"/>
      <c r="V356" s="187"/>
      <c r="W356" s="187"/>
      <c r="X356" s="188"/>
      <c r="Y356" s="187"/>
      <c r="Z356" s="187"/>
      <c r="AA356" s="187"/>
      <c r="AB356" s="187"/>
      <c r="AC356" s="187"/>
      <c r="AD356" s="187"/>
    </row>
    <row r="357" spans="3:30">
      <c r="C357" s="187"/>
      <c r="D357" s="188"/>
      <c r="E357" s="187"/>
      <c r="F357" s="187"/>
      <c r="G357" s="187"/>
      <c r="H357" s="187"/>
      <c r="I357" s="187"/>
      <c r="J357" s="188"/>
      <c r="K357" s="187"/>
      <c r="L357" s="187"/>
      <c r="M357" s="187"/>
      <c r="N357" s="187"/>
      <c r="O357" s="187"/>
      <c r="P357" s="187"/>
      <c r="Q357" s="188"/>
      <c r="R357" s="187"/>
      <c r="S357" s="187"/>
      <c r="T357" s="187"/>
      <c r="U357" s="187"/>
      <c r="V357" s="187"/>
      <c r="W357" s="187"/>
      <c r="X357" s="188"/>
      <c r="Y357" s="187"/>
      <c r="Z357" s="187"/>
      <c r="AA357" s="187"/>
      <c r="AB357" s="187"/>
      <c r="AC357" s="187"/>
      <c r="AD357" s="187"/>
    </row>
    <row r="358" spans="3:30">
      <c r="C358" s="187"/>
      <c r="D358" s="188"/>
      <c r="E358" s="187"/>
      <c r="F358" s="187"/>
      <c r="G358" s="187"/>
      <c r="H358" s="187"/>
      <c r="I358" s="187"/>
      <c r="J358" s="188"/>
      <c r="K358" s="187"/>
      <c r="L358" s="187"/>
      <c r="M358" s="187"/>
      <c r="N358" s="187"/>
      <c r="O358" s="187"/>
      <c r="P358" s="187"/>
      <c r="Q358" s="188"/>
      <c r="R358" s="187"/>
      <c r="S358" s="187"/>
      <c r="T358" s="187"/>
      <c r="U358" s="187"/>
      <c r="V358" s="187"/>
      <c r="W358" s="187"/>
      <c r="X358" s="188"/>
      <c r="Y358" s="187"/>
      <c r="Z358" s="187"/>
      <c r="AA358" s="187"/>
      <c r="AB358" s="187"/>
      <c r="AC358" s="187"/>
      <c r="AD358" s="187"/>
    </row>
    <row r="359" spans="3:30">
      <c r="C359" s="187"/>
      <c r="D359" s="188"/>
      <c r="E359" s="187"/>
      <c r="F359" s="187"/>
      <c r="G359" s="187"/>
      <c r="H359" s="187"/>
      <c r="I359" s="187"/>
      <c r="J359" s="188"/>
      <c r="K359" s="187"/>
      <c r="L359" s="187"/>
      <c r="M359" s="187"/>
      <c r="N359" s="187"/>
      <c r="O359" s="187"/>
      <c r="P359" s="187"/>
      <c r="Q359" s="188"/>
      <c r="R359" s="187"/>
      <c r="S359" s="187"/>
      <c r="T359" s="187"/>
      <c r="U359" s="187"/>
      <c r="V359" s="187"/>
      <c r="W359" s="187"/>
      <c r="X359" s="188"/>
      <c r="Y359" s="187"/>
      <c r="Z359" s="187"/>
      <c r="AA359" s="187"/>
      <c r="AB359" s="187"/>
      <c r="AC359" s="187"/>
      <c r="AD359" s="187"/>
    </row>
    <row r="360" spans="3:30">
      <c r="C360" s="187"/>
      <c r="D360" s="188"/>
      <c r="E360" s="187"/>
      <c r="F360" s="187"/>
      <c r="G360" s="187"/>
      <c r="H360" s="187"/>
      <c r="I360" s="187"/>
      <c r="J360" s="188"/>
      <c r="K360" s="187"/>
      <c r="L360" s="187"/>
      <c r="M360" s="187"/>
      <c r="N360" s="187"/>
      <c r="O360" s="187"/>
      <c r="P360" s="187"/>
      <c r="Q360" s="188"/>
      <c r="R360" s="187"/>
      <c r="S360" s="187"/>
      <c r="T360" s="187"/>
      <c r="U360" s="187"/>
      <c r="V360" s="187"/>
      <c r="W360" s="187"/>
      <c r="X360" s="188"/>
      <c r="Y360" s="187"/>
      <c r="Z360" s="187"/>
      <c r="AA360" s="187"/>
      <c r="AB360" s="187"/>
      <c r="AC360" s="187"/>
      <c r="AD360" s="187"/>
    </row>
    <row r="361" spans="3:30">
      <c r="C361" s="187"/>
      <c r="D361" s="188"/>
      <c r="E361" s="187"/>
      <c r="F361" s="187"/>
      <c r="G361" s="187"/>
      <c r="H361" s="187"/>
      <c r="I361" s="187"/>
      <c r="J361" s="188"/>
      <c r="K361" s="187"/>
      <c r="L361" s="187"/>
      <c r="M361" s="187"/>
      <c r="N361" s="187"/>
      <c r="O361" s="187"/>
      <c r="P361" s="187"/>
      <c r="Q361" s="188"/>
      <c r="R361" s="187"/>
      <c r="S361" s="187"/>
      <c r="T361" s="187"/>
      <c r="U361" s="187"/>
      <c r="V361" s="187"/>
      <c r="W361" s="187"/>
      <c r="X361" s="188"/>
      <c r="Y361" s="187"/>
      <c r="Z361" s="187"/>
      <c r="AA361" s="187"/>
      <c r="AB361" s="187"/>
      <c r="AC361" s="187"/>
      <c r="AD361" s="187"/>
    </row>
    <row r="362" spans="3:30">
      <c r="C362" s="187"/>
      <c r="D362" s="188"/>
      <c r="E362" s="187"/>
      <c r="F362" s="187"/>
      <c r="G362" s="187"/>
      <c r="H362" s="187"/>
      <c r="I362" s="187"/>
      <c r="J362" s="188"/>
      <c r="K362" s="187"/>
      <c r="L362" s="187"/>
      <c r="M362" s="187"/>
      <c r="N362" s="187"/>
      <c r="O362" s="187"/>
      <c r="P362" s="187"/>
      <c r="Q362" s="188"/>
      <c r="R362" s="187"/>
      <c r="S362" s="187"/>
      <c r="T362" s="187"/>
      <c r="U362" s="187"/>
      <c r="V362" s="187"/>
      <c r="W362" s="187"/>
      <c r="X362" s="188"/>
      <c r="Y362" s="187"/>
      <c r="Z362" s="187"/>
      <c r="AA362" s="187"/>
      <c r="AB362" s="187"/>
      <c r="AC362" s="187"/>
      <c r="AD362" s="187"/>
    </row>
    <row r="363" spans="3:30">
      <c r="C363" s="187"/>
      <c r="D363" s="188"/>
      <c r="E363" s="187"/>
      <c r="F363" s="187"/>
      <c r="G363" s="187"/>
      <c r="H363" s="187"/>
      <c r="I363" s="187"/>
      <c r="J363" s="188"/>
      <c r="K363" s="187"/>
      <c r="L363" s="187"/>
      <c r="M363" s="187"/>
      <c r="N363" s="187"/>
      <c r="O363" s="187"/>
      <c r="P363" s="187"/>
      <c r="Q363" s="188"/>
      <c r="R363" s="187"/>
      <c r="S363" s="187"/>
      <c r="T363" s="187"/>
      <c r="U363" s="187"/>
      <c r="V363" s="187"/>
      <c r="W363" s="187"/>
      <c r="X363" s="188"/>
      <c r="Y363" s="187"/>
      <c r="Z363" s="187"/>
      <c r="AA363" s="187"/>
      <c r="AB363" s="187"/>
      <c r="AC363" s="187"/>
      <c r="AD363" s="187"/>
    </row>
    <row r="364" spans="3:30">
      <c r="C364" s="187"/>
      <c r="D364" s="188"/>
      <c r="E364" s="187"/>
      <c r="F364" s="187"/>
      <c r="G364" s="187"/>
      <c r="H364" s="187"/>
      <c r="I364" s="187"/>
      <c r="J364" s="188"/>
      <c r="K364" s="187"/>
      <c r="L364" s="187"/>
      <c r="M364" s="187"/>
      <c r="N364" s="187"/>
      <c r="O364" s="187"/>
      <c r="P364" s="187"/>
      <c r="Q364" s="188"/>
      <c r="R364" s="187"/>
      <c r="S364" s="187"/>
      <c r="T364" s="187"/>
      <c r="U364" s="187"/>
      <c r="V364" s="187"/>
      <c r="W364" s="187"/>
      <c r="X364" s="188"/>
      <c r="Y364" s="187"/>
      <c r="Z364" s="187"/>
      <c r="AA364" s="187"/>
      <c r="AB364" s="187"/>
      <c r="AC364" s="187"/>
      <c r="AD364" s="187"/>
    </row>
    <row r="365" spans="3:30">
      <c r="C365" s="187"/>
      <c r="D365" s="188"/>
      <c r="E365" s="187"/>
      <c r="F365" s="187"/>
      <c r="G365" s="187"/>
      <c r="H365" s="187"/>
      <c r="I365" s="187"/>
      <c r="J365" s="188"/>
      <c r="K365" s="187"/>
      <c r="L365" s="187"/>
      <c r="M365" s="187"/>
      <c r="N365" s="187"/>
      <c r="O365" s="187"/>
      <c r="P365" s="187"/>
      <c r="Q365" s="188"/>
      <c r="R365" s="187"/>
      <c r="S365" s="187"/>
      <c r="T365" s="187"/>
      <c r="U365" s="187"/>
      <c r="V365" s="187"/>
      <c r="W365" s="187"/>
      <c r="X365" s="188"/>
      <c r="Y365" s="187"/>
      <c r="Z365" s="187"/>
      <c r="AA365" s="187"/>
      <c r="AB365" s="187"/>
      <c r="AC365" s="187"/>
      <c r="AD365" s="187"/>
    </row>
    <row r="366" spans="3:30">
      <c r="C366" s="187"/>
      <c r="D366" s="188"/>
      <c r="E366" s="187"/>
      <c r="F366" s="187"/>
      <c r="G366" s="187"/>
      <c r="H366" s="187"/>
      <c r="I366" s="187"/>
      <c r="J366" s="188"/>
      <c r="K366" s="187"/>
      <c r="L366" s="187"/>
      <c r="M366" s="187"/>
      <c r="N366" s="187"/>
      <c r="O366" s="187"/>
      <c r="P366" s="187"/>
      <c r="Q366" s="188"/>
      <c r="R366" s="187"/>
      <c r="S366" s="187"/>
      <c r="T366" s="187"/>
      <c r="U366" s="187"/>
      <c r="V366" s="187"/>
      <c r="W366" s="187"/>
      <c r="X366" s="188"/>
      <c r="Y366" s="187"/>
      <c r="Z366" s="187"/>
      <c r="AA366" s="187"/>
      <c r="AB366" s="187"/>
      <c r="AC366" s="187"/>
      <c r="AD366" s="187"/>
    </row>
    <row r="367" spans="3:30">
      <c r="C367" s="187"/>
      <c r="D367" s="188"/>
      <c r="E367" s="187"/>
      <c r="F367" s="187"/>
      <c r="G367" s="187"/>
      <c r="H367" s="187"/>
      <c r="I367" s="187"/>
      <c r="J367" s="188"/>
      <c r="K367" s="187"/>
      <c r="L367" s="187"/>
      <c r="M367" s="187"/>
      <c r="N367" s="187"/>
      <c r="O367" s="187"/>
      <c r="P367" s="187"/>
      <c r="Q367" s="188"/>
      <c r="R367" s="187"/>
      <c r="S367" s="187"/>
      <c r="T367" s="187"/>
      <c r="U367" s="187"/>
      <c r="V367" s="187"/>
      <c r="W367" s="187"/>
      <c r="X367" s="188"/>
      <c r="Y367" s="187"/>
      <c r="Z367" s="187"/>
      <c r="AA367" s="187"/>
      <c r="AB367" s="187"/>
      <c r="AC367" s="187"/>
      <c r="AD367" s="187"/>
    </row>
    <row r="368" spans="3:30">
      <c r="C368" s="187"/>
      <c r="D368" s="188"/>
      <c r="E368" s="187"/>
      <c r="F368" s="187"/>
      <c r="G368" s="187"/>
      <c r="H368" s="187"/>
      <c r="I368" s="187"/>
      <c r="J368" s="188"/>
      <c r="K368" s="187"/>
      <c r="L368" s="187"/>
      <c r="M368" s="187"/>
      <c r="N368" s="187"/>
      <c r="O368" s="187"/>
      <c r="P368" s="187"/>
      <c r="Q368" s="188"/>
      <c r="R368" s="187"/>
      <c r="S368" s="187"/>
      <c r="T368" s="187"/>
      <c r="U368" s="187"/>
      <c r="V368" s="187"/>
      <c r="W368" s="187"/>
      <c r="X368" s="188"/>
      <c r="Y368" s="187"/>
      <c r="Z368" s="187"/>
      <c r="AA368" s="187"/>
      <c r="AB368" s="187"/>
      <c r="AC368" s="187"/>
      <c r="AD368" s="187"/>
    </row>
    <row r="369" spans="3:30">
      <c r="C369" s="187"/>
      <c r="D369" s="188"/>
      <c r="E369" s="187"/>
      <c r="F369" s="187"/>
      <c r="G369" s="187"/>
      <c r="H369" s="187"/>
      <c r="I369" s="187"/>
      <c r="J369" s="188"/>
      <c r="K369" s="187"/>
      <c r="L369" s="187"/>
      <c r="M369" s="187"/>
      <c r="N369" s="187"/>
      <c r="O369" s="187"/>
      <c r="P369" s="187"/>
      <c r="Q369" s="188"/>
      <c r="R369" s="187"/>
      <c r="S369" s="187"/>
      <c r="T369" s="187"/>
      <c r="U369" s="187"/>
      <c r="V369" s="187"/>
      <c r="W369" s="187"/>
      <c r="X369" s="188"/>
      <c r="Y369" s="187"/>
      <c r="Z369" s="187"/>
      <c r="AA369" s="187"/>
      <c r="AB369" s="187"/>
      <c r="AC369" s="187"/>
      <c r="AD369" s="187"/>
    </row>
    <row r="370" spans="3:30">
      <c r="C370" s="187"/>
      <c r="D370" s="188"/>
      <c r="E370" s="187"/>
      <c r="F370" s="187"/>
      <c r="G370" s="187"/>
      <c r="H370" s="187"/>
      <c r="I370" s="187"/>
      <c r="J370" s="188"/>
      <c r="K370" s="187"/>
      <c r="L370" s="187"/>
      <c r="M370" s="187"/>
      <c r="N370" s="187"/>
      <c r="O370" s="187"/>
      <c r="P370" s="187"/>
      <c r="Q370" s="188"/>
      <c r="R370" s="187"/>
      <c r="S370" s="187"/>
      <c r="T370" s="187"/>
      <c r="U370" s="187"/>
      <c r="V370" s="187"/>
      <c r="W370" s="187"/>
      <c r="X370" s="188"/>
      <c r="Y370" s="187"/>
      <c r="Z370" s="187"/>
      <c r="AA370" s="187"/>
      <c r="AB370" s="187"/>
      <c r="AC370" s="187"/>
      <c r="AD370" s="187"/>
    </row>
    <row r="371" spans="3:30">
      <c r="C371" s="187"/>
      <c r="D371" s="188"/>
      <c r="E371" s="187"/>
      <c r="F371" s="187"/>
      <c r="G371" s="187"/>
      <c r="H371" s="187"/>
      <c r="I371" s="187"/>
      <c r="J371" s="188"/>
      <c r="K371" s="187"/>
      <c r="L371" s="187"/>
      <c r="M371" s="187"/>
      <c r="N371" s="187"/>
      <c r="O371" s="187"/>
      <c r="P371" s="187"/>
      <c r="Q371" s="188"/>
      <c r="R371" s="187"/>
      <c r="S371" s="187"/>
      <c r="T371" s="187"/>
      <c r="U371" s="187"/>
      <c r="V371" s="187"/>
      <c r="W371" s="187"/>
      <c r="X371" s="188"/>
      <c r="Y371" s="187"/>
      <c r="Z371" s="187"/>
      <c r="AA371" s="187"/>
      <c r="AB371" s="187"/>
      <c r="AC371" s="187"/>
      <c r="AD371" s="187"/>
    </row>
    <row r="372" spans="3:30">
      <c r="C372" s="187"/>
      <c r="D372" s="188"/>
      <c r="E372" s="187"/>
      <c r="F372" s="187"/>
      <c r="G372" s="187"/>
      <c r="H372" s="187"/>
      <c r="I372" s="187"/>
      <c r="J372" s="188"/>
      <c r="K372" s="187"/>
      <c r="L372" s="187"/>
      <c r="M372" s="187"/>
      <c r="N372" s="187"/>
      <c r="O372" s="187"/>
      <c r="P372" s="187"/>
      <c r="Q372" s="188"/>
      <c r="R372" s="187"/>
      <c r="S372" s="187"/>
      <c r="T372" s="187"/>
      <c r="U372" s="187"/>
      <c r="V372" s="187"/>
      <c r="W372" s="187"/>
      <c r="X372" s="188"/>
      <c r="Y372" s="187"/>
      <c r="Z372" s="187"/>
      <c r="AA372" s="187"/>
      <c r="AB372" s="187"/>
      <c r="AC372" s="187"/>
      <c r="AD372" s="187"/>
    </row>
    <row r="373" spans="3:30">
      <c r="C373" s="187"/>
      <c r="D373" s="188"/>
      <c r="E373" s="187"/>
      <c r="F373" s="187"/>
      <c r="G373" s="187"/>
      <c r="H373" s="187"/>
      <c r="I373" s="187"/>
      <c r="J373" s="188"/>
      <c r="K373" s="187"/>
      <c r="L373" s="187"/>
      <c r="M373" s="187"/>
      <c r="N373" s="187"/>
      <c r="O373" s="187"/>
      <c r="P373" s="187"/>
      <c r="Q373" s="188"/>
      <c r="R373" s="187"/>
      <c r="S373" s="187"/>
      <c r="T373" s="187"/>
      <c r="U373" s="187"/>
      <c r="V373" s="187"/>
      <c r="W373" s="187"/>
      <c r="X373" s="188"/>
      <c r="Y373" s="187"/>
      <c r="Z373" s="187"/>
      <c r="AA373" s="187"/>
      <c r="AB373" s="187"/>
      <c r="AC373" s="187"/>
      <c r="AD373" s="187"/>
    </row>
    <row r="374" spans="3:30">
      <c r="C374" s="187"/>
      <c r="D374" s="188"/>
      <c r="E374" s="187"/>
      <c r="F374" s="187"/>
      <c r="G374" s="187"/>
      <c r="H374" s="187"/>
      <c r="I374" s="187"/>
      <c r="J374" s="188"/>
      <c r="K374" s="187"/>
      <c r="L374" s="187"/>
      <c r="M374" s="187"/>
      <c r="N374" s="187"/>
      <c r="O374" s="187"/>
      <c r="P374" s="187"/>
      <c r="Q374" s="188"/>
      <c r="R374" s="187"/>
      <c r="S374" s="187"/>
      <c r="T374" s="187"/>
      <c r="U374" s="187"/>
      <c r="V374" s="187"/>
      <c r="W374" s="187"/>
      <c r="X374" s="188"/>
      <c r="Y374" s="187"/>
      <c r="Z374" s="187"/>
      <c r="AA374" s="187"/>
      <c r="AB374" s="187"/>
      <c r="AC374" s="187"/>
      <c r="AD374" s="187"/>
    </row>
    <row r="375" spans="3:30">
      <c r="C375" s="187"/>
      <c r="D375" s="188"/>
      <c r="E375" s="187"/>
      <c r="F375" s="187"/>
      <c r="G375" s="187"/>
      <c r="H375" s="187"/>
      <c r="I375" s="187"/>
      <c r="J375" s="188"/>
      <c r="K375" s="187"/>
      <c r="L375" s="187"/>
      <c r="M375" s="187"/>
      <c r="N375" s="187"/>
      <c r="O375" s="187"/>
      <c r="P375" s="187"/>
      <c r="Q375" s="188"/>
      <c r="R375" s="187"/>
      <c r="S375" s="187"/>
      <c r="T375" s="187"/>
      <c r="U375" s="187"/>
      <c r="V375" s="187"/>
      <c r="W375" s="187"/>
      <c r="X375" s="188"/>
      <c r="Y375" s="187"/>
      <c r="Z375" s="187"/>
      <c r="AA375" s="187"/>
      <c r="AB375" s="187"/>
      <c r="AC375" s="187"/>
      <c r="AD375" s="187"/>
    </row>
    <row r="376" spans="3:30">
      <c r="C376" s="187"/>
      <c r="D376" s="188"/>
      <c r="E376" s="187"/>
      <c r="F376" s="187"/>
      <c r="G376" s="187"/>
      <c r="H376" s="187"/>
      <c r="I376" s="187"/>
      <c r="J376" s="188"/>
      <c r="K376" s="187"/>
      <c r="L376" s="187"/>
      <c r="M376" s="187"/>
      <c r="N376" s="187"/>
      <c r="O376" s="187"/>
      <c r="P376" s="187"/>
      <c r="Q376" s="188"/>
      <c r="R376" s="187"/>
      <c r="S376" s="187"/>
      <c r="T376" s="187"/>
      <c r="U376" s="187"/>
      <c r="V376" s="187"/>
      <c r="W376" s="187"/>
      <c r="X376" s="188"/>
      <c r="Y376" s="187"/>
      <c r="Z376" s="187"/>
      <c r="AA376" s="187"/>
      <c r="AB376" s="187"/>
      <c r="AC376" s="187"/>
      <c r="AD376" s="187"/>
    </row>
    <row r="377" spans="3:30">
      <c r="C377" s="187"/>
      <c r="D377" s="188"/>
      <c r="E377" s="187"/>
      <c r="F377" s="187"/>
      <c r="G377" s="187"/>
      <c r="H377" s="187"/>
      <c r="I377" s="187"/>
      <c r="J377" s="188"/>
      <c r="K377" s="187"/>
      <c r="L377" s="187"/>
      <c r="M377" s="187"/>
      <c r="N377" s="187"/>
      <c r="O377" s="187"/>
      <c r="P377" s="187"/>
      <c r="Q377" s="188"/>
      <c r="R377" s="187"/>
      <c r="S377" s="187"/>
      <c r="T377" s="187"/>
      <c r="U377" s="187"/>
      <c r="V377" s="187"/>
      <c r="W377" s="187"/>
      <c r="X377" s="188"/>
      <c r="Y377" s="187"/>
      <c r="Z377" s="187"/>
      <c r="AA377" s="187"/>
      <c r="AB377" s="187"/>
      <c r="AC377" s="187"/>
      <c r="AD377" s="187"/>
    </row>
    <row r="378" spans="3:30">
      <c r="C378" s="187"/>
      <c r="D378" s="188"/>
      <c r="E378" s="187"/>
      <c r="F378" s="187"/>
      <c r="G378" s="187"/>
      <c r="H378" s="187"/>
      <c r="I378" s="187"/>
      <c r="J378" s="188"/>
      <c r="K378" s="187"/>
      <c r="L378" s="187"/>
      <c r="M378" s="187"/>
      <c r="N378" s="187"/>
      <c r="O378" s="187"/>
      <c r="P378" s="187"/>
      <c r="Q378" s="188"/>
      <c r="R378" s="187"/>
      <c r="S378" s="187"/>
      <c r="T378" s="187"/>
      <c r="U378" s="187"/>
      <c r="V378" s="187"/>
      <c r="W378" s="187"/>
      <c r="X378" s="188"/>
      <c r="Y378" s="187"/>
      <c r="Z378" s="187"/>
      <c r="AA378" s="187"/>
      <c r="AB378" s="187"/>
      <c r="AC378" s="187"/>
      <c r="AD378" s="187"/>
    </row>
    <row r="379" spans="3:30">
      <c r="C379" s="187"/>
      <c r="D379" s="188"/>
      <c r="E379" s="187"/>
      <c r="F379" s="187"/>
      <c r="G379" s="187"/>
      <c r="H379" s="187"/>
      <c r="I379" s="187"/>
      <c r="J379" s="188"/>
      <c r="K379" s="187"/>
      <c r="L379" s="187"/>
      <c r="M379" s="187"/>
      <c r="N379" s="187"/>
      <c r="O379" s="187"/>
      <c r="P379" s="187"/>
      <c r="Q379" s="188"/>
      <c r="R379" s="187"/>
      <c r="S379" s="187"/>
      <c r="T379" s="187"/>
      <c r="U379" s="187"/>
      <c r="V379" s="187"/>
      <c r="W379" s="187"/>
      <c r="X379" s="188"/>
      <c r="Y379" s="187"/>
      <c r="Z379" s="187"/>
      <c r="AA379" s="187"/>
      <c r="AB379" s="187"/>
      <c r="AC379" s="187"/>
      <c r="AD379" s="187"/>
    </row>
    <row r="380" spans="3:30">
      <c r="C380" s="187"/>
      <c r="D380" s="188"/>
      <c r="E380" s="187"/>
      <c r="F380" s="187"/>
      <c r="G380" s="187"/>
      <c r="H380" s="187"/>
      <c r="I380" s="187"/>
      <c r="J380" s="188"/>
      <c r="K380" s="187"/>
      <c r="L380" s="187"/>
      <c r="M380" s="187"/>
      <c r="N380" s="187"/>
      <c r="O380" s="187"/>
      <c r="P380" s="187"/>
      <c r="Q380" s="188"/>
      <c r="R380" s="187"/>
      <c r="S380" s="187"/>
      <c r="T380" s="187"/>
      <c r="U380" s="187"/>
      <c r="V380" s="187"/>
      <c r="W380" s="187"/>
      <c r="X380" s="188"/>
      <c r="Y380" s="187"/>
      <c r="Z380" s="187"/>
      <c r="AA380" s="187"/>
      <c r="AB380" s="187"/>
      <c r="AC380" s="187"/>
      <c r="AD380" s="187"/>
    </row>
    <row r="381" spans="3:30">
      <c r="C381" s="187"/>
      <c r="D381" s="188"/>
      <c r="E381" s="187"/>
      <c r="F381" s="187"/>
      <c r="G381" s="187"/>
      <c r="H381" s="187"/>
      <c r="I381" s="187"/>
      <c r="J381" s="188"/>
      <c r="K381" s="187"/>
      <c r="L381" s="187"/>
      <c r="M381" s="187"/>
      <c r="N381" s="187"/>
      <c r="O381" s="187"/>
      <c r="P381" s="187"/>
      <c r="Q381" s="188"/>
      <c r="R381" s="187"/>
      <c r="S381" s="187"/>
      <c r="T381" s="187"/>
      <c r="U381" s="187"/>
      <c r="V381" s="187"/>
      <c r="W381" s="187"/>
      <c r="X381" s="188"/>
      <c r="Y381" s="187"/>
      <c r="Z381" s="187"/>
      <c r="AA381" s="187"/>
      <c r="AB381" s="187"/>
      <c r="AC381" s="187"/>
      <c r="AD381" s="187"/>
    </row>
    <row r="382" spans="3:30">
      <c r="C382" s="187"/>
      <c r="D382" s="188"/>
      <c r="E382" s="187"/>
      <c r="F382" s="187"/>
      <c r="G382" s="187"/>
      <c r="H382" s="187"/>
      <c r="I382" s="187"/>
      <c r="J382" s="188"/>
      <c r="K382" s="187"/>
      <c r="L382" s="187"/>
      <c r="M382" s="187"/>
      <c r="N382" s="187"/>
      <c r="O382" s="187"/>
      <c r="P382" s="187"/>
      <c r="Q382" s="188"/>
      <c r="R382" s="187"/>
      <c r="S382" s="187"/>
      <c r="T382" s="187"/>
      <c r="U382" s="187"/>
      <c r="V382" s="187"/>
      <c r="W382" s="187"/>
      <c r="X382" s="188"/>
      <c r="Y382" s="187"/>
      <c r="Z382" s="187"/>
      <c r="AA382" s="187"/>
      <c r="AB382" s="187"/>
      <c r="AC382" s="187"/>
      <c r="AD382" s="187"/>
    </row>
    <row r="383" spans="3:30">
      <c r="C383" s="187"/>
      <c r="D383" s="188"/>
      <c r="E383" s="187"/>
      <c r="F383" s="187"/>
      <c r="G383" s="187"/>
      <c r="H383" s="187"/>
      <c r="I383" s="187"/>
      <c r="J383" s="188"/>
      <c r="K383" s="187"/>
      <c r="L383" s="187"/>
      <c r="M383" s="187"/>
      <c r="N383" s="187"/>
      <c r="O383" s="187"/>
      <c r="P383" s="187"/>
      <c r="Q383" s="188"/>
      <c r="R383" s="187"/>
      <c r="S383" s="187"/>
      <c r="T383" s="187"/>
      <c r="U383" s="187"/>
      <c r="V383" s="187"/>
      <c r="W383" s="187"/>
      <c r="X383" s="188"/>
      <c r="Y383" s="187"/>
      <c r="Z383" s="187"/>
      <c r="AA383" s="187"/>
      <c r="AB383" s="187"/>
      <c r="AC383" s="187"/>
      <c r="AD383" s="187"/>
    </row>
    <row r="384" spans="3:30">
      <c r="C384" s="187"/>
      <c r="D384" s="188"/>
      <c r="E384" s="187"/>
      <c r="F384" s="187"/>
      <c r="G384" s="187"/>
      <c r="H384" s="187"/>
      <c r="I384" s="187"/>
      <c r="J384" s="188"/>
      <c r="K384" s="187"/>
      <c r="L384" s="187"/>
      <c r="M384" s="187"/>
      <c r="N384" s="187"/>
      <c r="O384" s="187"/>
      <c r="P384" s="187"/>
      <c r="Q384" s="188"/>
      <c r="R384" s="187"/>
      <c r="S384" s="187"/>
      <c r="T384" s="187"/>
      <c r="U384" s="187"/>
      <c r="V384" s="187"/>
      <c r="W384" s="187"/>
      <c r="X384" s="188"/>
      <c r="Y384" s="187"/>
      <c r="Z384" s="187"/>
      <c r="AA384" s="187"/>
      <c r="AB384" s="187"/>
      <c r="AC384" s="187"/>
      <c r="AD384" s="187"/>
    </row>
    <row r="385" spans="24:30">
      <c r="X385" s="188"/>
      <c r="Y385" s="187"/>
      <c r="Z385" s="187"/>
      <c r="AA385" s="187"/>
      <c r="AB385" s="187"/>
      <c r="AC385" s="187"/>
      <c r="AD385" s="187"/>
    </row>
    <row r="386" spans="24:30">
      <c r="X386" s="188"/>
      <c r="Y386" s="187"/>
      <c r="Z386" s="187"/>
      <c r="AA386" s="187"/>
      <c r="AB386" s="187"/>
      <c r="AC386" s="187"/>
      <c r="AD386" s="187"/>
    </row>
    <row r="387" spans="24:30">
      <c r="X387" s="188"/>
      <c r="Y387" s="187"/>
      <c r="Z387" s="187"/>
      <c r="AA387" s="187"/>
      <c r="AB387" s="187"/>
      <c r="AC387" s="187"/>
      <c r="AD387" s="187"/>
    </row>
    <row r="388" spans="24:30">
      <c r="X388" s="188"/>
      <c r="Y388" s="187"/>
      <c r="Z388" s="187"/>
      <c r="AA388" s="187"/>
      <c r="AB388" s="187"/>
      <c r="AC388" s="187"/>
      <c r="AD388" s="187"/>
    </row>
    <row r="389" spans="24:30">
      <c r="X389" s="188"/>
      <c r="Y389" s="187"/>
      <c r="Z389" s="187"/>
      <c r="AA389" s="187"/>
      <c r="AB389" s="187"/>
      <c r="AC389" s="187"/>
      <c r="AD389" s="187"/>
    </row>
    <row r="390" spans="24:30">
      <c r="X390" s="188"/>
      <c r="Y390" s="187"/>
      <c r="Z390" s="187"/>
      <c r="AA390" s="187"/>
      <c r="AB390" s="187"/>
      <c r="AC390" s="187"/>
      <c r="AD390" s="187"/>
    </row>
    <row r="391" spans="24:30">
      <c r="X391" s="188"/>
      <c r="Y391" s="187"/>
      <c r="Z391" s="187"/>
      <c r="AA391" s="187"/>
      <c r="AB391" s="187"/>
      <c r="AC391" s="187"/>
      <c r="AD391" s="187"/>
    </row>
    <row r="392" spans="24:30">
      <c r="X392" s="188"/>
      <c r="Y392" s="187"/>
      <c r="Z392" s="187"/>
      <c r="AA392" s="187"/>
      <c r="AB392" s="187"/>
      <c r="AC392" s="187"/>
      <c r="AD392" s="187"/>
    </row>
    <row r="393" spans="24:30">
      <c r="X393" s="188"/>
      <c r="Y393" s="187"/>
      <c r="Z393" s="187"/>
      <c r="AA393" s="187"/>
      <c r="AB393" s="187"/>
      <c r="AC393" s="187"/>
      <c r="AD393" s="187"/>
    </row>
    <row r="394" spans="24:30">
      <c r="Y394" s="187"/>
      <c r="AA394" s="187"/>
      <c r="AB394" s="187"/>
      <c r="AC394" s="187"/>
      <c r="AD394" s="187"/>
    </row>
    <row r="395" spans="24:30">
      <c r="Y395" s="187"/>
      <c r="AA395" s="187"/>
      <c r="AB395" s="187"/>
      <c r="AC395" s="187"/>
      <c r="AD395" s="187"/>
    </row>
    <row r="396" spans="24:30">
      <c r="AA396" s="187"/>
      <c r="AB396" s="187"/>
      <c r="AC396" s="187"/>
      <c r="AD396" s="187"/>
    </row>
    <row r="397" spans="24:30">
      <c r="AA397" s="187"/>
    </row>
    <row r="398" spans="24:30">
      <c r="AA398" s="187"/>
    </row>
    <row r="399" spans="24:30">
      <c r="AA399" s="187"/>
    </row>
  </sheetData>
  <mergeCells count="13">
    <mergeCell ref="S50:U50"/>
    <mergeCell ref="V50:AE50"/>
    <mergeCell ref="S45:U45"/>
    <mergeCell ref="V45:AE45"/>
    <mergeCell ref="S46:U46"/>
    <mergeCell ref="V46:AE46"/>
    <mergeCell ref="S47:U47"/>
    <mergeCell ref="V47:AE47"/>
    <mergeCell ref="AE5:AI5"/>
    <mergeCell ref="S48:U48"/>
    <mergeCell ref="V48:AE48"/>
    <mergeCell ref="S49:U49"/>
    <mergeCell ref="V49:AE49"/>
  </mergeCells>
  <pageMargins left="0.7" right="0.7" top="0.75" bottom="0.75" header="0.3" footer="0.3"/>
  <pageSetup scale="64" orientation="landscape" r:id="rId1"/>
  <headerFooter>
    <oddHeader>&amp;L&amp;"Calibri"&amp;9&amp;K000000Classification: Internal&amp;1#</oddHeader>
  </headerFooter>
  <rowBreaks count="1" manualBreakCount="1">
    <brk id="55" max="16383" man="1"/>
  </rowBreaks>
  <ignoredErrors>
    <ignoredError sqref="S49 C41:C43 C4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R493"/>
  <sheetViews>
    <sheetView topLeftCell="A16" zoomScale="85" zoomScaleNormal="85" workbookViewId="0">
      <selection activeCell="F38" sqref="F38"/>
    </sheetView>
  </sheetViews>
  <sheetFormatPr defaultRowHeight="12.5"/>
  <cols>
    <col min="1" max="1" width="5.1796875" customWidth="1"/>
    <col min="2" max="2" width="11.453125" style="241" customWidth="1"/>
    <col min="3" max="3" width="11.453125" style="242" customWidth="1"/>
    <col min="4" max="4" width="22.453125" customWidth="1"/>
    <col min="5" max="5" width="4.1796875" customWidth="1"/>
    <col min="6" max="6" width="22.54296875" style="35" customWidth="1"/>
    <col min="7" max="7" width="10.54296875" style="242" bestFit="1" customWidth="1"/>
    <col min="8" max="8" width="10.1796875" style="242" customWidth="1"/>
    <col min="9" max="10" width="2.1796875" customWidth="1"/>
    <col min="11" max="11" width="12.7265625" customWidth="1"/>
    <col min="12" max="12" width="13.54296875" customWidth="1"/>
    <col min="13" max="13" width="13.26953125" customWidth="1"/>
    <col min="14" max="15" width="2.1796875" customWidth="1"/>
    <col min="16" max="16" width="24.453125" bestFit="1" customWidth="1"/>
    <col min="17" max="17" width="11.81640625" customWidth="1"/>
    <col min="18" max="18" width="7.54296875" customWidth="1"/>
    <col min="19" max="19" width="7.81640625" customWidth="1"/>
    <col min="20" max="20" width="8.1796875" customWidth="1"/>
    <col min="21" max="21" width="6.7265625" customWidth="1"/>
    <col min="22" max="22" width="10.7265625" customWidth="1"/>
    <col min="239" max="240" width="8.81640625" customWidth="1"/>
    <col min="241" max="241" width="14" customWidth="1"/>
    <col min="243" max="244" width="8.81640625" customWidth="1"/>
    <col min="248" max="249" width="8.81640625" customWidth="1"/>
    <col min="250" max="250" width="11.81640625" customWidth="1"/>
    <col min="251" max="251" width="8.81640625" customWidth="1"/>
    <col min="252" max="260" width="0" hidden="1" customWidth="1"/>
    <col min="495" max="496" width="8.81640625" customWidth="1"/>
    <col min="497" max="497" width="14" customWidth="1"/>
    <col min="499" max="500" width="8.81640625" customWidth="1"/>
    <col min="504" max="505" width="8.81640625" customWidth="1"/>
    <col min="506" max="506" width="11.81640625" customWidth="1"/>
    <col min="507" max="507" width="8.81640625" customWidth="1"/>
    <col min="508" max="516" width="0" hidden="1" customWidth="1"/>
    <col min="751" max="752" width="8.81640625" customWidth="1"/>
    <col min="753" max="753" width="14" customWidth="1"/>
    <col min="755" max="756" width="8.81640625" customWidth="1"/>
    <col min="760" max="761" width="8.81640625" customWidth="1"/>
    <col min="762" max="762" width="11.81640625" customWidth="1"/>
    <col min="763" max="763" width="8.81640625" customWidth="1"/>
    <col min="764" max="772" width="0" hidden="1" customWidth="1"/>
    <col min="1007" max="1008" width="8.81640625" customWidth="1"/>
    <col min="1009" max="1009" width="14" customWidth="1"/>
    <col min="1011" max="1012" width="8.81640625" customWidth="1"/>
    <col min="1016" max="1017" width="8.81640625" customWidth="1"/>
    <col min="1018" max="1018" width="11.81640625" customWidth="1"/>
    <col min="1019" max="1019" width="8.81640625" customWidth="1"/>
    <col min="1020" max="1028" width="0" hidden="1" customWidth="1"/>
    <col min="1263" max="1264" width="8.81640625" customWidth="1"/>
    <col min="1265" max="1265" width="14" customWidth="1"/>
    <col min="1267" max="1268" width="8.81640625" customWidth="1"/>
    <col min="1272" max="1273" width="8.81640625" customWidth="1"/>
    <col min="1274" max="1274" width="11.81640625" customWidth="1"/>
    <col min="1275" max="1275" width="8.81640625" customWidth="1"/>
    <col min="1276" max="1284" width="0" hidden="1" customWidth="1"/>
    <col min="1519" max="1520" width="8.81640625" customWidth="1"/>
    <col min="1521" max="1521" width="14" customWidth="1"/>
    <col min="1523" max="1524" width="8.81640625" customWidth="1"/>
    <col min="1528" max="1529" width="8.81640625" customWidth="1"/>
    <col min="1530" max="1530" width="11.81640625" customWidth="1"/>
    <col min="1531" max="1531" width="8.81640625" customWidth="1"/>
    <col min="1532" max="1540" width="0" hidden="1" customWidth="1"/>
    <col min="1775" max="1776" width="8.81640625" customWidth="1"/>
    <col min="1777" max="1777" width="14" customWidth="1"/>
    <col min="1779" max="1780" width="8.81640625" customWidth="1"/>
    <col min="1784" max="1785" width="8.81640625" customWidth="1"/>
    <col min="1786" max="1786" width="11.81640625" customWidth="1"/>
    <col min="1787" max="1787" width="8.81640625" customWidth="1"/>
    <col min="1788" max="1796" width="0" hidden="1" customWidth="1"/>
    <col min="2031" max="2032" width="8.81640625" customWidth="1"/>
    <col min="2033" max="2033" width="14" customWidth="1"/>
    <col min="2035" max="2036" width="8.81640625" customWidth="1"/>
    <col min="2040" max="2041" width="8.81640625" customWidth="1"/>
    <col min="2042" max="2042" width="11.81640625" customWidth="1"/>
    <col min="2043" max="2043" width="8.81640625" customWidth="1"/>
    <col min="2044" max="2052" width="0" hidden="1" customWidth="1"/>
    <col min="2287" max="2288" width="8.81640625" customWidth="1"/>
    <col min="2289" max="2289" width="14" customWidth="1"/>
    <col min="2291" max="2292" width="8.81640625" customWidth="1"/>
    <col min="2296" max="2297" width="8.81640625" customWidth="1"/>
    <col min="2298" max="2298" width="11.81640625" customWidth="1"/>
    <col min="2299" max="2299" width="8.81640625" customWidth="1"/>
    <col min="2300" max="2308" width="0" hidden="1" customWidth="1"/>
    <col min="2543" max="2544" width="8.81640625" customWidth="1"/>
    <col min="2545" max="2545" width="14" customWidth="1"/>
    <col min="2547" max="2548" width="8.81640625" customWidth="1"/>
    <col min="2552" max="2553" width="8.81640625" customWidth="1"/>
    <col min="2554" max="2554" width="11.81640625" customWidth="1"/>
    <col min="2555" max="2555" width="8.81640625" customWidth="1"/>
    <col min="2556" max="2564" width="0" hidden="1" customWidth="1"/>
    <col min="2799" max="2800" width="8.81640625" customWidth="1"/>
    <col min="2801" max="2801" width="14" customWidth="1"/>
    <col min="2803" max="2804" width="8.81640625" customWidth="1"/>
    <col min="2808" max="2809" width="8.81640625" customWidth="1"/>
    <col min="2810" max="2810" width="11.81640625" customWidth="1"/>
    <col min="2811" max="2811" width="8.81640625" customWidth="1"/>
    <col min="2812" max="2820" width="0" hidden="1" customWidth="1"/>
    <col min="3055" max="3056" width="8.81640625" customWidth="1"/>
    <col min="3057" max="3057" width="14" customWidth="1"/>
    <col min="3059" max="3060" width="8.81640625" customWidth="1"/>
    <col min="3064" max="3065" width="8.81640625" customWidth="1"/>
    <col min="3066" max="3066" width="11.81640625" customWidth="1"/>
    <col min="3067" max="3067" width="8.81640625" customWidth="1"/>
    <col min="3068" max="3076" width="0" hidden="1" customWidth="1"/>
    <col min="3311" max="3312" width="8.81640625" customWidth="1"/>
    <col min="3313" max="3313" width="14" customWidth="1"/>
    <col min="3315" max="3316" width="8.81640625" customWidth="1"/>
    <col min="3320" max="3321" width="8.81640625" customWidth="1"/>
    <col min="3322" max="3322" width="11.81640625" customWidth="1"/>
    <col min="3323" max="3323" width="8.81640625" customWidth="1"/>
    <col min="3324" max="3332" width="0" hidden="1" customWidth="1"/>
    <col min="3567" max="3568" width="8.81640625" customWidth="1"/>
    <col min="3569" max="3569" width="14" customWidth="1"/>
    <col min="3571" max="3572" width="8.81640625" customWidth="1"/>
    <col min="3576" max="3577" width="8.81640625" customWidth="1"/>
    <col min="3578" max="3578" width="11.81640625" customWidth="1"/>
    <col min="3579" max="3579" width="8.81640625" customWidth="1"/>
    <col min="3580" max="3588" width="0" hidden="1" customWidth="1"/>
    <col min="3823" max="3824" width="8.81640625" customWidth="1"/>
    <col min="3825" max="3825" width="14" customWidth="1"/>
    <col min="3827" max="3828" width="8.81640625" customWidth="1"/>
    <col min="3832" max="3833" width="8.81640625" customWidth="1"/>
    <col min="3834" max="3834" width="11.81640625" customWidth="1"/>
    <col min="3835" max="3835" width="8.81640625" customWidth="1"/>
    <col min="3836" max="3844" width="0" hidden="1" customWidth="1"/>
    <col min="4079" max="4080" width="8.81640625" customWidth="1"/>
    <col min="4081" max="4081" width="14" customWidth="1"/>
    <col min="4083" max="4084" width="8.81640625" customWidth="1"/>
    <col min="4088" max="4089" width="8.81640625" customWidth="1"/>
    <col min="4090" max="4090" width="11.81640625" customWidth="1"/>
    <col min="4091" max="4091" width="8.81640625" customWidth="1"/>
    <col min="4092" max="4100" width="0" hidden="1" customWidth="1"/>
    <col min="4335" max="4336" width="8.81640625" customWidth="1"/>
    <col min="4337" max="4337" width="14" customWidth="1"/>
    <col min="4339" max="4340" width="8.81640625" customWidth="1"/>
    <col min="4344" max="4345" width="8.81640625" customWidth="1"/>
    <col min="4346" max="4346" width="11.81640625" customWidth="1"/>
    <col min="4347" max="4347" width="8.81640625" customWidth="1"/>
    <col min="4348" max="4356" width="0" hidden="1" customWidth="1"/>
    <col min="4591" max="4592" width="8.81640625" customWidth="1"/>
    <col min="4593" max="4593" width="14" customWidth="1"/>
    <col min="4595" max="4596" width="8.81640625" customWidth="1"/>
    <col min="4600" max="4601" width="8.81640625" customWidth="1"/>
    <col min="4602" max="4602" width="11.81640625" customWidth="1"/>
    <col min="4603" max="4603" width="8.81640625" customWidth="1"/>
    <col min="4604" max="4612" width="0" hidden="1" customWidth="1"/>
    <col min="4847" max="4848" width="8.81640625" customWidth="1"/>
    <col min="4849" max="4849" width="14" customWidth="1"/>
    <col min="4851" max="4852" width="8.81640625" customWidth="1"/>
    <col min="4856" max="4857" width="8.81640625" customWidth="1"/>
    <col min="4858" max="4858" width="11.81640625" customWidth="1"/>
    <col min="4859" max="4859" width="8.81640625" customWidth="1"/>
    <col min="4860" max="4868" width="0" hidden="1" customWidth="1"/>
    <col min="5103" max="5104" width="8.81640625" customWidth="1"/>
    <col min="5105" max="5105" width="14" customWidth="1"/>
    <col min="5107" max="5108" width="8.81640625" customWidth="1"/>
    <col min="5112" max="5113" width="8.81640625" customWidth="1"/>
    <col min="5114" max="5114" width="11.81640625" customWidth="1"/>
    <col min="5115" max="5115" width="8.81640625" customWidth="1"/>
    <col min="5116" max="5124" width="0" hidden="1" customWidth="1"/>
    <col min="5359" max="5360" width="8.81640625" customWidth="1"/>
    <col min="5361" max="5361" width="14" customWidth="1"/>
    <col min="5363" max="5364" width="8.81640625" customWidth="1"/>
    <col min="5368" max="5369" width="8.81640625" customWidth="1"/>
    <col min="5370" max="5370" width="11.81640625" customWidth="1"/>
    <col min="5371" max="5371" width="8.81640625" customWidth="1"/>
    <col min="5372" max="5380" width="0" hidden="1" customWidth="1"/>
    <col min="5615" max="5616" width="8.81640625" customWidth="1"/>
    <col min="5617" max="5617" width="14" customWidth="1"/>
    <col min="5619" max="5620" width="8.81640625" customWidth="1"/>
    <col min="5624" max="5625" width="8.81640625" customWidth="1"/>
    <col min="5626" max="5626" width="11.81640625" customWidth="1"/>
    <col min="5627" max="5627" width="8.81640625" customWidth="1"/>
    <col min="5628" max="5636" width="0" hidden="1" customWidth="1"/>
    <col min="5871" max="5872" width="8.81640625" customWidth="1"/>
    <col min="5873" max="5873" width="14" customWidth="1"/>
    <col min="5875" max="5876" width="8.81640625" customWidth="1"/>
    <col min="5880" max="5881" width="8.81640625" customWidth="1"/>
    <col min="5882" max="5882" width="11.81640625" customWidth="1"/>
    <col min="5883" max="5883" width="8.81640625" customWidth="1"/>
    <col min="5884" max="5892" width="0" hidden="1" customWidth="1"/>
    <col min="6127" max="6128" width="8.81640625" customWidth="1"/>
    <col min="6129" max="6129" width="14" customWidth="1"/>
    <col min="6131" max="6132" width="8.81640625" customWidth="1"/>
    <col min="6136" max="6137" width="8.81640625" customWidth="1"/>
    <col min="6138" max="6138" width="11.81640625" customWidth="1"/>
    <col min="6139" max="6139" width="8.81640625" customWidth="1"/>
    <col min="6140" max="6148" width="0" hidden="1" customWidth="1"/>
    <col min="6383" max="6384" width="8.81640625" customWidth="1"/>
    <col min="6385" max="6385" width="14" customWidth="1"/>
    <col min="6387" max="6388" width="8.81640625" customWidth="1"/>
    <col min="6392" max="6393" width="8.81640625" customWidth="1"/>
    <col min="6394" max="6394" width="11.81640625" customWidth="1"/>
    <col min="6395" max="6395" width="8.81640625" customWidth="1"/>
    <col min="6396" max="6404" width="0" hidden="1" customWidth="1"/>
    <col min="6639" max="6640" width="8.81640625" customWidth="1"/>
    <col min="6641" max="6641" width="14" customWidth="1"/>
    <col min="6643" max="6644" width="8.81640625" customWidth="1"/>
    <col min="6648" max="6649" width="8.81640625" customWidth="1"/>
    <col min="6650" max="6650" width="11.81640625" customWidth="1"/>
    <col min="6651" max="6651" width="8.81640625" customWidth="1"/>
    <col min="6652" max="6660" width="0" hidden="1" customWidth="1"/>
    <col min="6895" max="6896" width="8.81640625" customWidth="1"/>
    <col min="6897" max="6897" width="14" customWidth="1"/>
    <col min="6899" max="6900" width="8.81640625" customWidth="1"/>
    <col min="6904" max="6905" width="8.81640625" customWidth="1"/>
    <col min="6906" max="6906" width="11.81640625" customWidth="1"/>
    <col min="6907" max="6907" width="8.81640625" customWidth="1"/>
    <col min="6908" max="6916" width="0" hidden="1" customWidth="1"/>
    <col min="7151" max="7152" width="8.81640625" customWidth="1"/>
    <col min="7153" max="7153" width="14" customWidth="1"/>
    <col min="7155" max="7156" width="8.81640625" customWidth="1"/>
    <col min="7160" max="7161" width="8.81640625" customWidth="1"/>
    <col min="7162" max="7162" width="11.81640625" customWidth="1"/>
    <col min="7163" max="7163" width="8.81640625" customWidth="1"/>
    <col min="7164" max="7172" width="0" hidden="1" customWidth="1"/>
    <col min="7407" max="7408" width="8.81640625" customWidth="1"/>
    <col min="7409" max="7409" width="14" customWidth="1"/>
    <col min="7411" max="7412" width="8.81640625" customWidth="1"/>
    <col min="7416" max="7417" width="8.81640625" customWidth="1"/>
    <col min="7418" max="7418" width="11.81640625" customWidth="1"/>
    <col min="7419" max="7419" width="8.81640625" customWidth="1"/>
    <col min="7420" max="7428" width="0" hidden="1" customWidth="1"/>
    <col min="7663" max="7664" width="8.81640625" customWidth="1"/>
    <col min="7665" max="7665" width="14" customWidth="1"/>
    <col min="7667" max="7668" width="8.81640625" customWidth="1"/>
    <col min="7672" max="7673" width="8.81640625" customWidth="1"/>
    <col min="7674" max="7674" width="11.81640625" customWidth="1"/>
    <col min="7675" max="7675" width="8.81640625" customWidth="1"/>
    <col min="7676" max="7684" width="0" hidden="1" customWidth="1"/>
    <col min="7919" max="7920" width="8.81640625" customWidth="1"/>
    <col min="7921" max="7921" width="14" customWidth="1"/>
    <col min="7923" max="7924" width="8.81640625" customWidth="1"/>
    <col min="7928" max="7929" width="8.81640625" customWidth="1"/>
    <col min="7930" max="7930" width="11.81640625" customWidth="1"/>
    <col min="7931" max="7931" width="8.81640625" customWidth="1"/>
    <col min="7932" max="7940" width="0" hidden="1" customWidth="1"/>
    <col min="8175" max="8176" width="8.81640625" customWidth="1"/>
    <col min="8177" max="8177" width="14" customWidth="1"/>
    <col min="8179" max="8180" width="8.81640625" customWidth="1"/>
    <col min="8184" max="8185" width="8.81640625" customWidth="1"/>
    <col min="8186" max="8186" width="11.81640625" customWidth="1"/>
    <col min="8187" max="8187" width="8.81640625" customWidth="1"/>
    <col min="8188" max="8196" width="0" hidden="1" customWidth="1"/>
    <col min="8431" max="8432" width="8.81640625" customWidth="1"/>
    <col min="8433" max="8433" width="14" customWidth="1"/>
    <col min="8435" max="8436" width="8.81640625" customWidth="1"/>
    <col min="8440" max="8441" width="8.81640625" customWidth="1"/>
    <col min="8442" max="8442" width="11.81640625" customWidth="1"/>
    <col min="8443" max="8443" width="8.81640625" customWidth="1"/>
    <col min="8444" max="8452" width="0" hidden="1" customWidth="1"/>
    <col min="8687" max="8688" width="8.81640625" customWidth="1"/>
    <col min="8689" max="8689" width="14" customWidth="1"/>
    <col min="8691" max="8692" width="8.81640625" customWidth="1"/>
    <col min="8696" max="8697" width="8.81640625" customWidth="1"/>
    <col min="8698" max="8698" width="11.81640625" customWidth="1"/>
    <col min="8699" max="8699" width="8.81640625" customWidth="1"/>
    <col min="8700" max="8708" width="0" hidden="1" customWidth="1"/>
    <col min="8943" max="8944" width="8.81640625" customWidth="1"/>
    <col min="8945" max="8945" width="14" customWidth="1"/>
    <col min="8947" max="8948" width="8.81640625" customWidth="1"/>
    <col min="8952" max="8953" width="8.81640625" customWidth="1"/>
    <col min="8954" max="8954" width="11.81640625" customWidth="1"/>
    <col min="8955" max="8955" width="8.81640625" customWidth="1"/>
    <col min="8956" max="8964" width="0" hidden="1" customWidth="1"/>
    <col min="9199" max="9200" width="8.81640625" customWidth="1"/>
    <col min="9201" max="9201" width="14" customWidth="1"/>
    <col min="9203" max="9204" width="8.81640625" customWidth="1"/>
    <col min="9208" max="9209" width="8.81640625" customWidth="1"/>
    <col min="9210" max="9210" width="11.81640625" customWidth="1"/>
    <col min="9211" max="9211" width="8.81640625" customWidth="1"/>
    <col min="9212" max="9220" width="0" hidden="1" customWidth="1"/>
    <col min="9455" max="9456" width="8.81640625" customWidth="1"/>
    <col min="9457" max="9457" width="14" customWidth="1"/>
    <col min="9459" max="9460" width="8.81640625" customWidth="1"/>
    <col min="9464" max="9465" width="8.81640625" customWidth="1"/>
    <col min="9466" max="9466" width="11.81640625" customWidth="1"/>
    <col min="9467" max="9467" width="8.81640625" customWidth="1"/>
    <col min="9468" max="9476" width="0" hidden="1" customWidth="1"/>
    <col min="9711" max="9712" width="8.81640625" customWidth="1"/>
    <col min="9713" max="9713" width="14" customWidth="1"/>
    <col min="9715" max="9716" width="8.81640625" customWidth="1"/>
    <col min="9720" max="9721" width="8.81640625" customWidth="1"/>
    <col min="9722" max="9722" width="11.81640625" customWidth="1"/>
    <col min="9723" max="9723" width="8.81640625" customWidth="1"/>
    <col min="9724" max="9732" width="0" hidden="1" customWidth="1"/>
    <col min="9967" max="9968" width="8.81640625" customWidth="1"/>
    <col min="9969" max="9969" width="14" customWidth="1"/>
    <col min="9971" max="9972" width="8.81640625" customWidth="1"/>
    <col min="9976" max="9977" width="8.81640625" customWidth="1"/>
    <col min="9978" max="9978" width="11.81640625" customWidth="1"/>
    <col min="9979" max="9979" width="8.81640625" customWidth="1"/>
    <col min="9980" max="9988" width="0" hidden="1" customWidth="1"/>
    <col min="10223" max="10224" width="8.81640625" customWidth="1"/>
    <col min="10225" max="10225" width="14" customWidth="1"/>
    <col min="10227" max="10228" width="8.81640625" customWidth="1"/>
    <col min="10232" max="10233" width="8.81640625" customWidth="1"/>
    <col min="10234" max="10234" width="11.81640625" customWidth="1"/>
    <col min="10235" max="10235" width="8.81640625" customWidth="1"/>
    <col min="10236" max="10244" width="0" hidden="1" customWidth="1"/>
    <col min="10479" max="10480" width="8.81640625" customWidth="1"/>
    <col min="10481" max="10481" width="14" customWidth="1"/>
    <col min="10483" max="10484" width="8.81640625" customWidth="1"/>
    <col min="10488" max="10489" width="8.81640625" customWidth="1"/>
    <col min="10490" max="10490" width="11.81640625" customWidth="1"/>
    <col min="10491" max="10491" width="8.81640625" customWidth="1"/>
    <col min="10492" max="10500" width="0" hidden="1" customWidth="1"/>
    <col min="10735" max="10736" width="8.81640625" customWidth="1"/>
    <col min="10737" max="10737" width="14" customWidth="1"/>
    <col min="10739" max="10740" width="8.81640625" customWidth="1"/>
    <col min="10744" max="10745" width="8.81640625" customWidth="1"/>
    <col min="10746" max="10746" width="11.81640625" customWidth="1"/>
    <col min="10747" max="10747" width="8.81640625" customWidth="1"/>
    <col min="10748" max="10756" width="0" hidden="1" customWidth="1"/>
    <col min="10991" max="10992" width="8.81640625" customWidth="1"/>
    <col min="10993" max="10993" width="14" customWidth="1"/>
    <col min="10995" max="10996" width="8.81640625" customWidth="1"/>
    <col min="11000" max="11001" width="8.81640625" customWidth="1"/>
    <col min="11002" max="11002" width="11.81640625" customWidth="1"/>
    <col min="11003" max="11003" width="8.81640625" customWidth="1"/>
    <col min="11004" max="11012" width="0" hidden="1" customWidth="1"/>
    <col min="11247" max="11248" width="8.81640625" customWidth="1"/>
    <col min="11249" max="11249" width="14" customWidth="1"/>
    <col min="11251" max="11252" width="8.81640625" customWidth="1"/>
    <col min="11256" max="11257" width="8.81640625" customWidth="1"/>
    <col min="11258" max="11258" width="11.81640625" customWidth="1"/>
    <col min="11259" max="11259" width="8.81640625" customWidth="1"/>
    <col min="11260" max="11268" width="0" hidden="1" customWidth="1"/>
    <col min="11503" max="11504" width="8.81640625" customWidth="1"/>
    <col min="11505" max="11505" width="14" customWidth="1"/>
    <col min="11507" max="11508" width="8.81640625" customWidth="1"/>
    <col min="11512" max="11513" width="8.81640625" customWidth="1"/>
    <col min="11514" max="11514" width="11.81640625" customWidth="1"/>
    <col min="11515" max="11515" width="8.81640625" customWidth="1"/>
    <col min="11516" max="11524" width="0" hidden="1" customWidth="1"/>
    <col min="11759" max="11760" width="8.81640625" customWidth="1"/>
    <col min="11761" max="11761" width="14" customWidth="1"/>
    <col min="11763" max="11764" width="8.81640625" customWidth="1"/>
    <col min="11768" max="11769" width="8.81640625" customWidth="1"/>
    <col min="11770" max="11770" width="11.81640625" customWidth="1"/>
    <col min="11771" max="11771" width="8.81640625" customWidth="1"/>
    <col min="11772" max="11780" width="0" hidden="1" customWidth="1"/>
    <col min="12015" max="12016" width="8.81640625" customWidth="1"/>
    <col min="12017" max="12017" width="14" customWidth="1"/>
    <col min="12019" max="12020" width="8.81640625" customWidth="1"/>
    <col min="12024" max="12025" width="8.81640625" customWidth="1"/>
    <col min="12026" max="12026" width="11.81640625" customWidth="1"/>
    <col min="12027" max="12027" width="8.81640625" customWidth="1"/>
    <col min="12028" max="12036" width="0" hidden="1" customWidth="1"/>
    <col min="12271" max="12272" width="8.81640625" customWidth="1"/>
    <col min="12273" max="12273" width="14" customWidth="1"/>
    <col min="12275" max="12276" width="8.81640625" customWidth="1"/>
    <col min="12280" max="12281" width="8.81640625" customWidth="1"/>
    <col min="12282" max="12282" width="11.81640625" customWidth="1"/>
    <col min="12283" max="12283" width="8.81640625" customWidth="1"/>
    <col min="12284" max="12292" width="0" hidden="1" customWidth="1"/>
    <col min="12527" max="12528" width="8.81640625" customWidth="1"/>
    <col min="12529" max="12529" width="14" customWidth="1"/>
    <col min="12531" max="12532" width="8.81640625" customWidth="1"/>
    <col min="12536" max="12537" width="8.81640625" customWidth="1"/>
    <col min="12538" max="12538" width="11.81640625" customWidth="1"/>
    <col min="12539" max="12539" width="8.81640625" customWidth="1"/>
    <col min="12540" max="12548" width="0" hidden="1" customWidth="1"/>
    <col min="12783" max="12784" width="8.81640625" customWidth="1"/>
    <col min="12785" max="12785" width="14" customWidth="1"/>
    <col min="12787" max="12788" width="8.81640625" customWidth="1"/>
    <col min="12792" max="12793" width="8.81640625" customWidth="1"/>
    <col min="12794" max="12794" width="11.81640625" customWidth="1"/>
    <col min="12795" max="12795" width="8.81640625" customWidth="1"/>
    <col min="12796" max="12804" width="0" hidden="1" customWidth="1"/>
    <col min="13039" max="13040" width="8.81640625" customWidth="1"/>
    <col min="13041" max="13041" width="14" customWidth="1"/>
    <col min="13043" max="13044" width="8.81640625" customWidth="1"/>
    <col min="13048" max="13049" width="8.81640625" customWidth="1"/>
    <col min="13050" max="13050" width="11.81640625" customWidth="1"/>
    <col min="13051" max="13051" width="8.81640625" customWidth="1"/>
    <col min="13052" max="13060" width="0" hidden="1" customWidth="1"/>
    <col min="13295" max="13296" width="8.81640625" customWidth="1"/>
    <col min="13297" max="13297" width="14" customWidth="1"/>
    <col min="13299" max="13300" width="8.81640625" customWidth="1"/>
    <col min="13304" max="13305" width="8.81640625" customWidth="1"/>
    <col min="13306" max="13306" width="11.81640625" customWidth="1"/>
    <col min="13307" max="13307" width="8.81640625" customWidth="1"/>
    <col min="13308" max="13316" width="0" hidden="1" customWidth="1"/>
    <col min="13551" max="13552" width="8.81640625" customWidth="1"/>
    <col min="13553" max="13553" width="14" customWidth="1"/>
    <col min="13555" max="13556" width="8.81640625" customWidth="1"/>
    <col min="13560" max="13561" width="8.81640625" customWidth="1"/>
    <col min="13562" max="13562" width="11.81640625" customWidth="1"/>
    <col min="13563" max="13563" width="8.81640625" customWidth="1"/>
    <col min="13564" max="13572" width="0" hidden="1" customWidth="1"/>
    <col min="13807" max="13808" width="8.81640625" customWidth="1"/>
    <col min="13809" max="13809" width="14" customWidth="1"/>
    <col min="13811" max="13812" width="8.81640625" customWidth="1"/>
    <col min="13816" max="13817" width="8.81640625" customWidth="1"/>
    <col min="13818" max="13818" width="11.81640625" customWidth="1"/>
    <col min="13819" max="13819" width="8.81640625" customWidth="1"/>
    <col min="13820" max="13828" width="0" hidden="1" customWidth="1"/>
    <col min="14063" max="14064" width="8.81640625" customWidth="1"/>
    <col min="14065" max="14065" width="14" customWidth="1"/>
    <col min="14067" max="14068" width="8.81640625" customWidth="1"/>
    <col min="14072" max="14073" width="8.81640625" customWidth="1"/>
    <col min="14074" max="14074" width="11.81640625" customWidth="1"/>
    <col min="14075" max="14075" width="8.81640625" customWidth="1"/>
    <col min="14076" max="14084" width="0" hidden="1" customWidth="1"/>
    <col min="14319" max="14320" width="8.81640625" customWidth="1"/>
    <col min="14321" max="14321" width="14" customWidth="1"/>
    <col min="14323" max="14324" width="8.81640625" customWidth="1"/>
    <col min="14328" max="14329" width="8.81640625" customWidth="1"/>
    <col min="14330" max="14330" width="11.81640625" customWidth="1"/>
    <col min="14331" max="14331" width="8.81640625" customWidth="1"/>
    <col min="14332" max="14340" width="0" hidden="1" customWidth="1"/>
    <col min="14575" max="14576" width="8.81640625" customWidth="1"/>
    <col min="14577" max="14577" width="14" customWidth="1"/>
    <col min="14579" max="14580" width="8.81640625" customWidth="1"/>
    <col min="14584" max="14585" width="8.81640625" customWidth="1"/>
    <col min="14586" max="14586" width="11.81640625" customWidth="1"/>
    <col min="14587" max="14587" width="8.81640625" customWidth="1"/>
    <col min="14588" max="14596" width="0" hidden="1" customWidth="1"/>
    <col min="14831" max="14832" width="8.81640625" customWidth="1"/>
    <col min="14833" max="14833" width="14" customWidth="1"/>
    <col min="14835" max="14836" width="8.81640625" customWidth="1"/>
    <col min="14840" max="14841" width="8.81640625" customWidth="1"/>
    <col min="14842" max="14842" width="11.81640625" customWidth="1"/>
    <col min="14843" max="14843" width="8.81640625" customWidth="1"/>
    <col min="14844" max="14852" width="0" hidden="1" customWidth="1"/>
    <col min="15087" max="15088" width="8.81640625" customWidth="1"/>
    <col min="15089" max="15089" width="14" customWidth="1"/>
    <col min="15091" max="15092" width="8.81640625" customWidth="1"/>
    <col min="15096" max="15097" width="8.81640625" customWidth="1"/>
    <col min="15098" max="15098" width="11.81640625" customWidth="1"/>
    <col min="15099" max="15099" width="8.81640625" customWidth="1"/>
    <col min="15100" max="15108" width="0" hidden="1" customWidth="1"/>
    <col min="15343" max="15344" width="8.81640625" customWidth="1"/>
    <col min="15345" max="15345" width="14" customWidth="1"/>
    <col min="15347" max="15348" width="8.81640625" customWidth="1"/>
    <col min="15352" max="15353" width="8.81640625" customWidth="1"/>
    <col min="15354" max="15354" width="11.81640625" customWidth="1"/>
    <col min="15355" max="15355" width="8.81640625" customWidth="1"/>
    <col min="15356" max="15364" width="0" hidden="1" customWidth="1"/>
    <col min="15599" max="15600" width="8.81640625" customWidth="1"/>
    <col min="15601" max="15601" width="14" customWidth="1"/>
    <col min="15603" max="15604" width="8.81640625" customWidth="1"/>
    <col min="15608" max="15609" width="8.81640625" customWidth="1"/>
    <col min="15610" max="15610" width="11.81640625" customWidth="1"/>
    <col min="15611" max="15611" width="8.81640625" customWidth="1"/>
    <col min="15612" max="15620" width="0" hidden="1" customWidth="1"/>
    <col min="15855" max="15856" width="8.81640625" customWidth="1"/>
    <col min="15857" max="15857" width="14" customWidth="1"/>
    <col min="15859" max="15860" width="8.81640625" customWidth="1"/>
    <col min="15864" max="15865" width="8.81640625" customWidth="1"/>
    <col min="15866" max="15866" width="11.81640625" customWidth="1"/>
    <col min="15867" max="15867" width="8.81640625" customWidth="1"/>
    <col min="15868" max="15876" width="0" hidden="1" customWidth="1"/>
    <col min="16111" max="16112" width="8.81640625" customWidth="1"/>
    <col min="16113" max="16113" width="14" customWidth="1"/>
    <col min="16115" max="16116" width="8.81640625" customWidth="1"/>
    <col min="16120" max="16121" width="8.81640625" customWidth="1"/>
    <col min="16122" max="16122" width="11.81640625" customWidth="1"/>
    <col min="16123" max="16123" width="8.81640625" customWidth="1"/>
    <col min="16124" max="16132" width="0" hidden="1" customWidth="1"/>
  </cols>
  <sheetData>
    <row r="1" spans="1:18" ht="13" thickBot="1"/>
    <row r="2" spans="1:18" ht="16.5" customHeight="1" thickTop="1">
      <c r="B2" s="885" t="s">
        <v>89</v>
      </c>
      <c r="C2" s="886"/>
      <c r="D2" s="887"/>
      <c r="E2" s="199"/>
      <c r="F2" s="891" t="s">
        <v>193</v>
      </c>
      <c r="G2" s="892"/>
      <c r="H2" s="893"/>
      <c r="K2" s="897" t="s">
        <v>90</v>
      </c>
      <c r="L2" s="898"/>
      <c r="M2" s="899"/>
      <c r="P2" s="354" t="s">
        <v>115</v>
      </c>
      <c r="Q2" s="355">
        <v>12.18</v>
      </c>
    </row>
    <row r="3" spans="1:18" ht="14.15" customHeight="1" thickBot="1">
      <c r="B3" s="888"/>
      <c r="C3" s="889"/>
      <c r="D3" s="890"/>
      <c r="E3" s="199"/>
      <c r="F3" s="894"/>
      <c r="G3" s="895"/>
      <c r="H3" s="896"/>
      <c r="K3" s="888"/>
      <c r="L3" s="889"/>
      <c r="M3" s="900"/>
      <c r="P3" s="356" t="s">
        <v>116</v>
      </c>
      <c r="Q3" s="357">
        <v>20.024999999999999</v>
      </c>
    </row>
    <row r="4" spans="1:18" ht="13" customHeight="1" thickBot="1">
      <c r="A4" s="479">
        <v>360</v>
      </c>
      <c r="B4" s="514">
        <v>396</v>
      </c>
      <c r="C4" s="515">
        <v>33.33</v>
      </c>
      <c r="D4" s="516"/>
      <c r="E4" s="199"/>
      <c r="F4" s="358" t="s">
        <v>149</v>
      </c>
      <c r="G4" s="426" t="s">
        <v>148</v>
      </c>
      <c r="H4" s="427" t="s">
        <v>191</v>
      </c>
      <c r="I4" s="2"/>
      <c r="J4" s="2"/>
      <c r="K4" s="417" t="s">
        <v>149</v>
      </c>
      <c r="L4" s="418" t="s">
        <v>148</v>
      </c>
      <c r="M4" s="419" t="s">
        <v>191</v>
      </c>
      <c r="P4" s="359" t="s">
        <v>118</v>
      </c>
      <c r="Q4" s="357">
        <f>7.16</f>
        <v>7.16</v>
      </c>
    </row>
    <row r="5" spans="1:18" ht="13" customHeight="1" thickBot="1">
      <c r="A5" s="428">
        <f>A4-1</f>
        <v>359</v>
      </c>
      <c r="B5" s="512">
        <f>B4-1</f>
        <v>395</v>
      </c>
      <c r="C5" s="513">
        <v>33.049999999999997</v>
      </c>
      <c r="D5" s="378"/>
      <c r="E5" s="199"/>
      <c r="F5" s="399" t="s">
        <v>246</v>
      </c>
      <c r="G5" s="425">
        <v>3.21</v>
      </c>
      <c r="H5" s="913" t="s">
        <v>210</v>
      </c>
      <c r="I5" s="2"/>
      <c r="J5" s="2"/>
      <c r="K5" s="401" t="s">
        <v>189</v>
      </c>
      <c r="L5" s="446"/>
      <c r="M5" s="910"/>
      <c r="P5" s="360" t="s">
        <v>117</v>
      </c>
      <c r="Q5" s="1005" t="s">
        <v>267</v>
      </c>
      <c r="R5" s="300"/>
    </row>
    <row r="6" spans="1:18" ht="14.5" thickBot="1">
      <c r="A6" s="428">
        <f>A5-1</f>
        <v>358</v>
      </c>
      <c r="B6" s="512">
        <f t="shared" ref="B6:B69" si="0">B5-1</f>
        <v>394</v>
      </c>
      <c r="C6" s="449">
        <v>33.81</v>
      </c>
      <c r="D6" s="378"/>
      <c r="E6" s="199"/>
      <c r="F6" s="554" t="s">
        <v>247</v>
      </c>
      <c r="G6" s="425">
        <v>3.21</v>
      </c>
      <c r="H6" s="914"/>
      <c r="I6" s="2"/>
      <c r="J6" s="2"/>
      <c r="K6" s="402" t="s">
        <v>190</v>
      </c>
      <c r="L6" s="447"/>
      <c r="M6" s="911"/>
      <c r="N6" s="199"/>
      <c r="P6" s="480" t="s">
        <v>211</v>
      </c>
      <c r="Q6" s="481">
        <v>12.68</v>
      </c>
      <c r="R6" s="300"/>
    </row>
    <row r="7" spans="1:18" ht="14.5" thickBot="1">
      <c r="A7" s="428">
        <f>A6-1</f>
        <v>357</v>
      </c>
      <c r="B7" s="512">
        <f t="shared" si="0"/>
        <v>393</v>
      </c>
      <c r="C7" s="449">
        <v>33.28</v>
      </c>
      <c r="D7" s="378"/>
      <c r="E7" s="199"/>
      <c r="F7" s="554" t="s">
        <v>248</v>
      </c>
      <c r="G7" s="425">
        <v>6.22</v>
      </c>
      <c r="H7" s="914"/>
      <c r="I7" s="2"/>
      <c r="J7" s="2"/>
      <c r="K7" s="402" t="s">
        <v>197</v>
      </c>
      <c r="L7" s="447"/>
      <c r="M7" s="911"/>
      <c r="O7" s="400"/>
      <c r="P7" s="501" t="s">
        <v>214</v>
      </c>
      <c r="Q7" s="500"/>
      <c r="R7" s="300"/>
    </row>
    <row r="8" spans="1:18" ht="14.15" customHeight="1" thickBot="1">
      <c r="A8" s="428">
        <f t="shared" ref="A8:B71" si="1">A7-1</f>
        <v>356</v>
      </c>
      <c r="B8" s="512">
        <f t="shared" si="0"/>
        <v>392</v>
      </c>
      <c r="C8" s="449">
        <v>33.72</v>
      </c>
      <c r="D8" s="378"/>
      <c r="E8" s="199"/>
      <c r="F8" s="554" t="s">
        <v>249</v>
      </c>
      <c r="G8" s="425">
        <v>6.21</v>
      </c>
      <c r="H8" s="914"/>
      <c r="I8" s="2"/>
      <c r="J8" s="2"/>
      <c r="K8" s="402" t="s">
        <v>198</v>
      </c>
      <c r="L8" s="447"/>
      <c r="M8" s="912"/>
      <c r="N8" s="28"/>
      <c r="Q8" s="20"/>
      <c r="R8" s="300"/>
    </row>
    <row r="9" spans="1:18" ht="14.15" customHeight="1">
      <c r="A9" s="428">
        <f t="shared" si="1"/>
        <v>355</v>
      </c>
      <c r="B9" s="512">
        <f t="shared" si="0"/>
        <v>391</v>
      </c>
      <c r="C9" s="449">
        <v>32.15</v>
      </c>
      <c r="D9" s="378"/>
      <c r="E9" s="199"/>
      <c r="F9" s="554" t="s">
        <v>250</v>
      </c>
      <c r="G9" s="425">
        <v>10.210000000000001</v>
      </c>
      <c r="H9" s="914"/>
      <c r="I9" s="2"/>
      <c r="J9" s="2"/>
      <c r="K9" s="904" t="s">
        <v>91</v>
      </c>
      <c r="L9" s="905"/>
      <c r="M9" s="906"/>
      <c r="N9" s="28"/>
    </row>
    <row r="10" spans="1:18" ht="14.15" customHeight="1" thickBot="1">
      <c r="A10" s="428">
        <f t="shared" si="1"/>
        <v>354</v>
      </c>
      <c r="B10" s="512">
        <f t="shared" si="0"/>
        <v>390</v>
      </c>
      <c r="C10" s="449">
        <v>33.28</v>
      </c>
      <c r="D10" s="378"/>
      <c r="E10" s="199"/>
      <c r="F10" s="554" t="s">
        <v>251</v>
      </c>
      <c r="G10" s="425">
        <v>10.210000000000001</v>
      </c>
      <c r="H10" s="914"/>
      <c r="I10" s="2"/>
      <c r="J10" s="2"/>
      <c r="K10" s="907"/>
      <c r="L10" s="908"/>
      <c r="M10" s="909"/>
      <c r="N10" s="28"/>
    </row>
    <row r="11" spans="1:18" ht="13" customHeight="1" thickBot="1">
      <c r="A11" s="428">
        <f t="shared" si="1"/>
        <v>353</v>
      </c>
      <c r="B11" s="512">
        <f t="shared" si="0"/>
        <v>389</v>
      </c>
      <c r="C11" s="449">
        <v>33.67</v>
      </c>
      <c r="D11" s="378"/>
      <c r="E11" s="199"/>
      <c r="F11" s="554" t="s">
        <v>253</v>
      </c>
      <c r="G11" s="425">
        <v>15.2</v>
      </c>
      <c r="H11" s="914"/>
      <c r="I11" s="2"/>
      <c r="J11" s="2"/>
      <c r="K11" s="417" t="s">
        <v>149</v>
      </c>
      <c r="L11" s="418" t="s">
        <v>148</v>
      </c>
      <c r="M11" s="419" t="s">
        <v>191</v>
      </c>
      <c r="N11" s="199"/>
      <c r="R11" s="300"/>
    </row>
    <row r="12" spans="1:18" ht="14.15" customHeight="1">
      <c r="A12" s="428">
        <f t="shared" si="1"/>
        <v>352</v>
      </c>
      <c r="B12" s="512">
        <f t="shared" si="0"/>
        <v>388</v>
      </c>
      <c r="C12" s="449">
        <v>33.21</v>
      </c>
      <c r="D12" s="378"/>
      <c r="E12" s="199"/>
      <c r="F12" s="554" t="s">
        <v>252</v>
      </c>
      <c r="G12" s="425">
        <v>15.21</v>
      </c>
      <c r="H12" s="914"/>
      <c r="I12" s="2"/>
      <c r="J12" s="2"/>
      <c r="K12" s="405" t="s">
        <v>199</v>
      </c>
      <c r="L12" s="404"/>
      <c r="M12" s="901"/>
      <c r="N12" s="199"/>
    </row>
    <row r="13" spans="1:18" ht="13.5" customHeight="1">
      <c r="A13" s="428">
        <f t="shared" si="1"/>
        <v>351</v>
      </c>
      <c r="B13" s="512">
        <f t="shared" si="0"/>
        <v>387</v>
      </c>
      <c r="C13" s="449">
        <v>33.93</v>
      </c>
      <c r="D13" s="378"/>
      <c r="E13" s="199"/>
      <c r="F13" s="554" t="s">
        <v>254</v>
      </c>
      <c r="G13" s="425">
        <v>20.2</v>
      </c>
      <c r="H13" s="914"/>
      <c r="K13" s="405" t="s">
        <v>200</v>
      </c>
      <c r="L13" s="404"/>
      <c r="M13" s="902"/>
      <c r="N13" s="199"/>
    </row>
    <row r="14" spans="1:18" ht="14">
      <c r="A14" s="428">
        <f t="shared" si="1"/>
        <v>350</v>
      </c>
      <c r="B14" s="512">
        <f t="shared" si="0"/>
        <v>386</v>
      </c>
      <c r="C14" s="449">
        <v>33.93</v>
      </c>
      <c r="D14" s="378"/>
      <c r="E14" s="199"/>
      <c r="F14" s="554" t="s">
        <v>255</v>
      </c>
      <c r="G14" s="425">
        <v>19.87</v>
      </c>
      <c r="H14" s="915"/>
      <c r="K14" s="405" t="s">
        <v>201</v>
      </c>
      <c r="L14" s="404"/>
      <c r="M14" s="902"/>
      <c r="N14" s="281"/>
      <c r="R14" s="300"/>
    </row>
    <row r="15" spans="1:18" ht="14.5" thickBot="1">
      <c r="A15" s="428">
        <f t="shared" si="1"/>
        <v>349</v>
      </c>
      <c r="B15" s="512">
        <f t="shared" si="0"/>
        <v>385</v>
      </c>
      <c r="C15" s="449">
        <v>31.95</v>
      </c>
      <c r="D15" s="378"/>
      <c r="E15" s="199"/>
      <c r="F15" s="273"/>
      <c r="G15" s="244"/>
      <c r="H15" s="442"/>
      <c r="I15" s="274"/>
      <c r="J15" s="274"/>
      <c r="K15" s="405" t="s">
        <v>202</v>
      </c>
      <c r="L15" s="404"/>
      <c r="M15" s="902"/>
      <c r="N15" s="274"/>
    </row>
    <row r="16" spans="1:18" ht="14">
      <c r="A16" s="428">
        <f t="shared" si="1"/>
        <v>348</v>
      </c>
      <c r="B16" s="512">
        <f t="shared" si="0"/>
        <v>384</v>
      </c>
      <c r="C16" s="449">
        <v>33.93</v>
      </c>
      <c r="D16" s="378"/>
      <c r="E16" s="199"/>
      <c r="F16" s="416" t="s">
        <v>192</v>
      </c>
      <c r="G16" s="439" t="s">
        <v>127</v>
      </c>
      <c r="H16" s="443"/>
      <c r="K16" s="405" t="s">
        <v>203</v>
      </c>
      <c r="L16" s="404"/>
      <c r="M16" s="902"/>
    </row>
    <row r="17" spans="1:18" ht="13" customHeight="1">
      <c r="A17" s="428">
        <f t="shared" si="1"/>
        <v>347</v>
      </c>
      <c r="B17" s="512">
        <f t="shared" si="0"/>
        <v>383</v>
      </c>
      <c r="C17" s="449">
        <v>33.72</v>
      </c>
      <c r="D17" s="378"/>
      <c r="E17" s="199"/>
      <c r="F17" s="406" t="s">
        <v>133</v>
      </c>
      <c r="G17" s="440">
        <v>2</v>
      </c>
      <c r="H17" s="443"/>
      <c r="I17" s="199"/>
      <c r="J17" s="199"/>
      <c r="K17" s="405" t="s">
        <v>204</v>
      </c>
      <c r="L17" s="404"/>
      <c r="M17" s="902"/>
      <c r="N17" s="199"/>
      <c r="R17" s="300"/>
    </row>
    <row r="18" spans="1:18" ht="14">
      <c r="A18" s="428">
        <f t="shared" si="1"/>
        <v>346</v>
      </c>
      <c r="B18" s="512">
        <f t="shared" si="0"/>
        <v>382</v>
      </c>
      <c r="C18" s="449">
        <v>33.340000000000003</v>
      </c>
      <c r="D18" s="378"/>
      <c r="E18" s="199"/>
      <c r="F18" s="407" t="s">
        <v>186</v>
      </c>
      <c r="G18" s="441">
        <v>0</v>
      </c>
      <c r="H18" s="443"/>
      <c r="I18" s="199"/>
      <c r="J18" s="199"/>
      <c r="K18" s="405" t="s">
        <v>205</v>
      </c>
      <c r="L18" s="404"/>
      <c r="M18" s="902"/>
      <c r="N18" s="199"/>
    </row>
    <row r="19" spans="1:18" ht="13.5" customHeight="1" thickBot="1">
      <c r="A19" s="428">
        <f>A18-1</f>
        <v>345</v>
      </c>
      <c r="B19" s="512">
        <f t="shared" si="0"/>
        <v>381</v>
      </c>
      <c r="C19" s="449">
        <v>33.71</v>
      </c>
      <c r="D19" s="378"/>
      <c r="E19" s="199"/>
      <c r="F19" s="381" t="s">
        <v>128</v>
      </c>
      <c r="G19" s="361">
        <v>2</v>
      </c>
      <c r="H19" s="244"/>
      <c r="I19" s="199"/>
      <c r="J19" s="199"/>
      <c r="K19" s="402" t="s">
        <v>206</v>
      </c>
      <c r="L19" s="403"/>
      <c r="M19" s="903"/>
      <c r="N19" s="199"/>
    </row>
    <row r="20" spans="1:18" ht="14">
      <c r="A20" s="428">
        <f t="shared" si="1"/>
        <v>344</v>
      </c>
      <c r="B20" s="512">
        <f t="shared" si="0"/>
        <v>380</v>
      </c>
      <c r="C20" s="449">
        <v>33.5</v>
      </c>
      <c r="D20" s="378"/>
      <c r="E20" s="199"/>
      <c r="F20" s="382" t="s">
        <v>129</v>
      </c>
      <c r="G20" s="396">
        <v>2</v>
      </c>
      <c r="H20" s="420"/>
      <c r="I20" s="199"/>
      <c r="J20" s="199"/>
      <c r="K20" s="199"/>
      <c r="L20" s="199"/>
      <c r="M20" s="444"/>
      <c r="N20" s="199"/>
      <c r="R20" s="300"/>
    </row>
    <row r="21" spans="1:18" ht="14">
      <c r="A21" s="428">
        <f t="shared" si="1"/>
        <v>343</v>
      </c>
      <c r="B21" s="512">
        <f t="shared" si="0"/>
        <v>379</v>
      </c>
      <c r="C21" s="449">
        <v>33.630000000000003</v>
      </c>
      <c r="D21" s="378"/>
      <c r="E21" s="199"/>
      <c r="F21" s="408" t="s">
        <v>130</v>
      </c>
      <c r="G21" s="397">
        <v>2</v>
      </c>
      <c r="H21" s="421"/>
      <c r="I21" s="199"/>
      <c r="J21" s="199"/>
      <c r="K21" s="199"/>
      <c r="L21" s="199"/>
      <c r="M21" s="444"/>
      <c r="N21" s="199"/>
      <c r="R21" s="310"/>
    </row>
    <row r="22" spans="1:18" ht="14">
      <c r="A22" s="428">
        <f t="shared" si="1"/>
        <v>342</v>
      </c>
      <c r="B22" s="512">
        <f t="shared" si="0"/>
        <v>378</v>
      </c>
      <c r="C22" s="449">
        <v>33.33</v>
      </c>
      <c r="D22" s="378"/>
      <c r="E22" s="199"/>
      <c r="F22" s="409" t="s">
        <v>131</v>
      </c>
      <c r="G22" s="398">
        <v>2</v>
      </c>
      <c r="H22" s="421"/>
      <c r="I22" s="199"/>
      <c r="J22" s="199"/>
      <c r="K22" s="199"/>
      <c r="L22" s="199"/>
      <c r="M22" s="444"/>
      <c r="N22" s="199"/>
      <c r="R22" s="310"/>
    </row>
    <row r="23" spans="1:18" ht="14.5" thickBot="1">
      <c r="A23" s="428">
        <f t="shared" si="1"/>
        <v>341</v>
      </c>
      <c r="B23" s="512">
        <f t="shared" si="0"/>
        <v>377</v>
      </c>
      <c r="C23" s="449">
        <v>33.82</v>
      </c>
      <c r="D23" s="378"/>
      <c r="E23" s="199"/>
      <c r="F23" s="410" t="s">
        <v>132</v>
      </c>
      <c r="G23" s="362">
        <f>SUM(G17:G22)</f>
        <v>10</v>
      </c>
      <c r="H23" s="421"/>
      <c r="I23" s="199"/>
      <c r="J23" s="199"/>
      <c r="K23" s="199"/>
      <c r="L23" s="199"/>
      <c r="M23" s="444"/>
      <c r="N23" s="199"/>
      <c r="R23" s="310"/>
    </row>
    <row r="24" spans="1:18" ht="13">
      <c r="A24" s="428">
        <f t="shared" si="1"/>
        <v>340</v>
      </c>
      <c r="B24" s="512">
        <f t="shared" si="0"/>
        <v>376</v>
      </c>
      <c r="C24" s="449">
        <v>33.85</v>
      </c>
      <c r="D24" s="378"/>
      <c r="E24" s="199"/>
      <c r="H24" s="422"/>
      <c r="I24" s="199"/>
      <c r="J24" s="199"/>
      <c r="K24" s="199"/>
      <c r="L24" s="199"/>
      <c r="M24" s="444"/>
      <c r="N24" s="199"/>
      <c r="R24" s="310"/>
    </row>
    <row r="25" spans="1:18" ht="14">
      <c r="A25" s="428">
        <f t="shared" si="1"/>
        <v>339</v>
      </c>
      <c r="B25" s="512">
        <f t="shared" si="0"/>
        <v>375</v>
      </c>
      <c r="C25" s="449">
        <v>33.47</v>
      </c>
      <c r="D25" s="378"/>
      <c r="E25" s="199"/>
      <c r="F25" s="273"/>
      <c r="G25" s="244"/>
      <c r="H25" s="421"/>
      <c r="I25" s="199"/>
      <c r="J25" s="199"/>
      <c r="K25" s="199"/>
      <c r="L25" s="199"/>
      <c r="M25" s="444"/>
      <c r="N25" s="199"/>
      <c r="R25" s="310"/>
    </row>
    <row r="26" spans="1:18" ht="14">
      <c r="A26" s="428">
        <f t="shared" si="1"/>
        <v>338</v>
      </c>
      <c r="B26" s="512">
        <f t="shared" si="0"/>
        <v>374</v>
      </c>
      <c r="C26" s="449">
        <v>33.65</v>
      </c>
      <c r="D26" s="378"/>
      <c r="E26" s="199"/>
      <c r="F26" s="273"/>
      <c r="G26" s="244"/>
      <c r="H26" s="421"/>
      <c r="I26" s="199"/>
      <c r="J26" s="199"/>
      <c r="K26" s="199"/>
      <c r="L26" s="199"/>
      <c r="M26" s="444"/>
      <c r="N26" s="199"/>
      <c r="R26" s="310"/>
    </row>
    <row r="27" spans="1:18" ht="14">
      <c r="A27" s="428">
        <f t="shared" si="1"/>
        <v>337</v>
      </c>
      <c r="B27" s="512">
        <f t="shared" si="0"/>
        <v>373</v>
      </c>
      <c r="C27" s="449">
        <v>33.92</v>
      </c>
      <c r="D27" s="378"/>
      <c r="E27" s="199"/>
      <c r="F27" s="273"/>
      <c r="G27" s="244"/>
      <c r="H27" s="423"/>
      <c r="I27" s="199"/>
      <c r="J27" s="199"/>
      <c r="K27" s="199"/>
      <c r="L27" s="199"/>
      <c r="M27" s="199"/>
      <c r="N27" s="199"/>
      <c r="O27" s="28"/>
      <c r="P27" s="244"/>
      <c r="Q27" s="330"/>
      <c r="R27" s="310"/>
    </row>
    <row r="28" spans="1:18" ht="13">
      <c r="A28" s="428">
        <f t="shared" si="1"/>
        <v>336</v>
      </c>
      <c r="B28" s="512">
        <f t="shared" si="0"/>
        <v>372</v>
      </c>
      <c r="C28" s="449">
        <v>33.840000000000003</v>
      </c>
      <c r="D28" s="378"/>
      <c r="E28" s="199"/>
      <c r="F28" s="273"/>
      <c r="G28" s="244"/>
      <c r="H28" s="424"/>
      <c r="I28" s="199"/>
      <c r="J28" s="199"/>
      <c r="K28" s="199"/>
      <c r="L28" s="199"/>
      <c r="M28" s="199"/>
      <c r="N28" s="199"/>
      <c r="O28" s="28"/>
      <c r="P28" s="244"/>
      <c r="Q28" s="330"/>
      <c r="R28" s="310"/>
    </row>
    <row r="29" spans="1:18" ht="13">
      <c r="A29" s="428">
        <f t="shared" si="1"/>
        <v>335</v>
      </c>
      <c r="B29" s="512">
        <f t="shared" si="0"/>
        <v>371</v>
      </c>
      <c r="C29" s="449">
        <v>33.94</v>
      </c>
      <c r="D29" s="378"/>
      <c r="E29" s="199"/>
      <c r="F29" s="273"/>
      <c r="G29" s="244"/>
      <c r="H29" s="244"/>
      <c r="I29" s="199"/>
      <c r="J29" s="199"/>
      <c r="K29" s="199"/>
      <c r="L29" s="199"/>
      <c r="M29" s="199"/>
      <c r="N29" s="199"/>
      <c r="O29" s="28"/>
      <c r="P29" s="244"/>
      <c r="Q29" s="330"/>
      <c r="R29" s="310"/>
    </row>
    <row r="30" spans="1:18" ht="13">
      <c r="A30" s="428">
        <f t="shared" si="1"/>
        <v>334</v>
      </c>
      <c r="B30" s="512">
        <f t="shared" si="0"/>
        <v>370</v>
      </c>
      <c r="C30" s="449">
        <v>33.94</v>
      </c>
      <c r="D30" s="378"/>
      <c r="E30" s="199"/>
      <c r="F30" s="273"/>
      <c r="G30" s="244"/>
      <c r="H30" s="244"/>
      <c r="I30" s="199"/>
      <c r="J30" s="199"/>
      <c r="K30" s="199"/>
      <c r="L30" s="199"/>
      <c r="M30" s="199"/>
      <c r="N30" s="199"/>
      <c r="O30" s="28"/>
      <c r="P30" s="244"/>
      <c r="Q30" s="330"/>
      <c r="R30" s="310"/>
    </row>
    <row r="31" spans="1:18" ht="13">
      <c r="A31" s="428">
        <f t="shared" si="1"/>
        <v>333</v>
      </c>
      <c r="B31" s="512">
        <f t="shared" si="0"/>
        <v>369</v>
      </c>
      <c r="C31" s="449">
        <v>33.49</v>
      </c>
      <c r="D31" s="378"/>
      <c r="E31" s="199"/>
      <c r="F31" s="273"/>
      <c r="G31" s="244"/>
      <c r="H31" s="244"/>
      <c r="I31" s="199"/>
      <c r="J31" s="199"/>
      <c r="K31" s="199"/>
      <c r="L31" s="199"/>
      <c r="M31" s="199"/>
      <c r="N31" s="199"/>
      <c r="O31" s="28"/>
      <c r="P31" s="244"/>
      <c r="Q31" s="330"/>
      <c r="R31" s="310"/>
    </row>
    <row r="32" spans="1:18" ht="13">
      <c r="A32" s="428">
        <f t="shared" si="1"/>
        <v>332</v>
      </c>
      <c r="B32" s="512">
        <f t="shared" si="0"/>
        <v>368</v>
      </c>
      <c r="C32" s="449">
        <v>33.6</v>
      </c>
      <c r="D32" s="378"/>
      <c r="E32" s="199"/>
      <c r="F32" s="273"/>
      <c r="G32" s="244"/>
      <c r="H32" s="244"/>
      <c r="I32" s="199"/>
      <c r="J32" s="199"/>
      <c r="K32" s="199"/>
      <c r="L32" s="199"/>
      <c r="M32" s="199"/>
      <c r="N32" s="199"/>
      <c r="O32" s="28"/>
      <c r="P32" s="244"/>
      <c r="Q32" s="330"/>
      <c r="R32" s="310"/>
    </row>
    <row r="33" spans="1:18" ht="13">
      <c r="A33" s="428">
        <f t="shared" si="1"/>
        <v>331</v>
      </c>
      <c r="B33" s="512">
        <f t="shared" si="0"/>
        <v>367</v>
      </c>
      <c r="C33" s="449">
        <v>33.19</v>
      </c>
      <c r="D33" s="378"/>
      <c r="E33" s="199"/>
      <c r="F33" s="273"/>
      <c r="G33" s="244"/>
      <c r="H33" s="244"/>
      <c r="I33" s="199"/>
      <c r="J33" s="199"/>
      <c r="K33" s="199"/>
      <c r="L33" s="199"/>
      <c r="M33" s="199"/>
      <c r="N33" s="199"/>
      <c r="O33" s="28"/>
      <c r="P33" s="244"/>
      <c r="Q33" s="330"/>
      <c r="R33" s="310"/>
    </row>
    <row r="34" spans="1:18" ht="13">
      <c r="A34" s="428">
        <f t="shared" si="1"/>
        <v>330</v>
      </c>
      <c r="B34" s="512">
        <f t="shared" si="0"/>
        <v>366</v>
      </c>
      <c r="C34" s="449">
        <v>33.36</v>
      </c>
      <c r="D34" s="378"/>
      <c r="E34" s="199"/>
      <c r="F34" s="273"/>
      <c r="G34" s="244"/>
      <c r="H34" s="244"/>
      <c r="I34" s="199"/>
      <c r="J34" s="199"/>
      <c r="K34" s="199"/>
      <c r="L34" s="199"/>
      <c r="M34" s="199"/>
      <c r="N34" s="199"/>
      <c r="O34" s="28"/>
      <c r="P34" s="244"/>
      <c r="Q34" s="330"/>
      <c r="R34" s="310"/>
    </row>
    <row r="35" spans="1:18" ht="13">
      <c r="A35" s="428">
        <f t="shared" si="1"/>
        <v>329</v>
      </c>
      <c r="B35" s="512">
        <f t="shared" si="0"/>
        <v>365</v>
      </c>
      <c r="C35" s="449">
        <v>33.31</v>
      </c>
      <c r="D35" s="378"/>
      <c r="E35" s="199"/>
      <c r="F35" s="273"/>
      <c r="G35" s="244"/>
      <c r="H35" s="244"/>
      <c r="I35" s="199"/>
      <c r="J35" s="199"/>
      <c r="K35" s="199"/>
      <c r="L35" s="199"/>
      <c r="M35" s="199"/>
      <c r="N35" s="199"/>
      <c r="O35" s="28"/>
      <c r="P35" s="244"/>
      <c r="Q35" s="330"/>
      <c r="R35" s="310"/>
    </row>
    <row r="36" spans="1:18" ht="13">
      <c r="A36" s="428">
        <f t="shared" si="1"/>
        <v>328</v>
      </c>
      <c r="B36" s="512">
        <f t="shared" si="0"/>
        <v>364</v>
      </c>
      <c r="C36" s="449">
        <v>33.520000000000003</v>
      </c>
      <c r="D36" s="378"/>
      <c r="E36" s="199"/>
      <c r="F36" s="273"/>
      <c r="G36" s="244"/>
      <c r="H36" s="244"/>
      <c r="I36" s="199"/>
      <c r="J36" s="199"/>
      <c r="K36" s="199"/>
      <c r="L36" s="199"/>
      <c r="M36" s="199"/>
      <c r="N36" s="199"/>
      <c r="O36" s="28"/>
      <c r="P36" s="244"/>
      <c r="Q36" s="330"/>
      <c r="R36" s="310"/>
    </row>
    <row r="37" spans="1:18" ht="13">
      <c r="A37" s="428">
        <f t="shared" si="1"/>
        <v>327</v>
      </c>
      <c r="B37" s="512">
        <f t="shared" si="0"/>
        <v>363</v>
      </c>
      <c r="C37" s="449">
        <v>33.46</v>
      </c>
      <c r="D37" s="378"/>
      <c r="E37" s="199"/>
      <c r="F37" s="273"/>
      <c r="G37" s="244"/>
      <c r="H37" s="244"/>
      <c r="I37" s="199"/>
      <c r="J37" s="199"/>
      <c r="K37" s="199"/>
      <c r="L37" s="199"/>
      <c r="M37" s="199"/>
      <c r="N37" s="199"/>
      <c r="O37" s="28"/>
      <c r="P37" s="244"/>
      <c r="Q37" s="330"/>
      <c r="R37" s="310"/>
    </row>
    <row r="38" spans="1:18" ht="13">
      <c r="A38" s="428">
        <f t="shared" si="1"/>
        <v>326</v>
      </c>
      <c r="B38" s="512">
        <f t="shared" si="0"/>
        <v>362</v>
      </c>
      <c r="C38" s="449">
        <v>33.299999999999997</v>
      </c>
      <c r="D38" s="378"/>
      <c r="E38" s="199"/>
      <c r="F38" s="273"/>
      <c r="G38" s="244"/>
      <c r="H38" s="244"/>
      <c r="I38" s="199"/>
      <c r="J38" s="199"/>
      <c r="K38" s="199"/>
      <c r="L38" s="199"/>
      <c r="M38" s="199"/>
      <c r="N38" s="199"/>
      <c r="O38" s="28"/>
      <c r="P38" s="244"/>
      <c r="Q38" s="330"/>
      <c r="R38" s="310"/>
    </row>
    <row r="39" spans="1:18" ht="13">
      <c r="A39" s="428">
        <f t="shared" si="1"/>
        <v>325</v>
      </c>
      <c r="B39" s="512">
        <f t="shared" si="0"/>
        <v>361</v>
      </c>
      <c r="C39" s="449">
        <v>33.43</v>
      </c>
      <c r="D39" s="378"/>
      <c r="E39" s="199"/>
      <c r="F39" s="273"/>
      <c r="G39" s="244"/>
      <c r="H39" s="244"/>
      <c r="I39" s="199"/>
      <c r="J39" s="199"/>
      <c r="K39" s="199"/>
      <c r="L39" s="199"/>
      <c r="M39" s="199"/>
      <c r="N39" s="199"/>
      <c r="O39" s="28"/>
      <c r="P39" s="244"/>
      <c r="Q39" s="330"/>
      <c r="R39" s="310"/>
    </row>
    <row r="40" spans="1:18" ht="13">
      <c r="A40" s="428">
        <f t="shared" si="1"/>
        <v>324</v>
      </c>
      <c r="B40" s="512">
        <f t="shared" si="0"/>
        <v>360</v>
      </c>
      <c r="C40" s="449">
        <v>33.409999999999997</v>
      </c>
      <c r="D40" s="378"/>
      <c r="E40" s="199"/>
      <c r="F40" s="273"/>
      <c r="G40" s="244"/>
      <c r="H40" s="244"/>
      <c r="I40" s="199"/>
      <c r="J40" s="199"/>
      <c r="K40" s="199"/>
      <c r="L40" s="199"/>
      <c r="M40" s="199"/>
      <c r="N40" s="199"/>
      <c r="O40" s="28"/>
      <c r="P40" s="244"/>
      <c r="Q40" s="330"/>
      <c r="R40" s="310"/>
    </row>
    <row r="41" spans="1:18" ht="13">
      <c r="A41" s="428">
        <f t="shared" si="1"/>
        <v>323</v>
      </c>
      <c r="B41" s="512">
        <f t="shared" si="0"/>
        <v>359</v>
      </c>
      <c r="C41" s="449">
        <v>33.64</v>
      </c>
      <c r="D41" s="378"/>
      <c r="E41" s="199"/>
      <c r="F41" s="273"/>
      <c r="G41" s="244"/>
      <c r="H41" s="244"/>
      <c r="I41" s="199"/>
      <c r="J41" s="199"/>
      <c r="K41" s="199"/>
      <c r="L41" s="199"/>
      <c r="M41" s="199"/>
      <c r="N41" s="199"/>
      <c r="O41" s="28"/>
      <c r="P41" s="244"/>
      <c r="Q41" s="330"/>
      <c r="R41" s="310"/>
    </row>
    <row r="42" spans="1:18" ht="13">
      <c r="A42" s="428">
        <f t="shared" si="1"/>
        <v>322</v>
      </c>
      <c r="B42" s="512">
        <f t="shared" si="0"/>
        <v>358</v>
      </c>
      <c r="C42" s="449">
        <v>33.39</v>
      </c>
      <c r="D42" s="378"/>
      <c r="E42" s="199"/>
      <c r="F42" s="273"/>
      <c r="G42" s="244"/>
      <c r="H42" s="244"/>
      <c r="I42" s="199"/>
      <c r="J42" s="199"/>
      <c r="K42" s="199"/>
      <c r="L42" s="199"/>
      <c r="M42" s="199"/>
      <c r="N42" s="199"/>
      <c r="O42" s="28"/>
      <c r="P42" s="244"/>
      <c r="Q42" s="330"/>
      <c r="R42" s="310"/>
    </row>
    <row r="43" spans="1:18" ht="13">
      <c r="A43" s="428">
        <f t="shared" si="1"/>
        <v>321</v>
      </c>
      <c r="B43" s="512">
        <f t="shared" si="0"/>
        <v>357</v>
      </c>
      <c r="C43" s="449">
        <v>33.89</v>
      </c>
      <c r="D43" s="378"/>
      <c r="E43" s="199"/>
      <c r="F43" s="273"/>
      <c r="G43" s="244"/>
      <c r="H43" s="244"/>
      <c r="I43" s="199"/>
      <c r="J43" s="199"/>
      <c r="K43" s="199"/>
      <c r="L43" s="199"/>
      <c r="M43" s="199"/>
      <c r="N43" s="199"/>
      <c r="O43" s="28"/>
      <c r="P43" s="244"/>
      <c r="Q43" s="330"/>
      <c r="R43" s="310"/>
    </row>
    <row r="44" spans="1:18" ht="13">
      <c r="A44" s="428">
        <f t="shared" si="1"/>
        <v>320</v>
      </c>
      <c r="B44" s="512">
        <f t="shared" si="0"/>
        <v>356</v>
      </c>
      <c r="C44" s="449">
        <v>33.46</v>
      </c>
      <c r="D44" s="378"/>
      <c r="E44" s="199"/>
      <c r="F44" s="273"/>
      <c r="G44" s="244"/>
      <c r="H44" s="244"/>
      <c r="I44" s="199"/>
      <c r="J44" s="199"/>
      <c r="K44" s="199"/>
      <c r="L44" s="199"/>
      <c r="M44" s="199"/>
      <c r="N44" s="199"/>
      <c r="O44" s="28"/>
      <c r="P44" s="244"/>
      <c r="Q44" s="330"/>
      <c r="R44" s="310"/>
    </row>
    <row r="45" spans="1:18" ht="13">
      <c r="A45" s="428">
        <f t="shared" si="1"/>
        <v>319</v>
      </c>
      <c r="B45" s="512">
        <f t="shared" si="0"/>
        <v>355</v>
      </c>
      <c r="C45" s="449">
        <v>33.229999999999997</v>
      </c>
      <c r="D45" s="378"/>
      <c r="E45" s="199"/>
      <c r="F45" s="273"/>
      <c r="G45" s="244"/>
      <c r="H45" s="244"/>
      <c r="I45" s="199"/>
      <c r="J45" s="199"/>
      <c r="K45" s="199"/>
      <c r="L45" s="199"/>
      <c r="M45" s="199"/>
      <c r="N45" s="199"/>
      <c r="O45" s="28"/>
      <c r="P45" s="244"/>
      <c r="Q45" s="330"/>
      <c r="R45" s="310"/>
    </row>
    <row r="46" spans="1:18" ht="13">
      <c r="A46" s="428">
        <f t="shared" si="1"/>
        <v>318</v>
      </c>
      <c r="B46" s="512">
        <f t="shared" si="0"/>
        <v>354</v>
      </c>
      <c r="C46" s="449">
        <v>33.520000000000003</v>
      </c>
      <c r="D46" s="378"/>
      <c r="E46" s="199"/>
      <c r="F46" s="273"/>
      <c r="G46" s="244"/>
      <c r="H46" s="244"/>
      <c r="I46" s="199"/>
      <c r="J46" s="199"/>
      <c r="K46" s="199"/>
      <c r="L46" s="199"/>
      <c r="M46" s="199"/>
      <c r="N46" s="199"/>
      <c r="O46" s="28"/>
      <c r="P46" s="244"/>
      <c r="Q46" s="330"/>
      <c r="R46" s="310"/>
    </row>
    <row r="47" spans="1:18" ht="13">
      <c r="A47" s="428">
        <f t="shared" si="1"/>
        <v>317</v>
      </c>
      <c r="B47" s="512">
        <f t="shared" si="0"/>
        <v>353</v>
      </c>
      <c r="C47" s="449">
        <v>33.090000000000003</v>
      </c>
      <c r="D47" s="378"/>
      <c r="E47" s="199"/>
      <c r="F47" s="273"/>
      <c r="G47" s="244"/>
      <c r="H47" s="244"/>
      <c r="I47" s="199"/>
      <c r="J47" s="199"/>
      <c r="K47" s="199"/>
      <c r="L47" s="199"/>
      <c r="M47" s="199"/>
      <c r="N47" s="199"/>
      <c r="O47" s="28"/>
      <c r="P47" s="244"/>
      <c r="Q47" s="330"/>
      <c r="R47" s="310"/>
    </row>
    <row r="48" spans="1:18" ht="13">
      <c r="A48" s="428">
        <f t="shared" si="1"/>
        <v>316</v>
      </c>
      <c r="B48" s="512">
        <f t="shared" si="0"/>
        <v>352</v>
      </c>
      <c r="C48" s="450">
        <v>33.94</v>
      </c>
      <c r="D48" s="378"/>
      <c r="E48" s="199"/>
      <c r="F48" s="273"/>
      <c r="G48" s="244"/>
      <c r="H48" s="244"/>
      <c r="I48" s="199"/>
      <c r="J48" s="199"/>
      <c r="K48" s="199"/>
      <c r="L48" s="199"/>
      <c r="M48" s="199"/>
      <c r="N48" s="199"/>
      <c r="O48" s="28"/>
      <c r="P48" s="244"/>
      <c r="Q48" s="330"/>
      <c r="R48" s="310"/>
    </row>
    <row r="49" spans="1:18" ht="13">
      <c r="A49" s="428">
        <f t="shared" si="1"/>
        <v>315</v>
      </c>
      <c r="B49" s="512">
        <f t="shared" si="0"/>
        <v>351</v>
      </c>
      <c r="C49" s="450">
        <v>33.64</v>
      </c>
      <c r="D49" s="378"/>
      <c r="E49" s="199"/>
      <c r="F49" s="273"/>
      <c r="G49" s="244"/>
      <c r="H49" s="244"/>
      <c r="I49" s="199"/>
      <c r="J49" s="199"/>
      <c r="K49" s="199"/>
      <c r="L49" s="199"/>
      <c r="M49" s="199"/>
      <c r="N49" s="199"/>
      <c r="O49" s="28"/>
      <c r="P49" s="244"/>
      <c r="Q49" s="330"/>
      <c r="R49" s="310"/>
    </row>
    <row r="50" spans="1:18" ht="13">
      <c r="A50" s="428">
        <f t="shared" si="1"/>
        <v>314</v>
      </c>
      <c r="B50" s="512">
        <f t="shared" si="0"/>
        <v>350</v>
      </c>
      <c r="C50" s="450">
        <v>33.68</v>
      </c>
      <c r="D50" s="378"/>
      <c r="E50" s="199"/>
      <c r="F50" s="273"/>
      <c r="G50" s="244"/>
      <c r="H50" s="244"/>
      <c r="I50" s="199"/>
      <c r="J50" s="199"/>
      <c r="K50" s="199"/>
      <c r="L50" s="199"/>
      <c r="M50" s="199"/>
      <c r="N50" s="199"/>
      <c r="O50" s="28"/>
      <c r="P50" s="244"/>
      <c r="Q50" s="330"/>
      <c r="R50" s="310"/>
    </row>
    <row r="51" spans="1:18" ht="13">
      <c r="A51" s="428">
        <f t="shared" si="1"/>
        <v>313</v>
      </c>
      <c r="B51" s="512">
        <f t="shared" si="0"/>
        <v>349</v>
      </c>
      <c r="C51" s="450">
        <v>33.29</v>
      </c>
      <c r="D51" s="378"/>
      <c r="E51" s="199"/>
      <c r="F51" s="273"/>
      <c r="G51" s="244"/>
      <c r="H51" s="244"/>
      <c r="I51" s="199"/>
      <c r="J51" s="199"/>
      <c r="K51" s="199"/>
      <c r="L51" s="199"/>
      <c r="M51" s="199"/>
      <c r="N51" s="199"/>
      <c r="O51" s="28"/>
      <c r="P51" s="244"/>
      <c r="Q51" s="330"/>
      <c r="R51" s="310"/>
    </row>
    <row r="52" spans="1:18" ht="13">
      <c r="A52" s="428">
        <f t="shared" si="1"/>
        <v>312</v>
      </c>
      <c r="B52" s="512">
        <f t="shared" si="0"/>
        <v>348</v>
      </c>
      <c r="C52" s="450">
        <v>33.4</v>
      </c>
      <c r="D52" s="378"/>
      <c r="E52" s="199"/>
      <c r="F52" s="273"/>
      <c r="G52" s="244"/>
      <c r="H52" s="244"/>
      <c r="I52" s="199"/>
      <c r="J52" s="199"/>
      <c r="K52" s="199"/>
      <c r="L52" s="199"/>
      <c r="M52" s="199"/>
      <c r="N52" s="199"/>
      <c r="O52" s="28"/>
      <c r="P52" s="244"/>
      <c r="Q52" s="330"/>
      <c r="R52" s="310"/>
    </row>
    <row r="53" spans="1:18" ht="13">
      <c r="A53" s="428">
        <f t="shared" si="1"/>
        <v>311</v>
      </c>
      <c r="B53" s="512">
        <f t="shared" si="0"/>
        <v>347</v>
      </c>
      <c r="C53" s="450">
        <v>33.270000000000003</v>
      </c>
      <c r="D53" s="378"/>
      <c r="E53" s="199"/>
      <c r="F53" s="273"/>
      <c r="G53" s="244"/>
      <c r="H53" s="244"/>
      <c r="I53" s="199"/>
      <c r="J53" s="199"/>
      <c r="K53" s="199"/>
      <c r="L53" s="199"/>
      <c r="M53" s="199"/>
      <c r="N53" s="199"/>
      <c r="O53" s="28"/>
      <c r="P53" s="244"/>
      <c r="Q53" s="330"/>
      <c r="R53" s="310"/>
    </row>
    <row r="54" spans="1:18" ht="13">
      <c r="A54" s="428">
        <f t="shared" si="1"/>
        <v>310</v>
      </c>
      <c r="B54" s="512">
        <f t="shared" si="0"/>
        <v>346</v>
      </c>
      <c r="C54" s="450">
        <v>33.32</v>
      </c>
      <c r="D54" s="378"/>
      <c r="E54" s="199"/>
      <c r="F54" s="273"/>
      <c r="G54" s="244"/>
      <c r="H54" s="244"/>
      <c r="I54" s="199"/>
      <c r="J54" s="199"/>
      <c r="K54" s="199"/>
      <c r="L54" s="199"/>
      <c r="M54" s="199"/>
      <c r="N54" s="199"/>
      <c r="O54" s="28"/>
      <c r="P54" s="244"/>
      <c r="Q54" s="330"/>
      <c r="R54" s="310"/>
    </row>
    <row r="55" spans="1:18" ht="13">
      <c r="A55" s="428">
        <f t="shared" si="1"/>
        <v>309</v>
      </c>
      <c r="B55" s="512">
        <f t="shared" si="0"/>
        <v>345</v>
      </c>
      <c r="C55" s="450">
        <v>33.520000000000003</v>
      </c>
      <c r="D55" s="378"/>
      <c r="E55" s="199"/>
      <c r="F55" s="273"/>
      <c r="G55" s="244"/>
      <c r="H55" s="244"/>
      <c r="I55" s="199"/>
      <c r="J55" s="199"/>
      <c r="K55" s="199"/>
      <c r="L55" s="199"/>
      <c r="M55" s="199"/>
      <c r="N55" s="199"/>
      <c r="O55" s="28"/>
      <c r="P55" s="244"/>
      <c r="Q55" s="330"/>
      <c r="R55" s="310"/>
    </row>
    <row r="56" spans="1:18" ht="13">
      <c r="A56" s="428">
        <f t="shared" si="1"/>
        <v>308</v>
      </c>
      <c r="B56" s="512">
        <f t="shared" si="0"/>
        <v>344</v>
      </c>
      <c r="C56" s="450">
        <v>33.270000000000003</v>
      </c>
      <c r="D56" s="378"/>
      <c r="E56" s="199"/>
      <c r="F56" s="273"/>
      <c r="G56" s="244"/>
      <c r="H56" s="244"/>
      <c r="I56" s="199"/>
      <c r="J56" s="199"/>
      <c r="K56" s="199"/>
      <c r="L56" s="199"/>
      <c r="M56" s="199"/>
      <c r="N56" s="199"/>
      <c r="O56" s="28"/>
      <c r="P56" s="244"/>
      <c r="Q56" s="330"/>
      <c r="R56" s="310"/>
    </row>
    <row r="57" spans="1:18" ht="13">
      <c r="A57" s="428">
        <f t="shared" si="1"/>
        <v>307</v>
      </c>
      <c r="B57" s="512">
        <f t="shared" si="0"/>
        <v>343</v>
      </c>
      <c r="C57" s="450">
        <v>33.46</v>
      </c>
      <c r="D57" s="378"/>
      <c r="E57" s="199"/>
      <c r="F57" s="273"/>
      <c r="G57" s="244"/>
      <c r="H57" s="244"/>
      <c r="I57" s="199"/>
      <c r="J57" s="199"/>
      <c r="K57" s="199"/>
      <c r="L57" s="199"/>
      <c r="M57" s="199"/>
      <c r="N57" s="199"/>
      <c r="O57" s="28"/>
      <c r="P57" s="244"/>
      <c r="Q57" s="330"/>
      <c r="R57" s="310"/>
    </row>
    <row r="58" spans="1:18" ht="13">
      <c r="A58" s="428">
        <f t="shared" si="1"/>
        <v>306</v>
      </c>
      <c r="B58" s="512">
        <f t="shared" si="0"/>
        <v>342</v>
      </c>
      <c r="C58" s="450">
        <v>33.29</v>
      </c>
      <c r="D58" s="378"/>
      <c r="E58" s="199"/>
      <c r="F58" s="273"/>
      <c r="G58" s="244"/>
      <c r="H58" s="244"/>
      <c r="I58" s="199"/>
      <c r="J58" s="199"/>
      <c r="K58" s="199"/>
      <c r="L58" s="199"/>
      <c r="M58" s="199"/>
      <c r="N58" s="199"/>
      <c r="O58" s="28"/>
      <c r="P58" s="244"/>
      <c r="Q58" s="330"/>
      <c r="R58" s="310"/>
    </row>
    <row r="59" spans="1:18" ht="13">
      <c r="A59" s="428">
        <f t="shared" si="1"/>
        <v>305</v>
      </c>
      <c r="B59" s="512">
        <f t="shared" si="0"/>
        <v>341</v>
      </c>
      <c r="C59" s="450">
        <v>33.58</v>
      </c>
      <c r="D59" s="378"/>
      <c r="E59" s="199"/>
      <c r="F59" s="273"/>
      <c r="G59" s="244"/>
      <c r="H59" s="244"/>
      <c r="I59" s="199"/>
      <c r="J59" s="199"/>
      <c r="K59" s="199"/>
      <c r="L59" s="199"/>
      <c r="M59" s="199"/>
      <c r="N59" s="199"/>
      <c r="O59" s="28"/>
      <c r="P59" s="244"/>
      <c r="Q59" s="330"/>
      <c r="R59" s="310"/>
    </row>
    <row r="60" spans="1:18" ht="13">
      <c r="A60" s="428">
        <f t="shared" si="1"/>
        <v>304</v>
      </c>
      <c r="B60" s="512">
        <f t="shared" si="0"/>
        <v>340</v>
      </c>
      <c r="C60" s="450">
        <v>33.31</v>
      </c>
      <c r="D60" s="378"/>
      <c r="E60" s="199"/>
      <c r="F60" s="273"/>
      <c r="G60" s="244"/>
      <c r="H60" s="244"/>
      <c r="I60" s="199"/>
      <c r="J60" s="199"/>
      <c r="K60" s="199"/>
      <c r="L60" s="199"/>
      <c r="M60" s="199"/>
      <c r="N60" s="199"/>
      <c r="O60" s="28"/>
      <c r="P60" s="244"/>
      <c r="Q60" s="330"/>
      <c r="R60" s="310"/>
    </row>
    <row r="61" spans="1:18" ht="13">
      <c r="A61" s="428">
        <f t="shared" si="1"/>
        <v>303</v>
      </c>
      <c r="B61" s="512">
        <f t="shared" si="0"/>
        <v>339</v>
      </c>
      <c r="C61" s="450">
        <v>33.67</v>
      </c>
      <c r="D61" s="378"/>
      <c r="E61" s="199"/>
      <c r="F61" s="273"/>
      <c r="G61" s="244"/>
      <c r="H61" s="244"/>
      <c r="I61" s="199"/>
      <c r="J61" s="199"/>
      <c r="K61" s="199"/>
      <c r="L61" s="199"/>
      <c r="M61" s="199"/>
      <c r="N61" s="199"/>
      <c r="O61" s="28"/>
      <c r="P61" s="244"/>
      <c r="Q61" s="330"/>
      <c r="R61" s="310"/>
    </row>
    <row r="62" spans="1:18" ht="13">
      <c r="A62" s="428">
        <f t="shared" si="1"/>
        <v>302</v>
      </c>
      <c r="B62" s="512">
        <f t="shared" si="0"/>
        <v>338</v>
      </c>
      <c r="C62" s="450">
        <v>33.29</v>
      </c>
      <c r="D62" s="378"/>
      <c r="E62" s="199"/>
      <c r="F62" s="273"/>
      <c r="G62" s="244"/>
      <c r="H62" s="244"/>
      <c r="I62" s="199"/>
      <c r="J62" s="199"/>
      <c r="K62" s="199"/>
      <c r="L62" s="199"/>
      <c r="M62" s="199"/>
      <c r="N62" s="199"/>
      <c r="O62" s="28"/>
      <c r="P62" s="244"/>
      <c r="Q62" s="330"/>
      <c r="R62" s="310"/>
    </row>
    <row r="63" spans="1:18" ht="13">
      <c r="A63" s="428">
        <f t="shared" si="1"/>
        <v>301</v>
      </c>
      <c r="B63" s="512">
        <f t="shared" si="0"/>
        <v>337</v>
      </c>
      <c r="C63" s="450">
        <v>33.76</v>
      </c>
      <c r="D63" s="378"/>
      <c r="E63" s="199"/>
      <c r="F63" s="273"/>
      <c r="G63" s="244"/>
      <c r="H63" s="244"/>
      <c r="I63" s="199"/>
      <c r="J63" s="199"/>
      <c r="K63" s="199"/>
      <c r="L63" s="199"/>
      <c r="M63" s="199"/>
      <c r="N63" s="199"/>
      <c r="O63" s="28"/>
      <c r="P63" s="244"/>
      <c r="Q63" s="330"/>
      <c r="R63" s="310"/>
    </row>
    <row r="64" spans="1:18" ht="13">
      <c r="A64" s="428">
        <f t="shared" si="1"/>
        <v>300</v>
      </c>
      <c r="B64" s="512">
        <f t="shared" si="0"/>
        <v>336</v>
      </c>
      <c r="C64" s="450">
        <v>33.380000000000003</v>
      </c>
      <c r="D64" s="378"/>
      <c r="E64" s="199"/>
      <c r="F64" s="273"/>
      <c r="G64" s="244"/>
      <c r="H64" s="244"/>
      <c r="I64" s="199"/>
      <c r="J64" s="199"/>
      <c r="K64" s="199"/>
      <c r="L64" s="199"/>
      <c r="M64" s="199"/>
      <c r="N64" s="199"/>
      <c r="O64" s="28"/>
      <c r="P64" s="244"/>
      <c r="Q64" s="330"/>
      <c r="R64" s="310"/>
    </row>
    <row r="65" spans="1:18" ht="13">
      <c r="A65" s="428">
        <f t="shared" si="1"/>
        <v>299</v>
      </c>
      <c r="B65" s="512">
        <f t="shared" si="0"/>
        <v>335</v>
      </c>
      <c r="C65" s="450">
        <v>33.950000000000003</v>
      </c>
      <c r="D65" s="378"/>
      <c r="E65" s="199"/>
      <c r="F65" s="273"/>
      <c r="G65" s="244"/>
      <c r="H65" s="244"/>
      <c r="I65" s="199"/>
      <c r="J65" s="199"/>
      <c r="K65" s="199"/>
      <c r="L65" s="199"/>
      <c r="M65" s="199"/>
      <c r="N65" s="199"/>
      <c r="O65" s="28"/>
      <c r="P65" s="244"/>
      <c r="Q65" s="330"/>
      <c r="R65" s="310"/>
    </row>
    <row r="66" spans="1:18" ht="13">
      <c r="A66" s="428">
        <f t="shared" si="1"/>
        <v>298</v>
      </c>
      <c r="B66" s="512">
        <f t="shared" si="0"/>
        <v>334</v>
      </c>
      <c r="C66" s="450">
        <v>33.81</v>
      </c>
      <c r="D66" s="378"/>
      <c r="E66" s="199"/>
      <c r="F66" s="273"/>
      <c r="G66" s="244"/>
      <c r="H66" s="244"/>
      <c r="I66" s="199"/>
      <c r="J66" s="199"/>
      <c r="K66" s="199"/>
      <c r="L66" s="199"/>
      <c r="M66" s="199"/>
      <c r="N66" s="199"/>
      <c r="O66" s="28"/>
      <c r="P66" s="244"/>
      <c r="Q66" s="330"/>
      <c r="R66" s="310"/>
    </row>
    <row r="67" spans="1:18" ht="13">
      <c r="A67" s="428">
        <f t="shared" si="1"/>
        <v>297</v>
      </c>
      <c r="B67" s="512">
        <f t="shared" si="0"/>
        <v>333</v>
      </c>
      <c r="C67" s="450">
        <v>33.369999999999997</v>
      </c>
      <c r="D67" s="378"/>
      <c r="E67" s="199"/>
      <c r="F67" s="273"/>
      <c r="G67" s="244"/>
      <c r="H67" s="244"/>
      <c r="I67" s="199"/>
      <c r="J67" s="199"/>
      <c r="K67" s="199"/>
      <c r="L67" s="199"/>
      <c r="M67" s="199"/>
      <c r="N67" s="199"/>
      <c r="O67" s="28"/>
      <c r="P67" s="244"/>
      <c r="Q67" s="330"/>
      <c r="R67" s="310"/>
    </row>
    <row r="68" spans="1:18" ht="13">
      <c r="A68" s="428">
        <f t="shared" si="1"/>
        <v>296</v>
      </c>
      <c r="B68" s="512">
        <f t="shared" si="0"/>
        <v>332</v>
      </c>
      <c r="C68" s="450">
        <v>33.35</v>
      </c>
      <c r="D68" s="378"/>
      <c r="E68" s="199"/>
      <c r="F68" s="273"/>
      <c r="G68" s="244"/>
      <c r="H68" s="244"/>
      <c r="I68" s="199"/>
      <c r="J68" s="199"/>
      <c r="K68" s="199"/>
      <c r="L68" s="199"/>
      <c r="M68" s="199"/>
      <c r="N68" s="199"/>
      <c r="O68" s="28"/>
      <c r="P68" s="244"/>
      <c r="Q68" s="330"/>
      <c r="R68" s="310"/>
    </row>
    <row r="69" spans="1:18" ht="13">
      <c r="A69" s="428">
        <f t="shared" si="1"/>
        <v>295</v>
      </c>
      <c r="B69" s="512">
        <f t="shared" si="0"/>
        <v>331</v>
      </c>
      <c r="C69" s="450">
        <v>33.950000000000003</v>
      </c>
      <c r="D69" s="378"/>
      <c r="E69" s="199"/>
      <c r="F69" s="273"/>
      <c r="G69" s="244"/>
      <c r="H69" s="244"/>
      <c r="I69" s="199"/>
      <c r="J69" s="199"/>
      <c r="K69" s="199"/>
      <c r="L69" s="199"/>
      <c r="M69" s="199"/>
      <c r="N69" s="199"/>
      <c r="O69" s="28"/>
      <c r="P69" s="244"/>
      <c r="Q69" s="330"/>
      <c r="R69" s="310"/>
    </row>
    <row r="70" spans="1:18" ht="13">
      <c r="A70" s="428">
        <f t="shared" si="1"/>
        <v>294</v>
      </c>
      <c r="B70" s="512">
        <f t="shared" si="1"/>
        <v>330</v>
      </c>
      <c r="C70" s="450">
        <v>33.53</v>
      </c>
      <c r="D70" s="378"/>
      <c r="E70" s="199"/>
      <c r="F70" s="273"/>
      <c r="G70" s="244"/>
      <c r="H70" s="244"/>
      <c r="I70" s="199"/>
      <c r="J70" s="199"/>
      <c r="K70" s="199"/>
      <c r="L70" s="199"/>
      <c r="M70" s="199"/>
      <c r="N70" s="199"/>
      <c r="O70" s="28"/>
      <c r="P70" s="244"/>
      <c r="Q70" s="330"/>
      <c r="R70" s="310"/>
    </row>
    <row r="71" spans="1:18" ht="13">
      <c r="A71" s="428">
        <f t="shared" si="1"/>
        <v>293</v>
      </c>
      <c r="B71" s="512">
        <f t="shared" si="1"/>
        <v>329</v>
      </c>
      <c r="C71" s="450">
        <v>33.6</v>
      </c>
      <c r="D71" s="378"/>
      <c r="E71" s="199"/>
      <c r="F71" s="273"/>
      <c r="G71" s="244"/>
      <c r="H71" s="244"/>
      <c r="I71" s="199"/>
      <c r="J71" s="199"/>
      <c r="K71" s="199"/>
      <c r="L71" s="199"/>
      <c r="M71" s="199"/>
      <c r="N71" s="199"/>
      <c r="O71" s="28"/>
      <c r="P71" s="244"/>
      <c r="Q71" s="330"/>
      <c r="R71" s="310"/>
    </row>
    <row r="72" spans="1:18" ht="13">
      <c r="A72" s="428">
        <f t="shared" ref="A72:B135" si="2">A71-1</f>
        <v>292</v>
      </c>
      <c r="B72" s="512">
        <f t="shared" si="2"/>
        <v>328</v>
      </c>
      <c r="C72" s="450">
        <v>32.97</v>
      </c>
      <c r="D72" s="378"/>
      <c r="E72" s="199"/>
      <c r="F72" s="273"/>
      <c r="G72" s="244"/>
      <c r="H72" s="244"/>
      <c r="I72" s="199"/>
      <c r="J72" s="199"/>
      <c r="K72" s="199"/>
      <c r="L72" s="199"/>
      <c r="M72" s="199"/>
      <c r="N72" s="199"/>
      <c r="O72" s="28"/>
      <c r="P72" s="244"/>
      <c r="Q72" s="330"/>
      <c r="R72" s="310"/>
    </row>
    <row r="73" spans="1:18" ht="13">
      <c r="A73" s="428">
        <f t="shared" si="2"/>
        <v>291</v>
      </c>
      <c r="B73" s="512">
        <f t="shared" si="2"/>
        <v>327</v>
      </c>
      <c r="C73" s="450">
        <v>33.29</v>
      </c>
      <c r="D73" s="378"/>
      <c r="E73" s="199"/>
      <c r="F73" s="273"/>
      <c r="G73" s="244"/>
      <c r="H73" s="244"/>
      <c r="I73" s="199"/>
      <c r="J73" s="199"/>
      <c r="K73" s="199"/>
      <c r="L73" s="199"/>
      <c r="M73" s="199"/>
      <c r="N73" s="199"/>
      <c r="O73" s="28"/>
      <c r="P73" s="244"/>
      <c r="Q73" s="330"/>
      <c r="R73" s="310"/>
    </row>
    <row r="74" spans="1:18" ht="13">
      <c r="A74" s="428">
        <f t="shared" si="2"/>
        <v>290</v>
      </c>
      <c r="B74" s="512">
        <f t="shared" si="2"/>
        <v>326</v>
      </c>
      <c r="C74" s="450">
        <v>33.04</v>
      </c>
      <c r="D74" s="378"/>
      <c r="E74" s="199"/>
      <c r="F74" s="273"/>
      <c r="G74" s="244"/>
      <c r="H74" s="244"/>
      <c r="I74" s="199"/>
      <c r="J74" s="199"/>
      <c r="K74" s="199"/>
      <c r="L74" s="199"/>
      <c r="M74" s="199"/>
      <c r="N74" s="199"/>
      <c r="O74" s="28"/>
      <c r="P74" s="244"/>
      <c r="Q74" s="330"/>
      <c r="R74" s="310"/>
    </row>
    <row r="75" spans="1:18" ht="13">
      <c r="A75" s="428">
        <f t="shared" si="2"/>
        <v>289</v>
      </c>
      <c r="B75" s="512">
        <f t="shared" si="2"/>
        <v>325</v>
      </c>
      <c r="C75" s="450">
        <v>33.18</v>
      </c>
      <c r="D75" s="378"/>
      <c r="E75" s="199"/>
      <c r="F75" s="273"/>
      <c r="G75" s="244"/>
      <c r="H75" s="244"/>
      <c r="I75" s="199"/>
      <c r="J75" s="199"/>
      <c r="K75" s="199"/>
      <c r="L75" s="199"/>
      <c r="M75" s="199"/>
      <c r="N75" s="199"/>
      <c r="O75" s="28"/>
      <c r="P75" s="244"/>
      <c r="Q75" s="330"/>
      <c r="R75" s="310"/>
    </row>
    <row r="76" spans="1:18" ht="13">
      <c r="A76" s="428">
        <f t="shared" si="2"/>
        <v>288</v>
      </c>
      <c r="B76" s="512">
        <f t="shared" si="2"/>
        <v>324</v>
      </c>
      <c r="C76" s="450">
        <v>33.39</v>
      </c>
      <c r="D76" s="378"/>
      <c r="E76" s="199"/>
      <c r="F76" s="273"/>
      <c r="G76" s="244"/>
      <c r="H76" s="244"/>
      <c r="I76" s="199"/>
      <c r="J76" s="199"/>
      <c r="K76" s="199"/>
      <c r="L76" s="199"/>
      <c r="M76" s="199"/>
      <c r="N76" s="199"/>
      <c r="O76" s="28"/>
      <c r="P76" s="244"/>
      <c r="Q76" s="330"/>
      <c r="R76" s="310"/>
    </row>
    <row r="77" spans="1:18" ht="13">
      <c r="A77" s="428">
        <f t="shared" si="2"/>
        <v>287</v>
      </c>
      <c r="B77" s="512">
        <f t="shared" si="2"/>
        <v>323</v>
      </c>
      <c r="C77" s="450">
        <v>33.020000000000003</v>
      </c>
      <c r="D77" s="378"/>
      <c r="E77" s="199"/>
      <c r="F77" s="273"/>
      <c r="G77" s="244"/>
      <c r="H77" s="244"/>
      <c r="I77" s="199"/>
      <c r="J77" s="199"/>
      <c r="K77" s="199"/>
      <c r="L77" s="199"/>
      <c r="M77" s="199"/>
      <c r="N77" s="199"/>
      <c r="O77" s="28"/>
      <c r="P77" s="244"/>
      <c r="Q77" s="330"/>
      <c r="R77" s="310"/>
    </row>
    <row r="78" spans="1:18" ht="13">
      <c r="A78" s="428">
        <f t="shared" si="2"/>
        <v>286</v>
      </c>
      <c r="B78" s="512">
        <f t="shared" si="2"/>
        <v>322</v>
      </c>
      <c r="C78" s="450">
        <v>33.43</v>
      </c>
      <c r="D78" s="378"/>
      <c r="E78" s="199"/>
      <c r="F78" s="273"/>
      <c r="G78" s="244"/>
      <c r="H78" s="244"/>
      <c r="I78" s="199"/>
      <c r="J78" s="199"/>
      <c r="K78" s="199"/>
      <c r="L78" s="199"/>
      <c r="M78" s="199"/>
      <c r="N78" s="199"/>
      <c r="O78" s="28"/>
      <c r="P78" s="244"/>
      <c r="Q78" s="330"/>
      <c r="R78" s="310"/>
    </row>
    <row r="79" spans="1:18" ht="13">
      <c r="A79" s="428">
        <f t="shared" si="2"/>
        <v>285</v>
      </c>
      <c r="B79" s="512">
        <f t="shared" si="2"/>
        <v>321</v>
      </c>
      <c r="C79" s="450">
        <v>33.32</v>
      </c>
      <c r="D79" s="378"/>
      <c r="E79" s="199"/>
      <c r="F79" s="273"/>
      <c r="G79" s="244"/>
      <c r="H79" s="244"/>
      <c r="I79" s="199"/>
      <c r="J79" s="199"/>
      <c r="K79" s="199"/>
      <c r="L79" s="199"/>
      <c r="M79" s="199"/>
      <c r="N79" s="199"/>
      <c r="O79" s="28"/>
      <c r="P79" s="244"/>
      <c r="Q79" s="330"/>
      <c r="R79" s="310"/>
    </row>
    <row r="80" spans="1:18" ht="13">
      <c r="A80" s="428">
        <f t="shared" si="2"/>
        <v>284</v>
      </c>
      <c r="B80" s="512">
        <f t="shared" si="2"/>
        <v>320</v>
      </c>
      <c r="C80" s="450">
        <v>33.46</v>
      </c>
      <c r="D80" s="378"/>
      <c r="E80" s="199"/>
      <c r="F80" s="273"/>
      <c r="G80" s="244"/>
      <c r="H80" s="244"/>
      <c r="I80" s="199"/>
      <c r="J80" s="199"/>
      <c r="K80" s="199"/>
      <c r="L80" s="199"/>
      <c r="M80" s="199"/>
      <c r="N80" s="199"/>
      <c r="O80" s="28"/>
      <c r="P80" s="244"/>
      <c r="Q80" s="330"/>
      <c r="R80" s="310"/>
    </row>
    <row r="81" spans="1:18" ht="13">
      <c r="A81" s="428">
        <f t="shared" si="2"/>
        <v>283</v>
      </c>
      <c r="B81" s="512">
        <f t="shared" si="2"/>
        <v>319</v>
      </c>
      <c r="C81" s="450">
        <v>33.18</v>
      </c>
      <c r="D81" s="378"/>
      <c r="E81" s="199"/>
      <c r="F81" s="273"/>
      <c r="G81" s="244"/>
      <c r="H81" s="244"/>
      <c r="I81" s="199"/>
      <c r="J81" s="199"/>
      <c r="K81" s="199"/>
      <c r="L81" s="199"/>
      <c r="M81" s="199"/>
      <c r="N81" s="199"/>
      <c r="O81" s="28"/>
      <c r="P81" s="244"/>
      <c r="Q81" s="330"/>
      <c r="R81" s="310"/>
    </row>
    <row r="82" spans="1:18" ht="13">
      <c r="A82" s="428">
        <f t="shared" si="2"/>
        <v>282</v>
      </c>
      <c r="B82" s="512">
        <f t="shared" si="2"/>
        <v>318</v>
      </c>
      <c r="C82" s="450">
        <v>33.68</v>
      </c>
      <c r="D82" s="378"/>
      <c r="E82" s="199"/>
      <c r="F82" s="273"/>
      <c r="G82" s="244"/>
      <c r="H82" s="244"/>
      <c r="I82" s="199"/>
      <c r="J82" s="199"/>
      <c r="K82" s="199"/>
      <c r="L82" s="199"/>
      <c r="M82" s="199"/>
      <c r="N82" s="199"/>
      <c r="O82" s="28"/>
      <c r="P82" s="244"/>
      <c r="Q82" s="330"/>
      <c r="R82" s="310"/>
    </row>
    <row r="83" spans="1:18" ht="13">
      <c r="A83" s="428">
        <f t="shared" si="2"/>
        <v>281</v>
      </c>
      <c r="B83" s="512">
        <f t="shared" si="2"/>
        <v>317</v>
      </c>
      <c r="C83" s="450">
        <v>33.5</v>
      </c>
      <c r="D83" s="378"/>
      <c r="E83" s="199"/>
      <c r="F83" s="273"/>
      <c r="G83" s="244"/>
      <c r="H83" s="244"/>
      <c r="I83" s="199"/>
      <c r="J83" s="199"/>
      <c r="K83" s="199"/>
      <c r="L83" s="199"/>
      <c r="M83" s="199"/>
      <c r="N83" s="199"/>
      <c r="O83" s="28"/>
      <c r="P83" s="244"/>
      <c r="Q83" s="330"/>
      <c r="R83" s="310"/>
    </row>
    <row r="84" spans="1:18" ht="13">
      <c r="A84" s="428">
        <f t="shared" si="2"/>
        <v>280</v>
      </c>
      <c r="B84" s="512">
        <f t="shared" si="2"/>
        <v>316</v>
      </c>
      <c r="C84" s="450">
        <v>33.67</v>
      </c>
      <c r="D84" s="378"/>
      <c r="E84" s="199"/>
      <c r="F84" s="273"/>
      <c r="G84" s="244"/>
      <c r="H84" s="244"/>
      <c r="I84" s="199"/>
      <c r="J84" s="199"/>
      <c r="K84" s="199"/>
      <c r="L84" s="199"/>
      <c r="M84" s="199"/>
      <c r="N84" s="199"/>
      <c r="O84" s="28"/>
      <c r="P84" s="244"/>
      <c r="Q84" s="330"/>
      <c r="R84" s="310"/>
    </row>
    <row r="85" spans="1:18" ht="13">
      <c r="A85" s="428">
        <f t="shared" si="2"/>
        <v>279</v>
      </c>
      <c r="B85" s="512">
        <f t="shared" si="2"/>
        <v>315</v>
      </c>
      <c r="C85" s="450">
        <v>33.83</v>
      </c>
      <c r="D85" s="378"/>
      <c r="E85" s="199"/>
      <c r="F85" s="273"/>
      <c r="G85" s="244"/>
      <c r="H85" s="244"/>
      <c r="I85" s="199"/>
      <c r="J85" s="199"/>
      <c r="K85" s="199"/>
      <c r="L85" s="199"/>
      <c r="M85" s="199"/>
      <c r="N85" s="199"/>
      <c r="O85" s="28"/>
      <c r="P85" s="244"/>
      <c r="Q85" s="330"/>
      <c r="R85" s="310"/>
    </row>
    <row r="86" spans="1:18" ht="13">
      <c r="A86" s="428">
        <f t="shared" si="2"/>
        <v>278</v>
      </c>
      <c r="B86" s="512">
        <f t="shared" si="2"/>
        <v>314</v>
      </c>
      <c r="C86" s="450">
        <v>33.58</v>
      </c>
      <c r="D86" s="378"/>
      <c r="E86" s="199"/>
      <c r="F86" s="273"/>
      <c r="G86" s="244"/>
      <c r="H86" s="244"/>
      <c r="I86" s="199"/>
      <c r="J86" s="199"/>
      <c r="K86" s="199"/>
      <c r="L86" s="199"/>
      <c r="M86" s="199"/>
      <c r="N86" s="199"/>
      <c r="O86" s="28"/>
      <c r="P86" s="244"/>
      <c r="Q86" s="330"/>
      <c r="R86" s="310"/>
    </row>
    <row r="87" spans="1:18" ht="13">
      <c r="A87" s="428">
        <f t="shared" si="2"/>
        <v>277</v>
      </c>
      <c r="B87" s="512">
        <f t="shared" si="2"/>
        <v>313</v>
      </c>
      <c r="C87" s="450">
        <v>33.71</v>
      </c>
      <c r="D87" s="378"/>
      <c r="E87" s="199"/>
      <c r="F87" s="273"/>
      <c r="G87" s="244"/>
      <c r="H87" s="244"/>
      <c r="I87" s="199"/>
      <c r="J87" s="199"/>
      <c r="K87" s="199"/>
      <c r="L87" s="199"/>
      <c r="M87" s="199"/>
      <c r="N87" s="199"/>
      <c r="O87" s="28"/>
      <c r="P87" s="244"/>
      <c r="Q87" s="330"/>
      <c r="R87" s="310"/>
    </row>
    <row r="88" spans="1:18" ht="13">
      <c r="A88" s="428">
        <f t="shared" si="2"/>
        <v>276</v>
      </c>
      <c r="B88" s="512">
        <f t="shared" si="2"/>
        <v>312</v>
      </c>
      <c r="C88" s="450">
        <v>33.729999999999997</v>
      </c>
      <c r="D88" s="378"/>
      <c r="E88" s="199"/>
      <c r="F88" s="273"/>
      <c r="G88" s="244"/>
      <c r="H88" s="244"/>
      <c r="I88" s="199"/>
      <c r="J88" s="199"/>
      <c r="K88" s="199"/>
      <c r="L88" s="199"/>
      <c r="M88" s="199"/>
      <c r="N88" s="199"/>
      <c r="O88" s="28"/>
      <c r="P88" s="244"/>
      <c r="Q88" s="330"/>
      <c r="R88" s="310"/>
    </row>
    <row r="89" spans="1:18" ht="13">
      <c r="A89" s="428">
        <f t="shared" si="2"/>
        <v>275</v>
      </c>
      <c r="B89" s="512">
        <f t="shared" si="2"/>
        <v>311</v>
      </c>
      <c r="C89" s="450">
        <v>33.35</v>
      </c>
      <c r="D89" s="378"/>
      <c r="E89" s="199"/>
      <c r="F89" s="273"/>
      <c r="G89" s="244"/>
      <c r="H89" s="244"/>
      <c r="I89" s="199"/>
      <c r="J89" s="199"/>
      <c r="K89" s="199"/>
      <c r="L89" s="199"/>
      <c r="M89" s="199"/>
      <c r="N89" s="199"/>
      <c r="O89" s="28"/>
      <c r="P89" s="244"/>
      <c r="Q89" s="330"/>
      <c r="R89" s="310"/>
    </row>
    <row r="90" spans="1:18" ht="13">
      <c r="A90" s="428">
        <f t="shared" si="2"/>
        <v>274</v>
      </c>
      <c r="B90" s="512">
        <f t="shared" si="2"/>
        <v>310</v>
      </c>
      <c r="C90" s="450">
        <v>33.22</v>
      </c>
      <c r="D90" s="378"/>
      <c r="E90" s="199"/>
      <c r="F90" s="273"/>
      <c r="G90" s="244"/>
      <c r="H90" s="244"/>
      <c r="I90" s="199"/>
      <c r="J90" s="199"/>
      <c r="K90" s="199"/>
      <c r="L90" s="199"/>
      <c r="M90" s="199"/>
      <c r="N90" s="199"/>
      <c r="O90" s="28"/>
      <c r="P90" s="244"/>
      <c r="Q90" s="330"/>
      <c r="R90" s="310"/>
    </row>
    <row r="91" spans="1:18" ht="13">
      <c r="A91" s="428">
        <f t="shared" si="2"/>
        <v>273</v>
      </c>
      <c r="B91" s="512">
        <f t="shared" si="2"/>
        <v>309</v>
      </c>
      <c r="C91" s="450">
        <v>33.42</v>
      </c>
      <c r="D91" s="378"/>
      <c r="E91" s="199"/>
      <c r="F91" s="273"/>
      <c r="G91" s="244"/>
      <c r="H91" s="244"/>
      <c r="I91" s="199"/>
      <c r="J91" s="199"/>
      <c r="K91" s="199"/>
      <c r="L91" s="199"/>
      <c r="M91" s="199"/>
      <c r="N91" s="199"/>
      <c r="O91" s="28"/>
      <c r="P91" s="244"/>
      <c r="Q91" s="330"/>
      <c r="R91" s="310"/>
    </row>
    <row r="92" spans="1:18" ht="13">
      <c r="A92" s="428">
        <f t="shared" si="2"/>
        <v>272</v>
      </c>
      <c r="B92" s="512">
        <f t="shared" si="2"/>
        <v>308</v>
      </c>
      <c r="C92" s="450">
        <v>33.43</v>
      </c>
      <c r="D92" s="378"/>
      <c r="E92" s="199"/>
      <c r="F92" s="273"/>
      <c r="G92" s="244"/>
      <c r="H92" s="244"/>
      <c r="I92" s="199"/>
      <c r="J92" s="199"/>
      <c r="K92" s="199"/>
      <c r="L92" s="199"/>
      <c r="M92" s="199"/>
      <c r="N92" s="199"/>
      <c r="O92" s="28"/>
      <c r="P92" s="244"/>
      <c r="Q92" s="330"/>
      <c r="R92" s="310"/>
    </row>
    <row r="93" spans="1:18" ht="13">
      <c r="A93" s="428">
        <f t="shared" si="2"/>
        <v>271</v>
      </c>
      <c r="B93" s="512">
        <f t="shared" si="2"/>
        <v>307</v>
      </c>
      <c r="C93" s="450">
        <v>33.659999999999997</v>
      </c>
      <c r="D93" s="378"/>
      <c r="E93" s="199"/>
      <c r="F93" s="273"/>
      <c r="G93" s="244"/>
      <c r="H93" s="244"/>
      <c r="I93" s="199"/>
      <c r="J93" s="199"/>
      <c r="K93" s="199"/>
      <c r="L93" s="199"/>
      <c r="M93" s="199"/>
      <c r="N93" s="199"/>
      <c r="O93" s="28"/>
      <c r="P93" s="244"/>
      <c r="Q93" s="330"/>
      <c r="R93" s="310"/>
    </row>
    <row r="94" spans="1:18" ht="13">
      <c r="A94" s="428">
        <f t="shared" si="2"/>
        <v>270</v>
      </c>
      <c r="B94" s="512">
        <f t="shared" si="2"/>
        <v>306</v>
      </c>
      <c r="C94" s="450">
        <v>32.770000000000003</v>
      </c>
      <c r="D94" s="378"/>
      <c r="E94" s="199"/>
      <c r="F94" s="273"/>
      <c r="G94" s="244"/>
      <c r="H94" s="244"/>
      <c r="I94" s="199"/>
      <c r="J94" s="199"/>
      <c r="K94" s="199"/>
      <c r="L94" s="199"/>
      <c r="M94" s="199"/>
      <c r="N94" s="199"/>
      <c r="O94" s="28"/>
      <c r="P94" s="244"/>
      <c r="Q94" s="330"/>
      <c r="R94" s="310"/>
    </row>
    <row r="95" spans="1:18" ht="13">
      <c r="A95" s="428">
        <f t="shared" si="2"/>
        <v>269</v>
      </c>
      <c r="B95" s="512">
        <f t="shared" si="2"/>
        <v>305</v>
      </c>
      <c r="C95" s="450">
        <v>33.44</v>
      </c>
      <c r="D95" s="378"/>
      <c r="E95" s="199"/>
      <c r="F95" s="273"/>
      <c r="G95" s="244"/>
      <c r="H95" s="244"/>
      <c r="I95" s="199"/>
      <c r="J95" s="199"/>
      <c r="K95" s="199"/>
      <c r="L95" s="199"/>
      <c r="M95" s="199"/>
      <c r="N95" s="199"/>
      <c r="O95" s="28"/>
      <c r="P95" s="244"/>
      <c r="Q95" s="330"/>
      <c r="R95" s="310"/>
    </row>
    <row r="96" spans="1:18" ht="13">
      <c r="A96" s="428">
        <f t="shared" si="2"/>
        <v>268</v>
      </c>
      <c r="B96" s="512">
        <f t="shared" si="2"/>
        <v>304</v>
      </c>
      <c r="C96" s="450">
        <v>33.659999999999997</v>
      </c>
      <c r="D96" s="378"/>
      <c r="E96" s="199"/>
      <c r="F96" s="273"/>
      <c r="G96" s="244"/>
      <c r="H96" s="244"/>
      <c r="I96" s="199"/>
      <c r="J96" s="199"/>
      <c r="K96" s="199"/>
      <c r="L96" s="199"/>
      <c r="M96" s="199"/>
      <c r="N96" s="199"/>
      <c r="O96" s="28"/>
      <c r="P96" s="244"/>
      <c r="Q96" s="330"/>
      <c r="R96" s="310"/>
    </row>
    <row r="97" spans="1:18" ht="13">
      <c r="A97" s="428">
        <f t="shared" si="2"/>
        <v>267</v>
      </c>
      <c r="B97" s="512">
        <f t="shared" si="2"/>
        <v>303</v>
      </c>
      <c r="C97" s="560">
        <v>33.53</v>
      </c>
      <c r="D97" s="378"/>
      <c r="E97" s="199"/>
      <c r="F97" s="273"/>
      <c r="G97" s="244"/>
      <c r="H97" s="244"/>
      <c r="I97" s="199"/>
      <c r="J97" s="199"/>
      <c r="K97" s="199"/>
      <c r="L97" s="199"/>
      <c r="M97" s="199"/>
      <c r="N97" s="199"/>
      <c r="O97" s="28"/>
      <c r="P97" s="244"/>
      <c r="Q97" s="330"/>
      <c r="R97" s="310"/>
    </row>
    <row r="98" spans="1:18" ht="13">
      <c r="A98" s="428">
        <f t="shared" si="2"/>
        <v>266</v>
      </c>
      <c r="B98" s="512">
        <f t="shared" si="2"/>
        <v>302</v>
      </c>
      <c r="C98" s="450">
        <v>33.450000000000003</v>
      </c>
      <c r="D98" s="378"/>
      <c r="E98" s="199"/>
      <c r="F98" s="273"/>
      <c r="G98" s="244"/>
      <c r="H98" s="244"/>
      <c r="I98" s="199"/>
      <c r="J98" s="199"/>
      <c r="K98" s="199"/>
      <c r="L98" s="199"/>
      <c r="M98" s="199"/>
      <c r="N98" s="199"/>
      <c r="O98" s="28"/>
      <c r="P98" s="244"/>
      <c r="Q98" s="330"/>
      <c r="R98" s="310"/>
    </row>
    <row r="99" spans="1:18" ht="13">
      <c r="A99" s="428">
        <f t="shared" si="2"/>
        <v>265</v>
      </c>
      <c r="B99" s="512">
        <f t="shared" si="2"/>
        <v>301</v>
      </c>
      <c r="C99" s="450">
        <v>33.71</v>
      </c>
      <c r="D99" s="378"/>
      <c r="E99" s="199"/>
      <c r="F99" s="273"/>
      <c r="G99" s="244"/>
      <c r="H99" s="244"/>
      <c r="I99" s="199"/>
      <c r="J99" s="199"/>
      <c r="K99" s="199"/>
      <c r="L99" s="199"/>
      <c r="M99" s="199"/>
      <c r="N99" s="199"/>
      <c r="O99" s="28"/>
      <c r="P99" s="244"/>
      <c r="Q99" s="330"/>
      <c r="R99" s="310"/>
    </row>
    <row r="100" spans="1:18" ht="13">
      <c r="A100" s="428">
        <f t="shared" si="2"/>
        <v>264</v>
      </c>
      <c r="B100" s="512">
        <f t="shared" si="2"/>
        <v>300</v>
      </c>
      <c r="C100" s="450">
        <v>33.78</v>
      </c>
      <c r="D100" s="378"/>
      <c r="E100" s="199"/>
      <c r="F100" s="273"/>
      <c r="G100" s="244"/>
      <c r="H100" s="244"/>
      <c r="I100" s="199"/>
      <c r="J100" s="199"/>
      <c r="K100" s="199"/>
      <c r="L100" s="199"/>
      <c r="M100" s="199"/>
      <c r="N100" s="199"/>
      <c r="O100" s="28"/>
      <c r="P100" s="244"/>
      <c r="Q100" s="330"/>
      <c r="R100" s="310"/>
    </row>
    <row r="101" spans="1:18" ht="13">
      <c r="A101" s="428">
        <f t="shared" si="2"/>
        <v>263</v>
      </c>
      <c r="B101" s="512">
        <f t="shared" si="2"/>
        <v>299</v>
      </c>
      <c r="C101" s="450">
        <v>33.67</v>
      </c>
      <c r="D101" s="378"/>
      <c r="E101" s="199"/>
      <c r="F101" s="273"/>
      <c r="G101" s="244"/>
      <c r="H101" s="244"/>
      <c r="I101" s="199"/>
      <c r="J101" s="199"/>
      <c r="K101" s="199"/>
      <c r="L101" s="199"/>
      <c r="M101" s="199"/>
      <c r="N101" s="199"/>
      <c r="O101" s="28"/>
      <c r="P101" s="244"/>
      <c r="Q101" s="330"/>
      <c r="R101" s="310"/>
    </row>
    <row r="102" spans="1:18" ht="13">
      <c r="A102" s="428">
        <f t="shared" si="2"/>
        <v>262</v>
      </c>
      <c r="B102" s="512">
        <f t="shared" si="2"/>
        <v>298</v>
      </c>
      <c r="C102" s="450">
        <v>33.44</v>
      </c>
      <c r="D102" s="378"/>
      <c r="E102" s="199"/>
      <c r="F102" s="273"/>
      <c r="G102" s="244"/>
      <c r="H102" s="244"/>
      <c r="I102" s="199"/>
      <c r="J102" s="199"/>
      <c r="K102" s="199"/>
      <c r="L102" s="199"/>
      <c r="M102" s="199"/>
      <c r="N102" s="199"/>
      <c r="O102" s="28"/>
      <c r="P102" s="244"/>
      <c r="Q102" s="330"/>
      <c r="R102" s="310"/>
    </row>
    <row r="103" spans="1:18" ht="13">
      <c r="A103" s="428">
        <f t="shared" si="2"/>
        <v>261</v>
      </c>
      <c r="B103" s="512">
        <f t="shared" si="2"/>
        <v>297</v>
      </c>
      <c r="C103" s="450">
        <v>33.54</v>
      </c>
      <c r="D103" s="378"/>
      <c r="E103" s="199"/>
      <c r="F103" s="273"/>
      <c r="G103" s="244"/>
      <c r="H103" s="244"/>
      <c r="I103" s="199"/>
      <c r="J103" s="199"/>
      <c r="K103" s="199"/>
      <c r="L103" s="199"/>
      <c r="M103" s="199"/>
      <c r="N103" s="199"/>
      <c r="O103" s="28"/>
      <c r="P103" s="244"/>
      <c r="Q103" s="330"/>
      <c r="R103" s="310"/>
    </row>
    <row r="104" spans="1:18" ht="13">
      <c r="A104" s="428">
        <f t="shared" si="2"/>
        <v>260</v>
      </c>
      <c r="B104" s="512">
        <f t="shared" si="2"/>
        <v>296</v>
      </c>
      <c r="C104" s="450">
        <v>33.74</v>
      </c>
      <c r="D104" s="378"/>
      <c r="E104" s="199"/>
      <c r="F104" s="273"/>
      <c r="G104" s="244"/>
      <c r="H104" s="244"/>
      <c r="I104" s="199"/>
      <c r="J104" s="199"/>
      <c r="K104" s="199"/>
      <c r="L104" s="199"/>
      <c r="M104" s="199"/>
      <c r="N104" s="199"/>
      <c r="O104" s="28"/>
      <c r="P104" s="244"/>
      <c r="Q104" s="330"/>
      <c r="R104" s="310"/>
    </row>
    <row r="105" spans="1:18" ht="13">
      <c r="A105" s="428">
        <f t="shared" si="2"/>
        <v>259</v>
      </c>
      <c r="B105" s="512">
        <f t="shared" si="2"/>
        <v>295</v>
      </c>
      <c r="C105" s="450">
        <v>33.74</v>
      </c>
      <c r="D105" s="378"/>
      <c r="E105" s="199"/>
      <c r="F105" s="273"/>
      <c r="G105" s="244"/>
      <c r="H105" s="244"/>
      <c r="I105" s="199"/>
      <c r="J105" s="199"/>
      <c r="K105" s="199"/>
      <c r="L105" s="199"/>
      <c r="M105" s="199"/>
      <c r="N105" s="199"/>
      <c r="O105" s="28"/>
      <c r="P105" s="244"/>
      <c r="Q105" s="330"/>
      <c r="R105" s="310"/>
    </row>
    <row r="106" spans="1:18" ht="13">
      <c r="A106" s="428">
        <f t="shared" si="2"/>
        <v>258</v>
      </c>
      <c r="B106" s="512">
        <f t="shared" si="2"/>
        <v>294</v>
      </c>
      <c r="C106" s="450">
        <v>33.51</v>
      </c>
      <c r="D106" s="378"/>
      <c r="E106" s="199"/>
      <c r="F106" s="273"/>
      <c r="G106" s="244"/>
      <c r="H106" s="244"/>
      <c r="I106" s="199"/>
      <c r="J106" s="199"/>
      <c r="K106" s="199"/>
      <c r="L106" s="199"/>
      <c r="M106" s="199"/>
      <c r="N106" s="199"/>
      <c r="O106" s="28"/>
      <c r="P106" s="244"/>
      <c r="Q106" s="330"/>
      <c r="R106" s="310"/>
    </row>
    <row r="107" spans="1:18" ht="13">
      <c r="A107" s="428">
        <f t="shared" si="2"/>
        <v>257</v>
      </c>
      <c r="B107" s="512">
        <f t="shared" si="2"/>
        <v>293</v>
      </c>
      <c r="C107" s="450">
        <v>33.39</v>
      </c>
      <c r="D107" s="378"/>
      <c r="E107" s="199"/>
      <c r="F107" s="273"/>
      <c r="G107" s="244"/>
      <c r="H107" s="244"/>
      <c r="I107" s="199"/>
      <c r="J107" s="199"/>
      <c r="K107" s="199"/>
      <c r="L107" s="199"/>
      <c r="M107" s="199"/>
      <c r="N107" s="199"/>
      <c r="O107" s="28"/>
      <c r="P107" s="244"/>
      <c r="Q107" s="330"/>
      <c r="R107" s="310"/>
    </row>
    <row r="108" spans="1:18" ht="13">
      <c r="A108" s="428">
        <f t="shared" si="2"/>
        <v>256</v>
      </c>
      <c r="B108" s="512">
        <f t="shared" si="2"/>
        <v>292</v>
      </c>
      <c r="C108" s="450">
        <v>33.78</v>
      </c>
      <c r="D108" s="378"/>
      <c r="E108" s="199"/>
      <c r="F108" s="273"/>
      <c r="G108" s="244"/>
      <c r="H108" s="244"/>
      <c r="I108" s="199"/>
      <c r="J108" s="199"/>
      <c r="K108" s="199"/>
      <c r="L108" s="199"/>
      <c r="M108" s="199"/>
      <c r="N108" s="199"/>
      <c r="O108" s="28"/>
      <c r="P108" s="244"/>
      <c r="Q108" s="330"/>
      <c r="R108" s="310"/>
    </row>
    <row r="109" spans="1:18" ht="13">
      <c r="A109" s="428">
        <f t="shared" si="2"/>
        <v>255</v>
      </c>
      <c r="B109" s="512">
        <f t="shared" si="2"/>
        <v>291</v>
      </c>
      <c r="C109" s="450">
        <v>33.85</v>
      </c>
      <c r="D109" s="378"/>
      <c r="E109" s="199"/>
      <c r="F109" s="273"/>
      <c r="G109" s="244"/>
      <c r="H109" s="244"/>
      <c r="I109" s="199"/>
      <c r="J109" s="199"/>
      <c r="K109" s="199"/>
      <c r="L109" s="199"/>
      <c r="M109" s="199"/>
      <c r="N109" s="199"/>
      <c r="O109" s="28"/>
      <c r="P109" s="244"/>
      <c r="Q109" s="330"/>
      <c r="R109" s="310"/>
    </row>
    <row r="110" spans="1:18" ht="13">
      <c r="A110" s="428">
        <f t="shared" si="2"/>
        <v>254</v>
      </c>
      <c r="B110" s="512">
        <f t="shared" si="2"/>
        <v>290</v>
      </c>
      <c r="C110" s="450">
        <v>33.43</v>
      </c>
      <c r="D110" s="378"/>
      <c r="E110" s="199"/>
      <c r="F110" s="273"/>
      <c r="G110" s="244"/>
      <c r="H110" s="244"/>
      <c r="I110" s="199"/>
      <c r="J110" s="199"/>
      <c r="K110" s="199"/>
      <c r="L110" s="199"/>
      <c r="M110" s="199"/>
      <c r="N110" s="199"/>
      <c r="O110" s="28"/>
      <c r="P110" s="244"/>
      <c r="Q110" s="330"/>
      <c r="R110" s="310"/>
    </row>
    <row r="111" spans="1:18" ht="13">
      <c r="A111" s="428">
        <f t="shared" si="2"/>
        <v>253</v>
      </c>
      <c r="B111" s="512">
        <f t="shared" si="2"/>
        <v>289</v>
      </c>
      <c r="C111" s="450">
        <v>33.43</v>
      </c>
      <c r="D111" s="378"/>
      <c r="E111" s="199"/>
      <c r="F111" s="273"/>
      <c r="G111" s="244"/>
      <c r="H111" s="244"/>
      <c r="I111" s="199"/>
      <c r="J111" s="199"/>
      <c r="K111" s="199"/>
      <c r="L111" s="199"/>
      <c r="M111" s="199"/>
      <c r="N111" s="199"/>
      <c r="O111" s="28"/>
      <c r="P111" s="244"/>
      <c r="Q111" s="330"/>
      <c r="R111" s="310"/>
    </row>
    <row r="112" spans="1:18" ht="13">
      <c r="A112" s="428">
        <f t="shared" si="2"/>
        <v>252</v>
      </c>
      <c r="B112" s="512">
        <f t="shared" si="2"/>
        <v>288</v>
      </c>
      <c r="C112" s="450">
        <v>33.770000000000003</v>
      </c>
      <c r="D112" s="378"/>
      <c r="E112" s="199"/>
      <c r="F112" s="273"/>
      <c r="G112" s="244"/>
      <c r="H112" s="244"/>
      <c r="I112" s="199"/>
      <c r="J112" s="199"/>
      <c r="K112" s="199"/>
      <c r="L112" s="199"/>
      <c r="M112" s="199"/>
      <c r="N112" s="199"/>
      <c r="O112" s="28"/>
      <c r="P112" s="244"/>
      <c r="Q112" s="330"/>
      <c r="R112" s="310"/>
    </row>
    <row r="113" spans="1:18" ht="13">
      <c r="A113" s="428">
        <f t="shared" si="2"/>
        <v>251</v>
      </c>
      <c r="B113" s="512">
        <f t="shared" si="2"/>
        <v>287</v>
      </c>
      <c r="C113" s="450">
        <v>33.53</v>
      </c>
      <c r="D113" s="378"/>
      <c r="E113" s="199"/>
      <c r="F113" s="273"/>
      <c r="G113" s="244"/>
      <c r="H113" s="244"/>
      <c r="I113" s="199"/>
      <c r="J113" s="199"/>
      <c r="K113" s="199"/>
      <c r="L113" s="199"/>
      <c r="M113" s="199"/>
      <c r="N113" s="199"/>
      <c r="O113" s="28"/>
      <c r="P113" s="244"/>
      <c r="Q113" s="330"/>
      <c r="R113" s="310"/>
    </row>
    <row r="114" spans="1:18" ht="13">
      <c r="A114" s="428">
        <f t="shared" si="2"/>
        <v>250</v>
      </c>
      <c r="B114" s="512">
        <f t="shared" si="2"/>
        <v>286</v>
      </c>
      <c r="C114" s="450">
        <v>33.82</v>
      </c>
      <c r="D114" s="378"/>
      <c r="E114" s="199"/>
      <c r="F114" s="273"/>
      <c r="G114" s="244"/>
      <c r="H114" s="244"/>
      <c r="I114" s="199"/>
      <c r="J114" s="199"/>
      <c r="K114" s="199"/>
      <c r="L114" s="199"/>
      <c r="M114" s="199"/>
      <c r="N114" s="199"/>
      <c r="O114" s="28"/>
      <c r="P114" s="244"/>
      <c r="Q114" s="330"/>
      <c r="R114" s="310"/>
    </row>
    <row r="115" spans="1:18" ht="13">
      <c r="A115" s="428">
        <f t="shared" si="2"/>
        <v>249</v>
      </c>
      <c r="B115" s="512">
        <f t="shared" si="2"/>
        <v>285</v>
      </c>
      <c r="C115" s="450">
        <v>33.270000000000003</v>
      </c>
      <c r="D115" s="378"/>
      <c r="E115" s="199"/>
      <c r="F115" s="273"/>
      <c r="G115" s="244"/>
      <c r="H115" s="244"/>
      <c r="I115" s="199"/>
      <c r="J115" s="199"/>
      <c r="K115" s="199"/>
      <c r="L115" s="199"/>
      <c r="M115" s="199"/>
      <c r="N115" s="199"/>
      <c r="O115" s="28"/>
      <c r="P115" s="244"/>
      <c r="Q115" s="330"/>
      <c r="R115" s="310"/>
    </row>
    <row r="116" spans="1:18" ht="13">
      <c r="A116" s="428">
        <f t="shared" si="2"/>
        <v>248</v>
      </c>
      <c r="B116" s="512">
        <f t="shared" si="2"/>
        <v>284</v>
      </c>
      <c r="C116" s="450">
        <v>33.54</v>
      </c>
      <c r="D116" s="378"/>
      <c r="E116" s="199"/>
      <c r="F116" s="273"/>
      <c r="G116" s="244"/>
      <c r="H116" s="244"/>
      <c r="I116" s="199"/>
      <c r="J116" s="199"/>
      <c r="K116" s="199"/>
      <c r="L116" s="199"/>
      <c r="M116" s="199"/>
      <c r="N116" s="199"/>
      <c r="O116" s="28"/>
      <c r="P116" s="244"/>
      <c r="Q116" s="330"/>
      <c r="R116" s="310"/>
    </row>
    <row r="117" spans="1:18" ht="13">
      <c r="A117" s="428">
        <f t="shared" si="2"/>
        <v>247</v>
      </c>
      <c r="B117" s="512">
        <f t="shared" si="2"/>
        <v>283</v>
      </c>
      <c r="C117" s="450">
        <v>33.659999999999997</v>
      </c>
      <c r="D117" s="378"/>
      <c r="E117" s="199"/>
      <c r="F117" s="273"/>
      <c r="G117" s="244"/>
      <c r="H117" s="244"/>
      <c r="I117" s="199"/>
      <c r="J117" s="199"/>
      <c r="K117" s="199"/>
      <c r="L117" s="199"/>
      <c r="M117" s="199"/>
      <c r="N117" s="199"/>
      <c r="O117" s="28"/>
      <c r="P117" s="244"/>
      <c r="Q117" s="330"/>
      <c r="R117" s="310"/>
    </row>
    <row r="118" spans="1:18" ht="13">
      <c r="A118" s="428">
        <f t="shared" si="2"/>
        <v>246</v>
      </c>
      <c r="B118" s="512">
        <f t="shared" si="2"/>
        <v>282</v>
      </c>
      <c r="C118" s="450">
        <v>33.76</v>
      </c>
      <c r="D118" s="378"/>
      <c r="E118" s="199"/>
      <c r="F118" s="273"/>
      <c r="G118" s="244"/>
      <c r="H118" s="244"/>
      <c r="I118" s="199"/>
      <c r="J118" s="199"/>
      <c r="K118" s="199"/>
      <c r="L118" s="199"/>
      <c r="M118" s="199"/>
      <c r="N118" s="199"/>
      <c r="O118" s="28"/>
      <c r="P118" s="244"/>
      <c r="Q118" s="330"/>
      <c r="R118" s="310"/>
    </row>
    <row r="119" spans="1:18" ht="13">
      <c r="A119" s="428">
        <f t="shared" si="2"/>
        <v>245</v>
      </c>
      <c r="B119" s="512">
        <f t="shared" si="2"/>
        <v>281</v>
      </c>
      <c r="C119" s="450">
        <v>33.39</v>
      </c>
      <c r="D119" s="378"/>
      <c r="E119" s="199"/>
      <c r="F119" s="273"/>
      <c r="G119" s="244"/>
      <c r="H119" s="244"/>
      <c r="I119" s="199"/>
      <c r="J119" s="199"/>
      <c r="K119" s="199"/>
      <c r="L119" s="199"/>
      <c r="M119" s="199"/>
      <c r="N119" s="199"/>
      <c r="O119" s="28"/>
      <c r="P119" s="244"/>
      <c r="Q119" s="330"/>
      <c r="R119" s="310"/>
    </row>
    <row r="120" spans="1:18" ht="13">
      <c r="A120" s="428">
        <f t="shared" si="2"/>
        <v>244</v>
      </c>
      <c r="B120" s="512">
        <f t="shared" si="2"/>
        <v>280</v>
      </c>
      <c r="C120" s="450">
        <v>33.39</v>
      </c>
      <c r="D120" s="378"/>
      <c r="E120" s="199"/>
      <c r="F120" s="273"/>
      <c r="G120" s="244"/>
      <c r="H120" s="244"/>
      <c r="I120" s="199"/>
      <c r="J120" s="199"/>
      <c r="K120" s="199"/>
      <c r="L120" s="199"/>
      <c r="M120" s="199"/>
      <c r="N120" s="199"/>
      <c r="O120" s="28"/>
      <c r="P120" s="244"/>
      <c r="Q120" s="330"/>
      <c r="R120" s="310"/>
    </row>
    <row r="121" spans="1:18" ht="13">
      <c r="A121" s="428">
        <f t="shared" si="2"/>
        <v>243</v>
      </c>
      <c r="B121" s="512">
        <f t="shared" si="2"/>
        <v>279</v>
      </c>
      <c r="C121" s="450">
        <v>33.79</v>
      </c>
      <c r="D121" s="378"/>
      <c r="E121" s="199"/>
      <c r="F121" s="273"/>
      <c r="G121" s="244"/>
      <c r="H121" s="244"/>
      <c r="I121" s="199"/>
      <c r="J121" s="199"/>
      <c r="K121" s="199"/>
      <c r="L121" s="199"/>
      <c r="M121" s="199"/>
      <c r="N121" s="199"/>
      <c r="O121" s="28"/>
      <c r="P121" s="244"/>
      <c r="Q121" s="330"/>
      <c r="R121" s="310"/>
    </row>
    <row r="122" spans="1:18" ht="13">
      <c r="A122" s="428">
        <f t="shared" si="2"/>
        <v>242</v>
      </c>
      <c r="B122" s="512">
        <f t="shared" si="2"/>
        <v>278</v>
      </c>
      <c r="C122" s="450">
        <v>33.76</v>
      </c>
      <c r="D122" s="378"/>
      <c r="E122" s="199"/>
      <c r="F122" s="273"/>
      <c r="G122" s="244"/>
      <c r="H122" s="244"/>
      <c r="I122" s="199"/>
      <c r="J122" s="199"/>
      <c r="K122" s="199"/>
      <c r="L122" s="199"/>
      <c r="M122" s="199"/>
      <c r="N122" s="199"/>
      <c r="O122" s="28"/>
      <c r="P122" s="244"/>
      <c r="Q122" s="330"/>
      <c r="R122" s="310"/>
    </row>
    <row r="123" spans="1:18" ht="13">
      <c r="A123" s="428">
        <f t="shared" si="2"/>
        <v>241</v>
      </c>
      <c r="B123" s="512">
        <f t="shared" si="2"/>
        <v>277</v>
      </c>
      <c r="C123" s="450">
        <v>33.58</v>
      </c>
      <c r="D123" s="378"/>
      <c r="E123" s="199"/>
      <c r="F123" s="273"/>
      <c r="G123" s="244"/>
      <c r="H123" s="244"/>
      <c r="I123" s="199"/>
      <c r="J123" s="199"/>
      <c r="K123" s="199"/>
      <c r="L123" s="199"/>
      <c r="M123" s="199"/>
      <c r="N123" s="199"/>
      <c r="O123" s="28"/>
      <c r="P123" s="244"/>
      <c r="Q123" s="330"/>
      <c r="R123" s="310"/>
    </row>
    <row r="124" spans="1:18" ht="13">
      <c r="A124" s="428">
        <f t="shared" si="2"/>
        <v>240</v>
      </c>
      <c r="B124" s="512">
        <f t="shared" si="2"/>
        <v>276</v>
      </c>
      <c r="C124" s="450">
        <v>33.94</v>
      </c>
      <c r="D124" s="378"/>
      <c r="E124" s="199"/>
      <c r="F124" s="273"/>
      <c r="G124" s="244"/>
      <c r="H124" s="244"/>
      <c r="I124" s="199"/>
      <c r="J124" s="199"/>
      <c r="K124" s="199"/>
      <c r="L124" s="199"/>
      <c r="M124" s="199"/>
      <c r="N124" s="199"/>
      <c r="O124" s="28"/>
      <c r="P124" s="244"/>
      <c r="Q124" s="330"/>
      <c r="R124" s="310"/>
    </row>
    <row r="125" spans="1:18" ht="13">
      <c r="A125" s="428">
        <f t="shared" si="2"/>
        <v>239</v>
      </c>
      <c r="B125" s="512">
        <f t="shared" si="2"/>
        <v>275</v>
      </c>
      <c r="C125" s="450">
        <v>33.4</v>
      </c>
      <c r="D125" s="378"/>
      <c r="E125" s="199"/>
      <c r="F125" s="273"/>
      <c r="G125" s="244"/>
      <c r="H125" s="244"/>
      <c r="I125" s="199"/>
      <c r="J125" s="199"/>
      <c r="K125" s="199"/>
      <c r="L125" s="199"/>
      <c r="M125" s="199"/>
      <c r="N125" s="199"/>
      <c r="O125" s="28"/>
      <c r="P125" s="244"/>
      <c r="Q125" s="330"/>
      <c r="R125" s="310"/>
    </row>
    <row r="126" spans="1:18" ht="13">
      <c r="A126" s="428">
        <f t="shared" si="2"/>
        <v>238</v>
      </c>
      <c r="B126" s="512">
        <f t="shared" si="2"/>
        <v>274</v>
      </c>
      <c r="C126" s="450">
        <v>31.53</v>
      </c>
      <c r="D126" s="378"/>
      <c r="E126" s="199"/>
      <c r="F126" s="273"/>
      <c r="G126" s="244"/>
      <c r="H126" s="244"/>
      <c r="I126" s="199"/>
      <c r="J126" s="199"/>
      <c r="K126" s="199"/>
      <c r="L126" s="199"/>
      <c r="M126" s="199"/>
      <c r="N126" s="199"/>
      <c r="O126" s="28"/>
      <c r="P126" s="244"/>
      <c r="Q126" s="330"/>
      <c r="R126" s="310"/>
    </row>
    <row r="127" spans="1:18" ht="13">
      <c r="A127" s="428">
        <f t="shared" si="2"/>
        <v>237</v>
      </c>
      <c r="B127" s="512">
        <f t="shared" si="2"/>
        <v>273</v>
      </c>
      <c r="C127" s="450">
        <v>33.21</v>
      </c>
      <c r="D127" s="378"/>
      <c r="E127" s="199"/>
      <c r="F127" s="273"/>
      <c r="G127" s="244"/>
      <c r="H127" s="244"/>
      <c r="I127" s="199"/>
      <c r="J127" s="199"/>
      <c r="K127" s="199"/>
      <c r="L127" s="199"/>
      <c r="M127" s="199"/>
      <c r="N127" s="199"/>
      <c r="O127" s="28"/>
      <c r="P127" s="244"/>
      <c r="Q127" s="330"/>
      <c r="R127" s="310"/>
    </row>
    <row r="128" spans="1:18" ht="13">
      <c r="A128" s="428">
        <f t="shared" si="2"/>
        <v>236</v>
      </c>
      <c r="B128" s="512">
        <f t="shared" si="2"/>
        <v>272</v>
      </c>
      <c r="C128" s="450">
        <v>33.89</v>
      </c>
      <c r="D128" s="378"/>
      <c r="E128" s="199"/>
      <c r="F128" s="273"/>
      <c r="G128" s="244"/>
      <c r="H128" s="244"/>
      <c r="I128" s="199"/>
      <c r="J128" s="199"/>
      <c r="K128" s="199"/>
      <c r="L128" s="199"/>
      <c r="M128" s="199"/>
      <c r="N128" s="199"/>
      <c r="O128" s="28"/>
      <c r="P128" s="244"/>
      <c r="Q128" s="330"/>
      <c r="R128" s="310"/>
    </row>
    <row r="129" spans="1:18" ht="13">
      <c r="A129" s="428">
        <f t="shared" si="2"/>
        <v>235</v>
      </c>
      <c r="B129" s="512">
        <f t="shared" si="2"/>
        <v>271</v>
      </c>
      <c r="C129" s="450">
        <v>33.950000000000003</v>
      </c>
      <c r="D129" s="378"/>
      <c r="E129" s="199"/>
      <c r="F129" s="273"/>
      <c r="G129" s="244"/>
      <c r="H129" s="244"/>
      <c r="I129" s="199"/>
      <c r="J129" s="199"/>
      <c r="K129" s="199"/>
      <c r="L129" s="199"/>
      <c r="M129" s="199"/>
      <c r="N129" s="199"/>
      <c r="O129" s="28"/>
      <c r="P129" s="244"/>
      <c r="Q129" s="330"/>
      <c r="R129" s="310"/>
    </row>
    <row r="130" spans="1:18" ht="13">
      <c r="A130" s="428">
        <f t="shared" si="2"/>
        <v>234</v>
      </c>
      <c r="B130" s="512">
        <f t="shared" si="2"/>
        <v>270</v>
      </c>
      <c r="C130" s="450">
        <v>33.78</v>
      </c>
      <c r="D130" s="378"/>
      <c r="E130" s="199"/>
      <c r="F130" s="273"/>
      <c r="G130" s="244"/>
      <c r="H130" s="244"/>
      <c r="I130" s="199"/>
      <c r="J130" s="199"/>
      <c r="K130" s="199"/>
      <c r="L130" s="199"/>
      <c r="M130" s="199"/>
      <c r="N130" s="199"/>
      <c r="O130" s="28"/>
      <c r="P130" s="244"/>
      <c r="Q130" s="330"/>
      <c r="R130" s="310"/>
    </row>
    <row r="131" spans="1:18" ht="13">
      <c r="A131" s="428">
        <f t="shared" si="2"/>
        <v>233</v>
      </c>
      <c r="B131" s="512">
        <f t="shared" si="2"/>
        <v>269</v>
      </c>
      <c r="C131" s="450">
        <v>33.64</v>
      </c>
      <c r="D131" s="378"/>
      <c r="E131" s="199"/>
      <c r="F131" s="273"/>
      <c r="G131" s="244"/>
      <c r="H131" s="244"/>
      <c r="I131" s="199"/>
      <c r="J131" s="199"/>
      <c r="K131" s="199"/>
      <c r="L131" s="199"/>
      <c r="M131" s="199"/>
      <c r="N131" s="199"/>
      <c r="O131" s="28"/>
      <c r="P131" s="244"/>
      <c r="Q131" s="330"/>
      <c r="R131" s="310"/>
    </row>
    <row r="132" spans="1:18" ht="13">
      <c r="A132" s="428">
        <f t="shared" si="2"/>
        <v>232</v>
      </c>
      <c r="B132" s="512">
        <f t="shared" si="2"/>
        <v>268</v>
      </c>
      <c r="C132" s="450">
        <v>33.770000000000003</v>
      </c>
      <c r="D132" s="378"/>
      <c r="E132" s="199"/>
      <c r="F132" s="273"/>
      <c r="G132" s="244"/>
      <c r="H132" s="244"/>
      <c r="I132" s="199"/>
      <c r="J132" s="199"/>
      <c r="K132" s="199"/>
      <c r="L132" s="199"/>
      <c r="M132" s="199"/>
      <c r="N132" s="199"/>
      <c r="O132" s="28"/>
      <c r="P132" s="244"/>
      <c r="Q132" s="330"/>
      <c r="R132" s="310"/>
    </row>
    <row r="133" spans="1:18" ht="13">
      <c r="A133" s="428">
        <f t="shared" si="2"/>
        <v>231</v>
      </c>
      <c r="B133" s="512">
        <f t="shared" si="2"/>
        <v>267</v>
      </c>
      <c r="C133" s="450">
        <v>33.97</v>
      </c>
      <c r="D133" s="378"/>
      <c r="E133" s="199"/>
      <c r="F133" s="273"/>
      <c r="G133" s="244"/>
      <c r="H133" s="244"/>
      <c r="I133" s="199"/>
      <c r="J133" s="199"/>
      <c r="K133" s="199"/>
      <c r="L133" s="199"/>
      <c r="M133" s="199"/>
      <c r="N133" s="199"/>
      <c r="O133" s="28"/>
      <c r="P133" s="244"/>
      <c r="Q133" s="330"/>
      <c r="R133" s="310"/>
    </row>
    <row r="134" spans="1:18" ht="13">
      <c r="A134" s="428">
        <f t="shared" si="2"/>
        <v>230</v>
      </c>
      <c r="B134" s="512">
        <f t="shared" si="2"/>
        <v>266</v>
      </c>
      <c r="C134" s="450">
        <v>33.18</v>
      </c>
      <c r="D134" s="378"/>
      <c r="E134" s="199"/>
      <c r="F134" s="273"/>
      <c r="G134" s="244"/>
      <c r="H134" s="244"/>
      <c r="I134" s="199"/>
      <c r="J134" s="199"/>
      <c r="K134" s="199"/>
      <c r="L134" s="199"/>
      <c r="M134" s="199"/>
      <c r="N134" s="199"/>
      <c r="O134" s="28"/>
      <c r="P134" s="244"/>
      <c r="Q134" s="330"/>
      <c r="R134" s="310"/>
    </row>
    <row r="135" spans="1:18" ht="13">
      <c r="A135" s="428">
        <f t="shared" si="2"/>
        <v>229</v>
      </c>
      <c r="B135" s="512">
        <f t="shared" si="2"/>
        <v>265</v>
      </c>
      <c r="C135" s="450">
        <v>33.29</v>
      </c>
      <c r="D135" s="378"/>
      <c r="E135" s="199"/>
      <c r="F135" s="273"/>
      <c r="G135" s="244"/>
      <c r="H135" s="244"/>
      <c r="I135" s="199"/>
      <c r="J135" s="199"/>
      <c r="K135" s="199"/>
      <c r="L135" s="199"/>
      <c r="M135" s="199"/>
      <c r="N135" s="199"/>
      <c r="O135" s="28"/>
      <c r="P135" s="244"/>
      <c r="Q135" s="330"/>
      <c r="R135" s="310"/>
    </row>
    <row r="136" spans="1:18" ht="13">
      <c r="A136" s="428">
        <f t="shared" ref="A136:B199" si="3">A135-1</f>
        <v>228</v>
      </c>
      <c r="B136" s="512">
        <f t="shared" si="3"/>
        <v>264</v>
      </c>
      <c r="C136" s="450">
        <v>33.51</v>
      </c>
      <c r="D136" s="378"/>
      <c r="E136" s="199"/>
      <c r="F136" s="273"/>
      <c r="G136" s="244"/>
      <c r="H136" s="244"/>
      <c r="I136" s="199"/>
      <c r="J136" s="199"/>
      <c r="K136" s="199"/>
      <c r="L136" s="199"/>
      <c r="M136" s="199"/>
      <c r="N136" s="199"/>
      <c r="O136" s="28"/>
      <c r="P136" s="244"/>
      <c r="Q136" s="330"/>
      <c r="R136" s="310"/>
    </row>
    <row r="137" spans="1:18" ht="13">
      <c r="A137" s="428">
        <f t="shared" si="3"/>
        <v>227</v>
      </c>
      <c r="B137" s="512">
        <f t="shared" si="3"/>
        <v>263</v>
      </c>
      <c r="C137" s="450">
        <v>33.700000000000003</v>
      </c>
      <c r="D137" s="378"/>
      <c r="E137" s="199"/>
      <c r="F137" s="273"/>
      <c r="G137" s="244"/>
      <c r="H137" s="244"/>
      <c r="I137" s="199"/>
      <c r="J137" s="199"/>
      <c r="K137" s="199"/>
      <c r="L137" s="199"/>
      <c r="M137" s="199"/>
      <c r="N137" s="199"/>
      <c r="O137" s="28"/>
      <c r="P137" s="244"/>
      <c r="Q137" s="330"/>
      <c r="R137" s="310"/>
    </row>
    <row r="138" spans="1:18" ht="13">
      <c r="A138" s="428">
        <f t="shared" si="3"/>
        <v>226</v>
      </c>
      <c r="B138" s="512">
        <f t="shared" si="3"/>
        <v>262</v>
      </c>
      <c r="C138" s="450">
        <v>33.51</v>
      </c>
      <c r="D138" s="378"/>
      <c r="E138" s="199"/>
      <c r="F138" s="273"/>
      <c r="G138" s="244"/>
      <c r="H138" s="244"/>
      <c r="I138" s="199"/>
      <c r="J138" s="199"/>
      <c r="K138" s="199"/>
      <c r="L138" s="199"/>
      <c r="M138" s="199"/>
      <c r="N138" s="199"/>
      <c r="O138" s="28"/>
      <c r="P138" s="244"/>
      <c r="Q138" s="330"/>
      <c r="R138" s="310"/>
    </row>
    <row r="139" spans="1:18" ht="13">
      <c r="A139" s="428">
        <f t="shared" si="3"/>
        <v>225</v>
      </c>
      <c r="B139" s="512">
        <f t="shared" si="3"/>
        <v>261</v>
      </c>
      <c r="C139" s="450">
        <v>33.46</v>
      </c>
      <c r="D139" s="378"/>
      <c r="E139" s="199"/>
      <c r="F139" s="273"/>
      <c r="G139" s="244"/>
      <c r="H139" s="244"/>
      <c r="I139" s="199"/>
      <c r="J139" s="199"/>
      <c r="K139" s="199"/>
      <c r="L139" s="199"/>
      <c r="M139" s="199"/>
      <c r="N139" s="199"/>
      <c r="O139" s="28"/>
      <c r="P139" s="244"/>
      <c r="Q139" s="330"/>
      <c r="R139" s="310"/>
    </row>
    <row r="140" spans="1:18" ht="13">
      <c r="A140" s="428">
        <f t="shared" si="3"/>
        <v>224</v>
      </c>
      <c r="B140" s="512">
        <f t="shared" si="3"/>
        <v>260</v>
      </c>
      <c r="C140" s="450">
        <v>33.86</v>
      </c>
      <c r="D140" s="378"/>
      <c r="E140" s="199"/>
      <c r="F140" s="273"/>
      <c r="G140" s="244"/>
      <c r="H140" s="244"/>
      <c r="I140" s="199"/>
      <c r="J140" s="199"/>
      <c r="K140" s="199"/>
      <c r="L140" s="199"/>
      <c r="M140" s="199"/>
      <c r="N140" s="199"/>
      <c r="O140" s="28"/>
      <c r="P140" s="244"/>
      <c r="Q140" s="330"/>
      <c r="R140" s="310"/>
    </row>
    <row r="141" spans="1:18" ht="13">
      <c r="A141" s="428">
        <f t="shared" si="3"/>
        <v>223</v>
      </c>
      <c r="B141" s="512">
        <f t="shared" si="3"/>
        <v>259</v>
      </c>
      <c r="C141" s="450">
        <v>33.71</v>
      </c>
      <c r="D141" s="378"/>
      <c r="E141" s="199"/>
      <c r="F141" s="273"/>
      <c r="G141" s="244"/>
      <c r="H141" s="244"/>
      <c r="I141" s="199"/>
      <c r="J141" s="199"/>
      <c r="K141" s="199"/>
      <c r="L141" s="199"/>
      <c r="M141" s="199"/>
      <c r="N141" s="199"/>
      <c r="O141" s="28"/>
      <c r="P141" s="244"/>
      <c r="Q141" s="330"/>
      <c r="R141" s="310"/>
    </row>
    <row r="142" spans="1:18" ht="13">
      <c r="A142" s="428">
        <f t="shared" si="3"/>
        <v>222</v>
      </c>
      <c r="B142" s="512">
        <f t="shared" si="3"/>
        <v>258</v>
      </c>
      <c r="C142" s="450">
        <v>33.950000000000003</v>
      </c>
      <c r="D142" s="378"/>
      <c r="E142" s="199"/>
      <c r="F142" s="273"/>
      <c r="G142" s="244"/>
      <c r="H142" s="244"/>
      <c r="I142" s="199"/>
      <c r="J142" s="199"/>
      <c r="K142" s="199"/>
      <c r="L142" s="199"/>
      <c r="M142" s="199"/>
      <c r="N142" s="199"/>
      <c r="O142" s="28"/>
      <c r="P142" s="244"/>
      <c r="Q142" s="330"/>
      <c r="R142" s="310"/>
    </row>
    <row r="143" spans="1:18" ht="13">
      <c r="A143" s="428">
        <f t="shared" si="3"/>
        <v>221</v>
      </c>
      <c r="B143" s="512">
        <f t="shared" si="3"/>
        <v>257</v>
      </c>
      <c r="C143" s="450">
        <v>33.770000000000003</v>
      </c>
      <c r="D143" s="378"/>
      <c r="E143" s="199"/>
      <c r="F143" s="273"/>
      <c r="G143" s="244"/>
      <c r="H143" s="244"/>
      <c r="I143" s="199"/>
      <c r="J143" s="199"/>
      <c r="K143" s="199"/>
      <c r="L143" s="199"/>
      <c r="M143" s="199"/>
      <c r="N143" s="199"/>
      <c r="O143" s="28"/>
      <c r="P143" s="244"/>
      <c r="Q143" s="330"/>
      <c r="R143" s="310"/>
    </row>
    <row r="144" spans="1:18" ht="13">
      <c r="A144" s="428">
        <f t="shared" si="3"/>
        <v>220</v>
      </c>
      <c r="B144" s="512">
        <f t="shared" si="3"/>
        <v>256</v>
      </c>
      <c r="C144" s="450">
        <v>33.26</v>
      </c>
      <c r="D144" s="378"/>
      <c r="E144" s="199"/>
      <c r="F144" s="273"/>
      <c r="G144" s="244"/>
      <c r="H144" s="244"/>
      <c r="I144" s="199"/>
      <c r="J144" s="199"/>
      <c r="K144" s="199"/>
      <c r="L144" s="199"/>
      <c r="M144" s="199"/>
      <c r="N144" s="199"/>
      <c r="O144" s="28"/>
      <c r="P144" s="244"/>
      <c r="Q144" s="330"/>
      <c r="R144" s="310"/>
    </row>
    <row r="145" spans="1:18" ht="13">
      <c r="A145" s="428">
        <f t="shared" si="3"/>
        <v>219</v>
      </c>
      <c r="B145" s="512">
        <f t="shared" si="3"/>
        <v>255</v>
      </c>
      <c r="C145" s="450">
        <v>33.82</v>
      </c>
      <c r="D145" s="378"/>
      <c r="E145" s="199"/>
      <c r="F145" s="273"/>
      <c r="G145" s="244"/>
      <c r="H145" s="244"/>
      <c r="I145" s="199"/>
      <c r="J145" s="199"/>
      <c r="K145" s="199"/>
      <c r="L145" s="199"/>
      <c r="M145" s="199"/>
      <c r="N145" s="199"/>
      <c r="O145" s="28"/>
      <c r="P145" s="244"/>
      <c r="Q145" s="330"/>
      <c r="R145" s="310"/>
    </row>
    <row r="146" spans="1:18" ht="13">
      <c r="A146" s="428">
        <f t="shared" si="3"/>
        <v>218</v>
      </c>
      <c r="B146" s="512">
        <f t="shared" si="3"/>
        <v>254</v>
      </c>
      <c r="C146" s="450">
        <v>33.700000000000003</v>
      </c>
      <c r="D146" s="378"/>
      <c r="E146" s="199"/>
      <c r="F146" s="273"/>
      <c r="G146" s="244"/>
      <c r="H146" s="244"/>
      <c r="I146" s="199"/>
      <c r="J146" s="199"/>
      <c r="K146" s="199"/>
      <c r="L146" s="199"/>
      <c r="M146" s="199"/>
      <c r="N146" s="199"/>
      <c r="O146" s="28"/>
      <c r="P146" s="244"/>
      <c r="Q146" s="330"/>
      <c r="R146" s="310"/>
    </row>
    <row r="147" spans="1:18" ht="13">
      <c r="A147" s="428">
        <f t="shared" si="3"/>
        <v>217</v>
      </c>
      <c r="B147" s="512">
        <f t="shared" si="3"/>
        <v>253</v>
      </c>
      <c r="C147" s="450">
        <v>33.75</v>
      </c>
      <c r="D147" s="378"/>
      <c r="E147" s="199"/>
      <c r="F147" s="273"/>
      <c r="G147" s="244"/>
      <c r="H147" s="244"/>
      <c r="I147" s="199"/>
      <c r="J147" s="199"/>
      <c r="K147" s="199"/>
      <c r="L147" s="199"/>
      <c r="M147" s="199"/>
      <c r="N147" s="199"/>
      <c r="O147" s="28"/>
      <c r="P147" s="244"/>
      <c r="Q147" s="330"/>
      <c r="R147" s="310"/>
    </row>
    <row r="148" spans="1:18" ht="13">
      <c r="A148" s="428">
        <f t="shared" si="3"/>
        <v>216</v>
      </c>
      <c r="B148" s="512">
        <f t="shared" si="3"/>
        <v>252</v>
      </c>
      <c r="C148" s="450">
        <v>33.200000000000003</v>
      </c>
      <c r="D148" s="378"/>
      <c r="E148" s="199"/>
      <c r="F148" s="273"/>
      <c r="G148" s="244"/>
      <c r="H148" s="244"/>
      <c r="I148" s="199"/>
      <c r="J148" s="199"/>
      <c r="K148" s="199"/>
      <c r="L148" s="199"/>
      <c r="M148" s="199"/>
      <c r="N148" s="199"/>
      <c r="O148" s="28"/>
      <c r="P148" s="244"/>
      <c r="Q148" s="330"/>
      <c r="R148" s="310"/>
    </row>
    <row r="149" spans="1:18" ht="13">
      <c r="A149" s="428">
        <f t="shared" si="3"/>
        <v>215</v>
      </c>
      <c r="B149" s="512">
        <f t="shared" si="3"/>
        <v>251</v>
      </c>
      <c r="C149" s="450">
        <v>33.61</v>
      </c>
      <c r="D149" s="378"/>
      <c r="E149" s="199"/>
      <c r="F149" s="273"/>
      <c r="G149" s="244"/>
      <c r="H149" s="244"/>
      <c r="I149" s="199"/>
      <c r="J149" s="199"/>
      <c r="K149" s="199"/>
      <c r="L149" s="199"/>
      <c r="M149" s="199"/>
      <c r="N149" s="199"/>
      <c r="O149" s="28"/>
      <c r="P149" s="244"/>
      <c r="Q149" s="330"/>
      <c r="R149" s="310"/>
    </row>
    <row r="150" spans="1:18" ht="13">
      <c r="A150" s="428">
        <f t="shared" si="3"/>
        <v>214</v>
      </c>
      <c r="B150" s="512">
        <f t="shared" si="3"/>
        <v>250</v>
      </c>
      <c r="C150" s="450">
        <v>33.380000000000003</v>
      </c>
      <c r="D150" s="378"/>
      <c r="E150" s="199"/>
      <c r="F150" s="273"/>
      <c r="G150" s="244"/>
      <c r="H150" s="244"/>
      <c r="I150" s="199"/>
      <c r="J150" s="199"/>
      <c r="K150" s="199"/>
      <c r="L150" s="199"/>
      <c r="M150" s="199"/>
      <c r="N150" s="199"/>
      <c r="O150" s="28"/>
      <c r="P150" s="244"/>
      <c r="Q150" s="330"/>
      <c r="R150" s="310"/>
    </row>
    <row r="151" spans="1:18" ht="13">
      <c r="A151" s="428">
        <f t="shared" si="3"/>
        <v>213</v>
      </c>
      <c r="B151" s="512">
        <f t="shared" si="3"/>
        <v>249</v>
      </c>
      <c r="C151" s="450">
        <v>33.29</v>
      </c>
      <c r="D151" s="378"/>
      <c r="E151" s="199"/>
      <c r="F151" s="273"/>
      <c r="G151" s="244"/>
      <c r="H151" s="244"/>
      <c r="I151" s="199"/>
      <c r="J151" s="199"/>
      <c r="K151" s="199"/>
      <c r="L151" s="199"/>
      <c r="M151" s="199"/>
      <c r="N151" s="199"/>
      <c r="O151" s="28"/>
      <c r="P151" s="244"/>
      <c r="Q151" s="330"/>
      <c r="R151" s="310"/>
    </row>
    <row r="152" spans="1:18" ht="13">
      <c r="A152" s="428">
        <f t="shared" si="3"/>
        <v>212</v>
      </c>
      <c r="B152" s="512">
        <f t="shared" si="3"/>
        <v>248</v>
      </c>
      <c r="C152" s="450">
        <v>33.450000000000003</v>
      </c>
      <c r="D152" s="378"/>
      <c r="E152" s="199"/>
      <c r="F152" s="273"/>
      <c r="G152" s="244"/>
      <c r="H152" s="244"/>
      <c r="I152" s="199"/>
      <c r="J152" s="199"/>
      <c r="K152" s="199"/>
      <c r="L152" s="199"/>
      <c r="M152" s="199"/>
      <c r="N152" s="199"/>
      <c r="O152" s="28"/>
      <c r="P152" s="244"/>
      <c r="Q152" s="330"/>
      <c r="R152" s="310"/>
    </row>
    <row r="153" spans="1:18" ht="13">
      <c r="A153" s="428">
        <f t="shared" si="3"/>
        <v>211</v>
      </c>
      <c r="B153" s="512">
        <f t="shared" si="3"/>
        <v>247</v>
      </c>
      <c r="C153" s="450">
        <v>33.57</v>
      </c>
      <c r="D153" s="378"/>
      <c r="E153" s="199"/>
      <c r="F153" s="273"/>
      <c r="G153" s="244"/>
      <c r="H153" s="244"/>
      <c r="I153" s="199"/>
      <c r="J153" s="199"/>
      <c r="K153" s="199"/>
      <c r="L153" s="199"/>
      <c r="M153" s="199"/>
      <c r="N153" s="199"/>
      <c r="O153" s="28"/>
      <c r="P153" s="244"/>
      <c r="Q153" s="330"/>
      <c r="R153" s="310"/>
    </row>
    <row r="154" spans="1:18" ht="13">
      <c r="A154" s="428">
        <f t="shared" si="3"/>
        <v>210</v>
      </c>
      <c r="B154" s="512">
        <f t="shared" si="3"/>
        <v>246</v>
      </c>
      <c r="C154" s="450">
        <v>33.630000000000003</v>
      </c>
      <c r="D154" s="378"/>
      <c r="E154" s="199"/>
      <c r="F154" s="273"/>
      <c r="G154" s="244"/>
      <c r="H154" s="244"/>
      <c r="I154" s="199"/>
      <c r="J154" s="199"/>
      <c r="K154" s="199"/>
      <c r="L154" s="199"/>
      <c r="M154" s="199"/>
      <c r="N154" s="199"/>
      <c r="O154" s="28"/>
      <c r="P154" s="244"/>
      <c r="Q154" s="330"/>
      <c r="R154" s="310"/>
    </row>
    <row r="155" spans="1:18" ht="13">
      <c r="A155" s="428">
        <f t="shared" si="3"/>
        <v>209</v>
      </c>
      <c r="B155" s="512">
        <f t="shared" si="3"/>
        <v>245</v>
      </c>
      <c r="C155" s="450">
        <v>33.61</v>
      </c>
      <c r="D155" s="378"/>
      <c r="E155" s="199"/>
      <c r="F155" s="273"/>
      <c r="G155" s="244"/>
      <c r="H155" s="244"/>
      <c r="I155" s="199"/>
      <c r="J155" s="199"/>
      <c r="K155" s="199"/>
      <c r="L155" s="199"/>
      <c r="M155" s="199"/>
      <c r="N155" s="199"/>
      <c r="O155" s="28"/>
      <c r="P155" s="244"/>
      <c r="Q155" s="330"/>
      <c r="R155" s="310"/>
    </row>
    <row r="156" spans="1:18" ht="13">
      <c r="A156" s="428">
        <f t="shared" si="3"/>
        <v>208</v>
      </c>
      <c r="B156" s="512">
        <f t="shared" si="3"/>
        <v>244</v>
      </c>
      <c r="C156" s="450">
        <v>33.979999999999997</v>
      </c>
      <c r="D156" s="378"/>
      <c r="E156" s="199"/>
      <c r="F156" s="273"/>
      <c r="G156" s="244"/>
      <c r="H156" s="244"/>
      <c r="I156" s="199"/>
      <c r="J156" s="199"/>
      <c r="K156" s="199"/>
      <c r="L156" s="199"/>
      <c r="M156" s="199"/>
      <c r="N156" s="199"/>
      <c r="O156" s="28"/>
      <c r="P156" s="244"/>
      <c r="Q156" s="330"/>
      <c r="R156" s="310"/>
    </row>
    <row r="157" spans="1:18" ht="13">
      <c r="A157" s="428">
        <f t="shared" si="3"/>
        <v>207</v>
      </c>
      <c r="B157" s="512">
        <f t="shared" si="3"/>
        <v>243</v>
      </c>
      <c r="C157" s="450">
        <v>33.17</v>
      </c>
      <c r="D157" s="378"/>
      <c r="E157" s="199"/>
      <c r="F157" s="273"/>
      <c r="G157" s="244"/>
      <c r="H157" s="244"/>
      <c r="I157" s="199"/>
      <c r="J157" s="199"/>
      <c r="K157" s="199"/>
      <c r="L157" s="199"/>
      <c r="M157" s="199"/>
      <c r="N157" s="199"/>
      <c r="O157" s="28"/>
      <c r="P157" s="244"/>
      <c r="Q157" s="330"/>
      <c r="R157" s="310"/>
    </row>
    <row r="158" spans="1:18" ht="13">
      <c r="A158" s="428">
        <f t="shared" si="3"/>
        <v>206</v>
      </c>
      <c r="B158" s="512">
        <f t="shared" si="3"/>
        <v>242</v>
      </c>
      <c r="C158" s="450">
        <v>33.93</v>
      </c>
      <c r="D158" s="378"/>
      <c r="E158" s="199"/>
      <c r="F158" s="273"/>
      <c r="G158" s="244"/>
      <c r="H158" s="244"/>
      <c r="I158" s="199"/>
      <c r="J158" s="199"/>
      <c r="K158" s="199"/>
      <c r="L158" s="199"/>
      <c r="M158" s="199"/>
      <c r="N158" s="199"/>
      <c r="O158" s="28"/>
      <c r="P158" s="244"/>
      <c r="Q158" s="330"/>
      <c r="R158" s="310"/>
    </row>
    <row r="159" spans="1:18" ht="13">
      <c r="A159" s="428">
        <f t="shared" si="3"/>
        <v>205</v>
      </c>
      <c r="B159" s="512">
        <f t="shared" si="3"/>
        <v>241</v>
      </c>
      <c r="C159" s="450">
        <v>33.69</v>
      </c>
      <c r="D159" s="378"/>
      <c r="E159" s="199"/>
      <c r="F159" s="273"/>
      <c r="G159" s="244"/>
      <c r="H159" s="244"/>
      <c r="I159" s="199"/>
      <c r="J159" s="199"/>
      <c r="K159" s="199"/>
      <c r="L159" s="199"/>
      <c r="M159" s="199"/>
      <c r="N159" s="199"/>
      <c r="O159" s="28"/>
      <c r="P159" s="244"/>
      <c r="Q159" s="330"/>
      <c r="R159" s="310"/>
    </row>
    <row r="160" spans="1:18" ht="13">
      <c r="A160" s="428">
        <f t="shared" si="3"/>
        <v>204</v>
      </c>
      <c r="B160" s="512">
        <f t="shared" si="3"/>
        <v>240</v>
      </c>
      <c r="C160" s="450">
        <v>33.869999999999997</v>
      </c>
      <c r="D160" s="378"/>
      <c r="E160" s="199"/>
      <c r="F160" s="273"/>
      <c r="G160" s="244"/>
      <c r="H160" s="244"/>
      <c r="I160" s="199"/>
      <c r="J160" s="199"/>
      <c r="K160" s="199"/>
      <c r="L160" s="199"/>
      <c r="M160" s="199"/>
      <c r="N160" s="199"/>
      <c r="O160" s="28"/>
      <c r="P160" s="244"/>
      <c r="Q160" s="330"/>
      <c r="R160" s="310"/>
    </row>
    <row r="161" spans="1:18" ht="13">
      <c r="A161" s="428">
        <f t="shared" si="3"/>
        <v>203</v>
      </c>
      <c r="B161" s="512">
        <f t="shared" si="3"/>
        <v>239</v>
      </c>
      <c r="C161" s="450">
        <v>33.68</v>
      </c>
      <c r="D161" s="378"/>
      <c r="E161" s="199"/>
      <c r="F161" s="273"/>
      <c r="G161" s="244"/>
      <c r="H161" s="244"/>
      <c r="I161" s="199"/>
      <c r="J161" s="199"/>
      <c r="K161" s="199"/>
      <c r="L161" s="199"/>
      <c r="M161" s="199"/>
      <c r="N161" s="199"/>
      <c r="O161" s="28"/>
      <c r="P161" s="244"/>
      <c r="Q161" s="330"/>
      <c r="R161" s="310"/>
    </row>
    <row r="162" spans="1:18" ht="13">
      <c r="A162" s="428">
        <f t="shared" si="3"/>
        <v>202</v>
      </c>
      <c r="B162" s="512">
        <f t="shared" si="3"/>
        <v>238</v>
      </c>
      <c r="C162" s="450">
        <v>33.33</v>
      </c>
      <c r="D162" s="378"/>
      <c r="E162" s="199"/>
      <c r="F162" s="273"/>
      <c r="G162" s="244"/>
      <c r="H162" s="244"/>
      <c r="I162" s="199"/>
      <c r="J162" s="199"/>
      <c r="K162" s="199"/>
      <c r="L162" s="199"/>
      <c r="M162" s="199"/>
      <c r="N162" s="199"/>
      <c r="O162" s="28"/>
      <c r="P162" s="244"/>
      <c r="Q162" s="330"/>
      <c r="R162" s="310"/>
    </row>
    <row r="163" spans="1:18" ht="13">
      <c r="A163" s="428">
        <f t="shared" si="3"/>
        <v>201</v>
      </c>
      <c r="B163" s="512">
        <f t="shared" si="3"/>
        <v>237</v>
      </c>
      <c r="C163" s="450">
        <v>33.630000000000003</v>
      </c>
      <c r="D163" s="378"/>
      <c r="E163" s="199"/>
      <c r="F163" s="273"/>
      <c r="G163" s="244"/>
      <c r="H163" s="244"/>
      <c r="I163" s="199"/>
      <c r="J163" s="199"/>
      <c r="K163" s="199"/>
      <c r="L163" s="199"/>
      <c r="M163" s="199"/>
      <c r="N163" s="199"/>
      <c r="O163" s="28"/>
      <c r="P163" s="244"/>
      <c r="Q163" s="330"/>
      <c r="R163" s="310"/>
    </row>
    <row r="164" spans="1:18" ht="13">
      <c r="A164" s="428">
        <f t="shared" si="3"/>
        <v>200</v>
      </c>
      <c r="B164" s="512">
        <f t="shared" si="3"/>
        <v>236</v>
      </c>
      <c r="C164" s="450">
        <v>33.869999999999997</v>
      </c>
      <c r="D164" s="378"/>
      <c r="E164" s="199"/>
      <c r="F164" s="273"/>
      <c r="G164" s="244"/>
      <c r="H164" s="244"/>
      <c r="I164" s="199"/>
      <c r="J164" s="199"/>
      <c r="K164" s="199"/>
      <c r="L164" s="199"/>
      <c r="M164" s="199"/>
      <c r="N164" s="199"/>
      <c r="O164" s="28"/>
      <c r="P164" s="244"/>
      <c r="Q164" s="330"/>
      <c r="R164" s="310"/>
    </row>
    <row r="165" spans="1:18" ht="13">
      <c r="A165" s="428">
        <f t="shared" si="3"/>
        <v>199</v>
      </c>
      <c r="B165" s="512">
        <f t="shared" si="3"/>
        <v>235</v>
      </c>
      <c r="C165" s="450">
        <v>33.32</v>
      </c>
      <c r="D165" s="378"/>
      <c r="E165" s="199"/>
      <c r="F165" s="273"/>
      <c r="G165" s="244"/>
      <c r="H165" s="244"/>
      <c r="I165" s="199"/>
      <c r="J165" s="199"/>
      <c r="K165" s="199"/>
      <c r="L165" s="199"/>
      <c r="M165" s="199"/>
      <c r="N165" s="199"/>
      <c r="O165" s="28"/>
      <c r="P165" s="244"/>
      <c r="Q165" s="330"/>
      <c r="R165" s="310"/>
    </row>
    <row r="166" spans="1:18" ht="13">
      <c r="A166" s="428">
        <f t="shared" si="3"/>
        <v>198</v>
      </c>
      <c r="B166" s="512">
        <f t="shared" si="3"/>
        <v>234</v>
      </c>
      <c r="C166" s="450">
        <v>33.82</v>
      </c>
      <c r="D166" s="378"/>
      <c r="E166" s="199"/>
      <c r="F166" s="273"/>
      <c r="G166" s="244"/>
      <c r="H166" s="244"/>
      <c r="I166" s="199"/>
      <c r="J166" s="199"/>
      <c r="K166" s="199"/>
      <c r="L166" s="199"/>
      <c r="M166" s="199"/>
      <c r="N166" s="199"/>
      <c r="O166" s="28"/>
      <c r="P166" s="244"/>
      <c r="Q166" s="330"/>
      <c r="R166" s="310"/>
    </row>
    <row r="167" spans="1:18" ht="13">
      <c r="A167" s="428">
        <f t="shared" si="3"/>
        <v>197</v>
      </c>
      <c r="B167" s="512">
        <f t="shared" si="3"/>
        <v>233</v>
      </c>
      <c r="C167" s="450">
        <v>33.5</v>
      </c>
      <c r="D167" s="378"/>
      <c r="E167" s="199"/>
      <c r="F167" s="273"/>
      <c r="G167" s="244"/>
      <c r="H167" s="244"/>
      <c r="I167" s="199"/>
      <c r="J167" s="199"/>
      <c r="K167" s="199"/>
      <c r="L167" s="199"/>
      <c r="M167" s="199"/>
      <c r="N167" s="199"/>
      <c r="O167" s="28"/>
      <c r="P167" s="244"/>
      <c r="Q167" s="330"/>
      <c r="R167" s="310"/>
    </row>
    <row r="168" spans="1:18" ht="13">
      <c r="A168" s="428">
        <f t="shared" si="3"/>
        <v>196</v>
      </c>
      <c r="B168" s="512">
        <f t="shared" si="3"/>
        <v>232</v>
      </c>
      <c r="C168" s="450">
        <v>33.53</v>
      </c>
      <c r="D168" s="378"/>
      <c r="E168" s="199"/>
      <c r="F168" s="273"/>
      <c r="G168" s="244"/>
      <c r="H168" s="244"/>
      <c r="I168" s="199"/>
      <c r="J168" s="199"/>
      <c r="K168" s="199"/>
      <c r="L168" s="199"/>
      <c r="M168" s="199"/>
      <c r="N168" s="199"/>
      <c r="O168" s="28"/>
      <c r="P168" s="244"/>
      <c r="Q168" s="330"/>
      <c r="R168" s="310"/>
    </row>
    <row r="169" spans="1:18" ht="13">
      <c r="A169" s="428">
        <f t="shared" si="3"/>
        <v>195</v>
      </c>
      <c r="B169" s="512">
        <f t="shared" si="3"/>
        <v>231</v>
      </c>
      <c r="C169" s="450">
        <v>33.72</v>
      </c>
      <c r="D169" s="378"/>
      <c r="E169" s="199"/>
      <c r="F169" s="273"/>
      <c r="G169" s="244"/>
      <c r="H169" s="244"/>
      <c r="I169" s="199"/>
      <c r="J169" s="199"/>
      <c r="K169" s="199"/>
      <c r="L169" s="199"/>
      <c r="M169" s="199"/>
      <c r="N169" s="199"/>
      <c r="O169" s="28"/>
      <c r="P169" s="244"/>
      <c r="Q169" s="330"/>
      <c r="R169" s="310"/>
    </row>
    <row r="170" spans="1:18" ht="13">
      <c r="A170" s="428">
        <f t="shared" si="3"/>
        <v>194</v>
      </c>
      <c r="B170" s="512">
        <f t="shared" si="3"/>
        <v>230</v>
      </c>
      <c r="C170" s="450">
        <v>33.94</v>
      </c>
      <c r="D170" s="378"/>
      <c r="E170" s="199"/>
      <c r="F170" s="273"/>
      <c r="G170" s="244"/>
      <c r="H170" s="244"/>
      <c r="I170" s="199"/>
      <c r="J170" s="199"/>
      <c r="K170" s="199"/>
      <c r="L170" s="199"/>
      <c r="M170" s="199"/>
      <c r="N170" s="199"/>
      <c r="O170" s="28"/>
      <c r="P170" s="244"/>
      <c r="Q170" s="330"/>
      <c r="R170" s="310"/>
    </row>
    <row r="171" spans="1:18" ht="13">
      <c r="A171" s="428">
        <f t="shared" si="3"/>
        <v>193</v>
      </c>
      <c r="B171" s="512">
        <f t="shared" si="3"/>
        <v>229</v>
      </c>
      <c r="C171" s="450">
        <v>33.64</v>
      </c>
      <c r="D171" s="378"/>
      <c r="E171" s="199"/>
      <c r="F171" s="273"/>
      <c r="G171" s="244"/>
      <c r="H171" s="244"/>
      <c r="I171" s="199"/>
      <c r="J171" s="199"/>
      <c r="K171" s="199"/>
      <c r="L171" s="199"/>
      <c r="M171" s="199"/>
      <c r="N171" s="199"/>
      <c r="O171" s="28"/>
      <c r="P171" s="244"/>
      <c r="Q171" s="330"/>
      <c r="R171" s="310"/>
    </row>
    <row r="172" spans="1:18" ht="13">
      <c r="A172" s="428">
        <f t="shared" si="3"/>
        <v>192</v>
      </c>
      <c r="B172" s="512">
        <f t="shared" si="3"/>
        <v>228</v>
      </c>
      <c r="C172" s="450">
        <v>33.85</v>
      </c>
      <c r="D172" s="378"/>
      <c r="E172" s="199"/>
      <c r="F172" s="273"/>
      <c r="G172" s="244"/>
      <c r="H172" s="244"/>
      <c r="I172" s="199"/>
      <c r="J172" s="199"/>
      <c r="K172" s="199"/>
      <c r="L172" s="199"/>
      <c r="M172" s="199"/>
      <c r="N172" s="199"/>
      <c r="O172" s="28"/>
      <c r="P172" s="244"/>
      <c r="Q172" s="330"/>
      <c r="R172" s="310"/>
    </row>
    <row r="173" spans="1:18" ht="13">
      <c r="A173" s="428">
        <f t="shared" si="3"/>
        <v>191</v>
      </c>
      <c r="B173" s="512">
        <f t="shared" si="3"/>
        <v>227</v>
      </c>
      <c r="C173" s="450">
        <v>33.82</v>
      </c>
      <c r="D173" s="378"/>
      <c r="E173" s="199"/>
      <c r="F173" s="273"/>
      <c r="G173" s="244"/>
      <c r="H173" s="244"/>
      <c r="I173" s="199"/>
      <c r="J173" s="199"/>
      <c r="K173" s="199"/>
      <c r="L173" s="199"/>
      <c r="M173" s="199"/>
      <c r="N173" s="199"/>
      <c r="O173" s="28"/>
      <c r="P173" s="244"/>
      <c r="Q173" s="330"/>
      <c r="R173" s="310"/>
    </row>
    <row r="174" spans="1:18" ht="13">
      <c r="A174" s="428">
        <f t="shared" si="3"/>
        <v>190</v>
      </c>
      <c r="B174" s="512">
        <f t="shared" si="3"/>
        <v>226</v>
      </c>
      <c r="C174" s="450">
        <v>33.450000000000003</v>
      </c>
      <c r="D174" s="378"/>
      <c r="E174" s="199"/>
      <c r="F174" s="273"/>
      <c r="G174" s="244"/>
      <c r="H174" s="244"/>
      <c r="I174" s="199"/>
      <c r="J174" s="199"/>
      <c r="K174" s="199"/>
      <c r="L174" s="199"/>
      <c r="M174" s="199"/>
      <c r="N174" s="199"/>
      <c r="O174" s="28"/>
      <c r="P174" s="244"/>
      <c r="Q174" s="330"/>
      <c r="R174" s="310"/>
    </row>
    <row r="175" spans="1:18" ht="13">
      <c r="A175" s="428">
        <f t="shared" si="3"/>
        <v>189</v>
      </c>
      <c r="B175" s="512">
        <f t="shared" si="3"/>
        <v>225</v>
      </c>
      <c r="C175" s="450">
        <v>33.4</v>
      </c>
      <c r="D175" s="378"/>
      <c r="E175" s="199"/>
      <c r="F175" s="273"/>
      <c r="G175" s="244"/>
      <c r="H175" s="244"/>
      <c r="I175" s="199"/>
      <c r="J175" s="199"/>
      <c r="K175" s="199"/>
      <c r="L175" s="199"/>
      <c r="M175" s="199"/>
      <c r="N175" s="199"/>
      <c r="O175" s="28"/>
      <c r="P175" s="244"/>
      <c r="Q175" s="330"/>
      <c r="R175" s="310"/>
    </row>
    <row r="176" spans="1:18" ht="13">
      <c r="A176" s="428">
        <f t="shared" si="3"/>
        <v>188</v>
      </c>
      <c r="B176" s="512">
        <f t="shared" si="3"/>
        <v>224</v>
      </c>
      <c r="C176" s="450">
        <v>33.83</v>
      </c>
      <c r="D176" s="378"/>
      <c r="E176" s="199"/>
      <c r="F176" s="273"/>
      <c r="G176" s="244"/>
      <c r="H176" s="244"/>
      <c r="I176" s="199"/>
      <c r="J176" s="199"/>
      <c r="K176" s="199"/>
      <c r="L176" s="199"/>
      <c r="M176" s="199"/>
      <c r="N176" s="199"/>
      <c r="O176" s="28"/>
      <c r="P176" s="244"/>
      <c r="Q176" s="330"/>
      <c r="R176" s="310"/>
    </row>
    <row r="177" spans="1:18" ht="13">
      <c r="A177" s="428">
        <f t="shared" si="3"/>
        <v>187</v>
      </c>
      <c r="B177" s="512">
        <f t="shared" si="3"/>
        <v>223</v>
      </c>
      <c r="C177" s="450">
        <v>33.380000000000003</v>
      </c>
      <c r="D177" s="378"/>
      <c r="E177" s="199"/>
      <c r="F177" s="273"/>
      <c r="G177" s="244"/>
      <c r="H177" s="244"/>
      <c r="I177" s="199"/>
      <c r="J177" s="199"/>
      <c r="K177" s="199"/>
      <c r="L177" s="199"/>
      <c r="M177" s="199"/>
      <c r="N177" s="199"/>
      <c r="O177" s="28"/>
      <c r="P177" s="244"/>
      <c r="Q177" s="330"/>
      <c r="R177" s="310"/>
    </row>
    <row r="178" spans="1:18" ht="13">
      <c r="A178" s="428">
        <f t="shared" si="3"/>
        <v>186</v>
      </c>
      <c r="B178" s="512">
        <f t="shared" si="3"/>
        <v>222</v>
      </c>
      <c r="C178" s="450">
        <v>33.33</v>
      </c>
      <c r="D178" s="378"/>
      <c r="E178" s="199"/>
      <c r="F178" s="273"/>
      <c r="G178" s="244"/>
      <c r="H178" s="244"/>
      <c r="I178" s="199"/>
      <c r="J178" s="199"/>
      <c r="K178" s="199"/>
      <c r="L178" s="199"/>
      <c r="M178" s="199"/>
      <c r="N178" s="199"/>
      <c r="O178" s="28"/>
      <c r="P178" s="244"/>
      <c r="Q178" s="330"/>
      <c r="R178" s="310"/>
    </row>
    <row r="179" spans="1:18" ht="13">
      <c r="A179" s="428">
        <f t="shared" si="3"/>
        <v>185</v>
      </c>
      <c r="B179" s="512">
        <f t="shared" si="3"/>
        <v>221</v>
      </c>
      <c r="C179" s="450">
        <v>32.19</v>
      </c>
      <c r="D179" s="378"/>
      <c r="E179" s="199"/>
      <c r="F179" s="273"/>
      <c r="G179" s="244"/>
      <c r="H179" s="244"/>
      <c r="I179" s="199"/>
      <c r="J179" s="199"/>
      <c r="K179" s="199"/>
      <c r="L179" s="199"/>
      <c r="M179" s="199"/>
      <c r="N179" s="199"/>
      <c r="O179" s="28"/>
      <c r="P179" s="244"/>
      <c r="Q179" s="330"/>
      <c r="R179" s="310"/>
    </row>
    <row r="180" spans="1:18" ht="13">
      <c r="A180" s="428">
        <f t="shared" si="3"/>
        <v>184</v>
      </c>
      <c r="B180" s="512">
        <f t="shared" si="3"/>
        <v>220</v>
      </c>
      <c r="C180" s="450">
        <v>33.53</v>
      </c>
      <c r="D180" s="378"/>
      <c r="E180" s="199"/>
      <c r="F180" s="273"/>
      <c r="G180" s="244"/>
      <c r="H180" s="244"/>
      <c r="I180" s="199"/>
      <c r="J180" s="199"/>
      <c r="K180" s="199"/>
      <c r="L180" s="199"/>
      <c r="M180" s="199"/>
      <c r="N180" s="199"/>
      <c r="O180" s="28"/>
      <c r="P180" s="244"/>
      <c r="Q180" s="330"/>
      <c r="R180" s="310"/>
    </row>
    <row r="181" spans="1:18" ht="13">
      <c r="A181" s="428">
        <f t="shared" si="3"/>
        <v>183</v>
      </c>
      <c r="B181" s="512">
        <f t="shared" si="3"/>
        <v>219</v>
      </c>
      <c r="C181" s="450">
        <v>33.35</v>
      </c>
      <c r="D181" s="378"/>
      <c r="E181" s="199"/>
      <c r="F181" s="273"/>
      <c r="G181" s="244"/>
      <c r="H181" s="244"/>
      <c r="I181" s="199"/>
      <c r="J181" s="199"/>
      <c r="K181" s="199"/>
      <c r="L181" s="199"/>
      <c r="M181" s="199"/>
      <c r="N181" s="199"/>
      <c r="O181" s="28"/>
      <c r="P181" s="244"/>
      <c r="Q181" s="330"/>
      <c r="R181" s="310"/>
    </row>
    <row r="182" spans="1:18" ht="13">
      <c r="A182" s="428">
        <f t="shared" si="3"/>
        <v>182</v>
      </c>
      <c r="B182" s="512">
        <f t="shared" si="3"/>
        <v>218</v>
      </c>
      <c r="C182" s="450">
        <v>33.47</v>
      </c>
      <c r="D182" s="378"/>
      <c r="E182" s="199"/>
      <c r="F182" s="273"/>
      <c r="G182" s="244"/>
      <c r="H182" s="244"/>
      <c r="I182" s="199"/>
      <c r="J182" s="199"/>
      <c r="K182" s="199"/>
      <c r="L182" s="199"/>
      <c r="M182" s="199"/>
      <c r="N182" s="199"/>
      <c r="O182" s="28"/>
      <c r="P182" s="244"/>
      <c r="Q182" s="330"/>
      <c r="R182" s="310"/>
    </row>
    <row r="183" spans="1:18" ht="13">
      <c r="A183" s="428">
        <f t="shared" si="3"/>
        <v>181</v>
      </c>
      <c r="B183" s="512">
        <f t="shared" si="3"/>
        <v>217</v>
      </c>
      <c r="C183" s="450">
        <v>33.33</v>
      </c>
      <c r="D183" s="378"/>
      <c r="E183" s="199"/>
      <c r="F183" s="273"/>
      <c r="G183" s="244"/>
      <c r="H183" s="244"/>
      <c r="I183" s="199"/>
      <c r="J183" s="199"/>
      <c r="K183" s="199"/>
      <c r="L183" s="199"/>
      <c r="M183" s="199"/>
      <c r="N183" s="199"/>
      <c r="O183" s="28"/>
      <c r="P183" s="244"/>
      <c r="Q183" s="330"/>
      <c r="R183" s="310"/>
    </row>
    <row r="184" spans="1:18" ht="13">
      <c r="A184" s="428">
        <f t="shared" si="3"/>
        <v>180</v>
      </c>
      <c r="B184" s="512">
        <f t="shared" si="3"/>
        <v>216</v>
      </c>
      <c r="C184" s="450">
        <v>33.56</v>
      </c>
      <c r="D184" s="378"/>
      <c r="E184" s="199"/>
      <c r="F184" s="273"/>
      <c r="G184" s="244"/>
      <c r="H184" s="244"/>
      <c r="I184" s="199"/>
      <c r="J184" s="199"/>
      <c r="K184" s="199"/>
      <c r="L184" s="199"/>
      <c r="M184" s="199"/>
      <c r="N184" s="199"/>
      <c r="O184" s="28"/>
      <c r="P184" s="244"/>
      <c r="Q184" s="330"/>
      <c r="R184" s="310"/>
    </row>
    <row r="185" spans="1:18" ht="13">
      <c r="A185" s="428">
        <f t="shared" si="3"/>
        <v>179</v>
      </c>
      <c r="B185" s="512">
        <f t="shared" si="3"/>
        <v>215</v>
      </c>
      <c r="C185" s="450">
        <v>33.57</v>
      </c>
      <c r="D185" s="378"/>
      <c r="E185" s="199"/>
      <c r="F185" s="273"/>
      <c r="G185" s="244"/>
      <c r="H185" s="244"/>
      <c r="I185" s="199"/>
      <c r="J185" s="199"/>
      <c r="K185" s="199"/>
      <c r="L185" s="199"/>
      <c r="M185" s="199"/>
      <c r="N185" s="199"/>
      <c r="O185" s="28"/>
      <c r="P185" s="244"/>
      <c r="Q185" s="330"/>
      <c r="R185" s="310"/>
    </row>
    <row r="186" spans="1:18" ht="13">
      <c r="A186" s="428">
        <f t="shared" si="3"/>
        <v>178</v>
      </c>
      <c r="B186" s="512">
        <f t="shared" si="3"/>
        <v>214</v>
      </c>
      <c r="C186" s="450">
        <v>33.49</v>
      </c>
      <c r="D186" s="378"/>
      <c r="E186" s="199"/>
      <c r="F186" s="273"/>
      <c r="G186" s="244"/>
      <c r="H186" s="244"/>
      <c r="I186" s="199"/>
      <c r="J186" s="199"/>
      <c r="K186" s="199"/>
      <c r="L186" s="199"/>
      <c r="M186" s="199"/>
      <c r="N186" s="199"/>
      <c r="O186" s="28"/>
      <c r="P186" s="244"/>
      <c r="Q186" s="330"/>
      <c r="R186" s="310"/>
    </row>
    <row r="187" spans="1:18" ht="13">
      <c r="A187" s="428">
        <f t="shared" si="3"/>
        <v>177</v>
      </c>
      <c r="B187" s="512">
        <f t="shared" si="3"/>
        <v>213</v>
      </c>
      <c r="C187" s="450">
        <v>33.51</v>
      </c>
      <c r="D187" s="378"/>
      <c r="E187" s="199"/>
      <c r="F187" s="273"/>
      <c r="G187" s="244"/>
      <c r="H187" s="244"/>
      <c r="I187" s="199"/>
      <c r="J187" s="199"/>
      <c r="K187" s="199"/>
      <c r="L187" s="199"/>
      <c r="M187" s="199"/>
      <c r="N187" s="199"/>
      <c r="O187" s="28"/>
      <c r="P187" s="244"/>
      <c r="Q187" s="330"/>
      <c r="R187" s="310"/>
    </row>
    <row r="188" spans="1:18" ht="13">
      <c r="A188" s="428">
        <f t="shared" si="3"/>
        <v>176</v>
      </c>
      <c r="B188" s="512">
        <f t="shared" si="3"/>
        <v>212</v>
      </c>
      <c r="C188" s="450">
        <v>33.409999999999997</v>
      </c>
      <c r="D188" s="378"/>
      <c r="E188" s="199"/>
      <c r="F188" s="273"/>
      <c r="G188" s="244"/>
      <c r="H188" s="244"/>
      <c r="I188" s="199"/>
      <c r="J188" s="199"/>
      <c r="K188" s="199"/>
      <c r="L188" s="199"/>
      <c r="M188" s="199"/>
      <c r="N188" s="199"/>
      <c r="O188" s="28"/>
      <c r="P188" s="244"/>
      <c r="Q188" s="330"/>
      <c r="R188" s="310"/>
    </row>
    <row r="189" spans="1:18" ht="13">
      <c r="A189" s="428">
        <f t="shared" si="3"/>
        <v>175</v>
      </c>
      <c r="B189" s="512">
        <f t="shared" si="3"/>
        <v>211</v>
      </c>
      <c r="C189" s="450">
        <v>33.94</v>
      </c>
      <c r="D189" s="378"/>
      <c r="E189" s="199"/>
      <c r="F189" s="273"/>
      <c r="G189" s="244"/>
      <c r="H189" s="244"/>
      <c r="I189" s="199"/>
      <c r="J189" s="199"/>
      <c r="K189" s="199"/>
      <c r="L189" s="199"/>
      <c r="M189" s="199"/>
      <c r="N189" s="199"/>
      <c r="O189" s="28"/>
      <c r="P189" s="244"/>
      <c r="Q189" s="330"/>
      <c r="R189" s="310"/>
    </row>
    <row r="190" spans="1:18" ht="13">
      <c r="A190" s="428">
        <f t="shared" si="3"/>
        <v>174</v>
      </c>
      <c r="B190" s="512">
        <f t="shared" si="3"/>
        <v>210</v>
      </c>
      <c r="C190" s="450">
        <v>33.549999999999997</v>
      </c>
      <c r="D190" s="378"/>
      <c r="E190" s="199"/>
      <c r="F190" s="273"/>
      <c r="G190" s="244"/>
      <c r="H190" s="244"/>
      <c r="I190" s="199"/>
      <c r="J190" s="199"/>
      <c r="K190" s="199"/>
      <c r="L190" s="199"/>
      <c r="M190" s="199"/>
      <c r="N190" s="199"/>
      <c r="O190" s="28"/>
      <c r="P190" s="244"/>
      <c r="Q190" s="330"/>
      <c r="R190" s="310"/>
    </row>
    <row r="191" spans="1:18" ht="13">
      <c r="A191" s="428">
        <f t="shared" si="3"/>
        <v>173</v>
      </c>
      <c r="B191" s="512">
        <f t="shared" si="3"/>
        <v>209</v>
      </c>
      <c r="C191" s="450">
        <v>33.61</v>
      </c>
      <c r="D191" s="378"/>
      <c r="E191" s="199"/>
      <c r="F191" s="273"/>
      <c r="G191" s="244"/>
      <c r="H191" s="244"/>
      <c r="I191" s="199"/>
      <c r="J191" s="199"/>
      <c r="K191" s="199"/>
      <c r="L191" s="199"/>
      <c r="M191" s="199"/>
      <c r="N191" s="199"/>
      <c r="O191" s="28"/>
      <c r="P191" s="244"/>
      <c r="Q191" s="330"/>
      <c r="R191" s="310"/>
    </row>
    <row r="192" spans="1:18" ht="13">
      <c r="A192" s="428">
        <f t="shared" si="3"/>
        <v>172</v>
      </c>
      <c r="B192" s="512">
        <f t="shared" si="3"/>
        <v>208</v>
      </c>
      <c r="C192" s="450">
        <v>33.58</v>
      </c>
      <c r="D192" s="378"/>
      <c r="E192" s="199"/>
      <c r="F192" s="273"/>
      <c r="G192" s="244"/>
      <c r="H192" s="244"/>
      <c r="I192" s="199"/>
      <c r="J192" s="199"/>
      <c r="K192" s="199"/>
      <c r="L192" s="199"/>
      <c r="M192" s="199"/>
      <c r="N192" s="199"/>
      <c r="O192" s="28"/>
      <c r="P192" s="244"/>
      <c r="Q192" s="330"/>
      <c r="R192" s="310"/>
    </row>
    <row r="193" spans="1:18" ht="13">
      <c r="A193" s="428">
        <f t="shared" si="3"/>
        <v>171</v>
      </c>
      <c r="B193" s="512">
        <f t="shared" si="3"/>
        <v>207</v>
      </c>
      <c r="C193" s="450">
        <v>33.840000000000003</v>
      </c>
      <c r="D193" s="378"/>
      <c r="E193" s="199"/>
      <c r="F193" s="273"/>
      <c r="G193" s="244"/>
      <c r="H193" s="244"/>
      <c r="I193" s="199"/>
      <c r="J193" s="199"/>
      <c r="K193" s="199"/>
      <c r="L193" s="199"/>
      <c r="M193" s="199"/>
      <c r="N193" s="199"/>
      <c r="O193" s="28"/>
      <c r="P193" s="244"/>
      <c r="Q193" s="330"/>
      <c r="R193" s="310"/>
    </row>
    <row r="194" spans="1:18" ht="13">
      <c r="A194" s="428">
        <f t="shared" si="3"/>
        <v>170</v>
      </c>
      <c r="B194" s="512">
        <f t="shared" si="3"/>
        <v>206</v>
      </c>
      <c r="C194" s="450">
        <v>33.22</v>
      </c>
      <c r="D194" s="378"/>
      <c r="E194" s="199"/>
      <c r="F194" s="273"/>
      <c r="G194" s="244"/>
      <c r="H194" s="244"/>
      <c r="I194" s="199"/>
      <c r="J194" s="199"/>
      <c r="K194" s="199"/>
      <c r="L194" s="199"/>
      <c r="M194" s="199"/>
      <c r="N194" s="199"/>
      <c r="O194" s="28"/>
      <c r="P194" s="244"/>
      <c r="Q194" s="330"/>
      <c r="R194" s="310"/>
    </row>
    <row r="195" spans="1:18" ht="13">
      <c r="A195" s="428">
        <f t="shared" si="3"/>
        <v>169</v>
      </c>
      <c r="B195" s="512">
        <f t="shared" si="3"/>
        <v>205</v>
      </c>
      <c r="C195" s="450">
        <v>33.659999999999997</v>
      </c>
      <c r="D195" s="378"/>
      <c r="E195" s="199"/>
      <c r="F195" s="273"/>
      <c r="G195" s="244"/>
      <c r="H195" s="244"/>
      <c r="I195" s="199"/>
      <c r="J195" s="199"/>
      <c r="K195" s="199"/>
      <c r="L195" s="199"/>
      <c r="M195" s="199"/>
      <c r="N195" s="199"/>
      <c r="O195" s="28"/>
      <c r="P195" s="244"/>
      <c r="Q195" s="330"/>
      <c r="R195" s="310"/>
    </row>
    <row r="196" spans="1:18" ht="13">
      <c r="A196" s="428">
        <f t="shared" si="3"/>
        <v>168</v>
      </c>
      <c r="B196" s="512">
        <f t="shared" si="3"/>
        <v>204</v>
      </c>
      <c r="C196" s="450">
        <v>33.56</v>
      </c>
      <c r="D196" s="378"/>
      <c r="E196" s="199"/>
      <c r="F196" s="273"/>
      <c r="G196" s="244"/>
      <c r="H196" s="244"/>
      <c r="I196" s="199"/>
      <c r="J196" s="199"/>
      <c r="K196" s="199"/>
      <c r="L196" s="199"/>
      <c r="M196" s="199"/>
      <c r="N196" s="199"/>
      <c r="O196" s="28"/>
      <c r="P196" s="244"/>
      <c r="Q196" s="330"/>
      <c r="R196" s="310"/>
    </row>
    <row r="197" spans="1:18" ht="13">
      <c r="A197" s="428">
        <f t="shared" si="3"/>
        <v>167</v>
      </c>
      <c r="B197" s="512">
        <f t="shared" si="3"/>
        <v>203</v>
      </c>
      <c r="C197" s="450">
        <v>33.85</v>
      </c>
      <c r="D197" s="378"/>
      <c r="E197" s="199"/>
      <c r="F197" s="273"/>
      <c r="G197" s="244"/>
      <c r="H197" s="244"/>
      <c r="I197" s="199"/>
      <c r="J197" s="199"/>
      <c r="K197" s="199"/>
      <c r="L197" s="199"/>
      <c r="M197" s="199"/>
      <c r="N197" s="199"/>
      <c r="O197" s="28"/>
      <c r="P197" s="244"/>
      <c r="Q197" s="330"/>
      <c r="R197" s="310"/>
    </row>
    <row r="198" spans="1:18" ht="13">
      <c r="A198" s="428">
        <f t="shared" si="3"/>
        <v>166</v>
      </c>
      <c r="B198" s="512">
        <f t="shared" si="3"/>
        <v>202</v>
      </c>
      <c r="C198" s="450">
        <v>33.79</v>
      </c>
      <c r="D198" s="378"/>
      <c r="E198" s="199"/>
      <c r="F198" s="273"/>
      <c r="G198" s="244"/>
      <c r="H198" s="244"/>
      <c r="I198" s="199"/>
      <c r="J198" s="199"/>
      <c r="K198" s="199"/>
      <c r="L198" s="199"/>
      <c r="M198" s="199"/>
      <c r="N198" s="199"/>
      <c r="O198" s="28"/>
      <c r="P198" s="244"/>
      <c r="Q198" s="330"/>
      <c r="R198" s="310"/>
    </row>
    <row r="199" spans="1:18" ht="13">
      <c r="A199" s="428">
        <f t="shared" si="3"/>
        <v>165</v>
      </c>
      <c r="B199" s="512">
        <f t="shared" si="3"/>
        <v>201</v>
      </c>
      <c r="C199" s="450">
        <v>33.479999999999997</v>
      </c>
      <c r="D199" s="378"/>
      <c r="E199" s="199"/>
      <c r="F199" s="273"/>
      <c r="G199" s="244"/>
      <c r="H199" s="244"/>
      <c r="I199" s="199"/>
      <c r="J199" s="199"/>
      <c r="K199" s="199"/>
      <c r="L199" s="199"/>
      <c r="M199" s="199"/>
      <c r="N199" s="199"/>
      <c r="O199" s="28"/>
      <c r="P199" s="244"/>
      <c r="Q199" s="330"/>
      <c r="R199" s="310"/>
    </row>
    <row r="200" spans="1:18" ht="13">
      <c r="A200" s="428">
        <f t="shared" ref="A200:B263" si="4">A199-1</f>
        <v>164</v>
      </c>
      <c r="B200" s="512">
        <f t="shared" si="4"/>
        <v>200</v>
      </c>
      <c r="C200" s="450">
        <v>33.380000000000003</v>
      </c>
      <c r="D200" s="378"/>
      <c r="E200" s="199"/>
      <c r="F200" s="273"/>
      <c r="G200" s="244"/>
      <c r="H200" s="244"/>
      <c r="I200" s="199"/>
      <c r="J200" s="199"/>
      <c r="K200" s="199"/>
      <c r="L200" s="199"/>
      <c r="M200" s="199"/>
      <c r="N200" s="199"/>
      <c r="O200" s="28"/>
      <c r="P200" s="244"/>
      <c r="Q200" s="330"/>
      <c r="R200" s="310"/>
    </row>
    <row r="201" spans="1:18" ht="13">
      <c r="A201" s="428">
        <f t="shared" si="4"/>
        <v>163</v>
      </c>
      <c r="B201" s="512">
        <f t="shared" si="4"/>
        <v>199</v>
      </c>
      <c r="C201" s="450">
        <v>33.75</v>
      </c>
      <c r="D201" s="378"/>
      <c r="E201" s="199"/>
      <c r="F201" s="273"/>
      <c r="G201" s="244"/>
      <c r="H201" s="244"/>
      <c r="I201" s="199"/>
      <c r="J201" s="199"/>
      <c r="K201" s="199"/>
      <c r="L201" s="199"/>
      <c r="M201" s="199"/>
      <c r="N201" s="199"/>
      <c r="O201" s="28"/>
      <c r="P201" s="244"/>
      <c r="Q201" s="330"/>
      <c r="R201" s="310"/>
    </row>
    <row r="202" spans="1:18" ht="13">
      <c r="A202" s="428">
        <f t="shared" si="4"/>
        <v>162</v>
      </c>
      <c r="B202" s="512">
        <f t="shared" si="4"/>
        <v>198</v>
      </c>
      <c r="C202" s="450">
        <v>33.31</v>
      </c>
      <c r="D202" s="378"/>
      <c r="E202" s="199"/>
      <c r="F202" s="273"/>
      <c r="G202" s="244"/>
      <c r="H202" s="244"/>
      <c r="I202" s="199"/>
      <c r="J202" s="199"/>
      <c r="K202" s="199"/>
      <c r="L202" s="199"/>
      <c r="M202" s="199"/>
      <c r="N202" s="199"/>
      <c r="O202" s="28"/>
      <c r="P202" s="244"/>
      <c r="Q202" s="330"/>
      <c r="R202" s="310"/>
    </row>
    <row r="203" spans="1:18" ht="13">
      <c r="A203" s="428">
        <f t="shared" si="4"/>
        <v>161</v>
      </c>
      <c r="B203" s="512">
        <f t="shared" si="4"/>
        <v>197</v>
      </c>
      <c r="C203" s="450">
        <v>33.229999999999997</v>
      </c>
      <c r="D203" s="378"/>
      <c r="E203" s="199"/>
      <c r="F203" s="273"/>
      <c r="G203" s="244"/>
      <c r="H203" s="244"/>
      <c r="I203" s="199"/>
      <c r="J203" s="199"/>
      <c r="K203" s="199"/>
      <c r="L203" s="199"/>
      <c r="M203" s="199"/>
      <c r="N203" s="199"/>
      <c r="O203" s="28"/>
      <c r="P203" s="244"/>
      <c r="Q203" s="330"/>
      <c r="R203" s="310"/>
    </row>
    <row r="204" spans="1:18" ht="13">
      <c r="A204" s="428">
        <f t="shared" si="4"/>
        <v>160</v>
      </c>
      <c r="B204" s="512">
        <f t="shared" si="4"/>
        <v>196</v>
      </c>
      <c r="C204" s="450">
        <v>33.450000000000003</v>
      </c>
      <c r="D204" s="378"/>
      <c r="E204" s="199"/>
      <c r="F204" s="273"/>
      <c r="G204" s="244"/>
      <c r="H204" s="244"/>
      <c r="I204" s="199"/>
      <c r="J204" s="199"/>
      <c r="K204" s="199"/>
      <c r="L204" s="199"/>
      <c r="M204" s="199"/>
      <c r="N204" s="199"/>
      <c r="O204" s="28"/>
      <c r="P204" s="244"/>
      <c r="Q204" s="330"/>
      <c r="R204" s="310"/>
    </row>
    <row r="205" spans="1:18" ht="13">
      <c r="A205" s="428">
        <f t="shared" si="4"/>
        <v>159</v>
      </c>
      <c r="B205" s="512">
        <f t="shared" si="4"/>
        <v>195</v>
      </c>
      <c r="C205" s="450">
        <v>33.56</v>
      </c>
      <c r="D205" s="378"/>
      <c r="E205" s="199"/>
      <c r="F205" s="273"/>
      <c r="G205" s="244"/>
      <c r="H205" s="244"/>
      <c r="I205" s="199"/>
      <c r="J205" s="199"/>
      <c r="K205" s="199"/>
      <c r="L205" s="199"/>
      <c r="M205" s="199"/>
      <c r="N205" s="199"/>
      <c r="O205" s="28"/>
      <c r="P205" s="244"/>
      <c r="Q205" s="330"/>
      <c r="R205" s="310"/>
    </row>
    <row r="206" spans="1:18" ht="13">
      <c r="A206" s="428">
        <f t="shared" si="4"/>
        <v>158</v>
      </c>
      <c r="B206" s="512">
        <f t="shared" si="4"/>
        <v>194</v>
      </c>
      <c r="C206" s="450">
        <v>33.590000000000003</v>
      </c>
      <c r="D206" s="378"/>
      <c r="E206" s="199"/>
      <c r="F206" s="273"/>
      <c r="G206" s="244"/>
      <c r="H206" s="244"/>
      <c r="I206" s="199"/>
      <c r="J206" s="199"/>
      <c r="K206" s="199"/>
      <c r="L206" s="199"/>
      <c r="M206" s="199"/>
      <c r="N206" s="199"/>
      <c r="O206" s="28"/>
      <c r="P206" s="244"/>
      <c r="Q206" s="330"/>
      <c r="R206" s="310"/>
    </row>
    <row r="207" spans="1:18" ht="13">
      <c r="A207" s="428">
        <f t="shared" si="4"/>
        <v>157</v>
      </c>
      <c r="B207" s="512">
        <f t="shared" si="4"/>
        <v>193</v>
      </c>
      <c r="C207" s="450">
        <v>33.299999999999997</v>
      </c>
      <c r="D207" s="378"/>
      <c r="E207" s="199"/>
      <c r="F207" s="273"/>
      <c r="G207" s="244"/>
      <c r="H207" s="244"/>
      <c r="I207" s="199"/>
      <c r="J207" s="199"/>
      <c r="K207" s="199"/>
      <c r="L207" s="199"/>
      <c r="M207" s="199"/>
      <c r="N207" s="199"/>
      <c r="O207" s="28"/>
      <c r="P207" s="244"/>
      <c r="Q207" s="330"/>
      <c r="R207" s="310"/>
    </row>
    <row r="208" spans="1:18" ht="13">
      <c r="A208" s="428">
        <f t="shared" si="4"/>
        <v>156</v>
      </c>
      <c r="B208" s="512">
        <f t="shared" si="4"/>
        <v>192</v>
      </c>
      <c r="C208" s="450">
        <v>33.28</v>
      </c>
      <c r="D208" s="378"/>
      <c r="E208" s="199"/>
      <c r="F208" s="273"/>
      <c r="G208" s="244"/>
      <c r="H208" s="244"/>
      <c r="I208" s="199"/>
      <c r="J208" s="199"/>
      <c r="K208" s="199"/>
      <c r="L208" s="199"/>
      <c r="M208" s="199"/>
      <c r="N208" s="199"/>
      <c r="O208" s="28"/>
      <c r="P208" s="244"/>
      <c r="Q208" s="330"/>
      <c r="R208" s="310"/>
    </row>
    <row r="209" spans="1:18" ht="13">
      <c r="A209" s="428">
        <f t="shared" si="4"/>
        <v>155</v>
      </c>
      <c r="B209" s="512">
        <f t="shared" si="4"/>
        <v>191</v>
      </c>
      <c r="C209" s="450">
        <v>33.450000000000003</v>
      </c>
      <c r="D209" s="378"/>
      <c r="E209" s="199"/>
      <c r="F209" s="273"/>
      <c r="G209" s="244"/>
      <c r="H209" s="244"/>
      <c r="I209" s="199"/>
      <c r="J209" s="199"/>
      <c r="K209" s="199"/>
      <c r="L209" s="199"/>
      <c r="M209" s="199"/>
      <c r="N209" s="199"/>
      <c r="O209" s="28"/>
      <c r="P209" s="244"/>
      <c r="Q209" s="330"/>
      <c r="R209" s="310"/>
    </row>
    <row r="210" spans="1:18" ht="13">
      <c r="A210" s="428">
        <f t="shared" si="4"/>
        <v>154</v>
      </c>
      <c r="B210" s="512">
        <f t="shared" si="4"/>
        <v>190</v>
      </c>
      <c r="C210" s="450">
        <v>31.77</v>
      </c>
      <c r="D210" s="378"/>
      <c r="E210" s="199"/>
      <c r="F210" s="273"/>
      <c r="G210" s="244"/>
      <c r="H210" s="244"/>
      <c r="I210" s="199"/>
      <c r="J210" s="199"/>
      <c r="K210" s="199"/>
      <c r="L210" s="199"/>
      <c r="M210" s="199"/>
      <c r="N210" s="199"/>
      <c r="O210" s="28"/>
      <c r="P210" s="244"/>
      <c r="Q210" s="330"/>
      <c r="R210" s="310"/>
    </row>
    <row r="211" spans="1:18" ht="13">
      <c r="A211" s="428">
        <f t="shared" si="4"/>
        <v>153</v>
      </c>
      <c r="B211" s="512">
        <f t="shared" si="4"/>
        <v>189</v>
      </c>
      <c r="C211" s="450">
        <v>33.04</v>
      </c>
      <c r="D211" s="378"/>
      <c r="E211" s="199"/>
      <c r="F211" s="273"/>
      <c r="G211" s="244"/>
      <c r="H211" s="244"/>
      <c r="I211" s="199"/>
      <c r="J211" s="199"/>
      <c r="K211" s="199"/>
      <c r="L211" s="199"/>
      <c r="M211" s="199"/>
      <c r="N211" s="199"/>
      <c r="O211" s="28"/>
      <c r="P211" s="244"/>
      <c r="Q211" s="330"/>
      <c r="R211" s="310"/>
    </row>
    <row r="212" spans="1:18" ht="13">
      <c r="A212" s="428">
        <f t="shared" si="4"/>
        <v>152</v>
      </c>
      <c r="B212" s="512">
        <f t="shared" si="4"/>
        <v>188</v>
      </c>
      <c r="C212" s="450">
        <v>33.78</v>
      </c>
      <c r="D212" s="378"/>
      <c r="E212" s="199"/>
      <c r="F212" s="273"/>
      <c r="G212" s="244"/>
      <c r="H212" s="244"/>
      <c r="I212" s="199"/>
      <c r="J212" s="199"/>
      <c r="K212" s="199"/>
      <c r="L212" s="199"/>
      <c r="M212" s="199"/>
      <c r="N212" s="199"/>
      <c r="O212" s="28"/>
      <c r="P212" s="244"/>
      <c r="Q212" s="330"/>
      <c r="R212" s="310"/>
    </row>
    <row r="213" spans="1:18" ht="13">
      <c r="A213" s="428">
        <f t="shared" si="4"/>
        <v>151</v>
      </c>
      <c r="B213" s="512">
        <f t="shared" si="4"/>
        <v>187</v>
      </c>
      <c r="C213" s="450">
        <v>33.119999999999997</v>
      </c>
      <c r="D213" s="378"/>
      <c r="E213" s="199"/>
      <c r="F213" s="273"/>
      <c r="G213" s="244"/>
      <c r="H213" s="244"/>
      <c r="I213" s="199"/>
      <c r="J213" s="199"/>
      <c r="K213" s="199"/>
      <c r="L213" s="199"/>
      <c r="M213" s="199"/>
      <c r="N213" s="199"/>
      <c r="O213" s="28"/>
      <c r="P213" s="244"/>
      <c r="Q213" s="330"/>
      <c r="R213" s="310"/>
    </row>
    <row r="214" spans="1:18" ht="13">
      <c r="A214" s="428">
        <f t="shared" si="4"/>
        <v>150</v>
      </c>
      <c r="B214" s="512">
        <f t="shared" si="4"/>
        <v>186</v>
      </c>
      <c r="C214" s="450">
        <v>33.130000000000003</v>
      </c>
      <c r="D214" s="378"/>
      <c r="E214" s="199"/>
      <c r="F214" s="273"/>
      <c r="G214" s="244"/>
      <c r="H214" s="244"/>
      <c r="I214" s="199"/>
      <c r="J214" s="199"/>
      <c r="K214" s="199"/>
      <c r="L214" s="199"/>
      <c r="M214" s="199"/>
      <c r="N214" s="199"/>
      <c r="O214" s="28"/>
      <c r="P214" s="244"/>
      <c r="Q214" s="330"/>
      <c r="R214" s="310"/>
    </row>
    <row r="215" spans="1:18" ht="13">
      <c r="A215" s="428">
        <f t="shared" si="4"/>
        <v>149</v>
      </c>
      <c r="B215" s="512">
        <f t="shared" si="4"/>
        <v>185</v>
      </c>
      <c r="C215" s="450">
        <v>32.909999999999997</v>
      </c>
      <c r="D215" s="378"/>
      <c r="E215" s="199"/>
      <c r="F215" s="273"/>
      <c r="G215" s="244"/>
      <c r="H215" s="244"/>
      <c r="I215" s="199"/>
      <c r="J215" s="199"/>
      <c r="K215" s="199"/>
      <c r="L215" s="199"/>
      <c r="M215" s="199"/>
      <c r="N215" s="199"/>
      <c r="O215" s="28"/>
      <c r="P215" s="244"/>
      <c r="Q215" s="330"/>
      <c r="R215" s="310"/>
    </row>
    <row r="216" spans="1:18" ht="13">
      <c r="A216" s="428">
        <f t="shared" si="4"/>
        <v>148</v>
      </c>
      <c r="B216" s="512">
        <f t="shared" si="4"/>
        <v>184</v>
      </c>
      <c r="C216" s="450">
        <v>33.35</v>
      </c>
      <c r="D216" s="378"/>
      <c r="E216" s="199"/>
      <c r="F216" s="273"/>
      <c r="G216" s="244"/>
      <c r="H216" s="244"/>
      <c r="I216" s="199"/>
      <c r="J216" s="199"/>
      <c r="K216" s="199"/>
      <c r="L216" s="199"/>
      <c r="M216" s="199"/>
      <c r="N216" s="199"/>
      <c r="O216" s="28"/>
      <c r="P216" s="244"/>
      <c r="Q216" s="330"/>
      <c r="R216" s="310"/>
    </row>
    <row r="217" spans="1:18" ht="13">
      <c r="A217" s="428">
        <f t="shared" si="4"/>
        <v>147</v>
      </c>
      <c r="B217" s="512">
        <f t="shared" si="4"/>
        <v>183</v>
      </c>
      <c r="C217" s="450">
        <v>33.020000000000003</v>
      </c>
      <c r="D217" s="378"/>
      <c r="E217" s="199"/>
      <c r="F217" s="273"/>
      <c r="G217" s="244"/>
      <c r="H217" s="244"/>
      <c r="I217" s="199"/>
      <c r="J217" s="199"/>
      <c r="K217" s="199"/>
      <c r="L217" s="199"/>
      <c r="M217" s="199"/>
      <c r="N217" s="199"/>
      <c r="O217" s="28"/>
      <c r="P217" s="244"/>
      <c r="Q217" s="330"/>
      <c r="R217" s="310"/>
    </row>
    <row r="218" spans="1:18" ht="13">
      <c r="A218" s="428">
        <f t="shared" si="4"/>
        <v>146</v>
      </c>
      <c r="B218" s="512">
        <f t="shared" si="4"/>
        <v>182</v>
      </c>
      <c r="C218" s="450">
        <v>32.770000000000003</v>
      </c>
      <c r="D218" s="378"/>
      <c r="E218" s="199"/>
      <c r="F218" s="273"/>
      <c r="G218" s="244"/>
      <c r="H218" s="244"/>
      <c r="I218" s="199"/>
      <c r="J218" s="199"/>
      <c r="K218" s="199"/>
      <c r="L218" s="199"/>
      <c r="M218" s="199"/>
      <c r="N218" s="199"/>
      <c r="O218" s="28"/>
      <c r="P218" s="244"/>
      <c r="Q218" s="330"/>
      <c r="R218" s="310"/>
    </row>
    <row r="219" spans="1:18" ht="13">
      <c r="A219" s="428">
        <f t="shared" si="4"/>
        <v>145</v>
      </c>
      <c r="B219" s="512">
        <f t="shared" si="4"/>
        <v>181</v>
      </c>
      <c r="C219" s="450">
        <v>33.24</v>
      </c>
      <c r="D219" s="378"/>
      <c r="E219" s="199"/>
      <c r="F219" s="273"/>
      <c r="G219" s="244"/>
      <c r="H219" s="244"/>
      <c r="I219" s="199"/>
      <c r="J219" s="199"/>
      <c r="K219" s="199"/>
      <c r="L219" s="199"/>
      <c r="M219" s="199"/>
      <c r="N219" s="199"/>
      <c r="O219" s="28"/>
      <c r="P219" s="244"/>
      <c r="Q219" s="330"/>
      <c r="R219" s="310"/>
    </row>
    <row r="220" spans="1:18" ht="13">
      <c r="A220" s="428">
        <f t="shared" si="4"/>
        <v>144</v>
      </c>
      <c r="B220" s="512">
        <f t="shared" si="4"/>
        <v>180</v>
      </c>
      <c r="C220" s="450">
        <v>31.37</v>
      </c>
      <c r="D220" s="378"/>
      <c r="E220" s="199"/>
      <c r="F220" s="273"/>
      <c r="G220" s="244"/>
      <c r="H220" s="244"/>
      <c r="I220" s="199"/>
      <c r="J220" s="199"/>
      <c r="K220" s="199"/>
      <c r="L220" s="199"/>
      <c r="M220" s="199"/>
      <c r="N220" s="199"/>
      <c r="O220" s="28"/>
      <c r="P220" s="244"/>
      <c r="Q220" s="330"/>
      <c r="R220" s="310"/>
    </row>
    <row r="221" spans="1:18" ht="13">
      <c r="A221" s="428">
        <f t="shared" si="4"/>
        <v>143</v>
      </c>
      <c r="B221" s="512">
        <f t="shared" si="4"/>
        <v>179</v>
      </c>
      <c r="C221" s="450">
        <v>33.299999999999997</v>
      </c>
      <c r="D221" s="378"/>
      <c r="E221" s="199"/>
      <c r="F221" s="273"/>
      <c r="G221" s="244"/>
      <c r="H221" s="244"/>
      <c r="I221" s="199"/>
      <c r="J221" s="199"/>
      <c r="K221" s="199"/>
      <c r="L221" s="199"/>
      <c r="M221" s="199"/>
      <c r="N221" s="199"/>
      <c r="O221" s="28"/>
      <c r="P221" s="244"/>
      <c r="Q221" s="330"/>
      <c r="R221" s="310"/>
    </row>
    <row r="222" spans="1:18" ht="13">
      <c r="A222" s="428">
        <f t="shared" si="4"/>
        <v>142</v>
      </c>
      <c r="B222" s="512">
        <f t="shared" si="4"/>
        <v>178</v>
      </c>
      <c r="C222" s="450">
        <v>33.22</v>
      </c>
      <c r="D222" s="378"/>
      <c r="E222" s="199"/>
      <c r="F222" s="273"/>
      <c r="G222" s="244"/>
      <c r="H222" s="244"/>
      <c r="I222" s="199"/>
      <c r="J222" s="199"/>
      <c r="K222" s="199"/>
      <c r="L222" s="199"/>
      <c r="M222" s="199"/>
      <c r="N222" s="199"/>
      <c r="O222" s="28"/>
      <c r="P222" s="244"/>
      <c r="Q222" s="330"/>
      <c r="R222" s="310"/>
    </row>
    <row r="223" spans="1:18" ht="13">
      <c r="A223" s="428">
        <f t="shared" si="4"/>
        <v>141</v>
      </c>
      <c r="B223" s="512">
        <f t="shared" si="4"/>
        <v>177</v>
      </c>
      <c r="C223" s="450">
        <v>33.450000000000003</v>
      </c>
      <c r="D223" s="378"/>
      <c r="E223" s="199"/>
      <c r="F223" s="273"/>
      <c r="G223" s="244"/>
      <c r="H223" s="244"/>
      <c r="I223" s="199"/>
      <c r="J223" s="199"/>
      <c r="K223" s="199"/>
      <c r="L223" s="199"/>
      <c r="M223" s="199"/>
      <c r="N223" s="199"/>
      <c r="O223" s="28"/>
      <c r="P223" s="244"/>
      <c r="Q223" s="330"/>
      <c r="R223" s="310"/>
    </row>
    <row r="224" spans="1:18" ht="13">
      <c r="A224" s="428">
        <f t="shared" si="4"/>
        <v>140</v>
      </c>
      <c r="B224" s="512">
        <f t="shared" si="4"/>
        <v>176</v>
      </c>
      <c r="C224" s="450">
        <v>31.78</v>
      </c>
      <c r="D224" s="378"/>
      <c r="E224" s="199"/>
      <c r="F224" s="273"/>
      <c r="G224" s="244"/>
      <c r="H224" s="244"/>
      <c r="I224" s="199"/>
      <c r="J224" s="199"/>
      <c r="K224" s="199"/>
      <c r="L224" s="199"/>
      <c r="M224" s="199"/>
      <c r="N224" s="199"/>
      <c r="O224" s="28"/>
      <c r="P224" s="244"/>
      <c r="Q224" s="330"/>
      <c r="R224" s="310"/>
    </row>
    <row r="225" spans="1:18" ht="13">
      <c r="A225" s="428">
        <f t="shared" si="4"/>
        <v>139</v>
      </c>
      <c r="B225" s="512">
        <f t="shared" si="4"/>
        <v>175</v>
      </c>
      <c r="C225" s="450">
        <v>33.24</v>
      </c>
      <c r="D225" s="378"/>
      <c r="E225" s="199"/>
      <c r="F225" s="273"/>
      <c r="G225" s="244"/>
      <c r="H225" s="244"/>
      <c r="I225" s="199"/>
      <c r="J225" s="199"/>
      <c r="K225" s="199"/>
      <c r="L225" s="199"/>
      <c r="M225" s="199"/>
      <c r="N225" s="199"/>
      <c r="O225" s="28"/>
      <c r="P225" s="244"/>
      <c r="Q225" s="330"/>
      <c r="R225" s="310"/>
    </row>
    <row r="226" spans="1:18" ht="13">
      <c r="A226" s="428">
        <f t="shared" si="4"/>
        <v>138</v>
      </c>
      <c r="B226" s="512">
        <f t="shared" si="4"/>
        <v>174</v>
      </c>
      <c r="C226" s="450">
        <v>33.82</v>
      </c>
      <c r="D226" s="378"/>
      <c r="E226" s="199"/>
      <c r="F226" s="273"/>
      <c r="G226" s="244"/>
      <c r="H226" s="244"/>
      <c r="I226" s="199"/>
      <c r="J226" s="199"/>
      <c r="K226" s="199"/>
      <c r="L226" s="199"/>
      <c r="M226" s="199"/>
      <c r="N226" s="199"/>
      <c r="O226" s="28"/>
      <c r="P226" s="244"/>
      <c r="Q226" s="330"/>
      <c r="R226" s="310"/>
    </row>
    <row r="227" spans="1:18" ht="13">
      <c r="A227" s="428">
        <f t="shared" si="4"/>
        <v>137</v>
      </c>
      <c r="B227" s="512">
        <f t="shared" si="4"/>
        <v>173</v>
      </c>
      <c r="C227" s="450">
        <v>33.64</v>
      </c>
      <c r="D227" s="378"/>
      <c r="E227" s="199"/>
      <c r="F227" s="273"/>
      <c r="G227" s="244"/>
      <c r="H227" s="244"/>
      <c r="I227" s="199"/>
      <c r="J227" s="199"/>
      <c r="K227" s="199"/>
      <c r="L227" s="199"/>
      <c r="M227" s="199"/>
      <c r="N227" s="199"/>
      <c r="O227" s="28"/>
      <c r="P227" s="244"/>
      <c r="Q227" s="330"/>
      <c r="R227" s="310"/>
    </row>
    <row r="228" spans="1:18" ht="13">
      <c r="A228" s="428">
        <f t="shared" si="4"/>
        <v>136</v>
      </c>
      <c r="B228" s="512">
        <f t="shared" si="4"/>
        <v>172</v>
      </c>
      <c r="C228" s="450">
        <v>33.42</v>
      </c>
      <c r="D228" s="378"/>
      <c r="E228" s="199"/>
      <c r="F228" s="273"/>
      <c r="G228" s="244"/>
      <c r="H228" s="244"/>
      <c r="I228" s="199"/>
      <c r="J228" s="199"/>
      <c r="K228" s="199"/>
      <c r="L228" s="199"/>
      <c r="M228" s="199"/>
      <c r="N228" s="199"/>
      <c r="O228" s="28"/>
      <c r="P228" s="244"/>
      <c r="Q228" s="330"/>
      <c r="R228" s="310"/>
    </row>
    <row r="229" spans="1:18" ht="13">
      <c r="A229" s="428">
        <f t="shared" si="4"/>
        <v>135</v>
      </c>
      <c r="B229" s="512">
        <f t="shared" si="4"/>
        <v>171</v>
      </c>
      <c r="C229" s="450">
        <v>33.42</v>
      </c>
      <c r="D229" s="378"/>
      <c r="E229" s="199"/>
      <c r="F229" s="273"/>
      <c r="G229" s="244"/>
      <c r="H229" s="244"/>
      <c r="I229" s="199"/>
      <c r="J229" s="199"/>
      <c r="K229" s="199"/>
      <c r="L229" s="199"/>
      <c r="M229" s="199"/>
      <c r="N229" s="199"/>
      <c r="O229" s="28"/>
      <c r="P229" s="244"/>
      <c r="Q229" s="330"/>
      <c r="R229" s="310"/>
    </row>
    <row r="230" spans="1:18" ht="13">
      <c r="A230" s="428">
        <f t="shared" si="4"/>
        <v>134</v>
      </c>
      <c r="B230" s="512">
        <f t="shared" si="4"/>
        <v>170</v>
      </c>
      <c r="C230" s="450">
        <v>33.42</v>
      </c>
      <c r="D230" s="378"/>
      <c r="E230" s="199"/>
      <c r="F230" s="273"/>
      <c r="G230" s="244"/>
      <c r="H230" s="244"/>
      <c r="I230" s="199"/>
      <c r="J230" s="199"/>
      <c r="K230" s="199"/>
      <c r="L230" s="199"/>
      <c r="M230" s="199"/>
      <c r="N230" s="199"/>
      <c r="O230" s="28"/>
      <c r="P230" s="244"/>
      <c r="Q230" s="330"/>
      <c r="R230" s="310"/>
    </row>
    <row r="231" spans="1:18" ht="13">
      <c r="A231" s="428">
        <f t="shared" si="4"/>
        <v>133</v>
      </c>
      <c r="B231" s="512">
        <f t="shared" si="4"/>
        <v>169</v>
      </c>
      <c r="C231" s="450">
        <v>33.549999999999997</v>
      </c>
      <c r="D231" s="378"/>
      <c r="E231" s="199"/>
      <c r="F231" s="273"/>
      <c r="G231" s="244"/>
      <c r="H231" s="244"/>
      <c r="I231" s="199"/>
      <c r="J231" s="199"/>
      <c r="K231" s="199"/>
      <c r="L231" s="199"/>
      <c r="M231" s="199"/>
      <c r="N231" s="199"/>
      <c r="O231" s="28"/>
      <c r="P231" s="244"/>
      <c r="Q231" s="330"/>
      <c r="R231" s="310"/>
    </row>
    <row r="232" spans="1:18" ht="13">
      <c r="A232" s="428">
        <f t="shared" si="4"/>
        <v>132</v>
      </c>
      <c r="B232" s="512">
        <f t="shared" si="4"/>
        <v>168</v>
      </c>
      <c r="C232" s="450">
        <v>33.61</v>
      </c>
      <c r="D232" s="378"/>
      <c r="E232" s="199"/>
      <c r="F232" s="273"/>
      <c r="G232" s="244"/>
      <c r="H232" s="244"/>
      <c r="I232" s="199"/>
      <c r="J232" s="199"/>
      <c r="K232" s="199"/>
      <c r="L232" s="199"/>
      <c r="M232" s="199"/>
      <c r="N232" s="199"/>
      <c r="O232" s="28"/>
      <c r="P232" s="244"/>
      <c r="Q232" s="330"/>
      <c r="R232" s="310"/>
    </row>
    <row r="233" spans="1:18" ht="13">
      <c r="A233" s="428">
        <f t="shared" si="4"/>
        <v>131</v>
      </c>
      <c r="B233" s="512">
        <f t="shared" si="4"/>
        <v>167</v>
      </c>
      <c r="C233" s="450">
        <v>33.130000000000003</v>
      </c>
      <c r="D233" s="378"/>
      <c r="E233" s="199"/>
      <c r="F233" s="273"/>
      <c r="G233" s="244"/>
      <c r="H233" s="244"/>
      <c r="I233" s="199"/>
      <c r="J233" s="199"/>
      <c r="K233" s="199"/>
      <c r="L233" s="199"/>
      <c r="M233" s="199"/>
      <c r="N233" s="199"/>
      <c r="O233" s="28"/>
      <c r="P233" s="244"/>
      <c r="Q233" s="330"/>
      <c r="R233" s="310"/>
    </row>
    <row r="234" spans="1:18" ht="13">
      <c r="A234" s="428">
        <f t="shared" si="4"/>
        <v>130</v>
      </c>
      <c r="B234" s="512">
        <f t="shared" si="4"/>
        <v>166</v>
      </c>
      <c r="C234" s="450">
        <v>33.94</v>
      </c>
      <c r="D234" s="378"/>
      <c r="E234" s="199"/>
      <c r="F234" s="273"/>
      <c r="G234" s="244"/>
      <c r="H234" s="244"/>
      <c r="I234" s="199"/>
      <c r="J234" s="199"/>
      <c r="K234" s="199"/>
      <c r="L234" s="199"/>
      <c r="M234" s="199"/>
      <c r="N234" s="199"/>
      <c r="O234" s="28"/>
      <c r="P234" s="244"/>
      <c r="Q234" s="330"/>
      <c r="R234" s="310"/>
    </row>
    <row r="235" spans="1:18" ht="13">
      <c r="A235" s="428">
        <f t="shared" si="4"/>
        <v>129</v>
      </c>
      <c r="B235" s="512">
        <f t="shared" si="4"/>
        <v>165</v>
      </c>
      <c r="C235" s="450">
        <v>33.65</v>
      </c>
      <c r="D235" s="378"/>
      <c r="E235" s="199"/>
      <c r="F235" s="273"/>
      <c r="G235" s="244"/>
      <c r="H235" s="244"/>
      <c r="I235" s="199"/>
      <c r="J235" s="199"/>
      <c r="K235" s="199"/>
      <c r="L235" s="199"/>
      <c r="M235" s="199"/>
      <c r="N235" s="199"/>
      <c r="O235" s="28"/>
      <c r="P235" s="244"/>
      <c r="Q235" s="330"/>
      <c r="R235" s="310"/>
    </row>
    <row r="236" spans="1:18" ht="13">
      <c r="A236" s="428">
        <f t="shared" si="4"/>
        <v>128</v>
      </c>
      <c r="B236" s="512">
        <f t="shared" si="4"/>
        <v>164</v>
      </c>
      <c r="C236" s="450">
        <v>33.94</v>
      </c>
      <c r="D236" s="378"/>
      <c r="E236" s="199"/>
      <c r="F236" s="273"/>
      <c r="G236" s="244"/>
      <c r="H236" s="244"/>
      <c r="I236" s="199"/>
      <c r="J236" s="199"/>
      <c r="K236" s="199"/>
      <c r="L236" s="199"/>
      <c r="M236" s="199"/>
      <c r="N236" s="199"/>
      <c r="O236" s="28"/>
      <c r="P236" s="244"/>
      <c r="Q236" s="330"/>
      <c r="R236" s="310"/>
    </row>
    <row r="237" spans="1:18" ht="13">
      <c r="A237" s="428">
        <f t="shared" si="4"/>
        <v>127</v>
      </c>
      <c r="B237" s="512">
        <f t="shared" si="4"/>
        <v>163</v>
      </c>
      <c r="C237" s="450">
        <v>33.729999999999997</v>
      </c>
      <c r="D237" s="378"/>
      <c r="E237" s="199"/>
      <c r="F237" s="273"/>
      <c r="G237" s="244"/>
      <c r="H237" s="244"/>
      <c r="I237" s="199"/>
      <c r="J237" s="199"/>
      <c r="K237" s="199"/>
      <c r="L237" s="199"/>
      <c r="M237" s="199"/>
      <c r="N237" s="199"/>
      <c r="O237" s="28"/>
      <c r="P237" s="244"/>
      <c r="Q237" s="330"/>
      <c r="R237" s="310"/>
    </row>
    <row r="238" spans="1:18" ht="13">
      <c r="A238" s="428">
        <f t="shared" si="4"/>
        <v>126</v>
      </c>
      <c r="B238" s="512">
        <f t="shared" si="4"/>
        <v>162</v>
      </c>
      <c r="C238" s="450">
        <v>32.25</v>
      </c>
      <c r="D238" s="378"/>
      <c r="E238" s="199"/>
      <c r="F238" s="273"/>
      <c r="G238" s="244"/>
      <c r="H238" s="244"/>
      <c r="I238" s="199"/>
      <c r="J238" s="199"/>
      <c r="K238" s="199"/>
      <c r="L238" s="199"/>
      <c r="M238" s="199"/>
      <c r="N238" s="199"/>
      <c r="O238" s="28"/>
      <c r="P238" s="244"/>
      <c r="Q238" s="330"/>
      <c r="R238" s="310"/>
    </row>
    <row r="239" spans="1:18" ht="13">
      <c r="A239" s="428">
        <f t="shared" si="4"/>
        <v>125</v>
      </c>
      <c r="B239" s="512">
        <f t="shared" si="4"/>
        <v>161</v>
      </c>
      <c r="C239" s="450">
        <v>33.68</v>
      </c>
      <c r="D239" s="549"/>
      <c r="E239" s="598"/>
      <c r="F239" s="541"/>
      <c r="G239" s="539"/>
      <c r="H239" s="539"/>
      <c r="I239" s="199"/>
      <c r="J239" s="199"/>
      <c r="K239" s="199"/>
      <c r="L239" s="199"/>
      <c r="M239" s="199"/>
      <c r="N239" s="199"/>
      <c r="O239" s="28"/>
      <c r="P239" s="244"/>
      <c r="Q239" s="330"/>
      <c r="R239" s="310"/>
    </row>
    <row r="240" spans="1:18" ht="13">
      <c r="A240" s="428">
        <f t="shared" si="4"/>
        <v>124</v>
      </c>
      <c r="B240" s="512">
        <f t="shared" si="4"/>
        <v>160</v>
      </c>
      <c r="C240" s="450">
        <v>33.69</v>
      </c>
      <c r="D240" s="549"/>
      <c r="E240" s="598"/>
      <c r="F240" s="541"/>
      <c r="G240" s="539"/>
      <c r="H240" s="539"/>
      <c r="I240" s="199"/>
      <c r="J240" s="199"/>
      <c r="M240" s="199"/>
      <c r="N240" s="199"/>
      <c r="P240" s="240"/>
    </row>
    <row r="241" spans="1:16" ht="13">
      <c r="A241" s="428">
        <f t="shared" si="4"/>
        <v>123</v>
      </c>
      <c r="B241" s="512">
        <f t="shared" si="4"/>
        <v>159</v>
      </c>
      <c r="C241" s="451">
        <v>33.86</v>
      </c>
      <c r="D241" s="549"/>
      <c r="E241" s="591"/>
      <c r="F241" s="592"/>
      <c r="G241" s="593"/>
      <c r="H241" s="539"/>
      <c r="I241" s="199"/>
      <c r="J241" s="199"/>
      <c r="M241" s="199"/>
      <c r="N241" s="199"/>
      <c r="P241" s="240"/>
    </row>
    <row r="242" spans="1:16" ht="13">
      <c r="A242" s="428">
        <f t="shared" si="4"/>
        <v>122</v>
      </c>
      <c r="B242" s="512">
        <f t="shared" si="4"/>
        <v>158</v>
      </c>
      <c r="C242" s="452">
        <v>33.79</v>
      </c>
      <c r="D242" s="549"/>
      <c r="E242" s="592"/>
      <c r="F242" s="592"/>
      <c r="G242" s="594"/>
      <c r="H242" s="539"/>
      <c r="I242" s="199"/>
      <c r="J242" s="199"/>
      <c r="M242" s="199"/>
      <c r="N242" s="199"/>
      <c r="P242" s="240"/>
    </row>
    <row r="243" spans="1:16" ht="13">
      <c r="A243" s="428">
        <f t="shared" si="4"/>
        <v>121</v>
      </c>
      <c r="B243" s="512">
        <f t="shared" si="4"/>
        <v>157</v>
      </c>
      <c r="C243" s="453">
        <v>33.049999999999997</v>
      </c>
      <c r="D243" s="549"/>
      <c r="E243" s="591"/>
      <c r="F243" s="591"/>
      <c r="G243" s="599"/>
      <c r="H243" s="539"/>
      <c r="I243" s="199"/>
      <c r="J243" s="199"/>
      <c r="M243" s="199"/>
      <c r="N243" s="199"/>
      <c r="P243" s="240"/>
    </row>
    <row r="244" spans="1:16" ht="13">
      <c r="A244" s="428">
        <f t="shared" si="4"/>
        <v>120</v>
      </c>
      <c r="B244" s="512">
        <f t="shared" si="4"/>
        <v>156</v>
      </c>
      <c r="C244" s="453">
        <v>33.549999999999997</v>
      </c>
      <c r="D244" s="549"/>
      <c r="E244" s="591"/>
      <c r="F244" s="591"/>
      <c r="G244" s="599"/>
      <c r="H244" s="539"/>
      <c r="I244" s="199"/>
      <c r="J244" s="199"/>
      <c r="M244" s="199"/>
      <c r="N244" s="199"/>
      <c r="P244" s="240"/>
    </row>
    <row r="245" spans="1:16" ht="13">
      <c r="A245" s="428">
        <f t="shared" si="4"/>
        <v>119</v>
      </c>
      <c r="B245" s="512">
        <f t="shared" si="4"/>
        <v>155</v>
      </c>
      <c r="C245" s="450">
        <v>33.799999999999997</v>
      </c>
      <c r="D245" s="549"/>
      <c r="E245" s="591"/>
      <c r="F245" s="591"/>
      <c r="G245" s="599"/>
      <c r="H245" s="539"/>
      <c r="I245" s="199"/>
      <c r="J245" s="199"/>
      <c r="M245" s="199"/>
      <c r="N245" s="199"/>
      <c r="P245" s="240"/>
    </row>
    <row r="246" spans="1:16" ht="13">
      <c r="A246" s="428">
        <f t="shared" si="4"/>
        <v>118</v>
      </c>
      <c r="B246" s="512">
        <f t="shared" si="4"/>
        <v>154</v>
      </c>
      <c r="C246" s="450">
        <v>33.75</v>
      </c>
      <c r="D246" s="549"/>
      <c r="E246" s="600"/>
      <c r="F246" s="595"/>
      <c r="G246" s="599"/>
      <c r="H246" s="539"/>
      <c r="I246" s="199"/>
      <c r="J246" s="199"/>
      <c r="M246" s="199"/>
      <c r="N246" s="199"/>
      <c r="P246" s="240"/>
    </row>
    <row r="247" spans="1:16" ht="13.5" customHeight="1">
      <c r="A247" s="428">
        <f t="shared" si="4"/>
        <v>117</v>
      </c>
      <c r="B247" s="512">
        <f t="shared" si="4"/>
        <v>153</v>
      </c>
      <c r="C247" s="450">
        <v>33.659999999999997</v>
      </c>
      <c r="D247" s="549"/>
      <c r="E247" s="595"/>
      <c r="F247" s="595"/>
      <c r="G247" s="599"/>
      <c r="H247" s="599"/>
      <c r="K247" s="27"/>
      <c r="P247" s="240"/>
    </row>
    <row r="248" spans="1:16" ht="13">
      <c r="A248" s="428">
        <f t="shared" si="4"/>
        <v>116</v>
      </c>
      <c r="B248" s="512">
        <f t="shared" si="4"/>
        <v>152</v>
      </c>
      <c r="C248" s="450">
        <v>33.9</v>
      </c>
      <c r="D248" s="549"/>
      <c r="E248" s="595"/>
      <c r="F248" s="595"/>
      <c r="G248" s="599"/>
      <c r="H248" s="599"/>
      <c r="P248" s="240"/>
    </row>
    <row r="249" spans="1:16" ht="13">
      <c r="A249" s="428">
        <f t="shared" si="4"/>
        <v>115</v>
      </c>
      <c r="B249" s="512">
        <f t="shared" si="4"/>
        <v>151</v>
      </c>
      <c r="C249" s="450">
        <v>33.299999999999997</v>
      </c>
      <c r="D249" s="549"/>
      <c r="E249" s="600"/>
      <c r="F249" s="596"/>
      <c r="G249" s="597"/>
      <c r="H249" s="599"/>
      <c r="P249" s="240"/>
    </row>
    <row r="250" spans="1:16" ht="13.5" customHeight="1">
      <c r="A250" s="428">
        <f t="shared" si="4"/>
        <v>114</v>
      </c>
      <c r="B250" s="512">
        <f t="shared" si="4"/>
        <v>150</v>
      </c>
      <c r="C250" s="450">
        <v>33.29</v>
      </c>
      <c r="D250" s="549"/>
      <c r="E250" s="596"/>
      <c r="F250" s="596"/>
      <c r="G250" s="597"/>
      <c r="H250" s="599"/>
      <c r="P250" s="240"/>
    </row>
    <row r="251" spans="1:16" ht="13">
      <c r="A251" s="428">
        <f t="shared" si="4"/>
        <v>113</v>
      </c>
      <c r="B251" s="512">
        <f t="shared" si="4"/>
        <v>149</v>
      </c>
      <c r="C251" s="450">
        <v>33.72</v>
      </c>
      <c r="D251" s="549"/>
      <c r="E251" s="600"/>
      <c r="F251" s="528"/>
      <c r="G251" s="528"/>
      <c r="H251" s="599"/>
      <c r="P251" s="240"/>
    </row>
    <row r="252" spans="1:16" ht="13">
      <c r="A252" s="428">
        <f t="shared" si="4"/>
        <v>112</v>
      </c>
      <c r="B252" s="512">
        <f t="shared" si="4"/>
        <v>148</v>
      </c>
      <c r="C252" s="450">
        <v>33.74</v>
      </c>
      <c r="D252" s="549"/>
      <c r="E252" s="528"/>
      <c r="F252" s="528"/>
      <c r="G252" s="528"/>
      <c r="H252" s="599"/>
      <c r="P252" s="240"/>
    </row>
    <row r="253" spans="1:16" ht="13" customHeight="1">
      <c r="A253" s="428">
        <f t="shared" si="4"/>
        <v>111</v>
      </c>
      <c r="B253" s="512">
        <f t="shared" si="4"/>
        <v>147</v>
      </c>
      <c r="C253" s="450">
        <v>33.630000000000003</v>
      </c>
      <c r="D253" s="549"/>
      <c r="E253" s="595"/>
      <c r="F253" s="437"/>
      <c r="G253" s="437"/>
      <c r="P253" s="240"/>
    </row>
    <row r="254" spans="1:16" ht="13" customHeight="1">
      <c r="A254" s="428">
        <f t="shared" si="4"/>
        <v>110</v>
      </c>
      <c r="B254" s="512">
        <f t="shared" si="4"/>
        <v>146</v>
      </c>
      <c r="C254" s="450">
        <v>33.79</v>
      </c>
      <c r="D254" s="549"/>
      <c r="E254" s="595"/>
      <c r="F254" s="437"/>
      <c r="G254" s="437"/>
      <c r="P254" s="240"/>
    </row>
    <row r="255" spans="1:16">
      <c r="A255" s="428">
        <f t="shared" si="4"/>
        <v>109</v>
      </c>
      <c r="B255" s="512">
        <f t="shared" si="4"/>
        <v>145</v>
      </c>
      <c r="C255" s="450">
        <v>33.99</v>
      </c>
      <c r="D255" s="378"/>
      <c r="E255" s="476"/>
      <c r="F255" s="437"/>
      <c r="G255" s="437"/>
      <c r="P255" s="240"/>
    </row>
    <row r="256" spans="1:16">
      <c r="A256" s="428">
        <f t="shared" si="4"/>
        <v>108</v>
      </c>
      <c r="B256" s="512">
        <f t="shared" si="4"/>
        <v>144</v>
      </c>
      <c r="C256" s="450">
        <v>33.71</v>
      </c>
      <c r="D256" s="378"/>
      <c r="E256" s="445"/>
      <c r="F256" s="437"/>
      <c r="G256" s="437"/>
      <c r="P256" s="240"/>
    </row>
    <row r="257" spans="1:16">
      <c r="A257" s="428">
        <f t="shared" si="4"/>
        <v>107</v>
      </c>
      <c r="B257" s="512">
        <f t="shared" si="4"/>
        <v>143</v>
      </c>
      <c r="C257" s="450">
        <v>33.840000000000003</v>
      </c>
      <c r="D257" s="378"/>
      <c r="E257" s="199"/>
      <c r="P257" s="240"/>
    </row>
    <row r="258" spans="1:16">
      <c r="A258" s="428">
        <f t="shared" si="4"/>
        <v>106</v>
      </c>
      <c r="B258" s="512">
        <f t="shared" si="4"/>
        <v>142</v>
      </c>
      <c r="C258" s="450">
        <v>33.729999999999997</v>
      </c>
      <c r="D258" s="378"/>
      <c r="E258" s="199"/>
      <c r="P258" s="240"/>
    </row>
    <row r="259" spans="1:16">
      <c r="A259" s="428">
        <f t="shared" si="4"/>
        <v>105</v>
      </c>
      <c r="B259" s="512">
        <f t="shared" si="4"/>
        <v>141</v>
      </c>
      <c r="C259" s="450">
        <v>33.58</v>
      </c>
      <c r="D259" s="378"/>
      <c r="E259" s="199"/>
      <c r="P259" s="240"/>
    </row>
    <row r="260" spans="1:16">
      <c r="A260" s="428">
        <f t="shared" si="4"/>
        <v>104</v>
      </c>
      <c r="B260" s="512">
        <f t="shared" si="4"/>
        <v>140</v>
      </c>
      <c r="C260" s="450">
        <v>33.53</v>
      </c>
      <c r="D260" s="378"/>
      <c r="E260" s="199"/>
      <c r="P260" s="240"/>
    </row>
    <row r="261" spans="1:16">
      <c r="A261" s="428">
        <f t="shared" si="4"/>
        <v>103</v>
      </c>
      <c r="B261" s="512">
        <f t="shared" si="4"/>
        <v>139</v>
      </c>
      <c r="C261" s="450">
        <v>33.93</v>
      </c>
      <c r="D261" s="378"/>
      <c r="E261" s="199"/>
      <c r="P261" s="240"/>
    </row>
    <row r="262" spans="1:16">
      <c r="A262" s="428">
        <f t="shared" si="4"/>
        <v>102</v>
      </c>
      <c r="B262" s="512">
        <f t="shared" si="4"/>
        <v>138</v>
      </c>
      <c r="C262" s="450">
        <v>33.93</v>
      </c>
      <c r="D262" s="378"/>
      <c r="E262" s="199"/>
      <c r="P262" s="240"/>
    </row>
    <row r="263" spans="1:16">
      <c r="A263" s="428">
        <f t="shared" si="4"/>
        <v>101</v>
      </c>
      <c r="B263" s="512">
        <f t="shared" si="4"/>
        <v>137</v>
      </c>
      <c r="C263" s="450">
        <v>33.799999999999997</v>
      </c>
      <c r="D263" s="378"/>
      <c r="E263" s="199"/>
      <c r="P263" s="240"/>
    </row>
    <row r="264" spans="1:16">
      <c r="A264" s="428">
        <f t="shared" ref="A264:B327" si="5">A263-1</f>
        <v>100</v>
      </c>
      <c r="B264" s="512">
        <f t="shared" si="5"/>
        <v>136</v>
      </c>
      <c r="C264" s="450">
        <v>33.75</v>
      </c>
      <c r="D264" s="378"/>
      <c r="E264" s="199"/>
      <c r="P264" s="240"/>
    </row>
    <row r="265" spans="1:16">
      <c r="A265" s="428">
        <f t="shared" si="5"/>
        <v>99</v>
      </c>
      <c r="B265" s="512">
        <f t="shared" si="5"/>
        <v>135</v>
      </c>
      <c r="C265" s="450">
        <v>33.520000000000003</v>
      </c>
      <c r="D265" s="378"/>
      <c r="E265" s="199"/>
      <c r="P265" s="240"/>
    </row>
    <row r="266" spans="1:16">
      <c r="A266" s="428">
        <f t="shared" si="5"/>
        <v>98</v>
      </c>
      <c r="B266" s="512">
        <f t="shared" si="5"/>
        <v>134</v>
      </c>
      <c r="C266" s="450">
        <v>33.67</v>
      </c>
      <c r="D266" s="378"/>
      <c r="E266" s="199"/>
      <c r="P266" s="240"/>
    </row>
    <row r="267" spans="1:16">
      <c r="A267" s="428">
        <f t="shared" si="5"/>
        <v>97</v>
      </c>
      <c r="B267" s="512">
        <f t="shared" si="5"/>
        <v>133</v>
      </c>
      <c r="C267" s="450">
        <v>33.520000000000003</v>
      </c>
      <c r="D267" s="378"/>
      <c r="E267" s="199"/>
      <c r="P267" s="240"/>
    </row>
    <row r="268" spans="1:16">
      <c r="A268" s="428">
        <f t="shared" si="5"/>
        <v>96</v>
      </c>
      <c r="B268" s="512">
        <f t="shared" si="5"/>
        <v>132</v>
      </c>
      <c r="C268" s="450">
        <v>33.93</v>
      </c>
      <c r="D268" s="378"/>
      <c r="E268" s="199"/>
      <c r="P268" s="240"/>
    </row>
    <row r="269" spans="1:16">
      <c r="A269" s="428">
        <f t="shared" si="5"/>
        <v>95</v>
      </c>
      <c r="B269" s="512">
        <f t="shared" si="5"/>
        <v>131</v>
      </c>
      <c r="C269" s="450">
        <v>33.67</v>
      </c>
      <c r="D269" s="378"/>
      <c r="E269" s="199"/>
      <c r="P269" s="240"/>
    </row>
    <row r="270" spans="1:16">
      <c r="A270" s="428">
        <f t="shared" si="5"/>
        <v>94</v>
      </c>
      <c r="B270" s="512">
        <f t="shared" si="5"/>
        <v>130</v>
      </c>
      <c r="C270" s="450">
        <v>33.46</v>
      </c>
      <c r="D270" s="378"/>
      <c r="E270" s="199"/>
      <c r="P270" s="240"/>
    </row>
    <row r="271" spans="1:16">
      <c r="A271" s="428">
        <f t="shared" si="5"/>
        <v>93</v>
      </c>
      <c r="B271" s="512">
        <f t="shared" si="5"/>
        <v>129</v>
      </c>
      <c r="C271" s="450">
        <v>33.630000000000003</v>
      </c>
      <c r="D271" s="378"/>
      <c r="E271" s="199"/>
      <c r="P271" s="240"/>
    </row>
    <row r="272" spans="1:16">
      <c r="A272" s="428">
        <f t="shared" si="5"/>
        <v>92</v>
      </c>
      <c r="B272" s="512">
        <f t="shared" si="5"/>
        <v>128</v>
      </c>
      <c r="C272" s="450">
        <v>33.840000000000003</v>
      </c>
      <c r="D272" s="378"/>
      <c r="E272" s="199"/>
      <c r="P272" s="240"/>
    </row>
    <row r="273" spans="1:16">
      <c r="A273" s="428">
        <f t="shared" si="5"/>
        <v>91</v>
      </c>
      <c r="B273" s="512">
        <f t="shared" si="5"/>
        <v>127</v>
      </c>
      <c r="C273" s="450">
        <v>33.68</v>
      </c>
      <c r="D273" s="378"/>
      <c r="E273" s="199"/>
      <c r="P273" s="240"/>
    </row>
    <row r="274" spans="1:16">
      <c r="A274" s="428">
        <f t="shared" si="5"/>
        <v>90</v>
      </c>
      <c r="B274" s="512">
        <f t="shared" si="5"/>
        <v>126</v>
      </c>
      <c r="C274" s="450">
        <v>33.700000000000003</v>
      </c>
      <c r="D274" s="378"/>
      <c r="E274" s="199"/>
      <c r="P274" s="240"/>
    </row>
    <row r="275" spans="1:16">
      <c r="A275" s="428">
        <f t="shared" si="5"/>
        <v>89</v>
      </c>
      <c r="B275" s="512">
        <f t="shared" si="5"/>
        <v>125</v>
      </c>
      <c r="C275" s="450">
        <v>33.5</v>
      </c>
      <c r="D275" s="378"/>
      <c r="E275" s="199"/>
      <c r="P275" s="240"/>
    </row>
    <row r="276" spans="1:16">
      <c r="A276" s="428">
        <f t="shared" si="5"/>
        <v>88</v>
      </c>
      <c r="B276" s="512">
        <f t="shared" si="5"/>
        <v>124</v>
      </c>
      <c r="C276" s="450">
        <v>31.96</v>
      </c>
      <c r="D276" s="378"/>
      <c r="E276" s="199"/>
      <c r="P276" s="240"/>
    </row>
    <row r="277" spans="1:16">
      <c r="A277" s="428">
        <f t="shared" si="5"/>
        <v>87</v>
      </c>
      <c r="B277" s="512">
        <f t="shared" si="5"/>
        <v>123</v>
      </c>
      <c r="C277" s="450">
        <v>33.56</v>
      </c>
      <c r="D277" s="378"/>
      <c r="E277" s="199"/>
      <c r="P277" s="240"/>
    </row>
    <row r="278" spans="1:16">
      <c r="A278" s="428">
        <f t="shared" si="5"/>
        <v>86</v>
      </c>
      <c r="B278" s="512">
        <f t="shared" si="5"/>
        <v>122</v>
      </c>
      <c r="C278" s="450">
        <v>33.549999999999997</v>
      </c>
      <c r="D278" s="378"/>
      <c r="E278" s="199"/>
      <c r="P278" s="240"/>
    </row>
    <row r="279" spans="1:16">
      <c r="A279" s="428">
        <f t="shared" si="5"/>
        <v>85</v>
      </c>
      <c r="B279" s="512">
        <f t="shared" si="5"/>
        <v>121</v>
      </c>
      <c r="C279" s="450">
        <v>33.159999999999997</v>
      </c>
      <c r="D279" s="378"/>
      <c r="E279" s="199"/>
      <c r="P279" s="240"/>
    </row>
    <row r="280" spans="1:16">
      <c r="A280" s="428">
        <f t="shared" si="5"/>
        <v>84</v>
      </c>
      <c r="B280" s="512">
        <f t="shared" si="5"/>
        <v>120</v>
      </c>
      <c r="C280" s="450">
        <v>33.090000000000003</v>
      </c>
      <c r="D280" s="378"/>
      <c r="E280" s="199"/>
      <c r="P280" s="240"/>
    </row>
    <row r="281" spans="1:16">
      <c r="A281" s="428">
        <f t="shared" si="5"/>
        <v>83</v>
      </c>
      <c r="B281" s="512">
        <f t="shared" si="5"/>
        <v>119</v>
      </c>
      <c r="C281" s="450">
        <v>31.82</v>
      </c>
      <c r="D281" s="378"/>
      <c r="E281" s="199"/>
      <c r="P281" s="240"/>
    </row>
    <row r="282" spans="1:16">
      <c r="A282" s="428">
        <f t="shared" si="5"/>
        <v>82</v>
      </c>
      <c r="B282" s="512">
        <f t="shared" si="5"/>
        <v>118</v>
      </c>
      <c r="C282" s="450">
        <v>32.1</v>
      </c>
      <c r="D282" s="378"/>
      <c r="E282" s="199"/>
      <c r="P282" s="240"/>
    </row>
    <row r="283" spans="1:16">
      <c r="A283" s="428">
        <f t="shared" si="5"/>
        <v>81</v>
      </c>
      <c r="B283" s="512">
        <f t="shared" si="5"/>
        <v>117</v>
      </c>
      <c r="C283" s="450">
        <v>33.479999999999997</v>
      </c>
      <c r="D283" s="378"/>
      <c r="E283" s="199"/>
      <c r="P283" s="240"/>
    </row>
    <row r="284" spans="1:16">
      <c r="A284" s="428">
        <f t="shared" si="5"/>
        <v>80</v>
      </c>
      <c r="B284" s="512">
        <f t="shared" si="5"/>
        <v>116</v>
      </c>
      <c r="C284" s="450">
        <v>33.51</v>
      </c>
      <c r="D284" s="378"/>
      <c r="E284" s="199"/>
      <c r="P284" s="240"/>
    </row>
    <row r="285" spans="1:16">
      <c r="A285" s="428">
        <f t="shared" si="5"/>
        <v>79</v>
      </c>
      <c r="B285" s="512">
        <f t="shared" si="5"/>
        <v>115</v>
      </c>
      <c r="C285" s="450">
        <v>33.380000000000003</v>
      </c>
      <c r="D285" s="378"/>
      <c r="E285" s="199"/>
      <c r="P285" s="240"/>
    </row>
    <row r="286" spans="1:16">
      <c r="A286" s="428">
        <f t="shared" si="5"/>
        <v>78</v>
      </c>
      <c r="B286" s="512">
        <f t="shared" si="5"/>
        <v>114</v>
      </c>
      <c r="C286" s="450">
        <v>33.43</v>
      </c>
      <c r="D286" s="378"/>
      <c r="E286" s="199"/>
      <c r="P286" s="240"/>
    </row>
    <row r="287" spans="1:16">
      <c r="A287" s="428">
        <f t="shared" si="5"/>
        <v>77</v>
      </c>
      <c r="B287" s="512">
        <f t="shared" si="5"/>
        <v>113</v>
      </c>
      <c r="C287" s="450">
        <v>31.61</v>
      </c>
      <c r="D287" s="378"/>
      <c r="E287" s="199"/>
      <c r="P287" s="240"/>
    </row>
    <row r="288" spans="1:16">
      <c r="A288" s="428">
        <f t="shared" si="5"/>
        <v>76</v>
      </c>
      <c r="B288" s="512">
        <f t="shared" si="5"/>
        <v>112</v>
      </c>
      <c r="C288" s="450">
        <v>33.619999999999997</v>
      </c>
      <c r="D288" s="378"/>
      <c r="E288" s="199"/>
      <c r="P288" s="240"/>
    </row>
    <row r="289" spans="1:17">
      <c r="A289" s="428">
        <f t="shared" si="5"/>
        <v>75</v>
      </c>
      <c r="B289" s="512">
        <f t="shared" si="5"/>
        <v>111</v>
      </c>
      <c r="C289" s="450">
        <v>33.76</v>
      </c>
      <c r="D289" s="378"/>
      <c r="E289" s="199"/>
      <c r="P289" s="240"/>
    </row>
    <row r="290" spans="1:17">
      <c r="A290" s="428">
        <f t="shared" si="5"/>
        <v>74</v>
      </c>
      <c r="B290" s="512">
        <f t="shared" si="5"/>
        <v>110</v>
      </c>
      <c r="C290" s="450">
        <v>33.81</v>
      </c>
      <c r="D290" s="378"/>
      <c r="E290" s="199"/>
      <c r="P290" s="240"/>
    </row>
    <row r="291" spans="1:17">
      <c r="A291" s="428">
        <f t="shared" si="5"/>
        <v>73</v>
      </c>
      <c r="B291" s="512">
        <f t="shared" si="5"/>
        <v>109</v>
      </c>
      <c r="C291" s="450">
        <v>33.75</v>
      </c>
      <c r="D291" s="378"/>
      <c r="E291" s="199"/>
      <c r="P291" s="240"/>
    </row>
    <row r="292" spans="1:17">
      <c r="A292" s="428">
        <f t="shared" si="5"/>
        <v>72</v>
      </c>
      <c r="B292" s="512">
        <f t="shared" si="5"/>
        <v>108</v>
      </c>
      <c r="C292" s="450">
        <v>33.53</v>
      </c>
      <c r="D292" s="378"/>
      <c r="E292" s="199"/>
      <c r="P292" s="240"/>
    </row>
    <row r="293" spans="1:17">
      <c r="A293" s="428">
        <f t="shared" si="5"/>
        <v>71</v>
      </c>
      <c r="B293" s="512">
        <f t="shared" si="5"/>
        <v>107</v>
      </c>
      <c r="C293" s="450">
        <v>33.49</v>
      </c>
      <c r="D293" s="378"/>
      <c r="E293" s="199"/>
      <c r="P293" s="240"/>
    </row>
    <row r="294" spans="1:17">
      <c r="A294" s="428">
        <f t="shared" si="5"/>
        <v>70</v>
      </c>
      <c r="B294" s="512">
        <f t="shared" si="5"/>
        <v>106</v>
      </c>
      <c r="C294" s="450">
        <v>33.51</v>
      </c>
      <c r="D294" s="378"/>
      <c r="E294" s="199"/>
      <c r="P294" s="240"/>
    </row>
    <row r="295" spans="1:17">
      <c r="A295" s="428">
        <f t="shared" si="5"/>
        <v>69</v>
      </c>
      <c r="B295" s="512">
        <f t="shared" si="5"/>
        <v>105</v>
      </c>
      <c r="C295" s="450">
        <v>33.4</v>
      </c>
      <c r="D295" s="378"/>
      <c r="E295" s="199"/>
      <c r="P295" s="240"/>
    </row>
    <row r="296" spans="1:17">
      <c r="A296" s="428">
        <f t="shared" si="5"/>
        <v>68</v>
      </c>
      <c r="B296" s="512">
        <f t="shared" si="5"/>
        <v>104</v>
      </c>
      <c r="C296" s="450">
        <v>33.68</v>
      </c>
      <c r="D296" s="378"/>
      <c r="E296" s="199"/>
      <c r="P296" s="240"/>
    </row>
    <row r="297" spans="1:17">
      <c r="A297" s="428">
        <f t="shared" si="5"/>
        <v>67</v>
      </c>
      <c r="B297" s="512">
        <f t="shared" si="5"/>
        <v>103</v>
      </c>
      <c r="C297" s="450">
        <v>33.21</v>
      </c>
      <c r="D297" s="378"/>
      <c r="E297" s="199"/>
      <c r="P297" s="240"/>
    </row>
    <row r="298" spans="1:17">
      <c r="A298" s="428">
        <f t="shared" si="5"/>
        <v>66</v>
      </c>
      <c r="B298" s="512">
        <f t="shared" si="5"/>
        <v>102</v>
      </c>
      <c r="C298" s="450">
        <v>33.94</v>
      </c>
      <c r="D298" s="378"/>
      <c r="E298" s="199"/>
      <c r="P298" s="240"/>
      <c r="Q298" s="379"/>
    </row>
    <row r="299" spans="1:17">
      <c r="A299" s="428">
        <f t="shared" si="5"/>
        <v>65</v>
      </c>
      <c r="B299" s="512">
        <f t="shared" si="5"/>
        <v>101</v>
      </c>
      <c r="C299" s="450">
        <v>33.42</v>
      </c>
      <c r="D299" s="378"/>
      <c r="E299" s="199"/>
      <c r="P299" s="240"/>
      <c r="Q299" s="379"/>
    </row>
    <row r="300" spans="1:17">
      <c r="A300" s="428">
        <f t="shared" si="5"/>
        <v>64</v>
      </c>
      <c r="B300" s="512">
        <f t="shared" si="5"/>
        <v>100</v>
      </c>
      <c r="C300" s="450">
        <v>33.549999999999997</v>
      </c>
      <c r="D300" s="378"/>
      <c r="E300" s="199"/>
      <c r="P300" s="240"/>
      <c r="Q300" s="379"/>
    </row>
    <row r="301" spans="1:17">
      <c r="A301" s="428">
        <f t="shared" si="5"/>
        <v>63</v>
      </c>
      <c r="B301" s="512">
        <f t="shared" si="5"/>
        <v>99</v>
      </c>
      <c r="C301" s="450">
        <v>33.659999999999997</v>
      </c>
      <c r="D301" s="378"/>
      <c r="E301" s="199"/>
      <c r="K301" s="245"/>
      <c r="L301" s="245"/>
      <c r="P301" s="240"/>
      <c r="Q301" s="379"/>
    </row>
    <row r="302" spans="1:17">
      <c r="A302" s="428">
        <f t="shared" si="5"/>
        <v>62</v>
      </c>
      <c r="B302" s="512">
        <f t="shared" si="5"/>
        <v>98</v>
      </c>
      <c r="C302" s="450">
        <v>33.32</v>
      </c>
      <c r="D302" s="378"/>
      <c r="E302" s="199"/>
      <c r="P302" s="240"/>
      <c r="Q302" s="379"/>
    </row>
    <row r="303" spans="1:17">
      <c r="A303" s="428">
        <f t="shared" si="5"/>
        <v>61</v>
      </c>
      <c r="B303" s="512">
        <f t="shared" si="5"/>
        <v>97</v>
      </c>
      <c r="C303" s="450">
        <v>33.82</v>
      </c>
      <c r="D303" s="378"/>
      <c r="E303" s="199"/>
      <c r="P303" s="240"/>
      <c r="Q303" s="379"/>
    </row>
    <row r="304" spans="1:17">
      <c r="A304" s="428">
        <f t="shared" si="5"/>
        <v>60</v>
      </c>
      <c r="B304" s="512">
        <f t="shared" si="5"/>
        <v>96</v>
      </c>
      <c r="C304" s="450">
        <v>31.9</v>
      </c>
      <c r="D304" s="378"/>
      <c r="E304" s="199"/>
      <c r="P304" s="240"/>
      <c r="Q304" s="379"/>
    </row>
    <row r="305" spans="1:17">
      <c r="A305" s="428">
        <f t="shared" si="5"/>
        <v>59</v>
      </c>
      <c r="B305" s="512">
        <f t="shared" si="5"/>
        <v>95</v>
      </c>
      <c r="C305" s="450">
        <v>33.43</v>
      </c>
      <c r="D305" s="378"/>
      <c r="E305" s="199"/>
      <c r="P305" s="240"/>
      <c r="Q305" s="379"/>
    </row>
    <row r="306" spans="1:17" ht="13.5" customHeight="1">
      <c r="A306" s="428">
        <f t="shared" si="5"/>
        <v>58</v>
      </c>
      <c r="B306" s="512">
        <f t="shared" si="5"/>
        <v>94</v>
      </c>
      <c r="C306" s="450">
        <v>33.5</v>
      </c>
      <c r="D306" s="378"/>
      <c r="E306" s="199"/>
      <c r="P306" s="240"/>
      <c r="Q306" s="379"/>
    </row>
    <row r="307" spans="1:17">
      <c r="A307" s="428">
        <f t="shared" si="5"/>
        <v>57</v>
      </c>
      <c r="B307" s="512">
        <f t="shared" si="5"/>
        <v>93</v>
      </c>
      <c r="C307" s="450">
        <v>33.369999999999997</v>
      </c>
      <c r="D307" s="378"/>
      <c r="E307" s="199"/>
      <c r="P307" s="240"/>
      <c r="Q307" s="379"/>
    </row>
    <row r="308" spans="1:17" s="245" customFormat="1" ht="14.15" customHeight="1">
      <c r="A308" s="428">
        <f t="shared" si="5"/>
        <v>56</v>
      </c>
      <c r="B308" s="512">
        <f t="shared" si="5"/>
        <v>92</v>
      </c>
      <c r="C308" s="450">
        <v>33.5</v>
      </c>
      <c r="D308" s="378"/>
      <c r="E308" s="199"/>
      <c r="F308" s="35"/>
      <c r="G308" s="242"/>
      <c r="H308" s="242"/>
      <c r="K308"/>
      <c r="L308"/>
      <c r="P308" s="331"/>
      <c r="Q308" s="379"/>
    </row>
    <row r="309" spans="1:17" ht="13.5" customHeight="1">
      <c r="A309" s="428">
        <f t="shared" si="5"/>
        <v>55</v>
      </c>
      <c r="B309" s="512">
        <f t="shared" si="5"/>
        <v>91</v>
      </c>
      <c r="C309" s="450">
        <v>33.56</v>
      </c>
      <c r="D309" s="378"/>
      <c r="E309" s="199"/>
      <c r="P309" s="240"/>
      <c r="Q309" s="379"/>
    </row>
    <row r="310" spans="1:17" ht="13" customHeight="1">
      <c r="A310" s="428">
        <f t="shared" si="5"/>
        <v>54</v>
      </c>
      <c r="B310" s="512">
        <f t="shared" si="5"/>
        <v>90</v>
      </c>
      <c r="C310" s="450">
        <v>33.39</v>
      </c>
      <c r="D310" s="378"/>
      <c r="E310" s="199"/>
      <c r="P310" s="240"/>
      <c r="Q310" s="379"/>
    </row>
    <row r="311" spans="1:17" ht="13.5" customHeight="1">
      <c r="A311" s="428">
        <f t="shared" si="5"/>
        <v>53</v>
      </c>
      <c r="B311" s="512">
        <f t="shared" si="5"/>
        <v>89</v>
      </c>
      <c r="C311" s="450">
        <v>33.39</v>
      </c>
      <c r="D311" s="378"/>
      <c r="E311" s="199"/>
      <c r="P311" s="240"/>
      <c r="Q311" s="379"/>
    </row>
    <row r="312" spans="1:17" ht="13" customHeight="1">
      <c r="A312" s="428">
        <f t="shared" si="5"/>
        <v>52</v>
      </c>
      <c r="B312" s="512">
        <f t="shared" si="5"/>
        <v>88</v>
      </c>
      <c r="C312" s="450">
        <v>33.369999999999997</v>
      </c>
      <c r="D312" s="378"/>
      <c r="E312" s="199"/>
      <c r="P312" s="240"/>
      <c r="Q312" s="379"/>
    </row>
    <row r="313" spans="1:17" ht="13.5" customHeight="1">
      <c r="A313" s="428">
        <f t="shared" si="5"/>
        <v>51</v>
      </c>
      <c r="B313" s="512">
        <f t="shared" si="5"/>
        <v>87</v>
      </c>
      <c r="C313" s="450">
        <v>33.44</v>
      </c>
      <c r="D313" s="378"/>
      <c r="E313" s="199"/>
      <c r="P313" s="240"/>
      <c r="Q313" s="379"/>
    </row>
    <row r="314" spans="1:17" ht="12.65" customHeight="1">
      <c r="A314" s="428">
        <f t="shared" si="5"/>
        <v>50</v>
      </c>
      <c r="B314" s="512">
        <f t="shared" si="5"/>
        <v>86</v>
      </c>
      <c r="C314" s="450">
        <v>33.450000000000003</v>
      </c>
      <c r="D314" s="378"/>
      <c r="E314" s="199"/>
      <c r="P314" s="240"/>
      <c r="Q314" s="379"/>
    </row>
    <row r="315" spans="1:17" ht="13" customHeight="1">
      <c r="A315" s="428">
        <f t="shared" si="5"/>
        <v>49</v>
      </c>
      <c r="B315" s="512">
        <f t="shared" si="5"/>
        <v>85</v>
      </c>
      <c r="C315" s="450">
        <v>33.869999999999997</v>
      </c>
      <c r="D315" s="378"/>
      <c r="E315" s="199"/>
      <c r="P315" s="240"/>
      <c r="Q315" s="379"/>
    </row>
    <row r="316" spans="1:17">
      <c r="A316" s="428">
        <f t="shared" si="5"/>
        <v>48</v>
      </c>
      <c r="B316" s="512">
        <f t="shared" si="5"/>
        <v>84</v>
      </c>
      <c r="C316" s="450">
        <v>33.700000000000003</v>
      </c>
      <c r="D316" s="378"/>
      <c r="E316" s="199"/>
      <c r="P316" s="240"/>
      <c r="Q316" s="379"/>
    </row>
    <row r="317" spans="1:17">
      <c r="A317" s="428">
        <f t="shared" si="5"/>
        <v>47</v>
      </c>
      <c r="B317" s="512">
        <f t="shared" si="5"/>
        <v>83</v>
      </c>
      <c r="C317" s="450">
        <v>33.65</v>
      </c>
      <c r="D317" s="378"/>
      <c r="E317" s="199"/>
      <c r="P317" s="240"/>
      <c r="Q317" s="379"/>
    </row>
    <row r="318" spans="1:17">
      <c r="A318" s="428">
        <f t="shared" si="5"/>
        <v>46</v>
      </c>
      <c r="B318" s="512">
        <f t="shared" si="5"/>
        <v>82</v>
      </c>
      <c r="C318" s="450">
        <v>33.43</v>
      </c>
      <c r="D318" s="378"/>
      <c r="E318" s="199"/>
      <c r="P318" s="240"/>
      <c r="Q318" s="379"/>
    </row>
    <row r="319" spans="1:17">
      <c r="A319" s="428">
        <f t="shared" si="5"/>
        <v>45</v>
      </c>
      <c r="B319" s="512">
        <f t="shared" si="5"/>
        <v>81</v>
      </c>
      <c r="C319" s="450">
        <v>33.26</v>
      </c>
      <c r="D319" s="378"/>
      <c r="E319" s="199"/>
      <c r="P319" s="240"/>
      <c r="Q319" s="379"/>
    </row>
    <row r="320" spans="1:17">
      <c r="A320" s="428">
        <f t="shared" si="5"/>
        <v>44</v>
      </c>
      <c r="B320" s="512">
        <f t="shared" si="5"/>
        <v>80</v>
      </c>
      <c r="C320" s="450">
        <v>33.19</v>
      </c>
      <c r="D320" s="378"/>
      <c r="E320" s="199"/>
      <c r="P320" s="240"/>
      <c r="Q320" s="379"/>
    </row>
    <row r="321" spans="1:17">
      <c r="A321" s="428">
        <f t="shared" si="5"/>
        <v>43</v>
      </c>
      <c r="B321" s="512">
        <f t="shared" si="5"/>
        <v>79</v>
      </c>
      <c r="C321" s="450">
        <v>33.380000000000003</v>
      </c>
      <c r="D321" s="378"/>
      <c r="E321" s="199"/>
      <c r="P321" s="240"/>
      <c r="Q321" s="379"/>
    </row>
    <row r="322" spans="1:17">
      <c r="A322" s="428">
        <f t="shared" si="5"/>
        <v>42</v>
      </c>
      <c r="B322" s="512">
        <f t="shared" si="5"/>
        <v>78</v>
      </c>
      <c r="C322" s="450">
        <v>33.64</v>
      </c>
      <c r="D322" s="378"/>
      <c r="E322" s="199"/>
      <c r="P322" s="240"/>
      <c r="Q322" s="379"/>
    </row>
    <row r="323" spans="1:17">
      <c r="A323" s="428">
        <f t="shared" si="5"/>
        <v>41</v>
      </c>
      <c r="B323" s="512">
        <f t="shared" si="5"/>
        <v>77</v>
      </c>
      <c r="C323" s="450">
        <v>33.78</v>
      </c>
      <c r="D323" s="378"/>
      <c r="E323" s="199"/>
      <c r="L323" s="238"/>
      <c r="P323" s="240"/>
      <c r="Q323" s="379"/>
    </row>
    <row r="324" spans="1:17">
      <c r="A324" s="428">
        <f t="shared" si="5"/>
        <v>40</v>
      </c>
      <c r="B324" s="512">
        <f t="shared" si="5"/>
        <v>76</v>
      </c>
      <c r="C324" s="450">
        <v>33.479999999999997</v>
      </c>
      <c r="D324" s="378"/>
      <c r="E324" s="199"/>
      <c r="P324" s="240"/>
      <c r="Q324" s="379"/>
    </row>
    <row r="325" spans="1:17">
      <c r="A325" s="428">
        <f t="shared" si="5"/>
        <v>39</v>
      </c>
      <c r="B325" s="512">
        <f t="shared" si="5"/>
        <v>75</v>
      </c>
      <c r="C325" s="450">
        <v>33.4</v>
      </c>
      <c r="D325" s="378"/>
      <c r="E325" s="199"/>
      <c r="P325" s="240"/>
      <c r="Q325" s="380"/>
    </row>
    <row r="326" spans="1:17">
      <c r="A326" s="428">
        <f t="shared" si="5"/>
        <v>38</v>
      </c>
      <c r="B326" s="512">
        <f t="shared" si="5"/>
        <v>74</v>
      </c>
      <c r="C326" s="450">
        <v>33.380000000000003</v>
      </c>
      <c r="D326" s="378"/>
      <c r="E326" s="199"/>
      <c r="P326" s="240"/>
      <c r="Q326" s="379"/>
    </row>
    <row r="327" spans="1:17">
      <c r="A327" s="428">
        <f t="shared" si="5"/>
        <v>37</v>
      </c>
      <c r="B327" s="512">
        <f t="shared" si="5"/>
        <v>73</v>
      </c>
      <c r="C327" s="450">
        <v>33.549999999999997</v>
      </c>
      <c r="D327" s="378"/>
      <c r="E327" s="199"/>
      <c r="F327"/>
      <c r="P327" s="240"/>
      <c r="Q327" s="379"/>
    </row>
    <row r="328" spans="1:17">
      <c r="A328" s="428">
        <f t="shared" ref="A328:B363" si="6">A327-1</f>
        <v>36</v>
      </c>
      <c r="B328" s="512">
        <f t="shared" si="6"/>
        <v>72</v>
      </c>
      <c r="C328" s="450">
        <v>32.99</v>
      </c>
      <c r="D328" s="378"/>
      <c r="E328" s="199"/>
      <c r="F328"/>
      <c r="P328" s="240"/>
      <c r="Q328" s="379"/>
    </row>
    <row r="329" spans="1:17">
      <c r="A329" s="428">
        <f t="shared" si="6"/>
        <v>35</v>
      </c>
      <c r="B329" s="512">
        <f t="shared" si="6"/>
        <v>71</v>
      </c>
      <c r="C329" s="450">
        <v>33.54</v>
      </c>
      <c r="D329" s="378"/>
      <c r="E329" s="199"/>
      <c r="F329"/>
      <c r="P329" s="240"/>
      <c r="Q329" s="379"/>
    </row>
    <row r="330" spans="1:17">
      <c r="A330" s="428">
        <f t="shared" si="6"/>
        <v>34</v>
      </c>
      <c r="B330" s="512">
        <f t="shared" si="6"/>
        <v>70</v>
      </c>
      <c r="C330" s="450">
        <v>33.4</v>
      </c>
      <c r="D330" s="378"/>
      <c r="E330" s="199"/>
      <c r="F330"/>
      <c r="P330" s="240"/>
      <c r="Q330" s="379"/>
    </row>
    <row r="331" spans="1:17">
      <c r="A331" s="428">
        <f t="shared" si="6"/>
        <v>33</v>
      </c>
      <c r="B331" s="512">
        <f t="shared" si="6"/>
        <v>69</v>
      </c>
      <c r="C331" s="450">
        <v>33.950000000000003</v>
      </c>
      <c r="D331" s="378"/>
      <c r="F331"/>
      <c r="P331" s="240"/>
      <c r="Q331" s="379"/>
    </row>
    <row r="332" spans="1:17">
      <c r="A332" s="428">
        <f t="shared" si="6"/>
        <v>32</v>
      </c>
      <c r="B332" s="512">
        <f t="shared" si="6"/>
        <v>68</v>
      </c>
      <c r="C332" s="450">
        <v>33.65</v>
      </c>
      <c r="D332" s="378"/>
      <c r="F332"/>
      <c r="P332" s="240"/>
    </row>
    <row r="333" spans="1:17">
      <c r="A333" s="428">
        <f t="shared" si="6"/>
        <v>31</v>
      </c>
      <c r="B333" s="512">
        <f t="shared" si="6"/>
        <v>67</v>
      </c>
      <c r="C333" s="450">
        <v>33.76</v>
      </c>
      <c r="D333" s="378"/>
      <c r="F333"/>
      <c r="P333" s="240"/>
    </row>
    <row r="334" spans="1:17">
      <c r="A334" s="428">
        <f t="shared" si="6"/>
        <v>30</v>
      </c>
      <c r="B334" s="512">
        <f t="shared" si="6"/>
        <v>66</v>
      </c>
      <c r="C334" s="450">
        <v>33.29</v>
      </c>
      <c r="D334" s="378"/>
      <c r="F334"/>
      <c r="P334" s="240"/>
    </row>
    <row r="335" spans="1:17">
      <c r="A335" s="428">
        <f t="shared" si="6"/>
        <v>29</v>
      </c>
      <c r="B335" s="512">
        <f t="shared" si="6"/>
        <v>65</v>
      </c>
      <c r="C335" s="450">
        <v>33.72</v>
      </c>
      <c r="D335" s="378"/>
      <c r="F335"/>
      <c r="P335" s="240"/>
    </row>
    <row r="336" spans="1:17">
      <c r="A336" s="428">
        <f t="shared" si="6"/>
        <v>28</v>
      </c>
      <c r="B336" s="512">
        <f t="shared" si="6"/>
        <v>64</v>
      </c>
      <c r="C336" s="450">
        <v>33.67</v>
      </c>
      <c r="D336" s="378"/>
      <c r="F336"/>
      <c r="P336" s="240"/>
    </row>
    <row r="337" spans="1:16">
      <c r="A337" s="428">
        <f t="shared" si="6"/>
        <v>27</v>
      </c>
      <c r="B337" s="512">
        <f t="shared" si="6"/>
        <v>63</v>
      </c>
      <c r="C337" s="450">
        <v>33.4</v>
      </c>
      <c r="D337" s="378"/>
      <c r="F337"/>
      <c r="P337" s="240"/>
    </row>
    <row r="338" spans="1:16">
      <c r="A338" s="428">
        <f t="shared" si="6"/>
        <v>26</v>
      </c>
      <c r="B338" s="512">
        <f t="shared" si="6"/>
        <v>62</v>
      </c>
      <c r="C338" s="450">
        <v>33.590000000000003</v>
      </c>
      <c r="D338" s="378"/>
      <c r="F338"/>
      <c r="P338" s="240"/>
    </row>
    <row r="339" spans="1:16">
      <c r="A339" s="428">
        <f t="shared" si="6"/>
        <v>25</v>
      </c>
      <c r="B339" s="512">
        <f t="shared" si="6"/>
        <v>61</v>
      </c>
      <c r="C339" s="450">
        <v>33.409999999999997</v>
      </c>
      <c r="D339" s="378"/>
      <c r="F339"/>
      <c r="P339" s="240"/>
    </row>
    <row r="340" spans="1:16">
      <c r="A340" s="428">
        <f t="shared" si="6"/>
        <v>24</v>
      </c>
      <c r="B340" s="512">
        <f t="shared" si="6"/>
        <v>60</v>
      </c>
      <c r="C340" s="450">
        <v>33.6</v>
      </c>
      <c r="D340" s="378"/>
      <c r="F340"/>
      <c r="P340" s="240"/>
    </row>
    <row r="341" spans="1:16">
      <c r="A341" s="428">
        <f t="shared" si="6"/>
        <v>23</v>
      </c>
      <c r="B341" s="512">
        <f t="shared" si="6"/>
        <v>59</v>
      </c>
      <c r="C341" s="450">
        <v>33.840000000000003</v>
      </c>
      <c r="D341" s="378"/>
      <c r="F341"/>
      <c r="P341" s="240"/>
    </row>
    <row r="342" spans="1:16">
      <c r="A342" s="428">
        <f t="shared" si="6"/>
        <v>22</v>
      </c>
      <c r="B342" s="512">
        <f t="shared" si="6"/>
        <v>58</v>
      </c>
      <c r="C342" s="450">
        <v>33.409999999999997</v>
      </c>
      <c r="D342" s="378"/>
      <c r="F342"/>
      <c r="P342" s="240"/>
    </row>
    <row r="343" spans="1:16">
      <c r="A343" s="428">
        <f t="shared" si="6"/>
        <v>21</v>
      </c>
      <c r="B343" s="512">
        <f t="shared" si="6"/>
        <v>57</v>
      </c>
      <c r="C343" s="450">
        <v>33.64</v>
      </c>
      <c r="D343" s="378"/>
      <c r="F343"/>
      <c r="P343" s="240"/>
    </row>
    <row r="344" spans="1:16">
      <c r="A344" s="428">
        <f t="shared" si="6"/>
        <v>20</v>
      </c>
      <c r="B344" s="512">
        <f t="shared" si="6"/>
        <v>56</v>
      </c>
      <c r="C344" s="450">
        <v>33.520000000000003</v>
      </c>
      <c r="D344" s="378"/>
      <c r="P344" s="240"/>
    </row>
    <row r="345" spans="1:16">
      <c r="A345" s="428">
        <f t="shared" si="6"/>
        <v>19</v>
      </c>
      <c r="B345" s="512">
        <f t="shared" si="6"/>
        <v>55</v>
      </c>
      <c r="C345" s="450">
        <v>33.86</v>
      </c>
      <c r="D345" s="378"/>
      <c r="P345" s="240"/>
    </row>
    <row r="346" spans="1:16" ht="13.5" customHeight="1">
      <c r="A346" s="428">
        <f t="shared" si="6"/>
        <v>18</v>
      </c>
      <c r="B346" s="512">
        <f t="shared" si="6"/>
        <v>54</v>
      </c>
      <c r="C346" s="450">
        <v>33.74</v>
      </c>
      <c r="D346" s="378"/>
      <c r="P346" s="240"/>
    </row>
    <row r="347" spans="1:16">
      <c r="A347" s="428">
        <f t="shared" si="6"/>
        <v>17</v>
      </c>
      <c r="B347" s="512">
        <f t="shared" si="6"/>
        <v>53</v>
      </c>
      <c r="C347" s="450">
        <v>33.950000000000003</v>
      </c>
      <c r="D347" s="378"/>
      <c r="P347" s="240"/>
    </row>
    <row r="348" spans="1:16">
      <c r="A348" s="428">
        <f t="shared" si="6"/>
        <v>16</v>
      </c>
      <c r="B348" s="512">
        <f t="shared" si="6"/>
        <v>52</v>
      </c>
      <c r="C348" s="450">
        <v>33.299999999999997</v>
      </c>
      <c r="D348" s="378"/>
      <c r="P348" s="240"/>
    </row>
    <row r="349" spans="1:16">
      <c r="A349" s="428">
        <f t="shared" si="6"/>
        <v>15</v>
      </c>
      <c r="B349" s="512">
        <f t="shared" si="6"/>
        <v>51</v>
      </c>
      <c r="C349" s="450">
        <v>33.979999999999997</v>
      </c>
      <c r="D349" s="378"/>
      <c r="P349" s="240"/>
    </row>
    <row r="350" spans="1:16">
      <c r="A350" s="428">
        <f t="shared" si="6"/>
        <v>14</v>
      </c>
      <c r="B350" s="512">
        <f t="shared" si="6"/>
        <v>50</v>
      </c>
      <c r="C350" s="450">
        <v>33.97</v>
      </c>
      <c r="D350" s="378"/>
      <c r="P350" s="240"/>
    </row>
    <row r="351" spans="1:16">
      <c r="A351" s="428">
        <f t="shared" si="6"/>
        <v>13</v>
      </c>
      <c r="B351" s="512">
        <f t="shared" si="6"/>
        <v>49</v>
      </c>
      <c r="C351" s="450">
        <v>33.69</v>
      </c>
      <c r="D351" s="378"/>
      <c r="E351" s="199"/>
      <c r="P351" s="240"/>
    </row>
    <row r="352" spans="1:16">
      <c r="A352" s="428">
        <f t="shared" si="6"/>
        <v>12</v>
      </c>
      <c r="B352" s="512">
        <f t="shared" si="6"/>
        <v>48</v>
      </c>
      <c r="C352" s="450">
        <v>33.74</v>
      </c>
      <c r="D352" s="378"/>
      <c r="E352" s="199"/>
      <c r="P352" s="240"/>
    </row>
    <row r="353" spans="1:16">
      <c r="A353" s="428">
        <f t="shared" si="6"/>
        <v>11</v>
      </c>
      <c r="B353" s="512">
        <f t="shared" si="6"/>
        <v>47</v>
      </c>
      <c r="C353" s="450">
        <v>33.950000000000003</v>
      </c>
      <c r="D353" s="378"/>
      <c r="E353" s="199"/>
      <c r="P353" s="240"/>
    </row>
    <row r="354" spans="1:16">
      <c r="A354" s="428">
        <f t="shared" si="6"/>
        <v>10</v>
      </c>
      <c r="B354" s="512">
        <f t="shared" si="6"/>
        <v>46</v>
      </c>
      <c r="C354" s="450">
        <v>33.950000000000003</v>
      </c>
      <c r="D354" s="378"/>
      <c r="E354" s="199"/>
      <c r="P354" s="240"/>
    </row>
    <row r="355" spans="1:16">
      <c r="A355" s="428">
        <f t="shared" si="6"/>
        <v>9</v>
      </c>
      <c r="B355" s="512">
        <f t="shared" si="6"/>
        <v>45</v>
      </c>
      <c r="C355" s="450">
        <v>32.119999999999997</v>
      </c>
      <c r="D355" s="378"/>
      <c r="E355" s="199"/>
      <c r="P355" s="240"/>
    </row>
    <row r="356" spans="1:16">
      <c r="A356" s="428">
        <f t="shared" si="6"/>
        <v>8</v>
      </c>
      <c r="B356" s="512">
        <f t="shared" si="6"/>
        <v>44</v>
      </c>
      <c r="C356" s="450">
        <v>33.619999999999997</v>
      </c>
      <c r="D356" s="378"/>
      <c r="E356" s="199"/>
      <c r="P356" s="240"/>
    </row>
    <row r="357" spans="1:16">
      <c r="A357" s="428">
        <f t="shared" si="6"/>
        <v>7</v>
      </c>
      <c r="B357" s="512">
        <f t="shared" si="6"/>
        <v>43</v>
      </c>
      <c r="C357" s="450">
        <v>33.619999999999997</v>
      </c>
      <c r="D357" s="378"/>
      <c r="E357" s="199"/>
    </row>
    <row r="358" spans="1:16">
      <c r="A358" s="428">
        <f t="shared" si="6"/>
        <v>6</v>
      </c>
      <c r="B358" s="512">
        <f t="shared" si="6"/>
        <v>42</v>
      </c>
      <c r="C358" s="450">
        <v>31.15</v>
      </c>
      <c r="D358" s="378"/>
      <c r="E358" s="199"/>
    </row>
    <row r="359" spans="1:16">
      <c r="A359" s="428">
        <f t="shared" si="6"/>
        <v>5</v>
      </c>
      <c r="B359" s="512">
        <f t="shared" si="6"/>
        <v>41</v>
      </c>
      <c r="C359" s="450">
        <v>31.83</v>
      </c>
      <c r="D359" s="378"/>
    </row>
    <row r="360" spans="1:16">
      <c r="A360" s="428">
        <f t="shared" si="6"/>
        <v>4</v>
      </c>
      <c r="B360" s="512">
        <f t="shared" si="6"/>
        <v>40</v>
      </c>
      <c r="C360" s="450">
        <v>30.9</v>
      </c>
      <c r="D360" s="378"/>
    </row>
    <row r="361" spans="1:16">
      <c r="A361" s="428">
        <f t="shared" si="6"/>
        <v>3</v>
      </c>
      <c r="B361" s="512">
        <f t="shared" si="6"/>
        <v>39</v>
      </c>
      <c r="C361" s="450">
        <v>33.549999999999997</v>
      </c>
      <c r="D361" s="378"/>
    </row>
    <row r="362" spans="1:16">
      <c r="A362" s="428">
        <f t="shared" si="6"/>
        <v>2</v>
      </c>
      <c r="B362" s="512">
        <f t="shared" si="6"/>
        <v>38</v>
      </c>
      <c r="C362" s="450">
        <v>30.9</v>
      </c>
      <c r="D362" s="378"/>
    </row>
    <row r="363" spans="1:16">
      <c r="A363" s="509">
        <f t="shared" si="6"/>
        <v>1</v>
      </c>
      <c r="B363" s="512">
        <f t="shared" si="6"/>
        <v>37</v>
      </c>
      <c r="C363" s="520">
        <v>33.65</v>
      </c>
      <c r="D363" s="378"/>
    </row>
    <row r="364" spans="1:16">
      <c r="A364" s="478"/>
      <c r="B364" s="512">
        <f t="shared" ref="B364:B399" si="7">B363-1</f>
        <v>36</v>
      </c>
      <c r="C364" s="450">
        <v>33.96</v>
      </c>
      <c r="D364" s="378"/>
    </row>
    <row r="365" spans="1:16">
      <c r="A365" s="478"/>
      <c r="B365" s="512">
        <f t="shared" si="7"/>
        <v>35</v>
      </c>
      <c r="C365" s="450">
        <v>33.61</v>
      </c>
      <c r="D365" s="378"/>
    </row>
    <row r="366" spans="1:16">
      <c r="A366" s="478"/>
      <c r="B366" s="512">
        <f t="shared" si="7"/>
        <v>34</v>
      </c>
      <c r="C366" s="450">
        <v>33.56</v>
      </c>
      <c r="D366" s="378"/>
    </row>
    <row r="367" spans="1:16">
      <c r="A367" s="478"/>
      <c r="B367" s="512">
        <f t="shared" si="7"/>
        <v>33</v>
      </c>
      <c r="C367" s="450">
        <v>33.47</v>
      </c>
      <c r="D367" s="378"/>
    </row>
    <row r="368" spans="1:16">
      <c r="A368" s="478"/>
      <c r="B368" s="512">
        <f t="shared" si="7"/>
        <v>32</v>
      </c>
      <c r="C368" s="450">
        <v>33.75</v>
      </c>
      <c r="D368" s="378"/>
    </row>
    <row r="369" spans="1:11">
      <c r="A369" s="478"/>
      <c r="B369" s="512">
        <f t="shared" si="7"/>
        <v>31</v>
      </c>
      <c r="C369" s="450">
        <v>33.64</v>
      </c>
      <c r="D369" s="378"/>
    </row>
    <row r="370" spans="1:11">
      <c r="A370" s="478"/>
      <c r="B370" s="512">
        <f t="shared" si="7"/>
        <v>30</v>
      </c>
      <c r="C370" s="450">
        <v>33.47</v>
      </c>
      <c r="D370" s="378"/>
    </row>
    <row r="371" spans="1:11">
      <c r="A371" s="478"/>
      <c r="B371" s="512">
        <f t="shared" si="7"/>
        <v>29</v>
      </c>
      <c r="C371" s="450">
        <v>33.79</v>
      </c>
      <c r="D371" s="378"/>
    </row>
    <row r="372" spans="1:11">
      <c r="A372" s="478"/>
      <c r="B372" s="512">
        <f t="shared" si="7"/>
        <v>28</v>
      </c>
      <c r="C372" s="450">
        <v>33.81</v>
      </c>
      <c r="D372" s="378"/>
    </row>
    <row r="373" spans="1:11">
      <c r="A373" s="478"/>
      <c r="B373" s="512">
        <f t="shared" si="7"/>
        <v>27</v>
      </c>
      <c r="C373" s="450">
        <v>33.869999999999997</v>
      </c>
      <c r="D373" s="378"/>
    </row>
    <row r="374" spans="1:11">
      <c r="A374" s="478"/>
      <c r="B374" s="512">
        <f t="shared" si="7"/>
        <v>26</v>
      </c>
      <c r="C374" s="450">
        <v>33.74</v>
      </c>
      <c r="D374" s="378"/>
    </row>
    <row r="375" spans="1:11">
      <c r="A375" s="478"/>
      <c r="B375" s="512">
        <f t="shared" si="7"/>
        <v>25</v>
      </c>
      <c r="C375" s="450">
        <v>33.6</v>
      </c>
      <c r="D375" s="378"/>
    </row>
    <row r="376" spans="1:11">
      <c r="A376" s="478"/>
      <c r="B376" s="512">
        <f t="shared" si="7"/>
        <v>24</v>
      </c>
      <c r="C376" s="450">
        <v>33.94</v>
      </c>
      <c r="D376" s="378"/>
    </row>
    <row r="377" spans="1:11">
      <c r="A377" s="478"/>
      <c r="B377" s="512">
        <f t="shared" si="7"/>
        <v>23</v>
      </c>
      <c r="C377" s="450">
        <v>33.97</v>
      </c>
      <c r="D377" s="378"/>
    </row>
    <row r="378" spans="1:11">
      <c r="A378" s="478"/>
      <c r="B378" s="512">
        <f t="shared" si="7"/>
        <v>22</v>
      </c>
      <c r="C378" s="450">
        <v>33.97</v>
      </c>
      <c r="D378" s="378"/>
    </row>
    <row r="379" spans="1:11">
      <c r="A379" s="478"/>
      <c r="B379" s="512">
        <f t="shared" si="7"/>
        <v>21</v>
      </c>
      <c r="C379" s="450">
        <v>33.46</v>
      </c>
      <c r="D379" s="378"/>
    </row>
    <row r="380" spans="1:11">
      <c r="A380" s="478"/>
      <c r="B380" s="512">
        <f t="shared" si="7"/>
        <v>20</v>
      </c>
      <c r="C380" s="450">
        <v>33.5</v>
      </c>
      <c r="D380" s="378"/>
    </row>
    <row r="381" spans="1:11">
      <c r="A381" s="478"/>
      <c r="B381" s="512">
        <f t="shared" si="7"/>
        <v>19</v>
      </c>
      <c r="C381" s="450">
        <v>33.89</v>
      </c>
      <c r="D381" s="378"/>
    </row>
    <row r="382" spans="1:11">
      <c r="A382" s="478"/>
      <c r="B382" s="512">
        <f t="shared" si="7"/>
        <v>18</v>
      </c>
      <c r="C382" s="450">
        <v>33.659999999999997</v>
      </c>
      <c r="D382" s="378"/>
    </row>
    <row r="383" spans="1:11">
      <c r="A383" s="478"/>
      <c r="B383" s="512">
        <f t="shared" si="7"/>
        <v>17</v>
      </c>
      <c r="C383" s="450">
        <v>33.65</v>
      </c>
      <c r="D383" s="378"/>
    </row>
    <row r="384" spans="1:11" ht="13">
      <c r="A384" s="478"/>
      <c r="B384" s="512">
        <f t="shared" si="7"/>
        <v>16</v>
      </c>
      <c r="C384" s="520">
        <v>33.770000000000003</v>
      </c>
      <c r="D384" s="378"/>
      <c r="E384" s="243"/>
      <c r="K384" s="526"/>
    </row>
    <row r="385" spans="1:5" ht="13">
      <c r="A385" s="478"/>
      <c r="B385" s="512">
        <f t="shared" si="7"/>
        <v>15</v>
      </c>
      <c r="C385" s="560">
        <v>33.4</v>
      </c>
      <c r="D385" s="378"/>
      <c r="E385" s="243"/>
    </row>
    <row r="386" spans="1:5">
      <c r="A386" s="478"/>
      <c r="B386" s="589">
        <f t="shared" si="7"/>
        <v>14</v>
      </c>
      <c r="C386" s="566">
        <v>33.29</v>
      </c>
      <c r="D386" s="378"/>
    </row>
    <row r="387" spans="1:5">
      <c r="A387" s="478"/>
      <c r="B387" s="589">
        <f t="shared" si="7"/>
        <v>13</v>
      </c>
      <c r="C387" s="566">
        <v>33.409999999999997</v>
      </c>
      <c r="D387" s="378"/>
    </row>
    <row r="388" spans="1:5">
      <c r="A388" s="478"/>
      <c r="B388" s="589">
        <f t="shared" si="7"/>
        <v>12</v>
      </c>
      <c r="C388" s="566">
        <v>33.56</v>
      </c>
      <c r="D388" s="378"/>
    </row>
    <row r="389" spans="1:5">
      <c r="A389" s="478"/>
      <c r="B389" s="589">
        <f t="shared" si="7"/>
        <v>11</v>
      </c>
      <c r="C389" s="566">
        <v>33.28</v>
      </c>
      <c r="D389" s="378"/>
    </row>
    <row r="390" spans="1:5">
      <c r="A390" s="478"/>
      <c r="B390" s="589">
        <f t="shared" si="7"/>
        <v>10</v>
      </c>
      <c r="C390" s="566">
        <v>33.520000000000003</v>
      </c>
      <c r="D390" s="378"/>
    </row>
    <row r="391" spans="1:5">
      <c r="A391" s="478"/>
      <c r="B391" s="589">
        <f t="shared" si="7"/>
        <v>9</v>
      </c>
      <c r="C391" s="566">
        <v>33.26</v>
      </c>
      <c r="D391" s="378"/>
    </row>
    <row r="392" spans="1:5">
      <c r="A392" s="478"/>
      <c r="B392" s="589">
        <f t="shared" si="7"/>
        <v>8</v>
      </c>
      <c r="C392" s="566">
        <v>33.58</v>
      </c>
      <c r="D392" s="378"/>
    </row>
    <row r="393" spans="1:5">
      <c r="A393" s="478"/>
      <c r="B393" s="589">
        <f t="shared" si="7"/>
        <v>7</v>
      </c>
      <c r="C393" s="566">
        <v>33.159999999999997</v>
      </c>
      <c r="D393" s="378"/>
    </row>
    <row r="394" spans="1:5">
      <c r="A394" s="478"/>
      <c r="B394" s="589">
        <f t="shared" si="7"/>
        <v>6</v>
      </c>
      <c r="C394" s="566">
        <v>33.42</v>
      </c>
      <c r="D394" s="378"/>
    </row>
    <row r="395" spans="1:5">
      <c r="A395" s="478"/>
      <c r="B395" s="589">
        <f t="shared" si="7"/>
        <v>5</v>
      </c>
      <c r="C395" s="566">
        <v>33.950000000000003</v>
      </c>
      <c r="D395" s="378"/>
    </row>
    <row r="396" spans="1:5">
      <c r="A396" s="478"/>
      <c r="B396" s="589">
        <f t="shared" si="7"/>
        <v>4</v>
      </c>
      <c r="C396" s="566">
        <v>33.17</v>
      </c>
      <c r="D396" s="378"/>
    </row>
    <row r="397" spans="1:5">
      <c r="A397" s="478"/>
      <c r="B397" s="589">
        <f t="shared" si="7"/>
        <v>3</v>
      </c>
      <c r="C397" s="566">
        <v>33.94</v>
      </c>
      <c r="D397" s="378"/>
    </row>
    <row r="398" spans="1:5">
      <c r="A398" s="478"/>
      <c r="B398" s="589">
        <f t="shared" si="7"/>
        <v>2</v>
      </c>
      <c r="C398" s="566">
        <v>31.92</v>
      </c>
      <c r="D398" s="378"/>
    </row>
    <row r="399" spans="1:5" ht="13" thickBot="1">
      <c r="A399" s="478"/>
      <c r="B399" s="590">
        <f t="shared" si="7"/>
        <v>1</v>
      </c>
      <c r="C399" s="510">
        <v>33.76</v>
      </c>
      <c r="D399" s="511"/>
    </row>
    <row r="400" spans="1:5" ht="13" thickTop="1">
      <c r="A400" s="478"/>
      <c r="B400" s="505"/>
      <c r="C400" s="380"/>
      <c r="D400" s="28"/>
    </row>
    <row r="401" spans="1:11">
      <c r="A401" s="478"/>
      <c r="B401" s="505"/>
      <c r="C401" s="380"/>
      <c r="D401" s="28"/>
    </row>
    <row r="402" spans="1:11">
      <c r="A402" s="478"/>
      <c r="B402" s="505"/>
      <c r="C402" s="380"/>
      <c r="D402" s="28"/>
    </row>
    <row r="403" spans="1:11">
      <c r="A403" s="478"/>
      <c r="B403" s="505"/>
      <c r="C403" s="380"/>
      <c r="D403" s="28"/>
    </row>
    <row r="404" spans="1:11">
      <c r="A404" s="478"/>
      <c r="B404" s="505"/>
      <c r="C404" s="380"/>
      <c r="D404" s="28"/>
      <c r="K404" s="238"/>
    </row>
    <row r="405" spans="1:11">
      <c r="A405" s="478"/>
      <c r="B405" s="505"/>
      <c r="C405" s="380"/>
      <c r="D405" s="28"/>
    </row>
    <row r="406" spans="1:11">
      <c r="A406" s="478"/>
      <c r="B406" s="505"/>
      <c r="C406" s="380"/>
      <c r="D406" s="28"/>
    </row>
    <row r="407" spans="1:11">
      <c r="A407" s="478"/>
      <c r="B407" s="505"/>
      <c r="C407" s="380"/>
      <c r="D407" s="28"/>
    </row>
    <row r="408" spans="1:11">
      <c r="A408" s="478"/>
      <c r="B408" s="505"/>
      <c r="C408" s="380"/>
      <c r="D408" s="28"/>
    </row>
    <row r="409" spans="1:11">
      <c r="A409" s="478"/>
      <c r="B409" s="505"/>
      <c r="C409" s="380"/>
      <c r="D409" s="28"/>
    </row>
    <row r="410" spans="1:11">
      <c r="A410" s="478"/>
      <c r="B410" s="505"/>
      <c r="C410" s="380"/>
      <c r="D410" s="28"/>
    </row>
    <row r="411" spans="1:11">
      <c r="A411" s="478"/>
      <c r="B411" s="505"/>
      <c r="C411" s="380"/>
      <c r="D411" s="28"/>
    </row>
    <row r="412" spans="1:11">
      <c r="A412" s="478"/>
      <c r="B412" s="505"/>
      <c r="C412" s="380"/>
      <c r="D412" s="28"/>
    </row>
    <row r="413" spans="1:11">
      <c r="A413" s="478"/>
      <c r="B413" s="505"/>
      <c r="C413" s="380"/>
      <c r="D413" s="28"/>
    </row>
    <row r="414" spans="1:11">
      <c r="A414" s="478"/>
      <c r="B414" s="505"/>
      <c r="C414" s="380"/>
      <c r="D414" s="28"/>
    </row>
    <row r="415" spans="1:11">
      <c r="A415" s="478"/>
      <c r="B415" s="505"/>
      <c r="C415" s="380"/>
      <c r="D415" s="28"/>
    </row>
    <row r="416" spans="1:11">
      <c r="A416" s="478"/>
      <c r="B416" s="505"/>
      <c r="C416" s="380"/>
      <c r="D416" s="28"/>
    </row>
    <row r="417" spans="1:4">
      <c r="A417" s="478"/>
      <c r="B417" s="505"/>
      <c r="C417" s="380"/>
      <c r="D417" s="28"/>
    </row>
    <row r="418" spans="1:4">
      <c r="A418" s="478"/>
      <c r="B418" s="505"/>
      <c r="C418" s="380"/>
      <c r="D418" s="28"/>
    </row>
    <row r="419" spans="1:4">
      <c r="A419" s="478"/>
      <c r="B419" s="505"/>
      <c r="C419" s="380"/>
      <c r="D419" s="28"/>
    </row>
    <row r="420" spans="1:4">
      <c r="A420" s="478"/>
      <c r="B420" s="505"/>
      <c r="C420" s="380"/>
      <c r="D420" s="28"/>
    </row>
    <row r="421" spans="1:4">
      <c r="A421" s="478"/>
      <c r="B421" s="505"/>
      <c r="C421" s="380"/>
      <c r="D421" s="28"/>
    </row>
    <row r="422" spans="1:4">
      <c r="A422" s="478"/>
      <c r="B422" s="505"/>
      <c r="C422" s="380"/>
      <c r="D422" s="28"/>
    </row>
    <row r="423" spans="1:4">
      <c r="A423" s="478"/>
      <c r="B423" s="505"/>
      <c r="C423" s="380"/>
      <c r="D423" s="28"/>
    </row>
    <row r="424" spans="1:4">
      <c r="A424" s="478"/>
      <c r="B424" s="505"/>
      <c r="C424" s="380"/>
      <c r="D424" s="28"/>
    </row>
    <row r="425" spans="1:4">
      <c r="A425" s="478"/>
      <c r="B425" s="505"/>
      <c r="C425" s="380"/>
      <c r="D425" s="28"/>
    </row>
    <row r="426" spans="1:4">
      <c r="A426" s="478"/>
      <c r="B426" s="505"/>
      <c r="C426" s="380"/>
      <c r="D426" s="28"/>
    </row>
    <row r="427" spans="1:4">
      <c r="A427" s="478"/>
      <c r="B427" s="505"/>
      <c r="C427" s="380"/>
      <c r="D427" s="28"/>
    </row>
    <row r="428" spans="1:4">
      <c r="A428" s="478"/>
      <c r="B428" s="505"/>
      <c r="C428" s="380"/>
      <c r="D428" s="28"/>
    </row>
    <row r="429" spans="1:4">
      <c r="A429" s="478"/>
      <c r="B429" s="505"/>
      <c r="C429" s="380"/>
      <c r="D429" s="28"/>
    </row>
    <row r="430" spans="1:4">
      <c r="A430" s="478"/>
      <c r="B430" s="505"/>
      <c r="C430" s="380"/>
      <c r="D430" s="28"/>
    </row>
    <row r="431" spans="1:4">
      <c r="A431" s="478"/>
      <c r="B431" s="505"/>
      <c r="C431" s="380"/>
      <c r="D431" s="28"/>
    </row>
    <row r="432" spans="1:4">
      <c r="A432" s="478"/>
      <c r="B432" s="505"/>
      <c r="C432" s="380"/>
      <c r="D432" s="28"/>
    </row>
    <row r="433" spans="1:4">
      <c r="A433" s="478"/>
      <c r="B433" s="505"/>
      <c r="C433" s="380"/>
      <c r="D433" s="28"/>
    </row>
    <row r="434" spans="1:4">
      <c r="A434" s="478"/>
      <c r="B434" s="505"/>
      <c r="C434" s="380"/>
      <c r="D434" s="28"/>
    </row>
    <row r="435" spans="1:4">
      <c r="A435" s="478"/>
      <c r="B435" s="505"/>
      <c r="C435" s="380"/>
      <c r="D435" s="28"/>
    </row>
    <row r="436" spans="1:4">
      <c r="A436" s="478"/>
      <c r="B436" s="505"/>
      <c r="C436" s="380"/>
      <c r="D436" s="28"/>
    </row>
    <row r="437" spans="1:4">
      <c r="A437" s="478"/>
      <c r="B437" s="505"/>
      <c r="C437" s="380"/>
      <c r="D437" s="28"/>
    </row>
    <row r="438" spans="1:4">
      <c r="A438" s="478"/>
      <c r="B438" s="505"/>
      <c r="C438" s="380"/>
      <c r="D438" s="28"/>
    </row>
    <row r="439" spans="1:4">
      <c r="A439" s="478"/>
      <c r="B439" s="505"/>
      <c r="C439" s="380"/>
      <c r="D439" s="28"/>
    </row>
    <row r="440" spans="1:4">
      <c r="B440" s="505"/>
      <c r="C440" s="379"/>
      <c r="D440" s="28"/>
    </row>
    <row r="441" spans="1:4">
      <c r="B441" s="505"/>
      <c r="C441" s="379"/>
      <c r="D441" s="28"/>
    </row>
    <row r="442" spans="1:4">
      <c r="B442" s="505"/>
      <c r="C442" s="379"/>
      <c r="D442" s="28"/>
    </row>
    <row r="443" spans="1:4">
      <c r="B443" s="505"/>
      <c r="C443" s="379"/>
      <c r="D443" s="28"/>
    </row>
    <row r="444" spans="1:4">
      <c r="B444" s="505"/>
      <c r="C444" s="379"/>
      <c r="D444" s="28"/>
    </row>
    <row r="445" spans="1:4">
      <c r="B445" s="505"/>
      <c r="C445" s="379"/>
      <c r="D445" s="28"/>
    </row>
    <row r="446" spans="1:4">
      <c r="B446" s="505"/>
      <c r="C446" s="379"/>
      <c r="D446" s="28"/>
    </row>
    <row r="447" spans="1:4">
      <c r="B447" s="505"/>
      <c r="C447" s="379"/>
      <c r="D447" s="28"/>
    </row>
    <row r="448" spans="1:4">
      <c r="B448" s="505"/>
      <c r="C448" s="379"/>
      <c r="D448" s="28"/>
    </row>
    <row r="449" spans="2:4">
      <c r="B449" s="505"/>
      <c r="C449" s="379"/>
      <c r="D449" s="28"/>
    </row>
    <row r="450" spans="2:4">
      <c r="B450" s="505"/>
      <c r="C450" s="379"/>
      <c r="D450" s="28"/>
    </row>
    <row r="451" spans="2:4">
      <c r="B451" s="505"/>
      <c r="C451" s="379"/>
      <c r="D451" s="28"/>
    </row>
    <row r="452" spans="2:4">
      <c r="B452" s="505"/>
      <c r="C452" s="379"/>
      <c r="D452" s="28"/>
    </row>
    <row r="453" spans="2:4">
      <c r="B453" s="505"/>
      <c r="C453" s="379"/>
      <c r="D453" s="28"/>
    </row>
    <row r="454" spans="2:4">
      <c r="B454" s="505"/>
      <c r="C454" s="379"/>
      <c r="D454" s="28"/>
    </row>
    <row r="455" spans="2:4">
      <c r="B455" s="505"/>
      <c r="C455" s="379"/>
      <c r="D455" s="28"/>
    </row>
    <row r="456" spans="2:4">
      <c r="B456" s="505"/>
      <c r="C456" s="379"/>
      <c r="D456" s="28"/>
    </row>
    <row r="457" spans="2:4">
      <c r="B457" s="505"/>
      <c r="C457" s="379"/>
      <c r="D457" s="28"/>
    </row>
    <row r="458" spans="2:4">
      <c r="B458" s="505"/>
      <c r="C458" s="379"/>
      <c r="D458" s="28"/>
    </row>
    <row r="459" spans="2:4">
      <c r="B459" s="505"/>
      <c r="C459" s="379"/>
      <c r="D459" s="28"/>
    </row>
    <row r="460" spans="2:4">
      <c r="B460" s="505"/>
      <c r="C460" s="379"/>
      <c r="D460" s="28"/>
    </row>
    <row r="461" spans="2:4">
      <c r="B461" s="505"/>
      <c r="C461" s="379"/>
      <c r="D461" s="28"/>
    </row>
    <row r="462" spans="2:4">
      <c r="B462" s="505"/>
      <c r="C462" s="379"/>
      <c r="D462" s="28"/>
    </row>
    <row r="463" spans="2:4">
      <c r="B463" s="505"/>
      <c r="C463" s="379"/>
      <c r="D463" s="28"/>
    </row>
    <row r="464" spans="2:4">
      <c r="B464" s="505"/>
      <c r="C464" s="379"/>
      <c r="D464" s="28"/>
    </row>
    <row r="465" spans="2:4">
      <c r="B465" s="505"/>
      <c r="D465" s="28"/>
    </row>
    <row r="466" spans="2:4">
      <c r="B466" s="464"/>
      <c r="D466" s="28"/>
    </row>
    <row r="467" spans="2:4">
      <c r="B467" s="464"/>
      <c r="D467" s="28"/>
    </row>
    <row r="468" spans="2:4">
      <c r="B468" s="464"/>
      <c r="D468" s="28"/>
    </row>
    <row r="469" spans="2:4">
      <c r="B469" s="464"/>
      <c r="D469" s="28"/>
    </row>
    <row r="470" spans="2:4">
      <c r="B470" s="35"/>
      <c r="D470" s="28"/>
    </row>
    <row r="471" spans="2:4">
      <c r="B471" s="35"/>
      <c r="D471" s="28"/>
    </row>
    <row r="472" spans="2:4">
      <c r="B472" s="35"/>
      <c r="D472" s="28"/>
    </row>
    <row r="473" spans="2:4">
      <c r="B473" s="35"/>
      <c r="D473" s="28"/>
    </row>
    <row r="474" spans="2:4">
      <c r="B474" s="35"/>
      <c r="D474" s="28"/>
    </row>
    <row r="475" spans="2:4">
      <c r="B475" s="35"/>
      <c r="D475" s="28"/>
    </row>
    <row r="476" spans="2:4">
      <c r="B476" s="35"/>
      <c r="D476" s="28"/>
    </row>
    <row r="477" spans="2:4">
      <c r="B477" s="35"/>
      <c r="D477" s="28"/>
    </row>
    <row r="478" spans="2:4">
      <c r="B478" s="35"/>
      <c r="D478" s="28"/>
    </row>
    <row r="479" spans="2:4">
      <c r="B479" s="35"/>
      <c r="D479" s="28"/>
    </row>
    <row r="480" spans="2:4">
      <c r="B480" s="35"/>
      <c r="D480" s="28"/>
    </row>
    <row r="481" spans="2:4">
      <c r="B481" s="35"/>
      <c r="D481" s="28"/>
    </row>
    <row r="482" spans="2:4">
      <c r="B482" s="242"/>
      <c r="D482" s="28"/>
    </row>
    <row r="483" spans="2:4">
      <c r="B483" s="242"/>
      <c r="D483" s="28"/>
    </row>
    <row r="484" spans="2:4">
      <c r="B484" s="242"/>
      <c r="D484" s="28"/>
    </row>
    <row r="485" spans="2:4">
      <c r="B485" s="242"/>
      <c r="D485" s="28"/>
    </row>
    <row r="486" spans="2:4">
      <c r="D486" s="28"/>
    </row>
    <row r="487" spans="2:4">
      <c r="D487" s="28"/>
    </row>
    <row r="488" spans="2:4">
      <c r="D488" s="28"/>
    </row>
    <row r="489" spans="2:4">
      <c r="D489" s="28"/>
    </row>
    <row r="490" spans="2:4">
      <c r="D490" s="28"/>
    </row>
    <row r="491" spans="2:4">
      <c r="D491" s="28"/>
    </row>
    <row r="492" spans="2:4">
      <c r="D492" s="28"/>
    </row>
    <row r="493" spans="2:4">
      <c r="D493" s="28"/>
    </row>
  </sheetData>
  <mergeCells count="7">
    <mergeCell ref="B2:D3"/>
    <mergeCell ref="F2:H3"/>
    <mergeCell ref="K2:M3"/>
    <mergeCell ref="M12:M19"/>
    <mergeCell ref="K9:M10"/>
    <mergeCell ref="M5:M8"/>
    <mergeCell ref="H5:H14"/>
  </mergeCells>
  <pageMargins left="0.7" right="0.7" top="0.75" bottom="0.75" header="0.3" footer="0.3"/>
  <pageSetup orientation="portrait" r:id="rId1"/>
  <headerFooter>
    <oddHeader>&amp;L&amp;"Calibri"&amp;9&amp;K000000Classification: Internal&amp;1#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405"/>
  <sheetViews>
    <sheetView showGridLines="0" defaultGridColor="0" view="pageBreakPreview" topLeftCell="A318" colorId="10" zoomScaleNormal="100" zoomScaleSheetLayoutView="100" workbookViewId="0">
      <selection activeCell="N358" sqref="N358"/>
    </sheetView>
  </sheetViews>
  <sheetFormatPr defaultColWidth="11.453125" defaultRowHeight="12.5"/>
  <cols>
    <col min="1" max="1" width="9.26953125" style="1" customWidth="1"/>
    <col min="2" max="2" width="5.7265625" style="30" customWidth="1"/>
    <col min="3" max="4" width="9.453125" style="7" customWidth="1"/>
    <col min="5" max="5" width="8.1796875" style="2" customWidth="1"/>
    <col min="6" max="6" width="10.81640625" style="2" customWidth="1"/>
    <col min="7" max="7" width="7.81640625" style="2" customWidth="1"/>
    <col min="8" max="8" width="9.7265625" style="2" customWidth="1"/>
    <col min="9" max="9" width="10" style="2" customWidth="1"/>
    <col min="10" max="10" width="13.54296875" style="5" customWidth="1"/>
    <col min="11" max="11" width="13.1796875" style="16" customWidth="1"/>
    <col min="12" max="12" width="15.81640625" customWidth="1"/>
  </cols>
  <sheetData>
    <row r="1" spans="1:15" s="28" customFormat="1" ht="18">
      <c r="A1" s="40"/>
      <c r="B1" s="205"/>
      <c r="C1" s="206"/>
      <c r="D1" s="207"/>
      <c r="E1" s="208"/>
      <c r="F1" s="209"/>
      <c r="G1" s="208"/>
      <c r="H1" s="210" t="s">
        <v>14</v>
      </c>
      <c r="I1" s="211"/>
      <c r="J1" s="212"/>
      <c r="K1" s="213" t="s">
        <v>183</v>
      </c>
      <c r="L1" s="214"/>
    </row>
    <row r="2" spans="1:15" ht="15.5">
      <c r="A2" s="332"/>
      <c r="B2" s="11"/>
      <c r="C2" s="21"/>
      <c r="D2" s="21"/>
      <c r="E2" s="3"/>
      <c r="F2" s="34"/>
      <c r="G2" s="3"/>
      <c r="H2" s="22" t="s">
        <v>15</v>
      </c>
      <c r="I2" s="8"/>
      <c r="J2" s="15" t="s">
        <v>13</v>
      </c>
      <c r="K2" s="369">
        <v>43096</v>
      </c>
      <c r="L2" s="215"/>
    </row>
    <row r="3" spans="1:15" ht="18">
      <c r="A3" s="216"/>
      <c r="B3" s="29"/>
      <c r="C3" s="6"/>
      <c r="D3" s="14"/>
      <c r="E3" s="3"/>
      <c r="F3" s="34" t="s">
        <v>0</v>
      </c>
      <c r="G3" s="23" t="s">
        <v>182</v>
      </c>
      <c r="H3" s="8"/>
      <c r="I3" s="8"/>
      <c r="J3" s="4" t="s">
        <v>80</v>
      </c>
      <c r="K3" s="9" t="s">
        <v>180</v>
      </c>
      <c r="L3" s="191"/>
    </row>
    <row r="4" spans="1:15" ht="13" thickBot="1">
      <c r="A4" s="217"/>
      <c r="B4" s="11"/>
      <c r="C4" s="6"/>
      <c r="D4" s="14"/>
      <c r="E4" s="3"/>
      <c r="F4" s="34" t="s">
        <v>1</v>
      </c>
      <c r="G4" s="349" t="s">
        <v>79</v>
      </c>
      <c r="H4" s="13"/>
      <c r="I4" s="11"/>
      <c r="J4" s="4" t="s">
        <v>17</v>
      </c>
      <c r="K4" s="9" t="s">
        <v>170</v>
      </c>
      <c r="L4" s="191"/>
    </row>
    <row r="5" spans="1:15" ht="13" thickBot="1">
      <c r="A5" s="332"/>
      <c r="B5" s="11"/>
      <c r="C5" s="26"/>
      <c r="D5" s="6"/>
      <c r="E5" s="3"/>
      <c r="F5" s="34" t="s">
        <v>6</v>
      </c>
      <c r="G5" s="350" t="s">
        <v>162</v>
      </c>
      <c r="H5" s="13"/>
      <c r="I5" s="8"/>
      <c r="J5" s="15" t="s">
        <v>81</v>
      </c>
      <c r="K5" s="285">
        <v>1321.74</v>
      </c>
      <c r="L5" s="191" t="s">
        <v>31</v>
      </c>
    </row>
    <row r="6" spans="1:15" ht="13" thickBot="1">
      <c r="A6" s="332"/>
      <c r="B6" s="11"/>
      <c r="C6" s="289" t="s">
        <v>77</v>
      </c>
      <c r="D6" s="290" t="s">
        <v>26</v>
      </c>
      <c r="E6" s="291" t="s">
        <v>111</v>
      </c>
      <c r="F6" s="34" t="s">
        <v>2</v>
      </c>
      <c r="G6" s="350">
        <v>85</v>
      </c>
      <c r="H6" s="23" t="s">
        <v>78</v>
      </c>
      <c r="I6" s="14"/>
      <c r="J6" s="15" t="s">
        <v>18</v>
      </c>
      <c r="K6" s="286">
        <v>10152.86</v>
      </c>
      <c r="L6" s="191" t="s">
        <v>31</v>
      </c>
      <c r="M6" s="238"/>
    </row>
    <row r="7" spans="1:15" ht="13" thickBot="1">
      <c r="A7" s="332"/>
      <c r="B7" s="11"/>
      <c r="C7" s="226" t="s">
        <v>3</v>
      </c>
      <c r="D7" s="232">
        <v>33.700000000000003</v>
      </c>
      <c r="E7" s="233">
        <v>26</v>
      </c>
      <c r="F7" s="34" t="s">
        <v>4</v>
      </c>
      <c r="G7" s="239">
        <v>8.34</v>
      </c>
      <c r="H7" s="12"/>
      <c r="I7" s="8"/>
      <c r="J7" s="15" t="s">
        <v>5</v>
      </c>
      <c r="K7" s="287">
        <v>15452</v>
      </c>
      <c r="L7" s="191" t="s">
        <v>31</v>
      </c>
      <c r="M7" s="238"/>
    </row>
    <row r="8" spans="1:15" ht="13" thickBot="1">
      <c r="A8" s="332"/>
      <c r="B8" s="11"/>
      <c r="C8" s="313" t="s">
        <v>6</v>
      </c>
      <c r="D8" s="234" t="s">
        <v>16</v>
      </c>
      <c r="E8" s="234" t="s">
        <v>82</v>
      </c>
      <c r="F8" s="34" t="s">
        <v>7</v>
      </c>
      <c r="G8" s="235">
        <f>(65.45-G7)/65.45</f>
        <v>0.87257448433919016</v>
      </c>
      <c r="H8" s="12"/>
      <c r="I8" s="8"/>
      <c r="J8" s="15" t="s">
        <v>19</v>
      </c>
      <c r="K8" s="288">
        <v>15447</v>
      </c>
      <c r="L8" s="191" t="s">
        <v>31</v>
      </c>
    </row>
    <row r="9" spans="1:15" ht="13" thickBot="1">
      <c r="A9" s="223"/>
      <c r="B9" s="790" t="s">
        <v>10</v>
      </c>
      <c r="C9" s="791"/>
      <c r="D9" s="311">
        <f>3.783/12</f>
        <v>0.31524999999999997</v>
      </c>
      <c r="E9" s="312">
        <f>4.776/12</f>
        <v>0.39799999999999996</v>
      </c>
      <c r="F9" s="225"/>
      <c r="G9" s="227"/>
      <c r="H9" s="227"/>
      <c r="I9" s="228"/>
      <c r="J9" s="229" t="s">
        <v>30</v>
      </c>
      <c r="K9" s="367">
        <f>K6+E13-F12</f>
        <v>10172.400000000001</v>
      </c>
      <c r="L9" s="365" t="s">
        <v>31</v>
      </c>
    </row>
    <row r="10" spans="1:15" ht="12.65" customHeight="1">
      <c r="A10" s="760" t="s">
        <v>97</v>
      </c>
      <c r="B10" s="792"/>
      <c r="C10" s="762"/>
      <c r="D10" s="796" t="s">
        <v>96</v>
      </c>
      <c r="E10" s="798" t="s">
        <v>71</v>
      </c>
      <c r="F10" s="798" t="s">
        <v>72</v>
      </c>
      <c r="G10" s="798" t="s">
        <v>73</v>
      </c>
      <c r="H10" s="798" t="s">
        <v>74</v>
      </c>
      <c r="I10" s="798" t="s">
        <v>75</v>
      </c>
      <c r="J10" s="760" t="s">
        <v>76</v>
      </c>
      <c r="K10" s="760" t="s">
        <v>70</v>
      </c>
      <c r="L10" s="762"/>
    </row>
    <row r="11" spans="1:15" ht="14.15" customHeight="1" thickBot="1">
      <c r="A11" s="793"/>
      <c r="B11" s="794"/>
      <c r="C11" s="795"/>
      <c r="D11" s="797"/>
      <c r="E11" s="799"/>
      <c r="F11" s="799"/>
      <c r="G11" s="799"/>
      <c r="H11" s="799"/>
      <c r="I11" s="799"/>
      <c r="J11" s="761"/>
      <c r="K11" s="761"/>
      <c r="L11" s="763"/>
      <c r="O11" s="20"/>
    </row>
    <row r="12" spans="1:15" ht="13" thickBot="1">
      <c r="A12" s="764" t="s">
        <v>67</v>
      </c>
      <c r="B12" s="765"/>
      <c r="C12" s="765"/>
      <c r="D12" s="766"/>
      <c r="E12" s="252">
        <v>0</v>
      </c>
      <c r="F12" s="253">
        <f>E12</f>
        <v>0</v>
      </c>
      <c r="G12" s="253" t="s">
        <v>9</v>
      </c>
      <c r="H12" s="302">
        <f>IF(G12="IN",H11+F12,H11)</f>
        <v>0</v>
      </c>
      <c r="I12" s="304">
        <f>IF(H12="","",$K$6-H12)</f>
        <v>10152.86</v>
      </c>
      <c r="J12" s="303">
        <f>$G$6+(H12*$E$7*$G$8/1000)</f>
        <v>85</v>
      </c>
      <c r="K12" s="767"/>
      <c r="L12" s="768"/>
      <c r="M12" s="238"/>
    </row>
    <row r="13" spans="1:15" ht="13" customHeight="1" thickBot="1">
      <c r="A13" s="965" t="s">
        <v>23</v>
      </c>
      <c r="B13" s="772" t="s">
        <v>165</v>
      </c>
      <c r="C13" s="775" t="s">
        <v>21</v>
      </c>
      <c r="D13" s="776"/>
      <c r="E13" s="264">
        <v>19.54</v>
      </c>
      <c r="F13" s="264">
        <f t="shared" ref="F13:F20" si="0">E13</f>
        <v>19.54</v>
      </c>
      <c r="G13" s="292" t="s">
        <v>11</v>
      </c>
      <c r="H13" s="264">
        <f t="shared" ref="H13:H76" si="1">IF(G13="IN",H12+F13,H12)</f>
        <v>0</v>
      </c>
      <c r="I13" s="264">
        <f t="shared" ref="I13:I20" si="2">IF(H13="","",$K$6-H13)</f>
        <v>10152.86</v>
      </c>
      <c r="J13" s="265">
        <f>$G$6+(H13*$E$7*$G$8/1000)</f>
        <v>85</v>
      </c>
      <c r="K13" s="777" t="s">
        <v>167</v>
      </c>
      <c r="L13" s="778"/>
      <c r="M13" s="238"/>
    </row>
    <row r="14" spans="1:15" ht="13" customHeight="1">
      <c r="A14" s="966"/>
      <c r="B14" s="773"/>
      <c r="C14" s="752" t="s">
        <v>20</v>
      </c>
      <c r="D14" s="753"/>
      <c r="E14" s="263">
        <v>2.69</v>
      </c>
      <c r="F14" s="263">
        <f t="shared" si="0"/>
        <v>2.69</v>
      </c>
      <c r="G14" s="263" t="s">
        <v>9</v>
      </c>
      <c r="H14" s="263">
        <f t="shared" si="1"/>
        <v>2.69</v>
      </c>
      <c r="I14" s="263">
        <f t="shared" si="2"/>
        <v>10150.17</v>
      </c>
      <c r="J14" s="266">
        <f>$G$6+(H14*$E$7*$G$8/1000)</f>
        <v>85.061027859434688</v>
      </c>
      <c r="K14" s="779"/>
      <c r="L14" s="780"/>
    </row>
    <row r="15" spans="1:15" ht="13" customHeight="1" thickBot="1">
      <c r="A15" s="967"/>
      <c r="B15" s="774"/>
      <c r="C15" s="754" t="s">
        <v>22</v>
      </c>
      <c r="D15" s="755"/>
      <c r="E15" s="267">
        <v>14.81</v>
      </c>
      <c r="F15" s="267">
        <f t="shared" si="0"/>
        <v>14.81</v>
      </c>
      <c r="G15" s="267" t="s">
        <v>9</v>
      </c>
      <c r="H15" s="267">
        <f t="shared" si="1"/>
        <v>17.5</v>
      </c>
      <c r="I15" s="267">
        <f t="shared" si="2"/>
        <v>10135.36</v>
      </c>
      <c r="J15" s="268">
        <f>$G$6+(H15*$E$7*$G$8/1000)</f>
        <v>85.397021390374334</v>
      </c>
      <c r="K15" s="781"/>
      <c r="L15" s="782"/>
    </row>
    <row r="16" spans="1:15" s="17" customFormat="1" ht="13" hidden="1" customHeight="1" thickBot="1">
      <c r="A16" s="944" t="s">
        <v>99</v>
      </c>
      <c r="B16" s="945"/>
      <c r="C16" s="946"/>
      <c r="D16" s="278" t="s">
        <v>87</v>
      </c>
      <c r="E16" s="279">
        <v>20.2</v>
      </c>
      <c r="F16" s="279">
        <f>E16-($E$9)</f>
        <v>19.802</v>
      </c>
      <c r="G16" s="279" t="s">
        <v>11</v>
      </c>
      <c r="H16" s="279">
        <f>IF(G16="IN",H15+F16,H15)</f>
        <v>17.5</v>
      </c>
      <c r="I16" s="301">
        <f t="shared" si="2"/>
        <v>10135.36</v>
      </c>
      <c r="J16" s="280">
        <f t="shared" ref="J16:J79" si="3">$G$6+(H16*$E$7*$G$8/1000)</f>
        <v>85.397021390374334</v>
      </c>
      <c r="K16" s="944" t="s">
        <v>119</v>
      </c>
      <c r="L16" s="947"/>
      <c r="M16" s="24"/>
      <c r="N16" s="24"/>
    </row>
    <row r="17" spans="1:15" s="17" customFormat="1" ht="13.5" thickBot="1">
      <c r="A17" s="687" t="s">
        <v>98</v>
      </c>
      <c r="B17" s="688"/>
      <c r="C17" s="689"/>
      <c r="D17" s="230">
        <v>376</v>
      </c>
      <c r="E17" s="363">
        <v>32.4</v>
      </c>
      <c r="F17" s="269">
        <f>E17-($E$9)</f>
        <v>32.001999999999995</v>
      </c>
      <c r="G17" s="269" t="s">
        <v>9</v>
      </c>
      <c r="H17" s="269">
        <f>IF(G17="IN",H16+F17,H16)</f>
        <v>49.501999999999995</v>
      </c>
      <c r="I17" s="33">
        <f t="shared" si="2"/>
        <v>10103.358</v>
      </c>
      <c r="J17" s="270">
        <f t="shared" si="3"/>
        <v>86.123048735217722</v>
      </c>
      <c r="K17" s="948"/>
      <c r="L17" s="949"/>
      <c r="M17" s="24"/>
      <c r="N17" s="283"/>
    </row>
    <row r="18" spans="1:15" ht="13" customHeight="1">
      <c r="A18" s="950" t="s">
        <v>25</v>
      </c>
      <c r="B18" s="953" t="s">
        <v>166</v>
      </c>
      <c r="C18" s="956" t="s">
        <v>24</v>
      </c>
      <c r="D18" s="957"/>
      <c r="E18" s="252">
        <v>10.199999999999999</v>
      </c>
      <c r="F18" s="252">
        <f>E18-($E$9)</f>
        <v>9.8019999999999996</v>
      </c>
      <c r="G18" s="252" t="s">
        <v>9</v>
      </c>
      <c r="H18" s="257">
        <f t="shared" si="1"/>
        <v>59.303999999999995</v>
      </c>
      <c r="I18" s="252">
        <f t="shared" si="2"/>
        <v>10093.556</v>
      </c>
      <c r="J18" s="258">
        <f t="shared" si="3"/>
        <v>86.345426087700531</v>
      </c>
      <c r="K18" s="765" t="s">
        <v>88</v>
      </c>
      <c r="L18" s="958"/>
      <c r="M18" s="20"/>
      <c r="N18" s="283"/>
    </row>
    <row r="19" spans="1:15" ht="13" customHeight="1">
      <c r="A19" s="951"/>
      <c r="B19" s="954"/>
      <c r="C19" s="743" t="s">
        <v>83</v>
      </c>
      <c r="D19" s="744"/>
      <c r="E19" s="256">
        <v>9.94</v>
      </c>
      <c r="F19" s="256">
        <f t="shared" si="0"/>
        <v>9.94</v>
      </c>
      <c r="G19" s="256" t="s">
        <v>9</v>
      </c>
      <c r="H19" s="256">
        <f t="shared" si="1"/>
        <v>69.244</v>
      </c>
      <c r="I19" s="256">
        <f t="shared" si="2"/>
        <v>10083.616</v>
      </c>
      <c r="J19" s="271">
        <f t="shared" si="3"/>
        <v>86.57093423743315</v>
      </c>
      <c r="K19" s="959" t="s">
        <v>168</v>
      </c>
      <c r="L19" s="960"/>
      <c r="M19" s="20"/>
    </row>
    <row r="20" spans="1:15" ht="13" customHeight="1">
      <c r="A20" s="951"/>
      <c r="B20" s="954"/>
      <c r="C20" s="968" t="s">
        <v>28</v>
      </c>
      <c r="D20" s="969"/>
      <c r="E20" s="254">
        <f>3.25+2.46</f>
        <v>5.71</v>
      </c>
      <c r="F20" s="254">
        <f t="shared" si="0"/>
        <v>5.71</v>
      </c>
      <c r="G20" s="254" t="s">
        <v>9</v>
      </c>
      <c r="H20" s="255">
        <f t="shared" si="1"/>
        <v>74.953999999999994</v>
      </c>
      <c r="I20" s="254">
        <f t="shared" si="2"/>
        <v>10077.906000000001</v>
      </c>
      <c r="J20" s="259">
        <f t="shared" si="3"/>
        <v>86.700476645378146</v>
      </c>
      <c r="K20" s="970" t="s">
        <v>135</v>
      </c>
      <c r="L20" s="960"/>
      <c r="M20" s="20"/>
    </row>
    <row r="21" spans="1:15" ht="13" customHeight="1" thickBot="1">
      <c r="A21" s="952"/>
      <c r="B21" s="955"/>
      <c r="C21" s="940" t="s">
        <v>24</v>
      </c>
      <c r="D21" s="941"/>
      <c r="E21" s="260">
        <v>9.83</v>
      </c>
      <c r="F21" s="260">
        <f>E21</f>
        <v>9.83</v>
      </c>
      <c r="G21" s="260" t="s">
        <v>9</v>
      </c>
      <c r="H21" s="261">
        <f t="shared" si="1"/>
        <v>84.783999999999992</v>
      </c>
      <c r="I21" s="260">
        <f>IF(H21="","",$K$6-H21)</f>
        <v>10068.076000000001</v>
      </c>
      <c r="J21" s="262">
        <f t="shared" si="3"/>
        <v>86.923489232085558</v>
      </c>
      <c r="K21" s="942" t="s">
        <v>169</v>
      </c>
      <c r="L21" s="943"/>
      <c r="M21" s="20"/>
    </row>
    <row r="22" spans="1:15" s="17" customFormat="1" ht="14.15" customHeight="1" thickBot="1">
      <c r="A22" s="687" t="s">
        <v>98</v>
      </c>
      <c r="B22" s="688"/>
      <c r="C22" s="689"/>
      <c r="D22" s="230">
        <f>D17-1</f>
        <v>375</v>
      </c>
      <c r="E22" s="363">
        <v>32.78</v>
      </c>
      <c r="F22" s="33">
        <f>E22-($E$9)</f>
        <v>32.381999999999998</v>
      </c>
      <c r="G22" s="33" t="s">
        <v>9</v>
      </c>
      <c r="H22" s="33">
        <f t="shared" si="1"/>
        <v>117.166</v>
      </c>
      <c r="I22" s="33">
        <f>IF(H22="","",$K$6-H22)</f>
        <v>10035.694000000001</v>
      </c>
      <c r="J22" s="236">
        <f t="shared" si="3"/>
        <v>87.658137612834224</v>
      </c>
      <c r="K22" s="251"/>
      <c r="L22" s="191"/>
      <c r="M22" s="24"/>
    </row>
    <row r="23" spans="1:15" s="17" customFormat="1" ht="14.15" customHeight="1">
      <c r="A23" s="687" t="s">
        <v>98</v>
      </c>
      <c r="B23" s="688"/>
      <c r="C23" s="689"/>
      <c r="D23" s="230">
        <f>D22-1</f>
        <v>374</v>
      </c>
      <c r="E23" s="363">
        <v>32.729999999999997</v>
      </c>
      <c r="F23" s="33">
        <f t="shared" ref="F23:F86" si="4">E23-($E$9)</f>
        <v>32.331999999999994</v>
      </c>
      <c r="G23" s="33" t="s">
        <v>9</v>
      </c>
      <c r="H23" s="33">
        <f t="shared" si="1"/>
        <v>149.49799999999999</v>
      </c>
      <c r="I23" s="33">
        <f t="shared" ref="I23:I86" si="5">IF(H23="","",$K$6-H23)</f>
        <v>10003.362000000001</v>
      </c>
      <c r="J23" s="236">
        <f t="shared" si="3"/>
        <v>88.391651646753246</v>
      </c>
      <c r="K23" s="724" t="s">
        <v>32</v>
      </c>
      <c r="L23" s="725"/>
      <c r="M23" s="284"/>
    </row>
    <row r="24" spans="1:15" s="17" customFormat="1" ht="14.15" customHeight="1" thickBot="1">
      <c r="A24" s="687" t="s">
        <v>98</v>
      </c>
      <c r="B24" s="688"/>
      <c r="C24" s="689"/>
      <c r="D24" s="230">
        <f t="shared" ref="D24:D87" si="6">D23-1</f>
        <v>373</v>
      </c>
      <c r="E24" s="363">
        <v>32.6</v>
      </c>
      <c r="F24" s="33">
        <f t="shared" si="4"/>
        <v>32.201999999999998</v>
      </c>
      <c r="G24" s="33" t="s">
        <v>9</v>
      </c>
      <c r="H24" s="33">
        <f t="shared" si="1"/>
        <v>181.7</v>
      </c>
      <c r="I24" s="33">
        <f t="shared" si="5"/>
        <v>9971.16</v>
      </c>
      <c r="J24" s="236">
        <f t="shared" si="3"/>
        <v>89.122216378915198</v>
      </c>
      <c r="K24" s="718" t="s">
        <v>179</v>
      </c>
      <c r="L24" s="719"/>
      <c r="M24" s="284"/>
      <c r="N24" s="284"/>
    </row>
    <row r="25" spans="1:15" s="17" customFormat="1" ht="14.15" customHeight="1">
      <c r="A25" s="687" t="s">
        <v>98</v>
      </c>
      <c r="B25" s="688"/>
      <c r="C25" s="689"/>
      <c r="D25" s="230">
        <f t="shared" si="6"/>
        <v>372</v>
      </c>
      <c r="E25" s="363">
        <v>33.42</v>
      </c>
      <c r="F25" s="33">
        <f t="shared" si="4"/>
        <v>33.021999999999998</v>
      </c>
      <c r="G25" s="33" t="s">
        <v>9</v>
      </c>
      <c r="H25" s="33">
        <f t="shared" si="1"/>
        <v>214.72199999999998</v>
      </c>
      <c r="I25" s="33">
        <f t="shared" si="5"/>
        <v>9938.1380000000008</v>
      </c>
      <c r="J25" s="236">
        <f t="shared" si="3"/>
        <v>89.871384399083269</v>
      </c>
      <c r="K25" s="217"/>
      <c r="L25" s="333"/>
      <c r="M25" s="37"/>
    </row>
    <row r="26" spans="1:15" s="17" customFormat="1" ht="14.15" customHeight="1" thickBot="1">
      <c r="A26" s="687" t="s">
        <v>98</v>
      </c>
      <c r="B26" s="688"/>
      <c r="C26" s="689"/>
      <c r="D26" s="230">
        <f t="shared" si="6"/>
        <v>371</v>
      </c>
      <c r="E26" s="363">
        <v>32.909999999999997</v>
      </c>
      <c r="F26" s="33">
        <f t="shared" si="4"/>
        <v>32.511999999999993</v>
      </c>
      <c r="G26" s="33" t="s">
        <v>9</v>
      </c>
      <c r="H26" s="33">
        <f t="shared" si="1"/>
        <v>247.23399999999998</v>
      </c>
      <c r="I26" s="33">
        <f t="shared" si="5"/>
        <v>9905.6260000000002</v>
      </c>
      <c r="J26" s="236">
        <f t="shared" si="3"/>
        <v>90.608982081589005</v>
      </c>
      <c r="K26" s="217"/>
      <c r="L26" s="333"/>
      <c r="M26" s="24"/>
      <c r="N26" s="24"/>
    </row>
    <row r="27" spans="1:15" s="17" customFormat="1" ht="14.15" customHeight="1">
      <c r="A27" s="687" t="s">
        <v>98</v>
      </c>
      <c r="B27" s="688"/>
      <c r="C27" s="689"/>
      <c r="D27" s="230">
        <f>D26-1</f>
        <v>370</v>
      </c>
      <c r="E27" s="363">
        <v>33.270000000000003</v>
      </c>
      <c r="F27" s="33">
        <f t="shared" si="4"/>
        <v>32.872</v>
      </c>
      <c r="G27" s="19" t="s">
        <v>9</v>
      </c>
      <c r="H27" s="33">
        <f t="shared" si="1"/>
        <v>280.10599999999999</v>
      </c>
      <c r="I27" s="33">
        <f t="shared" si="5"/>
        <v>9872.7540000000008</v>
      </c>
      <c r="J27" s="236">
        <f t="shared" si="3"/>
        <v>91.354747061268142</v>
      </c>
      <c r="K27" s="714" t="s">
        <v>104</v>
      </c>
      <c r="L27" s="715"/>
      <c r="M27" s="24"/>
    </row>
    <row r="28" spans="1:15" s="17" customFormat="1" ht="14.15" customHeight="1" thickBot="1">
      <c r="A28" s="687" t="s">
        <v>98</v>
      </c>
      <c r="B28" s="688"/>
      <c r="C28" s="689"/>
      <c r="D28" s="230">
        <f t="shared" si="6"/>
        <v>369</v>
      </c>
      <c r="E28" s="363">
        <v>33.19</v>
      </c>
      <c r="F28" s="33">
        <f t="shared" si="4"/>
        <v>32.791999999999994</v>
      </c>
      <c r="G28" s="19" t="s">
        <v>9</v>
      </c>
      <c r="H28" s="33">
        <f t="shared" si="1"/>
        <v>312.89799999999997</v>
      </c>
      <c r="I28" s="33">
        <f t="shared" si="5"/>
        <v>9839.9620000000014</v>
      </c>
      <c r="J28" s="236">
        <f t="shared" si="3"/>
        <v>92.098697086019854</v>
      </c>
      <c r="K28" s="716" t="s">
        <v>105</v>
      </c>
      <c r="L28" s="717"/>
      <c r="M28" s="24"/>
      <c r="O28" s="24"/>
    </row>
    <row r="29" spans="1:15" s="18" customFormat="1" ht="13" customHeight="1" thickBot="1">
      <c r="A29" s="687" t="s">
        <v>98</v>
      </c>
      <c r="B29" s="688"/>
      <c r="C29" s="689"/>
      <c r="D29" s="230">
        <f t="shared" si="6"/>
        <v>368</v>
      </c>
      <c r="E29" s="363">
        <v>32.950000000000003</v>
      </c>
      <c r="F29" s="33">
        <f t="shared" si="4"/>
        <v>32.552</v>
      </c>
      <c r="G29" s="19" t="s">
        <v>9</v>
      </c>
      <c r="H29" s="33">
        <f t="shared" si="1"/>
        <v>345.45</v>
      </c>
      <c r="I29" s="33">
        <f t="shared" si="5"/>
        <v>9807.41</v>
      </c>
      <c r="J29" s="236">
        <f t="shared" si="3"/>
        <v>92.837202245989303</v>
      </c>
      <c r="K29" s="217"/>
      <c r="L29" s="333"/>
      <c r="M29" s="24"/>
    </row>
    <row r="30" spans="1:15" s="18" customFormat="1" ht="13" customHeight="1">
      <c r="A30" s="687" t="s">
        <v>98</v>
      </c>
      <c r="B30" s="688"/>
      <c r="C30" s="689"/>
      <c r="D30" s="230">
        <f t="shared" si="6"/>
        <v>367</v>
      </c>
      <c r="E30" s="363">
        <v>33.49</v>
      </c>
      <c r="F30" s="33">
        <f t="shared" si="4"/>
        <v>33.091999999999999</v>
      </c>
      <c r="G30" s="19" t="s">
        <v>9</v>
      </c>
      <c r="H30" s="33">
        <f t="shared" si="1"/>
        <v>378.54199999999997</v>
      </c>
      <c r="I30" s="33">
        <f t="shared" si="5"/>
        <v>9774.3180000000011</v>
      </c>
      <c r="J30" s="236">
        <f t="shared" si="3"/>
        <v>93.587958351718868</v>
      </c>
      <c r="K30" s="714" t="s">
        <v>107</v>
      </c>
      <c r="L30" s="715"/>
      <c r="M30" s="24"/>
      <c r="O30" s="25"/>
    </row>
    <row r="31" spans="1:15" s="18" customFormat="1" ht="13" customHeight="1" thickBot="1">
      <c r="A31" s="687" t="s">
        <v>98</v>
      </c>
      <c r="B31" s="688"/>
      <c r="C31" s="689"/>
      <c r="D31" s="230">
        <f t="shared" si="6"/>
        <v>366</v>
      </c>
      <c r="E31" s="363">
        <v>33.799999999999997</v>
      </c>
      <c r="F31" s="33">
        <f t="shared" si="4"/>
        <v>33.401999999999994</v>
      </c>
      <c r="G31" s="19" t="s">
        <v>9</v>
      </c>
      <c r="H31" s="33">
        <f t="shared" si="1"/>
        <v>411.94399999999996</v>
      </c>
      <c r="I31" s="33">
        <f t="shared" si="5"/>
        <v>9740.9160000000011</v>
      </c>
      <c r="J31" s="236">
        <f t="shared" si="3"/>
        <v>94.345747407792203</v>
      </c>
      <c r="K31" s="716" t="s">
        <v>106</v>
      </c>
      <c r="L31" s="717"/>
      <c r="M31" s="24"/>
    </row>
    <row r="32" spans="1:15" s="18" customFormat="1" ht="13" customHeight="1">
      <c r="A32" s="687" t="s">
        <v>98</v>
      </c>
      <c r="B32" s="688"/>
      <c r="C32" s="689"/>
      <c r="D32" s="230">
        <f t="shared" si="6"/>
        <v>365</v>
      </c>
      <c r="E32" s="363">
        <v>33.54</v>
      </c>
      <c r="F32" s="33">
        <f t="shared" si="4"/>
        <v>33.141999999999996</v>
      </c>
      <c r="G32" s="19" t="s">
        <v>9</v>
      </c>
      <c r="H32" s="33">
        <f t="shared" si="1"/>
        <v>445.08599999999996</v>
      </c>
      <c r="I32" s="33">
        <f t="shared" si="5"/>
        <v>9707.7740000000013</v>
      </c>
      <c r="J32" s="236">
        <f t="shared" si="3"/>
        <v>95.097637860351412</v>
      </c>
      <c r="K32" s="248"/>
      <c r="L32" s="219"/>
    </row>
    <row r="33" spans="1:15" s="18" customFormat="1" ht="13" customHeight="1">
      <c r="A33" s="687" t="s">
        <v>98</v>
      </c>
      <c r="B33" s="688"/>
      <c r="C33" s="689"/>
      <c r="D33" s="230">
        <f t="shared" si="6"/>
        <v>364</v>
      </c>
      <c r="E33" s="363">
        <v>33.61</v>
      </c>
      <c r="F33" s="33">
        <f t="shared" si="4"/>
        <v>33.211999999999996</v>
      </c>
      <c r="G33" s="19" t="s">
        <v>9</v>
      </c>
      <c r="H33" s="33">
        <f t="shared" si="1"/>
        <v>478.29799999999994</v>
      </c>
      <c r="I33" s="33">
        <f t="shared" si="5"/>
        <v>9674.5619999999999</v>
      </c>
      <c r="J33" s="236">
        <f t="shared" si="3"/>
        <v>95.851116398472115</v>
      </c>
      <c r="K33" s="217"/>
      <c r="L33" s="333"/>
      <c r="M33" s="24"/>
    </row>
    <row r="34" spans="1:15" s="18" customFormat="1" ht="13" customHeight="1">
      <c r="A34" s="687" t="s">
        <v>98</v>
      </c>
      <c r="B34" s="688"/>
      <c r="C34" s="689"/>
      <c r="D34" s="230">
        <f t="shared" si="6"/>
        <v>363</v>
      </c>
      <c r="E34" s="363">
        <v>32.9</v>
      </c>
      <c r="F34" s="33">
        <f t="shared" si="4"/>
        <v>32.501999999999995</v>
      </c>
      <c r="G34" s="19" t="s">
        <v>9</v>
      </c>
      <c r="H34" s="33">
        <f t="shared" si="1"/>
        <v>510.79999999999995</v>
      </c>
      <c r="I34" s="33">
        <f t="shared" si="5"/>
        <v>9642.0600000000013</v>
      </c>
      <c r="J34" s="236">
        <f t="shared" si="3"/>
        <v>96.58848721161192</v>
      </c>
      <c r="K34" s="217"/>
      <c r="L34" s="333"/>
      <c r="M34" s="24"/>
    </row>
    <row r="35" spans="1:15" s="18" customFormat="1" ht="13" customHeight="1">
      <c r="A35" s="687" t="s">
        <v>98</v>
      </c>
      <c r="B35" s="688"/>
      <c r="C35" s="689"/>
      <c r="D35" s="230">
        <f t="shared" si="6"/>
        <v>362</v>
      </c>
      <c r="E35" s="363">
        <v>33.67</v>
      </c>
      <c r="F35" s="33">
        <f t="shared" si="4"/>
        <v>33.271999999999998</v>
      </c>
      <c r="G35" s="19" t="s">
        <v>9</v>
      </c>
      <c r="H35" s="33">
        <f t="shared" si="1"/>
        <v>544.072</v>
      </c>
      <c r="I35" s="33">
        <f t="shared" si="5"/>
        <v>9608.7880000000005</v>
      </c>
      <c r="J35" s="236">
        <f t="shared" si="3"/>
        <v>97.343326965928185</v>
      </c>
      <c r="K35" s="248"/>
      <c r="L35" s="219"/>
      <c r="M35" s="24"/>
    </row>
    <row r="36" spans="1:15" s="18" customFormat="1" ht="13" customHeight="1">
      <c r="A36" s="687" t="s">
        <v>98</v>
      </c>
      <c r="B36" s="688"/>
      <c r="C36" s="689"/>
      <c r="D36" s="230">
        <f t="shared" si="6"/>
        <v>361</v>
      </c>
      <c r="E36" s="363">
        <v>32.93</v>
      </c>
      <c r="F36" s="33">
        <f t="shared" si="4"/>
        <v>32.531999999999996</v>
      </c>
      <c r="G36" s="19" t="s">
        <v>9</v>
      </c>
      <c r="H36" s="33">
        <f t="shared" si="1"/>
        <v>576.60400000000004</v>
      </c>
      <c r="I36" s="33">
        <f t="shared" si="5"/>
        <v>9576.2560000000012</v>
      </c>
      <c r="J36" s="236">
        <f t="shared" si="3"/>
        <v>98.081378387165771</v>
      </c>
      <c r="K36" s="217"/>
      <c r="L36" s="333"/>
      <c r="M36" s="24"/>
      <c r="O36" s="25"/>
    </row>
    <row r="37" spans="1:15" s="18" customFormat="1" ht="13" customHeight="1">
      <c r="A37" s="687" t="s">
        <v>98</v>
      </c>
      <c r="B37" s="688"/>
      <c r="C37" s="689"/>
      <c r="D37" s="230">
        <f t="shared" si="6"/>
        <v>360</v>
      </c>
      <c r="E37" s="363">
        <v>32.79</v>
      </c>
      <c r="F37" s="33">
        <f t="shared" si="4"/>
        <v>32.391999999999996</v>
      </c>
      <c r="G37" s="19" t="s">
        <v>9</v>
      </c>
      <c r="H37" s="33">
        <f t="shared" si="1"/>
        <v>608.99600000000009</v>
      </c>
      <c r="I37" s="33">
        <f t="shared" si="5"/>
        <v>9543.8640000000014</v>
      </c>
      <c r="J37" s="236">
        <f t="shared" si="3"/>
        <v>98.816253637280369</v>
      </c>
      <c r="K37" s="217"/>
      <c r="L37" s="333"/>
      <c r="M37" s="24"/>
    </row>
    <row r="38" spans="1:15" s="18" customFormat="1" ht="13" customHeight="1">
      <c r="A38" s="687" t="s">
        <v>98</v>
      </c>
      <c r="B38" s="688"/>
      <c r="C38" s="689"/>
      <c r="D38" s="230">
        <f t="shared" si="6"/>
        <v>359</v>
      </c>
      <c r="E38" s="363">
        <v>32.979999999999997</v>
      </c>
      <c r="F38" s="33">
        <f t="shared" si="4"/>
        <v>32.581999999999994</v>
      </c>
      <c r="G38" s="19" t="s">
        <v>9</v>
      </c>
      <c r="H38" s="33">
        <f t="shared" si="1"/>
        <v>641.57800000000009</v>
      </c>
      <c r="I38" s="33">
        <f t="shared" si="5"/>
        <v>9511.2820000000011</v>
      </c>
      <c r="J38" s="236">
        <f t="shared" si="3"/>
        <v>99.555439405347599</v>
      </c>
      <c r="K38" s="217"/>
      <c r="L38" s="333"/>
      <c r="M38" s="24"/>
    </row>
    <row r="39" spans="1:15" s="18" customFormat="1" ht="13" customHeight="1">
      <c r="A39" s="687" t="s">
        <v>98</v>
      </c>
      <c r="B39" s="688"/>
      <c r="C39" s="689"/>
      <c r="D39" s="230">
        <f t="shared" si="6"/>
        <v>358</v>
      </c>
      <c r="E39" s="363">
        <v>33.479999999999997</v>
      </c>
      <c r="F39" s="33">
        <f t="shared" si="4"/>
        <v>33.081999999999994</v>
      </c>
      <c r="G39" s="19" t="s">
        <v>9</v>
      </c>
      <c r="H39" s="33">
        <f t="shared" si="1"/>
        <v>674.66000000000008</v>
      </c>
      <c r="I39" s="33">
        <f t="shared" si="5"/>
        <v>9478.2000000000007</v>
      </c>
      <c r="J39" s="236">
        <f t="shared" si="3"/>
        <v>100.30596864171123</v>
      </c>
      <c r="K39" s="217"/>
      <c r="L39" s="333"/>
      <c r="M39" s="24"/>
    </row>
    <row r="40" spans="1:15" s="18" customFormat="1" ht="13" customHeight="1">
      <c r="A40" s="687" t="s">
        <v>98</v>
      </c>
      <c r="B40" s="688"/>
      <c r="C40" s="689"/>
      <c r="D40" s="230">
        <f t="shared" si="6"/>
        <v>357</v>
      </c>
      <c r="E40" s="363">
        <v>33.19</v>
      </c>
      <c r="F40" s="33">
        <f t="shared" si="4"/>
        <v>32.791999999999994</v>
      </c>
      <c r="G40" s="33" t="s">
        <v>9</v>
      </c>
      <c r="H40" s="33">
        <f t="shared" si="1"/>
        <v>707.45200000000011</v>
      </c>
      <c r="I40" s="33">
        <f t="shared" si="5"/>
        <v>9445.4080000000013</v>
      </c>
      <c r="J40" s="236">
        <f t="shared" si="3"/>
        <v>101.04991866646296</v>
      </c>
      <c r="K40" s="275"/>
      <c r="L40" s="219"/>
      <c r="M40" s="32"/>
    </row>
    <row r="41" spans="1:15" s="18" customFormat="1" ht="13" customHeight="1">
      <c r="A41" s="687" t="s">
        <v>98</v>
      </c>
      <c r="B41" s="688"/>
      <c r="C41" s="689"/>
      <c r="D41" s="230">
        <f t="shared" si="6"/>
        <v>356</v>
      </c>
      <c r="E41" s="363">
        <v>33.479999999999997</v>
      </c>
      <c r="F41" s="33">
        <f t="shared" si="4"/>
        <v>33.081999999999994</v>
      </c>
      <c r="G41" s="19" t="s">
        <v>9</v>
      </c>
      <c r="H41" s="33">
        <f t="shared" si="1"/>
        <v>740.53400000000011</v>
      </c>
      <c r="I41" s="33">
        <f t="shared" si="5"/>
        <v>9412.3260000000009</v>
      </c>
      <c r="J41" s="236">
        <f t="shared" si="3"/>
        <v>101.80044790282659</v>
      </c>
      <c r="K41" s="217"/>
      <c r="L41" s="333"/>
      <c r="M41" s="24"/>
      <c r="O41" s="25"/>
    </row>
    <row r="42" spans="1:15" s="18" customFormat="1" ht="13" customHeight="1">
      <c r="A42" s="687" t="s">
        <v>98</v>
      </c>
      <c r="B42" s="688"/>
      <c r="C42" s="689"/>
      <c r="D42" s="230">
        <f t="shared" si="6"/>
        <v>355</v>
      </c>
      <c r="E42" s="363">
        <v>33.630000000000003</v>
      </c>
      <c r="F42" s="33">
        <f t="shared" si="4"/>
        <v>33.231999999999999</v>
      </c>
      <c r="G42" s="19" t="s">
        <v>9</v>
      </c>
      <c r="H42" s="33">
        <f t="shared" si="1"/>
        <v>773.76600000000008</v>
      </c>
      <c r="I42" s="33">
        <f t="shared" si="5"/>
        <v>9379.094000000001</v>
      </c>
      <c r="J42" s="236">
        <f t="shared" si="3"/>
        <v>102.55438017967914</v>
      </c>
      <c r="K42" s="217"/>
      <c r="L42" s="333"/>
      <c r="M42" s="24"/>
    </row>
    <row r="43" spans="1:15" s="18" customFormat="1" ht="13" customHeight="1">
      <c r="A43" s="687" t="s">
        <v>98</v>
      </c>
      <c r="B43" s="688"/>
      <c r="C43" s="689"/>
      <c r="D43" s="230">
        <f t="shared" si="6"/>
        <v>354</v>
      </c>
      <c r="E43" s="363">
        <v>33.43</v>
      </c>
      <c r="F43" s="33">
        <f t="shared" si="4"/>
        <v>33.031999999999996</v>
      </c>
      <c r="G43" s="19" t="s">
        <v>9</v>
      </c>
      <c r="H43" s="33">
        <f t="shared" si="1"/>
        <v>806.79800000000012</v>
      </c>
      <c r="I43" s="33">
        <f t="shared" si="5"/>
        <v>9346.0619999999999</v>
      </c>
      <c r="J43" s="236">
        <f t="shared" si="3"/>
        <v>103.30377506921315</v>
      </c>
      <c r="K43" s="217"/>
      <c r="L43" s="333"/>
      <c r="M43" s="24"/>
    </row>
    <row r="44" spans="1:15" s="18" customFormat="1" ht="13" customHeight="1">
      <c r="A44" s="687" t="s">
        <v>98</v>
      </c>
      <c r="B44" s="688"/>
      <c r="C44" s="689"/>
      <c r="D44" s="230">
        <f t="shared" si="6"/>
        <v>353</v>
      </c>
      <c r="E44" s="363">
        <v>33.6</v>
      </c>
      <c r="F44" s="33">
        <f t="shared" si="4"/>
        <v>33.201999999999998</v>
      </c>
      <c r="G44" s="19" t="s">
        <v>9</v>
      </c>
      <c r="H44" s="33">
        <f t="shared" si="1"/>
        <v>840.00000000000011</v>
      </c>
      <c r="I44" s="33">
        <f t="shared" si="5"/>
        <v>9312.86</v>
      </c>
      <c r="J44" s="236">
        <f t="shared" si="3"/>
        <v>104.05702673796792</v>
      </c>
      <c r="K44" s="217"/>
      <c r="L44" s="333"/>
      <c r="M44" s="24"/>
    </row>
    <row r="45" spans="1:15" s="18" customFormat="1" ht="13" customHeight="1">
      <c r="A45" s="687" t="s">
        <v>98</v>
      </c>
      <c r="B45" s="688"/>
      <c r="C45" s="689"/>
      <c r="D45" s="230">
        <f t="shared" si="6"/>
        <v>352</v>
      </c>
      <c r="E45" s="363">
        <v>33.880000000000003</v>
      </c>
      <c r="F45" s="33">
        <f t="shared" si="4"/>
        <v>33.481999999999999</v>
      </c>
      <c r="G45" s="19" t="s">
        <v>9</v>
      </c>
      <c r="H45" s="33">
        <f t="shared" si="1"/>
        <v>873.48200000000008</v>
      </c>
      <c r="I45" s="33">
        <f t="shared" si="5"/>
        <v>9279.3780000000006</v>
      </c>
      <c r="J45" s="236">
        <f>$G$6+(H45*$E$7*$G$8/1000)</f>
        <v>104.81663074896868</v>
      </c>
      <c r="K45" s="217"/>
      <c r="L45" s="333"/>
      <c r="M45" s="24"/>
    </row>
    <row r="46" spans="1:15" s="18" customFormat="1" ht="13" customHeight="1">
      <c r="A46" s="687" t="s">
        <v>98</v>
      </c>
      <c r="B46" s="688"/>
      <c r="C46" s="689"/>
      <c r="D46" s="230">
        <f t="shared" si="6"/>
        <v>351</v>
      </c>
      <c r="E46" s="363">
        <v>31.65</v>
      </c>
      <c r="F46" s="33">
        <f t="shared" si="4"/>
        <v>31.251999999999999</v>
      </c>
      <c r="G46" s="19" t="s">
        <v>9</v>
      </c>
      <c r="H46" s="33">
        <f t="shared" si="1"/>
        <v>904.73400000000004</v>
      </c>
      <c r="I46" s="33">
        <f t="shared" si="5"/>
        <v>9248.1260000000002</v>
      </c>
      <c r="J46" s="236">
        <f t="shared" si="3"/>
        <v>105.52564289136745</v>
      </c>
      <c r="K46" s="217"/>
      <c r="L46" s="333"/>
      <c r="M46" s="24"/>
    </row>
    <row r="47" spans="1:15" s="18" customFormat="1" ht="13" customHeight="1">
      <c r="A47" s="687" t="s">
        <v>98</v>
      </c>
      <c r="B47" s="688"/>
      <c r="C47" s="689"/>
      <c r="D47" s="230">
        <f t="shared" si="6"/>
        <v>350</v>
      </c>
      <c r="E47" s="363">
        <v>33.47</v>
      </c>
      <c r="F47" s="33">
        <f t="shared" si="4"/>
        <v>33.071999999999996</v>
      </c>
      <c r="G47" s="19" t="s">
        <v>9</v>
      </c>
      <c r="H47" s="33">
        <f t="shared" si="1"/>
        <v>937.80600000000004</v>
      </c>
      <c r="I47" s="33">
        <f t="shared" si="5"/>
        <v>9215.0540000000001</v>
      </c>
      <c r="J47" s="236">
        <f t="shared" si="3"/>
        <v>106.27594525836517</v>
      </c>
      <c r="K47" s="217"/>
      <c r="L47" s="333"/>
      <c r="M47" s="24"/>
    </row>
    <row r="48" spans="1:15" s="18" customFormat="1" ht="13" customHeight="1">
      <c r="A48" s="687" t="s">
        <v>98</v>
      </c>
      <c r="B48" s="688"/>
      <c r="C48" s="689"/>
      <c r="D48" s="230">
        <f t="shared" si="6"/>
        <v>349</v>
      </c>
      <c r="E48" s="363">
        <v>33.46</v>
      </c>
      <c r="F48" s="33">
        <f t="shared" si="4"/>
        <v>33.061999999999998</v>
      </c>
      <c r="G48" s="19" t="s">
        <v>9</v>
      </c>
      <c r="H48" s="33">
        <f t="shared" si="1"/>
        <v>970.86800000000005</v>
      </c>
      <c r="I48" s="33">
        <f t="shared" si="5"/>
        <v>9181.9920000000002</v>
      </c>
      <c r="J48" s="236">
        <f t="shared" si="3"/>
        <v>107.02602075599694</v>
      </c>
      <c r="K48" s="217"/>
      <c r="L48" s="333"/>
      <c r="M48" s="24"/>
    </row>
    <row r="49" spans="1:13" s="18" customFormat="1" ht="13" customHeight="1">
      <c r="A49" s="687" t="s">
        <v>98</v>
      </c>
      <c r="B49" s="688"/>
      <c r="C49" s="689"/>
      <c r="D49" s="230">
        <f t="shared" si="6"/>
        <v>348</v>
      </c>
      <c r="E49" s="363">
        <v>33.04</v>
      </c>
      <c r="F49" s="33">
        <f t="shared" si="4"/>
        <v>32.641999999999996</v>
      </c>
      <c r="G49" s="19" t="s">
        <v>9</v>
      </c>
      <c r="H49" s="33">
        <f t="shared" si="1"/>
        <v>1003.51</v>
      </c>
      <c r="I49" s="33">
        <f t="shared" si="5"/>
        <v>9149.35</v>
      </c>
      <c r="J49" s="236">
        <f t="shared" si="3"/>
        <v>107.76656774025973</v>
      </c>
      <c r="K49" s="217"/>
      <c r="L49" s="333"/>
      <c r="M49" s="24"/>
    </row>
    <row r="50" spans="1:13" s="18" customFormat="1" ht="13" customHeight="1">
      <c r="A50" s="687" t="s">
        <v>98</v>
      </c>
      <c r="B50" s="688"/>
      <c r="C50" s="689"/>
      <c r="D50" s="230">
        <f t="shared" si="6"/>
        <v>347</v>
      </c>
      <c r="E50" s="363">
        <v>33.53</v>
      </c>
      <c r="F50" s="33">
        <f t="shared" si="4"/>
        <v>33.131999999999998</v>
      </c>
      <c r="G50" s="19" t="s">
        <v>9</v>
      </c>
      <c r="H50" s="33">
        <f t="shared" si="1"/>
        <v>1036.6420000000001</v>
      </c>
      <c r="I50" s="33">
        <f t="shared" si="5"/>
        <v>9116.2180000000008</v>
      </c>
      <c r="J50" s="236">
        <f t="shared" si="3"/>
        <v>108.51823132345302</v>
      </c>
      <c r="K50" s="217"/>
      <c r="L50" s="191"/>
      <c r="M50" s="24"/>
    </row>
    <row r="51" spans="1:13" s="18" customFormat="1" ht="13" customHeight="1">
      <c r="A51" s="687" t="s">
        <v>98</v>
      </c>
      <c r="B51" s="688"/>
      <c r="C51" s="689"/>
      <c r="D51" s="230">
        <f t="shared" si="6"/>
        <v>346</v>
      </c>
      <c r="E51" s="363">
        <v>33.840000000000003</v>
      </c>
      <c r="F51" s="33">
        <f t="shared" si="4"/>
        <v>33.442</v>
      </c>
      <c r="G51" s="19" t="s">
        <v>9</v>
      </c>
      <c r="H51" s="33">
        <f t="shared" si="1"/>
        <v>1070.0840000000001</v>
      </c>
      <c r="I51" s="33">
        <f t="shared" si="5"/>
        <v>9082.7759999999998</v>
      </c>
      <c r="J51" s="236">
        <f t="shared" si="3"/>
        <v>109.27692785699007</v>
      </c>
      <c r="K51" s="217"/>
      <c r="L51" s="191"/>
      <c r="M51" s="24"/>
    </row>
    <row r="52" spans="1:13" s="18" customFormat="1" ht="13" customHeight="1">
      <c r="A52" s="687" t="s">
        <v>98</v>
      </c>
      <c r="B52" s="688"/>
      <c r="C52" s="689"/>
      <c r="D52" s="230">
        <f t="shared" si="6"/>
        <v>345</v>
      </c>
      <c r="E52" s="363">
        <v>33.54</v>
      </c>
      <c r="F52" s="33">
        <f t="shared" si="4"/>
        <v>33.141999999999996</v>
      </c>
      <c r="G52" s="19" t="s">
        <v>9</v>
      </c>
      <c r="H52" s="33">
        <f t="shared" si="1"/>
        <v>1103.2260000000001</v>
      </c>
      <c r="I52" s="33">
        <f t="shared" si="5"/>
        <v>9049.634</v>
      </c>
      <c r="J52" s="236">
        <f t="shared" si="3"/>
        <v>110.02881830954928</v>
      </c>
      <c r="K52" s="217" t="s">
        <v>8</v>
      </c>
      <c r="L52" s="191"/>
      <c r="M52" s="24"/>
    </row>
    <row r="53" spans="1:13" s="18" customFormat="1" ht="13" customHeight="1">
      <c r="A53" s="687" t="s">
        <v>98</v>
      </c>
      <c r="B53" s="688"/>
      <c r="C53" s="689"/>
      <c r="D53" s="230">
        <f t="shared" si="6"/>
        <v>344</v>
      </c>
      <c r="E53" s="363">
        <v>33.19</v>
      </c>
      <c r="F53" s="33">
        <f t="shared" si="4"/>
        <v>32.791999999999994</v>
      </c>
      <c r="G53" s="19" t="s">
        <v>9</v>
      </c>
      <c r="H53" s="33">
        <f t="shared" si="1"/>
        <v>1136.018</v>
      </c>
      <c r="I53" s="33">
        <f t="shared" si="5"/>
        <v>9016.8420000000006</v>
      </c>
      <c r="J53" s="236">
        <f t="shared" si="3"/>
        <v>110.77276833430099</v>
      </c>
      <c r="K53" s="217"/>
      <c r="L53" s="191"/>
      <c r="M53" s="24"/>
    </row>
    <row r="54" spans="1:13" s="18" customFormat="1" ht="13" customHeight="1">
      <c r="A54" s="687" t="s">
        <v>98</v>
      </c>
      <c r="B54" s="688"/>
      <c r="C54" s="689"/>
      <c r="D54" s="230">
        <f t="shared" si="6"/>
        <v>343</v>
      </c>
      <c r="E54" s="363">
        <v>33.75</v>
      </c>
      <c r="F54" s="33">
        <f t="shared" si="4"/>
        <v>33.351999999999997</v>
      </c>
      <c r="G54" s="19" t="s">
        <v>9</v>
      </c>
      <c r="H54" s="33">
        <f t="shared" si="1"/>
        <v>1169.3700000000001</v>
      </c>
      <c r="I54" s="33">
        <f t="shared" si="5"/>
        <v>8983.49</v>
      </c>
      <c r="J54" s="236">
        <f t="shared" si="3"/>
        <v>111.5294230435447</v>
      </c>
      <c r="K54" s="217"/>
      <c r="L54" s="191"/>
      <c r="M54" s="24"/>
    </row>
    <row r="55" spans="1:13" s="18" customFormat="1" ht="13" customHeight="1">
      <c r="A55" s="687" t="s">
        <v>98</v>
      </c>
      <c r="B55" s="688"/>
      <c r="C55" s="689"/>
      <c r="D55" s="230">
        <f t="shared" si="6"/>
        <v>342</v>
      </c>
      <c r="E55" s="363">
        <v>33.06</v>
      </c>
      <c r="F55" s="33">
        <f t="shared" si="4"/>
        <v>32.661999999999999</v>
      </c>
      <c r="G55" s="19" t="s">
        <v>9</v>
      </c>
      <c r="H55" s="33">
        <f t="shared" si="1"/>
        <v>1202.0320000000002</v>
      </c>
      <c r="I55" s="33">
        <f t="shared" si="5"/>
        <v>8950.8280000000013</v>
      </c>
      <c r="J55" s="236">
        <f t="shared" si="3"/>
        <v>112.27042376653934</v>
      </c>
      <c r="K55" s="217"/>
      <c r="L55" s="191"/>
      <c r="M55" s="24"/>
    </row>
    <row r="56" spans="1:13" s="18" customFormat="1" ht="13" customHeight="1">
      <c r="A56" s="687" t="s">
        <v>98</v>
      </c>
      <c r="B56" s="688"/>
      <c r="C56" s="689"/>
      <c r="D56" s="230">
        <f t="shared" si="6"/>
        <v>341</v>
      </c>
      <c r="E56" s="363">
        <v>33.659999999999997</v>
      </c>
      <c r="F56" s="33">
        <f t="shared" si="4"/>
        <v>33.261999999999993</v>
      </c>
      <c r="G56" s="19" t="s">
        <v>9</v>
      </c>
      <c r="H56" s="33">
        <f t="shared" si="1"/>
        <v>1235.2940000000001</v>
      </c>
      <c r="I56" s="33">
        <f t="shared" si="5"/>
        <v>8917.5660000000007</v>
      </c>
      <c r="J56" s="236">
        <f t="shared" si="3"/>
        <v>113.02503665148969</v>
      </c>
      <c r="K56" s="217"/>
      <c r="L56" s="191"/>
      <c r="M56" s="24"/>
    </row>
    <row r="57" spans="1:13" s="18" customFormat="1" ht="13" customHeight="1">
      <c r="A57" s="687" t="s">
        <v>98</v>
      </c>
      <c r="B57" s="688"/>
      <c r="C57" s="689"/>
      <c r="D57" s="230">
        <f t="shared" si="6"/>
        <v>340</v>
      </c>
      <c r="E57" s="363">
        <v>33.43</v>
      </c>
      <c r="F57" s="33">
        <f t="shared" si="4"/>
        <v>33.031999999999996</v>
      </c>
      <c r="G57" s="19" t="s">
        <v>9</v>
      </c>
      <c r="H57" s="33">
        <f t="shared" si="1"/>
        <v>1268.326</v>
      </c>
      <c r="I57" s="33">
        <f t="shared" si="5"/>
        <v>8884.5339999999997</v>
      </c>
      <c r="J57" s="236">
        <f t="shared" si="3"/>
        <v>113.77443154102369</v>
      </c>
      <c r="K57" s="217"/>
      <c r="L57" s="191"/>
      <c r="M57" s="24"/>
    </row>
    <row r="58" spans="1:13" s="18" customFormat="1" ht="13" customHeight="1">
      <c r="A58" s="687" t="s">
        <v>98</v>
      </c>
      <c r="B58" s="688"/>
      <c r="C58" s="689"/>
      <c r="D58" s="230">
        <f t="shared" si="6"/>
        <v>339</v>
      </c>
      <c r="E58" s="363">
        <v>33.299999999999997</v>
      </c>
      <c r="F58" s="33">
        <f t="shared" si="4"/>
        <v>32.901999999999994</v>
      </c>
      <c r="G58" s="33" t="s">
        <v>9</v>
      </c>
      <c r="H58" s="33">
        <f t="shared" si="1"/>
        <v>1301.2280000000001</v>
      </c>
      <c r="I58" s="33">
        <f t="shared" si="5"/>
        <v>8851.6320000000014</v>
      </c>
      <c r="J58" s="236">
        <f t="shared" si="3"/>
        <v>114.52087712880061</v>
      </c>
      <c r="K58" s="249"/>
      <c r="L58" s="220"/>
      <c r="M58" s="24"/>
    </row>
    <row r="59" spans="1:13" s="18" customFormat="1" ht="13" customHeight="1">
      <c r="A59" s="687" t="s">
        <v>98</v>
      </c>
      <c r="B59" s="688"/>
      <c r="C59" s="689"/>
      <c r="D59" s="230">
        <f t="shared" si="6"/>
        <v>338</v>
      </c>
      <c r="E59" s="363">
        <v>33.58</v>
      </c>
      <c r="F59" s="33">
        <f t="shared" si="4"/>
        <v>33.181999999999995</v>
      </c>
      <c r="G59" s="33" t="s">
        <v>9</v>
      </c>
      <c r="H59" s="33">
        <f t="shared" si="1"/>
        <v>1334.41</v>
      </c>
      <c r="I59" s="33">
        <f t="shared" si="5"/>
        <v>8818.4500000000007</v>
      </c>
      <c r="J59" s="236">
        <f t="shared" si="3"/>
        <v>115.27367505882353</v>
      </c>
      <c r="K59" s="248"/>
      <c r="L59" s="191"/>
      <c r="M59" s="24"/>
    </row>
    <row r="60" spans="1:13" s="18" customFormat="1" ht="13" customHeight="1">
      <c r="A60" s="687" t="s">
        <v>98</v>
      </c>
      <c r="B60" s="688"/>
      <c r="C60" s="689"/>
      <c r="D60" s="230">
        <f t="shared" si="6"/>
        <v>337</v>
      </c>
      <c r="E60" s="363">
        <v>33.630000000000003</v>
      </c>
      <c r="F60" s="33">
        <f t="shared" si="4"/>
        <v>33.231999999999999</v>
      </c>
      <c r="G60" s="33" t="s">
        <v>9</v>
      </c>
      <c r="H60" s="33">
        <f t="shared" si="1"/>
        <v>1367.6420000000001</v>
      </c>
      <c r="I60" s="33">
        <f t="shared" si="5"/>
        <v>8785.2180000000008</v>
      </c>
      <c r="J60" s="236">
        <f t="shared" si="3"/>
        <v>116.02760733567609</v>
      </c>
      <c r="K60" s="249"/>
      <c r="L60" s="191"/>
      <c r="M60" s="24"/>
    </row>
    <row r="61" spans="1:13" s="18" customFormat="1" ht="13" customHeight="1">
      <c r="A61" s="687" t="s">
        <v>98</v>
      </c>
      <c r="B61" s="688"/>
      <c r="C61" s="689"/>
      <c r="D61" s="230">
        <f t="shared" si="6"/>
        <v>336</v>
      </c>
      <c r="E61" s="363">
        <v>32.950000000000003</v>
      </c>
      <c r="F61" s="33">
        <f t="shared" si="4"/>
        <v>32.552</v>
      </c>
      <c r="G61" s="33" t="s">
        <v>9</v>
      </c>
      <c r="H61" s="33">
        <f t="shared" si="1"/>
        <v>1400.194</v>
      </c>
      <c r="I61" s="33">
        <f t="shared" si="5"/>
        <v>8752.6660000000011</v>
      </c>
      <c r="J61" s="236">
        <f t="shared" si="3"/>
        <v>116.76611249564553</v>
      </c>
      <c r="K61" s="248"/>
      <c r="L61" s="191"/>
      <c r="M61" s="24"/>
    </row>
    <row r="62" spans="1:13" s="18" customFormat="1" ht="13" customHeight="1">
      <c r="A62" s="687" t="s">
        <v>98</v>
      </c>
      <c r="B62" s="688"/>
      <c r="C62" s="689"/>
      <c r="D62" s="230">
        <f t="shared" si="6"/>
        <v>335</v>
      </c>
      <c r="E62" s="363">
        <v>32.74</v>
      </c>
      <c r="F62" s="33">
        <f t="shared" si="4"/>
        <v>32.341999999999999</v>
      </c>
      <c r="G62" s="33" t="s">
        <v>9</v>
      </c>
      <c r="H62" s="33">
        <f t="shared" si="1"/>
        <v>1432.5360000000001</v>
      </c>
      <c r="I62" s="33">
        <f t="shared" si="5"/>
        <v>8720.3240000000005</v>
      </c>
      <c r="J62" s="236">
        <f t="shared" si="3"/>
        <v>117.49985339893048</v>
      </c>
      <c r="K62" s="249"/>
      <c r="L62" s="221"/>
      <c r="M62" s="24"/>
    </row>
    <row r="63" spans="1:13" s="18" customFormat="1" ht="13" customHeight="1">
      <c r="A63" s="687" t="s">
        <v>98</v>
      </c>
      <c r="B63" s="688"/>
      <c r="C63" s="689"/>
      <c r="D63" s="230">
        <f t="shared" si="6"/>
        <v>334</v>
      </c>
      <c r="E63" s="363">
        <v>33.25</v>
      </c>
      <c r="F63" s="33">
        <f t="shared" si="4"/>
        <v>32.851999999999997</v>
      </c>
      <c r="G63" s="33" t="s">
        <v>9</v>
      </c>
      <c r="H63" s="33">
        <f t="shared" si="1"/>
        <v>1465.3880000000001</v>
      </c>
      <c r="I63" s="33">
        <f t="shared" si="5"/>
        <v>8687.4719999999998</v>
      </c>
      <c r="J63" s="236">
        <f t="shared" si="3"/>
        <v>118.24516463987777</v>
      </c>
      <c r="K63" s="248"/>
      <c r="L63" s="191"/>
      <c r="M63" s="24"/>
    </row>
    <row r="64" spans="1:13" s="18" customFormat="1" ht="13" customHeight="1">
      <c r="A64" s="687" t="s">
        <v>98</v>
      </c>
      <c r="B64" s="688"/>
      <c r="C64" s="689"/>
      <c r="D64" s="230">
        <f t="shared" si="6"/>
        <v>333</v>
      </c>
      <c r="E64" s="363">
        <v>32.93</v>
      </c>
      <c r="F64" s="33">
        <f t="shared" si="4"/>
        <v>32.531999999999996</v>
      </c>
      <c r="G64" s="33" t="s">
        <v>9</v>
      </c>
      <c r="H64" s="33">
        <f t="shared" si="1"/>
        <v>1497.92</v>
      </c>
      <c r="I64" s="33">
        <f t="shared" si="5"/>
        <v>8654.94</v>
      </c>
      <c r="J64" s="236">
        <f t="shared" si="3"/>
        <v>118.98321606111534</v>
      </c>
      <c r="K64" s="250"/>
      <c r="L64" s="220"/>
      <c r="M64" s="24"/>
    </row>
    <row r="65" spans="1:13" s="18" customFormat="1" ht="13" customHeight="1">
      <c r="A65" s="687" t="s">
        <v>98</v>
      </c>
      <c r="B65" s="688"/>
      <c r="C65" s="689"/>
      <c r="D65" s="230">
        <f t="shared" si="6"/>
        <v>332</v>
      </c>
      <c r="E65" s="363">
        <v>33.6</v>
      </c>
      <c r="F65" s="33">
        <f t="shared" si="4"/>
        <v>33.201999999999998</v>
      </c>
      <c r="G65" s="33" t="s">
        <v>9</v>
      </c>
      <c r="H65" s="33">
        <f t="shared" si="1"/>
        <v>1531.1220000000001</v>
      </c>
      <c r="I65" s="33">
        <f t="shared" si="5"/>
        <v>8621.7380000000012</v>
      </c>
      <c r="J65" s="236">
        <f t="shared" si="3"/>
        <v>119.73646772987013</v>
      </c>
      <c r="K65" s="251"/>
      <c r="L65" s="191"/>
      <c r="M65" s="24"/>
    </row>
    <row r="66" spans="1:13" s="18" customFormat="1" ht="13" customHeight="1">
      <c r="A66" s="687" t="s">
        <v>98</v>
      </c>
      <c r="B66" s="688"/>
      <c r="C66" s="689"/>
      <c r="D66" s="230">
        <f t="shared" si="6"/>
        <v>331</v>
      </c>
      <c r="E66" s="363">
        <v>33.83</v>
      </c>
      <c r="F66" s="33">
        <f t="shared" si="4"/>
        <v>33.431999999999995</v>
      </c>
      <c r="G66" s="33" t="s">
        <v>9</v>
      </c>
      <c r="H66" s="33">
        <f t="shared" si="1"/>
        <v>1564.5540000000001</v>
      </c>
      <c r="I66" s="33">
        <f t="shared" si="5"/>
        <v>8588.3060000000005</v>
      </c>
      <c r="J66" s="236">
        <f t="shared" si="3"/>
        <v>120.49493739404126</v>
      </c>
      <c r="K66" s="250"/>
      <c r="L66" s="220"/>
      <c r="M66" s="24"/>
    </row>
    <row r="67" spans="1:13" s="18" customFormat="1" ht="13" customHeight="1">
      <c r="A67" s="687" t="s">
        <v>98</v>
      </c>
      <c r="B67" s="688"/>
      <c r="C67" s="689"/>
      <c r="D67" s="230">
        <f t="shared" si="6"/>
        <v>330</v>
      </c>
      <c r="E67" s="363">
        <v>32.479999999999997</v>
      </c>
      <c r="F67" s="33">
        <f t="shared" si="4"/>
        <v>32.081999999999994</v>
      </c>
      <c r="G67" s="33" t="s">
        <v>9</v>
      </c>
      <c r="H67" s="33">
        <f t="shared" si="1"/>
        <v>1596.636</v>
      </c>
      <c r="I67" s="33">
        <f t="shared" si="5"/>
        <v>8556.2240000000002</v>
      </c>
      <c r="J67" s="236">
        <f t="shared" si="3"/>
        <v>121.22277969381207</v>
      </c>
      <c r="K67" s="248"/>
      <c r="L67" s="191"/>
      <c r="M67" s="24"/>
    </row>
    <row r="68" spans="1:13" s="18" customFormat="1" ht="13" customHeight="1">
      <c r="A68" s="687" t="s">
        <v>98</v>
      </c>
      <c r="B68" s="688"/>
      <c r="C68" s="689"/>
      <c r="D68" s="230">
        <f t="shared" si="6"/>
        <v>329</v>
      </c>
      <c r="E68" s="363">
        <v>33.94</v>
      </c>
      <c r="F68" s="33">
        <f t="shared" si="4"/>
        <v>33.541999999999994</v>
      </c>
      <c r="G68" s="33" t="s">
        <v>9</v>
      </c>
      <c r="H68" s="33">
        <f t="shared" si="1"/>
        <v>1630.1779999999999</v>
      </c>
      <c r="I68" s="33">
        <f t="shared" si="5"/>
        <v>8522.6820000000007</v>
      </c>
      <c r="J68" s="236">
        <f t="shared" si="3"/>
        <v>121.98374492100839</v>
      </c>
      <c r="K68" s="249"/>
      <c r="L68" s="191"/>
      <c r="M68" s="24"/>
    </row>
    <row r="69" spans="1:13" s="18" customFormat="1" ht="13" customHeight="1">
      <c r="A69" s="687" t="s">
        <v>98</v>
      </c>
      <c r="B69" s="688"/>
      <c r="C69" s="689"/>
      <c r="D69" s="230">
        <f t="shared" si="6"/>
        <v>328</v>
      </c>
      <c r="E69" s="363">
        <v>33.68</v>
      </c>
      <c r="F69" s="33">
        <f t="shared" si="4"/>
        <v>33.281999999999996</v>
      </c>
      <c r="G69" s="33" t="s">
        <v>9</v>
      </c>
      <c r="H69" s="33">
        <f t="shared" si="1"/>
        <v>1663.4599999999998</v>
      </c>
      <c r="I69" s="33">
        <f t="shared" si="5"/>
        <v>8489.4000000000015</v>
      </c>
      <c r="J69" s="236">
        <f t="shared" si="3"/>
        <v>122.73881154469059</v>
      </c>
      <c r="K69" s="248"/>
      <c r="L69" s="191"/>
      <c r="M69" s="24"/>
    </row>
    <row r="70" spans="1:13" s="18" customFormat="1" ht="13" customHeight="1">
      <c r="A70" s="687" t="s">
        <v>98</v>
      </c>
      <c r="B70" s="688"/>
      <c r="C70" s="689"/>
      <c r="D70" s="230">
        <f t="shared" si="6"/>
        <v>327</v>
      </c>
      <c r="E70" s="363">
        <v>33.68</v>
      </c>
      <c r="F70" s="33">
        <f t="shared" si="4"/>
        <v>33.281999999999996</v>
      </c>
      <c r="G70" s="33" t="s">
        <v>9</v>
      </c>
      <c r="H70" s="33">
        <f t="shared" si="1"/>
        <v>1696.7419999999997</v>
      </c>
      <c r="I70" s="33">
        <f t="shared" si="5"/>
        <v>8456.1180000000004</v>
      </c>
      <c r="J70" s="236">
        <f t="shared" si="3"/>
        <v>123.49387816837279</v>
      </c>
      <c r="K70" s="249"/>
      <c r="L70" s="191"/>
      <c r="M70" s="24"/>
    </row>
    <row r="71" spans="1:13" s="18" customFormat="1" ht="13" customHeight="1">
      <c r="A71" s="687" t="s">
        <v>98</v>
      </c>
      <c r="B71" s="688"/>
      <c r="C71" s="689"/>
      <c r="D71" s="230">
        <f t="shared" si="6"/>
        <v>326</v>
      </c>
      <c r="E71" s="363">
        <v>33.380000000000003</v>
      </c>
      <c r="F71" s="33">
        <f t="shared" si="4"/>
        <v>32.981999999999999</v>
      </c>
      <c r="G71" s="33" t="s">
        <v>9</v>
      </c>
      <c r="H71" s="33">
        <f t="shared" si="1"/>
        <v>1729.7239999999997</v>
      </c>
      <c r="I71" s="33">
        <f t="shared" si="5"/>
        <v>8423.1360000000004</v>
      </c>
      <c r="J71" s="236">
        <f t="shared" si="3"/>
        <v>124.24213871107715</v>
      </c>
      <c r="K71" s="275"/>
      <c r="L71" s="220"/>
      <c r="M71" s="32"/>
    </row>
    <row r="72" spans="1:13" s="18" customFormat="1" ht="13" customHeight="1">
      <c r="A72" s="687" t="s">
        <v>98</v>
      </c>
      <c r="B72" s="688"/>
      <c r="C72" s="689"/>
      <c r="D72" s="230">
        <f t="shared" si="6"/>
        <v>325</v>
      </c>
      <c r="E72" s="363">
        <v>33.53</v>
      </c>
      <c r="F72" s="33">
        <f t="shared" si="4"/>
        <v>33.131999999999998</v>
      </c>
      <c r="G72" s="33" t="s">
        <v>9</v>
      </c>
      <c r="H72" s="33">
        <f t="shared" si="1"/>
        <v>1762.8559999999998</v>
      </c>
      <c r="I72" s="33">
        <f t="shared" si="5"/>
        <v>8390.0040000000008</v>
      </c>
      <c r="J72" s="236">
        <f t="shared" si="3"/>
        <v>124.99380229427042</v>
      </c>
      <c r="K72" s="249"/>
      <c r="L72" s="191"/>
      <c r="M72" s="24"/>
    </row>
    <row r="73" spans="1:13" s="18" customFormat="1" ht="13" customHeight="1">
      <c r="A73" s="687" t="s">
        <v>98</v>
      </c>
      <c r="B73" s="688"/>
      <c r="C73" s="689"/>
      <c r="D73" s="230">
        <f t="shared" si="6"/>
        <v>324</v>
      </c>
      <c r="E73" s="363">
        <v>32.14</v>
      </c>
      <c r="F73" s="33">
        <f t="shared" si="4"/>
        <v>31.742000000000001</v>
      </c>
      <c r="G73" s="33" t="s">
        <v>9</v>
      </c>
      <c r="H73" s="33">
        <f t="shared" si="1"/>
        <v>1794.5979999999997</v>
      </c>
      <c r="I73" s="33">
        <f t="shared" si="5"/>
        <v>8358.2620000000006</v>
      </c>
      <c r="J73" s="236">
        <f t="shared" si="3"/>
        <v>125.71393103559969</v>
      </c>
      <c r="K73" s="248"/>
      <c r="L73" s="191"/>
      <c r="M73" s="24"/>
    </row>
    <row r="74" spans="1:13" s="18" customFormat="1" ht="13" customHeight="1">
      <c r="A74" s="687" t="s">
        <v>98</v>
      </c>
      <c r="B74" s="688"/>
      <c r="C74" s="689"/>
      <c r="D74" s="230">
        <f t="shared" si="6"/>
        <v>323</v>
      </c>
      <c r="E74" s="363">
        <v>33.82</v>
      </c>
      <c r="F74" s="33">
        <f t="shared" si="4"/>
        <v>33.421999999999997</v>
      </c>
      <c r="G74" s="33" t="s">
        <v>9</v>
      </c>
      <c r="H74" s="33">
        <f t="shared" si="1"/>
        <v>1828.0199999999998</v>
      </c>
      <c r="I74" s="33">
        <f t="shared" si="5"/>
        <v>8324.84</v>
      </c>
      <c r="J74" s="236">
        <f t="shared" si="3"/>
        <v>126.47217383040488</v>
      </c>
      <c r="K74" s="249"/>
      <c r="L74" s="191"/>
      <c r="M74" s="24"/>
    </row>
    <row r="75" spans="1:13" s="18" customFormat="1" ht="13" customHeight="1">
      <c r="A75" s="687" t="s">
        <v>98</v>
      </c>
      <c r="B75" s="688"/>
      <c r="C75" s="689"/>
      <c r="D75" s="230">
        <f t="shared" si="6"/>
        <v>322</v>
      </c>
      <c r="E75" s="363">
        <v>32.93</v>
      </c>
      <c r="F75" s="33">
        <f t="shared" si="4"/>
        <v>32.531999999999996</v>
      </c>
      <c r="G75" s="33" t="s">
        <v>9</v>
      </c>
      <c r="H75" s="33">
        <f t="shared" si="1"/>
        <v>1860.5519999999997</v>
      </c>
      <c r="I75" s="33">
        <f t="shared" si="5"/>
        <v>8292.3080000000009</v>
      </c>
      <c r="J75" s="236">
        <f t="shared" si="3"/>
        <v>127.21022525164247</v>
      </c>
      <c r="K75" s="248"/>
      <c r="L75" s="191"/>
      <c r="M75" s="24"/>
    </row>
    <row r="76" spans="1:13" s="18" customFormat="1" ht="13" customHeight="1">
      <c r="A76" s="687" t="s">
        <v>98</v>
      </c>
      <c r="B76" s="688"/>
      <c r="C76" s="689"/>
      <c r="D76" s="230">
        <f t="shared" si="6"/>
        <v>321</v>
      </c>
      <c r="E76" s="363">
        <v>33.5</v>
      </c>
      <c r="F76" s="33">
        <f t="shared" si="4"/>
        <v>33.101999999999997</v>
      </c>
      <c r="G76" s="33" t="s">
        <v>9</v>
      </c>
      <c r="H76" s="33">
        <f t="shared" si="1"/>
        <v>1893.6539999999998</v>
      </c>
      <c r="I76" s="33">
        <f t="shared" si="5"/>
        <v>8259.2060000000001</v>
      </c>
      <c r="J76" s="236">
        <f t="shared" si="3"/>
        <v>127.96120822673797</v>
      </c>
      <c r="K76" s="249"/>
      <c r="L76" s="191"/>
      <c r="M76" s="24"/>
    </row>
    <row r="77" spans="1:13" s="18" customFormat="1" ht="13" customHeight="1">
      <c r="A77" s="687" t="s">
        <v>98</v>
      </c>
      <c r="B77" s="688"/>
      <c r="C77" s="689"/>
      <c r="D77" s="230">
        <f t="shared" si="6"/>
        <v>320</v>
      </c>
      <c r="E77" s="363">
        <v>33.340000000000003</v>
      </c>
      <c r="F77" s="33">
        <f t="shared" si="4"/>
        <v>32.942</v>
      </c>
      <c r="G77" s="33" t="s">
        <v>9</v>
      </c>
      <c r="H77" s="33">
        <f t="shared" ref="H77:H140" si="7">IF(G77="IN",H76+F77,H76)</f>
        <v>1926.5959999999998</v>
      </c>
      <c r="I77" s="33">
        <f t="shared" si="5"/>
        <v>8226.264000000001</v>
      </c>
      <c r="J77" s="236">
        <f t="shared" si="3"/>
        <v>128.70856129197858</v>
      </c>
      <c r="K77" s="248"/>
      <c r="L77" s="191"/>
      <c r="M77" s="24"/>
    </row>
    <row r="78" spans="1:13" s="18" customFormat="1" ht="13" customHeight="1">
      <c r="A78" s="687" t="s">
        <v>98</v>
      </c>
      <c r="B78" s="688"/>
      <c r="C78" s="689"/>
      <c r="D78" s="230">
        <f t="shared" si="6"/>
        <v>319</v>
      </c>
      <c r="E78" s="363">
        <v>33.47</v>
      </c>
      <c r="F78" s="33">
        <f t="shared" si="4"/>
        <v>33.071999999999996</v>
      </c>
      <c r="G78" s="33" t="s">
        <v>9</v>
      </c>
      <c r="H78" s="33">
        <f t="shared" si="7"/>
        <v>1959.6679999999997</v>
      </c>
      <c r="I78" s="33">
        <f t="shared" si="5"/>
        <v>8193.1920000000009</v>
      </c>
      <c r="J78" s="236">
        <f t="shared" si="3"/>
        <v>129.4588636589763</v>
      </c>
      <c r="K78" s="249"/>
      <c r="L78" s="191"/>
      <c r="M78" s="24"/>
    </row>
    <row r="79" spans="1:13" s="18" customFormat="1" ht="13" customHeight="1">
      <c r="A79" s="687" t="s">
        <v>98</v>
      </c>
      <c r="B79" s="688"/>
      <c r="C79" s="689"/>
      <c r="D79" s="230">
        <f t="shared" si="6"/>
        <v>318</v>
      </c>
      <c r="E79" s="363">
        <v>33.28</v>
      </c>
      <c r="F79" s="33">
        <f t="shared" si="4"/>
        <v>32.881999999999998</v>
      </c>
      <c r="G79" s="33" t="s">
        <v>9</v>
      </c>
      <c r="H79" s="33">
        <f t="shared" si="7"/>
        <v>1992.5499999999997</v>
      </c>
      <c r="I79" s="33">
        <f t="shared" si="5"/>
        <v>8160.3100000000013</v>
      </c>
      <c r="J79" s="236">
        <f t="shared" si="3"/>
        <v>130.20485550802138</v>
      </c>
      <c r="K79" s="248"/>
      <c r="L79" s="220"/>
      <c r="M79" s="24"/>
    </row>
    <row r="80" spans="1:13" s="18" customFormat="1" ht="13" customHeight="1">
      <c r="A80" s="687" t="s">
        <v>98</v>
      </c>
      <c r="B80" s="688"/>
      <c r="C80" s="689"/>
      <c r="D80" s="230">
        <f t="shared" si="6"/>
        <v>317</v>
      </c>
      <c r="E80" s="363">
        <v>33.479999999999997</v>
      </c>
      <c r="F80" s="33">
        <f t="shared" si="4"/>
        <v>33.081999999999994</v>
      </c>
      <c r="G80" s="33" t="s">
        <v>9</v>
      </c>
      <c r="H80" s="33">
        <f t="shared" si="7"/>
        <v>2025.6319999999996</v>
      </c>
      <c r="I80" s="33">
        <f t="shared" si="5"/>
        <v>8127.228000000001</v>
      </c>
      <c r="J80" s="236">
        <f t="shared" ref="J80:J143" si="8">$G$6+(H80*$E$7*$G$8/1000)</f>
        <v>130.95538474438501</v>
      </c>
      <c r="K80" s="248"/>
      <c r="L80" s="220"/>
    </row>
    <row r="81" spans="1:13" s="18" customFormat="1" ht="13" customHeight="1">
      <c r="A81" s="687" t="s">
        <v>98</v>
      </c>
      <c r="B81" s="688"/>
      <c r="C81" s="689"/>
      <c r="D81" s="230">
        <f t="shared" si="6"/>
        <v>316</v>
      </c>
      <c r="E81" s="363">
        <v>33.64</v>
      </c>
      <c r="F81" s="33">
        <f t="shared" si="4"/>
        <v>33.241999999999997</v>
      </c>
      <c r="G81" s="33" t="s">
        <v>9</v>
      </c>
      <c r="H81" s="33">
        <f t="shared" si="7"/>
        <v>2058.8739999999998</v>
      </c>
      <c r="I81" s="33">
        <f t="shared" si="5"/>
        <v>8093.9860000000008</v>
      </c>
      <c r="J81" s="236">
        <f t="shared" si="8"/>
        <v>131.7095438906035</v>
      </c>
      <c r="K81" s="248"/>
      <c r="L81" s="191"/>
      <c r="M81" s="25"/>
    </row>
    <row r="82" spans="1:13" s="18" customFormat="1" ht="13" customHeight="1">
      <c r="A82" s="687" t="s">
        <v>98</v>
      </c>
      <c r="B82" s="688"/>
      <c r="C82" s="689"/>
      <c r="D82" s="230">
        <f t="shared" si="6"/>
        <v>315</v>
      </c>
      <c r="E82" s="363">
        <v>33.340000000000003</v>
      </c>
      <c r="F82" s="33">
        <f t="shared" si="4"/>
        <v>32.942</v>
      </c>
      <c r="G82" s="33" t="s">
        <v>9</v>
      </c>
      <c r="H82" s="33">
        <f t="shared" si="7"/>
        <v>2091.8159999999998</v>
      </c>
      <c r="I82" s="33">
        <f t="shared" si="5"/>
        <v>8061.0440000000008</v>
      </c>
      <c r="J82" s="236">
        <f t="shared" si="8"/>
        <v>132.45689695584414</v>
      </c>
      <c r="K82" s="249"/>
      <c r="L82" s="191"/>
    </row>
    <row r="83" spans="1:13" s="18" customFormat="1" ht="13" customHeight="1">
      <c r="A83" s="687" t="s">
        <v>98</v>
      </c>
      <c r="B83" s="688"/>
      <c r="C83" s="689"/>
      <c r="D83" s="230">
        <f t="shared" si="6"/>
        <v>314</v>
      </c>
      <c r="E83" s="363">
        <v>33.47</v>
      </c>
      <c r="F83" s="33">
        <f t="shared" si="4"/>
        <v>33.071999999999996</v>
      </c>
      <c r="G83" s="33" t="s">
        <v>9</v>
      </c>
      <c r="H83" s="33">
        <f t="shared" si="7"/>
        <v>2124.8879999999999</v>
      </c>
      <c r="I83" s="33">
        <f t="shared" si="5"/>
        <v>8027.9720000000007</v>
      </c>
      <c r="J83" s="236">
        <f t="shared" si="8"/>
        <v>133.20719932284186</v>
      </c>
      <c r="K83" s="248"/>
      <c r="L83" s="191"/>
    </row>
    <row r="84" spans="1:13" s="18" customFormat="1" ht="13" customHeight="1">
      <c r="A84" s="687" t="s">
        <v>98</v>
      </c>
      <c r="B84" s="688"/>
      <c r="C84" s="689"/>
      <c r="D84" s="230">
        <f t="shared" si="6"/>
        <v>313</v>
      </c>
      <c r="E84" s="363">
        <v>33.92</v>
      </c>
      <c r="F84" s="33">
        <f t="shared" si="4"/>
        <v>33.521999999999998</v>
      </c>
      <c r="G84" s="33" t="s">
        <v>9</v>
      </c>
      <c r="H84" s="33">
        <f t="shared" si="7"/>
        <v>2158.41</v>
      </c>
      <c r="I84" s="33">
        <f t="shared" si="5"/>
        <v>7994.4500000000007</v>
      </c>
      <c r="J84" s="236">
        <f t="shared" si="8"/>
        <v>133.96771081130635</v>
      </c>
      <c r="K84" s="249"/>
      <c r="L84" s="191"/>
    </row>
    <row r="85" spans="1:13" s="18" customFormat="1" ht="13" customHeight="1">
      <c r="A85" s="687" t="s">
        <v>98</v>
      </c>
      <c r="B85" s="688"/>
      <c r="C85" s="689"/>
      <c r="D85" s="230">
        <f t="shared" si="6"/>
        <v>312</v>
      </c>
      <c r="E85" s="363">
        <v>32.479999999999997</v>
      </c>
      <c r="F85" s="33">
        <f t="shared" si="4"/>
        <v>32.081999999999994</v>
      </c>
      <c r="G85" s="19" t="s">
        <v>9</v>
      </c>
      <c r="H85" s="33">
        <f t="shared" si="7"/>
        <v>2190.4919999999997</v>
      </c>
      <c r="I85" s="33">
        <f t="shared" si="5"/>
        <v>7962.3680000000004</v>
      </c>
      <c r="J85" s="236">
        <f t="shared" si="8"/>
        <v>134.69555311107715</v>
      </c>
      <c r="K85" s="217"/>
      <c r="L85" s="191"/>
    </row>
    <row r="86" spans="1:13" s="18" customFormat="1" ht="13" customHeight="1">
      <c r="A86" s="687" t="s">
        <v>98</v>
      </c>
      <c r="B86" s="688"/>
      <c r="C86" s="689"/>
      <c r="D86" s="230">
        <f t="shared" si="6"/>
        <v>311</v>
      </c>
      <c r="E86" s="363">
        <v>33.68</v>
      </c>
      <c r="F86" s="33">
        <f t="shared" si="4"/>
        <v>33.281999999999996</v>
      </c>
      <c r="G86" s="19" t="s">
        <v>9</v>
      </c>
      <c r="H86" s="33">
        <f t="shared" si="7"/>
        <v>2223.7739999999999</v>
      </c>
      <c r="I86" s="33">
        <f t="shared" si="5"/>
        <v>7929.0860000000011</v>
      </c>
      <c r="J86" s="236">
        <f t="shared" si="8"/>
        <v>135.45061973475936</v>
      </c>
      <c r="K86" s="332"/>
      <c r="L86" s="191"/>
    </row>
    <row r="87" spans="1:13" s="18" customFormat="1" ht="13" customHeight="1">
      <c r="A87" s="687" t="s">
        <v>98</v>
      </c>
      <c r="B87" s="688"/>
      <c r="C87" s="689"/>
      <c r="D87" s="230">
        <f t="shared" si="6"/>
        <v>310</v>
      </c>
      <c r="E87" s="363">
        <v>33.68</v>
      </c>
      <c r="F87" s="33">
        <f t="shared" ref="F87:F150" si="9">E87-($E$9)</f>
        <v>33.281999999999996</v>
      </c>
      <c r="G87" s="19" t="s">
        <v>9</v>
      </c>
      <c r="H87" s="33">
        <f t="shared" si="7"/>
        <v>2257.056</v>
      </c>
      <c r="I87" s="33">
        <f t="shared" ref="I87:I150" si="10">IF(H87="","",$K$6-H87)</f>
        <v>7895.8040000000001</v>
      </c>
      <c r="J87" s="236">
        <f t="shared" si="8"/>
        <v>136.20568635844154</v>
      </c>
      <c r="K87" s="332"/>
      <c r="L87" s="191"/>
    </row>
    <row r="88" spans="1:13" s="18" customFormat="1" ht="13" customHeight="1">
      <c r="A88" s="687" t="s">
        <v>98</v>
      </c>
      <c r="B88" s="688"/>
      <c r="C88" s="689"/>
      <c r="D88" s="230">
        <f t="shared" ref="D88:D151" si="11">D87-1</f>
        <v>309</v>
      </c>
      <c r="E88" s="363">
        <v>33.479999999999997</v>
      </c>
      <c r="F88" s="33">
        <f t="shared" si="9"/>
        <v>33.081999999999994</v>
      </c>
      <c r="G88" s="19" t="s">
        <v>9</v>
      </c>
      <c r="H88" s="33">
        <f t="shared" si="7"/>
        <v>2290.1379999999999</v>
      </c>
      <c r="I88" s="33">
        <f t="shared" si="10"/>
        <v>7862.7220000000007</v>
      </c>
      <c r="J88" s="236">
        <f t="shared" si="8"/>
        <v>136.9562155948052</v>
      </c>
      <c r="K88" s="332"/>
      <c r="L88" s="191"/>
    </row>
    <row r="89" spans="1:13" s="18" customFormat="1" ht="13" customHeight="1">
      <c r="A89" s="687" t="s">
        <v>98</v>
      </c>
      <c r="B89" s="688"/>
      <c r="C89" s="689"/>
      <c r="D89" s="230">
        <f t="shared" si="11"/>
        <v>308</v>
      </c>
      <c r="E89" s="363">
        <v>33.75</v>
      </c>
      <c r="F89" s="33">
        <f t="shared" si="9"/>
        <v>33.351999999999997</v>
      </c>
      <c r="G89" s="19" t="s">
        <v>9</v>
      </c>
      <c r="H89" s="33">
        <f t="shared" si="7"/>
        <v>2323.4899999999998</v>
      </c>
      <c r="I89" s="33">
        <f t="shared" si="10"/>
        <v>7829.3700000000008</v>
      </c>
      <c r="J89" s="236">
        <f t="shared" si="8"/>
        <v>137.71287030404889</v>
      </c>
      <c r="K89" s="332"/>
      <c r="L89" s="191"/>
    </row>
    <row r="90" spans="1:13" s="18" customFormat="1" ht="13" customHeight="1">
      <c r="A90" s="687" t="s">
        <v>98</v>
      </c>
      <c r="B90" s="688"/>
      <c r="C90" s="689"/>
      <c r="D90" s="230">
        <f t="shared" si="11"/>
        <v>307</v>
      </c>
      <c r="E90" s="363">
        <v>33.479999999999997</v>
      </c>
      <c r="F90" s="33">
        <f t="shared" si="9"/>
        <v>33.081999999999994</v>
      </c>
      <c r="G90" s="19" t="s">
        <v>9</v>
      </c>
      <c r="H90" s="33">
        <f t="shared" si="7"/>
        <v>2356.5719999999997</v>
      </c>
      <c r="I90" s="33">
        <f t="shared" si="10"/>
        <v>7796.2880000000005</v>
      </c>
      <c r="J90" s="236">
        <f t="shared" si="8"/>
        <v>138.46339954041252</v>
      </c>
      <c r="K90" s="248"/>
      <c r="L90" s="220"/>
    </row>
    <row r="91" spans="1:13" s="18" customFormat="1" ht="13" customHeight="1">
      <c r="A91" s="687" t="s">
        <v>98</v>
      </c>
      <c r="B91" s="688"/>
      <c r="C91" s="689"/>
      <c r="D91" s="230">
        <f t="shared" si="11"/>
        <v>306</v>
      </c>
      <c r="E91" s="363">
        <v>33.21</v>
      </c>
      <c r="F91" s="33">
        <f t="shared" si="9"/>
        <v>32.811999999999998</v>
      </c>
      <c r="G91" s="19" t="s">
        <v>9</v>
      </c>
      <c r="H91" s="33">
        <f t="shared" si="7"/>
        <v>2389.3839999999996</v>
      </c>
      <c r="I91" s="33">
        <f t="shared" si="10"/>
        <v>7763.4760000000006</v>
      </c>
      <c r="J91" s="236">
        <f t="shared" si="8"/>
        <v>139.2078033038961</v>
      </c>
      <c r="K91" s="218"/>
      <c r="L91" s="220"/>
      <c r="M91" s="25"/>
    </row>
    <row r="92" spans="1:13" s="18" customFormat="1" ht="13" customHeight="1">
      <c r="A92" s="687" t="s">
        <v>98</v>
      </c>
      <c r="B92" s="688"/>
      <c r="C92" s="689"/>
      <c r="D92" s="230">
        <f t="shared" si="11"/>
        <v>305</v>
      </c>
      <c r="E92" s="363">
        <v>32.92</v>
      </c>
      <c r="F92" s="33">
        <f t="shared" si="9"/>
        <v>32.521999999999998</v>
      </c>
      <c r="G92" s="19" t="s">
        <v>9</v>
      </c>
      <c r="H92" s="33">
        <f t="shared" si="7"/>
        <v>2421.9059999999995</v>
      </c>
      <c r="I92" s="33">
        <f t="shared" si="10"/>
        <v>7730.9540000000015</v>
      </c>
      <c r="J92" s="236">
        <f t="shared" si="8"/>
        <v>139.94562785576775</v>
      </c>
      <c r="K92" s="248"/>
      <c r="L92" s="220"/>
    </row>
    <row r="93" spans="1:13" s="18" customFormat="1" ht="13" customHeight="1">
      <c r="A93" s="687" t="s">
        <v>98</v>
      </c>
      <c r="B93" s="688"/>
      <c r="C93" s="689"/>
      <c r="D93" s="230">
        <f t="shared" si="11"/>
        <v>304</v>
      </c>
      <c r="E93" s="363">
        <v>33.54</v>
      </c>
      <c r="F93" s="33">
        <f t="shared" si="9"/>
        <v>33.141999999999996</v>
      </c>
      <c r="G93" s="19" t="s">
        <v>9</v>
      </c>
      <c r="H93" s="33">
        <f t="shared" si="7"/>
        <v>2455.0479999999993</v>
      </c>
      <c r="I93" s="33">
        <f t="shared" si="10"/>
        <v>7697.8120000000017</v>
      </c>
      <c r="J93" s="236">
        <f t="shared" si="8"/>
        <v>140.69751830832695</v>
      </c>
      <c r="K93" s="373"/>
      <c r="L93" s="222"/>
    </row>
    <row r="94" spans="1:13" s="18" customFormat="1" ht="13" customHeight="1">
      <c r="A94" s="687" t="s">
        <v>98</v>
      </c>
      <c r="B94" s="688"/>
      <c r="C94" s="689"/>
      <c r="D94" s="230">
        <f t="shared" si="11"/>
        <v>303</v>
      </c>
      <c r="E94" s="363">
        <v>33.56</v>
      </c>
      <c r="F94" s="33">
        <f t="shared" si="9"/>
        <v>33.161999999999999</v>
      </c>
      <c r="G94" s="19" t="s">
        <v>9</v>
      </c>
      <c r="H94" s="33">
        <f t="shared" si="7"/>
        <v>2488.2099999999991</v>
      </c>
      <c r="I94" s="33">
        <f t="shared" si="10"/>
        <v>7664.6500000000015</v>
      </c>
      <c r="J94" s="236">
        <f t="shared" si="8"/>
        <v>141.44986249961801</v>
      </c>
      <c r="K94" s="373"/>
      <c r="L94" s="222"/>
    </row>
    <row r="95" spans="1:13" s="18" customFormat="1" ht="13" customHeight="1">
      <c r="A95" s="687" t="s">
        <v>98</v>
      </c>
      <c r="B95" s="688"/>
      <c r="C95" s="689"/>
      <c r="D95" s="230">
        <f t="shared" si="11"/>
        <v>302</v>
      </c>
      <c r="E95" s="363">
        <v>33.36</v>
      </c>
      <c r="F95" s="33">
        <f t="shared" si="9"/>
        <v>32.961999999999996</v>
      </c>
      <c r="G95" s="19" t="s">
        <v>9</v>
      </c>
      <c r="H95" s="33">
        <f t="shared" si="7"/>
        <v>2521.1719999999991</v>
      </c>
      <c r="I95" s="33">
        <f t="shared" si="10"/>
        <v>7631.6880000000019</v>
      </c>
      <c r="J95" s="236">
        <f t="shared" si="8"/>
        <v>142.19766930359049</v>
      </c>
      <c r="K95" s="373"/>
      <c r="L95" s="222"/>
    </row>
    <row r="96" spans="1:13" s="18" customFormat="1">
      <c r="A96" s="687" t="s">
        <v>98</v>
      </c>
      <c r="B96" s="688"/>
      <c r="C96" s="689"/>
      <c r="D96" s="230">
        <f t="shared" si="11"/>
        <v>301</v>
      </c>
      <c r="E96" s="363">
        <v>33.94</v>
      </c>
      <c r="F96" s="33">
        <f t="shared" si="9"/>
        <v>33.541999999999994</v>
      </c>
      <c r="G96" s="19" t="s">
        <v>9</v>
      </c>
      <c r="H96" s="33">
        <f t="shared" si="7"/>
        <v>2554.713999999999</v>
      </c>
      <c r="I96" s="33">
        <f t="shared" si="10"/>
        <v>7598.1460000000015</v>
      </c>
      <c r="J96" s="236">
        <f t="shared" si="8"/>
        <v>142.95863453078684</v>
      </c>
      <c r="K96" s="373"/>
      <c r="L96" s="222"/>
      <c r="M96" s="25"/>
    </row>
    <row r="97" spans="1:13" s="18" customFormat="1">
      <c r="A97" s="687" t="s">
        <v>98</v>
      </c>
      <c r="B97" s="688"/>
      <c r="C97" s="689"/>
      <c r="D97" s="230">
        <f t="shared" si="11"/>
        <v>300</v>
      </c>
      <c r="E97" s="363">
        <v>33.82</v>
      </c>
      <c r="F97" s="33">
        <f t="shared" si="9"/>
        <v>33.421999999999997</v>
      </c>
      <c r="G97" s="19" t="s">
        <v>9</v>
      </c>
      <c r="H97" s="33">
        <f t="shared" si="7"/>
        <v>2588.1359999999991</v>
      </c>
      <c r="I97" s="33">
        <f t="shared" si="10"/>
        <v>7564.724000000002</v>
      </c>
      <c r="J97" s="236">
        <f t="shared" si="8"/>
        <v>143.71687732559204</v>
      </c>
      <c r="K97" s="373"/>
      <c r="L97" s="222"/>
    </row>
    <row r="98" spans="1:13" s="18" customFormat="1">
      <c r="A98" s="687" t="s">
        <v>98</v>
      </c>
      <c r="B98" s="688"/>
      <c r="C98" s="689"/>
      <c r="D98" s="230">
        <f t="shared" si="11"/>
        <v>299</v>
      </c>
      <c r="E98" s="363">
        <v>33.75</v>
      </c>
      <c r="F98" s="33">
        <f t="shared" si="9"/>
        <v>33.351999999999997</v>
      </c>
      <c r="G98" s="19" t="s">
        <v>9</v>
      </c>
      <c r="H98" s="33">
        <f t="shared" si="7"/>
        <v>2621.4879999999989</v>
      </c>
      <c r="I98" s="33">
        <f t="shared" si="10"/>
        <v>7531.3720000000012</v>
      </c>
      <c r="J98" s="236">
        <f t="shared" si="8"/>
        <v>144.47353203483573</v>
      </c>
      <c r="K98" s="373"/>
      <c r="L98" s="222"/>
    </row>
    <row r="99" spans="1:13" s="18" customFormat="1">
      <c r="A99" s="687" t="s">
        <v>98</v>
      </c>
      <c r="B99" s="688"/>
      <c r="C99" s="689"/>
      <c r="D99" s="230">
        <f t="shared" si="11"/>
        <v>298</v>
      </c>
      <c r="E99" s="363">
        <v>33.28</v>
      </c>
      <c r="F99" s="33">
        <f t="shared" si="9"/>
        <v>32.881999999999998</v>
      </c>
      <c r="G99" s="19" t="s">
        <v>9</v>
      </c>
      <c r="H99" s="33">
        <f t="shared" si="7"/>
        <v>2654.369999999999</v>
      </c>
      <c r="I99" s="33">
        <f t="shared" si="10"/>
        <v>7498.4900000000016</v>
      </c>
      <c r="J99" s="236">
        <f t="shared" si="8"/>
        <v>145.21952388388078</v>
      </c>
      <c r="K99" s="373"/>
      <c r="L99" s="222"/>
    </row>
    <row r="100" spans="1:13" s="18" customFormat="1">
      <c r="A100" s="687" t="s">
        <v>98</v>
      </c>
      <c r="B100" s="688"/>
      <c r="C100" s="689"/>
      <c r="D100" s="230">
        <f t="shared" si="11"/>
        <v>297</v>
      </c>
      <c r="E100" s="363">
        <v>33.74</v>
      </c>
      <c r="F100" s="33">
        <f t="shared" si="9"/>
        <v>33.341999999999999</v>
      </c>
      <c r="G100" s="19" t="s">
        <v>9</v>
      </c>
      <c r="H100" s="33">
        <f t="shared" si="7"/>
        <v>2687.7119999999991</v>
      </c>
      <c r="I100" s="33">
        <f t="shared" si="10"/>
        <v>7465.148000000001</v>
      </c>
      <c r="J100" s="236">
        <f t="shared" si="8"/>
        <v>145.97595172375856</v>
      </c>
      <c r="K100" s="373"/>
      <c r="L100" s="222"/>
    </row>
    <row r="101" spans="1:13" s="18" customFormat="1">
      <c r="A101" s="687" t="s">
        <v>98</v>
      </c>
      <c r="B101" s="688"/>
      <c r="C101" s="689"/>
      <c r="D101" s="230">
        <f t="shared" si="11"/>
        <v>296</v>
      </c>
      <c r="E101" s="363">
        <v>33.200000000000003</v>
      </c>
      <c r="F101" s="33">
        <f t="shared" si="9"/>
        <v>32.802</v>
      </c>
      <c r="G101" s="19" t="s">
        <v>9</v>
      </c>
      <c r="H101" s="33">
        <f t="shared" si="7"/>
        <v>2720.5139999999992</v>
      </c>
      <c r="I101" s="33">
        <f t="shared" si="10"/>
        <v>7432.3460000000014</v>
      </c>
      <c r="J101" s="236">
        <f t="shared" si="8"/>
        <v>146.72012861787621</v>
      </c>
      <c r="K101" s="373"/>
      <c r="L101" s="222"/>
      <c r="M101" s="25"/>
    </row>
    <row r="102" spans="1:13" s="18" customFormat="1">
      <c r="A102" s="687" t="s">
        <v>98</v>
      </c>
      <c r="B102" s="688"/>
      <c r="C102" s="689"/>
      <c r="D102" s="230">
        <f t="shared" si="11"/>
        <v>295</v>
      </c>
      <c r="E102" s="363">
        <v>33.64</v>
      </c>
      <c r="F102" s="33">
        <f t="shared" si="9"/>
        <v>33.241999999999997</v>
      </c>
      <c r="G102" s="19" t="s">
        <v>9</v>
      </c>
      <c r="H102" s="33">
        <f t="shared" si="7"/>
        <v>2753.7559999999994</v>
      </c>
      <c r="I102" s="33">
        <f t="shared" si="10"/>
        <v>7399.1040000000012</v>
      </c>
      <c r="J102" s="236">
        <f t="shared" si="8"/>
        <v>147.4742877640947</v>
      </c>
      <c r="K102" s="373"/>
      <c r="L102" s="222"/>
    </row>
    <row r="103" spans="1:13" s="18" customFormat="1">
      <c r="A103" s="687" t="s">
        <v>98</v>
      </c>
      <c r="B103" s="688"/>
      <c r="C103" s="689"/>
      <c r="D103" s="230">
        <f t="shared" si="11"/>
        <v>294</v>
      </c>
      <c r="E103" s="363">
        <v>33.54</v>
      </c>
      <c r="F103" s="33">
        <f t="shared" si="9"/>
        <v>33.141999999999996</v>
      </c>
      <c r="G103" s="19" t="s">
        <v>9</v>
      </c>
      <c r="H103" s="33">
        <f t="shared" si="7"/>
        <v>2786.8979999999992</v>
      </c>
      <c r="I103" s="33">
        <f t="shared" si="10"/>
        <v>7365.9620000000014</v>
      </c>
      <c r="J103" s="236">
        <f t="shared" si="8"/>
        <v>148.22617821665392</v>
      </c>
      <c r="K103" s="276"/>
      <c r="L103" s="222"/>
      <c r="M103" s="31"/>
    </row>
    <row r="104" spans="1:13" s="18" customFormat="1">
      <c r="A104" s="687" t="s">
        <v>98</v>
      </c>
      <c r="B104" s="688"/>
      <c r="C104" s="689"/>
      <c r="D104" s="230">
        <f t="shared" si="11"/>
        <v>293</v>
      </c>
      <c r="E104" s="363">
        <v>33.630000000000003</v>
      </c>
      <c r="F104" s="33">
        <f t="shared" si="9"/>
        <v>33.231999999999999</v>
      </c>
      <c r="G104" s="19" t="s">
        <v>9</v>
      </c>
      <c r="H104" s="33">
        <f t="shared" si="7"/>
        <v>2820.1299999999992</v>
      </c>
      <c r="I104" s="33">
        <f t="shared" si="10"/>
        <v>7332.7300000000014</v>
      </c>
      <c r="J104" s="236">
        <f t="shared" si="8"/>
        <v>148.98011049350646</v>
      </c>
      <c r="K104" s="276"/>
      <c r="L104" s="222"/>
    </row>
    <row r="105" spans="1:13" s="18" customFormat="1">
      <c r="A105" s="687" t="s">
        <v>98</v>
      </c>
      <c r="B105" s="688"/>
      <c r="C105" s="689"/>
      <c r="D105" s="230">
        <f t="shared" si="11"/>
        <v>292</v>
      </c>
      <c r="E105" s="363">
        <v>33.78</v>
      </c>
      <c r="F105" s="33">
        <f t="shared" si="9"/>
        <v>33.381999999999998</v>
      </c>
      <c r="G105" s="19" t="s">
        <v>9</v>
      </c>
      <c r="H105" s="33">
        <f t="shared" si="7"/>
        <v>2853.5119999999993</v>
      </c>
      <c r="I105" s="33">
        <f t="shared" si="10"/>
        <v>7299.3480000000018</v>
      </c>
      <c r="J105" s="236">
        <f t="shared" si="8"/>
        <v>149.73744581084796</v>
      </c>
      <c r="K105" s="276"/>
      <c r="L105" s="222"/>
    </row>
    <row r="106" spans="1:13" s="18" customFormat="1">
      <c r="A106" s="687" t="s">
        <v>98</v>
      </c>
      <c r="B106" s="688"/>
      <c r="C106" s="689"/>
      <c r="D106" s="230">
        <f t="shared" si="11"/>
        <v>291</v>
      </c>
      <c r="E106" s="363">
        <v>33.83</v>
      </c>
      <c r="F106" s="33">
        <f t="shared" si="9"/>
        <v>33.431999999999995</v>
      </c>
      <c r="G106" s="19" t="s">
        <v>9</v>
      </c>
      <c r="H106" s="33">
        <f t="shared" si="7"/>
        <v>2886.9439999999991</v>
      </c>
      <c r="I106" s="33">
        <f t="shared" si="10"/>
        <v>7265.9160000000011</v>
      </c>
      <c r="J106" s="236">
        <f t="shared" si="8"/>
        <v>150.49591547501907</v>
      </c>
      <c r="K106" s="373"/>
      <c r="L106" s="222"/>
    </row>
    <row r="107" spans="1:13" s="18" customFormat="1">
      <c r="A107" s="687" t="s">
        <v>98</v>
      </c>
      <c r="B107" s="688"/>
      <c r="C107" s="689"/>
      <c r="D107" s="230">
        <f t="shared" si="11"/>
        <v>290</v>
      </c>
      <c r="E107" s="363">
        <v>33.770000000000003</v>
      </c>
      <c r="F107" s="33">
        <f t="shared" si="9"/>
        <v>33.372</v>
      </c>
      <c r="G107" s="19" t="s">
        <v>9</v>
      </c>
      <c r="H107" s="33">
        <f t="shared" si="7"/>
        <v>2920.3159999999989</v>
      </c>
      <c r="I107" s="33">
        <f t="shared" si="10"/>
        <v>7232.5440000000017</v>
      </c>
      <c r="J107" s="236">
        <f t="shared" si="8"/>
        <v>151.2530239229946</v>
      </c>
      <c r="K107" s="373"/>
      <c r="L107" s="222"/>
    </row>
    <row r="108" spans="1:13" s="18" customFormat="1">
      <c r="A108" s="687" t="s">
        <v>98</v>
      </c>
      <c r="B108" s="688"/>
      <c r="C108" s="689"/>
      <c r="D108" s="230">
        <f t="shared" si="11"/>
        <v>289</v>
      </c>
      <c r="E108" s="363">
        <v>33.9</v>
      </c>
      <c r="F108" s="33">
        <f t="shared" si="9"/>
        <v>33.501999999999995</v>
      </c>
      <c r="G108" s="19" t="s">
        <v>9</v>
      </c>
      <c r="H108" s="33">
        <f t="shared" si="7"/>
        <v>2953.8179999999988</v>
      </c>
      <c r="I108" s="33">
        <f t="shared" si="10"/>
        <v>7199.0420000000013</v>
      </c>
      <c r="J108" s="236">
        <f t="shared" si="8"/>
        <v>152.01308167272725</v>
      </c>
      <c r="K108" s="373"/>
      <c r="L108" s="222"/>
    </row>
    <row r="109" spans="1:13" s="18" customFormat="1">
      <c r="A109" s="687" t="s">
        <v>98</v>
      </c>
      <c r="B109" s="688"/>
      <c r="C109" s="689"/>
      <c r="D109" s="230">
        <f t="shared" si="11"/>
        <v>288</v>
      </c>
      <c r="E109" s="363">
        <v>33.409999999999997</v>
      </c>
      <c r="F109" s="33">
        <f t="shared" si="9"/>
        <v>33.011999999999993</v>
      </c>
      <c r="G109" s="19" t="s">
        <v>9</v>
      </c>
      <c r="H109" s="33">
        <f t="shared" si="7"/>
        <v>2986.829999999999</v>
      </c>
      <c r="I109" s="33">
        <f t="shared" si="10"/>
        <v>7166.0300000000016</v>
      </c>
      <c r="J109" s="236">
        <f t="shared" si="8"/>
        <v>152.76202282352938</v>
      </c>
      <c r="K109" s="373"/>
      <c r="L109" s="222"/>
    </row>
    <row r="110" spans="1:13" s="18" customFormat="1" ht="13" customHeight="1">
      <c r="A110" s="687" t="s">
        <v>98</v>
      </c>
      <c r="B110" s="688"/>
      <c r="C110" s="689"/>
      <c r="D110" s="230">
        <f t="shared" si="11"/>
        <v>287</v>
      </c>
      <c r="E110" s="363">
        <v>33.9</v>
      </c>
      <c r="F110" s="33">
        <f t="shared" si="9"/>
        <v>33.501999999999995</v>
      </c>
      <c r="G110" s="19" t="s">
        <v>9</v>
      </c>
      <c r="H110" s="33">
        <f t="shared" si="7"/>
        <v>3020.331999999999</v>
      </c>
      <c r="I110" s="33">
        <f t="shared" si="10"/>
        <v>7132.5280000000021</v>
      </c>
      <c r="J110" s="236">
        <f t="shared" si="8"/>
        <v>153.522080573262</v>
      </c>
      <c r="K110" s="332"/>
      <c r="L110" s="191"/>
    </row>
    <row r="111" spans="1:13" s="18" customFormat="1" ht="13" customHeight="1">
      <c r="A111" s="687" t="s">
        <v>98</v>
      </c>
      <c r="B111" s="688"/>
      <c r="C111" s="689"/>
      <c r="D111" s="230">
        <f t="shared" si="11"/>
        <v>286</v>
      </c>
      <c r="E111" s="363">
        <v>33.229999999999997</v>
      </c>
      <c r="F111" s="33">
        <f t="shared" si="9"/>
        <v>32.831999999999994</v>
      </c>
      <c r="G111" s="19" t="s">
        <v>9</v>
      </c>
      <c r="H111" s="33">
        <f t="shared" si="7"/>
        <v>3053.1639999999989</v>
      </c>
      <c r="I111" s="33">
        <f t="shared" si="10"/>
        <v>7099.6960000000017</v>
      </c>
      <c r="J111" s="236">
        <f t="shared" si="8"/>
        <v>154.26693807547741</v>
      </c>
      <c r="K111" s="332"/>
      <c r="L111" s="191"/>
    </row>
    <row r="112" spans="1:13" s="18" customFormat="1" ht="13" customHeight="1">
      <c r="A112" s="687" t="s">
        <v>98</v>
      </c>
      <c r="B112" s="688"/>
      <c r="C112" s="689"/>
      <c r="D112" s="230">
        <f t="shared" si="11"/>
        <v>285</v>
      </c>
      <c r="E112" s="363">
        <v>33.229999999999997</v>
      </c>
      <c r="F112" s="33">
        <f t="shared" si="9"/>
        <v>32.831999999999994</v>
      </c>
      <c r="G112" s="19" t="s">
        <v>9</v>
      </c>
      <c r="H112" s="33">
        <f t="shared" si="7"/>
        <v>3085.9959999999987</v>
      </c>
      <c r="I112" s="33">
        <f t="shared" si="10"/>
        <v>7066.8640000000014</v>
      </c>
      <c r="J112" s="236">
        <f t="shared" si="8"/>
        <v>155.01179557769285</v>
      </c>
      <c r="K112" s="248"/>
      <c r="L112" s="220"/>
    </row>
    <row r="113" spans="1:13" s="18" customFormat="1" ht="13" customHeight="1">
      <c r="A113" s="687" t="s">
        <v>98</v>
      </c>
      <c r="B113" s="688"/>
      <c r="C113" s="689"/>
      <c r="D113" s="230">
        <f t="shared" si="11"/>
        <v>284</v>
      </c>
      <c r="E113" s="363">
        <v>33.58</v>
      </c>
      <c r="F113" s="33">
        <f t="shared" si="9"/>
        <v>33.181999999999995</v>
      </c>
      <c r="G113" s="19" t="s">
        <v>9</v>
      </c>
      <c r="H113" s="33">
        <f t="shared" si="7"/>
        <v>3119.1779999999985</v>
      </c>
      <c r="I113" s="33">
        <f t="shared" si="10"/>
        <v>7033.6820000000025</v>
      </c>
      <c r="J113" s="236">
        <f t="shared" si="8"/>
        <v>155.76459350771577</v>
      </c>
      <c r="K113" s="218"/>
      <c r="L113" s="220"/>
      <c r="M113" s="25"/>
    </row>
    <row r="114" spans="1:13" s="18" customFormat="1" ht="13" customHeight="1">
      <c r="A114" s="687" t="s">
        <v>98</v>
      </c>
      <c r="B114" s="688"/>
      <c r="C114" s="689"/>
      <c r="D114" s="230">
        <f t="shared" si="11"/>
        <v>283</v>
      </c>
      <c r="E114" s="363">
        <v>33.090000000000003</v>
      </c>
      <c r="F114" s="33">
        <f t="shared" si="9"/>
        <v>32.692</v>
      </c>
      <c r="G114" s="19" t="s">
        <v>9</v>
      </c>
      <c r="H114" s="33">
        <f t="shared" si="7"/>
        <v>3151.8699999999985</v>
      </c>
      <c r="I114" s="33">
        <f t="shared" si="10"/>
        <v>7000.9900000000016</v>
      </c>
      <c r="J114" s="236">
        <f t="shared" si="8"/>
        <v>156.50627483880822</v>
      </c>
      <c r="K114" s="248"/>
      <c r="L114" s="220"/>
    </row>
    <row r="115" spans="1:13" s="18" customFormat="1" ht="13" customHeight="1">
      <c r="A115" s="687" t="s">
        <v>98</v>
      </c>
      <c r="B115" s="688"/>
      <c r="C115" s="689"/>
      <c r="D115" s="230">
        <f t="shared" si="11"/>
        <v>282</v>
      </c>
      <c r="E115" s="363">
        <v>33.340000000000003</v>
      </c>
      <c r="F115" s="33">
        <f t="shared" si="9"/>
        <v>32.942</v>
      </c>
      <c r="G115" s="19" t="s">
        <v>9</v>
      </c>
      <c r="H115" s="33">
        <f t="shared" si="7"/>
        <v>3184.8119999999985</v>
      </c>
      <c r="I115" s="33">
        <f t="shared" si="10"/>
        <v>6968.0480000000025</v>
      </c>
      <c r="J115" s="236">
        <f t="shared" si="8"/>
        <v>157.25362790404887</v>
      </c>
      <c r="K115" s="373"/>
      <c r="L115" s="222"/>
    </row>
    <row r="116" spans="1:13" s="18" customFormat="1" ht="13" customHeight="1">
      <c r="A116" s="687" t="s">
        <v>98</v>
      </c>
      <c r="B116" s="688"/>
      <c r="C116" s="689"/>
      <c r="D116" s="230">
        <f t="shared" si="11"/>
        <v>281</v>
      </c>
      <c r="E116" s="363">
        <v>33.22</v>
      </c>
      <c r="F116" s="33">
        <f t="shared" si="9"/>
        <v>32.821999999999996</v>
      </c>
      <c r="G116" s="19" t="s">
        <v>9</v>
      </c>
      <c r="H116" s="33">
        <f t="shared" si="7"/>
        <v>3217.6339999999987</v>
      </c>
      <c r="I116" s="33">
        <f t="shared" si="10"/>
        <v>6935.2260000000024</v>
      </c>
      <c r="J116" s="236">
        <f t="shared" si="8"/>
        <v>157.99825853689836</v>
      </c>
      <c r="K116" s="373"/>
      <c r="L116" s="222"/>
    </row>
    <row r="117" spans="1:13" s="18" customFormat="1" ht="13" customHeight="1">
      <c r="A117" s="687" t="s">
        <v>98</v>
      </c>
      <c r="B117" s="688"/>
      <c r="C117" s="689"/>
      <c r="D117" s="230">
        <f t="shared" si="11"/>
        <v>280</v>
      </c>
      <c r="E117" s="363">
        <v>33.92</v>
      </c>
      <c r="F117" s="33">
        <f t="shared" si="9"/>
        <v>33.521999999999998</v>
      </c>
      <c r="G117" s="19" t="s">
        <v>9</v>
      </c>
      <c r="H117" s="33">
        <f t="shared" si="7"/>
        <v>3251.1559999999986</v>
      </c>
      <c r="I117" s="33">
        <f t="shared" si="10"/>
        <v>6901.7040000000015</v>
      </c>
      <c r="J117" s="236">
        <f t="shared" si="8"/>
        <v>158.75877002536285</v>
      </c>
      <c r="K117" s="373"/>
      <c r="L117" s="222"/>
    </row>
    <row r="118" spans="1:13" s="18" customFormat="1">
      <c r="A118" s="687" t="s">
        <v>98</v>
      </c>
      <c r="B118" s="688"/>
      <c r="C118" s="689"/>
      <c r="D118" s="230">
        <f t="shared" si="11"/>
        <v>279</v>
      </c>
      <c r="E118" s="363">
        <v>32.6</v>
      </c>
      <c r="F118" s="33">
        <f t="shared" si="9"/>
        <v>32.201999999999998</v>
      </c>
      <c r="G118" s="19" t="s">
        <v>9</v>
      </c>
      <c r="H118" s="33">
        <f t="shared" si="7"/>
        <v>3283.3579999999984</v>
      </c>
      <c r="I118" s="33">
        <f t="shared" si="10"/>
        <v>6869.5020000000022</v>
      </c>
      <c r="J118" s="236">
        <f t="shared" si="8"/>
        <v>159.48933475752477</v>
      </c>
      <c r="K118" s="373"/>
      <c r="L118" s="222"/>
      <c r="M118" s="25"/>
    </row>
    <row r="119" spans="1:13" s="18" customFormat="1">
      <c r="A119" s="687" t="s">
        <v>98</v>
      </c>
      <c r="B119" s="688"/>
      <c r="C119" s="689"/>
      <c r="D119" s="230">
        <f t="shared" si="11"/>
        <v>278</v>
      </c>
      <c r="E119" s="363">
        <v>33.47</v>
      </c>
      <c r="F119" s="33">
        <f t="shared" si="9"/>
        <v>33.071999999999996</v>
      </c>
      <c r="G119" s="19" t="s">
        <v>9</v>
      </c>
      <c r="H119" s="33">
        <f t="shared" si="7"/>
        <v>3316.4299999999985</v>
      </c>
      <c r="I119" s="33">
        <f t="shared" si="10"/>
        <v>6836.4300000000021</v>
      </c>
      <c r="J119" s="236">
        <f t="shared" si="8"/>
        <v>160.23963712452252</v>
      </c>
      <c r="K119" s="373"/>
      <c r="L119" s="222"/>
    </row>
    <row r="120" spans="1:13" s="18" customFormat="1">
      <c r="A120" s="687" t="s">
        <v>98</v>
      </c>
      <c r="B120" s="688"/>
      <c r="C120" s="689"/>
      <c r="D120" s="230">
        <f t="shared" si="11"/>
        <v>277</v>
      </c>
      <c r="E120" s="363">
        <v>33.76</v>
      </c>
      <c r="F120" s="33">
        <f t="shared" si="9"/>
        <v>33.361999999999995</v>
      </c>
      <c r="G120" s="19" t="s">
        <v>9</v>
      </c>
      <c r="H120" s="33">
        <f t="shared" si="7"/>
        <v>3349.7919999999986</v>
      </c>
      <c r="I120" s="33">
        <f t="shared" si="10"/>
        <v>6803.068000000002</v>
      </c>
      <c r="J120" s="236">
        <f t="shared" si="8"/>
        <v>160.99651870313212</v>
      </c>
      <c r="K120" s="373"/>
      <c r="L120" s="222"/>
    </row>
    <row r="121" spans="1:13" s="18" customFormat="1">
      <c r="A121" s="687" t="s">
        <v>98</v>
      </c>
      <c r="B121" s="688"/>
      <c r="C121" s="689"/>
      <c r="D121" s="230">
        <f t="shared" si="11"/>
        <v>276</v>
      </c>
      <c r="E121" s="363">
        <v>32.9</v>
      </c>
      <c r="F121" s="33">
        <f t="shared" si="9"/>
        <v>32.501999999999995</v>
      </c>
      <c r="G121" s="19" t="s">
        <v>9</v>
      </c>
      <c r="H121" s="33">
        <f t="shared" si="7"/>
        <v>3382.2939999999985</v>
      </c>
      <c r="I121" s="33">
        <f t="shared" si="10"/>
        <v>6770.5660000000025</v>
      </c>
      <c r="J121" s="236">
        <f t="shared" si="8"/>
        <v>161.73388951627192</v>
      </c>
      <c r="K121" s="373"/>
      <c r="L121" s="222"/>
    </row>
    <row r="122" spans="1:13" s="18" customFormat="1">
      <c r="A122" s="687" t="s">
        <v>98</v>
      </c>
      <c r="B122" s="688"/>
      <c r="C122" s="689"/>
      <c r="D122" s="230">
        <f t="shared" si="11"/>
        <v>275</v>
      </c>
      <c r="E122" s="363">
        <v>32.75</v>
      </c>
      <c r="F122" s="33">
        <f t="shared" si="9"/>
        <v>32.351999999999997</v>
      </c>
      <c r="G122" s="19" t="s">
        <v>9</v>
      </c>
      <c r="H122" s="33">
        <f t="shared" si="7"/>
        <v>3414.6459999999984</v>
      </c>
      <c r="I122" s="33">
        <f t="shared" si="10"/>
        <v>6738.2140000000018</v>
      </c>
      <c r="J122" s="236">
        <f t="shared" si="8"/>
        <v>162.4678572889228</v>
      </c>
      <c r="K122" s="373"/>
      <c r="L122" s="222"/>
    </row>
    <row r="123" spans="1:13" s="18" customFormat="1">
      <c r="A123" s="687" t="s">
        <v>98</v>
      </c>
      <c r="B123" s="688"/>
      <c r="C123" s="689"/>
      <c r="D123" s="230">
        <f t="shared" si="11"/>
        <v>274</v>
      </c>
      <c r="E123" s="363">
        <v>32.130000000000003</v>
      </c>
      <c r="F123" s="33">
        <f t="shared" si="9"/>
        <v>31.732000000000003</v>
      </c>
      <c r="G123" s="19" t="s">
        <v>9</v>
      </c>
      <c r="H123" s="33">
        <f t="shared" si="7"/>
        <v>3446.3779999999983</v>
      </c>
      <c r="I123" s="33">
        <f t="shared" si="10"/>
        <v>6706.4820000000018</v>
      </c>
      <c r="J123" s="236">
        <f t="shared" si="8"/>
        <v>163.18775916088612</v>
      </c>
      <c r="K123" s="373"/>
      <c r="L123" s="222"/>
      <c r="M123" s="25"/>
    </row>
    <row r="124" spans="1:13" s="18" customFormat="1">
      <c r="A124" s="687" t="s">
        <v>98</v>
      </c>
      <c r="B124" s="688"/>
      <c r="C124" s="689"/>
      <c r="D124" s="230">
        <f t="shared" si="11"/>
        <v>273</v>
      </c>
      <c r="E124" s="363">
        <v>33.78</v>
      </c>
      <c r="F124" s="33">
        <f t="shared" si="9"/>
        <v>33.381999999999998</v>
      </c>
      <c r="G124" s="19" t="s">
        <v>9</v>
      </c>
      <c r="H124" s="33">
        <f t="shared" si="7"/>
        <v>3479.7599999999984</v>
      </c>
      <c r="I124" s="33">
        <f t="shared" si="10"/>
        <v>6673.1000000000022</v>
      </c>
      <c r="J124" s="236">
        <f t="shared" si="8"/>
        <v>163.94509447822759</v>
      </c>
      <c r="K124" s="373"/>
      <c r="L124" s="222"/>
    </row>
    <row r="125" spans="1:13" s="18" customFormat="1">
      <c r="A125" s="687" t="s">
        <v>98</v>
      </c>
      <c r="B125" s="688"/>
      <c r="C125" s="689"/>
      <c r="D125" s="230">
        <f t="shared" si="11"/>
        <v>272</v>
      </c>
      <c r="E125" s="363">
        <v>33.5</v>
      </c>
      <c r="F125" s="33">
        <f t="shared" si="9"/>
        <v>33.101999999999997</v>
      </c>
      <c r="G125" s="19" t="s">
        <v>9</v>
      </c>
      <c r="H125" s="33">
        <f t="shared" si="7"/>
        <v>3512.8619999999983</v>
      </c>
      <c r="I125" s="33">
        <f t="shared" si="10"/>
        <v>6639.9980000000023</v>
      </c>
      <c r="J125" s="236">
        <f t="shared" si="8"/>
        <v>164.69607745332308</v>
      </c>
      <c r="K125" s="276"/>
      <c r="L125" s="222"/>
      <c r="M125" s="31"/>
    </row>
    <row r="126" spans="1:13" s="18" customFormat="1">
      <c r="A126" s="687" t="s">
        <v>98</v>
      </c>
      <c r="B126" s="688"/>
      <c r="C126" s="689"/>
      <c r="D126" s="230">
        <f t="shared" si="11"/>
        <v>271</v>
      </c>
      <c r="E126" s="363">
        <v>33.880000000000003</v>
      </c>
      <c r="F126" s="33">
        <f t="shared" si="9"/>
        <v>33.481999999999999</v>
      </c>
      <c r="G126" s="19" t="s">
        <v>9</v>
      </c>
      <c r="H126" s="33">
        <f t="shared" si="7"/>
        <v>3546.3439999999982</v>
      </c>
      <c r="I126" s="33">
        <f t="shared" si="10"/>
        <v>6606.5160000000024</v>
      </c>
      <c r="J126" s="236">
        <f t="shared" si="8"/>
        <v>165.45568146432387</v>
      </c>
      <c r="K126" s="276"/>
      <c r="L126" s="222"/>
    </row>
    <row r="127" spans="1:13" s="18" customFormat="1">
      <c r="A127" s="687" t="s">
        <v>98</v>
      </c>
      <c r="B127" s="688"/>
      <c r="C127" s="689"/>
      <c r="D127" s="230">
        <f t="shared" si="11"/>
        <v>270</v>
      </c>
      <c r="E127" s="363">
        <v>31.86</v>
      </c>
      <c r="F127" s="33">
        <f t="shared" si="9"/>
        <v>31.462</v>
      </c>
      <c r="G127" s="19" t="s">
        <v>9</v>
      </c>
      <c r="H127" s="33">
        <f t="shared" si="7"/>
        <v>3577.8059999999982</v>
      </c>
      <c r="I127" s="33">
        <f t="shared" si="10"/>
        <v>6575.0540000000019</v>
      </c>
      <c r="J127" s="236">
        <f t="shared" si="8"/>
        <v>166.1694578634071</v>
      </c>
      <c r="K127" s="276"/>
      <c r="L127" s="222"/>
    </row>
    <row r="128" spans="1:13" s="18" customFormat="1">
      <c r="A128" s="687" t="s">
        <v>98</v>
      </c>
      <c r="B128" s="688"/>
      <c r="C128" s="689"/>
      <c r="D128" s="230">
        <f t="shared" si="11"/>
        <v>269</v>
      </c>
      <c r="E128" s="363">
        <v>31.96</v>
      </c>
      <c r="F128" s="33">
        <f t="shared" si="9"/>
        <v>31.562000000000001</v>
      </c>
      <c r="G128" s="19" t="s">
        <v>9</v>
      </c>
      <c r="H128" s="33">
        <f t="shared" si="7"/>
        <v>3609.3679999999981</v>
      </c>
      <c r="I128" s="33">
        <f t="shared" si="10"/>
        <v>6543.492000000002</v>
      </c>
      <c r="J128" s="236">
        <f t="shared" si="8"/>
        <v>166.88550295614971</v>
      </c>
      <c r="K128" s="373"/>
      <c r="L128" s="222"/>
    </row>
    <row r="129" spans="1:13" s="18" customFormat="1">
      <c r="A129" s="687" t="s">
        <v>98</v>
      </c>
      <c r="B129" s="688"/>
      <c r="C129" s="689"/>
      <c r="D129" s="230">
        <f t="shared" si="11"/>
        <v>268</v>
      </c>
      <c r="E129" s="363">
        <v>33.81</v>
      </c>
      <c r="F129" s="33">
        <f t="shared" si="9"/>
        <v>33.411999999999999</v>
      </c>
      <c r="G129" s="19" t="s">
        <v>9</v>
      </c>
      <c r="H129" s="33">
        <f t="shared" si="7"/>
        <v>3642.7799999999979</v>
      </c>
      <c r="I129" s="33">
        <f t="shared" si="10"/>
        <v>6510.0800000000027</v>
      </c>
      <c r="J129" s="236">
        <f t="shared" si="8"/>
        <v>167.64351888158893</v>
      </c>
      <c r="K129" s="373"/>
      <c r="L129" s="222"/>
    </row>
    <row r="130" spans="1:13" s="18" customFormat="1">
      <c r="A130" s="687" t="s">
        <v>98</v>
      </c>
      <c r="B130" s="688"/>
      <c r="C130" s="689"/>
      <c r="D130" s="230">
        <f t="shared" si="11"/>
        <v>267</v>
      </c>
      <c r="E130" s="363">
        <v>32.92</v>
      </c>
      <c r="F130" s="33">
        <f t="shared" si="9"/>
        <v>32.521999999999998</v>
      </c>
      <c r="G130" s="19" t="s">
        <v>9</v>
      </c>
      <c r="H130" s="33">
        <f t="shared" si="7"/>
        <v>3675.3019999999979</v>
      </c>
      <c r="I130" s="33">
        <f t="shared" si="10"/>
        <v>6477.5580000000027</v>
      </c>
      <c r="J130" s="236">
        <f t="shared" si="8"/>
        <v>168.38134343346059</v>
      </c>
      <c r="K130" s="373"/>
      <c r="L130" s="222"/>
    </row>
    <row r="131" spans="1:13" s="18" customFormat="1" ht="13" customHeight="1">
      <c r="A131" s="687" t="s">
        <v>98</v>
      </c>
      <c r="B131" s="688"/>
      <c r="C131" s="689"/>
      <c r="D131" s="230">
        <f t="shared" si="11"/>
        <v>266</v>
      </c>
      <c r="E131" s="363">
        <v>33.590000000000003</v>
      </c>
      <c r="F131" s="33">
        <f t="shared" si="9"/>
        <v>33.192</v>
      </c>
      <c r="G131" s="19" t="s">
        <v>9</v>
      </c>
      <c r="H131" s="33">
        <f t="shared" si="7"/>
        <v>3708.4939999999979</v>
      </c>
      <c r="I131" s="33">
        <f t="shared" si="10"/>
        <v>6444.3660000000027</v>
      </c>
      <c r="J131" s="236">
        <f t="shared" si="8"/>
        <v>169.13436823284945</v>
      </c>
      <c r="K131" s="373"/>
      <c r="L131" s="222"/>
    </row>
    <row r="132" spans="1:13" s="18" customFormat="1" ht="13" customHeight="1">
      <c r="A132" s="687" t="s">
        <v>98</v>
      </c>
      <c r="B132" s="688"/>
      <c r="C132" s="689"/>
      <c r="D132" s="230">
        <f t="shared" si="11"/>
        <v>265</v>
      </c>
      <c r="E132" s="363">
        <v>33.770000000000003</v>
      </c>
      <c r="F132" s="33">
        <f t="shared" si="9"/>
        <v>33.372</v>
      </c>
      <c r="G132" s="19" t="s">
        <v>9</v>
      </c>
      <c r="H132" s="33">
        <f t="shared" si="7"/>
        <v>3741.8659999999977</v>
      </c>
      <c r="I132" s="33">
        <f t="shared" si="10"/>
        <v>6410.9940000000024</v>
      </c>
      <c r="J132" s="236">
        <f t="shared" si="8"/>
        <v>169.89147668082501</v>
      </c>
      <c r="K132" s="373"/>
      <c r="L132" s="222"/>
    </row>
    <row r="133" spans="1:13" s="18" customFormat="1">
      <c r="A133" s="687" t="s">
        <v>98</v>
      </c>
      <c r="B133" s="688"/>
      <c r="C133" s="689"/>
      <c r="D133" s="230">
        <f t="shared" si="11"/>
        <v>264</v>
      </c>
      <c r="E133" s="363">
        <v>32.9</v>
      </c>
      <c r="F133" s="33">
        <f t="shared" si="9"/>
        <v>32.501999999999995</v>
      </c>
      <c r="G133" s="19" t="s">
        <v>9</v>
      </c>
      <c r="H133" s="33">
        <f t="shared" si="7"/>
        <v>3774.3679999999977</v>
      </c>
      <c r="I133" s="33">
        <f t="shared" si="10"/>
        <v>6378.4920000000029</v>
      </c>
      <c r="J133" s="236">
        <f t="shared" si="8"/>
        <v>170.6288474939648</v>
      </c>
      <c r="K133" s="373"/>
      <c r="L133" s="222"/>
      <c r="M133" s="25"/>
    </row>
    <row r="134" spans="1:13" s="18" customFormat="1">
      <c r="A134" s="687" t="s">
        <v>98</v>
      </c>
      <c r="B134" s="688"/>
      <c r="C134" s="689"/>
      <c r="D134" s="230">
        <f t="shared" si="11"/>
        <v>263</v>
      </c>
      <c r="E134" s="363">
        <v>32.9</v>
      </c>
      <c r="F134" s="33">
        <f t="shared" si="9"/>
        <v>32.501999999999995</v>
      </c>
      <c r="G134" s="19" t="s">
        <v>9</v>
      </c>
      <c r="H134" s="33">
        <f t="shared" si="7"/>
        <v>3806.8699999999976</v>
      </c>
      <c r="I134" s="33">
        <f t="shared" si="10"/>
        <v>6345.9900000000034</v>
      </c>
      <c r="J134" s="236">
        <f t="shared" si="8"/>
        <v>171.36621830710459</v>
      </c>
      <c r="K134" s="373"/>
      <c r="L134" s="222"/>
    </row>
    <row r="135" spans="1:13" s="18" customFormat="1">
      <c r="A135" s="687" t="s">
        <v>98</v>
      </c>
      <c r="B135" s="688"/>
      <c r="C135" s="689"/>
      <c r="D135" s="230">
        <f t="shared" si="11"/>
        <v>262</v>
      </c>
      <c r="E135" s="363">
        <v>33.83</v>
      </c>
      <c r="F135" s="33">
        <f t="shared" si="9"/>
        <v>33.431999999999995</v>
      </c>
      <c r="G135" s="19" t="s">
        <v>9</v>
      </c>
      <c r="H135" s="33">
        <f t="shared" si="7"/>
        <v>3840.3019999999974</v>
      </c>
      <c r="I135" s="33">
        <f t="shared" si="10"/>
        <v>6312.5580000000027</v>
      </c>
      <c r="J135" s="236">
        <f t="shared" si="8"/>
        <v>172.1246879712757</v>
      </c>
      <c r="K135" s="373"/>
      <c r="L135" s="222"/>
    </row>
    <row r="136" spans="1:13" s="18" customFormat="1">
      <c r="A136" s="687" t="s">
        <v>98</v>
      </c>
      <c r="B136" s="688"/>
      <c r="C136" s="689"/>
      <c r="D136" s="230">
        <f t="shared" si="11"/>
        <v>261</v>
      </c>
      <c r="E136" s="363">
        <v>33.74</v>
      </c>
      <c r="F136" s="33">
        <f t="shared" si="9"/>
        <v>33.341999999999999</v>
      </c>
      <c r="G136" s="19" t="s">
        <v>9</v>
      </c>
      <c r="H136" s="33">
        <f t="shared" si="7"/>
        <v>3873.6439999999975</v>
      </c>
      <c r="I136" s="33">
        <f t="shared" si="10"/>
        <v>6279.2160000000031</v>
      </c>
      <c r="J136" s="236">
        <f t="shared" si="8"/>
        <v>172.88111581115351</v>
      </c>
      <c r="K136" s="373"/>
      <c r="L136" s="222"/>
    </row>
    <row r="137" spans="1:13" s="18" customFormat="1">
      <c r="A137" s="687" t="s">
        <v>98</v>
      </c>
      <c r="B137" s="688"/>
      <c r="C137" s="689"/>
      <c r="D137" s="230">
        <f t="shared" si="11"/>
        <v>260</v>
      </c>
      <c r="E137" s="363">
        <v>33.659999999999997</v>
      </c>
      <c r="F137" s="33">
        <f t="shared" si="9"/>
        <v>33.261999999999993</v>
      </c>
      <c r="G137" s="19" t="s">
        <v>9</v>
      </c>
      <c r="H137" s="33">
        <f t="shared" si="7"/>
        <v>3906.9059999999977</v>
      </c>
      <c r="I137" s="33">
        <f t="shared" si="10"/>
        <v>6245.9540000000034</v>
      </c>
      <c r="J137" s="236">
        <f t="shared" si="8"/>
        <v>173.63572869610385</v>
      </c>
      <c r="K137" s="373"/>
      <c r="L137" s="222"/>
    </row>
    <row r="138" spans="1:13" s="18" customFormat="1">
      <c r="A138" s="687" t="s">
        <v>98</v>
      </c>
      <c r="B138" s="688"/>
      <c r="C138" s="689"/>
      <c r="D138" s="230">
        <f t="shared" si="11"/>
        <v>259</v>
      </c>
      <c r="E138" s="363">
        <v>33.35</v>
      </c>
      <c r="F138" s="33">
        <f t="shared" si="9"/>
        <v>32.951999999999998</v>
      </c>
      <c r="G138" s="19" t="s">
        <v>9</v>
      </c>
      <c r="H138" s="33">
        <f t="shared" si="7"/>
        <v>3939.8579999999974</v>
      </c>
      <c r="I138" s="33">
        <f t="shared" si="10"/>
        <v>6213.0020000000031</v>
      </c>
      <c r="J138" s="236">
        <f t="shared" si="8"/>
        <v>174.38330863071039</v>
      </c>
      <c r="K138" s="373"/>
      <c r="L138" s="222"/>
      <c r="M138" s="25"/>
    </row>
    <row r="139" spans="1:13" s="18" customFormat="1">
      <c r="A139" s="687" t="s">
        <v>98</v>
      </c>
      <c r="B139" s="688"/>
      <c r="C139" s="689"/>
      <c r="D139" s="230">
        <f t="shared" si="11"/>
        <v>258</v>
      </c>
      <c r="E139" s="363">
        <v>32.44</v>
      </c>
      <c r="F139" s="33">
        <f t="shared" si="9"/>
        <v>32.041999999999994</v>
      </c>
      <c r="G139" s="19" t="s">
        <v>9</v>
      </c>
      <c r="H139" s="33">
        <f t="shared" si="7"/>
        <v>3971.8999999999974</v>
      </c>
      <c r="I139" s="33">
        <f t="shared" si="10"/>
        <v>6180.9600000000028</v>
      </c>
      <c r="J139" s="236">
        <f t="shared" si="8"/>
        <v>175.11024345301752</v>
      </c>
      <c r="K139" s="373"/>
      <c r="L139" s="222"/>
    </row>
    <row r="140" spans="1:13" s="18" customFormat="1">
      <c r="A140" s="687" t="s">
        <v>98</v>
      </c>
      <c r="B140" s="688"/>
      <c r="C140" s="689"/>
      <c r="D140" s="230">
        <f t="shared" si="11"/>
        <v>257</v>
      </c>
      <c r="E140" s="363">
        <v>33.479999999999997</v>
      </c>
      <c r="F140" s="33">
        <f t="shared" si="9"/>
        <v>33.081999999999994</v>
      </c>
      <c r="G140" s="19" t="s">
        <v>9</v>
      </c>
      <c r="H140" s="33">
        <f t="shared" si="7"/>
        <v>4004.9819999999972</v>
      </c>
      <c r="I140" s="33">
        <f t="shared" si="10"/>
        <v>6147.8780000000033</v>
      </c>
      <c r="J140" s="236">
        <f t="shared" si="8"/>
        <v>175.86077268938115</v>
      </c>
      <c r="K140" s="276"/>
      <c r="L140" s="222"/>
      <c r="M140" s="31"/>
    </row>
    <row r="141" spans="1:13" s="18" customFormat="1">
      <c r="A141" s="687" t="s">
        <v>98</v>
      </c>
      <c r="B141" s="688"/>
      <c r="C141" s="689"/>
      <c r="D141" s="230">
        <f t="shared" si="11"/>
        <v>256</v>
      </c>
      <c r="E141" s="363">
        <v>33.07</v>
      </c>
      <c r="F141" s="33">
        <f t="shared" si="9"/>
        <v>32.671999999999997</v>
      </c>
      <c r="G141" s="19" t="s">
        <v>9</v>
      </c>
      <c r="H141" s="33">
        <f t="shared" ref="H141:H204" si="12">IF(G141="IN",H140+F141,H140)</f>
        <v>4037.6539999999973</v>
      </c>
      <c r="I141" s="33">
        <f t="shared" si="10"/>
        <v>6115.2060000000038</v>
      </c>
      <c r="J141" s="236">
        <f t="shared" si="8"/>
        <v>176.60200028174171</v>
      </c>
      <c r="K141" s="276"/>
      <c r="L141" s="222"/>
    </row>
    <row r="142" spans="1:13" s="18" customFormat="1">
      <c r="A142" s="687" t="s">
        <v>98</v>
      </c>
      <c r="B142" s="688"/>
      <c r="C142" s="689"/>
      <c r="D142" s="230">
        <f t="shared" si="11"/>
        <v>255</v>
      </c>
      <c r="E142" s="363">
        <v>33.11</v>
      </c>
      <c r="F142" s="33">
        <f t="shared" si="9"/>
        <v>32.711999999999996</v>
      </c>
      <c r="G142" s="19" t="s">
        <v>9</v>
      </c>
      <c r="H142" s="33">
        <f t="shared" si="12"/>
        <v>4070.3659999999973</v>
      </c>
      <c r="I142" s="33">
        <f t="shared" si="10"/>
        <v>6082.4940000000033</v>
      </c>
      <c r="J142" s="236">
        <f t="shared" si="8"/>
        <v>177.34413535156602</v>
      </c>
      <c r="K142" s="276"/>
      <c r="L142" s="222"/>
    </row>
    <row r="143" spans="1:13" s="18" customFormat="1">
      <c r="A143" s="687" t="s">
        <v>98</v>
      </c>
      <c r="B143" s="688"/>
      <c r="C143" s="689"/>
      <c r="D143" s="230">
        <f t="shared" si="11"/>
        <v>254</v>
      </c>
      <c r="E143" s="363">
        <v>33.28</v>
      </c>
      <c r="F143" s="33">
        <f t="shared" si="9"/>
        <v>32.881999999999998</v>
      </c>
      <c r="G143" s="19" t="s">
        <v>9</v>
      </c>
      <c r="H143" s="33">
        <f t="shared" si="12"/>
        <v>4103.2479999999969</v>
      </c>
      <c r="I143" s="33">
        <f t="shared" si="10"/>
        <v>6049.6120000000037</v>
      </c>
      <c r="J143" s="236">
        <f t="shared" si="8"/>
        <v>178.09012720061108</v>
      </c>
      <c r="K143" s="373"/>
      <c r="L143" s="222"/>
    </row>
    <row r="144" spans="1:13" s="18" customFormat="1">
      <c r="A144" s="687" t="s">
        <v>98</v>
      </c>
      <c r="B144" s="688"/>
      <c r="C144" s="689"/>
      <c r="D144" s="230">
        <f t="shared" si="11"/>
        <v>253</v>
      </c>
      <c r="E144" s="363">
        <v>33.44</v>
      </c>
      <c r="F144" s="33">
        <f t="shared" si="9"/>
        <v>33.041999999999994</v>
      </c>
      <c r="G144" s="19" t="s">
        <v>9</v>
      </c>
      <c r="H144" s="33">
        <f t="shared" si="12"/>
        <v>4136.2899999999972</v>
      </c>
      <c r="I144" s="33">
        <f t="shared" si="10"/>
        <v>6016.5700000000033</v>
      </c>
      <c r="J144" s="236">
        <f t="shared" ref="J144:J207" si="13">$G$6+(H144*$E$7*$G$8/1000)</f>
        <v>178.83974895951098</v>
      </c>
      <c r="K144" s="712"/>
      <c r="L144" s="713"/>
    </row>
    <row r="145" spans="1:12">
      <c r="A145" s="687" t="s">
        <v>98</v>
      </c>
      <c r="B145" s="688"/>
      <c r="C145" s="689"/>
      <c r="D145" s="230">
        <f t="shared" si="11"/>
        <v>252</v>
      </c>
      <c r="E145" s="363">
        <v>33.299999999999997</v>
      </c>
      <c r="F145" s="33">
        <f t="shared" si="9"/>
        <v>32.901999999999994</v>
      </c>
      <c r="G145" s="19" t="s">
        <v>9</v>
      </c>
      <c r="H145" s="33">
        <f t="shared" si="12"/>
        <v>4169.1919999999973</v>
      </c>
      <c r="I145" s="33">
        <f t="shared" si="10"/>
        <v>5983.6680000000033</v>
      </c>
      <c r="J145" s="236">
        <f t="shared" si="13"/>
        <v>179.58619454728793</v>
      </c>
      <c r="K145" s="251"/>
      <c r="L145" s="191"/>
    </row>
    <row r="146" spans="1:12">
      <c r="A146" s="687" t="s">
        <v>98</v>
      </c>
      <c r="B146" s="688"/>
      <c r="C146" s="689"/>
      <c r="D146" s="230">
        <f t="shared" si="11"/>
        <v>251</v>
      </c>
      <c r="E146" s="363">
        <v>33.43</v>
      </c>
      <c r="F146" s="33">
        <f t="shared" si="9"/>
        <v>33.031999999999996</v>
      </c>
      <c r="G146" s="19" t="s">
        <v>9</v>
      </c>
      <c r="H146" s="33">
        <f t="shared" si="12"/>
        <v>4202.2239999999974</v>
      </c>
      <c r="I146" s="33">
        <f t="shared" si="10"/>
        <v>5950.6360000000032</v>
      </c>
      <c r="J146" s="236">
        <f t="shared" si="13"/>
        <v>180.33558943682195</v>
      </c>
      <c r="K146" s="251"/>
      <c r="L146" s="191"/>
    </row>
    <row r="147" spans="1:12">
      <c r="A147" s="687" t="s">
        <v>98</v>
      </c>
      <c r="B147" s="688"/>
      <c r="C147" s="689"/>
      <c r="D147" s="230">
        <f t="shared" si="11"/>
        <v>250</v>
      </c>
      <c r="E147" s="363">
        <v>33.5</v>
      </c>
      <c r="F147" s="33">
        <f t="shared" si="9"/>
        <v>33.101999999999997</v>
      </c>
      <c r="G147" s="19" t="s">
        <v>9</v>
      </c>
      <c r="H147" s="33">
        <f t="shared" si="12"/>
        <v>4235.3259999999973</v>
      </c>
      <c r="I147" s="33">
        <f t="shared" si="10"/>
        <v>5917.5340000000033</v>
      </c>
      <c r="J147" s="236">
        <f t="shared" si="13"/>
        <v>181.08657241191742</v>
      </c>
      <c r="K147" s="251"/>
      <c r="L147" s="191"/>
    </row>
    <row r="148" spans="1:12">
      <c r="A148" s="687" t="s">
        <v>98</v>
      </c>
      <c r="B148" s="688"/>
      <c r="C148" s="689"/>
      <c r="D148" s="230">
        <f t="shared" si="11"/>
        <v>249</v>
      </c>
      <c r="E148" s="363">
        <v>32.96</v>
      </c>
      <c r="F148" s="33">
        <f t="shared" si="9"/>
        <v>32.561999999999998</v>
      </c>
      <c r="G148" s="19" t="s">
        <v>9</v>
      </c>
      <c r="H148" s="33">
        <f t="shared" si="12"/>
        <v>4267.8879999999972</v>
      </c>
      <c r="I148" s="33">
        <f t="shared" si="10"/>
        <v>5884.9720000000034</v>
      </c>
      <c r="J148" s="236">
        <f t="shared" si="13"/>
        <v>181.8253044412528</v>
      </c>
      <c r="K148" s="251"/>
      <c r="L148" s="191"/>
    </row>
    <row r="149" spans="1:12">
      <c r="A149" s="687" t="s">
        <v>98</v>
      </c>
      <c r="B149" s="688"/>
      <c r="C149" s="689"/>
      <c r="D149" s="230">
        <f t="shared" si="11"/>
        <v>248</v>
      </c>
      <c r="E149" s="363">
        <v>33.22</v>
      </c>
      <c r="F149" s="33">
        <f t="shared" si="9"/>
        <v>32.821999999999996</v>
      </c>
      <c r="G149" s="19" t="s">
        <v>9</v>
      </c>
      <c r="H149" s="33">
        <f t="shared" si="12"/>
        <v>4300.7099999999973</v>
      </c>
      <c r="I149" s="33">
        <f t="shared" si="10"/>
        <v>5852.1500000000033</v>
      </c>
      <c r="J149" s="236">
        <f t="shared" si="13"/>
        <v>182.56993507410232</v>
      </c>
      <c r="K149" s="251"/>
      <c r="L149" s="191"/>
    </row>
    <row r="150" spans="1:12">
      <c r="A150" s="687" t="s">
        <v>98</v>
      </c>
      <c r="B150" s="688"/>
      <c r="C150" s="689"/>
      <c r="D150" s="230">
        <f t="shared" si="11"/>
        <v>247</v>
      </c>
      <c r="E150" s="363">
        <v>33.479999999999997</v>
      </c>
      <c r="F150" s="33">
        <f t="shared" si="9"/>
        <v>33.081999999999994</v>
      </c>
      <c r="G150" s="19" t="s">
        <v>9</v>
      </c>
      <c r="H150" s="33">
        <f t="shared" si="12"/>
        <v>4333.7919999999976</v>
      </c>
      <c r="I150" s="33">
        <f t="shared" si="10"/>
        <v>5819.0680000000029</v>
      </c>
      <c r="J150" s="236">
        <f t="shared" si="13"/>
        <v>183.32046431046595</v>
      </c>
      <c r="K150" s="251"/>
      <c r="L150" s="191"/>
    </row>
    <row r="151" spans="1:12">
      <c r="A151" s="687" t="s">
        <v>98</v>
      </c>
      <c r="B151" s="688"/>
      <c r="C151" s="689"/>
      <c r="D151" s="230">
        <f t="shared" si="11"/>
        <v>246</v>
      </c>
      <c r="E151" s="363">
        <v>33.020000000000003</v>
      </c>
      <c r="F151" s="33">
        <f t="shared" ref="F151:F214" si="14">E151-($E$9)</f>
        <v>32.622</v>
      </c>
      <c r="G151" s="19" t="s">
        <v>9</v>
      </c>
      <c r="H151" s="33">
        <f t="shared" si="12"/>
        <v>4366.4139999999979</v>
      </c>
      <c r="I151" s="33">
        <f t="shared" ref="I151:I214" si="15">IF(H151="","",$K$6-H151)</f>
        <v>5786.4460000000026</v>
      </c>
      <c r="J151" s="236">
        <f t="shared" si="13"/>
        <v>184.06055755599689</v>
      </c>
      <c r="K151" s="277"/>
      <c r="L151" s="222"/>
    </row>
    <row r="152" spans="1:12">
      <c r="A152" s="687" t="s">
        <v>98</v>
      </c>
      <c r="B152" s="688"/>
      <c r="C152" s="689"/>
      <c r="D152" s="230">
        <f t="shared" ref="D152:D215" si="16">D151-1</f>
        <v>245</v>
      </c>
      <c r="E152" s="363">
        <v>33.200000000000003</v>
      </c>
      <c r="F152" s="33">
        <f t="shared" si="14"/>
        <v>32.802</v>
      </c>
      <c r="G152" s="19" t="s">
        <v>9</v>
      </c>
      <c r="H152" s="33">
        <f t="shared" si="12"/>
        <v>4399.2159999999976</v>
      </c>
      <c r="I152" s="33">
        <f t="shared" si="15"/>
        <v>5753.644000000003</v>
      </c>
      <c r="J152" s="236">
        <f t="shared" si="13"/>
        <v>184.80473445011452</v>
      </c>
      <c r="K152" s="373"/>
      <c r="L152" s="222"/>
    </row>
    <row r="153" spans="1:12">
      <c r="A153" s="687" t="s">
        <v>98</v>
      </c>
      <c r="B153" s="688"/>
      <c r="C153" s="689"/>
      <c r="D153" s="230">
        <f t="shared" si="16"/>
        <v>244</v>
      </c>
      <c r="E153" s="363">
        <v>33.1</v>
      </c>
      <c r="F153" s="33">
        <f t="shared" si="14"/>
        <v>32.701999999999998</v>
      </c>
      <c r="G153" s="19" t="s">
        <v>9</v>
      </c>
      <c r="H153" s="33">
        <f t="shared" si="12"/>
        <v>4431.9179999999978</v>
      </c>
      <c r="I153" s="33">
        <f t="shared" si="15"/>
        <v>5720.9420000000027</v>
      </c>
      <c r="J153" s="236">
        <f t="shared" si="13"/>
        <v>185.54664265057289</v>
      </c>
      <c r="K153" s="251"/>
      <c r="L153" s="191"/>
    </row>
    <row r="154" spans="1:12">
      <c r="A154" s="687" t="s">
        <v>98</v>
      </c>
      <c r="B154" s="688"/>
      <c r="C154" s="689"/>
      <c r="D154" s="230">
        <f t="shared" si="16"/>
        <v>243</v>
      </c>
      <c r="E154" s="363">
        <v>33</v>
      </c>
      <c r="F154" s="33">
        <f t="shared" si="14"/>
        <v>32.601999999999997</v>
      </c>
      <c r="G154" s="19" t="s">
        <v>9</v>
      </c>
      <c r="H154" s="33">
        <f t="shared" si="12"/>
        <v>4464.5199999999977</v>
      </c>
      <c r="I154" s="33">
        <f t="shared" si="15"/>
        <v>5688.3400000000029</v>
      </c>
      <c r="J154" s="236">
        <f t="shared" si="13"/>
        <v>186.286282157372</v>
      </c>
      <c r="K154" s="251"/>
      <c r="L154" s="191"/>
    </row>
    <row r="155" spans="1:12">
      <c r="A155" s="687" t="s">
        <v>98</v>
      </c>
      <c r="B155" s="688"/>
      <c r="C155" s="689"/>
      <c r="D155" s="230">
        <f t="shared" si="16"/>
        <v>242</v>
      </c>
      <c r="E155" s="363">
        <v>33.6</v>
      </c>
      <c r="F155" s="33">
        <f t="shared" si="14"/>
        <v>33.201999999999998</v>
      </c>
      <c r="G155" s="19" t="s">
        <v>9</v>
      </c>
      <c r="H155" s="33">
        <f t="shared" si="12"/>
        <v>4497.7219999999979</v>
      </c>
      <c r="I155" s="33">
        <f t="shared" si="15"/>
        <v>5655.1380000000026</v>
      </c>
      <c r="J155" s="236">
        <f t="shared" si="13"/>
        <v>187.03953382612676</v>
      </c>
      <c r="K155" s="251"/>
      <c r="L155" s="191"/>
    </row>
    <row r="156" spans="1:12">
      <c r="A156" s="687" t="s">
        <v>98</v>
      </c>
      <c r="B156" s="688"/>
      <c r="C156" s="689"/>
      <c r="D156" s="230">
        <f t="shared" si="16"/>
        <v>241</v>
      </c>
      <c r="E156" s="363">
        <v>33.82</v>
      </c>
      <c r="F156" s="33">
        <f t="shared" si="14"/>
        <v>33.421999999999997</v>
      </c>
      <c r="G156" s="19" t="s">
        <v>9</v>
      </c>
      <c r="H156" s="33">
        <f t="shared" si="12"/>
        <v>4531.1439999999975</v>
      </c>
      <c r="I156" s="33">
        <f t="shared" si="15"/>
        <v>5621.7160000000031</v>
      </c>
      <c r="J156" s="236">
        <f t="shared" si="13"/>
        <v>187.79777662093193</v>
      </c>
      <c r="K156" s="251"/>
      <c r="L156" s="191"/>
    </row>
    <row r="157" spans="1:12">
      <c r="A157" s="687" t="s">
        <v>98</v>
      </c>
      <c r="B157" s="688"/>
      <c r="C157" s="689"/>
      <c r="D157" s="230">
        <f t="shared" si="16"/>
        <v>240</v>
      </c>
      <c r="E157" s="363">
        <v>33.49</v>
      </c>
      <c r="F157" s="33">
        <f t="shared" si="14"/>
        <v>33.091999999999999</v>
      </c>
      <c r="G157" s="19" t="s">
        <v>9</v>
      </c>
      <c r="H157" s="33">
        <f t="shared" si="12"/>
        <v>4564.2359999999971</v>
      </c>
      <c r="I157" s="33">
        <f t="shared" si="15"/>
        <v>5588.6240000000034</v>
      </c>
      <c r="J157" s="236">
        <f t="shared" si="13"/>
        <v>188.54853272666151</v>
      </c>
      <c r="K157" s="251"/>
      <c r="L157" s="191"/>
    </row>
    <row r="158" spans="1:12">
      <c r="A158" s="687" t="s">
        <v>98</v>
      </c>
      <c r="B158" s="688"/>
      <c r="C158" s="689"/>
      <c r="D158" s="230">
        <f t="shared" si="16"/>
        <v>239</v>
      </c>
      <c r="E158" s="363">
        <v>33.71</v>
      </c>
      <c r="F158" s="33">
        <f t="shared" si="14"/>
        <v>33.311999999999998</v>
      </c>
      <c r="G158" s="19" t="s">
        <v>9</v>
      </c>
      <c r="H158" s="33">
        <f t="shared" si="12"/>
        <v>4597.547999999997</v>
      </c>
      <c r="I158" s="33">
        <f t="shared" si="15"/>
        <v>5555.3120000000035</v>
      </c>
      <c r="J158" s="236">
        <f t="shared" si="13"/>
        <v>189.30427995844147</v>
      </c>
      <c r="K158" s="251"/>
      <c r="L158" s="191"/>
    </row>
    <row r="159" spans="1:12">
      <c r="A159" s="687" t="s">
        <v>98</v>
      </c>
      <c r="B159" s="688"/>
      <c r="C159" s="689"/>
      <c r="D159" s="230">
        <f t="shared" si="16"/>
        <v>238</v>
      </c>
      <c r="E159" s="363">
        <v>31.2</v>
      </c>
      <c r="F159" s="33">
        <f t="shared" si="14"/>
        <v>30.802</v>
      </c>
      <c r="G159" s="19" t="s">
        <v>9</v>
      </c>
      <c r="H159" s="33">
        <f t="shared" si="12"/>
        <v>4628.3499999999967</v>
      </c>
      <c r="I159" s="33">
        <f t="shared" si="15"/>
        <v>5524.5100000000039</v>
      </c>
      <c r="J159" s="236">
        <f t="shared" si="13"/>
        <v>190.00308297937349</v>
      </c>
      <c r="K159" s="251"/>
      <c r="L159" s="191"/>
    </row>
    <row r="160" spans="1:12">
      <c r="A160" s="687" t="s">
        <v>98</v>
      </c>
      <c r="B160" s="688"/>
      <c r="C160" s="689"/>
      <c r="D160" s="230">
        <f t="shared" si="16"/>
        <v>237</v>
      </c>
      <c r="E160" s="363">
        <v>33.619999999999997</v>
      </c>
      <c r="F160" s="33">
        <f t="shared" si="14"/>
        <v>33.221999999999994</v>
      </c>
      <c r="G160" s="19" t="s">
        <v>9</v>
      </c>
      <c r="H160" s="33">
        <f t="shared" si="12"/>
        <v>4661.5719999999965</v>
      </c>
      <c r="I160" s="33">
        <f t="shared" si="15"/>
        <v>5491.2880000000041</v>
      </c>
      <c r="J160" s="236">
        <f t="shared" si="13"/>
        <v>190.75678838686014</v>
      </c>
      <c r="K160" s="251"/>
      <c r="L160" s="191"/>
    </row>
    <row r="161" spans="1:13">
      <c r="A161" s="687" t="s">
        <v>98</v>
      </c>
      <c r="B161" s="688"/>
      <c r="C161" s="689"/>
      <c r="D161" s="230">
        <f t="shared" si="16"/>
        <v>236</v>
      </c>
      <c r="E161" s="363">
        <v>33.31</v>
      </c>
      <c r="F161" s="33">
        <f t="shared" si="14"/>
        <v>32.911999999999999</v>
      </c>
      <c r="G161" s="19" t="s">
        <v>9</v>
      </c>
      <c r="H161" s="33">
        <f t="shared" si="12"/>
        <v>4694.4839999999967</v>
      </c>
      <c r="I161" s="33">
        <f t="shared" si="15"/>
        <v>5458.3760000000038</v>
      </c>
      <c r="J161" s="236">
        <f t="shared" si="13"/>
        <v>191.50346084400297</v>
      </c>
      <c r="K161" s="251"/>
      <c r="L161" s="191"/>
    </row>
    <row r="162" spans="1:13">
      <c r="A162" s="687" t="s">
        <v>98</v>
      </c>
      <c r="B162" s="688"/>
      <c r="C162" s="689"/>
      <c r="D162" s="230">
        <f t="shared" si="16"/>
        <v>235</v>
      </c>
      <c r="E162" s="363">
        <v>33.6</v>
      </c>
      <c r="F162" s="33">
        <f t="shared" si="14"/>
        <v>33.201999999999998</v>
      </c>
      <c r="G162" s="19" t="s">
        <v>9</v>
      </c>
      <c r="H162" s="33">
        <f t="shared" si="12"/>
        <v>4727.685999999997</v>
      </c>
      <c r="I162" s="33">
        <f t="shared" si="15"/>
        <v>5425.1740000000036</v>
      </c>
      <c r="J162" s="236">
        <f t="shared" si="13"/>
        <v>192.25671251275776</v>
      </c>
      <c r="K162" s="251"/>
      <c r="L162" s="191"/>
    </row>
    <row r="163" spans="1:13">
      <c r="A163" s="687" t="s">
        <v>98</v>
      </c>
      <c r="B163" s="688"/>
      <c r="C163" s="689"/>
      <c r="D163" s="230">
        <f t="shared" si="16"/>
        <v>234</v>
      </c>
      <c r="E163" s="363">
        <v>33.65</v>
      </c>
      <c r="F163" s="33">
        <f t="shared" si="14"/>
        <v>33.251999999999995</v>
      </c>
      <c r="G163" s="19" t="s">
        <v>9</v>
      </c>
      <c r="H163" s="33">
        <f t="shared" si="12"/>
        <v>4760.9379999999974</v>
      </c>
      <c r="I163" s="33">
        <f t="shared" si="15"/>
        <v>5391.9220000000032</v>
      </c>
      <c r="J163" s="236">
        <f t="shared" si="13"/>
        <v>193.01109852834219</v>
      </c>
      <c r="K163" s="251"/>
      <c r="L163" s="191"/>
      <c r="M163" s="20"/>
    </row>
    <row r="164" spans="1:13">
      <c r="A164" s="687" t="s">
        <v>98</v>
      </c>
      <c r="B164" s="688"/>
      <c r="C164" s="689"/>
      <c r="D164" s="230">
        <f t="shared" si="16"/>
        <v>233</v>
      </c>
      <c r="E164" s="363">
        <v>33.6</v>
      </c>
      <c r="F164" s="33">
        <f t="shared" si="14"/>
        <v>33.201999999999998</v>
      </c>
      <c r="G164" s="19" t="s">
        <v>9</v>
      </c>
      <c r="H164" s="33">
        <f t="shared" si="12"/>
        <v>4794.1399999999976</v>
      </c>
      <c r="I164" s="33">
        <f t="shared" si="15"/>
        <v>5358.720000000003</v>
      </c>
      <c r="J164" s="236">
        <f t="shared" si="13"/>
        <v>193.76435019709697</v>
      </c>
      <c r="K164" s="251"/>
      <c r="L164" s="191"/>
    </row>
    <row r="165" spans="1:13">
      <c r="A165" s="687" t="s">
        <v>98</v>
      </c>
      <c r="B165" s="688"/>
      <c r="C165" s="689"/>
      <c r="D165" s="230">
        <f t="shared" si="16"/>
        <v>232</v>
      </c>
      <c r="E165" s="363">
        <v>33.68</v>
      </c>
      <c r="F165" s="33">
        <f t="shared" si="14"/>
        <v>33.281999999999996</v>
      </c>
      <c r="G165" s="19" t="s">
        <v>9</v>
      </c>
      <c r="H165" s="33">
        <f t="shared" si="12"/>
        <v>4827.4219999999978</v>
      </c>
      <c r="I165" s="33">
        <f t="shared" si="15"/>
        <v>5325.4380000000028</v>
      </c>
      <c r="J165" s="236">
        <f t="shared" si="13"/>
        <v>194.51941682077916</v>
      </c>
      <c r="K165" s="251"/>
      <c r="L165" s="191"/>
    </row>
    <row r="166" spans="1:13">
      <c r="A166" s="687" t="s">
        <v>98</v>
      </c>
      <c r="B166" s="688"/>
      <c r="C166" s="689"/>
      <c r="D166" s="230">
        <f t="shared" si="16"/>
        <v>231</v>
      </c>
      <c r="E166" s="363">
        <v>33.049999999999997</v>
      </c>
      <c r="F166" s="33">
        <f t="shared" si="14"/>
        <v>32.651999999999994</v>
      </c>
      <c r="G166" s="19" t="s">
        <v>9</v>
      </c>
      <c r="H166" s="33">
        <f t="shared" si="12"/>
        <v>4860.0739999999978</v>
      </c>
      <c r="I166" s="33">
        <f t="shared" si="15"/>
        <v>5292.7860000000028</v>
      </c>
      <c r="J166" s="236">
        <f t="shared" si="13"/>
        <v>195.26019067440791</v>
      </c>
      <c r="K166" s="251"/>
      <c r="L166" s="191"/>
    </row>
    <row r="167" spans="1:13">
      <c r="A167" s="687" t="s">
        <v>98</v>
      </c>
      <c r="B167" s="688"/>
      <c r="C167" s="689"/>
      <c r="D167" s="230">
        <f t="shared" si="16"/>
        <v>230</v>
      </c>
      <c r="E167" s="363">
        <v>33.32</v>
      </c>
      <c r="F167" s="33">
        <f t="shared" si="14"/>
        <v>32.921999999999997</v>
      </c>
      <c r="G167" s="19" t="s">
        <v>9</v>
      </c>
      <c r="H167" s="33">
        <f t="shared" si="12"/>
        <v>4892.9959999999974</v>
      </c>
      <c r="I167" s="33">
        <f t="shared" si="15"/>
        <v>5259.8640000000032</v>
      </c>
      <c r="J167" s="236">
        <f t="shared" si="13"/>
        <v>196.00709000091666</v>
      </c>
      <c r="K167" s="251"/>
      <c r="L167" s="191"/>
    </row>
    <row r="168" spans="1:13">
      <c r="A168" s="687" t="s">
        <v>98</v>
      </c>
      <c r="B168" s="688"/>
      <c r="C168" s="689"/>
      <c r="D168" s="230">
        <f t="shared" si="16"/>
        <v>229</v>
      </c>
      <c r="E168" s="363">
        <v>33.01</v>
      </c>
      <c r="F168" s="33">
        <f t="shared" si="14"/>
        <v>32.611999999999995</v>
      </c>
      <c r="G168" s="19" t="s">
        <v>9</v>
      </c>
      <c r="H168" s="33">
        <f t="shared" si="12"/>
        <v>4925.6079999999974</v>
      </c>
      <c r="I168" s="33">
        <f t="shared" si="15"/>
        <v>5227.2520000000031</v>
      </c>
      <c r="J168" s="236">
        <f t="shared" si="13"/>
        <v>196.74695637708169</v>
      </c>
      <c r="K168" s="251"/>
      <c r="L168" s="191"/>
    </row>
    <row r="169" spans="1:13">
      <c r="A169" s="687" t="s">
        <v>98</v>
      </c>
      <c r="B169" s="688"/>
      <c r="C169" s="689"/>
      <c r="D169" s="230">
        <f t="shared" si="16"/>
        <v>228</v>
      </c>
      <c r="E169" s="363">
        <v>33.36</v>
      </c>
      <c r="F169" s="33">
        <f t="shared" si="14"/>
        <v>32.961999999999996</v>
      </c>
      <c r="G169" s="19" t="s">
        <v>9</v>
      </c>
      <c r="H169" s="33">
        <f t="shared" si="12"/>
        <v>4958.5699999999979</v>
      </c>
      <c r="I169" s="33">
        <f t="shared" si="15"/>
        <v>5194.2900000000027</v>
      </c>
      <c r="J169" s="236">
        <f t="shared" si="13"/>
        <v>197.4947631810542</v>
      </c>
      <c r="K169" s="251"/>
      <c r="L169" s="191"/>
    </row>
    <row r="170" spans="1:13">
      <c r="A170" s="687" t="s">
        <v>98</v>
      </c>
      <c r="B170" s="688"/>
      <c r="C170" s="689"/>
      <c r="D170" s="230">
        <f t="shared" si="16"/>
        <v>227</v>
      </c>
      <c r="E170" s="363">
        <v>33.229999999999997</v>
      </c>
      <c r="F170" s="33">
        <f t="shared" si="14"/>
        <v>32.831999999999994</v>
      </c>
      <c r="G170" s="19" t="s">
        <v>9</v>
      </c>
      <c r="H170" s="33">
        <f t="shared" si="12"/>
        <v>4991.4019999999982</v>
      </c>
      <c r="I170" s="33">
        <f t="shared" si="15"/>
        <v>5161.4580000000024</v>
      </c>
      <c r="J170" s="236">
        <f t="shared" si="13"/>
        <v>198.23962068326964</v>
      </c>
      <c r="K170" s="251"/>
      <c r="L170" s="191"/>
    </row>
    <row r="171" spans="1:13">
      <c r="A171" s="687" t="s">
        <v>98</v>
      </c>
      <c r="B171" s="688"/>
      <c r="C171" s="689"/>
      <c r="D171" s="230">
        <f t="shared" si="16"/>
        <v>226</v>
      </c>
      <c r="E171" s="363">
        <v>33.39</v>
      </c>
      <c r="F171" s="33">
        <f t="shared" si="14"/>
        <v>32.991999999999997</v>
      </c>
      <c r="G171" s="19" t="s">
        <v>9</v>
      </c>
      <c r="H171" s="33">
        <f t="shared" si="12"/>
        <v>5024.3939999999984</v>
      </c>
      <c r="I171" s="33">
        <f t="shared" si="15"/>
        <v>5128.4660000000022</v>
      </c>
      <c r="J171" s="236">
        <f t="shared" si="13"/>
        <v>198.9881080953399</v>
      </c>
      <c r="K171" s="251"/>
      <c r="L171" s="191"/>
    </row>
    <row r="172" spans="1:13">
      <c r="A172" s="687" t="s">
        <v>98</v>
      </c>
      <c r="B172" s="688"/>
      <c r="C172" s="689"/>
      <c r="D172" s="230">
        <f t="shared" si="16"/>
        <v>225</v>
      </c>
      <c r="E172" s="363">
        <v>31.69</v>
      </c>
      <c r="F172" s="33">
        <f t="shared" si="14"/>
        <v>31.292000000000002</v>
      </c>
      <c r="G172" s="19" t="s">
        <v>9</v>
      </c>
      <c r="H172" s="33">
        <f t="shared" si="12"/>
        <v>5055.6859999999988</v>
      </c>
      <c r="I172" s="33">
        <f t="shared" si="15"/>
        <v>5097.1740000000018</v>
      </c>
      <c r="J172" s="236">
        <f t="shared" si="13"/>
        <v>199.69802771520241</v>
      </c>
      <c r="K172" s="251"/>
      <c r="L172" s="191"/>
    </row>
    <row r="173" spans="1:13">
      <c r="A173" s="687" t="s">
        <v>98</v>
      </c>
      <c r="B173" s="688"/>
      <c r="C173" s="689"/>
      <c r="D173" s="230">
        <f t="shared" si="16"/>
        <v>224</v>
      </c>
      <c r="E173" s="363">
        <v>33.700000000000003</v>
      </c>
      <c r="F173" s="33">
        <f t="shared" si="14"/>
        <v>33.302</v>
      </c>
      <c r="G173" s="19" t="s">
        <v>9</v>
      </c>
      <c r="H173" s="33">
        <f t="shared" si="12"/>
        <v>5088.9879999999985</v>
      </c>
      <c r="I173" s="33">
        <f t="shared" si="15"/>
        <v>5063.8720000000021</v>
      </c>
      <c r="J173" s="236">
        <f t="shared" si="13"/>
        <v>200.45354807761646</v>
      </c>
      <c r="K173" s="251"/>
      <c r="L173" s="191"/>
    </row>
    <row r="174" spans="1:13">
      <c r="A174" s="687" t="s">
        <v>98</v>
      </c>
      <c r="B174" s="688"/>
      <c r="C174" s="689"/>
      <c r="D174" s="230">
        <f t="shared" si="16"/>
        <v>223</v>
      </c>
      <c r="E174" s="363">
        <v>33.94</v>
      </c>
      <c r="F174" s="33">
        <f t="shared" si="14"/>
        <v>33.541999999999994</v>
      </c>
      <c r="G174" s="19" t="s">
        <v>9</v>
      </c>
      <c r="H174" s="33">
        <f t="shared" si="12"/>
        <v>5122.5299999999988</v>
      </c>
      <c r="I174" s="33">
        <f t="shared" si="15"/>
        <v>5030.3300000000017</v>
      </c>
      <c r="J174" s="236">
        <f t="shared" si="13"/>
        <v>201.21451330481281</v>
      </c>
      <c r="K174" s="251"/>
      <c r="L174" s="191"/>
    </row>
    <row r="175" spans="1:13">
      <c r="A175" s="687" t="s">
        <v>98</v>
      </c>
      <c r="B175" s="688"/>
      <c r="C175" s="689"/>
      <c r="D175" s="230">
        <f t="shared" si="16"/>
        <v>222</v>
      </c>
      <c r="E175" s="363">
        <v>33.630000000000003</v>
      </c>
      <c r="F175" s="33">
        <f t="shared" si="14"/>
        <v>33.231999999999999</v>
      </c>
      <c r="G175" s="19" t="s">
        <v>9</v>
      </c>
      <c r="H175" s="33">
        <f t="shared" si="12"/>
        <v>5155.7619999999988</v>
      </c>
      <c r="I175" s="33">
        <f t="shared" si="15"/>
        <v>4997.0980000000018</v>
      </c>
      <c r="J175" s="236">
        <f t="shared" si="13"/>
        <v>201.96844558166538</v>
      </c>
      <c r="K175" s="251"/>
      <c r="L175" s="191"/>
    </row>
    <row r="176" spans="1:13">
      <c r="A176" s="687" t="s">
        <v>98</v>
      </c>
      <c r="B176" s="688"/>
      <c r="C176" s="689"/>
      <c r="D176" s="230">
        <f t="shared" si="16"/>
        <v>221</v>
      </c>
      <c r="E176" s="363">
        <v>33.729999999999997</v>
      </c>
      <c r="F176" s="33">
        <f t="shared" si="14"/>
        <v>33.331999999999994</v>
      </c>
      <c r="G176" s="19" t="s">
        <v>9</v>
      </c>
      <c r="H176" s="33">
        <f t="shared" si="12"/>
        <v>5189.0939999999991</v>
      </c>
      <c r="I176" s="33">
        <f t="shared" si="15"/>
        <v>4963.7660000000014</v>
      </c>
      <c r="J176" s="236">
        <f t="shared" si="13"/>
        <v>202.72464655217721</v>
      </c>
      <c r="K176" s="251"/>
      <c r="L176" s="191"/>
    </row>
    <row r="177" spans="1:12">
      <c r="A177" s="687" t="s">
        <v>98</v>
      </c>
      <c r="B177" s="688"/>
      <c r="C177" s="689"/>
      <c r="D177" s="230">
        <f t="shared" si="16"/>
        <v>220</v>
      </c>
      <c r="E177" s="363">
        <v>33.65</v>
      </c>
      <c r="F177" s="33">
        <f t="shared" si="14"/>
        <v>33.251999999999995</v>
      </c>
      <c r="G177" s="19" t="s">
        <v>9</v>
      </c>
      <c r="H177" s="33">
        <f t="shared" si="12"/>
        <v>5222.3459999999995</v>
      </c>
      <c r="I177" s="33">
        <f t="shared" si="15"/>
        <v>4930.514000000001</v>
      </c>
      <c r="J177" s="236">
        <f t="shared" si="13"/>
        <v>203.47903256776164</v>
      </c>
      <c r="K177" s="251"/>
      <c r="L177" s="191"/>
    </row>
    <row r="178" spans="1:12">
      <c r="A178" s="687" t="s">
        <v>98</v>
      </c>
      <c r="B178" s="688"/>
      <c r="C178" s="689"/>
      <c r="D178" s="230">
        <f t="shared" si="16"/>
        <v>219</v>
      </c>
      <c r="E178" s="363">
        <v>33.94</v>
      </c>
      <c r="F178" s="33">
        <f t="shared" si="14"/>
        <v>33.541999999999994</v>
      </c>
      <c r="G178" s="19" t="s">
        <v>9</v>
      </c>
      <c r="H178" s="33">
        <f t="shared" si="12"/>
        <v>5255.8879999999999</v>
      </c>
      <c r="I178" s="33">
        <f t="shared" si="15"/>
        <v>4896.9720000000007</v>
      </c>
      <c r="J178" s="236">
        <f t="shared" si="13"/>
        <v>204.23999779495796</v>
      </c>
      <c r="K178" s="251"/>
      <c r="L178" s="191"/>
    </row>
    <row r="179" spans="1:12">
      <c r="A179" s="687" t="s">
        <v>98</v>
      </c>
      <c r="B179" s="688"/>
      <c r="C179" s="689"/>
      <c r="D179" s="230">
        <f t="shared" si="16"/>
        <v>218</v>
      </c>
      <c r="E179" s="363">
        <v>32.32</v>
      </c>
      <c r="F179" s="33">
        <f t="shared" si="14"/>
        <v>31.922000000000001</v>
      </c>
      <c r="G179" s="19" t="s">
        <v>9</v>
      </c>
      <c r="H179" s="33">
        <f t="shared" si="12"/>
        <v>5287.8099999999995</v>
      </c>
      <c r="I179" s="33">
        <f t="shared" si="15"/>
        <v>4865.0500000000011</v>
      </c>
      <c r="J179" s="236">
        <f t="shared" si="13"/>
        <v>204.96421018487393</v>
      </c>
      <c r="K179" s="251"/>
      <c r="L179" s="191"/>
    </row>
    <row r="180" spans="1:12">
      <c r="A180" s="687" t="s">
        <v>98</v>
      </c>
      <c r="B180" s="688"/>
      <c r="C180" s="689"/>
      <c r="D180" s="230">
        <f t="shared" si="16"/>
        <v>217</v>
      </c>
      <c r="E180" s="363">
        <v>33.840000000000003</v>
      </c>
      <c r="F180" s="33">
        <f t="shared" si="14"/>
        <v>33.442</v>
      </c>
      <c r="G180" s="19" t="s">
        <v>9</v>
      </c>
      <c r="H180" s="33">
        <f t="shared" si="12"/>
        <v>5321.2519999999995</v>
      </c>
      <c r="I180" s="33">
        <f t="shared" si="15"/>
        <v>4831.6080000000011</v>
      </c>
      <c r="J180" s="236">
        <f t="shared" si="13"/>
        <v>205.72290671841097</v>
      </c>
      <c r="K180" s="251"/>
      <c r="L180" s="191"/>
    </row>
    <row r="181" spans="1:12">
      <c r="A181" s="687" t="s">
        <v>98</v>
      </c>
      <c r="B181" s="688"/>
      <c r="C181" s="689"/>
      <c r="D181" s="230">
        <f t="shared" si="16"/>
        <v>216</v>
      </c>
      <c r="E181" s="363">
        <v>33.94</v>
      </c>
      <c r="F181" s="33">
        <f t="shared" si="14"/>
        <v>33.541999999999994</v>
      </c>
      <c r="G181" s="19" t="s">
        <v>9</v>
      </c>
      <c r="H181" s="33">
        <f t="shared" si="12"/>
        <v>5354.7939999999999</v>
      </c>
      <c r="I181" s="33">
        <f t="shared" si="15"/>
        <v>4798.0660000000007</v>
      </c>
      <c r="J181" s="236">
        <f t="shared" si="13"/>
        <v>206.48387194560735</v>
      </c>
      <c r="K181" s="251"/>
      <c r="L181" s="191"/>
    </row>
    <row r="182" spans="1:12">
      <c r="A182" s="687" t="s">
        <v>98</v>
      </c>
      <c r="B182" s="688"/>
      <c r="C182" s="689"/>
      <c r="D182" s="230">
        <f t="shared" si="16"/>
        <v>215</v>
      </c>
      <c r="E182" s="363">
        <v>33.26</v>
      </c>
      <c r="F182" s="33">
        <f t="shared" si="14"/>
        <v>32.861999999999995</v>
      </c>
      <c r="G182" s="19" t="s">
        <v>9</v>
      </c>
      <c r="H182" s="33">
        <f t="shared" si="12"/>
        <v>5387.6559999999999</v>
      </c>
      <c r="I182" s="33">
        <f t="shared" si="15"/>
        <v>4765.2040000000006</v>
      </c>
      <c r="J182" s="236">
        <f t="shared" si="13"/>
        <v>207.22941005592054</v>
      </c>
      <c r="K182" s="251"/>
      <c r="L182" s="191"/>
    </row>
    <row r="183" spans="1:12">
      <c r="A183" s="687" t="s">
        <v>98</v>
      </c>
      <c r="B183" s="688"/>
      <c r="C183" s="689"/>
      <c r="D183" s="230">
        <f t="shared" si="16"/>
        <v>214</v>
      </c>
      <c r="E183" s="363">
        <v>33.479999999999997</v>
      </c>
      <c r="F183" s="33">
        <f t="shared" si="14"/>
        <v>33.081999999999994</v>
      </c>
      <c r="G183" s="19" t="s">
        <v>9</v>
      </c>
      <c r="H183" s="33">
        <f t="shared" si="12"/>
        <v>5420.7380000000003</v>
      </c>
      <c r="I183" s="33">
        <f t="shared" si="15"/>
        <v>4732.1220000000003</v>
      </c>
      <c r="J183" s="236">
        <f t="shared" si="13"/>
        <v>207.9799392922842</v>
      </c>
      <c r="K183" s="251"/>
      <c r="L183" s="191"/>
    </row>
    <row r="184" spans="1:12">
      <c r="A184" s="687" t="s">
        <v>98</v>
      </c>
      <c r="B184" s="688"/>
      <c r="C184" s="689"/>
      <c r="D184" s="230">
        <f t="shared" si="16"/>
        <v>213</v>
      </c>
      <c r="E184" s="363">
        <v>34.19</v>
      </c>
      <c r="F184" s="33">
        <f t="shared" si="14"/>
        <v>33.791999999999994</v>
      </c>
      <c r="G184" s="19" t="s">
        <v>9</v>
      </c>
      <c r="H184" s="33">
        <f t="shared" si="12"/>
        <v>5454.5300000000007</v>
      </c>
      <c r="I184" s="33">
        <f t="shared" si="15"/>
        <v>4698.33</v>
      </c>
      <c r="J184" s="236">
        <f t="shared" si="13"/>
        <v>208.74657625362875</v>
      </c>
      <c r="K184" s="251"/>
      <c r="L184" s="191"/>
    </row>
    <row r="185" spans="1:12">
      <c r="A185" s="687" t="s">
        <v>98</v>
      </c>
      <c r="B185" s="688"/>
      <c r="C185" s="689"/>
      <c r="D185" s="230">
        <f t="shared" si="16"/>
        <v>212</v>
      </c>
      <c r="E185" s="363">
        <v>33.56</v>
      </c>
      <c r="F185" s="33">
        <f t="shared" si="14"/>
        <v>33.161999999999999</v>
      </c>
      <c r="G185" s="19" t="s">
        <v>9</v>
      </c>
      <c r="H185" s="33">
        <f t="shared" si="12"/>
        <v>5487.6920000000009</v>
      </c>
      <c r="I185" s="33">
        <f t="shared" si="15"/>
        <v>4665.1679999999997</v>
      </c>
      <c r="J185" s="236">
        <f t="shared" si="13"/>
        <v>209.4989204449198</v>
      </c>
      <c r="K185" s="251"/>
      <c r="L185" s="191"/>
    </row>
    <row r="186" spans="1:12">
      <c r="A186" s="687" t="s">
        <v>98</v>
      </c>
      <c r="B186" s="688"/>
      <c r="C186" s="689"/>
      <c r="D186" s="230">
        <f t="shared" si="16"/>
        <v>211</v>
      </c>
      <c r="E186" s="363">
        <v>33.86</v>
      </c>
      <c r="F186" s="33">
        <f t="shared" si="14"/>
        <v>33.461999999999996</v>
      </c>
      <c r="G186" s="19" t="s">
        <v>9</v>
      </c>
      <c r="H186" s="33">
        <f t="shared" si="12"/>
        <v>5521.1540000000014</v>
      </c>
      <c r="I186" s="33">
        <f t="shared" si="15"/>
        <v>4631.7059999999992</v>
      </c>
      <c r="J186" s="236">
        <f t="shared" si="13"/>
        <v>210.25807071718873</v>
      </c>
      <c r="K186" s="251"/>
      <c r="L186" s="191"/>
    </row>
    <row r="187" spans="1:12">
      <c r="A187" s="687" t="s">
        <v>98</v>
      </c>
      <c r="B187" s="688"/>
      <c r="C187" s="689"/>
      <c r="D187" s="230">
        <f t="shared" si="16"/>
        <v>210</v>
      </c>
      <c r="E187" s="363">
        <v>33.78</v>
      </c>
      <c r="F187" s="33">
        <f t="shared" si="14"/>
        <v>33.381999999999998</v>
      </c>
      <c r="G187" s="19" t="s">
        <v>9</v>
      </c>
      <c r="H187" s="33">
        <f t="shared" si="12"/>
        <v>5554.536000000001</v>
      </c>
      <c r="I187" s="33">
        <f t="shared" si="15"/>
        <v>4598.3239999999996</v>
      </c>
      <c r="J187" s="236">
        <f t="shared" si="13"/>
        <v>211.0154060345302</v>
      </c>
      <c r="K187" s="251"/>
      <c r="L187" s="191"/>
    </row>
    <row r="188" spans="1:12">
      <c r="A188" s="687" t="s">
        <v>98</v>
      </c>
      <c r="B188" s="688"/>
      <c r="C188" s="689"/>
      <c r="D188" s="230">
        <f t="shared" si="16"/>
        <v>209</v>
      </c>
      <c r="E188" s="363">
        <v>33.090000000000003</v>
      </c>
      <c r="F188" s="33">
        <f t="shared" si="14"/>
        <v>32.692</v>
      </c>
      <c r="G188" s="19" t="s">
        <v>9</v>
      </c>
      <c r="H188" s="33">
        <f t="shared" si="12"/>
        <v>5587.228000000001</v>
      </c>
      <c r="I188" s="33">
        <f t="shared" si="15"/>
        <v>4565.6319999999996</v>
      </c>
      <c r="J188" s="236">
        <f t="shared" si="13"/>
        <v>211.75708736562262</v>
      </c>
      <c r="K188" s="251"/>
      <c r="L188" s="191"/>
    </row>
    <row r="189" spans="1:12">
      <c r="A189" s="687" t="s">
        <v>98</v>
      </c>
      <c r="B189" s="688"/>
      <c r="C189" s="689"/>
      <c r="D189" s="230">
        <f t="shared" si="16"/>
        <v>208</v>
      </c>
      <c r="E189" s="363">
        <v>33.71</v>
      </c>
      <c r="F189" s="33">
        <f t="shared" si="14"/>
        <v>33.311999999999998</v>
      </c>
      <c r="G189" s="19" t="s">
        <v>9</v>
      </c>
      <c r="H189" s="33">
        <f t="shared" si="12"/>
        <v>5620.5400000000009</v>
      </c>
      <c r="I189" s="33">
        <f t="shared" si="15"/>
        <v>4532.32</v>
      </c>
      <c r="J189" s="236">
        <f t="shared" si="13"/>
        <v>212.51283459740262</v>
      </c>
      <c r="K189" s="251"/>
      <c r="L189" s="191"/>
    </row>
    <row r="190" spans="1:12">
      <c r="A190" s="687" t="s">
        <v>98</v>
      </c>
      <c r="B190" s="688"/>
      <c r="C190" s="689"/>
      <c r="D190" s="230">
        <f t="shared" si="16"/>
        <v>207</v>
      </c>
      <c r="E190" s="363">
        <v>33.979999999999997</v>
      </c>
      <c r="F190" s="33">
        <f t="shared" si="14"/>
        <v>33.581999999999994</v>
      </c>
      <c r="G190" s="19" t="s">
        <v>9</v>
      </c>
      <c r="H190" s="33">
        <f t="shared" si="12"/>
        <v>5654.1220000000012</v>
      </c>
      <c r="I190" s="33">
        <f t="shared" si="15"/>
        <v>4498.7379999999994</v>
      </c>
      <c r="J190" s="236">
        <f t="shared" si="13"/>
        <v>213.27470730206267</v>
      </c>
      <c r="K190" s="251"/>
      <c r="L190" s="191"/>
    </row>
    <row r="191" spans="1:12">
      <c r="A191" s="687" t="s">
        <v>98</v>
      </c>
      <c r="B191" s="688"/>
      <c r="C191" s="689"/>
      <c r="D191" s="230">
        <f t="shared" si="16"/>
        <v>206</v>
      </c>
      <c r="E191" s="363">
        <v>33.86</v>
      </c>
      <c r="F191" s="33">
        <f t="shared" si="14"/>
        <v>33.461999999999996</v>
      </c>
      <c r="G191" s="19" t="s">
        <v>9</v>
      </c>
      <c r="H191" s="33">
        <f t="shared" si="12"/>
        <v>5687.5840000000017</v>
      </c>
      <c r="I191" s="33">
        <f t="shared" si="15"/>
        <v>4465.2759999999989</v>
      </c>
      <c r="J191" s="236">
        <f t="shared" si="13"/>
        <v>214.03385757433156</v>
      </c>
      <c r="K191" s="251"/>
      <c r="L191" s="191"/>
    </row>
    <row r="192" spans="1:12">
      <c r="A192" s="687" t="s">
        <v>98</v>
      </c>
      <c r="B192" s="688"/>
      <c r="C192" s="689"/>
      <c r="D192" s="230">
        <f t="shared" si="16"/>
        <v>205</v>
      </c>
      <c r="E192" s="363">
        <v>33.93</v>
      </c>
      <c r="F192" s="33">
        <f t="shared" si="14"/>
        <v>33.531999999999996</v>
      </c>
      <c r="G192" s="19" t="s">
        <v>9</v>
      </c>
      <c r="H192" s="33">
        <f t="shared" si="12"/>
        <v>5721.1160000000018</v>
      </c>
      <c r="I192" s="33">
        <f t="shared" si="15"/>
        <v>4431.7439999999988</v>
      </c>
      <c r="J192" s="236">
        <f t="shared" si="13"/>
        <v>214.794595932162</v>
      </c>
      <c r="K192" s="251"/>
      <c r="L192" s="191"/>
    </row>
    <row r="193" spans="1:12">
      <c r="A193" s="687" t="s">
        <v>98</v>
      </c>
      <c r="B193" s="688"/>
      <c r="C193" s="689"/>
      <c r="D193" s="230">
        <f t="shared" si="16"/>
        <v>204</v>
      </c>
      <c r="E193" s="363">
        <v>33.82</v>
      </c>
      <c r="F193" s="33">
        <f t="shared" si="14"/>
        <v>33.421999999999997</v>
      </c>
      <c r="G193" s="19" t="s">
        <v>9</v>
      </c>
      <c r="H193" s="33">
        <f t="shared" si="12"/>
        <v>5754.5380000000014</v>
      </c>
      <c r="I193" s="33">
        <f t="shared" si="15"/>
        <v>4398.3219999999992</v>
      </c>
      <c r="J193" s="236">
        <f t="shared" si="13"/>
        <v>215.55283872696717</v>
      </c>
      <c r="K193" s="251"/>
      <c r="L193" s="191"/>
    </row>
    <row r="194" spans="1:12">
      <c r="A194" s="687" t="s">
        <v>98</v>
      </c>
      <c r="B194" s="688"/>
      <c r="C194" s="689"/>
      <c r="D194" s="230">
        <f t="shared" si="16"/>
        <v>203</v>
      </c>
      <c r="E194" s="363">
        <v>33.950000000000003</v>
      </c>
      <c r="F194" s="33">
        <f t="shared" si="14"/>
        <v>33.552</v>
      </c>
      <c r="G194" s="19" t="s">
        <v>9</v>
      </c>
      <c r="H194" s="33">
        <f t="shared" si="12"/>
        <v>5788.0900000000011</v>
      </c>
      <c r="I194" s="33">
        <f t="shared" si="15"/>
        <v>4364.7699999999995</v>
      </c>
      <c r="J194" s="236">
        <f t="shared" si="13"/>
        <v>216.31403082352944</v>
      </c>
      <c r="K194" s="251"/>
      <c r="L194" s="191"/>
    </row>
    <row r="195" spans="1:12">
      <c r="A195" s="687" t="s">
        <v>98</v>
      </c>
      <c r="B195" s="688"/>
      <c r="C195" s="689"/>
      <c r="D195" s="230">
        <f t="shared" si="16"/>
        <v>202</v>
      </c>
      <c r="E195" s="363">
        <v>33.94</v>
      </c>
      <c r="F195" s="33">
        <f t="shared" si="14"/>
        <v>33.541999999999994</v>
      </c>
      <c r="G195" s="19" t="s">
        <v>9</v>
      </c>
      <c r="H195" s="33">
        <f t="shared" si="12"/>
        <v>5821.6320000000014</v>
      </c>
      <c r="I195" s="33">
        <f t="shared" si="15"/>
        <v>4331.2279999999992</v>
      </c>
      <c r="J195" s="236">
        <f t="shared" si="13"/>
        <v>217.07499605072576</v>
      </c>
      <c r="K195" s="251"/>
      <c r="L195" s="191"/>
    </row>
    <row r="196" spans="1:12">
      <c r="A196" s="687" t="s">
        <v>98</v>
      </c>
      <c r="B196" s="688"/>
      <c r="C196" s="689"/>
      <c r="D196" s="230">
        <f t="shared" si="16"/>
        <v>201</v>
      </c>
      <c r="E196" s="363">
        <v>32.24</v>
      </c>
      <c r="F196" s="33">
        <f t="shared" si="14"/>
        <v>31.842000000000002</v>
      </c>
      <c r="G196" s="19" t="s">
        <v>9</v>
      </c>
      <c r="H196" s="33">
        <f t="shared" si="12"/>
        <v>5853.4740000000011</v>
      </c>
      <c r="I196" s="33">
        <f t="shared" si="15"/>
        <v>4299.3859999999995</v>
      </c>
      <c r="J196" s="236">
        <f t="shared" si="13"/>
        <v>217.79739348571431</v>
      </c>
      <c r="K196" s="251"/>
      <c r="L196" s="191"/>
    </row>
    <row r="197" spans="1:12">
      <c r="A197" s="687" t="s">
        <v>98</v>
      </c>
      <c r="B197" s="688"/>
      <c r="C197" s="689"/>
      <c r="D197" s="230">
        <f t="shared" si="16"/>
        <v>200</v>
      </c>
      <c r="E197" s="363">
        <v>33.53</v>
      </c>
      <c r="F197" s="33">
        <f t="shared" si="14"/>
        <v>33.131999999999998</v>
      </c>
      <c r="G197" s="19" t="s">
        <v>9</v>
      </c>
      <c r="H197" s="33">
        <f t="shared" si="12"/>
        <v>5886.6060000000007</v>
      </c>
      <c r="I197" s="33">
        <f t="shared" si="15"/>
        <v>4266.2539999999999</v>
      </c>
      <c r="J197" s="236">
        <f t="shared" si="13"/>
        <v>218.54905706890756</v>
      </c>
      <c r="K197" s="251"/>
      <c r="L197" s="191"/>
    </row>
    <row r="198" spans="1:12">
      <c r="A198" s="687" t="s">
        <v>98</v>
      </c>
      <c r="B198" s="688"/>
      <c r="C198" s="689"/>
      <c r="D198" s="230">
        <f t="shared" si="16"/>
        <v>199</v>
      </c>
      <c r="E198" s="363">
        <v>32.72</v>
      </c>
      <c r="F198" s="33">
        <f t="shared" si="14"/>
        <v>32.321999999999996</v>
      </c>
      <c r="G198" s="19" t="s">
        <v>9</v>
      </c>
      <c r="H198" s="33">
        <f t="shared" si="12"/>
        <v>5918.9280000000008</v>
      </c>
      <c r="I198" s="33">
        <f t="shared" si="15"/>
        <v>4233.9319999999998</v>
      </c>
      <c r="J198" s="236">
        <f t="shared" si="13"/>
        <v>219.28234423346066</v>
      </c>
      <c r="K198" s="251"/>
      <c r="L198" s="191"/>
    </row>
    <row r="199" spans="1:12">
      <c r="A199" s="687" t="s">
        <v>98</v>
      </c>
      <c r="B199" s="688"/>
      <c r="C199" s="689"/>
      <c r="D199" s="230">
        <f t="shared" si="16"/>
        <v>198</v>
      </c>
      <c r="E199" s="363">
        <v>33.79</v>
      </c>
      <c r="F199" s="33">
        <f t="shared" si="14"/>
        <v>33.391999999999996</v>
      </c>
      <c r="G199" s="19" t="s">
        <v>9</v>
      </c>
      <c r="H199" s="33">
        <f t="shared" si="12"/>
        <v>5952.3200000000006</v>
      </c>
      <c r="I199" s="33">
        <f t="shared" si="15"/>
        <v>4200.54</v>
      </c>
      <c r="J199" s="236">
        <f t="shared" si="13"/>
        <v>220.03990642016805</v>
      </c>
      <c r="K199" s="251"/>
      <c r="L199" s="191"/>
    </row>
    <row r="200" spans="1:12">
      <c r="A200" s="687" t="s">
        <v>98</v>
      </c>
      <c r="B200" s="688"/>
      <c r="C200" s="689"/>
      <c r="D200" s="230">
        <f t="shared" si="16"/>
        <v>197</v>
      </c>
      <c r="E200" s="363">
        <v>33.79</v>
      </c>
      <c r="F200" s="33">
        <f t="shared" si="14"/>
        <v>33.391999999999996</v>
      </c>
      <c r="G200" s="19" t="s">
        <v>9</v>
      </c>
      <c r="H200" s="33">
        <f t="shared" si="12"/>
        <v>5985.7120000000004</v>
      </c>
      <c r="I200" s="33">
        <f t="shared" si="15"/>
        <v>4167.1480000000001</v>
      </c>
      <c r="J200" s="236">
        <f t="shared" si="13"/>
        <v>220.79746860687547</v>
      </c>
      <c r="K200" s="251"/>
      <c r="L200" s="191"/>
    </row>
    <row r="201" spans="1:12">
      <c r="A201" s="687" t="s">
        <v>98</v>
      </c>
      <c r="B201" s="688"/>
      <c r="C201" s="689"/>
      <c r="D201" s="230">
        <f t="shared" si="16"/>
        <v>196</v>
      </c>
      <c r="E201" s="363">
        <v>32.94</v>
      </c>
      <c r="F201" s="33">
        <f t="shared" si="14"/>
        <v>32.541999999999994</v>
      </c>
      <c r="G201" s="19" t="s">
        <v>9</v>
      </c>
      <c r="H201" s="33">
        <f t="shared" si="12"/>
        <v>6018.2540000000008</v>
      </c>
      <c r="I201" s="33">
        <f t="shared" si="15"/>
        <v>4134.6059999999998</v>
      </c>
      <c r="J201" s="236">
        <f t="shared" si="13"/>
        <v>221.53574689747899</v>
      </c>
      <c r="K201" s="251"/>
      <c r="L201" s="191"/>
    </row>
    <row r="202" spans="1:12">
      <c r="A202" s="687" t="s">
        <v>98</v>
      </c>
      <c r="B202" s="688"/>
      <c r="C202" s="689"/>
      <c r="D202" s="230">
        <f t="shared" si="16"/>
        <v>195</v>
      </c>
      <c r="E202" s="363">
        <v>32.909999999999997</v>
      </c>
      <c r="F202" s="33">
        <f t="shared" si="14"/>
        <v>32.511999999999993</v>
      </c>
      <c r="G202" s="19" t="s">
        <v>9</v>
      </c>
      <c r="H202" s="33">
        <f t="shared" si="12"/>
        <v>6050.7660000000005</v>
      </c>
      <c r="I202" s="33">
        <f t="shared" si="15"/>
        <v>4102.0940000000001</v>
      </c>
      <c r="J202" s="236">
        <f t="shared" si="13"/>
        <v>222.27334457998472</v>
      </c>
      <c r="K202" s="251"/>
      <c r="L202" s="191"/>
    </row>
    <row r="203" spans="1:12">
      <c r="A203" s="687" t="s">
        <v>98</v>
      </c>
      <c r="B203" s="688"/>
      <c r="C203" s="689"/>
      <c r="D203" s="230">
        <f t="shared" si="16"/>
        <v>194</v>
      </c>
      <c r="E203" s="363">
        <v>33.229999999999997</v>
      </c>
      <c r="F203" s="33">
        <f t="shared" si="14"/>
        <v>32.831999999999994</v>
      </c>
      <c r="G203" s="19" t="s">
        <v>9</v>
      </c>
      <c r="H203" s="33">
        <f t="shared" si="12"/>
        <v>6083.5980000000009</v>
      </c>
      <c r="I203" s="33">
        <f t="shared" si="15"/>
        <v>4069.2619999999997</v>
      </c>
      <c r="J203" s="236">
        <f t="shared" si="13"/>
        <v>223.01820208220016</v>
      </c>
      <c r="K203" s="251"/>
      <c r="L203" s="191"/>
    </row>
    <row r="204" spans="1:12">
      <c r="A204" s="687" t="s">
        <v>98</v>
      </c>
      <c r="B204" s="688"/>
      <c r="C204" s="689"/>
      <c r="D204" s="230">
        <f t="shared" si="16"/>
        <v>193</v>
      </c>
      <c r="E204" s="363">
        <v>33.369999999999997</v>
      </c>
      <c r="F204" s="33">
        <f t="shared" si="14"/>
        <v>32.971999999999994</v>
      </c>
      <c r="G204" s="19" t="s">
        <v>9</v>
      </c>
      <c r="H204" s="33">
        <f t="shared" si="12"/>
        <v>6116.5700000000006</v>
      </c>
      <c r="I204" s="33">
        <f t="shared" si="15"/>
        <v>4036.29</v>
      </c>
      <c r="J204" s="236">
        <f t="shared" si="13"/>
        <v>223.76623575553856</v>
      </c>
      <c r="K204" s="251"/>
      <c r="L204" s="191"/>
    </row>
    <row r="205" spans="1:12">
      <c r="A205" s="687" t="s">
        <v>98</v>
      </c>
      <c r="B205" s="688"/>
      <c r="C205" s="689"/>
      <c r="D205" s="230">
        <f t="shared" si="16"/>
        <v>192</v>
      </c>
      <c r="E205" s="363">
        <v>33.04</v>
      </c>
      <c r="F205" s="33">
        <f t="shared" si="14"/>
        <v>32.641999999999996</v>
      </c>
      <c r="G205" s="19" t="s">
        <v>9</v>
      </c>
      <c r="H205" s="33">
        <f t="shared" ref="H205:H268" si="17">IF(G205="IN",H204+F205,H204)</f>
        <v>6149.2120000000004</v>
      </c>
      <c r="I205" s="33">
        <f t="shared" si="15"/>
        <v>4003.6480000000001</v>
      </c>
      <c r="J205" s="236">
        <f t="shared" si="13"/>
        <v>224.50678273980139</v>
      </c>
      <c r="K205" s="251"/>
      <c r="L205" s="191"/>
    </row>
    <row r="206" spans="1:12">
      <c r="A206" s="687" t="s">
        <v>98</v>
      </c>
      <c r="B206" s="688"/>
      <c r="C206" s="689"/>
      <c r="D206" s="230">
        <f t="shared" si="16"/>
        <v>191</v>
      </c>
      <c r="E206" s="363">
        <v>33.24</v>
      </c>
      <c r="F206" s="33">
        <f t="shared" si="14"/>
        <v>32.841999999999999</v>
      </c>
      <c r="G206" s="19" t="s">
        <v>9</v>
      </c>
      <c r="H206" s="33">
        <f t="shared" si="17"/>
        <v>6182.0540000000001</v>
      </c>
      <c r="I206" s="33">
        <f t="shared" si="15"/>
        <v>3970.8060000000005</v>
      </c>
      <c r="J206" s="236">
        <f t="shared" si="13"/>
        <v>225.25186711138275</v>
      </c>
      <c r="K206" s="251"/>
      <c r="L206" s="191"/>
    </row>
    <row r="207" spans="1:12">
      <c r="A207" s="687" t="s">
        <v>98</v>
      </c>
      <c r="B207" s="688"/>
      <c r="C207" s="689"/>
      <c r="D207" s="230">
        <f t="shared" si="16"/>
        <v>190</v>
      </c>
      <c r="E207" s="363">
        <v>33.700000000000003</v>
      </c>
      <c r="F207" s="33">
        <f t="shared" si="14"/>
        <v>33.302</v>
      </c>
      <c r="G207" s="19" t="s">
        <v>9</v>
      </c>
      <c r="H207" s="33">
        <f t="shared" si="17"/>
        <v>6215.3559999999998</v>
      </c>
      <c r="I207" s="33">
        <f t="shared" si="15"/>
        <v>3937.5040000000008</v>
      </c>
      <c r="J207" s="236">
        <f t="shared" si="13"/>
        <v>226.0073874737968</v>
      </c>
      <c r="K207" s="251"/>
      <c r="L207" s="191"/>
    </row>
    <row r="208" spans="1:12">
      <c r="A208" s="687" t="s">
        <v>98</v>
      </c>
      <c r="B208" s="688"/>
      <c r="C208" s="689"/>
      <c r="D208" s="230">
        <f t="shared" si="16"/>
        <v>189</v>
      </c>
      <c r="E208" s="363">
        <v>33.369999999999997</v>
      </c>
      <c r="F208" s="33">
        <f t="shared" si="14"/>
        <v>32.971999999999994</v>
      </c>
      <c r="G208" s="19" t="s">
        <v>9</v>
      </c>
      <c r="H208" s="33">
        <f t="shared" si="17"/>
        <v>6248.3279999999995</v>
      </c>
      <c r="I208" s="33">
        <f t="shared" si="15"/>
        <v>3904.5320000000011</v>
      </c>
      <c r="J208" s="236">
        <f t="shared" ref="J208:J271" si="18">$G$6+(H208*$E$7*$G$8/1000)</f>
        <v>226.75542114713519</v>
      </c>
      <c r="K208" s="251"/>
      <c r="L208" s="191"/>
    </row>
    <row r="209" spans="1:12">
      <c r="A209" s="687" t="s">
        <v>98</v>
      </c>
      <c r="B209" s="688"/>
      <c r="C209" s="689"/>
      <c r="D209" s="230">
        <f t="shared" si="16"/>
        <v>188</v>
      </c>
      <c r="E209" s="363">
        <v>32.81</v>
      </c>
      <c r="F209" s="33">
        <f t="shared" si="14"/>
        <v>32.411999999999999</v>
      </c>
      <c r="G209" s="19" t="s">
        <v>9</v>
      </c>
      <c r="H209" s="33">
        <f t="shared" si="17"/>
        <v>6280.74</v>
      </c>
      <c r="I209" s="33">
        <f t="shared" si="15"/>
        <v>3872.1200000000008</v>
      </c>
      <c r="J209" s="236">
        <f t="shared" si="18"/>
        <v>227.49075013598164</v>
      </c>
      <c r="K209" s="251"/>
      <c r="L209" s="191"/>
    </row>
    <row r="210" spans="1:12">
      <c r="A210" s="687" t="s">
        <v>98</v>
      </c>
      <c r="B210" s="688"/>
      <c r="C210" s="689"/>
      <c r="D210" s="230">
        <f t="shared" si="16"/>
        <v>187</v>
      </c>
      <c r="E210" s="363">
        <v>33.450000000000003</v>
      </c>
      <c r="F210" s="33">
        <f t="shared" si="14"/>
        <v>33.052</v>
      </c>
      <c r="G210" s="19" t="s">
        <v>9</v>
      </c>
      <c r="H210" s="33">
        <f t="shared" si="17"/>
        <v>6313.7919999999995</v>
      </c>
      <c r="I210" s="33">
        <f t="shared" si="15"/>
        <v>3839.0680000000011</v>
      </c>
      <c r="J210" s="236">
        <f t="shared" si="18"/>
        <v>228.24059876424749</v>
      </c>
      <c r="K210" s="251"/>
      <c r="L210" s="191"/>
    </row>
    <row r="211" spans="1:12">
      <c r="A211" s="687" t="s">
        <v>98</v>
      </c>
      <c r="B211" s="688"/>
      <c r="C211" s="689"/>
      <c r="D211" s="230">
        <f t="shared" si="16"/>
        <v>186</v>
      </c>
      <c r="E211" s="363">
        <v>31.8</v>
      </c>
      <c r="F211" s="33">
        <f t="shared" si="14"/>
        <v>31.402000000000001</v>
      </c>
      <c r="G211" s="19" t="s">
        <v>9</v>
      </c>
      <c r="H211" s="33">
        <f t="shared" si="17"/>
        <v>6345.1939999999995</v>
      </c>
      <c r="I211" s="33">
        <f t="shared" si="15"/>
        <v>3807.6660000000011</v>
      </c>
      <c r="J211" s="236">
        <f t="shared" si="18"/>
        <v>228.95301394713522</v>
      </c>
      <c r="K211" s="251"/>
      <c r="L211" s="191"/>
    </row>
    <row r="212" spans="1:12">
      <c r="A212" s="687" t="s">
        <v>98</v>
      </c>
      <c r="B212" s="688"/>
      <c r="C212" s="689"/>
      <c r="D212" s="230">
        <f t="shared" si="16"/>
        <v>185</v>
      </c>
      <c r="E212" s="363">
        <v>32.950000000000003</v>
      </c>
      <c r="F212" s="33">
        <f t="shared" si="14"/>
        <v>32.552</v>
      </c>
      <c r="G212" s="19" t="s">
        <v>9</v>
      </c>
      <c r="H212" s="33">
        <f t="shared" si="17"/>
        <v>6377.7459999999992</v>
      </c>
      <c r="I212" s="33">
        <f t="shared" si="15"/>
        <v>3775.1140000000014</v>
      </c>
      <c r="J212" s="236">
        <f t="shared" si="18"/>
        <v>229.69151910710463</v>
      </c>
      <c r="K212" s="251"/>
      <c r="L212" s="191"/>
    </row>
    <row r="213" spans="1:12">
      <c r="A213" s="687" t="s">
        <v>98</v>
      </c>
      <c r="B213" s="688"/>
      <c r="C213" s="689"/>
      <c r="D213" s="230">
        <f t="shared" si="16"/>
        <v>184</v>
      </c>
      <c r="E213" s="363">
        <v>33.44</v>
      </c>
      <c r="F213" s="33">
        <f t="shared" si="14"/>
        <v>33.041999999999994</v>
      </c>
      <c r="G213" s="19" t="s">
        <v>9</v>
      </c>
      <c r="H213" s="33">
        <f t="shared" si="17"/>
        <v>6410.7879999999996</v>
      </c>
      <c r="I213" s="33">
        <f t="shared" si="15"/>
        <v>3742.072000000001</v>
      </c>
      <c r="J213" s="236">
        <f t="shared" si="18"/>
        <v>230.44114086600456</v>
      </c>
      <c r="K213" s="251"/>
      <c r="L213" s="191"/>
    </row>
    <row r="214" spans="1:12">
      <c r="A214" s="687" t="s">
        <v>98</v>
      </c>
      <c r="B214" s="688"/>
      <c r="C214" s="689"/>
      <c r="D214" s="230">
        <f t="shared" si="16"/>
        <v>183</v>
      </c>
      <c r="E214" s="363">
        <v>32.89</v>
      </c>
      <c r="F214" s="33">
        <f t="shared" si="14"/>
        <v>32.491999999999997</v>
      </c>
      <c r="G214" s="19" t="s">
        <v>9</v>
      </c>
      <c r="H214" s="33">
        <f t="shared" si="17"/>
        <v>6443.28</v>
      </c>
      <c r="I214" s="33">
        <f t="shared" si="15"/>
        <v>3709.5800000000008</v>
      </c>
      <c r="J214" s="236">
        <f t="shared" si="18"/>
        <v>231.17828480977843</v>
      </c>
      <c r="K214" s="251"/>
      <c r="L214" s="191"/>
    </row>
    <row r="215" spans="1:12">
      <c r="A215" s="687" t="s">
        <v>98</v>
      </c>
      <c r="B215" s="688"/>
      <c r="C215" s="689"/>
      <c r="D215" s="230">
        <f t="shared" si="16"/>
        <v>182</v>
      </c>
      <c r="E215" s="363">
        <v>32.979999999999997</v>
      </c>
      <c r="F215" s="33">
        <f t="shared" ref="F215:F278" si="19">E215-($E$9)</f>
        <v>32.581999999999994</v>
      </c>
      <c r="G215" s="19" t="s">
        <v>9</v>
      </c>
      <c r="H215" s="33">
        <f t="shared" si="17"/>
        <v>6475.8620000000001</v>
      </c>
      <c r="I215" s="33">
        <f t="shared" ref="I215:I278" si="20">IF(H215="","",$K$6-H215)</f>
        <v>3676.9980000000005</v>
      </c>
      <c r="J215" s="236">
        <f t="shared" si="18"/>
        <v>231.91747057784568</v>
      </c>
      <c r="K215" s="251"/>
      <c r="L215" s="191"/>
    </row>
    <row r="216" spans="1:12">
      <c r="A216" s="687" t="s">
        <v>98</v>
      </c>
      <c r="B216" s="688"/>
      <c r="C216" s="689"/>
      <c r="D216" s="230">
        <f t="shared" ref="D216:D279" si="21">D215-1</f>
        <v>181</v>
      </c>
      <c r="E216" s="363">
        <v>33.44</v>
      </c>
      <c r="F216" s="33">
        <f t="shared" si="19"/>
        <v>33.041999999999994</v>
      </c>
      <c r="G216" s="19" t="s">
        <v>9</v>
      </c>
      <c r="H216" s="33">
        <f t="shared" si="17"/>
        <v>6508.9040000000005</v>
      </c>
      <c r="I216" s="33">
        <f t="shared" si="20"/>
        <v>3643.9560000000001</v>
      </c>
      <c r="J216" s="236">
        <f t="shared" si="18"/>
        <v>232.66709233674561</v>
      </c>
      <c r="K216" s="251"/>
      <c r="L216" s="191"/>
    </row>
    <row r="217" spans="1:12">
      <c r="A217" s="687" t="s">
        <v>98</v>
      </c>
      <c r="B217" s="688"/>
      <c r="C217" s="689"/>
      <c r="D217" s="230">
        <f t="shared" si="21"/>
        <v>180</v>
      </c>
      <c r="E217" s="363">
        <v>33.68</v>
      </c>
      <c r="F217" s="33">
        <f t="shared" si="19"/>
        <v>33.281999999999996</v>
      </c>
      <c r="G217" s="19" t="s">
        <v>9</v>
      </c>
      <c r="H217" s="33">
        <f t="shared" si="17"/>
        <v>6542.1860000000006</v>
      </c>
      <c r="I217" s="33">
        <f t="shared" si="20"/>
        <v>3610.674</v>
      </c>
      <c r="J217" s="236">
        <f t="shared" si="18"/>
        <v>233.42215896042779</v>
      </c>
      <c r="K217" s="251"/>
      <c r="L217" s="191"/>
    </row>
    <row r="218" spans="1:12">
      <c r="A218" s="687" t="s">
        <v>98</v>
      </c>
      <c r="B218" s="688"/>
      <c r="C218" s="689"/>
      <c r="D218" s="230">
        <f t="shared" si="21"/>
        <v>179</v>
      </c>
      <c r="E218" s="363">
        <v>33.43</v>
      </c>
      <c r="F218" s="33">
        <f t="shared" si="19"/>
        <v>33.031999999999996</v>
      </c>
      <c r="G218" s="19" t="s">
        <v>9</v>
      </c>
      <c r="H218" s="33">
        <f t="shared" si="17"/>
        <v>6575.2180000000008</v>
      </c>
      <c r="I218" s="33">
        <f t="shared" si="20"/>
        <v>3577.6419999999998</v>
      </c>
      <c r="J218" s="236">
        <f t="shared" si="18"/>
        <v>234.17155384996178</v>
      </c>
      <c r="K218" s="251"/>
      <c r="L218" s="191"/>
    </row>
    <row r="219" spans="1:12">
      <c r="A219" s="687" t="s">
        <v>98</v>
      </c>
      <c r="B219" s="688"/>
      <c r="C219" s="689"/>
      <c r="D219" s="230">
        <f t="shared" si="21"/>
        <v>178</v>
      </c>
      <c r="E219" s="363">
        <v>33.6</v>
      </c>
      <c r="F219" s="33">
        <f t="shared" si="19"/>
        <v>33.201999999999998</v>
      </c>
      <c r="G219" s="19" t="s">
        <v>9</v>
      </c>
      <c r="H219" s="33">
        <f t="shared" si="17"/>
        <v>6608.420000000001</v>
      </c>
      <c r="I219" s="33">
        <f t="shared" si="20"/>
        <v>3544.4399999999996</v>
      </c>
      <c r="J219" s="236">
        <f t="shared" si="18"/>
        <v>234.92480551871657</v>
      </c>
      <c r="K219" s="251"/>
      <c r="L219" s="191"/>
    </row>
    <row r="220" spans="1:12">
      <c r="A220" s="687" t="s">
        <v>98</v>
      </c>
      <c r="B220" s="688"/>
      <c r="C220" s="689"/>
      <c r="D220" s="230">
        <f t="shared" si="21"/>
        <v>177</v>
      </c>
      <c r="E220" s="363">
        <v>33.6</v>
      </c>
      <c r="F220" s="33">
        <f t="shared" si="19"/>
        <v>33.201999999999998</v>
      </c>
      <c r="G220" s="19" t="s">
        <v>9</v>
      </c>
      <c r="H220" s="33">
        <f t="shared" si="17"/>
        <v>6641.6220000000012</v>
      </c>
      <c r="I220" s="33">
        <f t="shared" si="20"/>
        <v>3511.2379999999994</v>
      </c>
      <c r="J220" s="236">
        <f t="shared" si="18"/>
        <v>235.67805718747135</v>
      </c>
      <c r="K220" s="251"/>
      <c r="L220" s="191"/>
    </row>
    <row r="221" spans="1:12">
      <c r="A221" s="687" t="s">
        <v>98</v>
      </c>
      <c r="B221" s="688"/>
      <c r="C221" s="689"/>
      <c r="D221" s="230">
        <f t="shared" si="21"/>
        <v>176</v>
      </c>
      <c r="E221" s="363">
        <v>33.71</v>
      </c>
      <c r="F221" s="33">
        <f t="shared" si="19"/>
        <v>33.311999999999998</v>
      </c>
      <c r="G221" s="19" t="s">
        <v>9</v>
      </c>
      <c r="H221" s="33">
        <f t="shared" si="17"/>
        <v>6674.9340000000011</v>
      </c>
      <c r="I221" s="33">
        <f t="shared" si="20"/>
        <v>3477.9259999999995</v>
      </c>
      <c r="J221" s="236">
        <f t="shared" si="18"/>
        <v>236.43380441925137</v>
      </c>
      <c r="K221" s="251"/>
      <c r="L221" s="191"/>
    </row>
    <row r="222" spans="1:12">
      <c r="A222" s="687" t="s">
        <v>98</v>
      </c>
      <c r="B222" s="688"/>
      <c r="C222" s="689"/>
      <c r="D222" s="230">
        <f t="shared" si="21"/>
        <v>175</v>
      </c>
      <c r="E222" s="363">
        <v>33.6</v>
      </c>
      <c r="F222" s="33">
        <f t="shared" si="19"/>
        <v>33.201999999999998</v>
      </c>
      <c r="G222" s="19" t="s">
        <v>9</v>
      </c>
      <c r="H222" s="33">
        <f t="shared" si="17"/>
        <v>6708.1360000000013</v>
      </c>
      <c r="I222" s="33">
        <f t="shared" si="20"/>
        <v>3444.7239999999993</v>
      </c>
      <c r="J222" s="236">
        <f t="shared" si="18"/>
        <v>237.18705608800613</v>
      </c>
      <c r="K222" s="251"/>
      <c r="L222" s="191"/>
    </row>
    <row r="223" spans="1:12">
      <c r="A223" s="687" t="s">
        <v>98</v>
      </c>
      <c r="B223" s="688"/>
      <c r="C223" s="689"/>
      <c r="D223" s="230">
        <f t="shared" si="21"/>
        <v>174</v>
      </c>
      <c r="E223" s="363">
        <v>33.93</v>
      </c>
      <c r="F223" s="33">
        <f t="shared" si="19"/>
        <v>33.531999999999996</v>
      </c>
      <c r="G223" s="19" t="s">
        <v>9</v>
      </c>
      <c r="H223" s="33">
        <f t="shared" si="17"/>
        <v>6741.6680000000015</v>
      </c>
      <c r="I223" s="33">
        <f t="shared" si="20"/>
        <v>3411.1919999999991</v>
      </c>
      <c r="J223" s="236">
        <f t="shared" si="18"/>
        <v>237.94779444583654</v>
      </c>
      <c r="K223" s="251"/>
      <c r="L223" s="191"/>
    </row>
    <row r="224" spans="1:12">
      <c r="A224" s="687" t="s">
        <v>98</v>
      </c>
      <c r="B224" s="688"/>
      <c r="C224" s="689"/>
      <c r="D224" s="230">
        <f t="shared" si="21"/>
        <v>173</v>
      </c>
      <c r="E224" s="363">
        <v>33.76</v>
      </c>
      <c r="F224" s="33">
        <f t="shared" si="19"/>
        <v>33.361999999999995</v>
      </c>
      <c r="G224" s="19" t="s">
        <v>9</v>
      </c>
      <c r="H224" s="33">
        <f t="shared" si="17"/>
        <v>6775.0300000000016</v>
      </c>
      <c r="I224" s="33">
        <f t="shared" si="20"/>
        <v>3377.829999999999</v>
      </c>
      <c r="J224" s="236">
        <f t="shared" si="18"/>
        <v>238.70467602444614</v>
      </c>
      <c r="K224" s="251"/>
      <c r="L224" s="191"/>
    </row>
    <row r="225" spans="1:12">
      <c r="A225" s="687" t="s">
        <v>98</v>
      </c>
      <c r="B225" s="688"/>
      <c r="C225" s="689"/>
      <c r="D225" s="230">
        <f t="shared" si="21"/>
        <v>172</v>
      </c>
      <c r="E225" s="363">
        <v>33.86</v>
      </c>
      <c r="F225" s="33">
        <f t="shared" si="19"/>
        <v>33.461999999999996</v>
      </c>
      <c r="G225" s="19" t="s">
        <v>9</v>
      </c>
      <c r="H225" s="33">
        <f t="shared" si="17"/>
        <v>6808.492000000002</v>
      </c>
      <c r="I225" s="33">
        <f t="shared" si="20"/>
        <v>3344.3679999999986</v>
      </c>
      <c r="J225" s="236">
        <f t="shared" si="18"/>
        <v>239.46382629671507</v>
      </c>
      <c r="K225" s="251"/>
      <c r="L225" s="191"/>
    </row>
    <row r="226" spans="1:12">
      <c r="A226" s="687" t="s">
        <v>98</v>
      </c>
      <c r="B226" s="688"/>
      <c r="C226" s="689"/>
      <c r="D226" s="230">
        <f t="shared" si="21"/>
        <v>171</v>
      </c>
      <c r="E226" s="363">
        <v>33.72</v>
      </c>
      <c r="F226" s="33">
        <f t="shared" si="19"/>
        <v>33.321999999999996</v>
      </c>
      <c r="G226" s="19" t="s">
        <v>9</v>
      </c>
      <c r="H226" s="33">
        <f t="shared" si="17"/>
        <v>6841.8140000000021</v>
      </c>
      <c r="I226" s="33">
        <f t="shared" si="20"/>
        <v>3311.0459999999985</v>
      </c>
      <c r="J226" s="236">
        <f t="shared" si="18"/>
        <v>240.21980039786098</v>
      </c>
      <c r="K226" s="251"/>
      <c r="L226" s="191"/>
    </row>
    <row r="227" spans="1:12">
      <c r="A227" s="687" t="s">
        <v>98</v>
      </c>
      <c r="B227" s="688"/>
      <c r="C227" s="689"/>
      <c r="D227" s="230">
        <f t="shared" si="21"/>
        <v>170</v>
      </c>
      <c r="E227" s="363">
        <v>33.94</v>
      </c>
      <c r="F227" s="33">
        <f t="shared" si="19"/>
        <v>33.541999999999994</v>
      </c>
      <c r="G227" s="19" t="s">
        <v>9</v>
      </c>
      <c r="H227" s="33">
        <f t="shared" si="17"/>
        <v>6875.3560000000025</v>
      </c>
      <c r="I227" s="33">
        <f t="shared" si="20"/>
        <v>3277.5039999999981</v>
      </c>
      <c r="J227" s="236">
        <f t="shared" si="18"/>
        <v>240.98076562505733</v>
      </c>
      <c r="K227" s="251"/>
      <c r="L227" s="191"/>
    </row>
    <row r="228" spans="1:12">
      <c r="A228" s="687" t="s">
        <v>98</v>
      </c>
      <c r="B228" s="688"/>
      <c r="C228" s="689"/>
      <c r="D228" s="230">
        <f t="shared" si="21"/>
        <v>169</v>
      </c>
      <c r="E228" s="363">
        <v>33.94</v>
      </c>
      <c r="F228" s="33">
        <f t="shared" si="19"/>
        <v>33.541999999999994</v>
      </c>
      <c r="G228" s="19" t="s">
        <v>9</v>
      </c>
      <c r="H228" s="33">
        <f t="shared" si="17"/>
        <v>6908.8980000000029</v>
      </c>
      <c r="I228" s="33">
        <f t="shared" si="20"/>
        <v>3243.9619999999977</v>
      </c>
      <c r="J228" s="236">
        <f t="shared" si="18"/>
        <v>241.74173085225371</v>
      </c>
      <c r="K228" s="251"/>
      <c r="L228" s="191"/>
    </row>
    <row r="229" spans="1:12">
      <c r="A229" s="687" t="s">
        <v>98</v>
      </c>
      <c r="B229" s="688"/>
      <c r="C229" s="689"/>
      <c r="D229" s="230">
        <f t="shared" si="21"/>
        <v>168</v>
      </c>
      <c r="E229" s="363">
        <v>33.32</v>
      </c>
      <c r="F229" s="33">
        <f t="shared" si="19"/>
        <v>32.921999999999997</v>
      </c>
      <c r="G229" s="19" t="s">
        <v>9</v>
      </c>
      <c r="H229" s="33">
        <f t="shared" si="17"/>
        <v>6941.8200000000024</v>
      </c>
      <c r="I229" s="33">
        <f t="shared" si="20"/>
        <v>3211.0399999999981</v>
      </c>
      <c r="J229" s="236">
        <f t="shared" si="18"/>
        <v>242.48863017876246</v>
      </c>
      <c r="K229" s="251"/>
      <c r="L229" s="191"/>
    </row>
    <row r="230" spans="1:12">
      <c r="A230" s="687" t="s">
        <v>98</v>
      </c>
      <c r="B230" s="688"/>
      <c r="C230" s="689"/>
      <c r="D230" s="230">
        <f t="shared" si="21"/>
        <v>167</v>
      </c>
      <c r="E230" s="363">
        <v>33.82</v>
      </c>
      <c r="F230" s="33">
        <f t="shared" si="19"/>
        <v>33.421999999999997</v>
      </c>
      <c r="G230" s="19" t="s">
        <v>9</v>
      </c>
      <c r="H230" s="33">
        <f t="shared" si="17"/>
        <v>6975.242000000002</v>
      </c>
      <c r="I230" s="33">
        <f t="shared" si="20"/>
        <v>3177.6179999999986</v>
      </c>
      <c r="J230" s="236">
        <f t="shared" si="18"/>
        <v>243.24687297356763</v>
      </c>
      <c r="K230" s="251"/>
      <c r="L230" s="191"/>
    </row>
    <row r="231" spans="1:12">
      <c r="A231" s="687" t="s">
        <v>98</v>
      </c>
      <c r="B231" s="688"/>
      <c r="C231" s="689"/>
      <c r="D231" s="230">
        <f t="shared" si="21"/>
        <v>166</v>
      </c>
      <c r="E231" s="363">
        <v>33.409999999999997</v>
      </c>
      <c r="F231" s="33">
        <f t="shared" si="19"/>
        <v>33.011999999999993</v>
      </c>
      <c r="G231" s="19" t="s">
        <v>9</v>
      </c>
      <c r="H231" s="33">
        <f t="shared" si="17"/>
        <v>7008.2540000000017</v>
      </c>
      <c r="I231" s="33">
        <f t="shared" si="20"/>
        <v>3144.6059999999989</v>
      </c>
      <c r="J231" s="236">
        <f t="shared" si="18"/>
        <v>243.99581412436979</v>
      </c>
      <c r="K231" s="251"/>
      <c r="L231" s="191"/>
    </row>
    <row r="232" spans="1:12">
      <c r="A232" s="687" t="s">
        <v>98</v>
      </c>
      <c r="B232" s="688"/>
      <c r="C232" s="689"/>
      <c r="D232" s="230">
        <f t="shared" si="21"/>
        <v>165</v>
      </c>
      <c r="E232" s="363">
        <v>31.97</v>
      </c>
      <c r="F232" s="33">
        <f t="shared" si="19"/>
        <v>31.571999999999999</v>
      </c>
      <c r="G232" s="19" t="s">
        <v>9</v>
      </c>
      <c r="H232" s="33">
        <f t="shared" si="17"/>
        <v>7039.8260000000018</v>
      </c>
      <c r="I232" s="33">
        <f t="shared" si="20"/>
        <v>3113.0339999999987</v>
      </c>
      <c r="J232" s="236">
        <f t="shared" si="18"/>
        <v>244.71208608647825</v>
      </c>
      <c r="K232" s="251"/>
      <c r="L232" s="191"/>
    </row>
    <row r="233" spans="1:12">
      <c r="A233" s="687" t="s">
        <v>98</v>
      </c>
      <c r="B233" s="688"/>
      <c r="C233" s="689"/>
      <c r="D233" s="230">
        <f t="shared" si="21"/>
        <v>164</v>
      </c>
      <c r="E233" s="363">
        <v>33.42</v>
      </c>
      <c r="F233" s="33">
        <f t="shared" si="19"/>
        <v>33.021999999999998</v>
      </c>
      <c r="G233" s="19" t="s">
        <v>9</v>
      </c>
      <c r="H233" s="33">
        <f t="shared" si="17"/>
        <v>7072.8480000000018</v>
      </c>
      <c r="I233" s="33">
        <f t="shared" si="20"/>
        <v>3080.0119999999988</v>
      </c>
      <c r="J233" s="236">
        <f t="shared" si="18"/>
        <v>245.46125410664632</v>
      </c>
      <c r="K233" s="251"/>
      <c r="L233" s="191"/>
    </row>
    <row r="234" spans="1:12">
      <c r="A234" s="687" t="s">
        <v>98</v>
      </c>
      <c r="B234" s="688"/>
      <c r="C234" s="689"/>
      <c r="D234" s="230">
        <f t="shared" si="21"/>
        <v>163</v>
      </c>
      <c r="E234" s="363">
        <v>33.590000000000003</v>
      </c>
      <c r="F234" s="33">
        <f t="shared" si="19"/>
        <v>33.192</v>
      </c>
      <c r="G234" s="19" t="s">
        <v>9</v>
      </c>
      <c r="H234" s="33">
        <f t="shared" si="17"/>
        <v>7106.0400000000018</v>
      </c>
      <c r="I234" s="33">
        <f t="shared" si="20"/>
        <v>3046.8199999999988</v>
      </c>
      <c r="J234" s="236">
        <f t="shared" si="18"/>
        <v>246.21427890603516</v>
      </c>
      <c r="K234" s="251"/>
      <c r="L234" s="191"/>
    </row>
    <row r="235" spans="1:12">
      <c r="A235" s="687" t="s">
        <v>98</v>
      </c>
      <c r="B235" s="688"/>
      <c r="C235" s="689"/>
      <c r="D235" s="230">
        <f t="shared" si="21"/>
        <v>162</v>
      </c>
      <c r="E235" s="363">
        <v>32.32</v>
      </c>
      <c r="F235" s="33">
        <f t="shared" si="19"/>
        <v>31.922000000000001</v>
      </c>
      <c r="G235" s="19" t="s">
        <v>9</v>
      </c>
      <c r="H235" s="33">
        <f t="shared" si="17"/>
        <v>7137.9620000000014</v>
      </c>
      <c r="I235" s="33">
        <f t="shared" si="20"/>
        <v>3014.8979999999992</v>
      </c>
      <c r="J235" s="236">
        <f t="shared" si="18"/>
        <v>246.93849129595114</v>
      </c>
      <c r="K235" s="251"/>
      <c r="L235" s="191"/>
    </row>
    <row r="236" spans="1:12">
      <c r="A236" s="687" t="s">
        <v>98</v>
      </c>
      <c r="B236" s="688"/>
      <c r="C236" s="689"/>
      <c r="D236" s="230">
        <f t="shared" si="21"/>
        <v>161</v>
      </c>
      <c r="E236" s="363">
        <v>33.229999999999997</v>
      </c>
      <c r="F236" s="33">
        <f t="shared" si="19"/>
        <v>32.831999999999994</v>
      </c>
      <c r="G236" s="19" t="s">
        <v>9</v>
      </c>
      <c r="H236" s="33">
        <f t="shared" si="17"/>
        <v>7170.7940000000017</v>
      </c>
      <c r="I236" s="33">
        <f t="shared" si="20"/>
        <v>2982.0659999999989</v>
      </c>
      <c r="J236" s="236">
        <f t="shared" si="18"/>
        <v>247.68334879816655</v>
      </c>
      <c r="K236" s="251"/>
      <c r="L236" s="191"/>
    </row>
    <row r="237" spans="1:12">
      <c r="A237" s="687" t="s">
        <v>98</v>
      </c>
      <c r="B237" s="688"/>
      <c r="C237" s="689"/>
      <c r="D237" s="230">
        <f t="shared" si="21"/>
        <v>160</v>
      </c>
      <c r="E237" s="363">
        <v>33.630000000000003</v>
      </c>
      <c r="F237" s="33">
        <f t="shared" si="19"/>
        <v>33.231999999999999</v>
      </c>
      <c r="G237" s="19" t="s">
        <v>9</v>
      </c>
      <c r="H237" s="33">
        <f t="shared" si="17"/>
        <v>7204.0260000000017</v>
      </c>
      <c r="I237" s="33">
        <f t="shared" si="20"/>
        <v>2948.8339999999989</v>
      </c>
      <c r="J237" s="236">
        <f t="shared" si="18"/>
        <v>248.43728107501911</v>
      </c>
      <c r="K237" s="251"/>
      <c r="L237" s="191"/>
    </row>
    <row r="238" spans="1:12">
      <c r="A238" s="687" t="s">
        <v>98</v>
      </c>
      <c r="B238" s="688"/>
      <c r="C238" s="689"/>
      <c r="D238" s="230">
        <f t="shared" si="21"/>
        <v>159</v>
      </c>
      <c r="E238" s="363">
        <v>33.49</v>
      </c>
      <c r="F238" s="33">
        <f t="shared" si="19"/>
        <v>33.091999999999999</v>
      </c>
      <c r="G238" s="19" t="s">
        <v>9</v>
      </c>
      <c r="H238" s="33">
        <f t="shared" si="17"/>
        <v>7237.1180000000013</v>
      </c>
      <c r="I238" s="33">
        <f t="shared" si="20"/>
        <v>2915.7419999999993</v>
      </c>
      <c r="J238" s="236">
        <f t="shared" si="18"/>
        <v>249.18803718074869</v>
      </c>
      <c r="K238" s="251"/>
      <c r="L238" s="191"/>
    </row>
    <row r="239" spans="1:12">
      <c r="A239" s="687" t="s">
        <v>98</v>
      </c>
      <c r="B239" s="688"/>
      <c r="C239" s="689"/>
      <c r="D239" s="230">
        <f t="shared" si="21"/>
        <v>158</v>
      </c>
      <c r="E239" s="363">
        <v>33.81</v>
      </c>
      <c r="F239" s="33">
        <f t="shared" si="19"/>
        <v>33.411999999999999</v>
      </c>
      <c r="G239" s="19" t="s">
        <v>9</v>
      </c>
      <c r="H239" s="33">
        <f t="shared" si="17"/>
        <v>7270.5300000000016</v>
      </c>
      <c r="I239" s="33">
        <f t="shared" si="20"/>
        <v>2882.329999999999</v>
      </c>
      <c r="J239" s="236">
        <f t="shared" si="18"/>
        <v>249.94605310618792</v>
      </c>
      <c r="K239" s="251"/>
      <c r="L239" s="191"/>
    </row>
    <row r="240" spans="1:12">
      <c r="A240" s="687" t="s">
        <v>98</v>
      </c>
      <c r="B240" s="688"/>
      <c r="C240" s="689"/>
      <c r="D240" s="230">
        <f t="shared" si="21"/>
        <v>157</v>
      </c>
      <c r="E240" s="363">
        <v>33.93</v>
      </c>
      <c r="F240" s="33">
        <f t="shared" si="19"/>
        <v>33.531999999999996</v>
      </c>
      <c r="G240" s="19" t="s">
        <v>9</v>
      </c>
      <c r="H240" s="33">
        <f t="shared" si="17"/>
        <v>7304.0620000000017</v>
      </c>
      <c r="I240" s="33">
        <f t="shared" si="20"/>
        <v>2848.7979999999989</v>
      </c>
      <c r="J240" s="236">
        <f t="shared" si="18"/>
        <v>250.70679146401838</v>
      </c>
      <c r="K240" s="251"/>
      <c r="L240" s="191"/>
    </row>
    <row r="241" spans="1:12">
      <c r="A241" s="687" t="s">
        <v>98</v>
      </c>
      <c r="B241" s="688"/>
      <c r="C241" s="689"/>
      <c r="D241" s="230">
        <f t="shared" si="21"/>
        <v>156</v>
      </c>
      <c r="E241" s="363">
        <v>33.68</v>
      </c>
      <c r="F241" s="33">
        <f t="shared" si="19"/>
        <v>33.281999999999996</v>
      </c>
      <c r="G241" s="19" t="s">
        <v>9</v>
      </c>
      <c r="H241" s="33">
        <f t="shared" si="17"/>
        <v>7337.3440000000019</v>
      </c>
      <c r="I241" s="33">
        <f t="shared" si="20"/>
        <v>2815.5159999999987</v>
      </c>
      <c r="J241" s="236">
        <f t="shared" si="18"/>
        <v>251.46185808770056</v>
      </c>
      <c r="K241" s="251"/>
      <c r="L241" s="191"/>
    </row>
    <row r="242" spans="1:12">
      <c r="A242" s="687" t="s">
        <v>98</v>
      </c>
      <c r="B242" s="688"/>
      <c r="C242" s="689"/>
      <c r="D242" s="230">
        <f t="shared" si="21"/>
        <v>155</v>
      </c>
      <c r="E242" s="363">
        <v>33.94</v>
      </c>
      <c r="F242" s="33">
        <f t="shared" si="19"/>
        <v>33.541999999999994</v>
      </c>
      <c r="G242" s="19" t="s">
        <v>9</v>
      </c>
      <c r="H242" s="33">
        <f t="shared" si="17"/>
        <v>7370.8860000000022</v>
      </c>
      <c r="I242" s="33">
        <f t="shared" si="20"/>
        <v>2781.9739999999983</v>
      </c>
      <c r="J242" s="236">
        <f t="shared" si="18"/>
        <v>252.22282331489691</v>
      </c>
      <c r="K242" s="251"/>
      <c r="L242" s="191"/>
    </row>
    <row r="243" spans="1:12">
      <c r="A243" s="687" t="s">
        <v>98</v>
      </c>
      <c r="B243" s="688"/>
      <c r="C243" s="689"/>
      <c r="D243" s="230">
        <f t="shared" si="21"/>
        <v>154</v>
      </c>
      <c r="E243" s="363">
        <v>33.94</v>
      </c>
      <c r="F243" s="33">
        <f t="shared" si="19"/>
        <v>33.541999999999994</v>
      </c>
      <c r="G243" s="19" t="s">
        <v>9</v>
      </c>
      <c r="H243" s="33">
        <f t="shared" si="17"/>
        <v>7404.4280000000026</v>
      </c>
      <c r="I243" s="33">
        <f t="shared" si="20"/>
        <v>2748.431999999998</v>
      </c>
      <c r="J243" s="236">
        <f t="shared" si="18"/>
        <v>252.98378854209324</v>
      </c>
      <c r="K243" s="251"/>
      <c r="L243" s="191"/>
    </row>
    <row r="244" spans="1:12">
      <c r="A244" s="687" t="s">
        <v>98</v>
      </c>
      <c r="B244" s="688"/>
      <c r="C244" s="689"/>
      <c r="D244" s="230">
        <f t="shared" si="21"/>
        <v>153</v>
      </c>
      <c r="E244" s="363">
        <v>33.94</v>
      </c>
      <c r="F244" s="33">
        <f t="shared" si="19"/>
        <v>33.541999999999994</v>
      </c>
      <c r="G244" s="19" t="s">
        <v>9</v>
      </c>
      <c r="H244" s="33">
        <f t="shared" si="17"/>
        <v>7437.970000000003</v>
      </c>
      <c r="I244" s="33">
        <f t="shared" si="20"/>
        <v>2714.8899999999976</v>
      </c>
      <c r="J244" s="236">
        <f t="shared" si="18"/>
        <v>253.74475376928959</v>
      </c>
      <c r="K244" s="251"/>
      <c r="L244" s="191"/>
    </row>
    <row r="245" spans="1:12">
      <c r="A245" s="687" t="s">
        <v>98</v>
      </c>
      <c r="B245" s="688"/>
      <c r="C245" s="689"/>
      <c r="D245" s="230">
        <f t="shared" si="21"/>
        <v>152</v>
      </c>
      <c r="E245" s="363">
        <v>33.590000000000003</v>
      </c>
      <c r="F245" s="33">
        <f t="shared" si="19"/>
        <v>33.192</v>
      </c>
      <c r="G245" s="19" t="s">
        <v>9</v>
      </c>
      <c r="H245" s="33">
        <f t="shared" si="17"/>
        <v>7471.162000000003</v>
      </c>
      <c r="I245" s="33">
        <f t="shared" si="20"/>
        <v>2681.6979999999976</v>
      </c>
      <c r="J245" s="236">
        <f t="shared" si="18"/>
        <v>254.49777856867846</v>
      </c>
      <c r="K245" s="251"/>
      <c r="L245" s="191"/>
    </row>
    <row r="246" spans="1:12">
      <c r="A246" s="687" t="s">
        <v>98</v>
      </c>
      <c r="B246" s="688"/>
      <c r="C246" s="689"/>
      <c r="D246" s="230">
        <f t="shared" si="21"/>
        <v>151</v>
      </c>
      <c r="E246" s="363">
        <v>32.880000000000003</v>
      </c>
      <c r="F246" s="33">
        <f t="shared" si="19"/>
        <v>32.481999999999999</v>
      </c>
      <c r="G246" s="19" t="s">
        <v>9</v>
      </c>
      <c r="H246" s="33">
        <f t="shared" si="17"/>
        <v>7503.644000000003</v>
      </c>
      <c r="I246" s="33">
        <f t="shared" si="20"/>
        <v>2649.2159999999976</v>
      </c>
      <c r="J246" s="236">
        <f t="shared" si="18"/>
        <v>255.23469564308635</v>
      </c>
      <c r="K246" s="251"/>
      <c r="L246" s="191"/>
    </row>
    <row r="247" spans="1:12">
      <c r="A247" s="687" t="s">
        <v>98</v>
      </c>
      <c r="B247" s="688"/>
      <c r="C247" s="689"/>
      <c r="D247" s="230">
        <f t="shared" si="21"/>
        <v>150</v>
      </c>
      <c r="E247" s="363">
        <v>32.49</v>
      </c>
      <c r="F247" s="33">
        <f t="shared" si="19"/>
        <v>32.091999999999999</v>
      </c>
      <c r="G247" s="19" t="s">
        <v>9</v>
      </c>
      <c r="H247" s="33">
        <f t="shared" si="17"/>
        <v>7535.7360000000026</v>
      </c>
      <c r="I247" s="33">
        <f t="shared" si="20"/>
        <v>2617.123999999998</v>
      </c>
      <c r="J247" s="236">
        <f t="shared" si="18"/>
        <v>255.96276481222313</v>
      </c>
      <c r="K247" s="251"/>
      <c r="L247" s="191"/>
    </row>
    <row r="248" spans="1:12">
      <c r="A248" s="687" t="s">
        <v>98</v>
      </c>
      <c r="B248" s="688"/>
      <c r="C248" s="689"/>
      <c r="D248" s="230">
        <f t="shared" si="21"/>
        <v>149</v>
      </c>
      <c r="E248" s="363">
        <v>32.82</v>
      </c>
      <c r="F248" s="33">
        <f t="shared" si="19"/>
        <v>32.421999999999997</v>
      </c>
      <c r="G248" s="19" t="s">
        <v>9</v>
      </c>
      <c r="H248" s="33">
        <f t="shared" si="17"/>
        <v>7568.1580000000022</v>
      </c>
      <c r="I248" s="33">
        <f t="shared" si="20"/>
        <v>2584.7019999999984</v>
      </c>
      <c r="J248" s="236">
        <f t="shared" si="18"/>
        <v>256.69832067043546</v>
      </c>
      <c r="K248" s="251"/>
      <c r="L248" s="191"/>
    </row>
    <row r="249" spans="1:12">
      <c r="A249" s="687" t="s">
        <v>98</v>
      </c>
      <c r="B249" s="688"/>
      <c r="C249" s="689"/>
      <c r="D249" s="230">
        <f t="shared" si="21"/>
        <v>148</v>
      </c>
      <c r="E249" s="363">
        <v>33.35</v>
      </c>
      <c r="F249" s="33">
        <f t="shared" si="19"/>
        <v>32.951999999999998</v>
      </c>
      <c r="G249" s="19" t="s">
        <v>9</v>
      </c>
      <c r="H249" s="33">
        <f t="shared" si="17"/>
        <v>7601.1100000000024</v>
      </c>
      <c r="I249" s="33">
        <f t="shared" si="20"/>
        <v>2551.7499999999982</v>
      </c>
      <c r="J249" s="236">
        <f t="shared" si="18"/>
        <v>257.44590060504208</v>
      </c>
      <c r="K249" s="251"/>
      <c r="L249" s="191"/>
    </row>
    <row r="250" spans="1:12">
      <c r="A250" s="687" t="s">
        <v>98</v>
      </c>
      <c r="B250" s="688"/>
      <c r="C250" s="689"/>
      <c r="D250" s="230">
        <f t="shared" si="21"/>
        <v>147</v>
      </c>
      <c r="E250" s="363">
        <v>33.17</v>
      </c>
      <c r="F250" s="33">
        <f t="shared" si="19"/>
        <v>32.771999999999998</v>
      </c>
      <c r="G250" s="19" t="s">
        <v>9</v>
      </c>
      <c r="H250" s="33">
        <f t="shared" si="17"/>
        <v>7633.8820000000023</v>
      </c>
      <c r="I250" s="33">
        <f t="shared" si="20"/>
        <v>2518.9779999999982</v>
      </c>
      <c r="J250" s="236">
        <f t="shared" si="18"/>
        <v>258.1893968910619</v>
      </c>
      <c r="K250" s="251"/>
      <c r="L250" s="191"/>
    </row>
    <row r="251" spans="1:12">
      <c r="A251" s="687" t="s">
        <v>98</v>
      </c>
      <c r="B251" s="688"/>
      <c r="C251" s="689"/>
      <c r="D251" s="230">
        <f t="shared" si="21"/>
        <v>146</v>
      </c>
      <c r="E251" s="363">
        <v>33.25</v>
      </c>
      <c r="F251" s="33">
        <f t="shared" si="19"/>
        <v>32.851999999999997</v>
      </c>
      <c r="G251" s="19" t="s">
        <v>9</v>
      </c>
      <c r="H251" s="33">
        <f t="shared" si="17"/>
        <v>7666.7340000000022</v>
      </c>
      <c r="I251" s="33">
        <f t="shared" si="20"/>
        <v>2486.1259999999984</v>
      </c>
      <c r="J251" s="236">
        <f t="shared" si="18"/>
        <v>258.93470813200918</v>
      </c>
      <c r="K251" s="251"/>
      <c r="L251" s="191"/>
    </row>
    <row r="252" spans="1:12">
      <c r="A252" s="687" t="s">
        <v>98</v>
      </c>
      <c r="B252" s="688"/>
      <c r="C252" s="689"/>
      <c r="D252" s="230">
        <f t="shared" si="21"/>
        <v>145</v>
      </c>
      <c r="E252" s="363">
        <v>32.68</v>
      </c>
      <c r="F252" s="33">
        <f t="shared" si="19"/>
        <v>32.281999999999996</v>
      </c>
      <c r="G252" s="19" t="s">
        <v>9</v>
      </c>
      <c r="H252" s="33">
        <f t="shared" si="17"/>
        <v>7699.0160000000024</v>
      </c>
      <c r="I252" s="33">
        <f t="shared" si="20"/>
        <v>2453.8439999999982</v>
      </c>
      <c r="J252" s="236">
        <f t="shared" si="18"/>
        <v>259.66708781909858</v>
      </c>
      <c r="K252" s="251"/>
      <c r="L252" s="191"/>
    </row>
    <row r="253" spans="1:12">
      <c r="A253" s="687" t="s">
        <v>98</v>
      </c>
      <c r="B253" s="688"/>
      <c r="C253" s="689"/>
      <c r="D253" s="230">
        <f t="shared" si="21"/>
        <v>144</v>
      </c>
      <c r="E253" s="363">
        <v>33.54</v>
      </c>
      <c r="F253" s="33">
        <f t="shared" si="19"/>
        <v>33.141999999999996</v>
      </c>
      <c r="G253" s="19" t="s">
        <v>9</v>
      </c>
      <c r="H253" s="33">
        <f t="shared" si="17"/>
        <v>7732.1580000000022</v>
      </c>
      <c r="I253" s="33">
        <f t="shared" si="20"/>
        <v>2420.7019999999984</v>
      </c>
      <c r="J253" s="236">
        <f t="shared" si="18"/>
        <v>260.41897827165781</v>
      </c>
      <c r="K253" s="251"/>
      <c r="L253" s="191"/>
    </row>
    <row r="254" spans="1:12">
      <c r="A254" s="687" t="s">
        <v>98</v>
      </c>
      <c r="B254" s="688"/>
      <c r="C254" s="689"/>
      <c r="D254" s="230">
        <f t="shared" si="21"/>
        <v>143</v>
      </c>
      <c r="E254" s="363">
        <v>33.56</v>
      </c>
      <c r="F254" s="33">
        <f t="shared" si="19"/>
        <v>33.161999999999999</v>
      </c>
      <c r="G254" s="19" t="s">
        <v>9</v>
      </c>
      <c r="H254" s="33">
        <f t="shared" si="17"/>
        <v>7765.3200000000024</v>
      </c>
      <c r="I254" s="33">
        <f t="shared" si="20"/>
        <v>2387.5399999999981</v>
      </c>
      <c r="J254" s="236">
        <f t="shared" si="18"/>
        <v>261.17132246294886</v>
      </c>
      <c r="K254" s="251"/>
      <c r="L254" s="191"/>
    </row>
    <row r="255" spans="1:12">
      <c r="A255" s="687" t="s">
        <v>98</v>
      </c>
      <c r="B255" s="688"/>
      <c r="C255" s="689"/>
      <c r="D255" s="230">
        <f t="shared" si="21"/>
        <v>142</v>
      </c>
      <c r="E255" s="363">
        <v>33.549999999999997</v>
      </c>
      <c r="F255" s="33">
        <f t="shared" si="19"/>
        <v>33.151999999999994</v>
      </c>
      <c r="G255" s="19" t="s">
        <v>9</v>
      </c>
      <c r="H255" s="33">
        <f t="shared" si="17"/>
        <v>7798.4720000000025</v>
      </c>
      <c r="I255" s="33">
        <f t="shared" si="20"/>
        <v>2354.3879999999981</v>
      </c>
      <c r="J255" s="236">
        <f t="shared" si="18"/>
        <v>261.92343978487395</v>
      </c>
      <c r="K255" s="251"/>
      <c r="L255" s="191"/>
    </row>
    <row r="256" spans="1:12">
      <c r="A256" s="687" t="s">
        <v>98</v>
      </c>
      <c r="B256" s="688"/>
      <c r="C256" s="689"/>
      <c r="D256" s="230">
        <f t="shared" si="21"/>
        <v>141</v>
      </c>
      <c r="E256" s="363">
        <v>33.26</v>
      </c>
      <c r="F256" s="33">
        <f t="shared" si="19"/>
        <v>32.861999999999995</v>
      </c>
      <c r="G256" s="19" t="s">
        <v>9</v>
      </c>
      <c r="H256" s="33">
        <f t="shared" si="17"/>
        <v>7831.3340000000026</v>
      </c>
      <c r="I256" s="33">
        <f t="shared" si="20"/>
        <v>2321.525999999998</v>
      </c>
      <c r="J256" s="236">
        <f t="shared" si="18"/>
        <v>262.66897789518725</v>
      </c>
      <c r="K256" s="251"/>
      <c r="L256" s="191"/>
    </row>
    <row r="257" spans="1:12">
      <c r="A257" s="687" t="s">
        <v>98</v>
      </c>
      <c r="B257" s="688"/>
      <c r="C257" s="689"/>
      <c r="D257" s="230">
        <f t="shared" si="21"/>
        <v>140</v>
      </c>
      <c r="E257" s="363">
        <v>33.33</v>
      </c>
      <c r="F257" s="33">
        <f t="shared" si="19"/>
        <v>32.931999999999995</v>
      </c>
      <c r="G257" s="19" t="s">
        <v>9</v>
      </c>
      <c r="H257" s="33">
        <f t="shared" si="17"/>
        <v>7864.2660000000024</v>
      </c>
      <c r="I257" s="33">
        <f t="shared" si="20"/>
        <v>2288.5939999999982</v>
      </c>
      <c r="J257" s="236">
        <f t="shared" si="18"/>
        <v>263.41610409106192</v>
      </c>
      <c r="K257" s="251"/>
      <c r="L257" s="191"/>
    </row>
    <row r="258" spans="1:12">
      <c r="A258" s="687" t="s">
        <v>98</v>
      </c>
      <c r="B258" s="688"/>
      <c r="C258" s="689"/>
      <c r="D258" s="230">
        <f t="shared" si="21"/>
        <v>139</v>
      </c>
      <c r="E258" s="363">
        <v>33.35</v>
      </c>
      <c r="F258" s="33">
        <f t="shared" si="19"/>
        <v>32.951999999999998</v>
      </c>
      <c r="G258" s="19" t="s">
        <v>9</v>
      </c>
      <c r="H258" s="33">
        <f t="shared" si="17"/>
        <v>7897.2180000000026</v>
      </c>
      <c r="I258" s="33">
        <f t="shared" si="20"/>
        <v>2255.641999999998</v>
      </c>
      <c r="J258" s="236">
        <f t="shared" si="18"/>
        <v>264.16368402566849</v>
      </c>
      <c r="K258" s="251"/>
      <c r="L258" s="191"/>
    </row>
    <row r="259" spans="1:12">
      <c r="A259" s="687" t="s">
        <v>98</v>
      </c>
      <c r="B259" s="688"/>
      <c r="C259" s="689"/>
      <c r="D259" s="230">
        <f t="shared" si="21"/>
        <v>138</v>
      </c>
      <c r="E259" s="363">
        <v>33.5</v>
      </c>
      <c r="F259" s="33">
        <f t="shared" si="19"/>
        <v>33.101999999999997</v>
      </c>
      <c r="G259" s="19" t="s">
        <v>9</v>
      </c>
      <c r="H259" s="33">
        <f t="shared" si="17"/>
        <v>7930.3200000000024</v>
      </c>
      <c r="I259" s="33">
        <f t="shared" si="20"/>
        <v>2222.5399999999981</v>
      </c>
      <c r="J259" s="236">
        <f t="shared" si="18"/>
        <v>264.91466700076398</v>
      </c>
      <c r="K259" s="251"/>
      <c r="L259" s="191"/>
    </row>
    <row r="260" spans="1:12">
      <c r="A260" s="687" t="s">
        <v>98</v>
      </c>
      <c r="B260" s="688"/>
      <c r="C260" s="689"/>
      <c r="D260" s="230">
        <f t="shared" si="21"/>
        <v>137</v>
      </c>
      <c r="E260" s="363">
        <v>33.28</v>
      </c>
      <c r="F260" s="33">
        <f t="shared" si="19"/>
        <v>32.881999999999998</v>
      </c>
      <c r="G260" s="19" t="s">
        <v>9</v>
      </c>
      <c r="H260" s="33">
        <f t="shared" si="17"/>
        <v>7963.202000000002</v>
      </c>
      <c r="I260" s="33">
        <f t="shared" si="20"/>
        <v>2189.6579999999985</v>
      </c>
      <c r="J260" s="236">
        <f t="shared" si="18"/>
        <v>265.66065884980907</v>
      </c>
      <c r="K260" s="251"/>
      <c r="L260" s="191"/>
    </row>
    <row r="261" spans="1:12">
      <c r="A261" s="687" t="s">
        <v>98</v>
      </c>
      <c r="B261" s="688"/>
      <c r="C261" s="689"/>
      <c r="D261" s="230">
        <f t="shared" si="21"/>
        <v>136</v>
      </c>
      <c r="E261" s="363">
        <v>33.76</v>
      </c>
      <c r="F261" s="33">
        <f t="shared" si="19"/>
        <v>33.361999999999995</v>
      </c>
      <c r="G261" s="19" t="s">
        <v>9</v>
      </c>
      <c r="H261" s="33">
        <f t="shared" si="17"/>
        <v>7996.5640000000021</v>
      </c>
      <c r="I261" s="33">
        <f t="shared" si="20"/>
        <v>2156.2959999999985</v>
      </c>
      <c r="J261" s="236">
        <f t="shared" si="18"/>
        <v>266.41754042841865</v>
      </c>
      <c r="K261" s="251"/>
      <c r="L261" s="191"/>
    </row>
    <row r="262" spans="1:12">
      <c r="A262" s="687" t="s">
        <v>98</v>
      </c>
      <c r="B262" s="688"/>
      <c r="C262" s="689"/>
      <c r="D262" s="230">
        <f t="shared" si="21"/>
        <v>135</v>
      </c>
      <c r="E262" s="363">
        <v>33.880000000000003</v>
      </c>
      <c r="F262" s="33">
        <f t="shared" si="19"/>
        <v>33.481999999999999</v>
      </c>
      <c r="G262" s="19" t="s">
        <v>9</v>
      </c>
      <c r="H262" s="33">
        <f t="shared" si="17"/>
        <v>8030.0460000000021</v>
      </c>
      <c r="I262" s="33">
        <f t="shared" si="20"/>
        <v>2122.8139999999985</v>
      </c>
      <c r="J262" s="236">
        <f t="shared" si="18"/>
        <v>267.17714443941941</v>
      </c>
      <c r="K262" s="251"/>
      <c r="L262" s="191"/>
    </row>
    <row r="263" spans="1:12">
      <c r="A263" s="687" t="s">
        <v>98</v>
      </c>
      <c r="B263" s="688"/>
      <c r="C263" s="689"/>
      <c r="D263" s="230">
        <f t="shared" si="21"/>
        <v>134</v>
      </c>
      <c r="E263" s="363">
        <v>34</v>
      </c>
      <c r="F263" s="33">
        <f t="shared" si="19"/>
        <v>33.601999999999997</v>
      </c>
      <c r="G263" s="19" t="s">
        <v>9</v>
      </c>
      <c r="H263" s="33">
        <f t="shared" si="17"/>
        <v>8063.648000000002</v>
      </c>
      <c r="I263" s="33">
        <f t="shared" si="20"/>
        <v>2089.2119999999986</v>
      </c>
      <c r="J263" s="236">
        <f t="shared" si="18"/>
        <v>267.93947088281135</v>
      </c>
      <c r="K263" s="251"/>
      <c r="L263" s="191"/>
    </row>
    <row r="264" spans="1:12">
      <c r="A264" s="687" t="s">
        <v>98</v>
      </c>
      <c r="B264" s="688"/>
      <c r="C264" s="689"/>
      <c r="D264" s="230">
        <f t="shared" si="21"/>
        <v>133</v>
      </c>
      <c r="E264" s="363">
        <v>33.630000000000003</v>
      </c>
      <c r="F264" s="33">
        <f t="shared" si="19"/>
        <v>33.231999999999999</v>
      </c>
      <c r="G264" s="19" t="s">
        <v>9</v>
      </c>
      <c r="H264" s="33">
        <f t="shared" si="17"/>
        <v>8096.8800000000019</v>
      </c>
      <c r="I264" s="33">
        <f t="shared" si="20"/>
        <v>2055.9799999999987</v>
      </c>
      <c r="J264" s="236">
        <f t="shared" si="18"/>
        <v>268.69340315966389</v>
      </c>
      <c r="K264" s="251"/>
      <c r="L264" s="191"/>
    </row>
    <row r="265" spans="1:12">
      <c r="A265" s="687" t="s">
        <v>98</v>
      </c>
      <c r="B265" s="688"/>
      <c r="C265" s="689"/>
      <c r="D265" s="230">
        <f t="shared" si="21"/>
        <v>132</v>
      </c>
      <c r="E265" s="363">
        <v>33.76</v>
      </c>
      <c r="F265" s="33">
        <f t="shared" si="19"/>
        <v>33.361999999999995</v>
      </c>
      <c r="G265" s="19" t="s">
        <v>9</v>
      </c>
      <c r="H265" s="33">
        <f t="shared" si="17"/>
        <v>8130.242000000002</v>
      </c>
      <c r="I265" s="33">
        <f t="shared" si="20"/>
        <v>2022.6179999999986</v>
      </c>
      <c r="J265" s="236">
        <f t="shared" si="18"/>
        <v>269.45028473827347</v>
      </c>
      <c r="K265" s="251"/>
      <c r="L265" s="191"/>
    </row>
    <row r="266" spans="1:12">
      <c r="A266" s="687" t="s">
        <v>98</v>
      </c>
      <c r="B266" s="688"/>
      <c r="C266" s="689"/>
      <c r="D266" s="230">
        <f t="shared" si="21"/>
        <v>131</v>
      </c>
      <c r="E266" s="363">
        <v>32.549999999999997</v>
      </c>
      <c r="F266" s="33">
        <f t="shared" si="19"/>
        <v>32.151999999999994</v>
      </c>
      <c r="G266" s="19" t="s">
        <v>9</v>
      </c>
      <c r="H266" s="33">
        <f t="shared" si="17"/>
        <v>8162.3940000000021</v>
      </c>
      <c r="I266" s="33">
        <f t="shared" si="20"/>
        <v>1990.4659999999985</v>
      </c>
      <c r="J266" s="236">
        <f t="shared" si="18"/>
        <v>270.17971512360589</v>
      </c>
      <c r="K266" s="251"/>
      <c r="L266" s="191"/>
    </row>
    <row r="267" spans="1:12">
      <c r="A267" s="687" t="s">
        <v>98</v>
      </c>
      <c r="B267" s="688"/>
      <c r="C267" s="689"/>
      <c r="D267" s="230">
        <f t="shared" si="21"/>
        <v>130</v>
      </c>
      <c r="E267" s="363">
        <v>33.770000000000003</v>
      </c>
      <c r="F267" s="33">
        <f t="shared" si="19"/>
        <v>33.372</v>
      </c>
      <c r="G267" s="19" t="s">
        <v>9</v>
      </c>
      <c r="H267" s="33">
        <f t="shared" si="17"/>
        <v>8195.7660000000014</v>
      </c>
      <c r="I267" s="33">
        <f t="shared" si="20"/>
        <v>1957.0939999999991</v>
      </c>
      <c r="J267" s="236">
        <f t="shared" si="18"/>
        <v>270.93682357158139</v>
      </c>
      <c r="K267" s="251"/>
      <c r="L267" s="191"/>
    </row>
    <row r="268" spans="1:12">
      <c r="A268" s="687" t="s">
        <v>98</v>
      </c>
      <c r="B268" s="688"/>
      <c r="C268" s="689"/>
      <c r="D268" s="230">
        <f t="shared" si="21"/>
        <v>129</v>
      </c>
      <c r="E268" s="363">
        <v>34.03</v>
      </c>
      <c r="F268" s="33">
        <f t="shared" si="19"/>
        <v>33.631999999999998</v>
      </c>
      <c r="G268" s="19" t="s">
        <v>9</v>
      </c>
      <c r="H268" s="33">
        <f t="shared" si="17"/>
        <v>8229.398000000001</v>
      </c>
      <c r="I268" s="33">
        <f t="shared" si="20"/>
        <v>1923.4619999999995</v>
      </c>
      <c r="J268" s="236">
        <f t="shared" si="18"/>
        <v>271.69983062307108</v>
      </c>
      <c r="K268" s="251"/>
      <c r="L268" s="191"/>
    </row>
    <row r="269" spans="1:12">
      <c r="A269" s="687" t="s">
        <v>98</v>
      </c>
      <c r="B269" s="688"/>
      <c r="C269" s="689"/>
      <c r="D269" s="230">
        <f t="shared" si="21"/>
        <v>128</v>
      </c>
      <c r="E269" s="363">
        <v>33.590000000000003</v>
      </c>
      <c r="F269" s="33">
        <f t="shared" si="19"/>
        <v>33.192</v>
      </c>
      <c r="G269" s="19" t="s">
        <v>9</v>
      </c>
      <c r="H269" s="33">
        <f t="shared" ref="H269:H331" si="22">IF(G269="IN",H268+F269,H268)</f>
        <v>8262.59</v>
      </c>
      <c r="I269" s="33">
        <f t="shared" si="20"/>
        <v>1890.2700000000004</v>
      </c>
      <c r="J269" s="236">
        <f t="shared" si="18"/>
        <v>272.45285542245983</v>
      </c>
      <c r="K269" s="251"/>
      <c r="L269" s="191"/>
    </row>
    <row r="270" spans="1:12">
      <c r="A270" s="687" t="s">
        <v>98</v>
      </c>
      <c r="B270" s="688"/>
      <c r="C270" s="689"/>
      <c r="D270" s="230">
        <f t="shared" si="21"/>
        <v>127</v>
      </c>
      <c r="E270" s="363">
        <v>32.29</v>
      </c>
      <c r="F270" s="33">
        <f t="shared" si="19"/>
        <v>31.891999999999999</v>
      </c>
      <c r="G270" s="19" t="s">
        <v>9</v>
      </c>
      <c r="H270" s="33">
        <f t="shared" si="22"/>
        <v>8294.482</v>
      </c>
      <c r="I270" s="33">
        <f t="shared" si="20"/>
        <v>1858.3780000000006</v>
      </c>
      <c r="J270" s="236">
        <f t="shared" si="18"/>
        <v>273.17638720427806</v>
      </c>
      <c r="K270" s="251"/>
      <c r="L270" s="191"/>
    </row>
    <row r="271" spans="1:12">
      <c r="A271" s="687" t="s">
        <v>98</v>
      </c>
      <c r="B271" s="688"/>
      <c r="C271" s="689"/>
      <c r="D271" s="230">
        <f t="shared" si="21"/>
        <v>126</v>
      </c>
      <c r="E271" s="363">
        <v>33.950000000000003</v>
      </c>
      <c r="F271" s="33">
        <f t="shared" si="19"/>
        <v>33.552</v>
      </c>
      <c r="G271" s="19" t="s">
        <v>9</v>
      </c>
      <c r="H271" s="33">
        <f t="shared" si="22"/>
        <v>8328.0339999999997</v>
      </c>
      <c r="I271" s="33">
        <f t="shared" si="20"/>
        <v>1824.8260000000009</v>
      </c>
      <c r="J271" s="236">
        <f t="shared" si="18"/>
        <v>273.9375793008403</v>
      </c>
      <c r="K271" s="251"/>
      <c r="L271" s="191"/>
    </row>
    <row r="272" spans="1:12">
      <c r="A272" s="687" t="s">
        <v>98</v>
      </c>
      <c r="B272" s="688"/>
      <c r="C272" s="689"/>
      <c r="D272" s="230">
        <f t="shared" si="21"/>
        <v>125</v>
      </c>
      <c r="E272" s="363">
        <v>33.729999999999997</v>
      </c>
      <c r="F272" s="33">
        <f t="shared" si="19"/>
        <v>33.331999999999994</v>
      </c>
      <c r="G272" s="19" t="s">
        <v>9</v>
      </c>
      <c r="H272" s="33">
        <f t="shared" si="22"/>
        <v>8361.366</v>
      </c>
      <c r="I272" s="33">
        <f t="shared" si="20"/>
        <v>1791.4940000000006</v>
      </c>
      <c r="J272" s="236">
        <f t="shared" ref="J272:J296" si="23">$G$6+(H272*$E$7*$G$8/1000)</f>
        <v>274.69378027135213</v>
      </c>
      <c r="K272" s="251"/>
      <c r="L272" s="191"/>
    </row>
    <row r="273" spans="1:12">
      <c r="A273" s="687" t="s">
        <v>98</v>
      </c>
      <c r="B273" s="688"/>
      <c r="C273" s="689"/>
      <c r="D273" s="230">
        <f t="shared" si="21"/>
        <v>124</v>
      </c>
      <c r="E273" s="363">
        <v>33.909999999999997</v>
      </c>
      <c r="F273" s="33">
        <f t="shared" si="19"/>
        <v>33.511999999999993</v>
      </c>
      <c r="G273" s="19" t="s">
        <v>9</v>
      </c>
      <c r="H273" s="33">
        <f t="shared" si="22"/>
        <v>8394.8780000000006</v>
      </c>
      <c r="I273" s="33">
        <f t="shared" si="20"/>
        <v>1757.982</v>
      </c>
      <c r="J273" s="236">
        <f t="shared" si="23"/>
        <v>275.4540648904507</v>
      </c>
      <c r="K273" s="251"/>
      <c r="L273" s="191"/>
    </row>
    <row r="274" spans="1:12">
      <c r="A274" s="687" t="s">
        <v>98</v>
      </c>
      <c r="B274" s="688"/>
      <c r="C274" s="689"/>
      <c r="D274" s="230">
        <f t="shared" si="21"/>
        <v>123</v>
      </c>
      <c r="E274" s="363">
        <v>33.64</v>
      </c>
      <c r="F274" s="33">
        <f t="shared" si="19"/>
        <v>33.241999999999997</v>
      </c>
      <c r="G274" s="19" t="s">
        <v>9</v>
      </c>
      <c r="H274" s="33">
        <f t="shared" si="22"/>
        <v>8428.1200000000008</v>
      </c>
      <c r="I274" s="33">
        <f t="shared" si="20"/>
        <v>1724.7399999999998</v>
      </c>
      <c r="J274" s="236">
        <f t="shared" si="23"/>
        <v>276.20822403666921</v>
      </c>
      <c r="K274" s="251"/>
      <c r="L274" s="191"/>
    </row>
    <row r="275" spans="1:12">
      <c r="A275" s="687" t="s">
        <v>98</v>
      </c>
      <c r="B275" s="688"/>
      <c r="C275" s="689"/>
      <c r="D275" s="230">
        <f t="shared" si="21"/>
        <v>122</v>
      </c>
      <c r="E275" s="363">
        <v>33.94</v>
      </c>
      <c r="F275" s="33">
        <f t="shared" si="19"/>
        <v>33.541999999999994</v>
      </c>
      <c r="G275" s="19" t="s">
        <v>9</v>
      </c>
      <c r="H275" s="33">
        <f t="shared" si="22"/>
        <v>8461.6620000000003</v>
      </c>
      <c r="I275" s="33">
        <f t="shared" si="20"/>
        <v>1691.1980000000003</v>
      </c>
      <c r="J275" s="236">
        <f t="shared" si="23"/>
        <v>276.96918926386553</v>
      </c>
      <c r="K275" s="251"/>
      <c r="L275" s="191"/>
    </row>
    <row r="276" spans="1:12">
      <c r="A276" s="687" t="s">
        <v>98</v>
      </c>
      <c r="B276" s="688"/>
      <c r="C276" s="689"/>
      <c r="D276" s="230">
        <f t="shared" si="21"/>
        <v>121</v>
      </c>
      <c r="E276" s="363">
        <v>33.65</v>
      </c>
      <c r="F276" s="33">
        <f t="shared" si="19"/>
        <v>33.251999999999995</v>
      </c>
      <c r="G276" s="19" t="s">
        <v>9</v>
      </c>
      <c r="H276" s="33">
        <f t="shared" si="22"/>
        <v>8494.9140000000007</v>
      </c>
      <c r="I276" s="33">
        <f t="shared" si="20"/>
        <v>1657.9459999999999</v>
      </c>
      <c r="J276" s="236">
        <f t="shared" si="23"/>
        <v>277.72357527944996</v>
      </c>
      <c r="K276" s="251"/>
      <c r="L276" s="191"/>
    </row>
    <row r="277" spans="1:12">
      <c r="A277" s="687" t="s">
        <v>98</v>
      </c>
      <c r="B277" s="688"/>
      <c r="C277" s="689"/>
      <c r="D277" s="230">
        <f t="shared" si="21"/>
        <v>120</v>
      </c>
      <c r="E277" s="363">
        <v>33.94</v>
      </c>
      <c r="F277" s="33">
        <f t="shared" si="19"/>
        <v>33.541999999999994</v>
      </c>
      <c r="G277" s="19" t="s">
        <v>9</v>
      </c>
      <c r="H277" s="33">
        <f t="shared" si="22"/>
        <v>8528.4560000000001</v>
      </c>
      <c r="I277" s="33">
        <f t="shared" si="20"/>
        <v>1624.4040000000005</v>
      </c>
      <c r="J277" s="236">
        <f t="shared" si="23"/>
        <v>278.48454050664628</v>
      </c>
      <c r="K277" s="251"/>
      <c r="L277" s="191"/>
    </row>
    <row r="278" spans="1:12">
      <c r="A278" s="687" t="s">
        <v>98</v>
      </c>
      <c r="B278" s="688"/>
      <c r="C278" s="689"/>
      <c r="D278" s="230">
        <f t="shared" si="21"/>
        <v>119</v>
      </c>
      <c r="E278" s="363">
        <v>33.619999999999997</v>
      </c>
      <c r="F278" s="33">
        <f t="shared" si="19"/>
        <v>33.221999999999994</v>
      </c>
      <c r="G278" s="19" t="s">
        <v>9</v>
      </c>
      <c r="H278" s="33">
        <f t="shared" si="22"/>
        <v>8561.6779999999999</v>
      </c>
      <c r="I278" s="33">
        <f t="shared" si="20"/>
        <v>1591.1820000000007</v>
      </c>
      <c r="J278" s="236">
        <f t="shared" si="23"/>
        <v>279.2382459141329</v>
      </c>
      <c r="K278" s="251"/>
      <c r="L278" s="191"/>
    </row>
    <row r="279" spans="1:12">
      <c r="A279" s="687" t="s">
        <v>98</v>
      </c>
      <c r="B279" s="688"/>
      <c r="C279" s="689"/>
      <c r="D279" s="230">
        <f t="shared" si="21"/>
        <v>118</v>
      </c>
      <c r="E279" s="363">
        <v>33.97</v>
      </c>
      <c r="F279" s="33">
        <f t="shared" ref="F279:F296" si="24">E279-($E$9)</f>
        <v>33.571999999999996</v>
      </c>
      <c r="G279" s="19" t="s">
        <v>9</v>
      </c>
      <c r="H279" s="33">
        <f t="shared" si="22"/>
        <v>8595.25</v>
      </c>
      <c r="I279" s="33">
        <f t="shared" ref="I279:I331" si="25">IF(H279="","",$K$6-H279)</f>
        <v>1557.6100000000006</v>
      </c>
      <c r="J279" s="236">
        <f t="shared" si="23"/>
        <v>279.99989174942704</v>
      </c>
      <c r="K279" s="251"/>
      <c r="L279" s="191"/>
    </row>
    <row r="280" spans="1:12">
      <c r="A280" s="687" t="s">
        <v>98</v>
      </c>
      <c r="B280" s="688"/>
      <c r="C280" s="689"/>
      <c r="D280" s="230">
        <f t="shared" ref="D280:D295" si="26">D279-1</f>
        <v>117</v>
      </c>
      <c r="E280" s="363">
        <v>33.479999999999997</v>
      </c>
      <c r="F280" s="33">
        <f t="shared" si="24"/>
        <v>33.081999999999994</v>
      </c>
      <c r="G280" s="19" t="s">
        <v>9</v>
      </c>
      <c r="H280" s="33">
        <f t="shared" si="22"/>
        <v>8628.3320000000003</v>
      </c>
      <c r="I280" s="33">
        <f t="shared" si="25"/>
        <v>1524.5280000000002</v>
      </c>
      <c r="J280" s="236">
        <f t="shared" si="23"/>
        <v>280.7504209857907</v>
      </c>
      <c r="K280" s="251"/>
      <c r="L280" s="191"/>
    </row>
    <row r="281" spans="1:12">
      <c r="A281" s="687" t="s">
        <v>98</v>
      </c>
      <c r="B281" s="688"/>
      <c r="C281" s="689"/>
      <c r="D281" s="230">
        <f t="shared" si="26"/>
        <v>116</v>
      </c>
      <c r="E281" s="363">
        <v>32.729999999999997</v>
      </c>
      <c r="F281" s="33">
        <f t="shared" si="24"/>
        <v>32.331999999999994</v>
      </c>
      <c r="G281" s="19" t="s">
        <v>9</v>
      </c>
      <c r="H281" s="33">
        <f t="shared" si="22"/>
        <v>8660.6640000000007</v>
      </c>
      <c r="I281" s="33">
        <f t="shared" si="25"/>
        <v>1492.1959999999999</v>
      </c>
      <c r="J281" s="236">
        <f t="shared" si="23"/>
        <v>281.48393501970975</v>
      </c>
      <c r="K281" s="251"/>
      <c r="L281" s="191"/>
    </row>
    <row r="282" spans="1:12">
      <c r="A282" s="687" t="s">
        <v>98</v>
      </c>
      <c r="B282" s="688"/>
      <c r="C282" s="689"/>
      <c r="D282" s="230">
        <f t="shared" si="26"/>
        <v>115</v>
      </c>
      <c r="E282" s="363">
        <v>33.54</v>
      </c>
      <c r="F282" s="33">
        <f t="shared" si="24"/>
        <v>33.141999999999996</v>
      </c>
      <c r="G282" s="19" t="s">
        <v>9</v>
      </c>
      <c r="H282" s="33">
        <f t="shared" si="22"/>
        <v>8693.8060000000005</v>
      </c>
      <c r="I282" s="33">
        <f t="shared" si="25"/>
        <v>1459.0540000000001</v>
      </c>
      <c r="J282" s="236">
        <f t="shared" si="23"/>
        <v>282.23582547226886</v>
      </c>
      <c r="K282" s="251"/>
      <c r="L282" s="191"/>
    </row>
    <row r="283" spans="1:12">
      <c r="A283" s="687" t="s">
        <v>98</v>
      </c>
      <c r="B283" s="688"/>
      <c r="C283" s="689"/>
      <c r="D283" s="230">
        <f t="shared" si="26"/>
        <v>114</v>
      </c>
      <c r="E283" s="363">
        <v>33.57</v>
      </c>
      <c r="F283" s="33">
        <f t="shared" si="24"/>
        <v>33.171999999999997</v>
      </c>
      <c r="G283" s="19" t="s">
        <v>9</v>
      </c>
      <c r="H283" s="33">
        <f t="shared" si="22"/>
        <v>8726.978000000001</v>
      </c>
      <c r="I283" s="33">
        <f t="shared" si="25"/>
        <v>1425.8819999999996</v>
      </c>
      <c r="J283" s="236">
        <f t="shared" si="23"/>
        <v>282.98839653292589</v>
      </c>
      <c r="K283" s="251"/>
      <c r="L283" s="191"/>
    </row>
    <row r="284" spans="1:12">
      <c r="A284" s="687" t="s">
        <v>98</v>
      </c>
      <c r="B284" s="688"/>
      <c r="C284" s="689"/>
      <c r="D284" s="230">
        <f t="shared" si="26"/>
        <v>113</v>
      </c>
      <c r="E284" s="363">
        <v>33.35</v>
      </c>
      <c r="F284" s="33">
        <f t="shared" si="24"/>
        <v>32.951999999999998</v>
      </c>
      <c r="G284" s="19" t="s">
        <v>9</v>
      </c>
      <c r="H284" s="33">
        <f t="shared" si="22"/>
        <v>8759.93</v>
      </c>
      <c r="I284" s="33">
        <f t="shared" si="25"/>
        <v>1392.9300000000003</v>
      </c>
      <c r="J284" s="236">
        <f t="shared" si="23"/>
        <v>283.73597646753245</v>
      </c>
      <c r="K284" s="251"/>
      <c r="L284" s="191"/>
    </row>
    <row r="285" spans="1:12">
      <c r="A285" s="687" t="s">
        <v>98</v>
      </c>
      <c r="B285" s="688"/>
      <c r="C285" s="689"/>
      <c r="D285" s="230">
        <f t="shared" si="26"/>
        <v>112</v>
      </c>
      <c r="E285" s="363">
        <v>32.97</v>
      </c>
      <c r="F285" s="33">
        <f t="shared" si="24"/>
        <v>32.571999999999996</v>
      </c>
      <c r="G285" s="19" t="s">
        <v>9</v>
      </c>
      <c r="H285" s="33">
        <f t="shared" si="22"/>
        <v>8792.5020000000004</v>
      </c>
      <c r="I285" s="33">
        <f t="shared" si="25"/>
        <v>1360.3580000000002</v>
      </c>
      <c r="J285" s="236">
        <f t="shared" si="23"/>
        <v>284.47493536623381</v>
      </c>
      <c r="K285" s="251"/>
      <c r="L285" s="191"/>
    </row>
    <row r="286" spans="1:12">
      <c r="A286" s="687" t="s">
        <v>98</v>
      </c>
      <c r="B286" s="688"/>
      <c r="C286" s="689"/>
      <c r="D286" s="230">
        <f t="shared" si="26"/>
        <v>111</v>
      </c>
      <c r="E286" s="363">
        <v>33.32</v>
      </c>
      <c r="F286" s="33">
        <f t="shared" si="24"/>
        <v>32.921999999999997</v>
      </c>
      <c r="G286" s="19" t="s">
        <v>9</v>
      </c>
      <c r="H286" s="33">
        <f t="shared" si="22"/>
        <v>8825.4240000000009</v>
      </c>
      <c r="I286" s="33">
        <f t="shared" si="25"/>
        <v>1327.4359999999997</v>
      </c>
      <c r="J286" s="236">
        <f t="shared" si="23"/>
        <v>285.22183469274256</v>
      </c>
      <c r="K286" s="251"/>
      <c r="L286" s="191"/>
    </row>
    <row r="287" spans="1:12">
      <c r="A287" s="687" t="s">
        <v>98</v>
      </c>
      <c r="B287" s="688"/>
      <c r="C287" s="689"/>
      <c r="D287" s="230">
        <f t="shared" si="26"/>
        <v>110</v>
      </c>
      <c r="E287" s="363">
        <v>32.51</v>
      </c>
      <c r="F287" s="33">
        <f t="shared" si="24"/>
        <v>32.111999999999995</v>
      </c>
      <c r="G287" s="19" t="s">
        <v>9</v>
      </c>
      <c r="H287" s="33">
        <f t="shared" si="22"/>
        <v>8857.5360000000001</v>
      </c>
      <c r="I287" s="33">
        <f t="shared" si="25"/>
        <v>1295.3240000000005</v>
      </c>
      <c r="J287" s="236">
        <f t="shared" si="23"/>
        <v>285.95035760061114</v>
      </c>
      <c r="K287" s="251"/>
      <c r="L287" s="191"/>
    </row>
    <row r="288" spans="1:12" ht="13" thickBot="1">
      <c r="A288" s="687" t="s">
        <v>98</v>
      </c>
      <c r="B288" s="688"/>
      <c r="C288" s="689"/>
      <c r="D288" s="230">
        <f t="shared" si="26"/>
        <v>109</v>
      </c>
      <c r="E288" s="363">
        <v>33.409999999999997</v>
      </c>
      <c r="F288" s="33">
        <f t="shared" si="24"/>
        <v>33.011999999999993</v>
      </c>
      <c r="G288" s="19" t="s">
        <v>9</v>
      </c>
      <c r="H288" s="33">
        <f t="shared" si="22"/>
        <v>8890.5480000000007</v>
      </c>
      <c r="I288" s="33">
        <f t="shared" si="25"/>
        <v>1262.3119999999999</v>
      </c>
      <c r="J288" s="236">
        <f t="shared" si="23"/>
        <v>286.69929875141327</v>
      </c>
      <c r="K288" s="251"/>
      <c r="L288" s="191"/>
    </row>
    <row r="289" spans="1:12" ht="13" thickBot="1">
      <c r="A289" s="687" t="s">
        <v>98</v>
      </c>
      <c r="B289" s="688"/>
      <c r="C289" s="689"/>
      <c r="D289" s="230">
        <f t="shared" si="26"/>
        <v>108</v>
      </c>
      <c r="E289" s="363">
        <v>33.19</v>
      </c>
      <c r="F289" s="33">
        <f t="shared" si="24"/>
        <v>32.791999999999994</v>
      </c>
      <c r="G289" s="19" t="s">
        <v>9</v>
      </c>
      <c r="H289" s="33">
        <f t="shared" si="22"/>
        <v>8923.34</v>
      </c>
      <c r="I289" s="33">
        <f t="shared" si="25"/>
        <v>1229.5200000000004</v>
      </c>
      <c r="J289" s="236">
        <f t="shared" si="23"/>
        <v>287.44324877616498</v>
      </c>
      <c r="K289" s="971" t="s">
        <v>134</v>
      </c>
      <c r="L289" s="972"/>
    </row>
    <row r="290" spans="1:12">
      <c r="A290" s="687" t="s">
        <v>98</v>
      </c>
      <c r="B290" s="688"/>
      <c r="C290" s="689"/>
      <c r="D290" s="230">
        <f t="shared" si="26"/>
        <v>107</v>
      </c>
      <c r="E290" s="363">
        <v>33.56</v>
      </c>
      <c r="F290" s="33">
        <f t="shared" si="24"/>
        <v>33.161999999999999</v>
      </c>
      <c r="G290" s="19" t="s">
        <v>9</v>
      </c>
      <c r="H290" s="33">
        <f t="shared" si="22"/>
        <v>8956.5020000000004</v>
      </c>
      <c r="I290" s="33">
        <f t="shared" si="25"/>
        <v>1196.3580000000002</v>
      </c>
      <c r="J290" s="236">
        <f t="shared" si="23"/>
        <v>288.19559296745609</v>
      </c>
      <c r="K290" s="251"/>
      <c r="L290" s="191"/>
    </row>
    <row r="291" spans="1:12">
      <c r="A291" s="687" t="s">
        <v>98</v>
      </c>
      <c r="B291" s="688"/>
      <c r="C291" s="689"/>
      <c r="D291" s="230">
        <f t="shared" si="26"/>
        <v>106</v>
      </c>
      <c r="E291" s="363">
        <v>33.21</v>
      </c>
      <c r="F291" s="33">
        <f t="shared" si="24"/>
        <v>32.811999999999998</v>
      </c>
      <c r="G291" s="19" t="s">
        <v>9</v>
      </c>
      <c r="H291" s="33">
        <f t="shared" si="22"/>
        <v>8989.3140000000003</v>
      </c>
      <c r="I291" s="33">
        <f t="shared" si="25"/>
        <v>1163.5460000000003</v>
      </c>
      <c r="J291" s="236">
        <f t="shared" si="23"/>
        <v>288.9399967309397</v>
      </c>
      <c r="K291" s="251"/>
      <c r="L291" s="191"/>
    </row>
    <row r="292" spans="1:12">
      <c r="A292" s="687" t="s">
        <v>98</v>
      </c>
      <c r="B292" s="688"/>
      <c r="C292" s="689"/>
      <c r="D292" s="230">
        <f t="shared" si="26"/>
        <v>105</v>
      </c>
      <c r="E292" s="363">
        <v>32.619999999999997</v>
      </c>
      <c r="F292" s="33">
        <f t="shared" si="24"/>
        <v>32.221999999999994</v>
      </c>
      <c r="G292" s="19" t="s">
        <v>9</v>
      </c>
      <c r="H292" s="33">
        <f t="shared" si="22"/>
        <v>9021.5360000000001</v>
      </c>
      <c r="I292" s="33">
        <f t="shared" si="25"/>
        <v>1131.3240000000005</v>
      </c>
      <c r="J292" s="236">
        <f t="shared" si="23"/>
        <v>289.67101520183348</v>
      </c>
      <c r="K292" s="251"/>
      <c r="L292" s="191"/>
    </row>
    <row r="293" spans="1:12" ht="13" thickBot="1">
      <c r="A293" s="687" t="s">
        <v>98</v>
      </c>
      <c r="B293" s="688"/>
      <c r="C293" s="689"/>
      <c r="D293" s="230">
        <f t="shared" si="26"/>
        <v>104</v>
      </c>
      <c r="E293" s="363">
        <v>33.56</v>
      </c>
      <c r="F293" s="33">
        <f t="shared" si="24"/>
        <v>33.161999999999999</v>
      </c>
      <c r="G293" s="19" t="s">
        <v>9</v>
      </c>
      <c r="H293" s="33">
        <f t="shared" si="22"/>
        <v>9054.6980000000003</v>
      </c>
      <c r="I293" s="33">
        <f t="shared" si="25"/>
        <v>1098.1620000000003</v>
      </c>
      <c r="J293" s="236">
        <f t="shared" si="23"/>
        <v>290.42335939312454</v>
      </c>
      <c r="K293" s="251"/>
      <c r="L293" s="191"/>
    </row>
    <row r="294" spans="1:12" ht="13.5" thickBot="1">
      <c r="A294" s="687" t="s">
        <v>98</v>
      </c>
      <c r="B294" s="688"/>
      <c r="C294" s="689"/>
      <c r="D294" s="230">
        <f t="shared" si="26"/>
        <v>103</v>
      </c>
      <c r="E294" s="363">
        <v>32.090000000000003</v>
      </c>
      <c r="F294" s="33">
        <f t="shared" si="24"/>
        <v>31.692000000000004</v>
      </c>
      <c r="G294" s="19" t="s">
        <v>9</v>
      </c>
      <c r="H294" s="33">
        <f t="shared" si="22"/>
        <v>9086.39</v>
      </c>
      <c r="I294" s="33">
        <f t="shared" si="25"/>
        <v>1066.4700000000012</v>
      </c>
      <c r="J294" s="236">
        <f t="shared" si="23"/>
        <v>291.14235378762407</v>
      </c>
      <c r="K294" s="314" t="s">
        <v>113</v>
      </c>
      <c r="L294" s="315">
        <f>I298</f>
        <v>1014.9060000000027</v>
      </c>
    </row>
    <row r="295" spans="1:12" ht="12.65" customHeight="1" thickBot="1">
      <c r="A295" s="687" t="s">
        <v>98</v>
      </c>
      <c r="B295" s="688"/>
      <c r="C295" s="689"/>
      <c r="D295" s="230">
        <f t="shared" si="26"/>
        <v>102</v>
      </c>
      <c r="E295" s="363">
        <v>31.84</v>
      </c>
      <c r="F295" s="33">
        <f t="shared" si="24"/>
        <v>31.442</v>
      </c>
      <c r="G295" s="19" t="s">
        <v>9</v>
      </c>
      <c r="H295" s="33">
        <f t="shared" si="22"/>
        <v>9117.8319999999985</v>
      </c>
      <c r="I295" s="33">
        <f t="shared" si="25"/>
        <v>1035.0280000000021</v>
      </c>
      <c r="J295" s="236">
        <f t="shared" si="23"/>
        <v>291.8556764479755</v>
      </c>
      <c r="K295" s="305"/>
      <c r="L295" s="306"/>
    </row>
    <row r="296" spans="1:12">
      <c r="A296" s="975" t="s">
        <v>114</v>
      </c>
      <c r="B296" s="978" t="s">
        <v>164</v>
      </c>
      <c r="C296" s="936" t="s">
        <v>84</v>
      </c>
      <c r="D296" s="937"/>
      <c r="E296" s="316">
        <v>6.22</v>
      </c>
      <c r="F296" s="316">
        <f t="shared" si="24"/>
        <v>5.8220000000000001</v>
      </c>
      <c r="G296" s="336" t="s">
        <v>9</v>
      </c>
      <c r="H296" s="336">
        <f t="shared" si="22"/>
        <v>9123.6539999999986</v>
      </c>
      <c r="I296" s="336">
        <f t="shared" si="25"/>
        <v>1029.2060000000019</v>
      </c>
      <c r="J296" s="337">
        <f t="shared" si="23"/>
        <v>291.98775979281891</v>
      </c>
      <c r="K296" s="305"/>
      <c r="L296" s="306"/>
    </row>
    <row r="297" spans="1:12">
      <c r="A297" s="976"/>
      <c r="B297" s="833"/>
      <c r="C297" s="938" t="s">
        <v>85</v>
      </c>
      <c r="D297" s="939"/>
      <c r="E297" s="317">
        <v>5.83</v>
      </c>
      <c r="F297" s="317">
        <f>E297</f>
        <v>5.83</v>
      </c>
      <c r="G297" s="317" t="s">
        <v>9</v>
      </c>
      <c r="H297" s="318">
        <f t="shared" si="22"/>
        <v>9129.4839999999986</v>
      </c>
      <c r="I297" s="318">
        <f t="shared" si="25"/>
        <v>1023.376000000002</v>
      </c>
      <c r="J297" s="319">
        <f>$G$6+(H297*$E$7*$G$8/1000)</f>
        <v>292.12002463315503</v>
      </c>
      <c r="K297" s="305"/>
      <c r="L297" s="306"/>
    </row>
    <row r="298" spans="1:12" ht="12.65" customHeight="1" thickBot="1">
      <c r="A298" s="976"/>
      <c r="B298" s="833"/>
      <c r="C298" s="973" t="s">
        <v>27</v>
      </c>
      <c r="D298" s="974"/>
      <c r="E298" s="323">
        <v>8.4700000000000006</v>
      </c>
      <c r="F298" s="323">
        <f>E298</f>
        <v>8.4700000000000006</v>
      </c>
      <c r="G298" s="323" t="s">
        <v>9</v>
      </c>
      <c r="H298" s="324">
        <f t="shared" si="22"/>
        <v>9137.9539999999979</v>
      </c>
      <c r="I298" s="324">
        <f t="shared" si="25"/>
        <v>1014.9060000000027</v>
      </c>
      <c r="J298" s="325">
        <f>$G$6+(H298*$E$7*$G$8/1000)</f>
        <v>292.31218298609622</v>
      </c>
      <c r="K298" s="305"/>
      <c r="L298" s="306"/>
    </row>
    <row r="299" spans="1:12" ht="13" customHeight="1">
      <c r="A299" s="976"/>
      <c r="B299" s="833"/>
      <c r="C299" s="938" t="s">
        <v>85</v>
      </c>
      <c r="D299" s="939"/>
      <c r="E299" s="317">
        <v>11.66</v>
      </c>
      <c r="F299" s="317">
        <f>E299</f>
        <v>11.66</v>
      </c>
      <c r="G299" s="317" t="s">
        <v>9</v>
      </c>
      <c r="H299" s="318">
        <f t="shared" si="22"/>
        <v>9149.6139999999978</v>
      </c>
      <c r="I299" s="318">
        <f t="shared" si="25"/>
        <v>1003.2460000000028</v>
      </c>
      <c r="J299" s="319">
        <f>$G$6+(H299*$E$7*$G$8/1000)</f>
        <v>292.57671266676846</v>
      </c>
      <c r="K299" s="812" t="s">
        <v>163</v>
      </c>
      <c r="L299" s="813"/>
    </row>
    <row r="300" spans="1:12" ht="13" thickBot="1">
      <c r="A300" s="977"/>
      <c r="B300" s="979"/>
      <c r="C300" s="980" t="s">
        <v>84</v>
      </c>
      <c r="D300" s="981"/>
      <c r="E300" s="320">
        <v>5.83</v>
      </c>
      <c r="F300" s="320">
        <f>E300</f>
        <v>5.83</v>
      </c>
      <c r="G300" s="320" t="s">
        <v>9</v>
      </c>
      <c r="H300" s="321">
        <f t="shared" si="22"/>
        <v>9155.4439999999977</v>
      </c>
      <c r="I300" s="321">
        <f t="shared" si="25"/>
        <v>997.4160000000029</v>
      </c>
      <c r="J300" s="322">
        <f>$G$6+(H300*$E$7*$G$8/1000)</f>
        <v>292.70897750710458</v>
      </c>
      <c r="K300" s="837" t="s">
        <v>181</v>
      </c>
      <c r="L300" s="782"/>
    </row>
    <row r="301" spans="1:12" ht="12.65" customHeight="1">
      <c r="A301" s="687" t="s">
        <v>98</v>
      </c>
      <c r="B301" s="688"/>
      <c r="C301" s="689"/>
      <c r="D301" s="230">
        <v>101</v>
      </c>
      <c r="E301" s="363">
        <v>33.47</v>
      </c>
      <c r="F301" s="33">
        <f t="shared" ref="F301:F331" si="27">E301-($E$9)</f>
        <v>33.071999999999996</v>
      </c>
      <c r="G301" s="19" t="s">
        <v>9</v>
      </c>
      <c r="H301" s="33">
        <f t="shared" si="22"/>
        <v>9188.5159999999978</v>
      </c>
      <c r="I301" s="33">
        <f t="shared" si="25"/>
        <v>964.34400000000278</v>
      </c>
      <c r="J301" s="236">
        <f t="shared" ref="J301" si="28">$G$6+(H301*$E$7*$G$8/1000)</f>
        <v>293.45927987410232</v>
      </c>
      <c r="K301" s="251"/>
      <c r="L301" s="191"/>
    </row>
    <row r="302" spans="1:12" ht="13" customHeight="1">
      <c r="A302" s="687" t="s">
        <v>98</v>
      </c>
      <c r="B302" s="688"/>
      <c r="C302" s="689"/>
      <c r="D302" s="230">
        <f t="shared" ref="D302:D331" si="29">D301-1</f>
        <v>100</v>
      </c>
      <c r="E302" s="363">
        <v>33.6</v>
      </c>
      <c r="F302" s="33">
        <f t="shared" si="27"/>
        <v>33.201999999999998</v>
      </c>
      <c r="G302" s="19" t="s">
        <v>9</v>
      </c>
      <c r="H302" s="33">
        <f t="shared" si="22"/>
        <v>9221.7179999999971</v>
      </c>
      <c r="I302" s="33">
        <f t="shared" si="25"/>
        <v>931.14200000000346</v>
      </c>
      <c r="J302" s="236">
        <f>$G$6+(H302*$E$7*$G$8/1000)</f>
        <v>294.21253154285705</v>
      </c>
      <c r="K302" s="251"/>
      <c r="L302" s="191"/>
    </row>
    <row r="303" spans="1:12">
      <c r="A303" s="687" t="s">
        <v>98</v>
      </c>
      <c r="B303" s="688"/>
      <c r="C303" s="689"/>
      <c r="D303" s="230">
        <f t="shared" si="29"/>
        <v>99</v>
      </c>
      <c r="E303" s="363">
        <v>32.99</v>
      </c>
      <c r="F303" s="33">
        <f t="shared" si="27"/>
        <v>32.591999999999999</v>
      </c>
      <c r="G303" s="19" t="s">
        <v>9</v>
      </c>
      <c r="H303" s="33">
        <f t="shared" si="22"/>
        <v>9254.3099999999977</v>
      </c>
      <c r="I303" s="33">
        <f t="shared" si="25"/>
        <v>898.55000000000291</v>
      </c>
      <c r="J303" s="236">
        <f t="shared" ref="J303:J331" si="30">$G$6+(H303*$E$7*$G$8/1000)</f>
        <v>294.95194418029024</v>
      </c>
      <c r="K303" s="251"/>
      <c r="L303" s="191"/>
    </row>
    <row r="304" spans="1:12">
      <c r="A304" s="687" t="s">
        <v>98</v>
      </c>
      <c r="B304" s="688"/>
      <c r="C304" s="689"/>
      <c r="D304" s="230">
        <f t="shared" si="29"/>
        <v>98</v>
      </c>
      <c r="E304" s="363">
        <v>33.67</v>
      </c>
      <c r="F304" s="33">
        <f t="shared" si="27"/>
        <v>33.271999999999998</v>
      </c>
      <c r="G304" s="19" t="s">
        <v>9</v>
      </c>
      <c r="H304" s="33">
        <f t="shared" si="22"/>
        <v>9287.5819999999985</v>
      </c>
      <c r="I304" s="33">
        <f t="shared" si="25"/>
        <v>865.27800000000207</v>
      </c>
      <c r="J304" s="236">
        <f t="shared" si="30"/>
        <v>295.70678393460651</v>
      </c>
      <c r="K304" s="251"/>
      <c r="L304" s="191"/>
    </row>
    <row r="305" spans="1:12">
      <c r="A305" s="687" t="s">
        <v>98</v>
      </c>
      <c r="B305" s="688"/>
      <c r="C305" s="689"/>
      <c r="D305" s="230">
        <f t="shared" si="29"/>
        <v>97</v>
      </c>
      <c r="E305" s="363">
        <v>33.24</v>
      </c>
      <c r="F305" s="33">
        <f t="shared" si="27"/>
        <v>32.841999999999999</v>
      </c>
      <c r="G305" s="19" t="s">
        <v>9</v>
      </c>
      <c r="H305" s="33">
        <f t="shared" si="22"/>
        <v>9320.4239999999991</v>
      </c>
      <c r="I305" s="33">
        <f t="shared" si="25"/>
        <v>832.43600000000151</v>
      </c>
      <c r="J305" s="236">
        <f t="shared" si="30"/>
        <v>296.45186830618786</v>
      </c>
      <c r="K305" s="251"/>
      <c r="L305" s="191"/>
    </row>
    <row r="306" spans="1:12">
      <c r="A306" s="687" t="s">
        <v>98</v>
      </c>
      <c r="B306" s="688"/>
      <c r="C306" s="689"/>
      <c r="D306" s="230">
        <f t="shared" si="29"/>
        <v>96</v>
      </c>
      <c r="E306" s="363">
        <v>33.18</v>
      </c>
      <c r="F306" s="33">
        <f t="shared" si="27"/>
        <v>32.781999999999996</v>
      </c>
      <c r="G306" s="19" t="s">
        <v>9</v>
      </c>
      <c r="H306" s="33">
        <f t="shared" si="22"/>
        <v>9353.2059999999983</v>
      </c>
      <c r="I306" s="33">
        <f t="shared" si="25"/>
        <v>799.65400000000227</v>
      </c>
      <c r="J306" s="236">
        <f t="shared" si="30"/>
        <v>297.19559146157366</v>
      </c>
      <c r="K306" s="251"/>
      <c r="L306" s="191"/>
    </row>
    <row r="307" spans="1:12">
      <c r="A307" s="687" t="s">
        <v>98</v>
      </c>
      <c r="B307" s="688"/>
      <c r="C307" s="689"/>
      <c r="D307" s="230">
        <f t="shared" si="29"/>
        <v>95</v>
      </c>
      <c r="E307" s="363">
        <v>32.909999999999997</v>
      </c>
      <c r="F307" s="33">
        <f t="shared" si="27"/>
        <v>32.511999999999993</v>
      </c>
      <c r="G307" s="19" t="s">
        <v>9</v>
      </c>
      <c r="H307" s="33">
        <f t="shared" si="22"/>
        <v>9385.7179999999989</v>
      </c>
      <c r="I307" s="33">
        <f t="shared" si="25"/>
        <v>767.14200000000164</v>
      </c>
      <c r="J307" s="236">
        <f t="shared" si="30"/>
        <v>297.93318914407939</v>
      </c>
      <c r="K307" s="251"/>
      <c r="L307" s="191"/>
    </row>
    <row r="308" spans="1:12">
      <c r="A308" s="687" t="s">
        <v>98</v>
      </c>
      <c r="B308" s="688"/>
      <c r="C308" s="689"/>
      <c r="D308" s="230">
        <f t="shared" si="29"/>
        <v>94</v>
      </c>
      <c r="E308" s="363">
        <v>33.28</v>
      </c>
      <c r="F308" s="33">
        <f t="shared" si="27"/>
        <v>32.881999999999998</v>
      </c>
      <c r="G308" s="19" t="s">
        <v>9</v>
      </c>
      <c r="H308" s="33">
        <f t="shared" si="22"/>
        <v>9418.5999999999985</v>
      </c>
      <c r="I308" s="33">
        <f t="shared" si="25"/>
        <v>734.26000000000204</v>
      </c>
      <c r="J308" s="236">
        <f t="shared" si="30"/>
        <v>298.67918099312453</v>
      </c>
      <c r="K308" s="251"/>
      <c r="L308" s="191"/>
    </row>
    <row r="309" spans="1:12">
      <c r="A309" s="687" t="s">
        <v>98</v>
      </c>
      <c r="B309" s="688"/>
      <c r="C309" s="689"/>
      <c r="D309" s="230">
        <f t="shared" si="29"/>
        <v>93</v>
      </c>
      <c r="E309" s="363">
        <v>33.409999999999997</v>
      </c>
      <c r="F309" s="33">
        <f t="shared" si="27"/>
        <v>33.011999999999993</v>
      </c>
      <c r="G309" s="19" t="s">
        <v>9</v>
      </c>
      <c r="H309" s="33">
        <f t="shared" si="22"/>
        <v>9451.6119999999992</v>
      </c>
      <c r="I309" s="33">
        <f t="shared" si="25"/>
        <v>701.24800000000141</v>
      </c>
      <c r="J309" s="236">
        <f t="shared" si="30"/>
        <v>299.42812214392666</v>
      </c>
      <c r="K309" s="251"/>
      <c r="L309" s="191"/>
    </row>
    <row r="310" spans="1:12">
      <c r="A310" s="687" t="s">
        <v>98</v>
      </c>
      <c r="B310" s="688"/>
      <c r="C310" s="689"/>
      <c r="D310" s="230">
        <f t="shared" si="29"/>
        <v>92</v>
      </c>
      <c r="E310" s="363">
        <v>33.69</v>
      </c>
      <c r="F310" s="33">
        <f t="shared" si="27"/>
        <v>33.291999999999994</v>
      </c>
      <c r="G310" s="19" t="s">
        <v>9</v>
      </c>
      <c r="H310" s="33">
        <f t="shared" si="22"/>
        <v>9484.9039999999986</v>
      </c>
      <c r="I310" s="33">
        <f t="shared" si="25"/>
        <v>667.95600000000195</v>
      </c>
      <c r="J310" s="236">
        <f t="shared" si="30"/>
        <v>300.1834156369747</v>
      </c>
      <c r="K310" s="282"/>
      <c r="L310" s="220"/>
    </row>
    <row r="311" spans="1:12">
      <c r="A311" s="687" t="s">
        <v>98</v>
      </c>
      <c r="B311" s="688"/>
      <c r="C311" s="689"/>
      <c r="D311" s="230">
        <f t="shared" si="29"/>
        <v>91</v>
      </c>
      <c r="E311" s="363">
        <v>33.479999999999997</v>
      </c>
      <c r="F311" s="33">
        <f t="shared" si="27"/>
        <v>33.081999999999994</v>
      </c>
      <c r="G311" s="19" t="s">
        <v>9</v>
      </c>
      <c r="H311" s="33">
        <f t="shared" si="22"/>
        <v>9517.985999999999</v>
      </c>
      <c r="I311" s="33">
        <f t="shared" si="25"/>
        <v>634.87400000000162</v>
      </c>
      <c r="J311" s="236">
        <f t="shared" si="30"/>
        <v>300.93394487333842</v>
      </c>
      <c r="K311" s="282"/>
      <c r="L311" s="220"/>
    </row>
    <row r="312" spans="1:12">
      <c r="A312" s="687" t="s">
        <v>98</v>
      </c>
      <c r="B312" s="688"/>
      <c r="C312" s="689"/>
      <c r="D312" s="230">
        <f t="shared" si="29"/>
        <v>90</v>
      </c>
      <c r="E312" s="363">
        <v>32.69</v>
      </c>
      <c r="F312" s="33">
        <f t="shared" si="27"/>
        <v>32.291999999999994</v>
      </c>
      <c r="G312" s="19" t="s">
        <v>9</v>
      </c>
      <c r="H312" s="33">
        <f t="shared" si="22"/>
        <v>9550.2779999999984</v>
      </c>
      <c r="I312" s="33">
        <f t="shared" si="25"/>
        <v>602.58200000000215</v>
      </c>
      <c r="J312" s="236">
        <f t="shared" si="30"/>
        <v>301.66655142979369</v>
      </c>
      <c r="K312" s="282"/>
      <c r="L312" s="220"/>
    </row>
    <row r="313" spans="1:12">
      <c r="A313" s="687" t="s">
        <v>98</v>
      </c>
      <c r="B313" s="688"/>
      <c r="C313" s="689"/>
      <c r="D313" s="230">
        <f t="shared" si="29"/>
        <v>89</v>
      </c>
      <c r="E313" s="363">
        <v>32.869999999999997</v>
      </c>
      <c r="F313" s="33">
        <f t="shared" si="27"/>
        <v>32.471999999999994</v>
      </c>
      <c r="G313" s="19" t="s">
        <v>9</v>
      </c>
      <c r="H313" s="33">
        <f t="shared" si="22"/>
        <v>9582.7499999999982</v>
      </c>
      <c r="I313" s="33">
        <f t="shared" si="25"/>
        <v>570.1100000000024</v>
      </c>
      <c r="J313" s="236">
        <f t="shared" si="30"/>
        <v>302.40324163483569</v>
      </c>
      <c r="K313" s="282"/>
      <c r="L313" s="220"/>
    </row>
    <row r="314" spans="1:12">
      <c r="A314" s="687" t="s">
        <v>98</v>
      </c>
      <c r="B314" s="688"/>
      <c r="C314" s="689"/>
      <c r="D314" s="230">
        <f t="shared" si="29"/>
        <v>88</v>
      </c>
      <c r="E314" s="363">
        <v>33.53</v>
      </c>
      <c r="F314" s="33">
        <f t="shared" si="27"/>
        <v>33.131999999999998</v>
      </c>
      <c r="G314" s="19" t="s">
        <v>9</v>
      </c>
      <c r="H314" s="33">
        <f t="shared" si="22"/>
        <v>9615.8819999999978</v>
      </c>
      <c r="I314" s="33">
        <f t="shared" si="25"/>
        <v>536.97800000000279</v>
      </c>
      <c r="J314" s="236">
        <f t="shared" si="30"/>
        <v>303.15490521802894</v>
      </c>
      <c r="K314" s="282"/>
      <c r="L314" s="220"/>
    </row>
    <row r="315" spans="1:12">
      <c r="A315" s="687" t="s">
        <v>98</v>
      </c>
      <c r="B315" s="688"/>
      <c r="C315" s="689"/>
      <c r="D315" s="230">
        <f t="shared" si="29"/>
        <v>87</v>
      </c>
      <c r="E315" s="363">
        <v>31.26</v>
      </c>
      <c r="F315" s="33">
        <f t="shared" si="27"/>
        <v>30.862000000000002</v>
      </c>
      <c r="G315" s="19" t="s">
        <v>9</v>
      </c>
      <c r="H315" s="33">
        <f t="shared" si="22"/>
        <v>9646.743999999997</v>
      </c>
      <c r="I315" s="33">
        <f t="shared" si="25"/>
        <v>506.11600000000362</v>
      </c>
      <c r="J315" s="236">
        <f t="shared" si="30"/>
        <v>303.85506945515658</v>
      </c>
      <c r="K315" s="251"/>
      <c r="L315" s="191"/>
    </row>
    <row r="316" spans="1:12">
      <c r="A316" s="687" t="s">
        <v>98</v>
      </c>
      <c r="B316" s="688"/>
      <c r="C316" s="689"/>
      <c r="D316" s="230">
        <f t="shared" si="29"/>
        <v>86</v>
      </c>
      <c r="E316" s="363">
        <v>33.06</v>
      </c>
      <c r="F316" s="33">
        <f t="shared" si="27"/>
        <v>32.661999999999999</v>
      </c>
      <c r="G316" s="19" t="s">
        <v>9</v>
      </c>
      <c r="H316" s="33">
        <f t="shared" si="22"/>
        <v>9679.4059999999972</v>
      </c>
      <c r="I316" s="33">
        <f t="shared" si="25"/>
        <v>473.45400000000336</v>
      </c>
      <c r="J316" s="236">
        <f t="shared" si="30"/>
        <v>304.59607017815119</v>
      </c>
      <c r="K316" s="251"/>
      <c r="L316" s="191"/>
    </row>
    <row r="317" spans="1:12">
      <c r="A317" s="687" t="s">
        <v>98</v>
      </c>
      <c r="B317" s="688"/>
      <c r="C317" s="689"/>
      <c r="D317" s="230">
        <f t="shared" si="29"/>
        <v>85</v>
      </c>
      <c r="E317" s="363">
        <v>32.549999999999997</v>
      </c>
      <c r="F317" s="33">
        <f t="shared" si="27"/>
        <v>32.151999999999994</v>
      </c>
      <c r="G317" s="19" t="s">
        <v>9</v>
      </c>
      <c r="H317" s="33">
        <f t="shared" si="22"/>
        <v>9711.5579999999973</v>
      </c>
      <c r="I317" s="33">
        <f t="shared" si="25"/>
        <v>441.30200000000332</v>
      </c>
      <c r="J317" s="236">
        <f t="shared" si="30"/>
        <v>305.3255005634835</v>
      </c>
      <c r="K317" s="251"/>
      <c r="L317" s="191"/>
    </row>
    <row r="318" spans="1:12">
      <c r="A318" s="687" t="s">
        <v>98</v>
      </c>
      <c r="B318" s="688"/>
      <c r="C318" s="689"/>
      <c r="D318" s="230">
        <f t="shared" si="29"/>
        <v>84</v>
      </c>
      <c r="E318" s="363">
        <v>32.92</v>
      </c>
      <c r="F318" s="33">
        <f t="shared" si="27"/>
        <v>32.521999999999998</v>
      </c>
      <c r="G318" s="19" t="s">
        <v>9</v>
      </c>
      <c r="H318" s="33">
        <f t="shared" si="22"/>
        <v>9744.0799999999981</v>
      </c>
      <c r="I318" s="33">
        <f t="shared" si="25"/>
        <v>408.78000000000247</v>
      </c>
      <c r="J318" s="236">
        <f t="shared" si="30"/>
        <v>306.06332511535516</v>
      </c>
      <c r="K318" s="251"/>
      <c r="L318" s="191"/>
    </row>
    <row r="319" spans="1:12" ht="13" thickBot="1">
      <c r="A319" s="687" t="s">
        <v>98</v>
      </c>
      <c r="B319" s="688"/>
      <c r="C319" s="689"/>
      <c r="D319" s="230">
        <f t="shared" si="29"/>
        <v>83</v>
      </c>
      <c r="E319" s="363">
        <v>33.93</v>
      </c>
      <c r="F319" s="33">
        <f t="shared" si="27"/>
        <v>33.531999999999996</v>
      </c>
      <c r="G319" s="19" t="s">
        <v>9</v>
      </c>
      <c r="H319" s="33">
        <f t="shared" si="22"/>
        <v>9777.6119999999974</v>
      </c>
      <c r="I319" s="33">
        <f t="shared" si="25"/>
        <v>375.24800000000323</v>
      </c>
      <c r="J319" s="236">
        <f t="shared" si="30"/>
        <v>306.82406347318556</v>
      </c>
      <c r="K319" s="251"/>
      <c r="L319" s="191"/>
    </row>
    <row r="320" spans="1:12" ht="13" thickBot="1">
      <c r="A320" s="687" t="s">
        <v>98</v>
      </c>
      <c r="B320" s="688"/>
      <c r="C320" s="689"/>
      <c r="D320" s="230">
        <f t="shared" si="29"/>
        <v>82</v>
      </c>
      <c r="E320" s="363">
        <v>33.4</v>
      </c>
      <c r="F320" s="33">
        <f t="shared" si="27"/>
        <v>33.001999999999995</v>
      </c>
      <c r="G320" s="19" t="s">
        <v>9</v>
      </c>
      <c r="H320" s="33">
        <f t="shared" si="22"/>
        <v>9810.6139999999978</v>
      </c>
      <c r="I320" s="33">
        <f t="shared" si="25"/>
        <v>342.24600000000282</v>
      </c>
      <c r="J320" s="236">
        <f t="shared" si="30"/>
        <v>307.57277775462182</v>
      </c>
      <c r="K320" s="334" t="s">
        <v>171</v>
      </c>
      <c r="L320" s="353"/>
    </row>
    <row r="321" spans="1:12" ht="13" thickBot="1">
      <c r="A321" s="687" t="s">
        <v>98</v>
      </c>
      <c r="B321" s="688"/>
      <c r="C321" s="689"/>
      <c r="D321" s="230">
        <f t="shared" si="29"/>
        <v>81</v>
      </c>
      <c r="E321" s="363">
        <v>32.47</v>
      </c>
      <c r="F321" s="33">
        <f t="shared" si="27"/>
        <v>32.071999999999996</v>
      </c>
      <c r="G321" s="19" t="s">
        <v>9</v>
      </c>
      <c r="H321" s="33">
        <f t="shared" si="22"/>
        <v>9842.6859999999979</v>
      </c>
      <c r="I321" s="33">
        <f t="shared" si="25"/>
        <v>310.17400000000271</v>
      </c>
      <c r="J321" s="236">
        <f t="shared" si="30"/>
        <v>308.30039318502668</v>
      </c>
      <c r="K321" s="334" t="s">
        <v>172</v>
      </c>
      <c r="L321" s="353"/>
    </row>
    <row r="322" spans="1:12" ht="13" thickBot="1">
      <c r="A322" s="687" t="s">
        <v>98</v>
      </c>
      <c r="B322" s="688"/>
      <c r="C322" s="689"/>
      <c r="D322" s="230">
        <f t="shared" si="29"/>
        <v>80</v>
      </c>
      <c r="E322" s="363">
        <v>32.979999999999997</v>
      </c>
      <c r="F322" s="33">
        <f t="shared" si="27"/>
        <v>32.581999999999994</v>
      </c>
      <c r="G322" s="19" t="s">
        <v>9</v>
      </c>
      <c r="H322" s="33">
        <f t="shared" si="22"/>
        <v>9875.2679999999982</v>
      </c>
      <c r="I322" s="33">
        <f t="shared" si="25"/>
        <v>277.59200000000237</v>
      </c>
      <c r="J322" s="236">
        <f t="shared" si="30"/>
        <v>309.03957895309389</v>
      </c>
      <c r="K322" s="334" t="s">
        <v>173</v>
      </c>
      <c r="L322" s="335"/>
    </row>
    <row r="323" spans="1:12">
      <c r="A323" s="687" t="s">
        <v>98</v>
      </c>
      <c r="B323" s="688"/>
      <c r="C323" s="689"/>
      <c r="D323" s="230">
        <f t="shared" si="29"/>
        <v>79</v>
      </c>
      <c r="E323" s="363">
        <v>33.92</v>
      </c>
      <c r="F323" s="33">
        <f t="shared" si="27"/>
        <v>33.521999999999998</v>
      </c>
      <c r="G323" s="19" t="s">
        <v>9</v>
      </c>
      <c r="H323" s="33">
        <f t="shared" si="22"/>
        <v>9908.7899999999991</v>
      </c>
      <c r="I323" s="33">
        <f t="shared" si="25"/>
        <v>244.07000000000153</v>
      </c>
      <c r="J323" s="236">
        <f t="shared" si="30"/>
        <v>309.80009044155838</v>
      </c>
      <c r="K323" s="251"/>
      <c r="L323" s="352"/>
    </row>
    <row r="324" spans="1:12">
      <c r="A324" s="687" t="s">
        <v>98</v>
      </c>
      <c r="B324" s="688"/>
      <c r="C324" s="689"/>
      <c r="D324" s="230">
        <f t="shared" si="29"/>
        <v>78</v>
      </c>
      <c r="E324" s="363">
        <v>33.590000000000003</v>
      </c>
      <c r="F324" s="33">
        <f t="shared" si="27"/>
        <v>33.192</v>
      </c>
      <c r="G324" s="19" t="s">
        <v>9</v>
      </c>
      <c r="H324" s="33">
        <f t="shared" si="22"/>
        <v>9941.9819999999982</v>
      </c>
      <c r="I324" s="33">
        <f t="shared" si="25"/>
        <v>210.87800000000243</v>
      </c>
      <c r="J324" s="236">
        <f t="shared" si="30"/>
        <v>310.55311524094725</v>
      </c>
      <c r="K324" s="251"/>
      <c r="L324" s="191"/>
    </row>
    <row r="325" spans="1:12" ht="13" thickBot="1">
      <c r="A325" s="687" t="s">
        <v>98</v>
      </c>
      <c r="B325" s="688"/>
      <c r="C325" s="689"/>
      <c r="D325" s="230">
        <f t="shared" si="29"/>
        <v>77</v>
      </c>
      <c r="E325" s="363">
        <v>31.97</v>
      </c>
      <c r="F325" s="33">
        <f t="shared" si="27"/>
        <v>31.571999999999999</v>
      </c>
      <c r="G325" s="19" t="s">
        <v>9</v>
      </c>
      <c r="H325" s="33">
        <f t="shared" si="22"/>
        <v>9973.5539999999983</v>
      </c>
      <c r="I325" s="33">
        <f t="shared" si="25"/>
        <v>179.30600000000231</v>
      </c>
      <c r="J325" s="236">
        <f t="shared" si="30"/>
        <v>311.26938720305566</v>
      </c>
      <c r="K325" s="251"/>
      <c r="L325" s="191"/>
    </row>
    <row r="326" spans="1:12" ht="13.5" thickBot="1">
      <c r="A326" s="687" t="s">
        <v>98</v>
      </c>
      <c r="B326" s="688"/>
      <c r="C326" s="689"/>
      <c r="D326" s="230">
        <f t="shared" si="29"/>
        <v>76</v>
      </c>
      <c r="E326" s="363">
        <v>33.18</v>
      </c>
      <c r="F326" s="33">
        <f t="shared" si="27"/>
        <v>32.781999999999996</v>
      </c>
      <c r="G326" s="19" t="s">
        <v>9</v>
      </c>
      <c r="H326" s="33">
        <f t="shared" si="22"/>
        <v>10006.335999999998</v>
      </c>
      <c r="I326" s="33">
        <f t="shared" si="25"/>
        <v>146.52400000000307</v>
      </c>
      <c r="J326" s="236">
        <f t="shared" si="30"/>
        <v>312.01311035844151</v>
      </c>
      <c r="K326" s="961" t="s">
        <v>185</v>
      </c>
      <c r="L326" s="962"/>
    </row>
    <row r="327" spans="1:12" ht="13.5" thickBot="1">
      <c r="A327" s="687" t="s">
        <v>98</v>
      </c>
      <c r="B327" s="688"/>
      <c r="C327" s="689"/>
      <c r="D327" s="371">
        <v>75</v>
      </c>
      <c r="E327" s="363">
        <v>33.08</v>
      </c>
      <c r="F327" s="33">
        <f t="shared" si="27"/>
        <v>32.681999999999995</v>
      </c>
      <c r="G327" s="33" t="s">
        <v>9</v>
      </c>
      <c r="H327" s="33">
        <f t="shared" si="22"/>
        <v>10039.017999999998</v>
      </c>
      <c r="I327" s="33">
        <f t="shared" si="25"/>
        <v>113.84200000000237</v>
      </c>
      <c r="J327" s="236">
        <f t="shared" si="30"/>
        <v>312.75456482016801</v>
      </c>
      <c r="K327" s="963" t="s">
        <v>184</v>
      </c>
      <c r="L327" s="964"/>
    </row>
    <row r="328" spans="1:12">
      <c r="A328" s="687" t="s">
        <v>98</v>
      </c>
      <c r="B328" s="688"/>
      <c r="C328" s="689"/>
      <c r="D328" s="371">
        <v>74</v>
      </c>
      <c r="E328" s="363">
        <v>33.82</v>
      </c>
      <c r="F328" s="33">
        <f t="shared" si="27"/>
        <v>33.421999999999997</v>
      </c>
      <c r="G328" s="33" t="s">
        <v>9</v>
      </c>
      <c r="H328" s="33">
        <f t="shared" si="22"/>
        <v>10072.439999999999</v>
      </c>
      <c r="I328" s="33">
        <f t="shared" si="25"/>
        <v>80.420000000001892</v>
      </c>
      <c r="J328" s="236">
        <f t="shared" si="30"/>
        <v>313.51280761497321</v>
      </c>
      <c r="K328" s="251"/>
      <c r="L328" s="191"/>
    </row>
    <row r="329" spans="1:12">
      <c r="A329" s="687" t="s">
        <v>98</v>
      </c>
      <c r="B329" s="688"/>
      <c r="C329" s="689"/>
      <c r="D329" s="371">
        <v>73</v>
      </c>
      <c r="E329" s="363">
        <v>33.14</v>
      </c>
      <c r="F329" s="33">
        <f t="shared" si="27"/>
        <v>32.741999999999997</v>
      </c>
      <c r="G329" s="33" t="s">
        <v>9</v>
      </c>
      <c r="H329" s="33">
        <f t="shared" si="22"/>
        <v>10105.181999999999</v>
      </c>
      <c r="I329" s="33">
        <f t="shared" si="25"/>
        <v>47.678000000001703</v>
      </c>
      <c r="J329" s="236">
        <f t="shared" si="30"/>
        <v>314.25562329289528</v>
      </c>
      <c r="K329" s="251"/>
      <c r="L329" s="191"/>
    </row>
    <row r="330" spans="1:12">
      <c r="A330" s="933" t="s">
        <v>98</v>
      </c>
      <c r="B330" s="934"/>
      <c r="C330" s="935"/>
      <c r="D330" s="374">
        <f t="shared" si="29"/>
        <v>72</v>
      </c>
      <c r="E330" s="375">
        <v>33.68</v>
      </c>
      <c r="F330" s="376">
        <f t="shared" si="27"/>
        <v>33.281999999999996</v>
      </c>
      <c r="G330" s="376" t="s">
        <v>11</v>
      </c>
      <c r="H330" s="376">
        <f t="shared" si="22"/>
        <v>10105.181999999999</v>
      </c>
      <c r="I330" s="376">
        <f t="shared" si="25"/>
        <v>47.678000000001703</v>
      </c>
      <c r="J330" s="377">
        <f t="shared" si="30"/>
        <v>314.25562329289528</v>
      </c>
      <c r="K330" s="251"/>
      <c r="L330" s="191"/>
    </row>
    <row r="331" spans="1:12" ht="13" thickBot="1">
      <c r="A331" s="687" t="s">
        <v>98</v>
      </c>
      <c r="B331" s="688"/>
      <c r="C331" s="689"/>
      <c r="D331" s="371">
        <f t="shared" si="29"/>
        <v>71</v>
      </c>
      <c r="E331" s="363">
        <v>32.299999999999997</v>
      </c>
      <c r="F331" s="33">
        <f t="shared" si="27"/>
        <v>31.901999999999997</v>
      </c>
      <c r="G331" s="33" t="s">
        <v>9</v>
      </c>
      <c r="H331" s="33">
        <f t="shared" si="22"/>
        <v>10137.083999999999</v>
      </c>
      <c r="I331" s="33">
        <f t="shared" si="25"/>
        <v>15.776000000001659</v>
      </c>
      <c r="J331" s="236">
        <f t="shared" si="30"/>
        <v>314.97938194407936</v>
      </c>
      <c r="K331" s="251"/>
      <c r="L331" s="191"/>
    </row>
    <row r="332" spans="1:12" hidden="1">
      <c r="A332" s="687" t="s">
        <v>98</v>
      </c>
      <c r="B332" s="688"/>
      <c r="C332" s="689"/>
      <c r="D332" s="230">
        <f t="shared" ref="D332:D349" si="31">D331-1</f>
        <v>70</v>
      </c>
      <c r="E332" s="363">
        <v>33.71</v>
      </c>
      <c r="F332" s="33">
        <f t="shared" ref="F332" si="32">E332-($E$9)</f>
        <v>33.311999999999998</v>
      </c>
      <c r="G332" s="247" t="s">
        <v>11</v>
      </c>
      <c r="H332" s="33">
        <f t="shared" ref="H332" si="33">IF(G332="IN",H331+F332,H331)</f>
        <v>10137.083999999999</v>
      </c>
      <c r="I332" s="33">
        <f t="shared" ref="I332:I342" si="34">IF(H332="","",$K$6-H332)</f>
        <v>15.776000000001659</v>
      </c>
      <c r="J332" s="236">
        <f t="shared" ref="J332:J358" si="35">$G$6+(H332*$E$7*$G$8/1000)</f>
        <v>314.97938194407936</v>
      </c>
      <c r="K332" s="251"/>
      <c r="L332" s="191"/>
    </row>
    <row r="333" spans="1:12" hidden="1">
      <c r="A333" s="687" t="s">
        <v>98</v>
      </c>
      <c r="B333" s="688"/>
      <c r="C333" s="689"/>
      <c r="D333" s="230">
        <f t="shared" si="31"/>
        <v>69</v>
      </c>
      <c r="E333" s="363">
        <v>33.94</v>
      </c>
      <c r="F333" s="33">
        <f t="shared" ref="F333:F334" si="36">E333-($E$9)</f>
        <v>33.541999999999994</v>
      </c>
      <c r="G333" s="247" t="s">
        <v>11</v>
      </c>
      <c r="H333" s="33">
        <f t="shared" ref="H333:H366" si="37">IF(G333="IN",H332+F333,H332)</f>
        <v>10137.083999999999</v>
      </c>
      <c r="I333" s="33">
        <f t="shared" si="34"/>
        <v>15.776000000001659</v>
      </c>
      <c r="J333" s="236">
        <f t="shared" si="35"/>
        <v>314.97938194407936</v>
      </c>
      <c r="K333" s="282"/>
      <c r="L333" s="220"/>
    </row>
    <row r="334" spans="1:12" hidden="1">
      <c r="A334" s="687" t="s">
        <v>98</v>
      </c>
      <c r="B334" s="688"/>
      <c r="C334" s="689"/>
      <c r="D334" s="230">
        <f t="shared" si="31"/>
        <v>68</v>
      </c>
      <c r="E334" s="363">
        <v>33.729999999999997</v>
      </c>
      <c r="F334" s="33">
        <f t="shared" si="36"/>
        <v>33.331999999999994</v>
      </c>
      <c r="G334" s="247" t="s">
        <v>11</v>
      </c>
      <c r="H334" s="33">
        <f t="shared" si="37"/>
        <v>10137.083999999999</v>
      </c>
      <c r="I334" s="33">
        <f t="shared" si="34"/>
        <v>15.776000000001659</v>
      </c>
      <c r="J334" s="236">
        <f t="shared" si="35"/>
        <v>314.97938194407936</v>
      </c>
      <c r="K334" s="282"/>
      <c r="L334" s="220"/>
    </row>
    <row r="335" spans="1:12" hidden="1">
      <c r="A335" s="687" t="s">
        <v>98</v>
      </c>
      <c r="B335" s="688"/>
      <c r="C335" s="689"/>
      <c r="D335" s="230">
        <f t="shared" si="31"/>
        <v>67</v>
      </c>
      <c r="E335" s="363">
        <v>33.94</v>
      </c>
      <c r="F335" s="33">
        <f t="shared" ref="F335:F349" si="38">E335-($E$9)</f>
        <v>33.541999999999994</v>
      </c>
      <c r="G335" s="247" t="s">
        <v>11</v>
      </c>
      <c r="H335" s="33">
        <f t="shared" si="37"/>
        <v>10137.083999999999</v>
      </c>
      <c r="I335" s="33">
        <f t="shared" si="34"/>
        <v>15.776000000001659</v>
      </c>
      <c r="J335" s="236">
        <f t="shared" si="35"/>
        <v>314.97938194407936</v>
      </c>
      <c r="K335" s="251"/>
      <c r="L335" s="191"/>
    </row>
    <row r="336" spans="1:12" hidden="1">
      <c r="A336" s="687" t="s">
        <v>98</v>
      </c>
      <c r="B336" s="688"/>
      <c r="C336" s="689"/>
      <c r="D336" s="272">
        <f t="shared" si="31"/>
        <v>66</v>
      </c>
      <c r="E336" s="363">
        <v>33.39</v>
      </c>
      <c r="F336" s="33">
        <f t="shared" si="38"/>
        <v>32.991999999999997</v>
      </c>
      <c r="G336" s="247" t="s">
        <v>11</v>
      </c>
      <c r="H336" s="33">
        <f t="shared" si="37"/>
        <v>10137.083999999999</v>
      </c>
      <c r="I336" s="33">
        <f t="shared" si="34"/>
        <v>15.776000000001659</v>
      </c>
      <c r="J336" s="236">
        <f t="shared" si="35"/>
        <v>314.97938194407936</v>
      </c>
      <c r="K336" s="251"/>
      <c r="L336" s="191"/>
    </row>
    <row r="337" spans="1:12" hidden="1">
      <c r="A337" s="687" t="s">
        <v>98</v>
      </c>
      <c r="B337" s="688"/>
      <c r="C337" s="689"/>
      <c r="D337" s="230">
        <f t="shared" si="31"/>
        <v>65</v>
      </c>
      <c r="E337" s="363">
        <v>33.770000000000003</v>
      </c>
      <c r="F337" s="33">
        <f t="shared" si="38"/>
        <v>33.372</v>
      </c>
      <c r="G337" s="247" t="s">
        <v>11</v>
      </c>
      <c r="H337" s="33">
        <f t="shared" si="37"/>
        <v>10137.083999999999</v>
      </c>
      <c r="I337" s="33">
        <f t="shared" si="34"/>
        <v>15.776000000001659</v>
      </c>
      <c r="J337" s="236">
        <f t="shared" si="35"/>
        <v>314.97938194407936</v>
      </c>
      <c r="K337" s="251"/>
      <c r="L337" s="191"/>
    </row>
    <row r="338" spans="1:12" hidden="1">
      <c r="A338" s="687" t="s">
        <v>98</v>
      </c>
      <c r="B338" s="688"/>
      <c r="C338" s="689"/>
      <c r="D338" s="230">
        <f t="shared" si="31"/>
        <v>64</v>
      </c>
      <c r="E338" s="363">
        <v>33.94</v>
      </c>
      <c r="F338" s="33">
        <f t="shared" si="38"/>
        <v>33.541999999999994</v>
      </c>
      <c r="G338" s="247" t="s">
        <v>11</v>
      </c>
      <c r="H338" s="33">
        <f t="shared" si="37"/>
        <v>10137.083999999999</v>
      </c>
      <c r="I338" s="33">
        <f t="shared" si="34"/>
        <v>15.776000000001659</v>
      </c>
      <c r="J338" s="236">
        <f t="shared" si="35"/>
        <v>314.97938194407936</v>
      </c>
      <c r="K338" s="251"/>
      <c r="L338" s="191"/>
    </row>
    <row r="339" spans="1:12" hidden="1">
      <c r="A339" s="687" t="s">
        <v>98</v>
      </c>
      <c r="B339" s="688"/>
      <c r="C339" s="689"/>
      <c r="D339" s="272">
        <f t="shared" si="31"/>
        <v>63</v>
      </c>
      <c r="E339" s="363">
        <v>33.86</v>
      </c>
      <c r="F339" s="33">
        <f t="shared" si="38"/>
        <v>33.461999999999996</v>
      </c>
      <c r="G339" s="247" t="s">
        <v>11</v>
      </c>
      <c r="H339" s="33">
        <f t="shared" si="37"/>
        <v>10137.083999999999</v>
      </c>
      <c r="I339" s="33">
        <f t="shared" si="34"/>
        <v>15.776000000001659</v>
      </c>
      <c r="J339" s="236">
        <f t="shared" si="35"/>
        <v>314.97938194407936</v>
      </c>
      <c r="K339" s="251"/>
      <c r="L339" s="191"/>
    </row>
    <row r="340" spans="1:12" hidden="1">
      <c r="A340" s="687" t="s">
        <v>98</v>
      </c>
      <c r="B340" s="688"/>
      <c r="C340" s="689"/>
      <c r="D340" s="230">
        <f t="shared" si="31"/>
        <v>62</v>
      </c>
      <c r="E340" s="363">
        <v>33.44</v>
      </c>
      <c r="F340" s="33">
        <f t="shared" si="38"/>
        <v>33.041999999999994</v>
      </c>
      <c r="G340" s="247" t="s">
        <v>11</v>
      </c>
      <c r="H340" s="33">
        <f t="shared" si="37"/>
        <v>10137.083999999999</v>
      </c>
      <c r="I340" s="33">
        <f t="shared" si="34"/>
        <v>15.776000000001659</v>
      </c>
      <c r="J340" s="236">
        <f t="shared" si="35"/>
        <v>314.97938194407936</v>
      </c>
      <c r="K340" s="251"/>
      <c r="L340" s="191"/>
    </row>
    <row r="341" spans="1:12" hidden="1">
      <c r="A341" s="687" t="s">
        <v>98</v>
      </c>
      <c r="B341" s="688"/>
      <c r="C341" s="689"/>
      <c r="D341" s="230">
        <f t="shared" si="31"/>
        <v>61</v>
      </c>
      <c r="E341" s="363">
        <v>34.409999999999997</v>
      </c>
      <c r="F341" s="33">
        <f t="shared" si="38"/>
        <v>34.011999999999993</v>
      </c>
      <c r="G341" s="247" t="s">
        <v>11</v>
      </c>
      <c r="H341" s="33">
        <f t="shared" si="37"/>
        <v>10137.083999999999</v>
      </c>
      <c r="I341" s="33">
        <f t="shared" si="34"/>
        <v>15.776000000001659</v>
      </c>
      <c r="J341" s="236">
        <f t="shared" si="35"/>
        <v>314.97938194407936</v>
      </c>
      <c r="K341" s="251"/>
      <c r="L341" s="191"/>
    </row>
    <row r="342" spans="1:12" hidden="1">
      <c r="A342" s="687" t="s">
        <v>98</v>
      </c>
      <c r="B342" s="688"/>
      <c r="C342" s="689"/>
      <c r="D342" s="272">
        <f t="shared" si="31"/>
        <v>60</v>
      </c>
      <c r="E342" s="363">
        <v>33.909999999999997</v>
      </c>
      <c r="F342" s="33">
        <f t="shared" si="38"/>
        <v>33.511999999999993</v>
      </c>
      <c r="G342" s="247" t="s">
        <v>11</v>
      </c>
      <c r="H342" s="33">
        <f t="shared" si="37"/>
        <v>10137.083999999999</v>
      </c>
      <c r="I342" s="33">
        <f t="shared" si="34"/>
        <v>15.776000000001659</v>
      </c>
      <c r="J342" s="236">
        <f t="shared" si="35"/>
        <v>314.97938194407936</v>
      </c>
      <c r="K342" s="251"/>
      <c r="L342" s="191"/>
    </row>
    <row r="343" spans="1:12" hidden="1">
      <c r="A343" s="687" t="s">
        <v>98</v>
      </c>
      <c r="B343" s="688"/>
      <c r="C343" s="689"/>
      <c r="D343" s="230">
        <f t="shared" si="31"/>
        <v>59</v>
      </c>
      <c r="E343" s="363">
        <v>34.32</v>
      </c>
      <c r="F343" s="33">
        <f t="shared" si="38"/>
        <v>33.921999999999997</v>
      </c>
      <c r="G343" s="247" t="s">
        <v>11</v>
      </c>
      <c r="H343" s="33">
        <f t="shared" si="37"/>
        <v>10137.083999999999</v>
      </c>
      <c r="I343" s="33">
        <f t="shared" ref="I343:I366" si="39">IF(H343="","",$K$6-H343)</f>
        <v>15.776000000001659</v>
      </c>
      <c r="J343" s="236">
        <f t="shared" si="35"/>
        <v>314.97938194407936</v>
      </c>
      <c r="K343" s="251"/>
      <c r="L343" s="191"/>
    </row>
    <row r="344" spans="1:12" hidden="1">
      <c r="A344" s="687" t="s">
        <v>98</v>
      </c>
      <c r="B344" s="688"/>
      <c r="C344" s="689"/>
      <c r="D344" s="230">
        <f t="shared" si="31"/>
        <v>58</v>
      </c>
      <c r="E344" s="363">
        <v>32.75</v>
      </c>
      <c r="F344" s="33">
        <f t="shared" si="38"/>
        <v>32.351999999999997</v>
      </c>
      <c r="G344" s="247" t="s">
        <v>11</v>
      </c>
      <c r="H344" s="33">
        <f t="shared" si="37"/>
        <v>10137.083999999999</v>
      </c>
      <c r="I344" s="33">
        <f t="shared" si="39"/>
        <v>15.776000000001659</v>
      </c>
      <c r="J344" s="236">
        <f t="shared" si="35"/>
        <v>314.97938194407936</v>
      </c>
      <c r="K344" s="251"/>
      <c r="L344" s="191"/>
    </row>
    <row r="345" spans="1:12" hidden="1">
      <c r="A345" s="687" t="s">
        <v>98</v>
      </c>
      <c r="B345" s="688"/>
      <c r="C345" s="689"/>
      <c r="D345" s="272">
        <f t="shared" si="31"/>
        <v>57</v>
      </c>
      <c r="E345" s="363">
        <v>33.659999999999997</v>
      </c>
      <c r="F345" s="33">
        <f t="shared" si="38"/>
        <v>33.261999999999993</v>
      </c>
      <c r="G345" s="247" t="s">
        <v>11</v>
      </c>
      <c r="H345" s="33">
        <f t="shared" si="37"/>
        <v>10137.083999999999</v>
      </c>
      <c r="I345" s="33">
        <f t="shared" si="39"/>
        <v>15.776000000001659</v>
      </c>
      <c r="J345" s="236">
        <f t="shared" si="35"/>
        <v>314.97938194407936</v>
      </c>
      <c r="K345" s="251"/>
      <c r="L345" s="191"/>
    </row>
    <row r="346" spans="1:12" hidden="1">
      <c r="A346" s="687" t="s">
        <v>98</v>
      </c>
      <c r="B346" s="688"/>
      <c r="C346" s="689"/>
      <c r="D346" s="230">
        <f t="shared" si="31"/>
        <v>56</v>
      </c>
      <c r="E346" s="363">
        <v>33.31</v>
      </c>
      <c r="F346" s="33">
        <f t="shared" si="38"/>
        <v>32.911999999999999</v>
      </c>
      <c r="G346" s="247" t="s">
        <v>11</v>
      </c>
      <c r="H346" s="33">
        <f t="shared" si="37"/>
        <v>10137.083999999999</v>
      </c>
      <c r="I346" s="33">
        <f t="shared" si="39"/>
        <v>15.776000000001659</v>
      </c>
      <c r="J346" s="236">
        <f t="shared" si="35"/>
        <v>314.97938194407936</v>
      </c>
      <c r="K346" s="251"/>
      <c r="L346" s="191"/>
    </row>
    <row r="347" spans="1:12" hidden="1">
      <c r="A347" s="687" t="s">
        <v>98</v>
      </c>
      <c r="B347" s="688"/>
      <c r="C347" s="689"/>
      <c r="D347" s="230">
        <f t="shared" si="31"/>
        <v>55</v>
      </c>
      <c r="E347" s="363">
        <v>33.659999999999997</v>
      </c>
      <c r="F347" s="33">
        <f t="shared" si="38"/>
        <v>33.261999999999993</v>
      </c>
      <c r="G347" s="247" t="s">
        <v>11</v>
      </c>
      <c r="H347" s="33">
        <f t="shared" si="37"/>
        <v>10137.083999999999</v>
      </c>
      <c r="I347" s="33">
        <f t="shared" si="39"/>
        <v>15.776000000001659</v>
      </c>
      <c r="J347" s="236">
        <f t="shared" si="35"/>
        <v>314.97938194407936</v>
      </c>
      <c r="K347" s="251"/>
      <c r="L347" s="191"/>
    </row>
    <row r="348" spans="1:12" hidden="1">
      <c r="A348" s="687" t="s">
        <v>98</v>
      </c>
      <c r="B348" s="688"/>
      <c r="C348" s="689"/>
      <c r="D348" s="272">
        <f t="shared" si="31"/>
        <v>54</v>
      </c>
      <c r="E348" s="33">
        <v>33.409999999999997</v>
      </c>
      <c r="F348" s="33">
        <f t="shared" si="38"/>
        <v>33.011999999999993</v>
      </c>
      <c r="G348" s="247" t="s">
        <v>11</v>
      </c>
      <c r="H348" s="33">
        <f t="shared" si="37"/>
        <v>10137.083999999999</v>
      </c>
      <c r="I348" s="33">
        <f t="shared" si="39"/>
        <v>15.776000000001659</v>
      </c>
      <c r="J348" s="236">
        <f t="shared" si="35"/>
        <v>314.97938194407936</v>
      </c>
      <c r="K348" s="251"/>
      <c r="L348" s="191"/>
    </row>
    <row r="349" spans="1:12" ht="13" hidden="1" thickBot="1">
      <c r="A349" s="687" t="s">
        <v>98</v>
      </c>
      <c r="B349" s="688"/>
      <c r="C349" s="689"/>
      <c r="D349" s="230">
        <f t="shared" si="31"/>
        <v>53</v>
      </c>
      <c r="E349" s="224">
        <v>33.69</v>
      </c>
      <c r="F349" s="33">
        <f t="shared" si="38"/>
        <v>33.291999999999994</v>
      </c>
      <c r="G349" s="247" t="s">
        <v>11</v>
      </c>
      <c r="H349" s="33">
        <f t="shared" si="37"/>
        <v>10137.083999999999</v>
      </c>
      <c r="I349" s="33">
        <f t="shared" si="39"/>
        <v>15.776000000001659</v>
      </c>
      <c r="J349" s="236">
        <f t="shared" si="35"/>
        <v>314.97938194407936</v>
      </c>
      <c r="K349" s="251"/>
      <c r="L349" s="191"/>
    </row>
    <row r="350" spans="1:12" ht="13.5" thickBot="1">
      <c r="A350" s="921" t="s">
        <v>150</v>
      </c>
      <c r="B350" s="922"/>
      <c r="C350" s="922"/>
      <c r="D350" s="923"/>
      <c r="E350" s="326">
        <v>10.199999999999999</v>
      </c>
      <c r="F350" s="326">
        <f>E350-($E$9)</f>
        <v>9.8019999999999996</v>
      </c>
      <c r="G350" s="326" t="s">
        <v>11</v>
      </c>
      <c r="H350" s="328">
        <f t="shared" si="37"/>
        <v>10137.083999999999</v>
      </c>
      <c r="I350" s="328">
        <f t="shared" si="39"/>
        <v>15.776000000001659</v>
      </c>
      <c r="J350" s="364">
        <f t="shared" si="35"/>
        <v>314.97938194407936</v>
      </c>
      <c r="K350" s="916" t="s">
        <v>137</v>
      </c>
      <c r="L350" s="917"/>
    </row>
    <row r="351" spans="1:12" ht="13.5" thickBot="1">
      <c r="A351" s="921" t="s">
        <v>151</v>
      </c>
      <c r="B351" s="922"/>
      <c r="C351" s="922"/>
      <c r="D351" s="923"/>
      <c r="E351" s="326">
        <v>6.21</v>
      </c>
      <c r="F351" s="326">
        <f t="shared" ref="F351:F366" si="40">E351-($E$9)</f>
        <v>5.8120000000000003</v>
      </c>
      <c r="G351" s="326" t="s">
        <v>11</v>
      </c>
      <c r="H351" s="328">
        <f t="shared" si="37"/>
        <v>10137.083999999999</v>
      </c>
      <c r="I351" s="328">
        <f t="shared" si="39"/>
        <v>15.776000000001659</v>
      </c>
      <c r="J351" s="364">
        <f t="shared" si="35"/>
        <v>314.97938194407936</v>
      </c>
      <c r="K351" s="916" t="s">
        <v>138</v>
      </c>
      <c r="L351" s="917"/>
    </row>
    <row r="352" spans="1:12" ht="13.5" thickBot="1">
      <c r="A352" s="921" t="s">
        <v>152</v>
      </c>
      <c r="B352" s="922"/>
      <c r="C352" s="922"/>
      <c r="D352" s="923"/>
      <c r="E352" s="326">
        <v>6.22</v>
      </c>
      <c r="F352" s="328">
        <f>E352-($E$9)</f>
        <v>5.8220000000000001</v>
      </c>
      <c r="G352" s="328" t="s">
        <v>11</v>
      </c>
      <c r="H352" s="328">
        <f t="shared" si="37"/>
        <v>10137.083999999999</v>
      </c>
      <c r="I352" s="328">
        <f t="shared" si="39"/>
        <v>15.776000000001659</v>
      </c>
      <c r="J352" s="364">
        <f t="shared" si="35"/>
        <v>314.97938194407936</v>
      </c>
      <c r="K352" s="916" t="s">
        <v>139</v>
      </c>
      <c r="L352" s="917"/>
    </row>
    <row r="353" spans="1:12" ht="13.5" thickBot="1">
      <c r="A353" s="921" t="s">
        <v>153</v>
      </c>
      <c r="B353" s="922"/>
      <c r="C353" s="922"/>
      <c r="D353" s="923"/>
      <c r="E353" s="326">
        <v>6.21</v>
      </c>
      <c r="F353" s="326">
        <f>E353-($E$9)</f>
        <v>5.8120000000000003</v>
      </c>
      <c r="G353" s="328" t="s">
        <v>11</v>
      </c>
      <c r="H353" s="328">
        <f t="shared" si="37"/>
        <v>10137.083999999999</v>
      </c>
      <c r="I353" s="328">
        <f t="shared" si="39"/>
        <v>15.776000000001659</v>
      </c>
      <c r="J353" s="364">
        <f t="shared" si="35"/>
        <v>314.97938194407936</v>
      </c>
      <c r="K353" s="916" t="s">
        <v>140</v>
      </c>
      <c r="L353" s="917"/>
    </row>
    <row r="354" spans="1:12" ht="13.5" thickBot="1">
      <c r="A354" s="921" t="s">
        <v>154</v>
      </c>
      <c r="B354" s="922"/>
      <c r="C354" s="922"/>
      <c r="D354" s="923"/>
      <c r="E354" s="326">
        <v>10.210000000000001</v>
      </c>
      <c r="F354" s="328">
        <f>E354-($E$9)</f>
        <v>9.8120000000000012</v>
      </c>
      <c r="G354" s="328" t="s">
        <v>11</v>
      </c>
      <c r="H354" s="328">
        <f t="shared" si="37"/>
        <v>10137.083999999999</v>
      </c>
      <c r="I354" s="328">
        <f t="shared" si="39"/>
        <v>15.776000000001659</v>
      </c>
      <c r="J354" s="364">
        <f t="shared" si="35"/>
        <v>314.97938194407936</v>
      </c>
      <c r="K354" s="916" t="s">
        <v>141</v>
      </c>
      <c r="L354" s="917"/>
    </row>
    <row r="355" spans="1:12" ht="13.5" thickBot="1">
      <c r="A355" s="921" t="s">
        <v>155</v>
      </c>
      <c r="B355" s="922"/>
      <c r="C355" s="922"/>
      <c r="D355" s="923"/>
      <c r="E355" s="326">
        <v>10.220000000000001</v>
      </c>
      <c r="F355" s="328">
        <f t="shared" si="40"/>
        <v>9.822000000000001</v>
      </c>
      <c r="G355" s="328" t="s">
        <v>11</v>
      </c>
      <c r="H355" s="328">
        <f t="shared" si="37"/>
        <v>10137.083999999999</v>
      </c>
      <c r="I355" s="328">
        <f t="shared" si="39"/>
        <v>15.776000000001659</v>
      </c>
      <c r="J355" s="364">
        <f t="shared" si="35"/>
        <v>314.97938194407936</v>
      </c>
      <c r="K355" s="916" t="s">
        <v>142</v>
      </c>
      <c r="L355" s="917"/>
    </row>
    <row r="356" spans="1:12" ht="13.5" thickBot="1">
      <c r="A356" s="921" t="s">
        <v>156</v>
      </c>
      <c r="B356" s="922"/>
      <c r="C356" s="922"/>
      <c r="D356" s="923"/>
      <c r="E356" s="326">
        <v>15.21</v>
      </c>
      <c r="F356" s="326">
        <f t="shared" si="40"/>
        <v>14.812000000000001</v>
      </c>
      <c r="G356" s="328" t="s">
        <v>11</v>
      </c>
      <c r="H356" s="328">
        <f t="shared" si="37"/>
        <v>10137.083999999999</v>
      </c>
      <c r="I356" s="328">
        <f t="shared" si="39"/>
        <v>15.776000000001659</v>
      </c>
      <c r="J356" s="364">
        <f t="shared" si="35"/>
        <v>314.97938194407936</v>
      </c>
      <c r="K356" s="916" t="s">
        <v>143</v>
      </c>
      <c r="L356" s="917"/>
    </row>
    <row r="357" spans="1:12" ht="13.5" thickBot="1">
      <c r="A357" s="921" t="s">
        <v>157</v>
      </c>
      <c r="B357" s="922"/>
      <c r="C357" s="922"/>
      <c r="D357" s="923"/>
      <c r="E357" s="326">
        <v>15.2</v>
      </c>
      <c r="F357" s="328">
        <f t="shared" si="40"/>
        <v>14.802</v>
      </c>
      <c r="G357" s="328" t="s">
        <v>11</v>
      </c>
      <c r="H357" s="328">
        <f t="shared" si="37"/>
        <v>10137.083999999999</v>
      </c>
      <c r="I357" s="328">
        <f t="shared" si="39"/>
        <v>15.776000000001659</v>
      </c>
      <c r="J357" s="364">
        <f t="shared" si="35"/>
        <v>314.97938194407936</v>
      </c>
      <c r="K357" s="916" t="s">
        <v>144</v>
      </c>
      <c r="L357" s="917"/>
    </row>
    <row r="358" spans="1:12" ht="13.5" thickBot="1">
      <c r="A358" s="921" t="s">
        <v>121</v>
      </c>
      <c r="B358" s="922"/>
      <c r="C358" s="922"/>
      <c r="D358" s="923"/>
      <c r="E358" s="326">
        <v>3.22</v>
      </c>
      <c r="F358" s="328">
        <f t="shared" si="40"/>
        <v>2.8220000000000001</v>
      </c>
      <c r="G358" s="328" t="s">
        <v>11</v>
      </c>
      <c r="H358" s="328">
        <f t="shared" si="37"/>
        <v>10137.083999999999</v>
      </c>
      <c r="I358" s="328">
        <f t="shared" si="39"/>
        <v>15.776000000001659</v>
      </c>
      <c r="J358" s="364">
        <f t="shared" si="35"/>
        <v>314.97938194407936</v>
      </c>
      <c r="K358" s="916" t="s">
        <v>103</v>
      </c>
      <c r="L358" s="917"/>
    </row>
    <row r="359" spans="1:12" ht="13.5" thickBot="1">
      <c r="A359" s="921" t="s">
        <v>122</v>
      </c>
      <c r="B359" s="922"/>
      <c r="C359" s="922"/>
      <c r="D359" s="923"/>
      <c r="E359" s="326">
        <v>20.21</v>
      </c>
      <c r="F359" s="328">
        <f t="shared" si="40"/>
        <v>19.812000000000001</v>
      </c>
      <c r="G359" s="328" t="s">
        <v>11</v>
      </c>
      <c r="H359" s="328">
        <f t="shared" si="37"/>
        <v>10137.083999999999</v>
      </c>
      <c r="I359" s="328">
        <f t="shared" si="39"/>
        <v>15.776000000001659</v>
      </c>
      <c r="J359" s="327">
        <f t="shared" ref="J359:J366" si="41">$G$6+(H359*$E$7*$G$8/1000)</f>
        <v>314.97938194407936</v>
      </c>
      <c r="K359" s="916" t="s">
        <v>94</v>
      </c>
      <c r="L359" s="917"/>
    </row>
    <row r="360" spans="1:12" ht="13.5" thickBot="1">
      <c r="A360" s="921" t="s">
        <v>158</v>
      </c>
      <c r="B360" s="922"/>
      <c r="C360" s="922"/>
      <c r="D360" s="923"/>
      <c r="E360" s="326">
        <v>20.22</v>
      </c>
      <c r="F360" s="328">
        <f t="shared" si="40"/>
        <v>19.821999999999999</v>
      </c>
      <c r="G360" s="328" t="s">
        <v>11</v>
      </c>
      <c r="H360" s="328">
        <f t="shared" si="37"/>
        <v>10137.083999999999</v>
      </c>
      <c r="I360" s="328">
        <f t="shared" si="39"/>
        <v>15.776000000001659</v>
      </c>
      <c r="J360" s="327">
        <f t="shared" si="41"/>
        <v>314.97938194407936</v>
      </c>
      <c r="K360" s="916" t="s">
        <v>145</v>
      </c>
      <c r="L360" s="917"/>
    </row>
    <row r="361" spans="1:12" ht="13.5" thickBot="1">
      <c r="A361" s="921" t="s">
        <v>159</v>
      </c>
      <c r="B361" s="922"/>
      <c r="C361" s="922"/>
      <c r="D361" s="923"/>
      <c r="E361" s="326">
        <v>10.220000000000001</v>
      </c>
      <c r="F361" s="326">
        <f t="shared" si="40"/>
        <v>9.822000000000001</v>
      </c>
      <c r="G361" s="328" t="s">
        <v>11</v>
      </c>
      <c r="H361" s="328">
        <f t="shared" si="37"/>
        <v>10137.083999999999</v>
      </c>
      <c r="I361" s="328">
        <f t="shared" si="39"/>
        <v>15.776000000001659</v>
      </c>
      <c r="J361" s="327">
        <f t="shared" si="41"/>
        <v>314.97938194407936</v>
      </c>
      <c r="K361" s="916" t="s">
        <v>146</v>
      </c>
      <c r="L361" s="917"/>
    </row>
    <row r="362" spans="1:12" ht="13.5" thickBot="1">
      <c r="A362" s="921" t="s">
        <v>123</v>
      </c>
      <c r="B362" s="922"/>
      <c r="C362" s="922"/>
      <c r="D362" s="923"/>
      <c r="E362" s="326">
        <v>15.22</v>
      </c>
      <c r="F362" s="328">
        <f t="shared" si="40"/>
        <v>14.822000000000001</v>
      </c>
      <c r="G362" s="328" t="s">
        <v>11</v>
      </c>
      <c r="H362" s="328">
        <f t="shared" si="37"/>
        <v>10137.083999999999</v>
      </c>
      <c r="I362" s="328">
        <f t="shared" si="39"/>
        <v>15.776000000001659</v>
      </c>
      <c r="J362" s="327">
        <f t="shared" si="41"/>
        <v>314.97938194407936</v>
      </c>
      <c r="K362" s="916" t="s">
        <v>100</v>
      </c>
      <c r="L362" s="917"/>
    </row>
    <row r="363" spans="1:12" ht="13.5" thickBot="1">
      <c r="A363" s="921" t="s">
        <v>124</v>
      </c>
      <c r="B363" s="922"/>
      <c r="C363" s="922"/>
      <c r="D363" s="923"/>
      <c r="E363" s="326">
        <v>15.21</v>
      </c>
      <c r="F363" s="328">
        <f t="shared" si="40"/>
        <v>14.812000000000001</v>
      </c>
      <c r="G363" s="328" t="s">
        <v>11</v>
      </c>
      <c r="H363" s="328">
        <f t="shared" si="37"/>
        <v>10137.083999999999</v>
      </c>
      <c r="I363" s="328">
        <f t="shared" si="39"/>
        <v>15.776000000001659</v>
      </c>
      <c r="J363" s="327">
        <f t="shared" si="41"/>
        <v>314.97938194407936</v>
      </c>
      <c r="K363" s="916" t="s">
        <v>101</v>
      </c>
      <c r="L363" s="917"/>
    </row>
    <row r="364" spans="1:12" ht="13.5" thickBot="1">
      <c r="A364" s="921" t="s">
        <v>125</v>
      </c>
      <c r="B364" s="922"/>
      <c r="C364" s="922"/>
      <c r="D364" s="923"/>
      <c r="E364" s="326">
        <v>3.21</v>
      </c>
      <c r="F364" s="326">
        <f t="shared" si="40"/>
        <v>2.8119999999999998</v>
      </c>
      <c r="G364" s="328" t="s">
        <v>11</v>
      </c>
      <c r="H364" s="328">
        <f t="shared" si="37"/>
        <v>10137.083999999999</v>
      </c>
      <c r="I364" s="328">
        <f t="shared" si="39"/>
        <v>15.776000000001659</v>
      </c>
      <c r="J364" s="327">
        <f t="shared" si="41"/>
        <v>314.97938194407936</v>
      </c>
      <c r="K364" s="916" t="s">
        <v>95</v>
      </c>
      <c r="L364" s="917"/>
    </row>
    <row r="365" spans="1:12" ht="13.5" thickBot="1">
      <c r="A365" s="921" t="s">
        <v>160</v>
      </c>
      <c r="B365" s="922"/>
      <c r="C365" s="922"/>
      <c r="D365" s="923"/>
      <c r="E365" s="326">
        <v>10.210000000000001</v>
      </c>
      <c r="F365" s="328">
        <f t="shared" si="40"/>
        <v>9.8120000000000012</v>
      </c>
      <c r="G365" s="328" t="s">
        <v>11</v>
      </c>
      <c r="H365" s="328">
        <f t="shared" si="37"/>
        <v>10137.083999999999</v>
      </c>
      <c r="I365" s="328">
        <f t="shared" si="39"/>
        <v>15.776000000001659</v>
      </c>
      <c r="J365" s="327">
        <f t="shared" si="41"/>
        <v>314.97938194407936</v>
      </c>
      <c r="K365" s="916" t="s">
        <v>147</v>
      </c>
      <c r="L365" s="917"/>
    </row>
    <row r="366" spans="1:12" ht="13.5" thickBot="1">
      <c r="A366" s="921" t="s">
        <v>126</v>
      </c>
      <c r="B366" s="922"/>
      <c r="C366" s="922"/>
      <c r="D366" s="923"/>
      <c r="E366" s="326">
        <v>6.21</v>
      </c>
      <c r="F366" s="326">
        <f t="shared" si="40"/>
        <v>5.8120000000000003</v>
      </c>
      <c r="G366" s="326" t="s">
        <v>11</v>
      </c>
      <c r="H366" s="328">
        <f t="shared" si="37"/>
        <v>10137.083999999999</v>
      </c>
      <c r="I366" s="328">
        <f t="shared" si="39"/>
        <v>15.776000000001659</v>
      </c>
      <c r="J366" s="327">
        <f t="shared" si="41"/>
        <v>314.97938194407936</v>
      </c>
      <c r="K366" s="916" t="s">
        <v>102</v>
      </c>
      <c r="L366" s="917"/>
    </row>
    <row r="367" spans="1:12" ht="13.5" customHeight="1" thickBot="1">
      <c r="A367" s="841" t="s">
        <v>86</v>
      </c>
      <c r="B367" s="819" t="s">
        <v>68</v>
      </c>
      <c r="C367" s="820"/>
      <c r="D367" s="821"/>
      <c r="E367" s="203">
        <v>7.166666666666667</v>
      </c>
      <c r="F367" s="204">
        <f>E367-($E$9)</f>
        <v>6.7686666666666673</v>
      </c>
      <c r="G367" s="204" t="s">
        <v>9</v>
      </c>
      <c r="H367" s="204">
        <f t="shared" ref="H367:H369" si="42">IF(G367="IN",H366+F367,H366)</f>
        <v>10143.852666666666</v>
      </c>
      <c r="I367" s="338">
        <f t="shared" ref="I367:I368" si="43">IF(H367="","",$K$6-H367)</f>
        <v>9.0073333333348273</v>
      </c>
      <c r="J367" s="924" t="s">
        <v>120</v>
      </c>
      <c r="K367" s="925"/>
      <c r="L367" s="926"/>
    </row>
    <row r="368" spans="1:12" ht="13.5" thickBot="1">
      <c r="A368" s="842"/>
      <c r="B368" s="927" t="s">
        <v>110</v>
      </c>
      <c r="C368" s="928"/>
      <c r="D368" s="929"/>
      <c r="E368" s="339">
        <v>85.9</v>
      </c>
      <c r="F368" s="338">
        <f>E368</f>
        <v>85.9</v>
      </c>
      <c r="G368" s="338" t="s">
        <v>9</v>
      </c>
      <c r="H368" s="338">
        <f t="shared" si="42"/>
        <v>10229.752666666665</v>
      </c>
      <c r="I368" s="329">
        <f t="shared" si="43"/>
        <v>-76.892666666664809</v>
      </c>
      <c r="J368" s="924" t="s">
        <v>174</v>
      </c>
      <c r="K368" s="925"/>
      <c r="L368" s="926"/>
    </row>
    <row r="369" spans="1:15" ht="13" customHeight="1" thickBot="1">
      <c r="A369" s="843"/>
      <c r="B369" s="844" t="s">
        <v>69</v>
      </c>
      <c r="C369" s="845"/>
      <c r="D369" s="845"/>
      <c r="E369" s="846"/>
      <c r="F369" s="237">
        <f>I368</f>
        <v>-76.892666666664809</v>
      </c>
      <c r="G369" s="202" t="s">
        <v>9</v>
      </c>
      <c r="H369" s="202">
        <f t="shared" si="42"/>
        <v>10152.86</v>
      </c>
      <c r="I369" s="202">
        <f t="shared" ref="I369" si="44">IF(H369="","",$K$6-H369)</f>
        <v>0</v>
      </c>
      <c r="J369" s="918"/>
      <c r="K369" s="919"/>
      <c r="L369" s="920"/>
    </row>
    <row r="370" spans="1:15" s="28" customFormat="1">
      <c r="A370" s="11"/>
      <c r="B370" s="11"/>
      <c r="C370" s="12"/>
      <c r="D370" s="193"/>
      <c r="E370" s="8"/>
      <c r="F370" s="8"/>
      <c r="G370" s="8"/>
      <c r="H370" s="41"/>
      <c r="I370" s="8"/>
      <c r="J370" s="194"/>
      <c r="K370" s="36"/>
      <c r="L370" s="10"/>
    </row>
    <row r="371" spans="1:15" s="28" customFormat="1">
      <c r="A371" s="11"/>
      <c r="B371" s="11"/>
      <c r="C371" s="12"/>
      <c r="D371" s="193"/>
      <c r="E371" s="8"/>
      <c r="F371" s="8"/>
      <c r="G371" s="8"/>
      <c r="H371" s="41"/>
      <c r="I371" s="8"/>
      <c r="J371" s="194"/>
      <c r="K371" s="10"/>
      <c r="L371" s="10"/>
    </row>
    <row r="372" spans="1:15" s="28" customFormat="1">
      <c r="A372" s="11"/>
      <c r="B372" s="11"/>
      <c r="C372" s="12"/>
      <c r="D372" s="193"/>
      <c r="E372" s="8"/>
      <c r="F372" s="8"/>
      <c r="G372" s="8"/>
      <c r="H372" s="41"/>
      <c r="I372" s="8"/>
      <c r="J372" s="194"/>
      <c r="K372" s="10"/>
      <c r="L372" s="10"/>
      <c r="M372" s="231"/>
      <c r="O372" s="231"/>
    </row>
    <row r="373" spans="1:15" s="28" customFormat="1" ht="13">
      <c r="A373" s="11"/>
      <c r="B373" s="11"/>
      <c r="C373" s="931"/>
      <c r="D373" s="931"/>
      <c r="E373" s="192"/>
      <c r="F373" s="192"/>
      <c r="G373" s="192"/>
      <c r="H373" s="42"/>
      <c r="I373" s="42"/>
      <c r="J373" s="195"/>
      <c r="K373" s="38"/>
      <c r="L373" s="39"/>
    </row>
    <row r="374" spans="1:15" s="28" customFormat="1">
      <c r="A374" s="11"/>
      <c r="B374" s="11"/>
      <c r="C374" s="932"/>
      <c r="D374" s="932"/>
      <c r="E374" s="190"/>
      <c r="F374" s="190"/>
      <c r="G374" s="190"/>
      <c r="H374" s="42"/>
      <c r="I374" s="42"/>
      <c r="J374" s="195"/>
    </row>
    <row r="375" spans="1:15" s="28" customFormat="1">
      <c r="A375" s="11"/>
      <c r="B375" s="11"/>
      <c r="C375" s="196"/>
      <c r="D375" s="197"/>
      <c r="E375" s="11"/>
      <c r="F375" s="42"/>
      <c r="G375" s="8"/>
      <c r="H375" s="42"/>
      <c r="I375" s="42"/>
      <c r="J375" s="195"/>
      <c r="K375" s="930"/>
      <c r="L375" s="930"/>
    </row>
    <row r="376" spans="1:15" s="28" customFormat="1" ht="13">
      <c r="A376" s="11"/>
      <c r="B376" s="11"/>
      <c r="C376" s="196"/>
      <c r="D376" s="198"/>
      <c r="E376" s="11"/>
      <c r="F376" s="42"/>
      <c r="G376" s="8"/>
      <c r="H376" s="42"/>
      <c r="I376" s="42"/>
      <c r="J376" s="194"/>
      <c r="K376" s="38"/>
      <c r="L376" s="39"/>
    </row>
    <row r="377" spans="1:15" s="28" customFormat="1">
      <c r="A377" s="11"/>
      <c r="B377" s="11"/>
      <c r="C377" s="196"/>
      <c r="D377" s="198"/>
      <c r="E377" s="11"/>
      <c r="F377" s="42"/>
      <c r="G377" s="8"/>
      <c r="H377" s="201"/>
      <c r="I377" s="42"/>
      <c r="J377" s="194"/>
      <c r="K377" s="10"/>
      <c r="L377" s="10"/>
    </row>
    <row r="378" spans="1:15" s="28" customFormat="1">
      <c r="A378" s="11"/>
      <c r="B378" s="11"/>
      <c r="C378" s="12"/>
      <c r="D378" s="193"/>
      <c r="E378" s="8"/>
      <c r="F378" s="8"/>
      <c r="G378" s="8"/>
      <c r="H378" s="41"/>
      <c r="I378" s="8"/>
      <c r="J378" s="194"/>
      <c r="K378" s="10"/>
      <c r="L378" s="10"/>
    </row>
    <row r="379" spans="1:15" s="199" customFormat="1">
      <c r="A379" s="11"/>
      <c r="B379" s="11"/>
      <c r="C379" s="12"/>
      <c r="D379" s="193"/>
      <c r="E379" s="8"/>
      <c r="F379" s="8"/>
      <c r="G379" s="8"/>
      <c r="H379" s="41"/>
      <c r="I379" s="8"/>
      <c r="J379" s="194"/>
      <c r="K379" s="10"/>
      <c r="L379" s="10"/>
    </row>
    <row r="380" spans="1:15" s="28" customFormat="1">
      <c r="A380" s="11"/>
      <c r="B380" s="11"/>
      <c r="C380" s="12"/>
      <c r="D380" s="193"/>
      <c r="E380" s="8"/>
      <c r="F380" s="8"/>
      <c r="G380" s="8"/>
      <c r="H380" s="41"/>
      <c r="I380" s="8"/>
      <c r="J380" s="194"/>
      <c r="K380" s="10"/>
      <c r="L380" s="10"/>
    </row>
    <row r="381" spans="1:15" s="28" customFormat="1">
      <c r="C381" s="200"/>
      <c r="F381" s="30"/>
      <c r="K381" s="10"/>
      <c r="L381" s="10"/>
    </row>
    <row r="382" spans="1:15" s="28" customFormat="1">
      <c r="C382" s="200"/>
      <c r="F382" s="30"/>
      <c r="K382" s="10"/>
      <c r="L382" s="10"/>
    </row>
    <row r="383" spans="1:15" s="28" customFormat="1">
      <c r="C383" s="200"/>
      <c r="F383" s="30"/>
      <c r="K383" s="10"/>
      <c r="L383" s="10"/>
    </row>
    <row r="384" spans="1:15">
      <c r="A384"/>
      <c r="B384"/>
      <c r="C384" s="27"/>
      <c r="D384"/>
      <c r="E384"/>
      <c r="F384" s="35"/>
      <c r="G384"/>
      <c r="H384"/>
      <c r="I384"/>
      <c r="J384"/>
      <c r="L384" s="16"/>
    </row>
    <row r="385" spans="1:12">
      <c r="A385"/>
      <c r="B385"/>
      <c r="C385" s="27"/>
      <c r="D385"/>
      <c r="E385"/>
      <c r="F385" s="35"/>
      <c r="G385"/>
      <c r="H385"/>
      <c r="I385"/>
      <c r="J385"/>
      <c r="L385" s="16"/>
    </row>
    <row r="386" spans="1:12">
      <c r="A386"/>
      <c r="B386"/>
      <c r="C386" s="27"/>
      <c r="D386"/>
      <c r="E386"/>
      <c r="F386" s="35"/>
      <c r="G386"/>
      <c r="H386"/>
      <c r="I386"/>
      <c r="J386"/>
      <c r="L386" s="16"/>
    </row>
    <row r="387" spans="1:12">
      <c r="A387"/>
      <c r="B387"/>
      <c r="C387" s="27"/>
      <c r="D387"/>
      <c r="E387"/>
      <c r="F387" s="35"/>
      <c r="G387"/>
      <c r="H387"/>
      <c r="I387"/>
      <c r="J387"/>
      <c r="L387" s="16"/>
    </row>
    <row r="388" spans="1:12">
      <c r="A388"/>
      <c r="B388"/>
      <c r="C388" s="27"/>
      <c r="D388"/>
      <c r="E388"/>
      <c r="F388" s="35"/>
      <c r="G388"/>
      <c r="H388"/>
      <c r="I388"/>
      <c r="J388"/>
      <c r="L388" s="16"/>
    </row>
    <row r="389" spans="1:12">
      <c r="A389"/>
      <c r="B389"/>
      <c r="C389" s="27"/>
      <c r="D389"/>
      <c r="E389"/>
      <c r="F389" s="35"/>
      <c r="G389"/>
      <c r="H389"/>
      <c r="I389"/>
      <c r="J389"/>
      <c r="L389" s="16"/>
    </row>
    <row r="390" spans="1:12">
      <c r="A390"/>
      <c r="B390"/>
      <c r="C390" s="27"/>
      <c r="D390"/>
      <c r="E390"/>
      <c r="F390" s="35"/>
      <c r="G390"/>
      <c r="H390"/>
      <c r="I390"/>
      <c r="J390"/>
      <c r="L390" s="16"/>
    </row>
    <row r="391" spans="1:12">
      <c r="A391"/>
      <c r="B391"/>
      <c r="C391" s="27"/>
      <c r="D391"/>
      <c r="E391"/>
      <c r="F391" s="35"/>
      <c r="G391"/>
      <c r="H391"/>
      <c r="I391"/>
      <c r="J391"/>
      <c r="L391" s="16"/>
    </row>
    <row r="392" spans="1:12">
      <c r="L392" s="16"/>
    </row>
    <row r="393" spans="1:12">
      <c r="L393" s="16"/>
    </row>
    <row r="394" spans="1:12">
      <c r="L394" s="16"/>
    </row>
    <row r="395" spans="1:12">
      <c r="K395"/>
    </row>
    <row r="396" spans="1:12">
      <c r="K396"/>
    </row>
    <row r="397" spans="1:12">
      <c r="K397"/>
    </row>
    <row r="398" spans="1:12">
      <c r="K398"/>
    </row>
    <row r="399" spans="1:12">
      <c r="K399"/>
    </row>
    <row r="400" spans="1:12">
      <c r="K400"/>
    </row>
    <row r="401" spans="11:11">
      <c r="K401"/>
    </row>
    <row r="402" spans="11:11">
      <c r="K402"/>
    </row>
    <row r="403" spans="11:11">
      <c r="K403"/>
    </row>
    <row r="404" spans="11:11">
      <c r="K404"/>
    </row>
    <row r="405" spans="11:11">
      <c r="K405"/>
    </row>
  </sheetData>
  <mergeCells count="418">
    <mergeCell ref="K289:L289"/>
    <mergeCell ref="C298:D298"/>
    <mergeCell ref="C299:D299"/>
    <mergeCell ref="A289:C289"/>
    <mergeCell ref="A290:C290"/>
    <mergeCell ref="A291:C291"/>
    <mergeCell ref="A292:C292"/>
    <mergeCell ref="A293:C293"/>
    <mergeCell ref="A294:C294"/>
    <mergeCell ref="K299:L299"/>
    <mergeCell ref="A295:C295"/>
    <mergeCell ref="A296:A300"/>
    <mergeCell ref="B296:B300"/>
    <mergeCell ref="C300:D300"/>
    <mergeCell ref="K300:L300"/>
    <mergeCell ref="A307:C307"/>
    <mergeCell ref="A308:C308"/>
    <mergeCell ref="A309:C309"/>
    <mergeCell ref="A310:C310"/>
    <mergeCell ref="A305:C305"/>
    <mergeCell ref="A306:C306"/>
    <mergeCell ref="A319:C319"/>
    <mergeCell ref="A320:C320"/>
    <mergeCell ref="A321:C321"/>
    <mergeCell ref="A324:C324"/>
    <mergeCell ref="A313:C313"/>
    <mergeCell ref="K326:L326"/>
    <mergeCell ref="K327:L327"/>
    <mergeCell ref="B9:C9"/>
    <mergeCell ref="A10:C11"/>
    <mergeCell ref="D10:D11"/>
    <mergeCell ref="E10:E11"/>
    <mergeCell ref="F10:F11"/>
    <mergeCell ref="G10:G11"/>
    <mergeCell ref="A13:A15"/>
    <mergeCell ref="B13:B15"/>
    <mergeCell ref="C13:D13"/>
    <mergeCell ref="K13:L15"/>
    <mergeCell ref="C14:D14"/>
    <mergeCell ref="C15:D15"/>
    <mergeCell ref="H10:H11"/>
    <mergeCell ref="I10:I11"/>
    <mergeCell ref="J10:J11"/>
    <mergeCell ref="K10:L11"/>
    <mergeCell ref="A12:D12"/>
    <mergeCell ref="K12:L12"/>
    <mergeCell ref="C20:D20"/>
    <mergeCell ref="K20:L20"/>
    <mergeCell ref="C21:D21"/>
    <mergeCell ref="K21:L21"/>
    <mergeCell ref="A22:C22"/>
    <mergeCell ref="A23:C23"/>
    <mergeCell ref="K23:L23"/>
    <mergeCell ref="A16:C16"/>
    <mergeCell ref="K16:L16"/>
    <mergeCell ref="A17:C17"/>
    <mergeCell ref="K17:L17"/>
    <mergeCell ref="A18:A21"/>
    <mergeCell ref="B18:B21"/>
    <mergeCell ref="C18:D18"/>
    <mergeCell ref="K18:L18"/>
    <mergeCell ref="C19:D19"/>
    <mergeCell ref="K19:L19"/>
    <mergeCell ref="A28:C28"/>
    <mergeCell ref="K28:L28"/>
    <mergeCell ref="A29:C29"/>
    <mergeCell ref="A30:C30"/>
    <mergeCell ref="K30:L30"/>
    <mergeCell ref="A31:C31"/>
    <mergeCell ref="K31:L31"/>
    <mergeCell ref="A24:C24"/>
    <mergeCell ref="K24:L24"/>
    <mergeCell ref="A25:C25"/>
    <mergeCell ref="A26:C26"/>
    <mergeCell ref="A27:C27"/>
    <mergeCell ref="K27:L27"/>
    <mergeCell ref="A38:C38"/>
    <mergeCell ref="A39:C39"/>
    <mergeCell ref="A40:C40"/>
    <mergeCell ref="A41:C41"/>
    <mergeCell ref="A42:C42"/>
    <mergeCell ref="A43:C43"/>
    <mergeCell ref="A32:C32"/>
    <mergeCell ref="A33:C33"/>
    <mergeCell ref="A34:C34"/>
    <mergeCell ref="A35:C35"/>
    <mergeCell ref="A36:C36"/>
    <mergeCell ref="A37:C37"/>
    <mergeCell ref="A50:C50"/>
    <mergeCell ref="A51:C51"/>
    <mergeCell ref="A52:C52"/>
    <mergeCell ref="A53:C53"/>
    <mergeCell ref="A54:C54"/>
    <mergeCell ref="A55:C55"/>
    <mergeCell ref="A44:C44"/>
    <mergeCell ref="A45:C45"/>
    <mergeCell ref="A46:C46"/>
    <mergeCell ref="A47:C47"/>
    <mergeCell ref="A48:C48"/>
    <mergeCell ref="A49:C49"/>
    <mergeCell ref="A62:C62"/>
    <mergeCell ref="A63:C63"/>
    <mergeCell ref="A64:C64"/>
    <mergeCell ref="A65:C65"/>
    <mergeCell ref="A66:C66"/>
    <mergeCell ref="A67:C67"/>
    <mergeCell ref="A56:C56"/>
    <mergeCell ref="A57:C57"/>
    <mergeCell ref="A58:C58"/>
    <mergeCell ref="A59:C59"/>
    <mergeCell ref="A60:C60"/>
    <mergeCell ref="A61:C61"/>
    <mergeCell ref="A74:C74"/>
    <mergeCell ref="A75:C75"/>
    <mergeCell ref="A76:C76"/>
    <mergeCell ref="A77:C77"/>
    <mergeCell ref="A78:C78"/>
    <mergeCell ref="A79:C79"/>
    <mergeCell ref="A68:C68"/>
    <mergeCell ref="A69:C69"/>
    <mergeCell ref="A70:C70"/>
    <mergeCell ref="A71:C71"/>
    <mergeCell ref="A72:C72"/>
    <mergeCell ref="A73:C73"/>
    <mergeCell ref="A86:C86"/>
    <mergeCell ref="A87:C87"/>
    <mergeCell ref="A88:C88"/>
    <mergeCell ref="A89:C89"/>
    <mergeCell ref="A90:C90"/>
    <mergeCell ref="A91:C91"/>
    <mergeCell ref="A80:C80"/>
    <mergeCell ref="A81:C81"/>
    <mergeCell ref="A82:C82"/>
    <mergeCell ref="A83:C83"/>
    <mergeCell ref="A84:C84"/>
    <mergeCell ref="A85:C85"/>
    <mergeCell ref="A98:C98"/>
    <mergeCell ref="A99:C99"/>
    <mergeCell ref="A100:C100"/>
    <mergeCell ref="A101:C101"/>
    <mergeCell ref="A102:C102"/>
    <mergeCell ref="A103:C103"/>
    <mergeCell ref="A92:C92"/>
    <mergeCell ref="A93:C93"/>
    <mergeCell ref="A94:C94"/>
    <mergeCell ref="A95:C95"/>
    <mergeCell ref="A96:C96"/>
    <mergeCell ref="A97:C97"/>
    <mergeCell ref="A110:C110"/>
    <mergeCell ref="A111:C111"/>
    <mergeCell ref="A112:C112"/>
    <mergeCell ref="A113:C113"/>
    <mergeCell ref="A114:C114"/>
    <mergeCell ref="A115:C115"/>
    <mergeCell ref="A104:C104"/>
    <mergeCell ref="A105:C105"/>
    <mergeCell ref="A106:C106"/>
    <mergeCell ref="A107:C107"/>
    <mergeCell ref="A108:C108"/>
    <mergeCell ref="A109:C109"/>
    <mergeCell ref="A122:C122"/>
    <mergeCell ref="A123:C123"/>
    <mergeCell ref="A124:C124"/>
    <mergeCell ref="A125:C125"/>
    <mergeCell ref="A126:C126"/>
    <mergeCell ref="A127:C127"/>
    <mergeCell ref="A116:C116"/>
    <mergeCell ref="A117:C117"/>
    <mergeCell ref="A118:C118"/>
    <mergeCell ref="A119:C119"/>
    <mergeCell ref="A120:C120"/>
    <mergeCell ref="A121:C121"/>
    <mergeCell ref="K144:L144"/>
    <mergeCell ref="A134:C134"/>
    <mergeCell ref="A135:C135"/>
    <mergeCell ref="A136:C136"/>
    <mergeCell ref="A137:C137"/>
    <mergeCell ref="A138:C138"/>
    <mergeCell ref="A139:C139"/>
    <mergeCell ref="A128:C128"/>
    <mergeCell ref="A129:C129"/>
    <mergeCell ref="A130:C130"/>
    <mergeCell ref="A131:C131"/>
    <mergeCell ref="A132:C132"/>
    <mergeCell ref="A133:C133"/>
    <mergeCell ref="A145:C145"/>
    <mergeCell ref="A146:C146"/>
    <mergeCell ref="A147:C147"/>
    <mergeCell ref="A148:C148"/>
    <mergeCell ref="A149:C149"/>
    <mergeCell ref="A150:C150"/>
    <mergeCell ref="A140:C140"/>
    <mergeCell ref="A141:C141"/>
    <mergeCell ref="A142:C142"/>
    <mergeCell ref="A143:C143"/>
    <mergeCell ref="A144:C144"/>
    <mergeCell ref="A157:C157"/>
    <mergeCell ref="A158:C158"/>
    <mergeCell ref="A159:C159"/>
    <mergeCell ref="A160:C160"/>
    <mergeCell ref="A161:C161"/>
    <mergeCell ref="A162:C162"/>
    <mergeCell ref="A151:C151"/>
    <mergeCell ref="A152:C152"/>
    <mergeCell ref="A153:C153"/>
    <mergeCell ref="A154:C154"/>
    <mergeCell ref="A155:C155"/>
    <mergeCell ref="A156:C156"/>
    <mergeCell ref="A169:C169"/>
    <mergeCell ref="A170:C170"/>
    <mergeCell ref="A171:C171"/>
    <mergeCell ref="A172:C172"/>
    <mergeCell ref="A173:C173"/>
    <mergeCell ref="A174:C174"/>
    <mergeCell ref="A163:C163"/>
    <mergeCell ref="A164:C164"/>
    <mergeCell ref="A165:C165"/>
    <mergeCell ref="A166:C166"/>
    <mergeCell ref="A167:C167"/>
    <mergeCell ref="A168:C168"/>
    <mergeCell ref="A181:C181"/>
    <mergeCell ref="A182:C182"/>
    <mergeCell ref="A183:C183"/>
    <mergeCell ref="A184:C184"/>
    <mergeCell ref="A185:C185"/>
    <mergeCell ref="A186:C186"/>
    <mergeCell ref="A175:C175"/>
    <mergeCell ref="A176:C176"/>
    <mergeCell ref="A177:C177"/>
    <mergeCell ref="A178:C178"/>
    <mergeCell ref="A179:C179"/>
    <mergeCell ref="A180:C180"/>
    <mergeCell ref="A193:C193"/>
    <mergeCell ref="A194:C194"/>
    <mergeCell ref="A195:C195"/>
    <mergeCell ref="A196:C196"/>
    <mergeCell ref="A197:C197"/>
    <mergeCell ref="A198:C198"/>
    <mergeCell ref="A187:C187"/>
    <mergeCell ref="A188:C188"/>
    <mergeCell ref="A189:C189"/>
    <mergeCell ref="A190:C190"/>
    <mergeCell ref="A191:C191"/>
    <mergeCell ref="A192:C192"/>
    <mergeCell ref="A205:C205"/>
    <mergeCell ref="A206:C206"/>
    <mergeCell ref="A207:C207"/>
    <mergeCell ref="A208:C208"/>
    <mergeCell ref="A209:C209"/>
    <mergeCell ref="A210:C210"/>
    <mergeCell ref="A199:C199"/>
    <mergeCell ref="A200:C200"/>
    <mergeCell ref="A201:C201"/>
    <mergeCell ref="A202:C202"/>
    <mergeCell ref="A203:C203"/>
    <mergeCell ref="A204:C204"/>
    <mergeCell ref="A217:C217"/>
    <mergeCell ref="A218:C218"/>
    <mergeCell ref="A219:C219"/>
    <mergeCell ref="A220:C220"/>
    <mergeCell ref="A221:C221"/>
    <mergeCell ref="A222:C222"/>
    <mergeCell ref="A211:C211"/>
    <mergeCell ref="A212:C212"/>
    <mergeCell ref="A213:C213"/>
    <mergeCell ref="A214:C214"/>
    <mergeCell ref="A215:C215"/>
    <mergeCell ref="A216:C216"/>
    <mergeCell ref="A229:C229"/>
    <mergeCell ref="A230:C230"/>
    <mergeCell ref="A231:C231"/>
    <mergeCell ref="A232:C232"/>
    <mergeCell ref="A233:C233"/>
    <mergeCell ref="A234:C234"/>
    <mergeCell ref="A223:C223"/>
    <mergeCell ref="A224:C224"/>
    <mergeCell ref="A225:C225"/>
    <mergeCell ref="A226:C226"/>
    <mergeCell ref="A227:C227"/>
    <mergeCell ref="A228:C228"/>
    <mergeCell ref="A241:C241"/>
    <mergeCell ref="A242:C242"/>
    <mergeCell ref="A243:C243"/>
    <mergeCell ref="A244:C244"/>
    <mergeCell ref="A245:C245"/>
    <mergeCell ref="A246:C246"/>
    <mergeCell ref="A235:C235"/>
    <mergeCell ref="A236:C236"/>
    <mergeCell ref="A237:C237"/>
    <mergeCell ref="A238:C238"/>
    <mergeCell ref="A239:C239"/>
    <mergeCell ref="A240:C240"/>
    <mergeCell ref="A253:C253"/>
    <mergeCell ref="A254:C254"/>
    <mergeCell ref="A255:C255"/>
    <mergeCell ref="A256:C256"/>
    <mergeCell ref="A257:C257"/>
    <mergeCell ref="A258:C258"/>
    <mergeCell ref="A247:C247"/>
    <mergeCell ref="A248:C248"/>
    <mergeCell ref="A249:C249"/>
    <mergeCell ref="A250:C250"/>
    <mergeCell ref="A251:C251"/>
    <mergeCell ref="A252:C252"/>
    <mergeCell ref="A265:C265"/>
    <mergeCell ref="A266:C266"/>
    <mergeCell ref="A267:C267"/>
    <mergeCell ref="A268:C268"/>
    <mergeCell ref="A269:C269"/>
    <mergeCell ref="A270:C270"/>
    <mergeCell ref="A259:C259"/>
    <mergeCell ref="A260:C260"/>
    <mergeCell ref="A261:C261"/>
    <mergeCell ref="A262:C262"/>
    <mergeCell ref="A263:C263"/>
    <mergeCell ref="A264:C264"/>
    <mergeCell ref="A277:C277"/>
    <mergeCell ref="A278:C278"/>
    <mergeCell ref="A279:C279"/>
    <mergeCell ref="A280:C280"/>
    <mergeCell ref="A281:C281"/>
    <mergeCell ref="A282:C282"/>
    <mergeCell ref="A271:C271"/>
    <mergeCell ref="A272:C272"/>
    <mergeCell ref="A273:C273"/>
    <mergeCell ref="A274:C274"/>
    <mergeCell ref="A275:C275"/>
    <mergeCell ref="A276:C276"/>
    <mergeCell ref="A283:C283"/>
    <mergeCell ref="A284:C284"/>
    <mergeCell ref="A285:C285"/>
    <mergeCell ref="A286:C286"/>
    <mergeCell ref="A287:C287"/>
    <mergeCell ref="A288:C288"/>
    <mergeCell ref="A331:C331"/>
    <mergeCell ref="A332:C332"/>
    <mergeCell ref="A325:C325"/>
    <mergeCell ref="A326:C326"/>
    <mergeCell ref="A327:C327"/>
    <mergeCell ref="A328:C328"/>
    <mergeCell ref="A329:C329"/>
    <mergeCell ref="A330:C330"/>
    <mergeCell ref="C296:D296"/>
    <mergeCell ref="C297:D297"/>
    <mergeCell ref="A301:C301"/>
    <mergeCell ref="A302:C302"/>
    <mergeCell ref="A322:C322"/>
    <mergeCell ref="A323:C323"/>
    <mergeCell ref="A318:C318"/>
    <mergeCell ref="A311:C311"/>
    <mergeCell ref="A312:C312"/>
    <mergeCell ref="A303:C303"/>
    <mergeCell ref="A337:C337"/>
    <mergeCell ref="A338:C338"/>
    <mergeCell ref="A349:C349"/>
    <mergeCell ref="A353:D353"/>
    <mergeCell ref="A357:D357"/>
    <mergeCell ref="A354:D354"/>
    <mergeCell ref="A355:D355"/>
    <mergeCell ref="A356:D356"/>
    <mergeCell ref="A339:C339"/>
    <mergeCell ref="A340:C340"/>
    <mergeCell ref="A341:C341"/>
    <mergeCell ref="A342:C342"/>
    <mergeCell ref="A343:C343"/>
    <mergeCell ref="A344:C344"/>
    <mergeCell ref="A345:C345"/>
    <mergeCell ref="A346:C346"/>
    <mergeCell ref="A347:C347"/>
    <mergeCell ref="A348:C348"/>
    <mergeCell ref="K375:L375"/>
    <mergeCell ref="A350:D350"/>
    <mergeCell ref="K350:L350"/>
    <mergeCell ref="A351:D351"/>
    <mergeCell ref="K351:L351"/>
    <mergeCell ref="A352:D352"/>
    <mergeCell ref="K352:L352"/>
    <mergeCell ref="K353:L353"/>
    <mergeCell ref="K354:L354"/>
    <mergeCell ref="K355:L355"/>
    <mergeCell ref="K356:L356"/>
    <mergeCell ref="C373:D373"/>
    <mergeCell ref="C374:D374"/>
    <mergeCell ref="K360:L360"/>
    <mergeCell ref="A361:D361"/>
    <mergeCell ref="K361:L361"/>
    <mergeCell ref="A362:D362"/>
    <mergeCell ref="K362:L362"/>
    <mergeCell ref="A363:D363"/>
    <mergeCell ref="K363:L363"/>
    <mergeCell ref="K357:L357"/>
    <mergeCell ref="A358:D358"/>
    <mergeCell ref="K358:L358"/>
    <mergeCell ref="A359:D359"/>
    <mergeCell ref="A304:C304"/>
    <mergeCell ref="K359:L359"/>
    <mergeCell ref="B369:E369"/>
    <mergeCell ref="J369:L369"/>
    <mergeCell ref="K364:L364"/>
    <mergeCell ref="A365:D365"/>
    <mergeCell ref="K365:L365"/>
    <mergeCell ref="A366:D366"/>
    <mergeCell ref="K366:L366"/>
    <mergeCell ref="A367:A369"/>
    <mergeCell ref="B367:D367"/>
    <mergeCell ref="J367:L367"/>
    <mergeCell ref="B368:D368"/>
    <mergeCell ref="J368:L368"/>
    <mergeCell ref="A364:D364"/>
    <mergeCell ref="A360:D360"/>
    <mergeCell ref="A333:C333"/>
    <mergeCell ref="A334:C334"/>
    <mergeCell ref="A335:C335"/>
    <mergeCell ref="A336:C336"/>
    <mergeCell ref="A314:C314"/>
    <mergeCell ref="A315:C315"/>
    <mergeCell ref="A316:C316"/>
    <mergeCell ref="A317:C317"/>
  </mergeCells>
  <printOptions horizontalCentered="1"/>
  <pageMargins left="0.15" right="0" top="0.5" bottom="0.75" header="0" footer="0"/>
  <pageSetup scale="85" fitToHeight="8" orientation="portrait" horizontalDpi="300" verticalDpi="300" r:id="rId1"/>
  <headerFooter alignWithMargins="0">
    <oddHeader>&amp;L&amp;"Calibri"&amp;9&amp;K000000Classification: Internal&amp;1#</oddHeader>
    <oddFooter>Page 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6A0DC3B56C494E81B01879E1F078A5" ma:contentTypeVersion="2" ma:contentTypeDescription="Create a new document." ma:contentTypeScope="" ma:versionID="a711816804160e4c262142418d241555">
  <xsd:schema xmlns:xsd="http://www.w3.org/2001/XMLSchema" xmlns:xs="http://www.w3.org/2001/XMLSchema" xmlns:p="http://schemas.microsoft.com/office/2006/metadata/properties" xmlns:ns2="3dac3852-c40f-424b-91f3-2b0e1d122f46" targetNamespace="http://schemas.microsoft.com/office/2006/metadata/properties" ma:root="true" ma:fieldsID="17c56f4c300bfd4079ac06512d9df2fa" ns2:_="">
    <xsd:import namespace="3dac3852-c40f-424b-91f3-2b0e1d122f46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c3852-c40f-424b-91f3-2b0e1d122f4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D60772-EE45-4E1C-BE0C-A22C8A91E6C5}"/>
</file>

<file path=customXml/itemProps2.xml><?xml version="1.0" encoding="utf-8"?>
<ds:datastoreItem xmlns:ds="http://schemas.openxmlformats.org/officeDocument/2006/customXml" ds:itemID="{7A3A8180-B5C2-43CF-83AB-E87A0D67DA80}"/>
</file>

<file path=customXml/itemProps3.xml><?xml version="1.0" encoding="utf-8"?>
<ds:datastoreItem xmlns:ds="http://schemas.openxmlformats.org/officeDocument/2006/customXml" ds:itemID="{0E51AABB-E865-4BD0-BC57-2F6BDFB91C8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PRO TBG FINAL - TALLY</vt:lpstr>
      <vt:lpstr>PRO TBG AS RUN - TALLY</vt:lpstr>
      <vt:lpstr>SPACE OUT Calculation</vt:lpstr>
      <vt:lpstr>7" 26# Deck Tally</vt:lpstr>
      <vt:lpstr>QG - TALLY (DRAFT As-Run)</vt:lpstr>
      <vt:lpstr>'PRO TBG AS RUN - TALLY'!EKIKO2</vt:lpstr>
      <vt:lpstr>'PRO TBG FINAL - TALLY'!EKIKO2</vt:lpstr>
      <vt:lpstr>'QG - TALLY (DRAFT As-Run)'!EKIKO2</vt:lpstr>
      <vt:lpstr>'PRO TBG AS RUN - TALLY'!Print_Area</vt:lpstr>
      <vt:lpstr>'PRO TBG FINAL - TALLY'!Print_Area</vt:lpstr>
      <vt:lpstr>'QG - TALLY (DRAFT As-Run)'!Print_Area</vt:lpstr>
      <vt:lpstr>'SPACE OUT Calculation'!Print_Area</vt:lpstr>
      <vt:lpstr>'PRO TBG AS RUN - TALLY'!Print_Titles</vt:lpstr>
      <vt:lpstr>'PRO TBG FINAL - TALLY'!Print_Titles</vt:lpstr>
      <vt:lpstr>'QG - TALLY (DRAFT As-Run)'!Print_Titles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DTF (Rig - Hak 8) - Ras Laffan</dc:creator>
  <cp:lastModifiedBy>Bounehidja, Mohamed</cp:lastModifiedBy>
  <cp:lastPrinted>2023-08-14T02:43:03Z</cp:lastPrinted>
  <dcterms:created xsi:type="dcterms:W3CDTF">1998-08-22T05:18:06Z</dcterms:created>
  <dcterms:modified xsi:type="dcterms:W3CDTF">2023-08-16T09:41:52Z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68fbde5-0dd0-43d5-aca2-2bbc289e3948_Enabled">
    <vt:lpwstr>true</vt:lpwstr>
  </property>
  <property fmtid="{D5CDD505-2E9C-101B-9397-08002B2CF9AE}" pid="3" name="MSIP_Label_668fbde5-0dd0-43d5-aca2-2bbc289e3948_SetDate">
    <vt:lpwstr>2023-08-15T14:02:01Z</vt:lpwstr>
  </property>
  <property fmtid="{D5CDD505-2E9C-101B-9397-08002B2CF9AE}" pid="4" name="MSIP_Label_668fbde5-0dd0-43d5-aca2-2bbc289e3948_Method">
    <vt:lpwstr>Privileged</vt:lpwstr>
  </property>
  <property fmtid="{D5CDD505-2E9C-101B-9397-08002B2CF9AE}" pid="5" name="MSIP_Label_668fbde5-0dd0-43d5-aca2-2bbc289e3948_Name">
    <vt:lpwstr>668fbde5-0dd0-43d5-aca2-2bbc289e3948</vt:lpwstr>
  </property>
  <property fmtid="{D5CDD505-2E9C-101B-9397-08002B2CF9AE}" pid="6" name="MSIP_Label_668fbde5-0dd0-43d5-aca2-2bbc289e3948_SiteId">
    <vt:lpwstr>de2c0330-f2e8-4149-a927-0c5a8592f0da</vt:lpwstr>
  </property>
  <property fmtid="{D5CDD505-2E9C-101B-9397-08002B2CF9AE}" pid="7" name="MSIP_Label_668fbde5-0dd0-43d5-aca2-2bbc289e3948_ActionId">
    <vt:lpwstr>76cdf801-3283-4396-a71c-44c207a32b76</vt:lpwstr>
  </property>
  <property fmtid="{D5CDD505-2E9C-101B-9397-08002B2CF9AE}" pid="8" name="MSIP_Label_668fbde5-0dd0-43d5-aca2-2bbc289e3948_ContentBits">
    <vt:lpwstr>1</vt:lpwstr>
  </property>
  <property fmtid="{D5CDD505-2E9C-101B-9397-08002B2CF9AE}" pid="9" name="ContentTypeId">
    <vt:lpwstr>0x010100BE6A0DC3B56C494E81B01879E1F078A5</vt:lpwstr>
  </property>
</Properties>
</file>